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유류비!$A$15:XFC$895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<sst xmlns="http://schemas.openxmlformats.org/spreadsheetml/2006/main" count="1797" uniqueCount="1795">
  <si>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</si>
  <si>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</si>
  <si>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</si>
  <si>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</si>
  <si>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</si>
  <si>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</si>
  <si>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</si>
  <si>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</si>
  <si>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</si>
  <si>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</si>
  <si>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</si>
  <si>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</si>
  <si>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</si>
  <si>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</si>
  <si>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</si>
  <si>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</si>
  <si>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</si>
  <si>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</si>
  <si>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</si>
  <si>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</si>
  <si>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</si>
  <si>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</si>
  <si>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</si>
  <si>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</si>
  <si>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</si>
  <si>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</si>
  <si>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</si>
  <si>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</si>
  <si>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</si>
  <si>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</si>
  <si>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</si>
  <si>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</si>
  <si>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</si>
  <si>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</si>
  <si>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</si>
  <si>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</si>
  <si>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</si>
  <si>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</si>
  <si>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</si>
  <si>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</si>
  <si>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</si>
  <si>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</si>
  <si>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</si>
  <si>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</si>
  <si>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</si>
  <si>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t xml:space="preserve">HD현대오일뱅크</t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</si>
  <si>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</si>
  <si>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</si>
  <si>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</si>
  <si>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</si>
  <si>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</si>
  <si>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</si>
  <si>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</si>
  <si>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</si>
  <si>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Y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</si>
  <si>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</si>
  <si>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</si>
  <si>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</si>
  <si>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</si>
  <si>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</si>
  <si>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</si>
  <si>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</si>
  <si>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</si>
  <si>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</si>
  <si>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(주)구암상사주유소</t>
  </si>
  <si>
    <t xml:space="preserve">GS칼텍스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</si>
  <si>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</si>
  <si>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</si>
  <si>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</si>
  <si>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</si>
  <si>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</si>
  <si>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</si>
  <si>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</si>
  <si>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</si>
  <si>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</si>
  <si>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</si>
  <si>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</si>
  <si>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</si>
  <si>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</si>
  <si>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</si>
  <si>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</si>
  <si>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</si>
  <si>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</si>
  <si>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</si>
  <si>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</si>
  <si>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</si>
  <si>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</si>
  <si>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</si>
  <si>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</si>
  <si>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</si>
  <si>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</si>
  <si>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</si>
  <si>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</si>
  <si>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</si>
  <si>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</si>
  <si>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</si>
  <si>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</si>
  <si>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</si>
  <si>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</si>
  <si>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</si>
  <si>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</si>
  <si>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</si>
  <si>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</si>
  <si>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</si>
  <si>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동남구 쌍용대로 142 (봉명동)</t>
  </si>
  <si>
    <t xml:space="preserve">(주)신진에너지프라임오에스</t>
  </si>
  <si>
    <t xml:space="preserve">충남 천안시 서북구 쌍용대로 269 (성정동)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</si>
  <si>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</si>
  <si>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</si>
  <si>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</si>
  <si>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</si>
  <si>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</si>
  <si>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</si>
  <si>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</si>
  <si>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</si>
  <si>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</si>
  <si>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</si>
  <si>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</si>
  <si>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</si>
  <si>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</si>
  <si>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(주)에스엘 성림주유소</t>
  </si>
  <si>
    <t xml:space="preserve">대전 유성구 유성대로752번길 2 (장대동)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</si>
  <si>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</si>
  <si>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</si>
  <si>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</si>
  <si>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</si>
  <si>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</si>
  <si>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</si>
  <si>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</si>
  <si>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</si>
  <si>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</si>
  <si>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</si>
  <si>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</si>
  <si>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</si>
  <si>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</si>
  <si>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</si>
  <si>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</si>
  <si>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</si>
  <si>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</si>
  <si>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</si>
  <si>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</si>
  <si>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</si>
  <si>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</si>
  <si>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</si>
  <si>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</si>
  <si>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</si>
  <si>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</si>
  <si>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</si>
  <si>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</si>
  <si>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</si>
  <si>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</si>
  <si>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</si>
  <si>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</si>
  <si>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</si>
  <si>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</si>
  <si>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</si>
  <si>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</si>
  <si>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</si>
  <si>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</si>
  <si>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</si>
  <si>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</si>
  <si>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</si>
  <si>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</si>
  <si>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</si>
  <si>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</si>
  <si>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</si>
  <si>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</si>
  <si>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</si>
  <si>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</si>
  <si>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</si>
  <si>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</si>
  <si>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</si>
  <si>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</si>
  <si>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</si>
  <si>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</si>
  <si>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</si>
  <si>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</si>
  <si>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</si>
  <si>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</si>
  <si>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</si>
  <si>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</si>
  <si>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</si>
  <si>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</si>
  <si>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</si>
  <si>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</si>
  <si>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</si>
  <si>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</si>
  <si>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</si>
  <si>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</si>
  <si>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</si>
  <si>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</si>
  <si>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</si>
  <si>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</si>
  <si>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</si>
  <si>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</si>
  <si>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</si>
  <si>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</si>
  <si>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</si>
  <si>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</si>
  <si>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</si>
  <si>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</si>
  <si>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세종특별자치시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</si>
  <si>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</si>
  <si>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</si>
  <si>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</si>
  <si>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</si>
  <si>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</si>
  <si>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 (오정동)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</si>
  <si>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</si>
  <si>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</si>
  <si>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</si>
  <si>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</si>
  <si>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</si>
  <si>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</si>
  <si>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</si>
  <si>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</si>
  <si>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</si>
  <si>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</si>
  <si>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</si>
  <si>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</si>
  <si>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</si>
  <si>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</si>
  <si>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</si>
  <si>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</si>
  <si>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</si>
  <si>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</si>
  <si>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</si>
  <si>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</si>
  <si>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</si>
  <si>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</si>
  <si>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</si>
  <si>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</si>
  <si>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</si>
  <si>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</si>
  <si>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</si>
  <si>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</si>
  <si>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</si>
  <si>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</si>
  <si>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</si>
  <si>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</si>
  <si>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</si>
  <si>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</si>
  <si>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</si>
  <si>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</si>
  <si>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</si>
  <si>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</si>
  <si>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</si>
  <si>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</si>
  <si>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</si>
  <si>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</si>
  <si>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</si>
  <si>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</si>
  <si>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</si>
  <si>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</si>
  <si>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</si>
  <si>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</si>
  <si>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</si>
  <si>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</si>
  <si>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</si>
  <si>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</si>
  <si>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</si>
  <si>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</si>
  <si>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</si>
  <si>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</si>
  <si>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</si>
  <si>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</si>
  <si>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</si>
  <si>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</si>
  <si>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</si>
  <si>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세종특별자치시 소담로 40</t>
  </si>
  <si>
    <t xml:space="preserve">SK에너지(주) 현진</t>
  </si>
  <si>
    <t xml:space="preserve">충남 천안시 동남구 남부대로 112 (신방동)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</si>
  <si>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</si>
  <si>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</si>
  <si>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</si>
  <si>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</si>
  <si>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</si>
  <si>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</si>
  <si>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</si>
  <si>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</si>
  <si>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</si>
  <si>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</si>
  <si>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SK에너지㈜신세계주유소</t>
  </si>
  <si>
    <t xml:space="preserve">충북 청주시 서원구 청남로 2125 (모충동)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</si>
  <si>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</si>
  <si>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</si>
  <si>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</si>
  <si>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</si>
  <si>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</si>
  <si>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</si>
  <si>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</si>
  <si>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</si>
  <si>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</si>
  <si>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</si>
  <si>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</si>
  <si>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</si>
  <si>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</si>
  <si>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</si>
  <si>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㈜광장 대천톨게이트주유소</t>
  </si>
  <si>
    <t xml:space="preserve">충남 보령시 대해로 216 (내항동)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</si>
  <si>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</si>
  <si>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</si>
  <si>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</si>
  <si>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</si>
  <si>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</si>
  <si>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</si>
  <si>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</si>
  <si>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</si>
  <si>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</si>
  <si>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</si>
  <si>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</si>
  <si>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</si>
  <si>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</si>
  <si>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</si>
  <si>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</si>
  <si>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</si>
  <si>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</si>
  <si>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</si>
  <si>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</si>
  <si>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</si>
  <si>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</si>
  <si>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</si>
  <si>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</si>
  <si>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</si>
  <si>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</si>
  <si>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</si>
  <si>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</si>
  <si>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</si>
  <si>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</si>
  <si>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</si>
  <si>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</si>
  <si>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</si>
  <si>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</si>
  <si>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</si>
  <si>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</si>
  <si>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</si>
  <si>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</si>
  <si>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</si>
  <si>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</si>
  <si>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</si>
  <si>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</si>
  <si>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</si>
  <si>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</si>
  <si>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</si>
  <si>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</si>
  <si>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</si>
  <si>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</si>
  <si>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</si>
  <si>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</si>
  <si>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</si>
  <si>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</si>
  <si>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</si>
  <si>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</si>
  <si>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</si>
  <si>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</si>
  <si>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</si>
  <si>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</si>
  <si>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</si>
  <si>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㈜연정 에스에스주유소</t>
  </si>
  <si>
    <t xml:space="preserve">대전 대덕구 한밭대로 1020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</si>
  <si>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</si>
  <si>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</si>
  <si>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</si>
  <si>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</si>
  <si>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</si>
  <si>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</si>
  <si>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</si>
  <si>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</si>
  <si>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</si>
  <si>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</si>
  <si>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</si>
  <si>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</si>
  <si>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</si>
  <si>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</si>
  <si>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</si>
  <si>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</si>
  <si>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</si>
  <si>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</si>
  <si>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</si>
  <si>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</si>
  <si>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</si>
  <si>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</si>
  <si>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</si>
  <si>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</si>
  <si>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</si>
  <si>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</si>
  <si>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</si>
  <si>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</si>
  <si>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</si>
  <si>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</si>
  <si>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</si>
  <si>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</si>
  <si>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</si>
  <si>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</si>
  <si>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</si>
  <si>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</si>
  <si>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</si>
  <si>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</si>
  <si>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</si>
  <si>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</si>
  <si>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</si>
  <si>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</si>
  <si>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</si>
  <si>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</si>
  <si>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</si>
  <si>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</si>
  <si>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</si>
  <si>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</si>
  <si>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</si>
  <si>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</si>
  <si>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</si>
  <si>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</si>
  <si>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</si>
  <si>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</si>
  <si>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</si>
  <si>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</si>
  <si>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</si>
  <si>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</si>
  <si>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</si>
  <si>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</si>
  <si>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</si>
  <si>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</si>
  <si>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</si>
  <si>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</si>
  <si>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</si>
  <si>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</si>
  <si>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</si>
  <si>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</si>
  <si>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</si>
  <si>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계림주유소</t>
  </si>
  <si>
    <t xml:space="preserve">대전 유성구 현충원로 201 (갑동)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</si>
  <si>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</si>
  <si>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</si>
  <si>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</si>
  <si>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</si>
  <si>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</si>
  <si>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</si>
  <si>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</si>
  <si>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</si>
  <si>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</si>
  <si>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</si>
  <si>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</si>
  <si>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</si>
  <si>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</si>
  <si>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</si>
  <si>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</si>
  <si>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</si>
  <si>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</si>
  <si>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</si>
  <si>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</si>
  <si>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</si>
  <si>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</si>
  <si>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</si>
  <si>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</si>
  <si>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</si>
  <si>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</si>
  <si>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</si>
  <si>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</si>
  <si>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</si>
  <si>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</si>
  <si>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</si>
  <si>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</si>
  <si>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</si>
  <si>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</si>
  <si>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</si>
  <si>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</si>
  <si>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</si>
  <si>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</si>
  <si>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</si>
  <si>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</si>
  <si>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</si>
  <si>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</si>
  <si>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</si>
  <si>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</si>
  <si>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</si>
  <si>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</si>
  <si>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</si>
  <si>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</si>
  <si>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</si>
  <si>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</si>
  <si>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</si>
  <si>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</si>
  <si>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</si>
  <si>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</si>
  <si>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</si>
  <si>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충청주유소</t>
  </si>
  <si>
    <t xml:space="preserve">충남 천안시 서북구 성거읍 봉주로 279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</si>
  <si>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</si>
  <si>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</si>
  <si>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</si>
  <si>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</si>
  <si>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</si>
  <si>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</si>
  <si>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</si>
  <si>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</si>
  <si>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</si>
  <si>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</si>
  <si>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</si>
  <si>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</si>
  <si>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</si>
  <si>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</si>
  <si>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</si>
  <si>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</si>
  <si>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</si>
  <si>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</si>
  <si>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</si>
  <si>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</si>
  <si>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</si>
  <si>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</si>
  <si>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남동주유소</t>
  </si>
  <si>
    <t xml:space="preserve">충남 아산시 순천향로 1035 (남동)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</si>
  <si>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</si>
  <si>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</si>
  <si>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</si>
  <si>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</si>
  <si>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</si>
  <si>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</si>
  <si>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</si>
  <si>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</si>
  <si>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</si>
  <si>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</si>
  <si>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</si>
  <si>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</si>
  <si>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</si>
  <si>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</si>
  <si>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</si>
  <si>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</si>
  <si>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</si>
  <si>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</si>
  <si>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</si>
  <si>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</si>
  <si>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</si>
  <si>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</si>
  <si>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</si>
  <si>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</si>
  <si>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</si>
  <si>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</si>
  <si>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</si>
  <si>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</si>
  <si>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</si>
  <si>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</si>
  <si>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</si>
  <si>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</si>
  <si>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세종특별자치시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</si>
  <si>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</si>
  <si>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</si>
  <si>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</si>
  <si>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</si>
  <si>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</si>
  <si>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</si>
  <si>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</si>
  <si>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</si>
  <si>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</si>
  <si>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</si>
  <si>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</si>
  <si>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</si>
  <si>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</si>
  <si>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</si>
  <si>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</si>
  <si>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</si>
  <si>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</si>
  <si>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</si>
  <si>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</si>
  <si>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</si>
  <si>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</si>
  <si>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</si>
  <si>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</si>
  <si>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</si>
  <si>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동서대로 1811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</si>
  <si>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</si>
  <si>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</si>
  <si>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</si>
  <si>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</si>
  <si>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</si>
  <si>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</si>
  <si>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</si>
  <si>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</si>
  <si>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</si>
  <si>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</si>
  <si>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</si>
  <si>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</si>
  <si>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</si>
  <si>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</si>
  <si>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</si>
  <si>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대성셀프주유소</t>
  </si>
  <si>
    <t xml:space="preserve">대전 동구 대전로 292 (대성동)</t>
  </si>
  <si>
    <t xml:space="preserve">대성제5주유소</t>
  </si>
  <si>
    <t xml:space="preserve">충남 천안시 동남구 청수로 135</t>
  </si>
  <si>
    <t xml:space="preserve">대성주유소</t>
  </si>
  <si>
    <t xml:space="preserve">대전 유성구 아리랑로 12</t>
  </si>
  <si>
    <t xml:space="preserve">대전 대덕구 덕암로 219</t>
  </si>
  <si>
    <t xml:space="preserve">충북 청주시 흥덕구 강내면 태성탑연로 68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</si>
  <si>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</si>
  <si>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</si>
  <si>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</si>
  <si>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</si>
  <si>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</si>
  <si>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</si>
  <si>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</si>
  <si>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</si>
  <si>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</si>
  <si>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</si>
  <si>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</si>
  <si>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</si>
  <si>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</si>
  <si>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</si>
  <si>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</si>
  <si>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</si>
  <si>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</si>
  <si>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</si>
  <si>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</si>
  <si>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</si>
  <si>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</si>
  <si>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</si>
  <si>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</si>
  <si>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</si>
  <si>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</si>
  <si>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</si>
  <si>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</si>
  <si>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</si>
  <si>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</si>
  <si>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</si>
  <si>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</si>
  <si>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</si>
  <si>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</si>
  <si>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</si>
  <si>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</si>
  <si>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</si>
  <si>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</si>
  <si>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</si>
  <si>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</si>
  <si>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</si>
  <si>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</si>
  <si>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</si>
  <si>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</si>
  <si>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</si>
  <si>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</si>
  <si>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</si>
  <si>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충남 아산시 도고면 온천대로 55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</si>
  <si>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</si>
  <si>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</si>
  <si>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</si>
  <si>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</si>
  <si>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</si>
  <si>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</si>
  <si>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</si>
  <si>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</si>
  <si>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</si>
  <si>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</si>
  <si>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</si>
  <si>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</si>
  <si>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대전 중구 문화로 97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</si>
  <si>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</si>
  <si>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</si>
  <si>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</si>
  <si>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</si>
  <si>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</si>
  <si>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</si>
  <si>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</si>
  <si>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</si>
  <si>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</si>
  <si>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</si>
  <si>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</si>
  <si>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</si>
  <si>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동성주유소</t>
  </si>
  <si>
    <t xml:space="preserve">충남 천안시 서북구 차돌로 14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</si>
  <si>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</si>
  <si>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</si>
  <si>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</si>
  <si>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</si>
  <si>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</si>
  <si>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</si>
  <si>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</si>
  <si>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</si>
  <si>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</si>
  <si>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</si>
  <si>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</si>
  <si>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</si>
  <si>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</si>
  <si>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</si>
  <si>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</si>
  <si>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</si>
  <si>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</si>
  <si>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</si>
  <si>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</si>
  <si>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</si>
  <si>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</si>
  <si>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</si>
  <si>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</si>
  <si>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</si>
  <si>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</si>
  <si>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</si>
  <si>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</si>
  <si>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</si>
  <si>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</si>
  <si>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</si>
  <si>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</si>
  <si>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</si>
  <si>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</si>
  <si>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</si>
  <si>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</si>
  <si>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</si>
  <si>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</si>
  <si>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</si>
  <si>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</si>
  <si>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</si>
  <si>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</si>
  <si>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</si>
  <si>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</si>
  <si>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</si>
  <si>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</si>
  <si>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</si>
  <si>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</si>
  <si>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</si>
  <si>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</si>
  <si>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</si>
  <si>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</si>
  <si>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</si>
  <si>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</si>
  <si>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</si>
  <si>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</si>
  <si>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</si>
  <si>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</si>
  <si>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</si>
  <si>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</si>
  <si>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</si>
  <si>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</si>
  <si>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</si>
  <si>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</si>
  <si>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</si>
  <si>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</si>
  <si>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</si>
  <si>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</si>
  <si>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</si>
  <si>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</si>
  <si>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</si>
  <si>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</si>
  <si>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</si>
  <si>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</si>
  <si>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</si>
  <si>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</si>
  <si>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</si>
  <si>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</si>
  <si>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</si>
  <si>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</si>
  <si>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</si>
  <si>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</si>
  <si>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</si>
  <si>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</si>
  <si>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</si>
  <si>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</si>
  <si>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</si>
  <si>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</si>
  <si>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</si>
  <si>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</si>
  <si>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</si>
  <si>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</si>
  <si>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</si>
  <si>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</si>
  <si>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</si>
  <si>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</si>
  <si>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</si>
  <si>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</si>
  <si>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</si>
  <si>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</si>
  <si>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</si>
  <si>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충청남도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</si>
  <si>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</si>
  <si>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</si>
  <si>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</si>
  <si>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</si>
  <si>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</si>
  <si>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</si>
  <si>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</si>
  <si>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</si>
  <si>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</si>
  <si>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</si>
  <si>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</si>
  <si>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</si>
  <si>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</si>
  <si>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충북 청주시 서원구 성봉로 234-2</t>
  </si>
  <si>
    <t xml:space="preserve">충남 천안시 서북구 성거읍 성진로 588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</si>
  <si>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</si>
  <si>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</si>
  <si>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</si>
  <si>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</si>
  <si>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</si>
  <si>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</si>
  <si>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</si>
  <si>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</si>
  <si>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</si>
  <si>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</si>
  <si>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</si>
  <si>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</si>
  <si>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</si>
  <si>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</si>
  <si>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</si>
  <si>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</si>
  <si>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</si>
  <si>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</si>
  <si>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</si>
  <si>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</si>
  <si>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</si>
  <si>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</si>
  <si>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</si>
  <si>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</si>
  <si>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</si>
  <si>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</si>
  <si>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</si>
  <si>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</si>
  <si>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</si>
  <si>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</si>
  <si>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</si>
  <si>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</si>
  <si>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</si>
  <si>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</si>
  <si>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</si>
  <si>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</si>
  <si>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</si>
  <si>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</si>
  <si>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</si>
  <si>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</si>
  <si>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</si>
  <si>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</si>
  <si>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</si>
  <si>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</si>
  <si>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</si>
  <si>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</si>
  <si>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</si>
  <si>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</si>
  <si>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</si>
  <si>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</si>
  <si>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</si>
  <si>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</si>
  <si>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</si>
  <si>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</si>
  <si>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</si>
  <si>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</si>
  <si>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</si>
  <si>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</si>
  <si>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</si>
  <si>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</si>
  <si>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</si>
  <si>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</si>
  <si>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</si>
  <si>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</si>
  <si>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</si>
  <si>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</si>
  <si>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</si>
  <si>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</si>
  <si>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</si>
  <si>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</si>
  <si>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</si>
  <si>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</si>
  <si>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</si>
  <si>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</si>
  <si>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</si>
  <si>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</si>
  <si>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</si>
  <si>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</si>
  <si>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</si>
  <si>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</si>
  <si>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</si>
  <si>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</si>
  <si>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</si>
  <si>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</si>
  <si>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</si>
  <si>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</si>
  <si>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</si>
  <si>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</si>
  <si>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</si>
  <si>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</si>
  <si>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</si>
  <si>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</si>
  <si>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</si>
  <si>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</si>
  <si>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대전 서구 대덕대로 384 (만년동)</t>
  </si>
  <si>
    <t xml:space="preserve">세종 조치원읍 충현로 53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</si>
  <si>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</si>
  <si>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</si>
  <si>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</si>
  <si>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</si>
  <si>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</si>
  <si>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</si>
  <si>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</si>
  <si>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</si>
  <si>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</si>
  <si>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</si>
  <si>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</si>
  <si>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</si>
  <si>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</si>
  <si>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</si>
  <si>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</si>
  <si>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</si>
  <si>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</si>
  <si>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</si>
  <si>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</si>
  <si>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</si>
  <si>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</si>
  <si>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 (원내동)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</si>
  <si>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</si>
  <si>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</si>
  <si>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</si>
  <si>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</si>
  <si>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</si>
  <si>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</si>
  <si>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</si>
  <si>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</si>
  <si>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</si>
  <si>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</si>
  <si>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</si>
  <si>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</si>
  <si>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</si>
  <si>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</si>
  <si>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</si>
  <si>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</si>
  <si>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</si>
  <si>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</si>
  <si>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</si>
  <si>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</si>
  <si>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</si>
  <si>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</si>
  <si>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</si>
  <si>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</si>
  <si>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 (신당동)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</si>
  <si>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</si>
  <si>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</si>
  <si>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</si>
  <si>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</si>
  <si>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</si>
  <si>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</si>
  <si>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</si>
  <si>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</si>
  <si>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</si>
  <si>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</si>
  <si>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</si>
  <si>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</si>
  <si>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</si>
  <si>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</si>
  <si>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</si>
  <si>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</si>
  <si>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</si>
  <si>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</si>
  <si>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</si>
  <si>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</si>
  <si>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</si>
  <si>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</si>
  <si>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</si>
  <si>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</si>
  <si>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</si>
  <si>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</si>
  <si>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</si>
  <si>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</si>
  <si>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</si>
  <si>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</si>
  <si>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</si>
  <si>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</si>
  <si>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</si>
  <si>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</si>
  <si>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</si>
  <si>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</si>
  <si>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</si>
  <si>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</si>
  <si>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</si>
  <si>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</si>
  <si>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</si>
  <si>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</si>
  <si>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</si>
  <si>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</si>
  <si>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</si>
  <si>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</si>
  <si>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</si>
  <si>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</si>
  <si>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</si>
  <si>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</si>
  <si>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</si>
  <si>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</si>
  <si>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</si>
  <si>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</si>
  <si>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</si>
  <si>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</si>
  <si>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</si>
  <si>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</si>
  <si>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</si>
  <si>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</si>
  <si>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</si>
  <si>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세종특별자치시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</si>
  <si>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</si>
  <si>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</si>
  <si>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</si>
  <si>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</si>
  <si>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</si>
  <si>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</si>
  <si>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</si>
  <si>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</si>
  <si>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</si>
  <si>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</si>
  <si>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</si>
  <si>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</si>
  <si>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</si>
  <si>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</si>
  <si>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</si>
  <si>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</si>
  <si>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</si>
  <si>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</si>
  <si>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송정주유소</t>
  </si>
  <si>
    <t xml:space="preserve">충청남도 천안시 동남구 병천면 매봉로 244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</si>
  <si>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</si>
  <si>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</si>
  <si>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</si>
  <si>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</si>
  <si>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</si>
  <si>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</si>
  <si>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</si>
  <si>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</si>
  <si>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순천향셀프주유소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</si>
  <si>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</si>
  <si>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</si>
  <si>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</si>
  <si>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</si>
  <si>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대전 대덕구 신탄진로 622 (상서동)</t>
  </si>
  <si>
    <t xml:space="preserve">충북 청주시 흥덕구 월명로48번길 3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</si>
  <si>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</si>
  <si>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</si>
  <si>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</si>
  <si>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</si>
  <si>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스타홀딩스㈜ 아산선녀주유소</t>
  </si>
  <si>
    <t xml:space="preserve">충남 아산시 염치읍 아산로 625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</si>
  <si>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</si>
  <si>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</si>
  <si>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</si>
  <si>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</si>
  <si>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</si>
  <si>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</si>
  <si>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</si>
  <si>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</si>
  <si>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</si>
  <si>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</si>
  <si>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</si>
  <si>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</si>
  <si>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</si>
  <si>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</si>
  <si>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</si>
  <si>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</si>
  <si>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</si>
  <si>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</si>
  <si>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</si>
  <si>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</si>
  <si>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</si>
  <si>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</si>
  <si>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</si>
  <si>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</si>
  <si>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</si>
  <si>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</si>
  <si>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</si>
  <si>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세종특별자치시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</si>
  <si>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</si>
  <si>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</si>
  <si>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</si>
  <si>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세종특별자치시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</si>
  <si>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</si>
  <si>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</si>
  <si>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</si>
  <si>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</si>
  <si>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</si>
  <si>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</si>
  <si>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</si>
  <si>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</si>
  <si>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</si>
  <si>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</si>
  <si>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</si>
  <si>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</si>
  <si>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</si>
  <si>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</si>
  <si>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</si>
  <si>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</si>
  <si>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</si>
  <si>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</si>
  <si>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</si>
  <si>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</si>
  <si>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</si>
  <si>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</si>
  <si>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</si>
  <si>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</si>
  <si>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</si>
  <si>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</si>
  <si>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</si>
  <si>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</si>
  <si>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</si>
  <si>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</si>
  <si>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</si>
  <si>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</si>
  <si>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</si>
  <si>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</si>
  <si>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</si>
  <si>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</si>
  <si>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</si>
  <si>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</si>
  <si>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</si>
  <si>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</si>
  <si>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</si>
  <si>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</si>
  <si>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</si>
  <si>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</si>
  <si>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</si>
  <si>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</si>
  <si>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</si>
  <si>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</si>
  <si>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</si>
  <si>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쌍용셀프주유소</t>
  </si>
  <si>
    <t xml:space="preserve">충남 천안시 서북구 불당대로 294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</si>
  <si>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</si>
  <si>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</si>
  <si>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</si>
  <si>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</si>
  <si>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</si>
  <si>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</si>
  <si>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</si>
  <si>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</si>
  <si>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</si>
  <si>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</si>
  <si>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</si>
  <si>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</si>
  <si>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</si>
  <si>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</si>
  <si>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</si>
  <si>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</si>
  <si>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</si>
  <si>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</si>
  <si>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</si>
  <si>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아산만 오일뱅크</t>
  </si>
  <si>
    <t xml:space="preserve">충남 아산시 영인면 아산호로 772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</si>
  <si>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</si>
  <si>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</si>
  <si>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</si>
  <si>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</si>
  <si>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</si>
  <si>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</si>
  <si>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</si>
  <si>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</si>
  <si>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</si>
  <si>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</si>
  <si>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</si>
  <si>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</si>
  <si>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</si>
  <si>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</si>
  <si>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</si>
  <si>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</si>
  <si>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</si>
  <si>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</si>
  <si>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</si>
  <si>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</si>
  <si>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</si>
  <si>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</si>
  <si>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</si>
  <si>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</si>
  <si>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</si>
  <si>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</si>
  <si>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</si>
  <si>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</si>
  <si>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</si>
  <si>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</si>
  <si>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</si>
  <si>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</si>
  <si>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</si>
  <si>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</si>
  <si>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</si>
  <si>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</si>
  <si>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</si>
  <si>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</si>
  <si>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</si>
  <si>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</si>
  <si>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</si>
  <si>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</si>
  <si>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</si>
  <si>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</si>
  <si>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</si>
  <si>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</si>
  <si>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</si>
  <si>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</si>
  <si>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</si>
  <si>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</si>
  <si>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</si>
  <si>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</si>
  <si>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</si>
  <si>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</si>
  <si>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</si>
  <si>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</si>
  <si>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</si>
  <si>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</si>
  <si>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</si>
  <si>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</si>
  <si>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</si>
  <si>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</si>
  <si>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</si>
  <si>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</si>
  <si>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</si>
  <si>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</si>
  <si>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</si>
  <si>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</si>
  <si>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</si>
  <si>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</si>
  <si>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</si>
  <si>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</si>
  <si>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</si>
  <si>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</si>
  <si>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</si>
  <si>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</si>
  <si>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</si>
  <si>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</si>
  <si>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</si>
  <si>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</si>
  <si>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</si>
  <si>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</si>
  <si>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</si>
  <si>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</si>
  <si>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</si>
  <si>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</si>
  <si>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</si>
  <si>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</si>
  <si>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</si>
  <si>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</si>
  <si>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</si>
  <si>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</si>
  <si>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</si>
  <si>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</si>
  <si>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</si>
  <si>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</si>
  <si>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</si>
  <si>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</si>
  <si>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</si>
  <si>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</si>
  <si>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</si>
  <si>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</si>
  <si>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</si>
  <si>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</si>
  <si>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</si>
  <si>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</si>
  <si>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</si>
  <si>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</si>
  <si>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</si>
  <si>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</si>
  <si>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</si>
  <si>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</si>
  <si>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</si>
  <si>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</si>
  <si>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</si>
  <si>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</si>
  <si>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</si>
  <si>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</si>
  <si>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</t>
  </si>
  <si>
    <t xml:space="preserve">대전 대덕구 신탄진로 386 (와동)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</si>
  <si>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</si>
  <si>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</si>
  <si>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</si>
  <si>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</si>
  <si>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</si>
  <si>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</si>
  <si>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</si>
  <si>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</si>
  <si>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용전셀프주유소</t>
  </si>
  <si>
    <t xml:space="preserve">대전 동구 동서대로 1627(홍도동)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</si>
  <si>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</si>
  <si>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</si>
  <si>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</si>
  <si>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</si>
  <si>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</si>
  <si>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</si>
  <si>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</si>
  <si>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</si>
  <si>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</si>
  <si>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</si>
  <si>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</si>
  <si>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</si>
  <si>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</si>
  <si>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</si>
  <si>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</si>
  <si>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</si>
  <si>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</si>
  <si>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</si>
  <si>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</si>
  <si>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</si>
  <si>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</si>
  <si>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</si>
  <si>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</si>
  <si>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</si>
  <si>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</si>
  <si>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</si>
  <si>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</si>
  <si>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</si>
  <si>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</si>
  <si>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</si>
  <si>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</si>
  <si>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</si>
  <si>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</si>
  <si>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</si>
  <si>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</si>
  <si>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</si>
  <si>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</si>
  <si>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</si>
  <si>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</si>
  <si>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</si>
  <si>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</si>
  <si>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</si>
  <si>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</si>
  <si>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</si>
  <si>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</si>
  <si>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</si>
  <si>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</si>
  <si>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</si>
  <si>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</si>
  <si>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</si>
  <si>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</si>
  <si>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</si>
  <si>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</si>
  <si>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</si>
  <si>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</si>
  <si>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</si>
  <si>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</si>
  <si>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</si>
  <si>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</si>
  <si>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</si>
  <si>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</si>
  <si>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</si>
  <si>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</si>
  <si>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</si>
  <si>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</si>
  <si>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</si>
  <si>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</si>
  <si>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</si>
  <si>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</si>
  <si>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</si>
  <si>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</si>
  <si>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</si>
  <si>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</si>
  <si>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</si>
  <si>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</si>
  <si>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</si>
  <si>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</si>
  <si>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</si>
  <si>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</si>
  <si>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</si>
  <si>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</si>
  <si>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</si>
  <si>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</si>
  <si>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</si>
  <si>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</si>
  <si>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</si>
  <si>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</si>
  <si>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</si>
  <si>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</si>
  <si>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</si>
  <si>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</si>
  <si>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</si>
  <si>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</si>
  <si>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자유에너지(주)황제주유소</t>
  </si>
  <si>
    <t xml:space="preserve">충북 청주시 상당구 1순환로 1249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</si>
  <si>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</si>
  <si>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</si>
  <si>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</si>
  <si>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</si>
  <si>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</si>
  <si>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</si>
  <si>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</si>
  <si>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</si>
  <si>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</si>
  <si>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</si>
  <si>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</si>
  <si>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</si>
  <si>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</si>
  <si>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</si>
  <si>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</si>
  <si>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</si>
  <si>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</si>
  <si>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</si>
  <si>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</si>
  <si>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</si>
  <si>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</si>
  <si>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</si>
  <si>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</si>
  <si>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</si>
  <si>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</si>
  <si>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</si>
  <si>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</si>
  <si>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</si>
  <si>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</si>
  <si>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</si>
  <si>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</si>
  <si>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</si>
  <si>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</si>
  <si>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</si>
  <si>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</si>
  <si>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충남 공주시 미나리1길 18-10 (금성동)</t>
  </si>
  <si>
    <t xml:space="preserve">대전 대덕구  동서대로 1750 (비래동)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</si>
  <si>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</si>
  <si>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</si>
  <si>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</si>
  <si>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</si>
  <si>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</si>
  <si>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</si>
  <si>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</si>
  <si>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</si>
  <si>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</si>
  <si>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</si>
  <si>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</si>
  <si>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</si>
  <si>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</si>
  <si>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</si>
  <si>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</si>
  <si>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</si>
  <si>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</si>
  <si>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</si>
  <si>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</si>
  <si>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</si>
  <si>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</si>
  <si>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</si>
  <si>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</si>
  <si>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</si>
  <si>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</si>
  <si>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</si>
  <si>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</si>
  <si>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</si>
  <si>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</si>
  <si>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</si>
  <si>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</si>
  <si>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</si>
  <si>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</si>
  <si>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</si>
  <si>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</si>
  <si>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</si>
  <si>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</si>
  <si>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</si>
  <si>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</si>
  <si>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</si>
  <si>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</si>
  <si>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</si>
  <si>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</si>
  <si>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</si>
  <si>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</si>
  <si>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</si>
  <si>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</si>
  <si>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</si>
  <si>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</si>
  <si>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</si>
  <si>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중리셀프주유소</t>
  </si>
  <si>
    <t xml:space="preserve">대전 대덕구 한밭대로 1186</t>
  </si>
  <si>
    <t xml:space="preserve">중부제3셀프주유소</t>
  </si>
  <si>
    <t xml:space="preserve">충남 공주시 무령로 466 (신관동)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</si>
  <si>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</si>
  <si>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</si>
  <si>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</si>
  <si>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</si>
  <si>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</si>
  <si>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</si>
  <si>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</si>
  <si>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</si>
  <si>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</si>
  <si>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</si>
  <si>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</si>
  <si>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</si>
  <si>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</si>
  <si>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</si>
  <si>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</si>
  <si>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</si>
  <si>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</si>
  <si>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</si>
  <si>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</si>
  <si>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지에스칼텍스(주)대덕밸리주유소</t>
  </si>
  <si>
    <t xml:space="preserve">대전 유성구 대덕대로 938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</si>
  <si>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</si>
  <si>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</si>
  <si>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</si>
  <si>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</si>
  <si>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</si>
  <si>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</si>
  <si>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</si>
  <si>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</si>
  <si>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</si>
  <si>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</si>
  <si>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</si>
  <si>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</si>
  <si>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</si>
  <si>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</si>
  <si>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</si>
  <si>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</si>
  <si>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</si>
  <si>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</si>
  <si>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</si>
  <si>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</si>
  <si>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</si>
  <si>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</si>
  <si>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</si>
  <si>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</si>
  <si>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</si>
  <si>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</si>
  <si>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</si>
  <si>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</si>
  <si>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</si>
  <si>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</si>
  <si>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</si>
  <si>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</si>
  <si>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</si>
  <si>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</si>
  <si>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</si>
  <si>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</si>
  <si>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</si>
  <si>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</si>
  <si>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</si>
  <si>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</si>
  <si>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</si>
  <si>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</si>
  <si>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</si>
  <si>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</si>
  <si>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</si>
  <si>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</si>
  <si>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</si>
  <si>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</si>
  <si>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진터벌주유소</t>
  </si>
  <si>
    <t xml:space="preserve">대전 유성구 유성대로654번길 168 (봉명동)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</si>
  <si>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</si>
  <si>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</si>
  <si>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</si>
  <si>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</si>
  <si>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</si>
  <si>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</si>
  <si>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</si>
  <si>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</si>
  <si>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</si>
  <si>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</si>
  <si>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</si>
  <si>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</si>
  <si>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</si>
  <si>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</si>
  <si>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</si>
  <si>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</si>
  <si>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</si>
  <si>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</si>
  <si>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</si>
  <si>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</si>
  <si>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</si>
  <si>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</si>
  <si>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</si>
  <si>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</si>
  <si>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</si>
  <si>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</si>
  <si>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</si>
  <si>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</si>
  <si>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</si>
  <si>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</si>
  <si>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</si>
  <si>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</si>
  <si>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</si>
  <si>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</si>
  <si>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</si>
  <si>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</si>
  <si>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</si>
  <si>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</si>
  <si>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</si>
  <si>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</si>
  <si>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</si>
  <si>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</si>
  <si>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</si>
  <si>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</si>
  <si>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</si>
  <si>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</si>
  <si>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</si>
  <si>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</si>
  <si>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</si>
  <si>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</si>
  <si>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</si>
  <si>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</si>
  <si>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</si>
  <si>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</si>
  <si>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</si>
  <si>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</si>
  <si>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</si>
  <si>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</si>
  <si>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</si>
  <si>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</si>
  <si>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</si>
  <si>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</si>
  <si>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</si>
  <si>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</si>
  <si>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</si>
  <si>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</si>
  <si>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</si>
  <si>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</si>
  <si>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</si>
  <si>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</si>
  <si>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</si>
  <si>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</si>
  <si>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</si>
  <si>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</si>
  <si>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</si>
  <si>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</si>
  <si>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</si>
  <si>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</si>
  <si>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</si>
  <si>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</si>
  <si>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</si>
  <si>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</si>
  <si>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</si>
  <si>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</si>
  <si>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</si>
  <si>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</si>
  <si>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</si>
  <si>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</si>
  <si>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</si>
  <si>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</si>
  <si>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</si>
  <si>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</si>
  <si>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</si>
  <si>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</si>
  <si>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</si>
  <si>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</si>
  <si>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</si>
  <si>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</si>
  <si>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</si>
  <si>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</si>
  <si>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</si>
  <si>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</si>
  <si>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</si>
  <si>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</si>
  <si>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</si>
  <si>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</si>
  <si>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</si>
  <si>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</t>
  </si>
  <si>
    <t xml:space="preserve">충북 청주시 청원구 오창읍 중부로 1559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</si>
  <si>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</si>
  <si>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</si>
  <si>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</si>
  <si>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</si>
  <si>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</si>
  <si>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</si>
  <si>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</si>
  <si>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</si>
  <si>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</si>
  <si>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</si>
  <si>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</si>
  <si>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</si>
  <si>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</si>
  <si>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</si>
  <si>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통일에너지(주)</t>
  </si>
  <si>
    <t xml:space="preserve">충남 아산시 온천대로 1705 (모종동)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</si>
  <si>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</si>
  <si>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</si>
  <si>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</si>
  <si>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</si>
  <si>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</si>
  <si>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</si>
  <si>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</si>
  <si>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</si>
  <si>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</si>
  <si>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</si>
  <si>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</si>
  <si>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</si>
  <si>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</si>
  <si>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</si>
  <si>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</si>
  <si>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</si>
  <si>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</si>
  <si>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</si>
  <si>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</si>
  <si>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</si>
  <si>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</si>
  <si>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</si>
  <si>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</si>
  <si>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</si>
  <si>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</si>
  <si>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</si>
  <si>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</si>
  <si>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</si>
  <si>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</si>
  <si>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</si>
  <si>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</si>
  <si>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</si>
  <si>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</si>
  <si>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</si>
  <si>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</si>
  <si>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</si>
  <si>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</si>
  <si>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</si>
  <si>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</si>
  <si>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</si>
  <si>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</si>
  <si>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</si>
  <si>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</si>
  <si>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</si>
  <si>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</si>
  <si>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</si>
  <si>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</si>
  <si>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</si>
  <si>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</si>
  <si>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</si>
  <si>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</si>
  <si>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</si>
  <si>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</si>
  <si>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</si>
  <si>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</si>
  <si>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</si>
  <si>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</si>
  <si>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</si>
  <si>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</si>
  <si>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</si>
  <si>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</si>
  <si>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</si>
  <si>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</si>
  <si>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</si>
  <si>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</si>
  <si>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</si>
  <si>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</si>
  <si>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</si>
  <si>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</si>
  <si>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</si>
  <si>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</si>
  <si>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</si>
  <si>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</si>
  <si>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</si>
  <si>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</si>
  <si>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</si>
  <si>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</si>
  <si>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</si>
  <si>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</si>
  <si>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</si>
  <si>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</si>
  <si>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</si>
  <si>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</si>
  <si>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</si>
  <si>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</si>
  <si>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</si>
  <si>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</si>
  <si>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</si>
  <si>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</si>
  <si>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</si>
  <si>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</si>
  <si>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</si>
  <si>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</si>
  <si>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</si>
  <si>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</si>
  <si>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</si>
  <si>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</si>
  <si>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</si>
  <si>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</si>
  <si>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</si>
  <si>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</si>
  <si>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</si>
  <si>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</si>
  <si>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</si>
  <si>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</si>
  <si>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</si>
  <si>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</si>
  <si>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</si>
  <si>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</si>
  <si>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</si>
  <si>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</si>
  <si>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</si>
  <si>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</si>
  <si>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</si>
  <si>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</si>
  <si>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</si>
  <si>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</si>
  <si>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대전 서구 동서대로 1081</t>
  </si>
  <si>
    <t xml:space="preserve">충북 청주시 상당구 대성로 92</t>
  </si>
  <si>
    <t xml:space="preserve">황용주유소</t>
  </si>
  <si>
    <t xml:space="preserve">세종 금남면 황용1길 40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</si>
  <si>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</si>
  <si>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</si>
  <si>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</si>
  <si>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</si>
  <si>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</si>
  <si>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</si>
  <si>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</si>
  <si>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</si>
  <si>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</si>
  <si>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</si>
  <si>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</si>
  <si>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</si>
  <si>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</si>
  <si>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2026-03-26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</si>
  <si>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</si>
  <si>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</si>
  <si>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</si>
  <si>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</si>
  <si>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</si>
  <si>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</si>
  <si>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</si>
  <si>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</si>
  <si>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</si>
  <si>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</si>
  <si>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</si>
  <si>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</si>
  <si>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2026-04-03</t>
  </si>
  <si>
    <t>㈜온아한셀프주유소</t>
  </si>
  <si>
    <t>가격변동, 상호변경</t>
  </si>
  <si>
    <t>충남 천안시 서북구 천안대로 1394</t>
  </si>
  <si>
    <t>폐업</t>
  </si>
  <si>
    <t>세종 연기면 잣띠길 4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</si>
</sst>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25.2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ollapsed="false" customFormat="true" customHeight="true" hidden="false" ht="28.5" outlineLevel="0">
      <c r="A15" s="16">
        <f aca="false">IF($T15="","",1+COUNTIF($W$15:$W$895,"&lt;"&amp;W15))</f>
        <v>1</v>
      </c>
      <c r="B15" s="16" t="s">
        <v>16</v>
      </c>
      <c r="C15" s="16" t="s">
        <v>1315</v>
      </c>
      <c r="D15" s="16" t="s">
        <v>48</v>
      </c>
      <c r="E15" s="16" t="s">
        <v>26</v>
      </c>
      <c r="F15" s="16" t="s">
        <v>1316</v>
      </c>
      <c r="G15" s="17">
        <v>1880</v>
      </c>
      <c r="H15" s="17">
        <v>2040</v>
      </c>
      <c r="I15" s="17"/>
      <c r="J15" s="17">
        <v>1880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1880</v>
      </c>
      <c r="M15" s="17">
        <f aca="false">IF($H15="","",$H15+$K15)</f>
        <v>2040</v>
      </c>
      <c r="N15" s="17">
        <f aca="false">IF($J15="","",$J15+$K15)</f>
        <v>1880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26,320원 / 고급유 22,848원</v>
      </c>
      <c r="P15" s="17">
        <f aca="false">IF($B$10=0,"",IFERROR(IF($B$4&gt;0,IF($L15="",1/0,$L15*$B$4),0)+IF($B$5&gt;0,IF($M15="",1/0,$M15*$B$5),0)+IF($B$6&gt;0,IF($N15="",1/0,$N15*$B$6),0),""))</f>
        <v>49168</v>
      </c>
      <c r="Q15" s="17" t="s">
        <v>54</v>
      </c>
      <c r="R15" s="18">
        <f aca="false">IF($P15="","",IF($Q15="Y",IFERROR(VLOOKUP($B15,$C$4:$D$13,2,FALSE()),0),0))</f>
        <v>0.12</v>
      </c>
      <c r="S15" s="17">
        <f aca="false">IF($P15="","",ROUNDDOWN($P15*$R15,0))</f>
        <v>5900</v>
      </c>
      <c r="T15" s="17">
        <f aca="false">IF($P15="","",$P15-$S15)</f>
        <v>43268</v>
      </c>
      <c r="U15" s="17">
        <f aca="false">IF($T15="","",IF($B$10=0,"",$T15/$B$10))</f>
        <v>1716.984126984126984</v>
      </c>
      <c r="V15" s="17">
        <f aca="false">IF($P15="","",IF($B$10=0,"",$P15/$B$10))</f>
        <v>1951.111111111111111</v>
      </c>
      <c r="W15" s="19">
        <f aca="false">IF($T15="",1000000000000000,$T15)</f>
        <v>43268</v>
      </c>
      <c r="XFC15" s="3"/>
    </row>
    <row r="16" s="6" collapsed="false" customFormat="true" customHeight="true" hidden="false" ht="28.5" outlineLevel="0">
      <c r="A16" s="16">
        <f aca="false">IF($T16="","",1+COUNTIF($W$15:$W$895,"&lt;"&amp;W16))</f>
        <v>2</v>
      </c>
      <c r="B16" s="16" t="s">
        <v>6</v>
      </c>
      <c r="C16" s="16" t="s">
        <v>1473</v>
      </c>
      <c r="D16" s="16" t="s">
        <v>61</v>
      </c>
      <c r="E16" s="16" t="s">
        <v>26</v>
      </c>
      <c r="F16" s="16" t="s">
        <v>1474</v>
      </c>
      <c r="G16" s="17">
        <v>1770</v>
      </c>
      <c r="H16" s="17">
        <v>2110</v>
      </c>
      <c r="I16" s="17"/>
      <c r="J16" s="17">
        <v>1733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1770</v>
      </c>
      <c r="M16" s="17">
        <f aca="false">IF($H16="","",$H16+$K16)</f>
        <v>2110</v>
      </c>
      <c r="N16" s="17">
        <f aca="false">IF($J16="","",$J16+$K16)</f>
        <v>1733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24,780원 / 고급유 23,632원</v>
      </c>
      <c r="P16" s="17">
        <f aca="false">IF($B$10=0,"",IFERROR(IF($B$4&gt;0,IF($L16="",1/0,$L16*$B$4),0)+IF($B$5&gt;0,IF($M16="",1/0,$M16*$B$5),0)+IF($B$6&gt;0,IF($N16="",1/0,$N16*$B$6),0),""))</f>
        <v>48412</v>
      </c>
      <c r="Q16" s="17" t="s">
        <v>54</v>
      </c>
      <c r="R16" s="18">
        <f aca="false">IF($P16="","",IF($Q16="Y",IFERROR(VLOOKUP($B16,$C$4:$D$13,2,FALSE()),0),0))</f>
        <v>0.1</v>
      </c>
      <c r="S16" s="17">
        <f aca="false">IF($P16="","",ROUNDDOWN($P16*$R16,0))</f>
        <v>4841</v>
      </c>
      <c r="T16" s="17">
        <f aca="false">IF($P16="","",$P16-$S16)</f>
        <v>43571</v>
      </c>
      <c r="U16" s="17">
        <f aca="false">IF($T16="","",IF($B$10=0,"",$T16/$B$10))</f>
        <v>1729.007936507936507</v>
      </c>
      <c r="V16" s="17">
        <f aca="false">IF($P16="","",IF($B$10=0,"",$P16/$B$10))</f>
        <v>1921.111111111111111</v>
      </c>
      <c r="W16" s="19">
        <f aca="false">IF($T16="",1000000000000000,$T16)</f>
        <v>43571</v>
      </c>
      <c r="XFC16" s="3"/>
    </row>
    <row r="17" s="22" collapsed="false" customFormat="true" customHeight="true" hidden="false" ht="28.5" outlineLevel="0">
      <c r="A17" s="16">
        <f aca="false">IF($T17="","",1+COUNTIF($W$15:$W$895,"&lt;"&amp;W17))</f>
        <v>2</v>
      </c>
      <c r="B17" s="16" t="s">
        <v>6</v>
      </c>
      <c r="C17" s="16" t="s">
        <v>1461</v>
      </c>
      <c r="D17" s="16" t="s">
        <v>61</v>
      </c>
      <c r="E17" s="16" t="s">
        <v>26</v>
      </c>
      <c r="F17" s="16" t="s">
        <v>1462</v>
      </c>
      <c r="G17" s="17">
        <v>1770</v>
      </c>
      <c r="H17" s="17">
        <v>2110</v>
      </c>
      <c r="I17" s="17"/>
      <c r="J17" s="17">
        <v>1744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1770</v>
      </c>
      <c r="M17" s="17">
        <f aca="false">IF($H17="","",$H17+$K17)</f>
        <v>2110</v>
      </c>
      <c r="N17" s="17">
        <f aca="false">IF($J17="","",$J17+$K17)</f>
        <v>1744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24,780원 / 고급유 23,632원</v>
      </c>
      <c r="P17" s="17">
        <f aca="false">IF($B$10=0,"",IFERROR(IF($B$4&gt;0,IF($L17="",1/0,$L17*$B$4),0)+IF($B$5&gt;0,IF($M17="",1/0,$M17*$B$5),0)+IF($B$6&gt;0,IF($N17="",1/0,$N17*$B$6),0),""))</f>
        <v>48412</v>
      </c>
      <c r="Q17" s="17" t="s">
        <v>54</v>
      </c>
      <c r="R17" s="18">
        <f aca="false">IF($P17="","",IF($Q17="Y",IFERROR(VLOOKUP($B17,$C$4:$D$13,2,FALSE()),0),0))</f>
        <v>0.1</v>
      </c>
      <c r="S17" s="17">
        <f aca="false">IF($P17="","",ROUNDDOWN($P17*$R17,0))</f>
        <v>4841</v>
      </c>
      <c r="T17" s="17">
        <f aca="false">IF($P17="","",$P17-$S17)</f>
        <v>43571</v>
      </c>
      <c r="U17" s="17">
        <f aca="false">IF($T17="","",IF($B$10=0,"",$T17/$B$10))</f>
        <v>1729.007936507936507</v>
      </c>
      <c r="V17" s="17">
        <f aca="false">IF($P17="","",IF($B$10=0,"",$P17/$B$10))</f>
        <v>1921.111111111111111</v>
      </c>
      <c r="W17" s="19">
        <f aca="false">IF($T17="",1000000000000000,$T17)</f>
        <v>43571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IF($T18="","",1+COUNTIF($W$15:$W$895,"&lt;"&amp;W18))</f>
        <v>4</v>
      </c>
      <c r="B18" s="16" t="s">
        <v>18</v>
      </c>
      <c r="C18" s="16" t="s">
        <v>314</v>
      </c>
      <c r="D18" s="16" t="s">
        <v>45</v>
      </c>
      <c r="E18" s="16" t="s">
        <v>26</v>
      </c>
      <c r="F18" s="16" t="s">
        <v>315</v>
      </c>
      <c r="G18" s="17">
        <v>1952</v>
      </c>
      <c r="H18" s="17">
        <v>2149</v>
      </c>
      <c r="I18" s="17"/>
      <c r="J18" s="17">
        <v>1852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1952</v>
      </c>
      <c r="M18" s="17">
        <f aca="false">IF($H18="","",$H18+$K18)</f>
        <v>2149</v>
      </c>
      <c r="N18" s="17">
        <f aca="false">IF($J18="","",$J18+$K18)</f>
        <v>1852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27,328원 / 고급유 24,069원</v>
      </c>
      <c r="P18" s="17">
        <f aca="false">IF($B$10=0,"",IFERROR(IF($B$4&gt;0,IF($L18="",1/0,$L18*$B$4),0)+IF($B$5&gt;0,IF($M18="",1/0,$M18*$B$5),0)+IF($B$6&gt;0,IF($N18="",1/0,$N18*$B$6),0),""))</f>
        <v>51396.8</v>
      </c>
      <c r="Q18" s="17" t="s">
        <v>54</v>
      </c>
      <c r="R18" s="18">
        <f aca="false">IF($P18="","",IF($Q18="Y",IFERROR(VLOOKUP($B18,$C$4:$D$13,2,FALSE()),0),0))</f>
        <v>0.15</v>
      </c>
      <c r="S18" s="17">
        <f aca="false">IF($P18="","",ROUNDDOWN($P18*$R18,0))</f>
        <v>7709</v>
      </c>
      <c r="T18" s="17">
        <f aca="false">IF($P18="","",$P18-$S18)</f>
        <v>43687.8</v>
      </c>
      <c r="U18" s="17">
        <f aca="false">IF($T18="","",IF($B$10=0,"",$T18/$B$10))</f>
        <v>1733.642857142857142</v>
      </c>
      <c r="V18" s="17">
        <f aca="false">IF($P18="","",IF($B$10=0,"",$P18/$B$10))</f>
        <v>2039.555555555555555</v>
      </c>
      <c r="W18" s="19">
        <f aca="false">IF($T18="",1000000000000000,$T18)</f>
        <v>43687.8</v>
      </c>
      <c r="XFB18" s="6"/>
      <c r="XFC18" s="3"/>
    </row>
    <row r="19" s="22" collapsed="false" customFormat="true" customHeight="true" hidden="false" ht="28.5" outlineLevel="0">
      <c r="A19" s="16">
        <f aca="false">IF($T19="","",1+COUNTIF($W$15:$W$895,"&lt;"&amp;W19))</f>
        <v>5</v>
      </c>
      <c r="B19" s="16" t="s">
        <v>6</v>
      </c>
      <c r="C19" s="16" t="s">
        <v>1477</v>
      </c>
      <c r="D19" s="16" t="s">
        <v>61</v>
      </c>
      <c r="E19" s="16" t="s">
        <v>26</v>
      </c>
      <c r="F19" s="16" t="s">
        <v>1478</v>
      </c>
      <c r="G19" s="17">
        <v>1773</v>
      </c>
      <c r="H19" s="17">
        <v>2123</v>
      </c>
      <c r="I19" s="17"/>
      <c r="J19" s="17">
        <v>1749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1773</v>
      </c>
      <c r="M19" s="17">
        <f aca="false">IF($H19="","",$H19+$K19)</f>
        <v>2123</v>
      </c>
      <c r="N19" s="17">
        <f aca="false">IF($J19="","",$J19+$K19)</f>
        <v>1749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24,822원 / 고급유 23,778원</v>
      </c>
      <c r="P19" s="17">
        <f aca="false">IF($B$10=0,"",IFERROR(IF($B$4&gt;0,IF($L19="",1/0,$L19*$B$4),0)+IF($B$5&gt;0,IF($M19="",1/0,$M19*$B$5),0)+IF($B$6&gt;0,IF($N19="",1/0,$N19*$B$6),0),""))</f>
        <v>48599.6</v>
      </c>
      <c r="Q19" s="17" t="s">
        <v>54</v>
      </c>
      <c r="R19" s="18">
        <f aca="false">IF($P19="","",IF($Q19="Y",IFERROR(VLOOKUP($B19,$C$4:$D$13,2,FALSE()),0),0))</f>
        <v>0.1</v>
      </c>
      <c r="S19" s="17">
        <f aca="false">IF($P19="","",ROUNDDOWN($P19*$R19,0))</f>
        <v>4859</v>
      </c>
      <c r="T19" s="17">
        <f aca="false">IF($P19="","",$P19-$S19)</f>
        <v>43740.6</v>
      </c>
      <c r="U19" s="17">
        <f aca="false">IF($T19="","",IF($B$10=0,"",$T19/$B$10))</f>
        <v>1735.738095238095238</v>
      </c>
      <c r="V19" s="17">
        <f aca="false">IF($P19="","",IF($B$10=0,"",$P19/$B$10))</f>
        <v>1928.555555555555555</v>
      </c>
      <c r="W19" s="19">
        <f aca="false">IF($T19="",1000000000000000,$T19)</f>
        <v>43740.6</v>
      </c>
      <c r="XFB19" s="6"/>
      <c r="XFC19" s="3"/>
    </row>
    <row r="20" s="22" collapsed="false" customFormat="true" customHeight="true" hidden="false" ht="28.5" outlineLevel="0">
      <c r="A20" s="16">
        <f aca="false">IF($T20="","",1+COUNTIF($W$15:$W$895,"&lt;"&amp;W20))</f>
        <v>6</v>
      </c>
      <c r="B20" s="16" t="s">
        <v>6</v>
      </c>
      <c r="C20" s="16" t="s">
        <v>1467</v>
      </c>
      <c r="D20" s="16" t="s">
        <v>61</v>
      </c>
      <c r="E20" s="16" t="s">
        <v>62</v>
      </c>
      <c r="F20" s="16" t="s">
        <v>1468</v>
      </c>
      <c r="G20" s="17">
        <v>1778</v>
      </c>
      <c r="H20" s="17">
        <v>2118</v>
      </c>
      <c r="I20" s="17"/>
      <c r="J20" s="17">
        <v>1785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1778</v>
      </c>
      <c r="M20" s="17">
        <f aca="false">IF($H20="","",$H20+$K20)</f>
        <v>2118</v>
      </c>
      <c r="N20" s="17">
        <f aca="false">IF($J20="","",$J20+$K20)</f>
        <v>1785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24,892원 / 고급유 23,722원</v>
      </c>
      <c r="P20" s="17">
        <f aca="false">IF($B$10=0,"",IFERROR(IF($B$4&gt;0,IF($L20="",1/0,$L20*$B$4),0)+IF($B$5&gt;0,IF($M20="",1/0,$M20*$B$5),0)+IF($B$6&gt;0,IF($N20="",1/0,$N20*$B$6),0),""))</f>
        <v>48613.6</v>
      </c>
      <c r="Q20" s="17" t="s">
        <v>54</v>
      </c>
      <c r="R20" s="18">
        <f aca="false">IF($P20="","",IF($Q20="Y",IFERROR(VLOOKUP($B20,$C$4:$D$13,2,FALSE()),0),0))</f>
        <v>0.1</v>
      </c>
      <c r="S20" s="17">
        <f aca="false">IF($P20="","",ROUNDDOWN($P20*$R20,0))</f>
        <v>4861</v>
      </c>
      <c r="T20" s="17">
        <f aca="false">IF($P20="","",$P20-$S20)</f>
        <v>43752.6</v>
      </c>
      <c r="U20" s="17">
        <f aca="false">IF($T20="","",IF($B$10=0,"",$T20/$B$10))</f>
        <v>1736.214285714285714</v>
      </c>
      <c r="V20" s="17">
        <f aca="false">IF($P20="","",IF($B$10=0,"",$P20/$B$10))</f>
        <v>1929.111111111111111</v>
      </c>
      <c r="W20" s="19">
        <f aca="false">IF($T20="",1000000000000000,$T20)</f>
        <v>43752.6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IF($T21="","",1+COUNTIF($W$15:$W$895,"&lt;"&amp;W21))</f>
        <v>7</v>
      </c>
      <c r="B21" s="16" t="s">
        <v>6</v>
      </c>
      <c r="C21" s="16" t="s">
        <v>1491</v>
      </c>
      <c r="D21" s="16" t="s">
        <v>61</v>
      </c>
      <c r="E21" s="16" t="s">
        <v>26</v>
      </c>
      <c r="F21" s="16" t="s">
        <v>1492</v>
      </c>
      <c r="G21" s="17">
        <v>1770</v>
      </c>
      <c r="H21" s="17">
        <v>2130</v>
      </c>
      <c r="I21" s="17"/>
      <c r="J21" s="17">
        <v>1760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1770</v>
      </c>
      <c r="M21" s="17">
        <f aca="false">IF($H21="","",$H21+$K21)</f>
        <v>2130</v>
      </c>
      <c r="N21" s="17">
        <f aca="false">IF($J21="","",$J21+$K21)</f>
        <v>1760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24,780원 / 고급유 23,856원</v>
      </c>
      <c r="P21" s="17">
        <f aca="false">IF($B$10=0,"",IFERROR(IF($B$4&gt;0,IF($L21="",1/0,$L21*$B$4),0)+IF($B$5&gt;0,IF($M21="",1/0,$M21*$B$5),0)+IF($B$6&gt;0,IF($N21="",1/0,$N21*$B$6),0),""))</f>
        <v>48636</v>
      </c>
      <c r="Q21" s="17" t="s">
        <v>54</v>
      </c>
      <c r="R21" s="18">
        <f aca="false">IF($P21="","",IF($Q21="Y",IFERROR(VLOOKUP($B21,$C$4:$D$13,2,FALSE()),0),0))</f>
        <v>0.1</v>
      </c>
      <c r="S21" s="17">
        <f aca="false">IF($P21="","",ROUNDDOWN($P21*$R21,0))</f>
        <v>4863</v>
      </c>
      <c r="T21" s="17">
        <f aca="false">IF($P21="","",$P21-$S21)</f>
        <v>43773</v>
      </c>
      <c r="U21" s="17">
        <f aca="false">IF($T21="","",IF($B$10=0,"",$T21/$B$10))</f>
        <v>1737.023809523809523</v>
      </c>
      <c r="V21" s="17">
        <f aca="false">IF($P21="","",IF($B$10=0,"",$P21/$B$10))</f>
        <v>1930</v>
      </c>
      <c r="W21" s="19">
        <f aca="false">IF($T21="",1000000000000000,$T21)</f>
        <v>43773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IF($T22="","",1+COUNTIF($W$15:$W$895,"&lt;"&amp;W22))</f>
        <v>8</v>
      </c>
      <c r="B22" s="16" t="s">
        <v>6</v>
      </c>
      <c r="C22" s="16" t="s">
        <v>1485</v>
      </c>
      <c r="D22" s="16" t="s">
        <v>61</v>
      </c>
      <c r="E22" s="16" t="s">
        <v>26</v>
      </c>
      <c r="F22" s="16" t="s">
        <v>1486</v>
      </c>
      <c r="G22" s="17">
        <v>1770</v>
      </c>
      <c r="H22" s="17">
        <v>2137</v>
      </c>
      <c r="I22" s="17"/>
      <c r="J22" s="17">
        <v>1750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1770</v>
      </c>
      <c r="M22" s="17">
        <f aca="false">IF($H22="","",$H22+$K22)</f>
        <v>2137</v>
      </c>
      <c r="N22" s="17">
        <f aca="false">IF($J22="","",$J22+$K22)</f>
        <v>1750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24,780원 / 고급유 23,934원</v>
      </c>
      <c r="P22" s="17">
        <f aca="false">IF($B$10=0,"",IFERROR(IF($B$4&gt;0,IF($L22="",1/0,$L22*$B$4),0)+IF($B$5&gt;0,IF($M22="",1/0,$M22*$B$5),0)+IF($B$6&gt;0,IF($N22="",1/0,$N22*$B$6),0),""))</f>
        <v>48714.4</v>
      </c>
      <c r="Q22" s="17" t="s">
        <v>54</v>
      </c>
      <c r="R22" s="18">
        <f aca="false">IF($P22="","",IF($Q22="Y",IFERROR(VLOOKUP($B22,$C$4:$D$13,2,FALSE()),0),0))</f>
        <v>0.1</v>
      </c>
      <c r="S22" s="17">
        <f aca="false">IF($P22="","",ROUNDDOWN($P22*$R22,0))</f>
        <v>4871</v>
      </c>
      <c r="T22" s="17">
        <f aca="false">IF($P22="","",$P22-$S22)</f>
        <v>43843.4</v>
      </c>
      <c r="U22" s="17">
        <f aca="false">IF($T22="","",IF($B$10=0,"",$T22/$B$10))</f>
        <v>1739.817460317460317</v>
      </c>
      <c r="V22" s="17">
        <f aca="false">IF($P22="","",IF($B$10=0,"",$P22/$B$10))</f>
        <v>1933.111111111111111</v>
      </c>
      <c r="W22" s="19">
        <f aca="false">IF($T22="",1000000000000000,$T22)</f>
        <v>43843.4</v>
      </c>
      <c r="XFB22" s="6"/>
      <c r="XFC22" s="3"/>
    </row>
    <row r="23" s="22" collapsed="false" customFormat="true" customHeight="true" hidden="false" ht="28.5" outlineLevel="0">
      <c r="A23" s="16">
        <f aca="false">IF($T23="","",1+COUNTIF($W$15:$W$895,"&lt;"&amp;W23))</f>
        <v>9</v>
      </c>
      <c r="B23" s="16" t="s">
        <v>6</v>
      </c>
      <c r="C23" s="16" t="s">
        <v>1499</v>
      </c>
      <c r="D23" s="16" t="s">
        <v>61</v>
      </c>
      <c r="E23" s="16" t="s">
        <v>26</v>
      </c>
      <c r="F23" s="16" t="s">
        <v>1500</v>
      </c>
      <c r="G23" s="17">
        <v>1798</v>
      </c>
      <c r="H23" s="17">
        <v>2134</v>
      </c>
      <c r="I23" s="17"/>
      <c r="J23" s="17">
        <v>1774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1798</v>
      </c>
      <c r="M23" s="17">
        <f aca="false">IF($H23="","",$H23+$K23)</f>
        <v>2134</v>
      </c>
      <c r="N23" s="17">
        <f aca="false">IF($J23="","",$J23+$K23)</f>
        <v>1774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25,172원 / 고급유 23,901원</v>
      </c>
      <c r="P23" s="17">
        <f aca="false">IF($B$10=0,"",IFERROR(IF($B$4&gt;0,IF($L23="",1/0,$L23*$B$4),0)+IF($B$5&gt;0,IF($M23="",1/0,$M23*$B$5),0)+IF($B$6&gt;0,IF($N23="",1/0,$N23*$B$6),0),""))</f>
        <v>49072.8</v>
      </c>
      <c r="Q23" s="17" t="s">
        <v>54</v>
      </c>
      <c r="R23" s="18">
        <f aca="false">IF($P23="","",IF($Q23="Y",IFERROR(VLOOKUP($B23,$C$4:$D$13,2,FALSE()),0),0))</f>
        <v>0.1</v>
      </c>
      <c r="S23" s="17">
        <f aca="false">IF($P23="","",ROUNDDOWN($P23*$R23,0))</f>
        <v>4907</v>
      </c>
      <c r="T23" s="17">
        <f aca="false">IF($P23="","",$P23-$S23)</f>
        <v>44165.8</v>
      </c>
      <c r="U23" s="17">
        <f aca="false">IF($T23="","",IF($B$10=0,"",$T23/$B$10))</f>
        <v>1752.611111111111111</v>
      </c>
      <c r="V23" s="17">
        <f aca="false">IF($P23="","",IF($B$10=0,"",$P23/$B$10))</f>
        <v>1947.333333333333333</v>
      </c>
      <c r="W23" s="19">
        <f aca="false">IF($T23="",1000000000000000,$T23)</f>
        <v>44165.8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IF($T24="","",1+COUNTIF($W$15:$W$895,"&lt;"&amp;W24))</f>
        <v>10</v>
      </c>
      <c r="B24" s="16" t="s">
        <v>16</v>
      </c>
      <c r="C24" s="16" t="s">
        <v>662</v>
      </c>
      <c r="D24" s="16" t="s">
        <v>58</v>
      </c>
      <c r="E24" s="16" t="s">
        <v>26</v>
      </c>
      <c r="F24" s="16" t="s">
        <v>663</v>
      </c>
      <c r="G24" s="17">
        <v>1899</v>
      </c>
      <c r="H24" s="17">
        <v>2130</v>
      </c>
      <c r="I24" s="17"/>
      <c r="J24" s="17">
        <v>1899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1899</v>
      </c>
      <c r="M24" s="17">
        <f aca="false">IF($H24="","",$H24+$K24)</f>
        <v>2130</v>
      </c>
      <c r="N24" s="17">
        <f aca="false">IF($J24="","",$J24+$K24)</f>
        <v>1899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26,586원 / 고급유 23,856원</v>
      </c>
      <c r="P24" s="17">
        <f aca="false">IF($B$10=0,"",IFERROR(IF($B$4&gt;0,IF($L24="",1/0,$L24*$B$4),0)+IF($B$5&gt;0,IF($M24="",1/0,$M24*$B$5),0)+IF($B$6&gt;0,IF($N24="",1/0,$N24*$B$6),0),""))</f>
        <v>50442</v>
      </c>
      <c r="Q24" s="17" t="s">
        <v>54</v>
      </c>
      <c r="R24" s="18">
        <f aca="false">IF($P24="","",IF($Q24="Y",IFERROR(VLOOKUP($B24,$C$4:$D$13,2,FALSE()),0),0))</f>
        <v>0.12</v>
      </c>
      <c r="S24" s="17">
        <f aca="false">IF($P24="","",ROUNDDOWN($P24*$R24,0))</f>
        <v>6053</v>
      </c>
      <c r="T24" s="17">
        <f aca="false">IF($P24="","",$P24-$S24)</f>
        <v>44389</v>
      </c>
      <c r="U24" s="17">
        <f aca="false">IF($T24="","",IF($B$10=0,"",$T24/$B$10))</f>
        <v>1761.468253968253968</v>
      </c>
      <c r="V24" s="17">
        <f aca="false">IF($P24="","",IF($B$10=0,"",$P24/$B$10))</f>
        <v>2001.666666666666666</v>
      </c>
      <c r="W24" s="19">
        <f aca="false">IF($T24="",1000000000000000,$T24)</f>
        <v>44389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IF($T25="","",1+COUNTIF($W$15:$W$895,"&lt;"&amp;W25))</f>
        <v>11</v>
      </c>
      <c r="B25" s="16" t="s">
        <v>6</v>
      </c>
      <c r="C25" s="16" t="s">
        <v>250</v>
      </c>
      <c r="D25" s="21" t="s">
        <v>81</v>
      </c>
      <c r="E25" s="16" t="s">
        <v>26</v>
      </c>
      <c r="F25" s="16" t="s">
        <v>251</v>
      </c>
      <c r="G25" s="17">
        <v>1895</v>
      </c>
      <c r="H25" s="17">
        <v>2050</v>
      </c>
      <c r="I25" s="17"/>
      <c r="J25" s="17">
        <v>1895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1895</v>
      </c>
      <c r="M25" s="17">
        <f aca="false">IF($H25="","",$H25+$K25)</f>
        <v>2050</v>
      </c>
      <c r="N25" s="17">
        <f aca="false">IF($J25="","",$J25+$K25)</f>
        <v>1895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26,530원 / 고급유 22,960원</v>
      </c>
      <c r="P25" s="17">
        <f aca="false">IF($B$10=0,"",IFERROR(IF($B$4&gt;0,IF($L25="",1/0,$L25*$B$4),0)+IF($B$5&gt;0,IF($M25="",1/0,$M25*$B$5),0)+IF($B$6&gt;0,IF($N25="",1/0,$N25*$B$6),0),""))</f>
        <v>49490</v>
      </c>
      <c r="Q25" s="17" t="s">
        <v>54</v>
      </c>
      <c r="R25" s="18">
        <f aca="false">IF($P25="","",IF($Q25="Y",IFERROR(VLOOKUP($B25,$C$4:$D$13,2,FALSE()),0),0))</f>
        <v>0.1</v>
      </c>
      <c r="S25" s="17">
        <f aca="false">IF($P25="","",ROUNDDOWN($P25*$R25,0))</f>
        <v>4949</v>
      </c>
      <c r="T25" s="17">
        <f aca="false">IF($P25="","",$P25-$S25)</f>
        <v>44541</v>
      </c>
      <c r="U25" s="17">
        <f aca="false">IF($T25="","",IF($B$10=0,"",$T25/$B$10))</f>
        <v>1767.5</v>
      </c>
      <c r="V25" s="17">
        <f aca="false">IF($P25="","",IF($B$10=0,"",$P25/$B$10))</f>
        <v>1963.888888888888888</v>
      </c>
      <c r="W25" s="19">
        <f aca="false">IF($T25="",1000000000000000,$T25)</f>
        <v>44541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IF($T26="","",1+COUNTIF($W$15:$W$895,"&lt;"&amp;W26))</f>
        <v>12</v>
      </c>
      <c r="B26" s="16" t="s">
        <v>16</v>
      </c>
      <c r="C26" s="16" t="s">
        <v>1404</v>
      </c>
      <c r="D26" s="16" t="s">
        <v>61</v>
      </c>
      <c r="E26" s="16" t="s">
        <v>26</v>
      </c>
      <c r="F26" s="16" t="s">
        <v>1405</v>
      </c>
      <c r="G26" s="17">
        <v>1890</v>
      </c>
      <c r="H26" s="17">
        <v>2170</v>
      </c>
      <c r="I26" s="17"/>
      <c r="J26" s="17">
        <v>1890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1890</v>
      </c>
      <c r="M26" s="17">
        <f aca="false">IF($H26="","",$H26+$K26)</f>
        <v>2170</v>
      </c>
      <c r="N26" s="17">
        <f aca="false">IF($J26="","",$J26+$K26)</f>
        <v>1890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26,460원 / 고급유 24,304원</v>
      </c>
      <c r="P26" s="17">
        <f aca="false">IF($B$10=0,"",IFERROR(IF($B$4&gt;0,IF($L26="",1/0,$L26*$B$4),0)+IF($B$5&gt;0,IF($M26="",1/0,$M26*$B$5),0)+IF($B$6&gt;0,IF($N26="",1/0,$N26*$B$6),0),""))</f>
        <v>50764</v>
      </c>
      <c r="Q26" s="17" t="s">
        <v>54</v>
      </c>
      <c r="R26" s="18">
        <f aca="false">IF($P26="","",IF($Q26="Y",IFERROR(VLOOKUP($B26,$C$4:$D$13,2,FALSE()),0),0))</f>
        <v>0.12</v>
      </c>
      <c r="S26" s="17">
        <f aca="false">IF($P26="","",ROUNDDOWN($P26*$R26,0))</f>
        <v>6091</v>
      </c>
      <c r="T26" s="17">
        <f aca="false">IF($P26="","",$P26-$S26)</f>
        <v>44673</v>
      </c>
      <c r="U26" s="17">
        <f aca="false">IF($T26="","",IF($B$10=0,"",$T26/$B$10))</f>
        <v>1772.738095238095238</v>
      </c>
      <c r="V26" s="17">
        <f aca="false">IF($P26="","",IF($B$10=0,"",$P26/$B$10))</f>
        <v>2014.444444444444444</v>
      </c>
      <c r="W26" s="19">
        <f aca="false">IF($T26="",1000000000000000,$T26)</f>
        <v>44673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IF($T27="","",1+COUNTIF($W$15:$W$895,"&lt;"&amp;W27))</f>
        <v>13</v>
      </c>
      <c r="B27" s="16" t="s">
        <v>6</v>
      </c>
      <c r="C27" s="16" t="s">
        <v>336</v>
      </c>
      <c r="D27" s="16" t="s">
        <v>45</v>
      </c>
      <c r="E27" s="16" t="s">
        <v>26</v>
      </c>
      <c r="F27" s="16" t="s">
        <v>337</v>
      </c>
      <c r="G27" s="17">
        <v>1867</v>
      </c>
      <c r="H27" s="17">
        <v>2099</v>
      </c>
      <c r="I27" s="17"/>
      <c r="J27" s="17">
        <v>1843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1867</v>
      </c>
      <c r="M27" s="17">
        <f aca="false">IF($H27="","",$H27+$K27)</f>
        <v>2099</v>
      </c>
      <c r="N27" s="17">
        <f aca="false">IF($J27="","",$J27+$K27)</f>
        <v>1843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26,138원 / 고급유 23,509원</v>
      </c>
      <c r="P27" s="17">
        <f aca="false">IF($B$10=0,"",IFERROR(IF($B$4&gt;0,IF($L27="",1/0,$L27*$B$4),0)+IF($B$5&gt;0,IF($M27="",1/0,$M27*$B$5),0)+IF($B$6&gt;0,IF($N27="",1/0,$N27*$B$6),0),""))</f>
        <v>49646.8</v>
      </c>
      <c r="Q27" s="17" t="s">
        <v>54</v>
      </c>
      <c r="R27" s="18">
        <f aca="false">IF($P27="","",IF($Q27="Y",IFERROR(VLOOKUP($B27,$C$4:$D$13,2,FALSE()),0),0))</f>
        <v>0.1</v>
      </c>
      <c r="S27" s="17">
        <f aca="false">IF($P27="","",ROUNDDOWN($P27*$R27,0))</f>
        <v>4964</v>
      </c>
      <c r="T27" s="17">
        <f aca="false">IF($P27="","",$P27-$S27)</f>
        <v>44682.8</v>
      </c>
      <c r="U27" s="17">
        <f aca="false">IF($T27="","",IF($B$10=0,"",$T27/$B$10))</f>
        <v>1773.126984126984126</v>
      </c>
      <c r="V27" s="17">
        <f aca="false">IF($P27="","",IF($B$10=0,"",$P27/$B$10))</f>
        <v>1970.111111111111111</v>
      </c>
      <c r="W27" s="19">
        <f aca="false">IF($T27="",1000000000000000,$T27)</f>
        <v>44682.8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IF($T28="","",1+COUNTIF($W$15:$W$895,"&lt;"&amp;W28))</f>
        <v>13</v>
      </c>
      <c r="B28" s="16" t="s">
        <v>6</v>
      </c>
      <c r="C28" s="16" t="s">
        <v>1363</v>
      </c>
      <c r="D28" s="16" t="s">
        <v>45</v>
      </c>
      <c r="E28" s="16" t="s">
        <v>26</v>
      </c>
      <c r="F28" s="16" t="s">
        <v>1364</v>
      </c>
      <c r="G28" s="17">
        <v>1867</v>
      </c>
      <c r="H28" s="17">
        <v>2099</v>
      </c>
      <c r="I28" s="17"/>
      <c r="J28" s="17">
        <v>1843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1867</v>
      </c>
      <c r="M28" s="17">
        <f aca="false">IF($H28="","",$H28+$K28)</f>
        <v>2099</v>
      </c>
      <c r="N28" s="17">
        <f aca="false">IF($J28="","",$J28+$K28)</f>
        <v>1843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26,138원 / 고급유 23,509원</v>
      </c>
      <c r="P28" s="17">
        <f aca="false">IF($B$10=0,"",IFERROR(IF($B$4&gt;0,IF($L28="",1/0,$L28*$B$4),0)+IF($B$5&gt;0,IF($M28="",1/0,$M28*$B$5),0)+IF($B$6&gt;0,IF($N28="",1/0,$N28*$B$6),0),""))</f>
        <v>49646.8</v>
      </c>
      <c r="Q28" s="17" t="s">
        <v>54</v>
      </c>
      <c r="R28" s="18">
        <f aca="false">IF($P28="","",IF($Q28="Y",IFERROR(VLOOKUP($B28,$C$4:$D$13,2,FALSE()),0),0))</f>
        <v>0.1</v>
      </c>
      <c r="S28" s="17">
        <f aca="false">IF($P28="","",ROUNDDOWN($P28*$R28,0))</f>
        <v>4964</v>
      </c>
      <c r="T28" s="17">
        <f aca="false">IF($P28="","",$P28-$S28)</f>
        <v>44682.8</v>
      </c>
      <c r="U28" s="17">
        <f aca="false">IF($T28="","",IF($B$10=0,"",$T28/$B$10))</f>
        <v>1773.126984126984126</v>
      </c>
      <c r="V28" s="17">
        <f aca="false">IF($P28="","",IF($B$10=0,"",$P28/$B$10))</f>
        <v>1970.111111111111111</v>
      </c>
      <c r="W28" s="19">
        <f aca="false">IF($T28="",1000000000000000,$T28)</f>
        <v>44682.8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IF($T29="","",1+COUNTIF($W$15:$W$895,"&lt;"&amp;W29))</f>
        <v>13</v>
      </c>
      <c r="B29" s="16" t="s">
        <v>6</v>
      </c>
      <c r="C29" s="16" t="s">
        <v>1552</v>
      </c>
      <c r="D29" s="16" t="s">
        <v>45</v>
      </c>
      <c r="E29" s="16" t="s">
        <v>26</v>
      </c>
      <c r="F29" s="16" t="s">
        <v>1553</v>
      </c>
      <c r="G29" s="17">
        <v>1867</v>
      </c>
      <c r="H29" s="17">
        <v>2099</v>
      </c>
      <c r="I29" s="17"/>
      <c r="J29" s="17">
        <v>1843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1867</v>
      </c>
      <c r="M29" s="17">
        <f aca="false">IF($H29="","",$H29+$K29)</f>
        <v>2099</v>
      </c>
      <c r="N29" s="17">
        <f aca="false">IF($J29="","",$J29+$K29)</f>
        <v>1843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26,138원 / 고급유 23,509원</v>
      </c>
      <c r="P29" s="17">
        <f aca="false">IF($B$10=0,"",IFERROR(IF($B$4&gt;0,IF($L29="",1/0,$L29*$B$4),0)+IF($B$5&gt;0,IF($M29="",1/0,$M29*$B$5),0)+IF($B$6&gt;0,IF($N29="",1/0,$N29*$B$6),0),""))</f>
        <v>49646.8</v>
      </c>
      <c r="Q29" s="17" t="s">
        <v>54</v>
      </c>
      <c r="R29" s="18">
        <f aca="false">IF($P29="","",IF($Q29="Y",IFERROR(VLOOKUP($B29,$C$4:$D$13,2,FALSE()),0),0))</f>
        <v>0.1</v>
      </c>
      <c r="S29" s="17">
        <f aca="false">IF($P29="","",ROUNDDOWN($P29*$R29,0))</f>
        <v>4964</v>
      </c>
      <c r="T29" s="17">
        <f aca="false">IF($P29="","",$P29-$S29)</f>
        <v>44682.8</v>
      </c>
      <c r="U29" s="17">
        <f aca="false">IF($T29="","",IF($B$10=0,"",$T29/$B$10))</f>
        <v>1773.126984126984126</v>
      </c>
      <c r="V29" s="17">
        <f aca="false">IF($P29="","",IF($B$10=0,"",$P29/$B$10))</f>
        <v>1970.111111111111111</v>
      </c>
      <c r="W29" s="19">
        <f aca="false">IF($T29="",1000000000000000,$T29)</f>
        <v>44682.8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IF($T30="","",1+COUNTIF($W$15:$W$895,"&lt;"&amp;W30))</f>
        <v>16</v>
      </c>
      <c r="B30" s="16" t="s">
        <v>6</v>
      </c>
      <c r="C30" s="16" t="s">
        <v>1735</v>
      </c>
      <c r="D30" s="16" t="s">
        <v>45</v>
      </c>
      <c r="E30" s="16" t="s">
        <v>62</v>
      </c>
      <c r="F30" s="16" t="s">
        <v>1736</v>
      </c>
      <c r="G30" s="17">
        <v>1774</v>
      </c>
      <c r="H30" s="17">
        <v>2239</v>
      </c>
      <c r="I30" s="17"/>
      <c r="J30" s="17">
        <v>1749</v>
      </c>
      <c r="K30" s="17">
        <f aca="false">IF(AND(IFERROR(SEARCH("현대오일뱅크",$C30),0)&gt;0,IFERROR(SEARCH("직영",$C30),0)&gt;0),$B$13,0)</f>
        <v>-10</v>
      </c>
      <c r="L30" s="17">
        <f aca="false">IF($G30="","",$G30+$K30)</f>
        <v>1764</v>
      </c>
      <c r="M30" s="17">
        <f aca="false">IF($H30="","",$H30+$K30)</f>
        <v>2229</v>
      </c>
      <c r="N30" s="17">
        <f aca="false">IF($J30="","",$J30+$K30)</f>
        <v>1739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24,696원 / 고급유 24,965원</v>
      </c>
      <c r="P30" s="17">
        <f aca="false">IF($B$10=0,"",IFERROR(IF($B$4&gt;0,IF($L30="",1/0,$L30*$B$4),0)+IF($B$5&gt;0,IF($M30="",1/0,$M30*$B$5),0)+IF($B$6&gt;0,IF($N30="",1/0,$N30*$B$6),0),""))</f>
        <v>49660.8</v>
      </c>
      <c r="Q30" s="17" t="s">
        <v>54</v>
      </c>
      <c r="R30" s="18">
        <f aca="false">IF($P30="","",IF($Q30="Y",IFERROR(VLOOKUP($B30,$C$4:$D$13,2,FALSE()),0),0))</f>
        <v>0.1</v>
      </c>
      <c r="S30" s="17">
        <f aca="false">IF($P30="","",ROUNDDOWN($P30*$R30,0))</f>
        <v>4966</v>
      </c>
      <c r="T30" s="17">
        <f aca="false">IF($P30="","",$P30-$S30)</f>
        <v>44694.8</v>
      </c>
      <c r="U30" s="17">
        <f aca="false">IF($T30="","",IF($B$10=0,"",$T30/$B$10))</f>
        <v>1773.603174603174603</v>
      </c>
      <c r="V30" s="17">
        <f aca="false">IF($P30="","",IF($B$10=0,"",$P30/$B$10))</f>
        <v>1970.666666666666666</v>
      </c>
      <c r="W30" s="19">
        <f aca="false">IF($T30="",1000000000000000,$T30)</f>
        <v>44694.8</v>
      </c>
      <c r="XFC30" s="3"/>
    </row>
    <row r="31" s="6" collapsed="false" customFormat="true" customHeight="true" hidden="false" ht="28.5" outlineLevel="0">
      <c r="A31" s="16">
        <f aca="false">IF($T31="","",1+COUNTIF($W$15:$W$895,"&lt;"&amp;W31))</f>
        <v>17</v>
      </c>
      <c r="B31" s="16" t="s">
        <v>6</v>
      </c>
      <c r="C31" s="16" t="s">
        <v>1758</v>
      </c>
      <c r="D31" s="16" t="s">
        <v>45</v>
      </c>
      <c r="E31" s="16" t="s">
        <v>26</v>
      </c>
      <c r="F31" s="16" t="s">
        <v>1759</v>
      </c>
      <c r="G31" s="17">
        <v>1959</v>
      </c>
      <c r="H31" s="17">
        <v>1994</v>
      </c>
      <c r="I31" s="17"/>
      <c r="J31" s="17">
        <v>1949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1959</v>
      </c>
      <c r="M31" s="17">
        <f aca="false">IF($H31="","",$H31+$K31)</f>
        <v>1994</v>
      </c>
      <c r="N31" s="17">
        <f aca="false">IF($J31="","",$J31+$K31)</f>
        <v>1949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27,426원 / 고급유 22,333원</v>
      </c>
      <c r="P31" s="17">
        <f aca="false">IF($B$10=0,"",IFERROR(IF($B$4&gt;0,IF($L31="",1/0,$L31*$B$4),0)+IF($B$5&gt;0,IF($M31="",1/0,$M31*$B$5),0)+IF($B$6&gt;0,IF($N31="",1/0,$N31*$B$6),0),""))</f>
        <v>49758.8</v>
      </c>
      <c r="Q31" s="17" t="s">
        <v>54</v>
      </c>
      <c r="R31" s="18">
        <f aca="false">IF($P31="","",IF($Q31="Y",IFERROR(VLOOKUP($B31,$C$4:$D$13,2,FALSE()),0),0))</f>
        <v>0.1</v>
      </c>
      <c r="S31" s="17">
        <f aca="false">IF($P31="","",ROUNDDOWN($P31*$R31,0))</f>
        <v>4975</v>
      </c>
      <c r="T31" s="17">
        <f aca="false">IF($P31="","",$P31-$S31)</f>
        <v>44783.8</v>
      </c>
      <c r="U31" s="17">
        <f aca="false">IF($T31="","",IF($B$10=0,"",$T31/$B$10))</f>
        <v>1777.134920634920634</v>
      </c>
      <c r="V31" s="17">
        <f aca="false">IF($P31="","",IF($B$10=0,"",$P31/$B$10))</f>
        <v>1974.555555555555555</v>
      </c>
      <c r="W31" s="19">
        <f aca="false">IF($T31="",1000000000000000,$T31)</f>
        <v>44783.8</v>
      </c>
      <c r="XFC31" s="3"/>
    </row>
    <row r="32" s="5" collapsed="false" customFormat="true" customHeight="true" hidden="false" ht="28.5" outlineLevel="0">
      <c r="A32" s="16">
        <f aca="false">IF($T32="","",1+COUNTIF($W$15:$W$895,"&lt;"&amp;W32))</f>
        <v>18</v>
      </c>
      <c r="B32" s="16" t="s">
        <v>6</v>
      </c>
      <c r="C32" s="16" t="s">
        <v>218</v>
      </c>
      <c r="D32" s="16" t="s">
        <v>45</v>
      </c>
      <c r="E32" s="16" t="s">
        <v>26</v>
      </c>
      <c r="F32" s="16" t="s">
        <v>219</v>
      </c>
      <c r="G32" s="17">
        <v>1784</v>
      </c>
      <c r="H32" s="17">
        <v>2237</v>
      </c>
      <c r="I32" s="17" t="s">
        <v>54</v>
      </c>
      <c r="J32" s="17">
        <v>1749</v>
      </c>
      <c r="K32" s="17">
        <f aca="false">IF(AND(IFERROR(SEARCH("현대오일뱅크",$C32),0)&gt;0,IFERROR(SEARCH("직영",$C32),0)&gt;0),$B$13,0)</f>
        <v>-10</v>
      </c>
      <c r="L32" s="17">
        <f aca="false">IF($G32="","",$G32+$K32)</f>
        <v>1774</v>
      </c>
      <c r="M32" s="17">
        <f aca="false">IF($H32="","",$H32+$K32)</f>
        <v>2227</v>
      </c>
      <c r="N32" s="17">
        <f aca="false">IF($J32="","",$J32+$K32)</f>
        <v>1739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24,836원 / 고급유 24,942원</v>
      </c>
      <c r="P32" s="17">
        <f aca="false">IF($B$10=0,"",IFERROR(IF($B$4&gt;0,IF($L32="",1/0,$L32*$B$4),0)+IF($B$5&gt;0,IF($M32="",1/0,$M32*$B$5),0)+IF($B$6&gt;0,IF($N32="",1/0,$N32*$B$6),0),""))</f>
        <v>49778.4</v>
      </c>
      <c r="Q32" s="17" t="s">
        <v>54</v>
      </c>
      <c r="R32" s="18">
        <f aca="false">IF($P32="","",IF($Q32="Y",IFERROR(VLOOKUP($B32,$C$4:$D$13,2,FALSE()),0),0))</f>
        <v>0.1</v>
      </c>
      <c r="S32" s="17">
        <f aca="false">IF($P32="","",ROUNDDOWN($P32*$R32,0))</f>
        <v>4977</v>
      </c>
      <c r="T32" s="17">
        <f aca="false">IF($P32="","",$P32-$S32)</f>
        <v>44801.4</v>
      </c>
      <c r="U32" s="17">
        <f aca="false">IF($T32="","",IF($B$10=0,"",$T32/$B$10))</f>
        <v>1777.833333333333333</v>
      </c>
      <c r="V32" s="17">
        <f aca="false">IF($P32="","",IF($B$10=0,"",$P32/$B$10))</f>
        <v>1975.333333333333333</v>
      </c>
      <c r="W32" s="19">
        <f aca="false">IF($T32="",1000000000000000,$T32)</f>
        <v>44801.4</v>
      </c>
      <c r="XFB32" s="6"/>
      <c r="XFC32" s="3"/>
    </row>
    <row r="33" s="6" collapsed="false" customFormat="true" customHeight="true" hidden="false" ht="28.5" outlineLevel="0">
      <c r="A33" s="16">
        <f aca="false">IF($T33="","",1+COUNTIF($W$15:$W$895,"&lt;"&amp;W33))</f>
        <v>18</v>
      </c>
      <c r="B33" s="16" t="s">
        <v>6</v>
      </c>
      <c r="C33" s="16" t="s">
        <v>216</v>
      </c>
      <c r="D33" s="16" t="s">
        <v>45</v>
      </c>
      <c r="E33" s="16" t="s">
        <v>62</v>
      </c>
      <c r="F33" s="16" t="s">
        <v>217</v>
      </c>
      <c r="G33" s="17">
        <v>1784</v>
      </c>
      <c r="H33" s="17">
        <v>2237</v>
      </c>
      <c r="I33" s="17" t="s">
        <v>54</v>
      </c>
      <c r="J33" s="17">
        <v>1762</v>
      </c>
      <c r="K33" s="17">
        <f aca="false">IF(AND(IFERROR(SEARCH("현대오일뱅크",$C33),0)&gt;0,IFERROR(SEARCH("직영",$C33),0)&gt;0),$B$13,0)</f>
        <v>-10</v>
      </c>
      <c r="L33" s="17">
        <f aca="false">IF($G33="","",$G33+$K33)</f>
        <v>1774</v>
      </c>
      <c r="M33" s="17">
        <f aca="false">IF($H33="","",$H33+$K33)</f>
        <v>2227</v>
      </c>
      <c r="N33" s="17">
        <f aca="false">IF($J33="","",$J33+$K33)</f>
        <v>1752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24,836원 / 고급유 24,942원</v>
      </c>
      <c r="P33" s="17">
        <f aca="false">IF($B$10=0,"",IFERROR(IF($B$4&gt;0,IF($L33="",1/0,$L33*$B$4),0)+IF($B$5&gt;0,IF($M33="",1/0,$M33*$B$5),0)+IF($B$6&gt;0,IF($N33="",1/0,$N33*$B$6),0),""))</f>
        <v>49778.4</v>
      </c>
      <c r="Q33" s="17" t="s">
        <v>54</v>
      </c>
      <c r="R33" s="18">
        <f aca="false">IF($P33="","",IF($Q33="Y",IFERROR(VLOOKUP($B33,$C$4:$D$13,2,FALSE()),0),0))</f>
        <v>0.1</v>
      </c>
      <c r="S33" s="17">
        <f aca="false">IF($P33="","",ROUNDDOWN($P33*$R33,0))</f>
        <v>4977</v>
      </c>
      <c r="T33" s="17">
        <f aca="false">IF($P33="","",$P33-$S33)</f>
        <v>44801.4</v>
      </c>
      <c r="U33" s="17">
        <f aca="false">IF($T33="","",IF($B$10=0,"",$T33/$B$10))</f>
        <v>1777.833333333333333</v>
      </c>
      <c r="V33" s="17">
        <f aca="false">IF($P33="","",IF($B$10=0,"",$P33/$B$10))</f>
        <v>1975.333333333333333</v>
      </c>
      <c r="W33" s="19">
        <f aca="false">IF($T33="",1000000000000000,$T33)</f>
        <v>44801.4</v>
      </c>
      <c r="XFC33" s="3"/>
    </row>
    <row r="34" s="5" collapsed="false" customFormat="true" customHeight="true" hidden="false" ht="28.5" outlineLevel="0">
      <c r="A34" s="16">
        <f aca="false">IF($T34="","",1+COUNTIF($W$15:$W$895,"&lt;"&amp;W34))</f>
        <v>20</v>
      </c>
      <c r="B34" s="16" t="s">
        <v>6</v>
      </c>
      <c r="C34" s="16" t="s">
        <v>204</v>
      </c>
      <c r="D34" s="16" t="s">
        <v>45</v>
      </c>
      <c r="E34" s="16" t="s">
        <v>62</v>
      </c>
      <c r="F34" s="16" t="s">
        <v>205</v>
      </c>
      <c r="G34" s="17">
        <v>1764</v>
      </c>
      <c r="H34" s="17">
        <v>2271</v>
      </c>
      <c r="I34" s="17"/>
      <c r="J34" s="17">
        <v>1735</v>
      </c>
      <c r="K34" s="17">
        <f aca="false">IF(AND(IFERROR(SEARCH("현대오일뱅크",$C34),0)&gt;0,IFERROR(SEARCH("직영",$C34),0)&gt;0),$B$13,0)</f>
        <v>-10</v>
      </c>
      <c r="L34" s="17">
        <f aca="false">IF($G34="","",$G34+$K34)</f>
        <v>1754</v>
      </c>
      <c r="M34" s="17">
        <f aca="false">IF($H34="","",$H34+$K34)</f>
        <v>2261</v>
      </c>
      <c r="N34" s="17">
        <f aca="false">IF($J34="","",$J34+$K34)</f>
        <v>1725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24,556원 / 고급유 25,323원</v>
      </c>
      <c r="P34" s="17">
        <f aca="false">IF($B$10=0,"",IFERROR(IF($B$4&gt;0,IF($L34="",1/0,$L34*$B$4),0)+IF($B$5&gt;0,IF($M34="",1/0,$M34*$B$5),0)+IF($B$6&gt;0,IF($N34="",1/0,$N34*$B$6),0),""))</f>
        <v>49879.2</v>
      </c>
      <c r="Q34" s="17" t="s">
        <v>54</v>
      </c>
      <c r="R34" s="18">
        <f aca="false">IF($P34="","",IF($Q34="Y",IFERROR(VLOOKUP($B34,$C$4:$D$13,2,FALSE()),0),0))</f>
        <v>0.1</v>
      </c>
      <c r="S34" s="17">
        <f aca="false">IF($P34="","",ROUNDDOWN($P34*$R34,0))</f>
        <v>4987</v>
      </c>
      <c r="T34" s="17">
        <f aca="false">IF($P34="","",$P34-$S34)</f>
        <v>44892.2</v>
      </c>
      <c r="U34" s="17">
        <f aca="false">IF($T34="","",IF($B$10=0,"",$T34/$B$10))</f>
        <v>1781.436507936507936</v>
      </c>
      <c r="V34" s="17">
        <f aca="false">IF($P34="","",IF($B$10=0,"",$P34/$B$10))</f>
        <v>1979.333333333333333</v>
      </c>
      <c r="W34" s="19">
        <f aca="false">IF($T34="",1000000000000000,$T34)</f>
        <v>44892.2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IF($T35="","",1+COUNTIF($W$15:$W$895,"&lt;"&amp;W35))</f>
        <v>21</v>
      </c>
      <c r="B35" s="16" t="s">
        <v>6</v>
      </c>
      <c r="C35" s="16" t="s">
        <v>198</v>
      </c>
      <c r="D35" s="16" t="s">
        <v>45</v>
      </c>
      <c r="E35" s="16" t="s">
        <v>62</v>
      </c>
      <c r="F35" s="16" t="s">
        <v>199</v>
      </c>
      <c r="G35" s="17">
        <v>1784</v>
      </c>
      <c r="H35" s="17">
        <v>2247</v>
      </c>
      <c r="I35" s="17" t="s">
        <v>54</v>
      </c>
      <c r="J35" s="17">
        <v>1749</v>
      </c>
      <c r="K35" s="17">
        <f aca="false">IF(AND(IFERROR(SEARCH("현대오일뱅크",$C35),0)&gt;0,IFERROR(SEARCH("직영",$C35),0)&gt;0),$B$13,0)</f>
        <v>-10</v>
      </c>
      <c r="L35" s="17">
        <f aca="false">IF($G35="","",$G35+$K35)</f>
        <v>1774</v>
      </c>
      <c r="M35" s="17">
        <f aca="false">IF($H35="","",$H35+$K35)</f>
        <v>2237</v>
      </c>
      <c r="N35" s="17">
        <f aca="false">IF($J35="","",$J35+$K35)</f>
        <v>1739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24,836원 / 고급유 25,054원</v>
      </c>
      <c r="P35" s="17">
        <f aca="false">IF($B$10=0,"",IFERROR(IF($B$4&gt;0,IF($L35="",1/0,$L35*$B$4),0)+IF($B$5&gt;0,IF($M35="",1/0,$M35*$B$5),0)+IF($B$6&gt;0,IF($N35="",1/0,$N35*$B$6),0),""))</f>
        <v>49890.4</v>
      </c>
      <c r="Q35" s="17" t="s">
        <v>54</v>
      </c>
      <c r="R35" s="18">
        <f aca="false">IF($P35="","",IF($Q35="Y",IFERROR(VLOOKUP($B35,$C$4:$D$13,2,FALSE()),0),0))</f>
        <v>0.1</v>
      </c>
      <c r="S35" s="17">
        <f aca="false">IF($P35="","",ROUNDDOWN($P35*$R35,0))</f>
        <v>4989</v>
      </c>
      <c r="T35" s="17">
        <f aca="false">IF($P35="","",$P35-$S35)</f>
        <v>44901.4</v>
      </c>
      <c r="U35" s="17">
        <f aca="false">IF($T35="","",IF($B$10=0,"",$T35/$B$10))</f>
        <v>1781.801587301587301</v>
      </c>
      <c r="V35" s="17">
        <f aca="false">IF($P35="","",IF($B$10=0,"",$P35/$B$10))</f>
        <v>1979.777777777777777</v>
      </c>
      <c r="W35" s="19">
        <f aca="false">IF($T35="",1000000000000000,$T35)</f>
        <v>44901.4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IF($T36="","",1+COUNTIF($W$15:$W$895,"&lt;"&amp;W36))</f>
        <v>22</v>
      </c>
      <c r="B36" s="16" t="s">
        <v>6</v>
      </c>
      <c r="C36" s="16" t="s">
        <v>206</v>
      </c>
      <c r="D36" s="16" t="s">
        <v>45</v>
      </c>
      <c r="E36" s="16" t="s">
        <v>26</v>
      </c>
      <c r="F36" s="16" t="s">
        <v>207</v>
      </c>
      <c r="G36" s="17">
        <v>1784</v>
      </c>
      <c r="H36" s="17">
        <v>2248</v>
      </c>
      <c r="I36" s="17" t="s">
        <v>54</v>
      </c>
      <c r="J36" s="17">
        <v>1762</v>
      </c>
      <c r="K36" s="17">
        <f aca="false">IF(AND(IFERROR(SEARCH("현대오일뱅크",$C36),0)&gt;0,IFERROR(SEARCH("직영",$C36),0)&gt;0),$B$13,0)</f>
        <v>-10</v>
      </c>
      <c r="L36" s="17">
        <f aca="false">IF($G36="","",$G36+$K36)</f>
        <v>1774</v>
      </c>
      <c r="M36" s="17">
        <f aca="false">IF($H36="","",$H36+$K36)</f>
        <v>2238</v>
      </c>
      <c r="N36" s="17">
        <f aca="false">IF($J36="","",$J36+$K36)</f>
        <v>1752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24,836원 / 고급유 25,066원</v>
      </c>
      <c r="P36" s="17">
        <f aca="false">IF($B$10=0,"",IFERROR(IF($B$4&gt;0,IF($L36="",1/0,$L36*$B$4),0)+IF($B$5&gt;0,IF($M36="",1/0,$M36*$B$5),0)+IF($B$6&gt;0,IF($N36="",1/0,$N36*$B$6),0),""))</f>
        <v>49901.6</v>
      </c>
      <c r="Q36" s="17" t="s">
        <v>54</v>
      </c>
      <c r="R36" s="18">
        <f aca="false">IF($P36="","",IF($Q36="Y",IFERROR(VLOOKUP($B36,$C$4:$D$13,2,FALSE()),0),0))</f>
        <v>0.1</v>
      </c>
      <c r="S36" s="17">
        <f aca="false">IF($P36="","",ROUNDDOWN($P36*$R36,0))</f>
        <v>4990</v>
      </c>
      <c r="T36" s="17">
        <f aca="false">IF($P36="","",$P36-$S36)</f>
        <v>44911.6</v>
      </c>
      <c r="U36" s="17">
        <f aca="false">IF($T36="","",IF($B$10=0,"",$T36/$B$10))</f>
        <v>1782.206349206349206</v>
      </c>
      <c r="V36" s="17">
        <f aca="false">IF($P36="","",IF($B$10=0,"",$P36/$B$10))</f>
        <v>1980.222222222222222</v>
      </c>
      <c r="W36" s="19">
        <f aca="false">IF($T36="",1000000000000000,$T36)</f>
        <v>44911.6</v>
      </c>
      <c r="XFB36" s="6"/>
      <c r="XFC36" s="3"/>
    </row>
    <row r="37" s="6" collapsed="false" customFormat="true" customHeight="true" hidden="false" ht="28.5" outlineLevel="0">
      <c r="A37" s="16">
        <f aca="false">IF($T37="","",1+COUNTIF($W$15:$W$895,"&lt;"&amp;W37))</f>
        <v>23</v>
      </c>
      <c r="B37" s="16" t="s">
        <v>6</v>
      </c>
      <c r="C37" s="16" t="s">
        <v>236</v>
      </c>
      <c r="D37" s="16" t="s">
        <v>45</v>
      </c>
      <c r="E37" s="16" t="s">
        <v>62</v>
      </c>
      <c r="F37" s="16" t="s">
        <v>237</v>
      </c>
      <c r="G37" s="17">
        <v>1780</v>
      </c>
      <c r="H37" s="17">
        <v>2271</v>
      </c>
      <c r="I37" s="17"/>
      <c r="J37" s="17">
        <v>1759</v>
      </c>
      <c r="K37" s="17">
        <f aca="false">IF(AND(IFERROR(SEARCH("현대오일뱅크",$C37),0)&gt;0,IFERROR(SEARCH("직영",$C37),0)&gt;0),$B$13,0)</f>
        <v>-10</v>
      </c>
      <c r="L37" s="17">
        <f aca="false">IF($G37="","",$G37+$K37)</f>
        <v>1770</v>
      </c>
      <c r="M37" s="17">
        <f aca="false">IF($H37="","",$H37+$K37)</f>
        <v>2261</v>
      </c>
      <c r="N37" s="17">
        <f aca="false">IF($J37="","",$J37+$K37)</f>
        <v>1749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24,780원 / 고급유 25,323원</v>
      </c>
      <c r="P37" s="17">
        <f aca="false">IF($B$10=0,"",IFERROR(IF($B$4&gt;0,IF($L37="",1/0,$L37*$B$4),0)+IF($B$5&gt;0,IF($M37="",1/0,$M37*$B$5),0)+IF($B$6&gt;0,IF($N37="",1/0,$N37*$B$6),0),""))</f>
        <v>50103.2</v>
      </c>
      <c r="Q37" s="17" t="s">
        <v>54</v>
      </c>
      <c r="R37" s="18">
        <f aca="false">IF($P37="","",IF($Q37="Y",IFERROR(VLOOKUP($B37,$C$4:$D$13,2,FALSE()),0),0))</f>
        <v>0.1</v>
      </c>
      <c r="S37" s="17">
        <f aca="false">IF($P37="","",ROUNDDOWN($P37*$R37,0))</f>
        <v>5010</v>
      </c>
      <c r="T37" s="17">
        <f aca="false">IF($P37="","",$P37-$S37)</f>
        <v>45093.2</v>
      </c>
      <c r="U37" s="17">
        <f aca="false">IF($T37="","",IF($B$10=0,"",$T37/$B$10))</f>
        <v>1789.412698412698412</v>
      </c>
      <c r="V37" s="17">
        <f aca="false">IF($P37="","",IF($B$10=0,"",$P37/$B$10))</f>
        <v>1988.222222222222222</v>
      </c>
      <c r="W37" s="19">
        <f aca="false">IF($T37="",1000000000000000,$T37)</f>
        <v>45093.2</v>
      </c>
      <c r="XFC37" s="3"/>
    </row>
    <row r="38" s="5" collapsed="false" customFormat="true" customHeight="true" hidden="false" ht="28.5" outlineLevel="0">
      <c r="A38" s="16">
        <f aca="false">IF($T38="","",1+COUNTIF($W$15:$W$895,"&lt;"&amp;W38))</f>
        <v>24</v>
      </c>
      <c r="B38" s="16" t="s">
        <v>6</v>
      </c>
      <c r="C38" s="16" t="s">
        <v>613</v>
      </c>
      <c r="D38" s="21" t="s">
        <v>81</v>
      </c>
      <c r="E38" s="16" t="s">
        <v>26</v>
      </c>
      <c r="F38" s="16" t="s">
        <v>614</v>
      </c>
      <c r="G38" s="17">
        <v>1875</v>
      </c>
      <c r="H38" s="17">
        <v>2149</v>
      </c>
      <c r="I38" s="17"/>
      <c r="J38" s="17">
        <v>1874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1875</v>
      </c>
      <c r="M38" s="17">
        <f aca="false">IF($H38="","",$H38+$K38)</f>
        <v>2149</v>
      </c>
      <c r="N38" s="17">
        <f aca="false">IF($J38="","",$J38+$K38)</f>
        <v>1874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26,250원 / 고급유 24,069원</v>
      </c>
      <c r="P38" s="17">
        <f aca="false">IF($B$10=0,"",IFERROR(IF($B$4&gt;0,IF($L38="",1/0,$L38*$B$4),0)+IF($B$5&gt;0,IF($M38="",1/0,$M38*$B$5),0)+IF($B$6&gt;0,IF($N38="",1/0,$N38*$B$6),0),""))</f>
        <v>50318.8</v>
      </c>
      <c r="Q38" s="17" t="s">
        <v>54</v>
      </c>
      <c r="R38" s="18">
        <f aca="false">IF($P38="","",IF($Q38="Y",IFERROR(VLOOKUP($B38,$C$4:$D$13,2,FALSE()),0),0))</f>
        <v>0.1</v>
      </c>
      <c r="S38" s="17">
        <f aca="false">IF($P38="","",ROUNDDOWN($P38*$R38,0))</f>
        <v>5031</v>
      </c>
      <c r="T38" s="17">
        <f aca="false">IF($P38="","",$P38-$S38)</f>
        <v>45287.8</v>
      </c>
      <c r="U38" s="17">
        <f aca="false">IF($T38="","",IF($B$10=0,"",$T38/$B$10))</f>
        <v>1797.134920634920634</v>
      </c>
      <c r="V38" s="17">
        <f aca="false">IF($P38="","",IF($B$10=0,"",$P38/$B$10))</f>
        <v>1996.777777777777777</v>
      </c>
      <c r="W38" s="19">
        <f aca="false">IF($T38="",1000000000000000,$T38)</f>
        <v>45287.8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IF($T39="","",1+COUNTIF($W$15:$W$895,"&lt;"&amp;W39))</f>
        <v>25</v>
      </c>
      <c r="B39" s="16" t="s">
        <v>6</v>
      </c>
      <c r="C39" s="16" t="s">
        <v>340</v>
      </c>
      <c r="D39" s="16" t="s">
        <v>61</v>
      </c>
      <c r="E39" s="16" t="s">
        <v>26</v>
      </c>
      <c r="F39" s="16" t="s">
        <v>341</v>
      </c>
      <c r="G39" s="17">
        <v>1889</v>
      </c>
      <c r="H39" s="17">
        <v>2139</v>
      </c>
      <c r="I39" s="17"/>
      <c r="J39" s="17">
        <v>1889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1889</v>
      </c>
      <c r="M39" s="17">
        <f aca="false">IF($H39="","",$H39+$K39)</f>
        <v>2139</v>
      </c>
      <c r="N39" s="17">
        <f aca="false">IF($J39="","",$J39+$K39)</f>
        <v>1889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26,446원 / 고급유 23,957원</v>
      </c>
      <c r="P39" s="17">
        <f aca="false">IF($B$10=0,"",IFERROR(IF($B$4&gt;0,IF($L39="",1/0,$L39*$B$4),0)+IF($B$5&gt;0,IF($M39="",1/0,$M39*$B$5),0)+IF($B$6&gt;0,IF($N39="",1/0,$N39*$B$6),0),""))</f>
        <v>50402.8</v>
      </c>
      <c r="Q39" s="17" t="s">
        <v>54</v>
      </c>
      <c r="R39" s="18">
        <f aca="false">IF($P39="","",IF($Q39="Y",IFERROR(VLOOKUP($B39,$C$4:$D$13,2,FALSE()),0),0))</f>
        <v>0.1</v>
      </c>
      <c r="S39" s="17">
        <f aca="false">IF($P39="","",ROUNDDOWN($P39*$R39,0))</f>
        <v>5040</v>
      </c>
      <c r="T39" s="17">
        <f aca="false">IF($P39="","",$P39-$S39)</f>
        <v>45362.8</v>
      </c>
      <c r="U39" s="17">
        <f aca="false">IF($T39="","",IF($B$10=0,"",$T39/$B$10))</f>
        <v>1800.111111111111111</v>
      </c>
      <c r="V39" s="17">
        <f aca="false">IF($P39="","",IF($B$10=0,"",$P39/$B$10))</f>
        <v>2000.111111111111111</v>
      </c>
      <c r="W39" s="19">
        <f aca="false">IF($T39="",1000000000000000,$T39)</f>
        <v>45362.8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IF($T40="","",1+COUNTIF($W$15:$W$895,"&lt;"&amp;W40))</f>
        <v>26</v>
      </c>
      <c r="B40" s="16" t="s">
        <v>6</v>
      </c>
      <c r="C40" s="16" t="s">
        <v>466</v>
      </c>
      <c r="D40" s="16" t="s">
        <v>58</v>
      </c>
      <c r="E40" s="16" t="s">
        <v>26</v>
      </c>
      <c r="F40" s="16" t="s">
        <v>467</v>
      </c>
      <c r="G40" s="17">
        <v>1897</v>
      </c>
      <c r="H40" s="17">
        <v>2137</v>
      </c>
      <c r="I40" s="17"/>
      <c r="J40" s="17">
        <v>1897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1897</v>
      </c>
      <c r="M40" s="17">
        <f aca="false">IF($H40="","",$H40+$K40)</f>
        <v>2137</v>
      </c>
      <c r="N40" s="17">
        <f aca="false">IF($J40="","",$J40+$K40)</f>
        <v>1897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26,558원 / 고급유 23,934원</v>
      </c>
      <c r="P40" s="17">
        <f aca="false">IF($B$10=0,"",IFERROR(IF($B$4&gt;0,IF($L40="",1/0,$L40*$B$4),0)+IF($B$5&gt;0,IF($M40="",1/0,$M40*$B$5),0)+IF($B$6&gt;0,IF($N40="",1/0,$N40*$B$6),0),""))</f>
        <v>50492.4</v>
      </c>
      <c r="Q40" s="17" t="s">
        <v>54</v>
      </c>
      <c r="R40" s="18">
        <f aca="false">IF($P40="","",IF($Q40="Y",IFERROR(VLOOKUP($B40,$C$4:$D$13,2,FALSE()),0),0))</f>
        <v>0.1</v>
      </c>
      <c r="S40" s="17">
        <f aca="false">IF($P40="","",ROUNDDOWN($P40*$R40,0))</f>
        <v>5049</v>
      </c>
      <c r="T40" s="17">
        <f aca="false">IF($P40="","",$P40-$S40)</f>
        <v>45443.4</v>
      </c>
      <c r="U40" s="17">
        <f aca="false">IF($T40="","",IF($B$10=0,"",$T40/$B$10))</f>
        <v>1803.309523809523809</v>
      </c>
      <c r="V40" s="17">
        <f aca="false">IF($P40="","",IF($B$10=0,"",$P40/$B$10))</f>
        <v>2003.666666666666666</v>
      </c>
      <c r="W40" s="19">
        <f aca="false">IF($T40="",1000000000000000,$T40)</f>
        <v>45443.4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IF($T41="","",1+COUNTIF($W$15:$W$895,"&lt;"&amp;W41))</f>
        <v>27</v>
      </c>
      <c r="B41" s="16" t="s">
        <v>6</v>
      </c>
      <c r="C41" s="16" t="s">
        <v>1060</v>
      </c>
      <c r="D41" s="16" t="s">
        <v>45</v>
      </c>
      <c r="E41" s="16" t="s">
        <v>26</v>
      </c>
      <c r="F41" s="16" t="s">
        <v>1061</v>
      </c>
      <c r="G41" s="17">
        <v>1895</v>
      </c>
      <c r="H41" s="17">
        <v>2145</v>
      </c>
      <c r="I41" s="17"/>
      <c r="J41" s="17">
        <v>1855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1895</v>
      </c>
      <c r="M41" s="17">
        <f aca="false">IF($H41="","",$H41+$K41)</f>
        <v>2145</v>
      </c>
      <c r="N41" s="17">
        <f aca="false">IF($J41="","",$J41+$K41)</f>
        <v>1855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26,530원 / 고급유 24,024원</v>
      </c>
      <c r="P41" s="17">
        <f aca="false">IF($B$10=0,"",IFERROR(IF($B$4&gt;0,IF($L41="",1/0,$L41*$B$4),0)+IF($B$5&gt;0,IF($M41="",1/0,$M41*$B$5),0)+IF($B$6&gt;0,IF($N41="",1/0,$N41*$B$6),0),""))</f>
        <v>50554</v>
      </c>
      <c r="Q41" s="17" t="s">
        <v>54</v>
      </c>
      <c r="R41" s="18">
        <f aca="false">IF($P41="","",IF($Q41="Y",IFERROR(VLOOKUP($B41,$C$4:$D$13,2,FALSE()),0),0))</f>
        <v>0.1</v>
      </c>
      <c r="S41" s="17">
        <f aca="false">IF($P41="","",ROUNDDOWN($P41*$R41,0))</f>
        <v>5055</v>
      </c>
      <c r="T41" s="17">
        <f aca="false">IF($P41="","",$P41-$S41)</f>
        <v>45499</v>
      </c>
      <c r="U41" s="17">
        <f aca="false">IF($T41="","",IF($B$10=0,"",$T41/$B$10))</f>
        <v>1805.515873015873015</v>
      </c>
      <c r="V41" s="17">
        <f aca="false">IF($P41="","",IF($B$10=0,"",$P41/$B$10))</f>
        <v>2006.111111111111111</v>
      </c>
      <c r="W41" s="19">
        <f aca="false">IF($T41="",1000000000000000,$T41)</f>
        <v>45499</v>
      </c>
      <c r="XFB41" s="6"/>
      <c r="XFC41" s="3"/>
    </row>
    <row r="42" s="22" collapsed="false" customFormat="true" customHeight="true" hidden="false" ht="28.5" outlineLevel="0">
      <c r="A42" s="16">
        <f aca="false">IF($T42="","",1+COUNTIF($W$15:$W$895,"&lt;"&amp;W42))</f>
        <v>27</v>
      </c>
      <c r="B42" s="16" t="s">
        <v>12</v>
      </c>
      <c r="C42" s="16" t="s">
        <v>252</v>
      </c>
      <c r="D42" s="21" t="s">
        <v>81</v>
      </c>
      <c r="E42" s="16" t="s">
        <v>26</v>
      </c>
      <c r="F42" s="16" t="s">
        <v>253</v>
      </c>
      <c r="G42" s="17">
        <v>1895</v>
      </c>
      <c r="H42" s="17">
        <v>2145</v>
      </c>
      <c r="I42" s="17"/>
      <c r="J42" s="17">
        <v>1895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1895</v>
      </c>
      <c r="M42" s="17">
        <f aca="false">IF($H42="","",$H42+$K42)</f>
        <v>2145</v>
      </c>
      <c r="N42" s="17">
        <f aca="false">IF($J42="","",$J42+$K42)</f>
        <v>1895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26,530원 / 고급유 24,024원</v>
      </c>
      <c r="P42" s="17">
        <f aca="false">IF($B$10=0,"",IFERROR(IF($B$4&gt;0,IF($L42="",1/0,$L42*$B$4),0)+IF($B$5&gt;0,IF($M42="",1/0,$M42*$B$5),0)+IF($B$6&gt;0,IF($N42="",1/0,$N42*$B$6),0),""))</f>
        <v>50554</v>
      </c>
      <c r="Q42" s="17" t="s">
        <v>54</v>
      </c>
      <c r="R42" s="18">
        <f aca="false">IF($P42="","",IF($Q42="Y",IFERROR(VLOOKUP($B42,$C$4:$D$13,2,FALSE()),0),0))</f>
        <v>0.1</v>
      </c>
      <c r="S42" s="17">
        <f aca="false">IF($P42="","",ROUNDDOWN($P42*$R42,0))</f>
        <v>5055</v>
      </c>
      <c r="T42" s="17">
        <f aca="false">IF($P42="","",$P42-$S42)</f>
        <v>45499</v>
      </c>
      <c r="U42" s="17">
        <f aca="false">IF($T42="","",IF($B$10=0,"",$T42/$B$10))</f>
        <v>1805.515873015873015</v>
      </c>
      <c r="V42" s="17">
        <f aca="false">IF($P42="","",IF($B$10=0,"",$P42/$B$10))</f>
        <v>2006.111111111111111</v>
      </c>
      <c r="W42" s="19">
        <f aca="false">IF($T42="",1000000000000000,$T42)</f>
        <v>45499</v>
      </c>
      <c r="XFB42" s="6"/>
      <c r="XFC42" s="3"/>
    </row>
    <row r="43" s="5" collapsed="false" customFormat="true" customHeight="true" hidden="false" ht="28.5" outlineLevel="0">
      <c r="A43" s="16">
        <f aca="false">IF($T43="","",1+COUNTIF($W$15:$W$895,"&lt;"&amp;W43))</f>
        <v>27</v>
      </c>
      <c r="B43" s="16" t="s">
        <v>12</v>
      </c>
      <c r="C43" s="16" t="s">
        <v>254</v>
      </c>
      <c r="D43" s="21" t="s">
        <v>81</v>
      </c>
      <c r="E43" s="16" t="s">
        <v>26</v>
      </c>
      <c r="F43" s="16" t="s">
        <v>255</v>
      </c>
      <c r="G43" s="17">
        <v>1895</v>
      </c>
      <c r="H43" s="17">
        <v>2145</v>
      </c>
      <c r="I43" s="17"/>
      <c r="J43" s="17">
        <v>1895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1895</v>
      </c>
      <c r="M43" s="17">
        <f aca="false">IF($H43="","",$H43+$K43)</f>
        <v>2145</v>
      </c>
      <c r="N43" s="17">
        <f aca="false">IF($J43="","",$J43+$K43)</f>
        <v>1895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26,530원 / 고급유 24,024원</v>
      </c>
      <c r="P43" s="17">
        <f aca="false">IF($B$10=0,"",IFERROR(IF($B$4&gt;0,IF($L43="",1/0,$L43*$B$4),0)+IF($B$5&gt;0,IF($M43="",1/0,$M43*$B$5),0)+IF($B$6&gt;0,IF($N43="",1/0,$N43*$B$6),0),""))</f>
        <v>50554</v>
      </c>
      <c r="Q43" s="17" t="s">
        <v>54</v>
      </c>
      <c r="R43" s="18">
        <f aca="false">IF($P43="","",IF($Q43="Y",IFERROR(VLOOKUP($B43,$C$4:$D$13,2,FALSE()),0),0))</f>
        <v>0.1</v>
      </c>
      <c r="S43" s="17">
        <f aca="false">IF($P43="","",ROUNDDOWN($P43*$R43,0))</f>
        <v>5055</v>
      </c>
      <c r="T43" s="17">
        <f aca="false">IF($P43="","",$P43-$S43)</f>
        <v>45499</v>
      </c>
      <c r="U43" s="17">
        <f aca="false">IF($T43="","",IF($B$10=0,"",$T43/$B$10))</f>
        <v>1805.515873015873015</v>
      </c>
      <c r="V43" s="17">
        <f aca="false">IF($P43="","",IF($B$10=0,"",$P43/$B$10))</f>
        <v>2006.111111111111111</v>
      </c>
      <c r="W43" s="19">
        <f aca="false">IF($T43="",1000000000000000,$T43)</f>
        <v>45499</v>
      </c>
      <c r="XFB43" s="6"/>
      <c r="XFC43" s="3"/>
    </row>
    <row r="44" s="22" collapsed="false" customFormat="true" customHeight="true" hidden="false" ht="28.5" outlineLevel="0">
      <c r="A44" s="16">
        <f aca="false">IF($T44="","",1+COUNTIF($W$15:$W$895,"&lt;"&amp;W44))</f>
        <v>30</v>
      </c>
      <c r="B44" s="16" t="s">
        <v>6</v>
      </c>
      <c r="C44" s="16" t="s">
        <v>1072</v>
      </c>
      <c r="D44" s="16" t="s">
        <v>45</v>
      </c>
      <c r="E44" s="16" t="s">
        <v>26</v>
      </c>
      <c r="F44" s="16" t="s">
        <v>1073</v>
      </c>
      <c r="G44" s="17">
        <v>1895</v>
      </c>
      <c r="H44" s="17">
        <v>2150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1895</v>
      </c>
      <c r="M44" s="17">
        <f aca="false">IF($H44="","",$H44+$K44)</f>
        <v>2150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26,530원 / 고급유 24,080원</v>
      </c>
      <c r="P44" s="17">
        <f aca="false">IF($B$10=0,"",IFERROR(IF($B$4&gt;0,IF($L44="",1/0,$L44*$B$4),0)+IF($B$5&gt;0,IF($M44="",1/0,$M44*$B$5),0)+IF($B$6&gt;0,IF($N44="",1/0,$N44*$B$6),0),""))</f>
        <v>50610</v>
      </c>
      <c r="Q44" s="17" t="s">
        <v>54</v>
      </c>
      <c r="R44" s="18">
        <f aca="false">IF($P44="","",IF($Q44="Y",IFERROR(VLOOKUP($B44,$C$4:$D$13,2,FALSE()),0),0))</f>
        <v>0.1</v>
      </c>
      <c r="S44" s="17">
        <f aca="false">IF($P44="","",ROUNDDOWN($P44*$R44,0))</f>
        <v>5061</v>
      </c>
      <c r="T44" s="17">
        <f aca="false">IF($P44="","",$P44-$S44)</f>
        <v>45549</v>
      </c>
      <c r="U44" s="17">
        <f aca="false">IF($T44="","",IF($B$10=0,"",$T44/$B$10))</f>
        <v>1807.5</v>
      </c>
      <c r="V44" s="17">
        <f aca="false">IF($P44="","",IF($B$10=0,"",$P44/$B$10))</f>
        <v>2008.333333333333333</v>
      </c>
      <c r="W44" s="19">
        <f aca="false">IF($T44="",1000000000000000,$T44)</f>
        <v>45549</v>
      </c>
      <c r="XFB44" s="6"/>
      <c r="XFC44" s="3"/>
    </row>
    <row r="45" s="6" collapsed="false" customFormat="true" customHeight="true" hidden="false" ht="28.5" outlineLevel="0">
      <c r="A45" s="16">
        <f aca="false">IF($T45="","",1+COUNTIF($W$15:$W$895,"&lt;"&amp;W45))</f>
        <v>31</v>
      </c>
      <c r="B45" s="16" t="s">
        <v>6</v>
      </c>
      <c r="C45" s="16" t="s">
        <v>1420</v>
      </c>
      <c r="D45" s="16" t="s">
        <v>45</v>
      </c>
      <c r="E45" s="16" t="s">
        <v>26</v>
      </c>
      <c r="F45" s="16" t="s">
        <v>1421</v>
      </c>
      <c r="G45" s="17">
        <v>1964</v>
      </c>
      <c r="H45" s="17">
        <v>2066</v>
      </c>
      <c r="I45" s="17"/>
      <c r="J45" s="17">
        <v>1844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1964</v>
      </c>
      <c r="M45" s="17">
        <f aca="false">IF($H45="","",$H45+$K45)</f>
        <v>2066</v>
      </c>
      <c r="N45" s="17">
        <f aca="false">IF($J45="","",$J45+$K45)</f>
        <v>1844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27,496원 / 고급유 23,139원</v>
      </c>
      <c r="P45" s="17">
        <f aca="false">IF($B$10=0,"",IFERROR(IF($B$4&gt;0,IF($L45="",1/0,$L45*$B$4),0)+IF($B$5&gt;0,IF($M45="",1/0,$M45*$B$5),0)+IF($B$6&gt;0,IF($N45="",1/0,$N45*$B$6),0),""))</f>
        <v>50635.2</v>
      </c>
      <c r="Q45" s="17" t="s">
        <v>54</v>
      </c>
      <c r="R45" s="18">
        <f aca="false">IF($P45="","",IF($Q45="Y",IFERROR(VLOOKUP($B45,$C$4:$D$13,2,FALSE()),0),0))</f>
        <v>0.1</v>
      </c>
      <c r="S45" s="17">
        <f aca="false">IF($P45="","",ROUNDDOWN($P45*$R45,0))</f>
        <v>5063</v>
      </c>
      <c r="T45" s="17">
        <f aca="false">IF($P45="","",$P45-$S45)</f>
        <v>45572.2</v>
      </c>
      <c r="U45" s="17">
        <f aca="false">IF($T45="","",IF($B$10=0,"",$T45/$B$10))</f>
        <v>1808.42063492063492</v>
      </c>
      <c r="V45" s="17">
        <f aca="false">IF($P45="","",IF($B$10=0,"",$P45/$B$10))</f>
        <v>2009.333333333333333</v>
      </c>
      <c r="W45" s="19">
        <f aca="false">IF($T45="",1000000000000000,$T45)</f>
        <v>45572.2</v>
      </c>
      <c r="XFC45" s="3"/>
    </row>
    <row r="46" s="6" collapsed="false" customFormat="true" customHeight="true" hidden="false" ht="28.5" outlineLevel="0">
      <c r="A46" s="16">
        <f aca="false">IF($T46="","",1+COUNTIF($W$15:$W$895,"&lt;"&amp;W46))</f>
        <v>32</v>
      </c>
      <c r="B46" s="16" t="s">
        <v>14</v>
      </c>
      <c r="C46" s="16" t="s">
        <v>328</v>
      </c>
      <c r="D46" s="16" t="s">
        <v>45</v>
      </c>
      <c r="E46" s="16" t="s">
        <v>26</v>
      </c>
      <c r="F46" s="16" t="s">
        <v>329</v>
      </c>
      <c r="G46" s="17">
        <v>1927</v>
      </c>
      <c r="H46" s="17">
        <v>2164</v>
      </c>
      <c r="I46" s="17"/>
      <c r="J46" s="17">
        <v>1875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1927</v>
      </c>
      <c r="M46" s="17">
        <f aca="false">IF($H46="","",$H46+$K46)</f>
        <v>2164</v>
      </c>
      <c r="N46" s="17">
        <f aca="false">IF($J46="","",$J46+$K46)</f>
        <v>1875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26,978원 / 고급유 24,237원</v>
      </c>
      <c r="P46" s="17">
        <f aca="false">IF($B$10=0,"",IFERROR(IF($B$4&gt;0,IF($L46="",1/0,$L46*$B$4),0)+IF($B$5&gt;0,IF($M46="",1/0,$M46*$B$5),0)+IF($B$6&gt;0,IF($N46="",1/0,$N46*$B$6),0),""))</f>
        <v>51214.8</v>
      </c>
      <c r="Q46" s="17" t="s">
        <v>54</v>
      </c>
      <c r="R46" s="18">
        <f aca="false">IF($P46="","",IF($Q46="Y",IFERROR(VLOOKUP($B46,$C$4:$D$13,2,FALSE()),0),0))</f>
        <v>0.11</v>
      </c>
      <c r="S46" s="17">
        <f aca="false">IF($P46="","",ROUNDDOWN($P46*$R46,0))</f>
        <v>5633</v>
      </c>
      <c r="T46" s="17">
        <f aca="false">IF($P46="","",$P46-$S46)</f>
        <v>45581.8</v>
      </c>
      <c r="U46" s="17">
        <f aca="false">IF($T46="","",IF($B$10=0,"",$T46/$B$10))</f>
        <v>1808.801587301587301</v>
      </c>
      <c r="V46" s="17">
        <f aca="false">IF($P46="","",IF($B$10=0,"",$P46/$B$10))</f>
        <v>2032.333333333333333</v>
      </c>
      <c r="W46" s="19">
        <f aca="false">IF($T46="",1000000000000000,$T46)</f>
        <v>45581.8</v>
      </c>
      <c r="XFC46" s="3"/>
    </row>
    <row r="47" s="6" collapsed="false" customFormat="true" customHeight="true" hidden="false" ht="28.5" outlineLevel="0">
      <c r="A47" s="16">
        <f aca="false">IF($T47="","",1+COUNTIF($W$15:$W$895,"&lt;"&amp;W47))</f>
        <v>33</v>
      </c>
      <c r="B47" s="16" t="s">
        <v>6</v>
      </c>
      <c r="C47" s="16" t="s">
        <v>356</v>
      </c>
      <c r="D47" s="16" t="s">
        <v>61</v>
      </c>
      <c r="E47" s="16" t="s">
        <v>26</v>
      </c>
      <c r="F47" s="16" t="s">
        <v>357</v>
      </c>
      <c r="G47" s="17">
        <v>1895</v>
      </c>
      <c r="H47" s="17">
        <v>2155</v>
      </c>
      <c r="I47" s="17"/>
      <c r="J47" s="17">
        <v>1895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1895</v>
      </c>
      <c r="M47" s="17">
        <f aca="false">IF($H47="","",$H47+$K47)</f>
        <v>2155</v>
      </c>
      <c r="N47" s="17">
        <f aca="false">IF($J47="","",$J47+$K47)</f>
        <v>1895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26,530원 / 고급유 24,136원</v>
      </c>
      <c r="P47" s="17">
        <f aca="false">IF($B$10=0,"",IFERROR(IF($B$4&gt;0,IF($L47="",1/0,$L47*$B$4),0)+IF($B$5&gt;0,IF($M47="",1/0,$M47*$B$5),0)+IF($B$6&gt;0,IF($N47="",1/0,$N47*$B$6),0),""))</f>
        <v>50666</v>
      </c>
      <c r="Q47" s="17" t="s">
        <v>54</v>
      </c>
      <c r="R47" s="18">
        <f aca="false">IF($P47="","",IF($Q47="Y",IFERROR(VLOOKUP($B47,$C$4:$D$13,2,FALSE()),0),0))</f>
        <v>0.1</v>
      </c>
      <c r="S47" s="17">
        <f aca="false">IF($P47="","",ROUNDDOWN($P47*$R47,0))</f>
        <v>5066</v>
      </c>
      <c r="T47" s="17">
        <f aca="false">IF($P47="","",$P47-$S47)</f>
        <v>45600</v>
      </c>
      <c r="U47" s="17">
        <f aca="false">IF($T47="","",IF($B$10=0,"",$T47/$B$10))</f>
        <v>1809.523809523809523</v>
      </c>
      <c r="V47" s="17">
        <f aca="false">IF($P47="","",IF($B$10=0,"",$P47/$B$10))</f>
        <v>2010.555555555555555</v>
      </c>
      <c r="W47" s="19">
        <f aca="false">IF($T47="",1000000000000000,$T47)</f>
        <v>45600</v>
      </c>
      <c r="XFC47" s="3"/>
    </row>
    <row r="48" s="22" collapsed="false" customFormat="true" customHeight="true" hidden="false" ht="28.5" outlineLevel="0">
      <c r="A48" s="16">
        <f aca="false">IF($T48="","",1+COUNTIF($W$15:$W$895,"&lt;"&amp;W48))</f>
        <v>33</v>
      </c>
      <c r="B48" s="16" t="s">
        <v>6</v>
      </c>
      <c r="C48" s="16" t="s">
        <v>1432</v>
      </c>
      <c r="D48" s="16" t="s">
        <v>61</v>
      </c>
      <c r="E48" s="16" t="s">
        <v>62</v>
      </c>
      <c r="F48" s="16" t="s">
        <v>1433</v>
      </c>
      <c r="G48" s="17">
        <v>1895</v>
      </c>
      <c r="H48" s="17">
        <v>2155</v>
      </c>
      <c r="I48" s="17"/>
      <c r="J48" s="17">
        <v>1895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1895</v>
      </c>
      <c r="M48" s="17">
        <f aca="false">IF($H48="","",$H48+$K48)</f>
        <v>2155</v>
      </c>
      <c r="N48" s="17">
        <f aca="false">IF($J48="","",$J48+$K48)</f>
        <v>1895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26,530원 / 고급유 24,136원</v>
      </c>
      <c r="P48" s="17">
        <f aca="false">IF($B$10=0,"",IFERROR(IF($B$4&gt;0,IF($L48="",1/0,$L48*$B$4),0)+IF($B$5&gt;0,IF($M48="",1/0,$M48*$B$5),0)+IF($B$6&gt;0,IF($N48="",1/0,$N48*$B$6),0),""))</f>
        <v>50666</v>
      </c>
      <c r="Q48" s="17" t="s">
        <v>54</v>
      </c>
      <c r="R48" s="18">
        <f aca="false">IF($P48="","",IF($Q48="Y",IFERROR(VLOOKUP($B48,$C$4:$D$13,2,FALSE()),0),0))</f>
        <v>0.1</v>
      </c>
      <c r="S48" s="17">
        <f aca="false">IF($P48="","",ROUNDDOWN($P48*$R48,0))</f>
        <v>5066</v>
      </c>
      <c r="T48" s="17">
        <f aca="false">IF($P48="","",$P48-$S48)</f>
        <v>45600</v>
      </c>
      <c r="U48" s="17">
        <f aca="false">IF($T48="","",IF($B$10=0,"",$T48/$B$10))</f>
        <v>1809.523809523809523</v>
      </c>
      <c r="V48" s="17">
        <f aca="false">IF($P48="","",IF($B$10=0,"",$P48/$B$10))</f>
        <v>2010.555555555555555</v>
      </c>
      <c r="W48" s="19">
        <f aca="false">IF($T48="",1000000000000000,$T48)</f>
        <v>45600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IF($T49="","",1+COUNTIF($W$15:$W$895,"&lt;"&amp;W49))</f>
        <v>35</v>
      </c>
      <c r="B49" s="16" t="s">
        <v>6</v>
      </c>
      <c r="C49" s="16" t="s">
        <v>601</v>
      </c>
      <c r="D49" s="21" t="s">
        <v>81</v>
      </c>
      <c r="E49" s="16" t="s">
        <v>62</v>
      </c>
      <c r="F49" s="16" t="s">
        <v>602</v>
      </c>
      <c r="G49" s="17">
        <v>1937</v>
      </c>
      <c r="H49" s="17">
        <v>2109</v>
      </c>
      <c r="I49" s="17"/>
      <c r="J49" s="17">
        <v>1927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1937</v>
      </c>
      <c r="M49" s="17">
        <f aca="false">IF($H49="","",$H49+$K49)</f>
        <v>2109</v>
      </c>
      <c r="N49" s="17">
        <f aca="false">IF($J49="","",$J49+$K49)</f>
        <v>1927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27,118원 / 고급유 23,621원</v>
      </c>
      <c r="P49" s="17">
        <f aca="false">IF($B$10=0,"",IFERROR(IF($B$4&gt;0,IF($L49="",1/0,$L49*$B$4),0)+IF($B$5&gt;0,IF($M49="",1/0,$M49*$B$5),0)+IF($B$6&gt;0,IF($N49="",1/0,$N49*$B$6),0),""))</f>
        <v>50738.8</v>
      </c>
      <c r="Q49" s="17" t="s">
        <v>54</v>
      </c>
      <c r="R49" s="18">
        <f aca="false">IF($P49="","",IF($Q49="Y",IFERROR(VLOOKUP($B49,$C$4:$D$13,2,FALSE()),0),0))</f>
        <v>0.1</v>
      </c>
      <c r="S49" s="17">
        <f aca="false">IF($P49="","",ROUNDDOWN($P49*$R49,0))</f>
        <v>5073</v>
      </c>
      <c r="T49" s="17">
        <f aca="false">IF($P49="","",$P49-$S49)</f>
        <v>45665.8</v>
      </c>
      <c r="U49" s="17">
        <f aca="false">IF($T49="","",IF($B$10=0,"",$T49/$B$10))</f>
        <v>1812.134920634920634</v>
      </c>
      <c r="V49" s="17">
        <f aca="false">IF($P49="","",IF($B$10=0,"",$P49/$B$10))</f>
        <v>2013.444444444444444</v>
      </c>
      <c r="W49" s="19">
        <f aca="false">IF($T49="",1000000000000000,$T49)</f>
        <v>45665.8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IF($T50="","",1+COUNTIF($W$15:$W$895,"&lt;"&amp;W50))</f>
        <v>36</v>
      </c>
      <c r="B50" s="16" t="s">
        <v>6</v>
      </c>
      <c r="C50" s="16" t="s">
        <v>888</v>
      </c>
      <c r="D50" s="16" t="s">
        <v>45</v>
      </c>
      <c r="E50" s="16" t="s">
        <v>62</v>
      </c>
      <c r="F50" s="16" t="s">
        <v>889</v>
      </c>
      <c r="G50" s="17">
        <v>1965</v>
      </c>
      <c r="H50" s="17">
        <v>2079</v>
      </c>
      <c r="I50" s="17"/>
      <c r="J50" s="17">
        <v>1844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1965</v>
      </c>
      <c r="M50" s="17">
        <f aca="false">IF($H50="","",$H50+$K50)</f>
        <v>2079</v>
      </c>
      <c r="N50" s="17">
        <f aca="false">IF($J50="","",$J50+$K50)</f>
        <v>1844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27,510원 / 고급유 23,285원</v>
      </c>
      <c r="P50" s="17">
        <f aca="false">IF($B$10=0,"",IFERROR(IF($B$4&gt;0,IF($L50="",1/0,$L50*$B$4),0)+IF($B$5&gt;0,IF($M50="",1/0,$M50*$B$5),0)+IF($B$6&gt;0,IF($N50="",1/0,$N50*$B$6),0),""))</f>
        <v>50794.8</v>
      </c>
      <c r="Q50" s="17" t="s">
        <v>54</v>
      </c>
      <c r="R50" s="18">
        <f aca="false">IF($P50="","",IF($Q50="Y",IFERROR(VLOOKUP($B50,$C$4:$D$13,2,FALSE()),0),0))</f>
        <v>0.1</v>
      </c>
      <c r="S50" s="17">
        <f aca="false">IF($P50="","",ROUNDDOWN($P50*$R50,0))</f>
        <v>5079</v>
      </c>
      <c r="T50" s="17">
        <f aca="false">IF($P50="","",$P50-$S50)</f>
        <v>45715.8</v>
      </c>
      <c r="U50" s="17">
        <f aca="false">IF($T50="","",IF($B$10=0,"",$T50/$B$10))</f>
        <v>1814.119047619047619</v>
      </c>
      <c r="V50" s="17">
        <f aca="false">IF($P50="","",IF($B$10=0,"",$P50/$B$10))</f>
        <v>2015.666666666666666</v>
      </c>
      <c r="W50" s="19">
        <f aca="false">IF($T50="",1000000000000000,$T50)</f>
        <v>45715.8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IF($T51="","",1+COUNTIF($W$15:$W$895,"&lt;"&amp;W51))</f>
        <v>37</v>
      </c>
      <c r="B51" s="16" t="s">
        <v>6</v>
      </c>
      <c r="C51" s="16" t="s">
        <v>680</v>
      </c>
      <c r="D51" s="21" t="s">
        <v>81</v>
      </c>
      <c r="E51" s="16" t="s">
        <v>26</v>
      </c>
      <c r="F51" s="16" t="s">
        <v>681</v>
      </c>
      <c r="G51" s="17">
        <v>1947</v>
      </c>
      <c r="H51" s="17">
        <v>2110</v>
      </c>
      <c r="I51" s="17"/>
      <c r="J51" s="17">
        <v>1947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1947</v>
      </c>
      <c r="M51" s="17">
        <f aca="false">IF($H51="","",$H51+$K51)</f>
        <v>2110</v>
      </c>
      <c r="N51" s="17">
        <f aca="false">IF($J51="","",$J51+$K51)</f>
        <v>1947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27,258원 / 고급유 23,632원</v>
      </c>
      <c r="P51" s="17">
        <f aca="false">IF($B$10=0,"",IFERROR(IF($B$4&gt;0,IF($L51="",1/0,$L51*$B$4),0)+IF($B$5&gt;0,IF($M51="",1/0,$M51*$B$5),0)+IF($B$6&gt;0,IF($N51="",1/0,$N51*$B$6),0),""))</f>
        <v>50890</v>
      </c>
      <c r="Q51" s="17" t="s">
        <v>54</v>
      </c>
      <c r="R51" s="18">
        <f aca="false">IF($P51="","",IF($Q51="Y",IFERROR(VLOOKUP($B51,$C$4:$D$13,2,FALSE()),0),0))</f>
        <v>0.1</v>
      </c>
      <c r="S51" s="17">
        <f aca="false">IF($P51="","",ROUNDDOWN($P51*$R51,0))</f>
        <v>5089</v>
      </c>
      <c r="T51" s="17">
        <f aca="false">IF($P51="","",$P51-$S51)</f>
        <v>45801</v>
      </c>
      <c r="U51" s="17">
        <f aca="false">IF($T51="","",IF($B$10=0,"",$T51/$B$10))</f>
        <v>1817.5</v>
      </c>
      <c r="V51" s="17">
        <f aca="false">IF($P51="","",IF($B$10=0,"",$P51/$B$10))</f>
        <v>2019.444444444444444</v>
      </c>
      <c r="W51" s="19">
        <f aca="false">IF($T51="",1000000000000000,$T51)</f>
        <v>45801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IF($T52="","",1+COUNTIF($W$15:$W$895,"&lt;"&amp;W52))</f>
        <v>38</v>
      </c>
      <c r="B52" s="16" t="s">
        <v>8</v>
      </c>
      <c r="C52" s="16" t="s">
        <v>478</v>
      </c>
      <c r="D52" s="16" t="s">
        <v>45</v>
      </c>
      <c r="E52" s="16" t="s">
        <v>26</v>
      </c>
      <c r="F52" s="16" t="s">
        <v>479</v>
      </c>
      <c r="G52" s="17">
        <v>1893</v>
      </c>
      <c r="H52" s="17">
        <v>2190</v>
      </c>
      <c r="I52" s="17"/>
      <c r="J52" s="17">
        <v>1893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1893</v>
      </c>
      <c r="M52" s="17">
        <f aca="false">IF($H52="","",$H52+$K52)</f>
        <v>2190</v>
      </c>
      <c r="N52" s="17">
        <f aca="false">IF($J52="","",$J52+$K52)</f>
        <v>1893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26,502원 / 고급유 24,528원</v>
      </c>
      <c r="P52" s="17">
        <f aca="false">IF($B$10=0,"",IFERROR(IF($B$4&gt;0,IF($L52="",1/0,$L52*$B$4),0)+IF($B$5&gt;0,IF($M52="",1/0,$M52*$B$5),0)+IF($B$6&gt;0,IF($N52="",1/0,$N52*$B$6),0),""))</f>
        <v>51030</v>
      </c>
      <c r="Q52" s="17" t="s">
        <v>54</v>
      </c>
      <c r="R52" s="18">
        <f aca="false">IF($P52="","",IF($Q52="Y",IFERROR(VLOOKUP($B52,$C$4:$D$13,2,FALSE()),0),0))</f>
        <v>0.1</v>
      </c>
      <c r="S52" s="17">
        <f aca="false">IF($P52="","",ROUNDDOWN($P52*$R52,0))</f>
        <v>5103</v>
      </c>
      <c r="T52" s="17">
        <f aca="false">IF($P52="","",$P52-$S52)</f>
        <v>45927</v>
      </c>
      <c r="U52" s="17">
        <f aca="false">IF($T52="","",IF($B$10=0,"",$T52/$B$10))</f>
        <v>1822.5</v>
      </c>
      <c r="V52" s="17">
        <f aca="false">IF($P52="","",IF($B$10=0,"",$P52/$B$10))</f>
        <v>2025</v>
      </c>
      <c r="W52" s="19">
        <f aca="false">IF($T52="",1000000000000000,$T52)</f>
        <v>45927</v>
      </c>
      <c r="XFB52" s="6"/>
      <c r="XFC52" s="3"/>
    </row>
    <row r="53" s="22" collapsed="false" customFormat="true" customHeight="true" hidden="false" ht="28.5" outlineLevel="0">
      <c r="A53" s="16">
        <f aca="false">IF($T53="","",1+COUNTIF($W$15:$W$895,"&lt;"&amp;W53))</f>
        <v>39</v>
      </c>
      <c r="B53" s="16" t="s">
        <v>6</v>
      </c>
      <c r="C53" s="16" t="s">
        <v>1426</v>
      </c>
      <c r="D53" s="16" t="s">
        <v>61</v>
      </c>
      <c r="E53" s="16" t="s">
        <v>26</v>
      </c>
      <c r="F53" s="16" t="s">
        <v>1427</v>
      </c>
      <c r="G53" s="17">
        <v>1895</v>
      </c>
      <c r="H53" s="17">
        <v>2189</v>
      </c>
      <c r="I53" s="17"/>
      <c r="J53" s="17">
        <v>1895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1895</v>
      </c>
      <c r="M53" s="17">
        <f aca="false">IF($H53="","",$H53+$K53)</f>
        <v>2189</v>
      </c>
      <c r="N53" s="17">
        <f aca="false">IF($J53="","",$J53+$K53)</f>
        <v>1895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26,530원 / 고급유 24,517원</v>
      </c>
      <c r="P53" s="17">
        <f aca="false">IF($B$10=0,"",IFERROR(IF($B$4&gt;0,IF($L53="",1/0,$L53*$B$4),0)+IF($B$5&gt;0,IF($M53="",1/0,$M53*$B$5),0)+IF($B$6&gt;0,IF($N53="",1/0,$N53*$B$6),0),""))</f>
        <v>51046.8</v>
      </c>
      <c r="Q53" s="17" t="s">
        <v>54</v>
      </c>
      <c r="R53" s="18">
        <f aca="false">IF($P53="","",IF($Q53="Y",IFERROR(VLOOKUP($B53,$C$4:$D$13,2,FALSE()),0),0))</f>
        <v>0.1</v>
      </c>
      <c r="S53" s="17">
        <f aca="false">IF($P53="","",ROUNDDOWN($P53*$R53,0))</f>
        <v>5104</v>
      </c>
      <c r="T53" s="17">
        <f aca="false">IF($P53="","",$P53-$S53)</f>
        <v>45942.8</v>
      </c>
      <c r="U53" s="17">
        <f aca="false">IF($T53="","",IF($B$10=0,"",$T53/$B$10))</f>
        <v>1823.126984126984126</v>
      </c>
      <c r="V53" s="17">
        <f aca="false">IF($P53="","",IF($B$10=0,"",$P53/$B$10))</f>
        <v>2025.666666666666666</v>
      </c>
      <c r="W53" s="19">
        <f aca="false">IF($T53="",1000000000000000,$T53)</f>
        <v>45942.8</v>
      </c>
      <c r="XFB53" s="6"/>
      <c r="XFC53" s="3"/>
    </row>
    <row r="54" s="22" collapsed="false" customFormat="true" customHeight="true" hidden="false" ht="28.5" outlineLevel="0">
      <c r="A54" s="16">
        <f aca="false">IF($T54="","",1+COUNTIF($W$15:$W$895,"&lt;"&amp;W54))</f>
        <v>39</v>
      </c>
      <c r="B54" s="16" t="s">
        <v>6</v>
      </c>
      <c r="C54" s="16" t="s">
        <v>1436</v>
      </c>
      <c r="D54" s="16" t="s">
        <v>61</v>
      </c>
      <c r="E54" s="16" t="s">
        <v>26</v>
      </c>
      <c r="F54" s="16" t="s">
        <v>1437</v>
      </c>
      <c r="G54" s="17">
        <v>1895</v>
      </c>
      <c r="H54" s="17">
        <v>2189</v>
      </c>
      <c r="I54" s="17"/>
      <c r="J54" s="17">
        <v>1895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1895</v>
      </c>
      <c r="M54" s="17">
        <f aca="false">IF($H54="","",$H54+$K54)</f>
        <v>2189</v>
      </c>
      <c r="N54" s="17">
        <f aca="false">IF($J54="","",$J54+$K54)</f>
        <v>1895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26,530원 / 고급유 24,517원</v>
      </c>
      <c r="P54" s="17">
        <f aca="false">IF($B$10=0,"",IFERROR(IF($B$4&gt;0,IF($L54="",1/0,$L54*$B$4),0)+IF($B$5&gt;0,IF($M54="",1/0,$M54*$B$5),0)+IF($B$6&gt;0,IF($N54="",1/0,$N54*$B$6),0),""))</f>
        <v>51046.8</v>
      </c>
      <c r="Q54" s="17" t="s">
        <v>54</v>
      </c>
      <c r="R54" s="18">
        <f aca="false">IF($P54="","",IF($Q54="Y",IFERROR(VLOOKUP($B54,$C$4:$D$13,2,FALSE()),0),0))</f>
        <v>0.1</v>
      </c>
      <c r="S54" s="17">
        <f aca="false">IF($P54="","",ROUNDDOWN($P54*$R54,0))</f>
        <v>5104</v>
      </c>
      <c r="T54" s="17">
        <f aca="false">IF($P54="","",$P54-$S54)</f>
        <v>45942.8</v>
      </c>
      <c r="U54" s="17">
        <f aca="false">IF($T54="","",IF($B$10=0,"",$T54/$B$10))</f>
        <v>1823.126984126984126</v>
      </c>
      <c r="V54" s="17">
        <f aca="false">IF($P54="","",IF($B$10=0,"",$P54/$B$10))</f>
        <v>2025.666666666666666</v>
      </c>
      <c r="W54" s="19">
        <f aca="false">IF($T54="",1000000000000000,$T54)</f>
        <v>45942.8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IF($T55="","",1+COUNTIF($W$15:$W$895,"&lt;"&amp;W55))</f>
        <v>41</v>
      </c>
      <c r="B55" s="16" t="s">
        <v>18</v>
      </c>
      <c r="C55" s="16" t="s">
        <v>1036</v>
      </c>
      <c r="D55" s="16" t="s">
        <v>61</v>
      </c>
      <c r="E55" s="16" t="s">
        <v>26</v>
      </c>
      <c r="F55" s="16" t="s">
        <v>1037</v>
      </c>
      <c r="G55" s="17">
        <v>1995</v>
      </c>
      <c r="H55" s="17">
        <v>2335</v>
      </c>
      <c r="I55" s="17"/>
      <c r="J55" s="17">
        <v>1995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1995</v>
      </c>
      <c r="M55" s="17">
        <f aca="false">IF($H55="","",$H55+$K55)</f>
        <v>2335</v>
      </c>
      <c r="N55" s="17">
        <f aca="false">IF($J55="","",$J55+$K55)</f>
        <v>1995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27,930원 / 고급유 26,152원</v>
      </c>
      <c r="P55" s="17">
        <f aca="false">IF($B$10=0,"",IFERROR(IF($B$4&gt;0,IF($L55="",1/0,$L55*$B$4),0)+IF($B$5&gt;0,IF($M55="",1/0,$M55*$B$5),0)+IF($B$6&gt;0,IF($N55="",1/0,$N55*$B$6),0),""))</f>
        <v>54082</v>
      </c>
      <c r="Q55" s="17" t="s">
        <v>54</v>
      </c>
      <c r="R55" s="18">
        <f aca="false">IF($P55="","",IF($Q55="Y",IFERROR(VLOOKUP($B55,$C$4:$D$13,2,FALSE()),0),0))</f>
        <v>0.15</v>
      </c>
      <c r="S55" s="17">
        <f aca="false">IF($P55="","",ROUNDDOWN($P55*$R55,0))</f>
        <v>8112</v>
      </c>
      <c r="T55" s="17">
        <f aca="false">IF($P55="","",$P55-$S55)</f>
        <v>45970</v>
      </c>
      <c r="U55" s="17">
        <f aca="false">IF($T55="","",IF($B$10=0,"",$T55/$B$10))</f>
        <v>1824.206349206349206</v>
      </c>
      <c r="V55" s="17">
        <f aca="false">IF($P55="","",IF($B$10=0,"",$P55/$B$10))</f>
        <v>2146.111111111111111</v>
      </c>
      <c r="W55" s="19">
        <f aca="false">IF($T55="",1000000000000000,$T55)</f>
        <v>45970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IF($T56="","",1+COUNTIF($W$15:$W$895,"&lt;"&amp;W56))</f>
        <v>42</v>
      </c>
      <c r="B56" s="16" t="s">
        <v>6</v>
      </c>
      <c r="C56" s="16" t="s">
        <v>1156</v>
      </c>
      <c r="D56" s="16" t="s">
        <v>45</v>
      </c>
      <c r="E56" s="16" t="s">
        <v>26</v>
      </c>
      <c r="F56" s="16" t="s">
        <v>1157</v>
      </c>
      <c r="G56" s="17">
        <v>1882</v>
      </c>
      <c r="H56" s="17">
        <v>2210</v>
      </c>
      <c r="I56" s="17"/>
      <c r="J56" s="17">
        <v>1876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1882</v>
      </c>
      <c r="M56" s="17">
        <f aca="false">IF($H56="","",$H56+$K56)</f>
        <v>2210</v>
      </c>
      <c r="N56" s="17">
        <f aca="false">IF($J56="","",$J56+$K56)</f>
        <v>1876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26,348원 / 고급유 24,752원</v>
      </c>
      <c r="P56" s="17">
        <f aca="false">IF($B$10=0,"",IFERROR(IF($B$4&gt;0,IF($L56="",1/0,$L56*$B$4),0)+IF($B$5&gt;0,IF($M56="",1/0,$M56*$B$5),0)+IF($B$6&gt;0,IF($N56="",1/0,$N56*$B$6),0),""))</f>
        <v>51100</v>
      </c>
      <c r="Q56" s="17" t="s">
        <v>54</v>
      </c>
      <c r="R56" s="18">
        <f aca="false">IF($P56="","",IF($Q56="Y",IFERROR(VLOOKUP($B56,$C$4:$D$13,2,FALSE()),0),0))</f>
        <v>0.1</v>
      </c>
      <c r="S56" s="17">
        <f aca="false">IF($P56="","",ROUNDDOWN($P56*$R56,0))</f>
        <v>5110</v>
      </c>
      <c r="T56" s="17">
        <f aca="false">IF($P56="","",$P56-$S56)</f>
        <v>45990</v>
      </c>
      <c r="U56" s="17">
        <f aca="false">IF($T56="","",IF($B$10=0,"",$T56/$B$10))</f>
        <v>1825</v>
      </c>
      <c r="V56" s="17">
        <f aca="false">IF($P56="","",IF($B$10=0,"",$P56/$B$10))</f>
        <v>2027.777777777777777</v>
      </c>
      <c r="W56" s="19">
        <f aca="false">IF($T56="",1000000000000000,$T56)</f>
        <v>45990</v>
      </c>
      <c r="XFB56" s="6"/>
      <c r="XFC56" s="3"/>
    </row>
    <row r="57" s="6" collapsed="false" customFormat="true" customHeight="true" hidden="false" ht="28.5" outlineLevel="0">
      <c r="A57" s="16">
        <f aca="false">IF($T57="","",1+COUNTIF($W$15:$W$895,"&lt;"&amp;W57))</f>
        <v>43</v>
      </c>
      <c r="B57" s="16" t="s">
        <v>6</v>
      </c>
      <c r="C57" s="16" t="s">
        <v>378</v>
      </c>
      <c r="D57" s="16" t="s">
        <v>45</v>
      </c>
      <c r="E57" s="16" t="s">
        <v>26</v>
      </c>
      <c r="F57" s="16" t="s">
        <v>379</v>
      </c>
      <c r="G57" s="17">
        <v>1895</v>
      </c>
      <c r="H57" s="17">
        <v>2197</v>
      </c>
      <c r="I57" s="17"/>
      <c r="J57" s="17">
        <v>1885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1895</v>
      </c>
      <c r="M57" s="17">
        <f aca="false">IF($H57="","",$H57+$K57)</f>
        <v>2197</v>
      </c>
      <c r="N57" s="17">
        <f aca="false">IF($J57="","",$J57+$K57)</f>
        <v>1885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26,530원 / 고급유 24,606원</v>
      </c>
      <c r="P57" s="17">
        <f aca="false">IF($B$10=0,"",IFERROR(IF($B$4&gt;0,IF($L57="",1/0,$L57*$B$4),0)+IF($B$5&gt;0,IF($M57="",1/0,$M57*$B$5),0)+IF($B$6&gt;0,IF($N57="",1/0,$N57*$B$6),0),""))</f>
        <v>51136.4</v>
      </c>
      <c r="Q57" s="17" t="s">
        <v>54</v>
      </c>
      <c r="R57" s="18">
        <f aca="false">IF($P57="","",IF($Q57="Y",IFERROR(VLOOKUP($B57,$C$4:$D$13,2,FALSE()),0),0))</f>
        <v>0.1</v>
      </c>
      <c r="S57" s="17">
        <f aca="false">IF($P57="","",ROUNDDOWN($P57*$R57,0))</f>
        <v>5113</v>
      </c>
      <c r="T57" s="17">
        <f aca="false">IF($P57="","",$P57-$S57)</f>
        <v>46023.4</v>
      </c>
      <c r="U57" s="17">
        <f aca="false">IF($T57="","",IF($B$10=0,"",$T57/$B$10))</f>
        <v>1826.325396825396825</v>
      </c>
      <c r="V57" s="17">
        <f aca="false">IF($P57="","",IF($B$10=0,"",$P57/$B$10))</f>
        <v>2029.222222222222222</v>
      </c>
      <c r="W57" s="19">
        <f aca="false">IF($T57="",1000000000000000,$T57)</f>
        <v>46023.4</v>
      </c>
      <c r="XFC57" s="3"/>
    </row>
    <row r="58" s="5" collapsed="false" customFormat="true" customHeight="true" hidden="false" ht="28.5" outlineLevel="0">
      <c r="A58" s="16">
        <f aca="false">IF($T58="","",1+COUNTIF($W$15:$W$895,"&lt;"&amp;W58))</f>
        <v>44</v>
      </c>
      <c r="B58" s="16" t="s">
        <v>10</v>
      </c>
      <c r="C58" s="16" t="s">
        <v>1103</v>
      </c>
      <c r="D58" s="16" t="s">
        <v>61</v>
      </c>
      <c r="E58" s="16" t="s">
        <v>26</v>
      </c>
      <c r="F58" s="16" t="s">
        <v>1104</v>
      </c>
      <c r="G58" s="17">
        <v>1899</v>
      </c>
      <c r="H58" s="17">
        <v>2199</v>
      </c>
      <c r="I58" s="17"/>
      <c r="J58" s="17">
        <v>1899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1899</v>
      </c>
      <c r="M58" s="17">
        <f aca="false">IF($H58="","",$H58+$K58)</f>
        <v>2199</v>
      </c>
      <c r="N58" s="17">
        <f aca="false">IF($J58="","",$J58+$K58)</f>
        <v>1899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26,586원 / 고급유 24,629원</v>
      </c>
      <c r="P58" s="17">
        <f aca="false">IF($B$10=0,"",IFERROR(IF($B$4&gt;0,IF($L58="",1/0,$L58*$B$4),0)+IF($B$5&gt;0,IF($M58="",1/0,$M58*$B$5),0)+IF($B$6&gt;0,IF($N58="",1/0,$N58*$B$6),0),""))</f>
        <v>51214.8</v>
      </c>
      <c r="Q58" s="17" t="s">
        <v>54</v>
      </c>
      <c r="R58" s="18">
        <f aca="false">IF($P58="","",IF($Q58="Y",IFERROR(VLOOKUP($B58,$C$4:$D$13,2,FALSE()),0),0))</f>
        <v>0.1</v>
      </c>
      <c r="S58" s="17">
        <f aca="false">IF($P58="","",ROUNDDOWN($P58*$R58,0))</f>
        <v>5121</v>
      </c>
      <c r="T58" s="17">
        <f aca="false">IF($P58="","",$P58-$S58)</f>
        <v>46093.8</v>
      </c>
      <c r="U58" s="17">
        <f aca="false">IF($T58="","",IF($B$10=0,"",$T58/$B$10))</f>
        <v>1829.119047619047619</v>
      </c>
      <c r="V58" s="17">
        <f aca="false">IF($P58="","",IF($B$10=0,"",$P58/$B$10))</f>
        <v>2032.333333333333333</v>
      </c>
      <c r="W58" s="19">
        <f aca="false">IF($T58="",1000000000000000,$T58)</f>
        <v>46093.8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IF($T59="","",1+COUNTIF($W$15:$W$895,"&lt;"&amp;W59))</f>
        <v>45</v>
      </c>
      <c r="B59" s="16" t="s">
        <v>6</v>
      </c>
      <c r="C59" s="16" t="s">
        <v>898</v>
      </c>
      <c r="D59" s="16" t="s">
        <v>61</v>
      </c>
      <c r="E59" s="16" t="s">
        <v>26</v>
      </c>
      <c r="F59" s="16" t="s">
        <v>899</v>
      </c>
      <c r="G59" s="17">
        <v>1948</v>
      </c>
      <c r="H59" s="17">
        <v>2139</v>
      </c>
      <c r="I59" s="17"/>
      <c r="J59" s="17">
        <v>1948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1948</v>
      </c>
      <c r="M59" s="17">
        <f aca="false">IF($H59="","",$H59+$K59)</f>
        <v>2139</v>
      </c>
      <c r="N59" s="17">
        <f aca="false">IF($J59="","",$J59+$K59)</f>
        <v>1948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27,272원 / 고급유 23,957원</v>
      </c>
      <c r="P59" s="17">
        <f aca="false">IF($B$10=0,"",IFERROR(IF($B$4&gt;0,IF($L59="",1/0,$L59*$B$4),0)+IF($B$5&gt;0,IF($M59="",1/0,$M59*$B$5),0)+IF($B$6&gt;0,IF($N59="",1/0,$N59*$B$6),0),""))</f>
        <v>51228.8</v>
      </c>
      <c r="Q59" s="17" t="s">
        <v>54</v>
      </c>
      <c r="R59" s="18">
        <f aca="false">IF($P59="","",IF($Q59="Y",IFERROR(VLOOKUP($B59,$C$4:$D$13,2,FALSE()),0),0))</f>
        <v>0.1</v>
      </c>
      <c r="S59" s="17">
        <f aca="false">IF($P59="","",ROUNDDOWN($P59*$R59,0))</f>
        <v>5122</v>
      </c>
      <c r="T59" s="17">
        <f aca="false">IF($P59="","",$P59-$S59)</f>
        <v>46106.8</v>
      </c>
      <c r="U59" s="17">
        <f aca="false">IF($T59="","",IF($B$10=0,"",$T59/$B$10))</f>
        <v>1829.634920634920634</v>
      </c>
      <c r="V59" s="17">
        <f aca="false">IF($P59="","",IF($B$10=0,"",$P59/$B$10))</f>
        <v>2032.888888888888888</v>
      </c>
      <c r="W59" s="19">
        <f aca="false">IF($T59="",1000000000000000,$T59)</f>
        <v>46106.8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IF($T60="","",1+COUNTIF($W$15:$W$895,"&lt;"&amp;W60))</f>
        <v>46</v>
      </c>
      <c r="B60" s="16" t="s">
        <v>8</v>
      </c>
      <c r="C60" s="16" t="s">
        <v>629</v>
      </c>
      <c r="D60" s="16" t="s">
        <v>45</v>
      </c>
      <c r="E60" s="16" t="s">
        <v>26</v>
      </c>
      <c r="F60" s="16" t="s">
        <v>630</v>
      </c>
      <c r="G60" s="17">
        <v>1945</v>
      </c>
      <c r="H60" s="17">
        <v>2145</v>
      </c>
      <c r="I60" s="17"/>
      <c r="J60" s="17">
        <v>1929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1945</v>
      </c>
      <c r="M60" s="17">
        <f aca="false">IF($H60="","",$H60+$K60)</f>
        <v>2145</v>
      </c>
      <c r="N60" s="17">
        <f aca="false">IF($J60="","",$J60+$K60)</f>
        <v>1929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27,230원 / 고급유 24,024원</v>
      </c>
      <c r="P60" s="17">
        <f aca="false">IF($B$10=0,"",IFERROR(IF($B$4&gt;0,IF($L60="",1/0,$L60*$B$4),0)+IF($B$5&gt;0,IF($M60="",1/0,$M60*$B$5),0)+IF($B$6&gt;0,IF($N60="",1/0,$N60*$B$6),0),""))</f>
        <v>51254</v>
      </c>
      <c r="Q60" s="17" t="s">
        <v>54</v>
      </c>
      <c r="R60" s="18">
        <f aca="false">IF($P60="","",IF($Q60="Y",IFERROR(VLOOKUP($B60,$C$4:$D$13,2,FALSE()),0),0))</f>
        <v>0.1</v>
      </c>
      <c r="S60" s="17">
        <f aca="false">IF($P60="","",ROUNDDOWN($P60*$R60,0))</f>
        <v>5125</v>
      </c>
      <c r="T60" s="17">
        <f aca="false">IF($P60="","",$P60-$S60)</f>
        <v>46129</v>
      </c>
      <c r="U60" s="17">
        <f aca="false">IF($T60="","",IF($B$10=0,"",$T60/$B$10))</f>
        <v>1830.515873015873015</v>
      </c>
      <c r="V60" s="17">
        <f aca="false">IF($P60="","",IF($B$10=0,"",$P60/$B$10))</f>
        <v>2033.888888888888888</v>
      </c>
      <c r="W60" s="19">
        <f aca="false">IF($T60="",1000000000000000,$T60)</f>
        <v>46129</v>
      </c>
      <c r="XFB60" s="6"/>
      <c r="XFC60" s="3"/>
    </row>
    <row r="61" s="22" collapsed="false" customFormat="true" customHeight="true" hidden="false" ht="28.5" outlineLevel="0">
      <c r="A61" s="16">
        <f aca="false">IF($T61="","",1+COUNTIF($W$15:$W$895,"&lt;"&amp;W61))</f>
        <v>47</v>
      </c>
      <c r="B61" s="16" t="s">
        <v>6</v>
      </c>
      <c r="C61" s="16" t="s">
        <v>1705</v>
      </c>
      <c r="D61" s="21" t="s">
        <v>81</v>
      </c>
      <c r="E61" s="16" t="s">
        <v>26</v>
      </c>
      <c r="F61" s="16" t="s">
        <v>1706</v>
      </c>
      <c r="G61" s="17">
        <v>1945</v>
      </c>
      <c r="H61" s="17">
        <v>2149</v>
      </c>
      <c r="I61" s="17"/>
      <c r="J61" s="17">
        <v>1945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1945</v>
      </c>
      <c r="M61" s="17">
        <f aca="false">IF($H61="","",$H61+$K61)</f>
        <v>2149</v>
      </c>
      <c r="N61" s="17">
        <f aca="false">IF($J61="","",$J61+$K61)</f>
        <v>1945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27,230원 / 고급유 24,069원</v>
      </c>
      <c r="P61" s="17">
        <f aca="false">IF($B$10=0,"",IFERROR(IF($B$4&gt;0,IF($L61="",1/0,$L61*$B$4),0)+IF($B$5&gt;0,IF($M61="",1/0,$M61*$B$5),0)+IF($B$6&gt;0,IF($N61="",1/0,$N61*$B$6),0),""))</f>
        <v>51298.8</v>
      </c>
      <c r="Q61" s="17" t="s">
        <v>54</v>
      </c>
      <c r="R61" s="18">
        <f aca="false">IF($P61="","",IF($Q61="Y",IFERROR(VLOOKUP($B61,$C$4:$D$13,2,FALSE()),0),0))</f>
        <v>0.1</v>
      </c>
      <c r="S61" s="17">
        <f aca="false">IF($P61="","",ROUNDDOWN($P61*$R61,0))</f>
        <v>5129</v>
      </c>
      <c r="T61" s="17">
        <f aca="false">IF($P61="","",$P61-$S61)</f>
        <v>46169.8</v>
      </c>
      <c r="U61" s="17">
        <f aca="false">IF($T61="","",IF($B$10=0,"",$T61/$B$10))</f>
        <v>1832.134920634920634</v>
      </c>
      <c r="V61" s="17">
        <f aca="false">IF($P61="","",IF($B$10=0,"",$P61/$B$10))</f>
        <v>2035.666666666666666</v>
      </c>
      <c r="W61" s="19">
        <f aca="false">IF($T61="",1000000000000000,$T61)</f>
        <v>46169.8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IF($T62="","",1+COUNTIF($W$15:$W$895,"&lt;"&amp;W62))</f>
        <v>48</v>
      </c>
      <c r="B62" s="16" t="s">
        <v>10</v>
      </c>
      <c r="C62" s="16" t="s">
        <v>91</v>
      </c>
      <c r="D62" s="16" t="s">
        <v>58</v>
      </c>
      <c r="E62" s="16" t="s">
        <v>26</v>
      </c>
      <c r="F62" s="16" t="s">
        <v>92</v>
      </c>
      <c r="G62" s="17">
        <v>1925</v>
      </c>
      <c r="H62" s="17">
        <v>2175</v>
      </c>
      <c r="I62" s="17"/>
      <c r="J62" s="17">
        <v>1925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1925</v>
      </c>
      <c r="M62" s="17">
        <f aca="false">IF($H62="","",$H62+$K62)</f>
        <v>2175</v>
      </c>
      <c r="N62" s="17">
        <f aca="false">IF($J62="","",$J62+$K62)</f>
        <v>1925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26,950원 / 고급유 24,360원</v>
      </c>
      <c r="P62" s="17">
        <f aca="false">IF($B$10=0,"",IFERROR(IF($B$4&gt;0,IF($L62="",1/0,$L62*$B$4),0)+IF($B$5&gt;0,IF($M62="",1/0,$M62*$B$5),0)+IF($B$6&gt;0,IF($N62="",1/0,$N62*$B$6),0),""))</f>
        <v>51310</v>
      </c>
      <c r="Q62" s="17" t="s">
        <v>54</v>
      </c>
      <c r="R62" s="18">
        <f aca="false">IF($P62="","",IF($Q62="Y",IFERROR(VLOOKUP($B62,$C$4:$D$13,2,FALSE()),0),0))</f>
        <v>0.1</v>
      </c>
      <c r="S62" s="17">
        <f aca="false">IF($P62="","",ROUNDDOWN($P62*$R62,0))</f>
        <v>5131</v>
      </c>
      <c r="T62" s="17">
        <f aca="false">IF($P62="","",$P62-$S62)</f>
        <v>46179</v>
      </c>
      <c r="U62" s="17">
        <f aca="false">IF($T62="","",IF($B$10=0,"",$T62/$B$10))</f>
        <v>1832.5</v>
      </c>
      <c r="V62" s="17">
        <f aca="false">IF($P62="","",IF($B$10=0,"",$P62/$B$10))</f>
        <v>2036.111111111111111</v>
      </c>
      <c r="W62" s="19">
        <f aca="false">IF($T62="",1000000000000000,$T62)</f>
        <v>46179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IF($T63="","",1+COUNTIF($W$15:$W$895,"&lt;"&amp;W63))</f>
        <v>49</v>
      </c>
      <c r="B63" s="16" t="s">
        <v>6</v>
      </c>
      <c r="C63" s="16" t="s">
        <v>597</v>
      </c>
      <c r="D63" s="21" t="s">
        <v>81</v>
      </c>
      <c r="E63" s="16" t="s">
        <v>26</v>
      </c>
      <c r="F63" s="16" t="s">
        <v>598</v>
      </c>
      <c r="G63" s="17">
        <v>1924</v>
      </c>
      <c r="H63" s="17">
        <v>2189</v>
      </c>
      <c r="I63" s="17"/>
      <c r="J63" s="17">
        <v>1924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1924</v>
      </c>
      <c r="M63" s="17">
        <f aca="false">IF($H63="","",$H63+$K63)</f>
        <v>2189</v>
      </c>
      <c r="N63" s="17">
        <f aca="false">IF($J63="","",$J63+$K63)</f>
        <v>1924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26,936원 / 고급유 24,517원</v>
      </c>
      <c r="P63" s="17">
        <f aca="false">IF($B$10=0,"",IFERROR(IF($B$4&gt;0,IF($L63="",1/0,$L63*$B$4),0)+IF($B$5&gt;0,IF($M63="",1/0,$M63*$B$5),0)+IF($B$6&gt;0,IF($N63="",1/0,$N63*$B$6),0),""))</f>
        <v>51452.8</v>
      </c>
      <c r="Q63" s="17" t="s">
        <v>54</v>
      </c>
      <c r="R63" s="18">
        <f aca="false">IF($P63="","",IF($Q63="Y",IFERROR(VLOOKUP($B63,$C$4:$D$13,2,FALSE()),0),0))</f>
        <v>0.1</v>
      </c>
      <c r="S63" s="17">
        <f aca="false">IF($P63="","",ROUNDDOWN($P63*$R63,0))</f>
        <v>5145</v>
      </c>
      <c r="T63" s="17">
        <f aca="false">IF($P63="","",$P63-$S63)</f>
        <v>46307.8</v>
      </c>
      <c r="U63" s="17">
        <f aca="false">IF($T63="","",IF($B$10=0,"",$T63/$B$10))</f>
        <v>1837.611111111111111</v>
      </c>
      <c r="V63" s="17">
        <f aca="false">IF($P63="","",IF($B$10=0,"",$P63/$B$10))</f>
        <v>2041.777777777777777</v>
      </c>
      <c r="W63" s="19">
        <f aca="false">IF($T63="",1000000000000000,$T63)</f>
        <v>46307.8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IF($T64="","",1+COUNTIF($W$15:$W$895,"&lt;"&amp;W64))</f>
        <v>50</v>
      </c>
      <c r="B64" s="16" t="s">
        <v>6</v>
      </c>
      <c r="C64" s="16" t="s">
        <v>114</v>
      </c>
      <c r="D64" s="16" t="s">
        <v>58</v>
      </c>
      <c r="E64" s="16" t="s">
        <v>26</v>
      </c>
      <c r="F64" s="16" t="s">
        <v>115</v>
      </c>
      <c r="G64" s="17">
        <v>1929</v>
      </c>
      <c r="H64" s="17">
        <v>2189</v>
      </c>
      <c r="I64" s="17"/>
      <c r="J64" s="17">
        <v>1899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1929</v>
      </c>
      <c r="M64" s="17">
        <f aca="false">IF($H64="","",$H64+$K64)</f>
        <v>2189</v>
      </c>
      <c r="N64" s="17">
        <f aca="false">IF($J64="","",$J64+$K64)</f>
        <v>1899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27,006원 / 고급유 24,517원</v>
      </c>
      <c r="P64" s="17">
        <f aca="false">IF($B$10=0,"",IFERROR(IF($B$4&gt;0,IF($L64="",1/0,$L64*$B$4),0)+IF($B$5&gt;0,IF($M64="",1/0,$M64*$B$5),0)+IF($B$6&gt;0,IF($N64="",1/0,$N64*$B$6),0),""))</f>
        <v>51522.8</v>
      </c>
      <c r="Q64" s="17" t="s">
        <v>54</v>
      </c>
      <c r="R64" s="18">
        <f aca="false">IF($P64="","",IF($Q64="Y",IFERROR(VLOOKUP($B64,$C$4:$D$13,2,FALSE()),0),0))</f>
        <v>0.1</v>
      </c>
      <c r="S64" s="17">
        <f aca="false">IF($P64="","",ROUNDDOWN($P64*$R64,0))</f>
        <v>5152</v>
      </c>
      <c r="T64" s="17">
        <f aca="false">IF($P64="","",$P64-$S64)</f>
        <v>46370.8</v>
      </c>
      <c r="U64" s="17">
        <f aca="false">IF($T64="","",IF($B$10=0,"",$T64/$B$10))</f>
        <v>1840.111111111111111</v>
      </c>
      <c r="V64" s="17">
        <f aca="false">IF($P64="","",IF($B$10=0,"",$P64/$B$10))</f>
        <v>2044.555555555555555</v>
      </c>
      <c r="W64" s="19">
        <f aca="false">IF($T64="",1000000000000000,$T64)</f>
        <v>46370.8</v>
      </c>
      <c r="XFB64" s="6"/>
      <c r="XFC64" s="3"/>
    </row>
    <row r="65" s="6" collapsed="false" customFormat="true" customHeight="true" hidden="false" ht="28.5" outlineLevel="0">
      <c r="A65" s="16">
        <f aca="false">IF($T65="","",1+COUNTIF($W$15:$W$895,"&lt;"&amp;W65))</f>
        <v>51</v>
      </c>
      <c r="B65" s="16" t="s">
        <v>10</v>
      </c>
      <c r="C65" s="16" t="s">
        <v>1511</v>
      </c>
      <c r="D65" s="16" t="s">
        <v>61</v>
      </c>
      <c r="E65" s="16" t="s">
        <v>26</v>
      </c>
      <c r="F65" s="16" t="s">
        <v>1512</v>
      </c>
      <c r="G65" s="17">
        <v>1958</v>
      </c>
      <c r="H65" s="17">
        <v>2158</v>
      </c>
      <c r="I65" s="17"/>
      <c r="J65" s="17">
        <v>1958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1958</v>
      </c>
      <c r="M65" s="17">
        <f aca="false">IF($H65="","",$H65+$K65)</f>
        <v>2158</v>
      </c>
      <c r="N65" s="17">
        <f aca="false">IF($J65="","",$J65+$K65)</f>
        <v>1958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27,412원 / 고급유 24,170원</v>
      </c>
      <c r="P65" s="17">
        <f aca="false">IF($B$10=0,"",IFERROR(IF($B$4&gt;0,IF($L65="",1/0,$L65*$B$4),0)+IF($B$5&gt;0,IF($M65="",1/0,$M65*$B$5),0)+IF($B$6&gt;0,IF($N65="",1/0,$N65*$B$6),0),""))</f>
        <v>51581.6</v>
      </c>
      <c r="Q65" s="17" t="s">
        <v>54</v>
      </c>
      <c r="R65" s="18">
        <f aca="false">IF($P65="","",IF($Q65="Y",IFERROR(VLOOKUP($B65,$C$4:$D$13,2,FALSE()),0),0))</f>
        <v>0.1</v>
      </c>
      <c r="S65" s="17">
        <f aca="false">IF($P65="","",ROUNDDOWN($P65*$R65,0))</f>
        <v>5158</v>
      </c>
      <c r="T65" s="17">
        <f aca="false">IF($P65="","",$P65-$S65)</f>
        <v>46423.6</v>
      </c>
      <c r="U65" s="17">
        <f aca="false">IF($T65="","",IF($B$10=0,"",$T65/$B$10))</f>
        <v>1842.206349206349206</v>
      </c>
      <c r="V65" s="17">
        <f aca="false">IF($P65="","",IF($B$10=0,"",$P65/$B$10))</f>
        <v>2046.888888888888888</v>
      </c>
      <c r="W65" s="19">
        <f aca="false">IF($T65="",1000000000000000,$T65)</f>
        <v>46423.6</v>
      </c>
      <c r="XFC65" s="3"/>
    </row>
    <row r="66" s="5" collapsed="false" customFormat="true" customHeight="true" hidden="false" ht="28.5" outlineLevel="0">
      <c r="A66" s="16">
        <f aca="false">IF($T66="","",1+COUNTIF($W$15:$W$895,"&lt;"&amp;W66))</f>
        <v>52</v>
      </c>
      <c r="B66" s="16" t="s">
        <v>12</v>
      </c>
      <c r="C66" s="16" t="s">
        <v>342</v>
      </c>
      <c r="D66" s="20" t="s">
        <v>61</v>
      </c>
      <c r="E66" s="16" t="s">
        <v>26</v>
      </c>
      <c r="F66" s="16" t="s">
        <v>343</v>
      </c>
      <c r="G66" s="17">
        <v>1894</v>
      </c>
      <c r="H66" s="17">
        <v>2249</v>
      </c>
      <c r="I66" s="17"/>
      <c r="J66" s="17">
        <v>1894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1894</v>
      </c>
      <c r="M66" s="17">
        <f aca="false">IF($H66="","",$H66+$K66)</f>
        <v>2249</v>
      </c>
      <c r="N66" s="17">
        <f aca="false">IF($J66="","",$J66+$K66)</f>
        <v>1894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26,516원 / 고급유 25,189원</v>
      </c>
      <c r="P66" s="17">
        <f aca="false">IF($B$10=0,"",IFERROR(IF($B$4&gt;0,IF($L66="",1/0,$L66*$B$4),0)+IF($B$5&gt;0,IF($M66="",1/0,$M66*$B$5),0)+IF($B$6&gt;0,IF($N66="",1/0,$N66*$B$6),0),""))</f>
        <v>51704.8</v>
      </c>
      <c r="Q66" s="17" t="s">
        <v>54</v>
      </c>
      <c r="R66" s="18">
        <f aca="false">IF($P66="","",IF($Q66="Y",IFERROR(VLOOKUP($B66,$C$4:$D$13,2,FALSE()),0),0))</f>
        <v>0.1</v>
      </c>
      <c r="S66" s="17">
        <f aca="false">IF($P66="","",ROUNDDOWN($P66*$R66,0))</f>
        <v>5170</v>
      </c>
      <c r="T66" s="17">
        <f aca="false">IF($P66="","",$P66-$S66)</f>
        <v>46534.8</v>
      </c>
      <c r="U66" s="17">
        <f aca="false">IF($T66="","",IF($B$10=0,"",$T66/$B$10))</f>
        <v>1846.619047619047619</v>
      </c>
      <c r="V66" s="17">
        <f aca="false">IF($P66="","",IF($B$10=0,"",$P66/$B$10))</f>
        <v>2051.777777777777777</v>
      </c>
      <c r="W66" s="19">
        <f aca="false">IF($T66="",1000000000000000,$T66)</f>
        <v>46534.8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IF($T67="","",1+COUNTIF($W$15:$W$895,"&lt;"&amp;W67))</f>
        <v>53</v>
      </c>
      <c r="B67" s="16" t="s">
        <v>6</v>
      </c>
      <c r="C67" s="16" t="s">
        <v>242</v>
      </c>
      <c r="D67" s="21" t="s">
        <v>81</v>
      </c>
      <c r="E67" s="16" t="s">
        <v>26</v>
      </c>
      <c r="F67" s="16" t="s">
        <v>243</v>
      </c>
      <c r="G67" s="17">
        <v>1968</v>
      </c>
      <c r="H67" s="17">
        <v>2159</v>
      </c>
      <c r="I67" s="17"/>
      <c r="J67" s="17">
        <v>1925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1968</v>
      </c>
      <c r="M67" s="17">
        <f aca="false">IF($H67="","",$H67+$K67)</f>
        <v>2159</v>
      </c>
      <c r="N67" s="17">
        <f aca="false">IF($J67="","",$J67+$K67)</f>
        <v>1925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27,552원 / 고급유 24,181원</v>
      </c>
      <c r="P67" s="17">
        <f aca="false">IF($B$10=0,"",IFERROR(IF($B$4&gt;0,IF($L67="",1/0,$L67*$B$4),0)+IF($B$5&gt;0,IF($M67="",1/0,$M67*$B$5),0)+IF($B$6&gt;0,IF($N67="",1/0,$N67*$B$6),0),""))</f>
        <v>51732.8</v>
      </c>
      <c r="Q67" s="17" t="s">
        <v>54</v>
      </c>
      <c r="R67" s="18">
        <f aca="false">IF($P67="","",IF($Q67="Y",IFERROR(VLOOKUP($B67,$C$4:$D$13,2,FALSE()),0),0))</f>
        <v>0.1</v>
      </c>
      <c r="S67" s="17">
        <f aca="false">IF($P67="","",ROUNDDOWN($P67*$R67,0))</f>
        <v>5173</v>
      </c>
      <c r="T67" s="17">
        <f aca="false">IF($P67="","",$P67-$S67)</f>
        <v>46559.8</v>
      </c>
      <c r="U67" s="17">
        <f aca="false">IF($T67="","",IF($B$10=0,"",$T67/$B$10))</f>
        <v>1847.611111111111111</v>
      </c>
      <c r="V67" s="17">
        <f aca="false">IF($P67="","",IF($B$10=0,"",$P67/$B$10))</f>
        <v>2052.888888888888888</v>
      </c>
      <c r="W67" s="19">
        <f aca="false">IF($T67="",1000000000000000,$T67)</f>
        <v>46559.8</v>
      </c>
      <c r="XFB67" s="6"/>
      <c r="XFC67" s="3"/>
    </row>
    <row r="68" s="22" collapsed="false" customFormat="true" customHeight="true" hidden="false" ht="28.5" outlineLevel="0">
      <c r="A68" s="16">
        <f aca="false">IF($T68="","",1+COUNTIF($W$15:$W$895,"&lt;"&amp;W68))</f>
        <v>54</v>
      </c>
      <c r="B68" s="16" t="s">
        <v>10</v>
      </c>
      <c r="C68" s="16" t="s">
        <v>1424</v>
      </c>
      <c r="D68" s="16" t="s">
        <v>61</v>
      </c>
      <c r="E68" s="16" t="s">
        <v>62</v>
      </c>
      <c r="F68" s="16" t="s">
        <v>1425</v>
      </c>
      <c r="G68" s="17">
        <v>1898</v>
      </c>
      <c r="H68" s="17">
        <v>2258</v>
      </c>
      <c r="I68" s="17"/>
      <c r="J68" s="17">
        <v>1898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1898</v>
      </c>
      <c r="M68" s="17">
        <f aca="false">IF($H68="","",$H68+$K68)</f>
        <v>2258</v>
      </c>
      <c r="N68" s="17">
        <f aca="false">IF($J68="","",$J68+$K68)</f>
        <v>1898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26,572원 / 고급유 25,290원</v>
      </c>
      <c r="P68" s="17">
        <f aca="false">IF($B$10=0,"",IFERROR(IF($B$4&gt;0,IF($L68="",1/0,$L68*$B$4),0)+IF($B$5&gt;0,IF($M68="",1/0,$M68*$B$5),0)+IF($B$6&gt;0,IF($N68="",1/0,$N68*$B$6),0),""))</f>
        <v>51861.6</v>
      </c>
      <c r="Q68" s="17" t="s">
        <v>54</v>
      </c>
      <c r="R68" s="18">
        <f aca="false">IF($P68="","",IF($Q68="Y",IFERROR(VLOOKUP($B68,$C$4:$D$13,2,FALSE()),0),0))</f>
        <v>0.1</v>
      </c>
      <c r="S68" s="17">
        <f aca="false">IF($P68="","",ROUNDDOWN($P68*$R68,0))</f>
        <v>5186</v>
      </c>
      <c r="T68" s="17">
        <f aca="false">IF($P68="","",$P68-$S68)</f>
        <v>46675.6</v>
      </c>
      <c r="U68" s="17">
        <f aca="false">IF($T68="","",IF($B$10=0,"",$T68/$B$10))</f>
        <v>1852.206349206349206</v>
      </c>
      <c r="V68" s="17">
        <f aca="false">IF($P68="","",IF($B$10=0,"",$P68/$B$10))</f>
        <v>2058</v>
      </c>
      <c r="W68" s="19">
        <f aca="false">IF($T68="",1000000000000000,$T68)</f>
        <v>46675.6</v>
      </c>
      <c r="XFB68" s="6"/>
      <c r="XFC68" s="3"/>
    </row>
    <row r="69" s="22" collapsed="false" customFormat="true" customHeight="true" hidden="false" ht="28.5" outlineLevel="0">
      <c r="A69" s="16">
        <f aca="false">IF($T69="","",1+COUNTIF($W$15:$W$895,"&lt;"&amp;W69))</f>
        <v>55</v>
      </c>
      <c r="B69" s="16" t="s">
        <v>14</v>
      </c>
      <c r="C69" s="16" t="s">
        <v>1254</v>
      </c>
      <c r="D69" s="16" t="s">
        <v>61</v>
      </c>
      <c r="E69" s="16" t="s">
        <v>26</v>
      </c>
      <c r="F69" s="16" t="s">
        <v>1255</v>
      </c>
      <c r="G69" s="17">
        <v>1955</v>
      </c>
      <c r="H69" s="17">
        <v>2239</v>
      </c>
      <c r="I69" s="17"/>
      <c r="J69" s="17">
        <v>1955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1955</v>
      </c>
      <c r="M69" s="17">
        <f aca="false">IF($H69="","",$H69+$K69)</f>
        <v>2239</v>
      </c>
      <c r="N69" s="17">
        <f aca="false">IF($J69="","",$J69+$K69)</f>
        <v>1955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27,370원 / 고급유 25,077원</v>
      </c>
      <c r="P69" s="17">
        <f aca="false">IF($B$10=0,"",IFERROR(IF($B$4&gt;0,IF($L69="",1/0,$L69*$B$4),0)+IF($B$5&gt;0,IF($M69="",1/0,$M69*$B$5),0)+IF($B$6&gt;0,IF($N69="",1/0,$N69*$B$6),0),""))</f>
        <v>52446.8</v>
      </c>
      <c r="Q69" s="17" t="s">
        <v>54</v>
      </c>
      <c r="R69" s="18">
        <f aca="false">IF($P69="","",IF($Q69="Y",IFERROR(VLOOKUP($B69,$C$4:$D$13,2,FALSE()),0),0))</f>
        <v>0.11</v>
      </c>
      <c r="S69" s="17">
        <f aca="false">IF($P69="","",ROUNDDOWN($P69*$R69,0))</f>
        <v>5769</v>
      </c>
      <c r="T69" s="17">
        <f aca="false">IF($P69="","",$P69-$S69)</f>
        <v>46677.8</v>
      </c>
      <c r="U69" s="17">
        <f aca="false">IF($T69="","",IF($B$10=0,"",$T69/$B$10))</f>
        <v>1852.293650793650793</v>
      </c>
      <c r="V69" s="17">
        <f aca="false">IF($P69="","",IF($B$10=0,"",$P69/$B$10))</f>
        <v>2081.222222222222222</v>
      </c>
      <c r="W69" s="19">
        <f aca="false">IF($T69="",1000000000000000,$T69)</f>
        <v>46677.8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IF($T70="","",1+COUNTIF($W$15:$W$895,"&lt;"&amp;W70))</f>
        <v>56</v>
      </c>
      <c r="B70" s="16" t="s">
        <v>6</v>
      </c>
      <c r="C70" s="16" t="s">
        <v>1750</v>
      </c>
      <c r="D70" s="16" t="s">
        <v>45</v>
      </c>
      <c r="E70" s="16" t="s">
        <v>26</v>
      </c>
      <c r="F70" s="16" t="s">
        <v>1751</v>
      </c>
      <c r="G70" s="17">
        <v>1955</v>
      </c>
      <c r="H70" s="17">
        <v>2199</v>
      </c>
      <c r="I70" s="17"/>
      <c r="J70" s="17">
        <v>1915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1955</v>
      </c>
      <c r="M70" s="17">
        <f aca="false">IF($H70="","",$H70+$K70)</f>
        <v>2199</v>
      </c>
      <c r="N70" s="17">
        <f aca="false">IF($J70="","",$J70+$K70)</f>
        <v>1915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27,370원 / 고급유 24,629원</v>
      </c>
      <c r="P70" s="17">
        <f aca="false">IF($B$10=0,"",IFERROR(IF($B$4&gt;0,IF($L70="",1/0,$L70*$B$4),0)+IF($B$5&gt;0,IF($M70="",1/0,$M70*$B$5),0)+IF($B$6&gt;0,IF($N70="",1/0,$N70*$B$6),0),""))</f>
        <v>51998.8</v>
      </c>
      <c r="Q70" s="17" t="s">
        <v>54</v>
      </c>
      <c r="R70" s="18">
        <f aca="false">IF($P70="","",IF($Q70="Y",IFERROR(VLOOKUP($B70,$C$4:$D$13,2,FALSE()),0),0))</f>
        <v>0.1</v>
      </c>
      <c r="S70" s="17">
        <f aca="false">IF($P70="","",ROUNDDOWN($P70*$R70,0))</f>
        <v>5199</v>
      </c>
      <c r="T70" s="17">
        <f aca="false">IF($P70="","",$P70-$S70)</f>
        <v>46799.8</v>
      </c>
      <c r="U70" s="17">
        <f aca="false">IF($T70="","",IF($B$10=0,"",$T70/$B$10))</f>
        <v>1857.134920634920634</v>
      </c>
      <c r="V70" s="17">
        <f aca="false">IF($P70="","",IF($B$10=0,"",$P70/$B$10))</f>
        <v>2063.444444444444444</v>
      </c>
      <c r="W70" s="19">
        <f aca="false">IF($T70="",1000000000000000,$T70)</f>
        <v>46799.8</v>
      </c>
      <c r="XFC70" s="3"/>
    </row>
    <row r="71" s="22" collapsed="false" customFormat="true" customHeight="true" hidden="false" ht="28.5" outlineLevel="0">
      <c r="A71" s="16">
        <f aca="false">IF($T71="","",1+COUNTIF($W$15:$W$895,"&lt;"&amp;W71))</f>
        <v>57</v>
      </c>
      <c r="B71" s="16" t="s">
        <v>12</v>
      </c>
      <c r="C71" s="16" t="s">
        <v>326</v>
      </c>
      <c r="D71" s="20" t="s">
        <v>61</v>
      </c>
      <c r="E71" s="16" t="s">
        <v>26</v>
      </c>
      <c r="F71" s="16" t="s">
        <v>327</v>
      </c>
      <c r="G71" s="17">
        <v>1919</v>
      </c>
      <c r="H71" s="17">
        <v>2249</v>
      </c>
      <c r="I71" s="17"/>
      <c r="J71" s="17">
        <v>1919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1919</v>
      </c>
      <c r="M71" s="17">
        <f aca="false">IF($H71="","",$H71+$K71)</f>
        <v>2249</v>
      </c>
      <c r="N71" s="17">
        <f aca="false">IF($J71="","",$J71+$K71)</f>
        <v>1919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26,866원 / 고급유 25,189원</v>
      </c>
      <c r="P71" s="17">
        <f aca="false">IF($B$10=0,"",IFERROR(IF($B$4&gt;0,IF($L71="",1/0,$L71*$B$4),0)+IF($B$5&gt;0,IF($M71="",1/0,$M71*$B$5),0)+IF($B$6&gt;0,IF($N71="",1/0,$N71*$B$6),0),""))</f>
        <v>52054.8</v>
      </c>
      <c r="Q71" s="17" t="s">
        <v>54</v>
      </c>
      <c r="R71" s="18">
        <f aca="false">IF($P71="","",IF($Q71="Y",IFERROR(VLOOKUP($B71,$C$4:$D$13,2,FALSE()),0),0))</f>
        <v>0.1</v>
      </c>
      <c r="S71" s="17">
        <f aca="false">IF($P71="","",ROUNDDOWN($P71*$R71,0))</f>
        <v>5205</v>
      </c>
      <c r="T71" s="17">
        <f aca="false">IF($P71="","",$P71-$S71)</f>
        <v>46849.8</v>
      </c>
      <c r="U71" s="17">
        <f aca="false">IF($T71="","",IF($B$10=0,"",$T71/$B$10))</f>
        <v>1859.119047619047619</v>
      </c>
      <c r="V71" s="17">
        <f aca="false">IF($P71="","",IF($B$10=0,"",$P71/$B$10))</f>
        <v>2065.666666666666666</v>
      </c>
      <c r="W71" s="19">
        <f aca="false">IF($T71="",1000000000000000,$T71)</f>
        <v>46849.8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IF($T72="","",1+COUNTIF($W$15:$W$895,"&lt;"&amp;W72))</f>
        <v>58</v>
      </c>
      <c r="B72" s="16" t="s">
        <v>14</v>
      </c>
      <c r="C72" s="16" t="s">
        <v>1662</v>
      </c>
      <c r="D72" s="16" t="s">
        <v>61</v>
      </c>
      <c r="E72" s="16" t="s">
        <v>26</v>
      </c>
      <c r="F72" s="16" t="s">
        <v>1663</v>
      </c>
      <c r="G72" s="17">
        <v>1969</v>
      </c>
      <c r="H72" s="17">
        <v>2239</v>
      </c>
      <c r="I72" s="17"/>
      <c r="J72" s="17">
        <v>1969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1969</v>
      </c>
      <c r="M72" s="17">
        <f aca="false">IF($H72="","",$H72+$K72)</f>
        <v>2239</v>
      </c>
      <c r="N72" s="17">
        <f aca="false">IF($J72="","",$J72+$K72)</f>
        <v>1969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27,566원 / 고급유 25,077원</v>
      </c>
      <c r="P72" s="17">
        <f aca="false">IF($B$10=0,"",IFERROR(IF($B$4&gt;0,IF($L72="",1/0,$L72*$B$4),0)+IF($B$5&gt;0,IF($M72="",1/0,$M72*$B$5),0)+IF($B$6&gt;0,IF($N72="",1/0,$N72*$B$6),0),""))</f>
        <v>52642.8</v>
      </c>
      <c r="Q72" s="17" t="s">
        <v>54</v>
      </c>
      <c r="R72" s="18">
        <f aca="false">IF($P72="","",IF($Q72="Y",IFERROR(VLOOKUP($B72,$C$4:$D$13,2,FALSE()),0),0))</f>
        <v>0.11</v>
      </c>
      <c r="S72" s="17">
        <f aca="false">IF($P72="","",ROUNDDOWN($P72*$R72,0))</f>
        <v>5790</v>
      </c>
      <c r="T72" s="17">
        <f aca="false">IF($P72="","",$P72-$S72)</f>
        <v>46852.8</v>
      </c>
      <c r="U72" s="17">
        <f aca="false">IF($T72="","",IF($B$10=0,"",$T72/$B$10))</f>
        <v>1859.238095238095238</v>
      </c>
      <c r="V72" s="17">
        <f aca="false">IF($P72="","",IF($B$10=0,"",$P72/$B$10))</f>
        <v>2089</v>
      </c>
      <c r="W72" s="19">
        <f aca="false">IF($T72="",1000000000000000,$T72)</f>
        <v>46852.8</v>
      </c>
      <c r="XFC72" s="3"/>
    </row>
    <row r="73" s="5" collapsed="false" customFormat="true" customHeight="true" hidden="false" ht="28.5" outlineLevel="0">
      <c r="A73" s="16">
        <f aca="false">IF($T73="","",1+COUNTIF($W$15:$W$895,"&lt;"&amp;W73))</f>
        <v>59</v>
      </c>
      <c r="B73" s="16" t="s">
        <v>14</v>
      </c>
      <c r="C73" s="16" t="s">
        <v>1017</v>
      </c>
      <c r="D73" s="16" t="s">
        <v>45</v>
      </c>
      <c r="E73" s="16" t="s">
        <v>26</v>
      </c>
      <c r="F73" s="16" t="s">
        <v>1018</v>
      </c>
      <c r="G73" s="17">
        <v>1959</v>
      </c>
      <c r="H73" s="17">
        <v>2255</v>
      </c>
      <c r="I73" s="17"/>
      <c r="J73" s="17">
        <v>1959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1959</v>
      </c>
      <c r="M73" s="17">
        <f aca="false">IF($H73="","",$H73+$K73)</f>
        <v>2255</v>
      </c>
      <c r="N73" s="17">
        <f aca="false">IF($J73="","",$J73+$K73)</f>
        <v>1959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27,426원 / 고급유 25,256원</v>
      </c>
      <c r="P73" s="17">
        <f aca="false">IF($B$10=0,"",IFERROR(IF($B$4&gt;0,IF($L73="",1/0,$L73*$B$4),0)+IF($B$5&gt;0,IF($M73="",1/0,$M73*$B$5),0)+IF($B$6&gt;0,IF($N73="",1/0,$N73*$B$6),0),""))</f>
        <v>52682</v>
      </c>
      <c r="Q73" s="17" t="s">
        <v>54</v>
      </c>
      <c r="R73" s="18">
        <f aca="false">IF($P73="","",IF($Q73="Y",IFERROR(VLOOKUP($B73,$C$4:$D$13,2,FALSE()),0),0))</f>
        <v>0.11</v>
      </c>
      <c r="S73" s="17">
        <f aca="false">IF($P73="","",ROUNDDOWN($P73*$R73,0))</f>
        <v>5795</v>
      </c>
      <c r="T73" s="17">
        <f aca="false">IF($P73="","",$P73-$S73)</f>
        <v>46887</v>
      </c>
      <c r="U73" s="17">
        <f aca="false">IF($T73="","",IF($B$10=0,"",$T73/$B$10))</f>
        <v>1860.595238095238095</v>
      </c>
      <c r="V73" s="17">
        <f aca="false">IF($P73="","",IF($B$10=0,"",$P73/$B$10))</f>
        <v>2090.555555555555555</v>
      </c>
      <c r="W73" s="19">
        <f aca="false">IF($T73="",1000000000000000,$T73)</f>
        <v>46887</v>
      </c>
      <c r="XFB73" s="6"/>
      <c r="XFC73" s="3"/>
    </row>
    <row r="74" s="22" collapsed="false" customFormat="true" customHeight="true" hidden="false" ht="28.5" outlineLevel="0">
      <c r="A74" s="16">
        <f aca="false">IF($T74="","",1+COUNTIF($W$15:$W$895,"&lt;"&amp;W74))</f>
        <v>60</v>
      </c>
      <c r="B74" s="16" t="s">
        <v>6</v>
      </c>
      <c r="C74" s="16" t="s">
        <v>1260</v>
      </c>
      <c r="D74" s="16" t="s">
        <v>45</v>
      </c>
      <c r="E74" s="16" t="s">
        <v>26</v>
      </c>
      <c r="F74" s="16" t="s">
        <v>1261</v>
      </c>
      <c r="G74" s="17">
        <v>1894</v>
      </c>
      <c r="H74" s="17">
        <v>2298</v>
      </c>
      <c r="I74" s="17"/>
      <c r="J74" s="17">
        <v>1894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1894</v>
      </c>
      <c r="M74" s="17">
        <f aca="false">IF($H74="","",$H74+$K74)</f>
        <v>2298</v>
      </c>
      <c r="N74" s="17">
        <f aca="false">IF($J74="","",$J74+$K74)</f>
        <v>1894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26,516원 / 고급유 25,738원</v>
      </c>
      <c r="P74" s="17">
        <f aca="false">IF($B$10=0,"",IFERROR(IF($B$4&gt;0,IF($L74="",1/0,$L74*$B$4),0)+IF($B$5&gt;0,IF($M74="",1/0,$M74*$B$5),0)+IF($B$6&gt;0,IF($N74="",1/0,$N74*$B$6),0),""))</f>
        <v>52253.6</v>
      </c>
      <c r="Q74" s="17" t="s">
        <v>54</v>
      </c>
      <c r="R74" s="18">
        <f aca="false">IF($P74="","",IF($Q74="Y",IFERROR(VLOOKUP($B74,$C$4:$D$13,2,FALSE()),0),0))</f>
        <v>0.1</v>
      </c>
      <c r="S74" s="17">
        <f aca="false">IF($P74="","",ROUNDDOWN($P74*$R74,0))</f>
        <v>5225</v>
      </c>
      <c r="T74" s="17">
        <f aca="false">IF($P74="","",$P74-$S74)</f>
        <v>47028.6</v>
      </c>
      <c r="U74" s="17">
        <f aca="false">IF($T74="","",IF($B$10=0,"",$T74/$B$10))</f>
        <v>1866.214285714285714</v>
      </c>
      <c r="V74" s="17">
        <f aca="false">IF($P74="","",IF($B$10=0,"",$P74/$B$10))</f>
        <v>2073.555555555555555</v>
      </c>
      <c r="W74" s="19">
        <f aca="false">IF($T74="",1000000000000000,$T74)</f>
        <v>47028.6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IF($T75="","",1+COUNTIF($W$15:$W$895,"&lt;"&amp;W75))</f>
        <v>61</v>
      </c>
      <c r="B75" s="16" t="s">
        <v>10</v>
      </c>
      <c r="C75" s="16" t="s">
        <v>902</v>
      </c>
      <c r="D75" s="16" t="s">
        <v>45</v>
      </c>
      <c r="E75" s="16" t="s">
        <v>26</v>
      </c>
      <c r="F75" s="16" t="s">
        <v>903</v>
      </c>
      <c r="G75" s="17">
        <v>1899</v>
      </c>
      <c r="H75" s="17">
        <v>2299</v>
      </c>
      <c r="I75" s="17"/>
      <c r="J75" s="17">
        <v>1899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1899</v>
      </c>
      <c r="M75" s="17">
        <f aca="false">IF($H75="","",$H75+$K75)</f>
        <v>2299</v>
      </c>
      <c r="N75" s="17">
        <f aca="false">IF($J75="","",$J75+$K75)</f>
        <v>1899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26,586원 / 고급유 25,749원</v>
      </c>
      <c r="P75" s="17">
        <f aca="false">IF($B$10=0,"",IFERROR(IF($B$4&gt;0,IF($L75="",1/0,$L75*$B$4),0)+IF($B$5&gt;0,IF($M75="",1/0,$M75*$B$5),0)+IF($B$6&gt;0,IF($N75="",1/0,$N75*$B$6),0),""))</f>
        <v>52334.8</v>
      </c>
      <c r="Q75" s="17" t="s">
        <v>54</v>
      </c>
      <c r="R75" s="18">
        <f aca="false">IF($P75="","",IF($Q75="Y",IFERROR(VLOOKUP($B75,$C$4:$D$13,2,FALSE()),0),0))</f>
        <v>0.1</v>
      </c>
      <c r="S75" s="17">
        <f aca="false">IF($P75="","",ROUNDDOWN($P75*$R75,0))</f>
        <v>5233</v>
      </c>
      <c r="T75" s="17">
        <f aca="false">IF($P75="","",$P75-$S75)</f>
        <v>47101.8</v>
      </c>
      <c r="U75" s="17">
        <f aca="false">IF($T75="","",IF($B$10=0,"",$T75/$B$10))</f>
        <v>1869.119047619047619</v>
      </c>
      <c r="V75" s="17">
        <f aca="false">IF($P75="","",IF($B$10=0,"",$P75/$B$10))</f>
        <v>2076.777777777777777</v>
      </c>
      <c r="W75" s="19">
        <f aca="false">IF($T75="",1000000000000000,$T75)</f>
        <v>47101.8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IF($T76="","",1+COUNTIF($W$15:$W$895,"&lt;"&amp;W76))</f>
        <v>62</v>
      </c>
      <c r="B76" s="16" t="s">
        <v>6</v>
      </c>
      <c r="C76" s="16" t="s">
        <v>52</v>
      </c>
      <c r="D76" s="16" t="s">
        <v>45</v>
      </c>
      <c r="E76" s="16" t="s">
        <v>26</v>
      </c>
      <c r="F76" s="16" t="s">
        <v>53</v>
      </c>
      <c r="G76" s="17">
        <v>1994</v>
      </c>
      <c r="H76" s="17">
        <v>2187</v>
      </c>
      <c r="I76" s="17"/>
      <c r="J76" s="17">
        <v>1944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1994</v>
      </c>
      <c r="M76" s="17">
        <f aca="false">IF($H76="","",$H76+$K76)</f>
        <v>2187</v>
      </c>
      <c r="N76" s="17">
        <f aca="false">IF($J76="","",$J76+$K76)</f>
        <v>1944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27,916원 / 고급유 24,494원</v>
      </c>
      <c r="P76" s="17">
        <f aca="false">IF($B$10=0,"",IFERROR(IF($B$4&gt;0,IF($L76="",1/0,$L76*$B$4),0)+IF($B$5&gt;0,IF($M76="",1/0,$M76*$B$5),0)+IF($B$6&gt;0,IF($N76="",1/0,$N76*$B$6),0),""))</f>
        <v>52410.4</v>
      </c>
      <c r="Q76" s="17" t="s">
        <v>54</v>
      </c>
      <c r="R76" s="18">
        <f aca="false">IF($P76="","",IF($Q76="Y",IFERROR(VLOOKUP($B76,$C$4:$D$13,2,FALSE()),0),0))</f>
        <v>0.1</v>
      </c>
      <c r="S76" s="17">
        <f aca="false">IF($P76="","",ROUNDDOWN($P76*$R76,0))</f>
        <v>5241</v>
      </c>
      <c r="T76" s="17">
        <f aca="false">IF($P76="","",$P76-$S76)</f>
        <v>47169.4</v>
      </c>
      <c r="U76" s="17">
        <f aca="false">IF($T76="","",IF($B$10=0,"",$T76/$B$10))</f>
        <v>1871.801587301587301</v>
      </c>
      <c r="V76" s="17">
        <f aca="false">IF($P76="","",IF($B$10=0,"",$P76/$B$10))</f>
        <v>2079.777777777777777</v>
      </c>
      <c r="W76" s="19">
        <f aca="false">IF($T76="",1000000000000000,$T76)</f>
        <v>47169.4</v>
      </c>
      <c r="XFB76" s="6"/>
      <c r="XFC76" s="3"/>
    </row>
    <row r="77" s="22" collapsed="false" customFormat="true" customHeight="true" hidden="false" ht="28.5" outlineLevel="0">
      <c r="A77" s="16">
        <f aca="false">IF($T77="","",1+COUNTIF($W$15:$W$895,"&lt;"&amp;W77))</f>
        <v>63</v>
      </c>
      <c r="B77" s="16" t="s">
        <v>12</v>
      </c>
      <c r="C77" s="16" t="s">
        <v>1365</v>
      </c>
      <c r="D77" s="21" t="s">
        <v>81</v>
      </c>
      <c r="E77" s="16" t="s">
        <v>26</v>
      </c>
      <c r="F77" s="16" t="s">
        <v>1366</v>
      </c>
      <c r="G77" s="17">
        <v>1999</v>
      </c>
      <c r="H77" s="17">
        <v>2187</v>
      </c>
      <c r="I77" s="17"/>
      <c r="J77" s="17">
        <v>1999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>2187</v>
      </c>
      <c r="N77" s="17">
        <f aca="false">IF($J77="","",$J77+$K77)</f>
        <v>1999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27,986원 / 고급유 24,494원</v>
      </c>
      <c r="P77" s="17">
        <f aca="false">IF($B$10=0,"",IFERROR(IF($B$4&gt;0,IF($L77="",1/0,$L77*$B$4),0)+IF($B$5&gt;0,IF($M77="",1/0,$M77*$B$5),0)+IF($B$6&gt;0,IF($N77="",1/0,$N77*$B$6),0),""))</f>
        <v>52480.4</v>
      </c>
      <c r="Q77" s="17" t="s">
        <v>54</v>
      </c>
      <c r="R77" s="18">
        <f aca="false">IF($P77="","",IF($Q77="Y",IFERROR(VLOOKUP($B77,$C$4:$D$13,2,FALSE()),0),0))</f>
        <v>0.1</v>
      </c>
      <c r="S77" s="17">
        <f aca="false">IF($P77="","",ROUNDDOWN($P77*$R77,0))</f>
        <v>5248</v>
      </c>
      <c r="T77" s="17">
        <f aca="false">IF($P77="","",$P77-$S77)</f>
        <v>47232.4</v>
      </c>
      <c r="U77" s="17">
        <f aca="false">IF($T77="","",IF($B$10=0,"",$T77/$B$10))</f>
        <v>1874.301587301587301</v>
      </c>
      <c r="V77" s="17">
        <f aca="false">IF($P77="","",IF($B$10=0,"",$P77/$B$10))</f>
        <v>2082.555555555555555</v>
      </c>
      <c r="W77" s="19">
        <f aca="false">IF($T77="",1000000000000000,$T77)</f>
        <v>47232.4</v>
      </c>
      <c r="XFB77" s="6"/>
      <c r="XFC77" s="3"/>
    </row>
    <row r="78" s="22" collapsed="false" customFormat="true" customHeight="true" hidden="false" ht="28.5" outlineLevel="0">
      <c r="A78" s="16">
        <f aca="false">IF($T78="","",1+COUNTIF($W$15:$W$895,"&lt;"&amp;W78))</f>
        <v>64</v>
      </c>
      <c r="B78" s="16" t="s">
        <v>6</v>
      </c>
      <c r="C78" s="16" t="s">
        <v>1644</v>
      </c>
      <c r="D78" s="21" t="s">
        <v>81</v>
      </c>
      <c r="E78" s="16" t="s">
        <v>26</v>
      </c>
      <c r="F78" s="16" t="s">
        <v>1645</v>
      </c>
      <c r="G78" s="17">
        <v>1922</v>
      </c>
      <c r="H78" s="17">
        <v>2292</v>
      </c>
      <c r="I78" s="17"/>
      <c r="J78" s="17">
        <v>1892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1922</v>
      </c>
      <c r="M78" s="17">
        <f aca="false">IF($H78="","",$H78+$K78)</f>
        <v>2292</v>
      </c>
      <c r="N78" s="17">
        <f aca="false">IF($J78="","",$J78+$K78)</f>
        <v>1892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26,908원 / 고급유 25,670원</v>
      </c>
      <c r="P78" s="17">
        <f aca="false">IF($B$10=0,"",IFERROR(IF($B$4&gt;0,IF($L78="",1/0,$L78*$B$4),0)+IF($B$5&gt;0,IF($M78="",1/0,$M78*$B$5),0)+IF($B$6&gt;0,IF($N78="",1/0,$N78*$B$6),0),""))</f>
        <v>52578.4</v>
      </c>
      <c r="Q78" s="17" t="s">
        <v>54</v>
      </c>
      <c r="R78" s="18">
        <f aca="false">IF($P78="","",IF($Q78="Y",IFERROR(VLOOKUP($B78,$C$4:$D$13,2,FALSE()),0),0))</f>
        <v>0.1</v>
      </c>
      <c r="S78" s="17">
        <f aca="false">IF($P78="","",ROUNDDOWN($P78*$R78,0))</f>
        <v>5257</v>
      </c>
      <c r="T78" s="17">
        <f aca="false">IF($P78="","",$P78-$S78)</f>
        <v>47321.4</v>
      </c>
      <c r="U78" s="17">
        <f aca="false">IF($T78="","",IF($B$10=0,"",$T78/$B$10))</f>
        <v>1877.833333333333333</v>
      </c>
      <c r="V78" s="17">
        <f aca="false">IF($P78="","",IF($B$10=0,"",$P78/$B$10))</f>
        <v>2086.444444444444444</v>
      </c>
      <c r="W78" s="19">
        <f aca="false">IF($T78="",1000000000000000,$T78)</f>
        <v>47321.4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IF($T79="","",1+COUNTIF($W$15:$W$895,"&lt;"&amp;W79))</f>
        <v>65</v>
      </c>
      <c r="B79" s="16" t="s">
        <v>6</v>
      </c>
      <c r="C79" s="16" t="s">
        <v>1218</v>
      </c>
      <c r="D79" s="16" t="s">
        <v>45</v>
      </c>
      <c r="E79" s="16" t="s">
        <v>26</v>
      </c>
      <c r="F79" s="16" t="s">
        <v>1219</v>
      </c>
      <c r="G79" s="17">
        <v>1919</v>
      </c>
      <c r="H79" s="17">
        <v>2298</v>
      </c>
      <c r="I79" s="17"/>
      <c r="J79" s="17">
        <v>1899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1919</v>
      </c>
      <c r="M79" s="17">
        <f aca="false">IF($H79="","",$H79+$K79)</f>
        <v>2298</v>
      </c>
      <c r="N79" s="17">
        <f aca="false">IF($J79="","",$J79+$K79)</f>
        <v>1899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26,866원 / 고급유 25,738원</v>
      </c>
      <c r="P79" s="17">
        <f aca="false">IF($B$10=0,"",IFERROR(IF($B$4&gt;0,IF($L79="",1/0,$L79*$B$4),0)+IF($B$5&gt;0,IF($M79="",1/0,$M79*$B$5),0)+IF($B$6&gt;0,IF($N79="",1/0,$N79*$B$6),0),""))</f>
        <v>52603.6</v>
      </c>
      <c r="Q79" s="17" t="s">
        <v>54</v>
      </c>
      <c r="R79" s="18">
        <f aca="false">IF($P79="","",IF($Q79="Y",IFERROR(VLOOKUP($B79,$C$4:$D$13,2,FALSE()),0),0))</f>
        <v>0.1</v>
      </c>
      <c r="S79" s="17">
        <f aca="false">IF($P79="","",ROUNDDOWN($P79*$R79,0))</f>
        <v>5260</v>
      </c>
      <c r="T79" s="17">
        <f aca="false">IF($P79="","",$P79-$S79)</f>
        <v>47343.6</v>
      </c>
      <c r="U79" s="17">
        <f aca="false">IF($T79="","",IF($B$10=0,"",$T79/$B$10))</f>
        <v>1878.714285714285714</v>
      </c>
      <c r="V79" s="17">
        <f aca="false">IF($P79="","",IF($B$10=0,"",$P79/$B$10))</f>
        <v>2087.444444444444444</v>
      </c>
      <c r="W79" s="19">
        <f aca="false">IF($T79="",1000000000000000,$T79)</f>
        <v>47343.6</v>
      </c>
      <c r="XFB79" s="6"/>
      <c r="XFC79" s="3"/>
    </row>
    <row r="80" s="6" collapsed="false" customFormat="true" customHeight="true" hidden="false" ht="28.5" outlineLevel="0">
      <c r="A80" s="16">
        <f aca="false">IF($T80="","",1+COUNTIF($W$15:$W$895,"&lt;"&amp;W80))</f>
        <v>66</v>
      </c>
      <c r="B80" s="16" t="s">
        <v>6</v>
      </c>
      <c r="C80" s="16" t="s">
        <v>1677</v>
      </c>
      <c r="D80" s="21" t="s">
        <v>81</v>
      </c>
      <c r="E80" s="16" t="s">
        <v>26</v>
      </c>
      <c r="F80" s="16" t="s">
        <v>1678</v>
      </c>
      <c r="G80" s="17">
        <v>1919</v>
      </c>
      <c r="H80" s="17">
        <v>2299</v>
      </c>
      <c r="I80" s="17"/>
      <c r="J80" s="17">
        <v>1919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1919</v>
      </c>
      <c r="M80" s="17">
        <f aca="false">IF($H80="","",$H80+$K80)</f>
        <v>2299</v>
      </c>
      <c r="N80" s="17">
        <f aca="false">IF($J80="","",$J80+$K80)</f>
        <v>1919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26,866원 / 고급유 25,749원</v>
      </c>
      <c r="P80" s="17">
        <f aca="false">IF($B$10=0,"",IFERROR(IF($B$4&gt;0,IF($L80="",1/0,$L80*$B$4),0)+IF($B$5&gt;0,IF($M80="",1/0,$M80*$B$5),0)+IF($B$6&gt;0,IF($N80="",1/0,$N80*$B$6),0),""))</f>
        <v>52614.8</v>
      </c>
      <c r="Q80" s="17" t="s">
        <v>54</v>
      </c>
      <c r="R80" s="18">
        <f aca="false">IF($P80="","",IF($Q80="Y",IFERROR(VLOOKUP($B80,$C$4:$D$13,2,FALSE()),0),0))</f>
        <v>0.1</v>
      </c>
      <c r="S80" s="17">
        <f aca="false">IF($P80="","",ROUNDDOWN($P80*$R80,0))</f>
        <v>5261</v>
      </c>
      <c r="T80" s="17">
        <f aca="false">IF($P80="","",$P80-$S80)</f>
        <v>47353.8</v>
      </c>
      <c r="U80" s="17">
        <f aca="false">IF($T80="","",IF($B$10=0,"",$T80/$B$10))</f>
        <v>1879.119047619047619</v>
      </c>
      <c r="V80" s="17">
        <f aca="false">IF($P80="","",IF($B$10=0,"",$P80/$B$10))</f>
        <v>2087.888888888888888</v>
      </c>
      <c r="W80" s="19">
        <f aca="false">IF($T80="",1000000000000000,$T80)</f>
        <v>47353.8</v>
      </c>
      <c r="XFC80" s="3"/>
    </row>
    <row r="81" s="5" collapsed="false" customFormat="true" customHeight="true" hidden="false" ht="28.5" outlineLevel="0">
      <c r="A81" s="16">
        <f aca="false">IF($T81="","",1+COUNTIF($W$15:$W$895,"&lt;"&amp;W81))</f>
        <v>67</v>
      </c>
      <c r="B81" s="16" t="s">
        <v>8</v>
      </c>
      <c r="C81" s="16" t="s">
        <v>491</v>
      </c>
      <c r="D81" s="21" t="s">
        <v>81</v>
      </c>
      <c r="E81" s="16" t="s">
        <v>26</v>
      </c>
      <c r="F81" s="16" t="s">
        <v>492</v>
      </c>
      <c r="G81" s="17">
        <v>1910</v>
      </c>
      <c r="H81" s="17">
        <v>2320</v>
      </c>
      <c r="I81" s="17"/>
      <c r="J81" s="17">
        <v>1860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1910</v>
      </c>
      <c r="M81" s="17">
        <f aca="false">IF($H81="","",$H81+$K81)</f>
        <v>2320</v>
      </c>
      <c r="N81" s="17">
        <f aca="false">IF($J81="","",$J81+$K81)</f>
        <v>1860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26,740원 / 고급유 25,984원</v>
      </c>
      <c r="P81" s="17">
        <f aca="false">IF($B$10=0,"",IFERROR(IF($B$4&gt;0,IF($L81="",1/0,$L81*$B$4),0)+IF($B$5&gt;0,IF($M81="",1/0,$M81*$B$5),0)+IF($B$6&gt;0,IF($N81="",1/0,$N81*$B$6),0),""))</f>
        <v>52724</v>
      </c>
      <c r="Q81" s="17" t="s">
        <v>54</v>
      </c>
      <c r="R81" s="18">
        <f aca="false">IF($P81="","",IF($Q81="Y",IFERROR(VLOOKUP($B81,$C$4:$D$13,2,FALSE()),0),0))</f>
        <v>0.1</v>
      </c>
      <c r="S81" s="17">
        <f aca="false">IF($P81="","",ROUNDDOWN($P81*$R81,0))</f>
        <v>5272</v>
      </c>
      <c r="T81" s="17">
        <f aca="false">IF($P81="","",$P81-$S81)</f>
        <v>47452</v>
      </c>
      <c r="U81" s="17">
        <f aca="false">IF($T81="","",IF($B$10=0,"",$T81/$B$10))</f>
        <v>1883.015873015873015</v>
      </c>
      <c r="V81" s="17">
        <f aca="false">IF($P81="","",IF($B$10=0,"",$P81/$B$10))</f>
        <v>2092.222222222222222</v>
      </c>
      <c r="W81" s="19">
        <f aca="false">IF($T81="",1000000000000000,$T81)</f>
        <v>47452</v>
      </c>
      <c r="XFB81" s="6"/>
      <c r="XFC81" s="3"/>
    </row>
    <row r="82" s="6" collapsed="false" customFormat="true" customHeight="true" hidden="false" ht="28.5" outlineLevel="0">
      <c r="A82" s="16">
        <f aca="false">IF($T82="","",1+COUNTIF($W$15:$W$895,"&lt;"&amp;W82))</f>
        <v>68</v>
      </c>
      <c r="B82" s="16" t="s">
        <v>12</v>
      </c>
      <c r="C82" s="16" t="s">
        <v>1323</v>
      </c>
      <c r="D82" s="21" t="s">
        <v>81</v>
      </c>
      <c r="E82" s="16" t="s">
        <v>26</v>
      </c>
      <c r="F82" s="16" t="s">
        <v>1324</v>
      </c>
      <c r="G82" s="17">
        <v>1915</v>
      </c>
      <c r="H82" s="17">
        <v>2319</v>
      </c>
      <c r="I82" s="17"/>
      <c r="J82" s="17">
        <v>1915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1915</v>
      </c>
      <c r="M82" s="17">
        <f aca="false">IF($H82="","",$H82+$K82)</f>
        <v>2319</v>
      </c>
      <c r="N82" s="17">
        <f aca="false">IF($J82="","",$J82+$K82)</f>
        <v>1915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26,810원 / 고급유 25,973원</v>
      </c>
      <c r="P82" s="17">
        <f aca="false">IF($B$10=0,"",IFERROR(IF($B$4&gt;0,IF($L82="",1/0,$L82*$B$4),0)+IF($B$5&gt;0,IF($M82="",1/0,$M82*$B$5),0)+IF($B$6&gt;0,IF($N82="",1/0,$N82*$B$6),0),""))</f>
        <v>52782.8</v>
      </c>
      <c r="Q82" s="17" t="s">
        <v>54</v>
      </c>
      <c r="R82" s="18">
        <f aca="false">IF($P82="","",IF($Q82="Y",IFERROR(VLOOKUP($B82,$C$4:$D$13,2,FALSE()),0),0))</f>
        <v>0.1</v>
      </c>
      <c r="S82" s="17">
        <f aca="false">IF($P82="","",ROUNDDOWN($P82*$R82,0))</f>
        <v>5278</v>
      </c>
      <c r="T82" s="17">
        <f aca="false">IF($P82="","",$P82-$S82)</f>
        <v>47504.8</v>
      </c>
      <c r="U82" s="17">
        <f aca="false">IF($T82="","",IF($B$10=0,"",$T82/$B$10))</f>
        <v>1885.111111111111111</v>
      </c>
      <c r="V82" s="17">
        <f aca="false">IF($P82="","",IF($B$10=0,"",$P82/$B$10))</f>
        <v>2094.555555555555555</v>
      </c>
      <c r="W82" s="19">
        <f aca="false">IF($T82="",1000000000000000,$T82)</f>
        <v>47504.8</v>
      </c>
      <c r="XFC82" s="3"/>
    </row>
    <row r="83" s="6" collapsed="false" customFormat="true" customHeight="true" hidden="false" ht="28.5" outlineLevel="0">
      <c r="A83" s="16">
        <f aca="false">IF($T83="","",1+COUNTIF($W$15:$W$895,"&lt;"&amp;W83))</f>
        <v>69</v>
      </c>
      <c r="B83" s="16" t="s">
        <v>8</v>
      </c>
      <c r="C83" s="16" t="s">
        <v>370</v>
      </c>
      <c r="D83" s="21" t="s">
        <v>81</v>
      </c>
      <c r="E83" s="16" t="s">
        <v>26</v>
      </c>
      <c r="F83" s="16" t="s">
        <v>371</v>
      </c>
      <c r="G83" s="17">
        <v>1942</v>
      </c>
      <c r="H83" s="17">
        <v>2299</v>
      </c>
      <c r="I83" s="17"/>
      <c r="J83" s="17">
        <v>1942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1942</v>
      </c>
      <c r="M83" s="17">
        <f aca="false">IF($H83="","",$H83+$K83)</f>
        <v>2299</v>
      </c>
      <c r="N83" s="17">
        <f aca="false">IF($J83="","",$J83+$K83)</f>
        <v>1942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27,188원 / 고급유 25,749원</v>
      </c>
      <c r="P83" s="17">
        <f aca="false">IF($B$10=0,"",IFERROR(IF($B$4&gt;0,IF($L83="",1/0,$L83*$B$4),0)+IF($B$5&gt;0,IF($M83="",1/0,$M83*$B$5),0)+IF($B$6&gt;0,IF($N83="",1/0,$N83*$B$6),0),""))</f>
        <v>52936.8</v>
      </c>
      <c r="Q83" s="17" t="s">
        <v>54</v>
      </c>
      <c r="R83" s="18">
        <f aca="false">IF($P83="","",IF($Q83="Y",IFERROR(VLOOKUP($B83,$C$4:$D$13,2,FALSE()),0),0))</f>
        <v>0.1</v>
      </c>
      <c r="S83" s="17">
        <f aca="false">IF($P83="","",ROUNDDOWN($P83*$R83,0))</f>
        <v>5293</v>
      </c>
      <c r="T83" s="17">
        <f aca="false">IF($P83="","",$P83-$S83)</f>
        <v>47643.8</v>
      </c>
      <c r="U83" s="17">
        <f aca="false">IF($T83="","",IF($B$10=0,"",$T83/$B$10))</f>
        <v>1890.626984126984126</v>
      </c>
      <c r="V83" s="17">
        <f aca="false">IF($P83="","",IF($B$10=0,"",$P83/$B$10))</f>
        <v>2100.666666666666666</v>
      </c>
      <c r="W83" s="19">
        <f aca="false">IF($T83="",1000000000000000,$T83)</f>
        <v>47643.8</v>
      </c>
      <c r="XFC83" s="3"/>
    </row>
    <row r="84" s="5" collapsed="false" customFormat="true" customHeight="true" hidden="false" ht="28.5" outlineLevel="0">
      <c r="A84" s="16">
        <f aca="false">IF($T84="","",1+COUNTIF($W$15:$W$895,"&lt;"&amp;W84))</f>
        <v>70</v>
      </c>
      <c r="B84" s="16" t="s">
        <v>6</v>
      </c>
      <c r="C84" s="16" t="s">
        <v>584</v>
      </c>
      <c r="D84" s="16" t="s">
        <v>45</v>
      </c>
      <c r="E84" s="16" t="s">
        <v>26</v>
      </c>
      <c r="F84" s="16" t="s">
        <v>585</v>
      </c>
      <c r="G84" s="17">
        <v>1954</v>
      </c>
      <c r="H84" s="17">
        <v>2298</v>
      </c>
      <c r="I84" s="17"/>
      <c r="J84" s="17">
        <v>1894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1954</v>
      </c>
      <c r="M84" s="17">
        <f aca="false">IF($H84="","",$H84+$K84)</f>
        <v>2298</v>
      </c>
      <c r="N84" s="17">
        <f aca="false">IF($J84="","",$J84+$K84)</f>
        <v>1894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27,356원 / 고급유 25,738원</v>
      </c>
      <c r="P84" s="17">
        <f aca="false">IF($B$10=0,"",IFERROR(IF($B$4&gt;0,IF($L84="",1/0,$L84*$B$4),0)+IF($B$5&gt;0,IF($M84="",1/0,$M84*$B$5),0)+IF($B$6&gt;0,IF($N84="",1/0,$N84*$B$6),0),""))</f>
        <v>53093.6</v>
      </c>
      <c r="Q84" s="17" t="s">
        <v>54</v>
      </c>
      <c r="R84" s="18">
        <f aca="false">IF($P84="","",IF($Q84="Y",IFERROR(VLOOKUP($B84,$C$4:$D$13,2,FALSE()),0),0))</f>
        <v>0.1</v>
      </c>
      <c r="S84" s="17">
        <f aca="false">IF($P84="","",ROUNDDOWN($P84*$R84,0))</f>
        <v>5309</v>
      </c>
      <c r="T84" s="17">
        <f aca="false">IF($P84="","",$P84-$S84)</f>
        <v>47784.6</v>
      </c>
      <c r="U84" s="17">
        <f aca="false">IF($T84="","",IF($B$10=0,"",$T84/$B$10))</f>
        <v>1896.214285714285714</v>
      </c>
      <c r="V84" s="17">
        <f aca="false">IF($P84="","",IF($B$10=0,"",$P84/$B$10))</f>
        <v>2106.888888888888888</v>
      </c>
      <c r="W84" s="19">
        <f aca="false">IF($T84="",1000000000000000,$T84)</f>
        <v>47784.6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IF($T85="","",1+COUNTIF($W$15:$W$895,"&lt;"&amp;W85))</f>
        <v>71</v>
      </c>
      <c r="B85" s="16" t="s">
        <v>6</v>
      </c>
      <c r="C85" s="16" t="s">
        <v>306</v>
      </c>
      <c r="D85" s="16" t="s">
        <v>45</v>
      </c>
      <c r="E85" s="16" t="s">
        <v>26</v>
      </c>
      <c r="F85" s="16" t="s">
        <v>307</v>
      </c>
      <c r="G85" s="17">
        <v>1989</v>
      </c>
      <c r="H85" s="17">
        <v>2271</v>
      </c>
      <c r="I85" s="17"/>
      <c r="J85" s="17">
        <v>1879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1989</v>
      </c>
      <c r="M85" s="17">
        <f aca="false">IF($H85="","",$H85+$K85)</f>
        <v>2271</v>
      </c>
      <c r="N85" s="17">
        <f aca="false">IF($J85="","",$J85+$K85)</f>
        <v>1879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27,846원 / 고급유 25,435원</v>
      </c>
      <c r="P85" s="17">
        <f aca="false">IF($B$10=0,"",IFERROR(IF($B$4&gt;0,IF($L85="",1/0,$L85*$B$4),0)+IF($B$5&gt;0,IF($M85="",1/0,$M85*$B$5),0)+IF($B$6&gt;0,IF($N85="",1/0,$N85*$B$6),0),""))</f>
        <v>53281.2</v>
      </c>
      <c r="Q85" s="17" t="s">
        <v>54</v>
      </c>
      <c r="R85" s="18">
        <f aca="false">IF($P85="","",IF($Q85="Y",IFERROR(VLOOKUP($B85,$C$4:$D$13,2,FALSE()),0),0))</f>
        <v>0.1</v>
      </c>
      <c r="S85" s="17">
        <f aca="false">IF($P85="","",ROUNDDOWN($P85*$R85,0))</f>
        <v>5328</v>
      </c>
      <c r="T85" s="17">
        <f aca="false">IF($P85="","",$P85-$S85)</f>
        <v>47953.2</v>
      </c>
      <c r="U85" s="17">
        <f aca="false">IF($T85="","",IF($B$10=0,"",$T85/$B$10))</f>
        <v>1902.904761904761904</v>
      </c>
      <c r="V85" s="17">
        <f aca="false">IF($P85="","",IF($B$10=0,"",$P85/$B$10))</f>
        <v>2114.333333333333333</v>
      </c>
      <c r="W85" s="19">
        <f aca="false">IF($T85="",1000000000000000,$T85)</f>
        <v>47953.2</v>
      </c>
      <c r="XFC85" s="3"/>
    </row>
    <row r="86" s="5" collapsed="false" customFormat="true" customHeight="true" hidden="false" ht="28.5" outlineLevel="0">
      <c r="A86" s="16">
        <f aca="false">IF($T86="","",1+COUNTIF($W$15:$W$895,"&lt;"&amp;W86))</f>
        <v>72</v>
      </c>
      <c r="B86" s="16" t="s">
        <v>12</v>
      </c>
      <c r="C86" s="16" t="s">
        <v>212</v>
      </c>
      <c r="D86" s="20" t="s">
        <v>45</v>
      </c>
      <c r="E86" s="16" t="s">
        <v>26</v>
      </c>
      <c r="F86" s="16" t="s">
        <v>213</v>
      </c>
      <c r="G86" s="17">
        <v>1768</v>
      </c>
      <c r="H86" s="17">
        <v>2099</v>
      </c>
      <c r="I86" s="17"/>
      <c r="J86" s="17">
        <v>1763</v>
      </c>
      <c r="K86" s="17">
        <f aca="false">IF(AND(IFERROR(SEARCH("현대오일뱅크",$C86),0)&gt;0,IFERROR(SEARCH("직영",$C86),0)&gt;0),$B$13,0)</f>
        <v>-10</v>
      </c>
      <c r="L86" s="17">
        <f aca="false">IF($G86="","",$G86+$K86)</f>
        <v>1758</v>
      </c>
      <c r="M86" s="17">
        <f aca="false">IF($H86="","",$H86+$K86)</f>
        <v>2089</v>
      </c>
      <c r="N86" s="17">
        <f aca="false">IF($J86="","",$J86+$K86)</f>
        <v>1753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24,612원 / 고급유 23,397원</v>
      </c>
      <c r="P86" s="17">
        <f aca="false">IF($B$10=0,"",IFERROR(IF($B$4&gt;0,IF($L86="",1/0,$L86*$B$4),0)+IF($B$5&gt;0,IF($M86="",1/0,$M86*$B$5),0)+IF($B$6&gt;0,IF($N86="",1/0,$N86*$B$6),0),""))</f>
        <v>48008.8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48008.8</v>
      </c>
      <c r="U86" s="17">
        <f aca="false">IF($T86="","",IF($B$10=0,"",$T86/$B$10))</f>
        <v>1905.111111111111111</v>
      </c>
      <c r="V86" s="17">
        <f aca="false">IF($P86="","",IF($B$10=0,"",$P86/$B$10))</f>
        <v>1905.111111111111111</v>
      </c>
      <c r="W86" s="19">
        <f aca="false">IF($T86="",1000000000000000,$T86)</f>
        <v>48008.8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IF($T87="","",1+COUNTIF($W$15:$W$895,"&lt;"&amp;W87))</f>
        <v>73</v>
      </c>
      <c r="B87" s="16" t="s">
        <v>12</v>
      </c>
      <c r="C87" s="16" t="s">
        <v>228</v>
      </c>
      <c r="D87" s="20" t="s">
        <v>45</v>
      </c>
      <c r="E87" s="16" t="s">
        <v>26</v>
      </c>
      <c r="F87" s="16" t="s">
        <v>229</v>
      </c>
      <c r="G87" s="17">
        <v>1768</v>
      </c>
      <c r="H87" s="17">
        <v>2109</v>
      </c>
      <c r="I87" s="17"/>
      <c r="J87" s="17">
        <v>1778</v>
      </c>
      <c r="K87" s="17">
        <f aca="false">IF(AND(IFERROR(SEARCH("현대오일뱅크",$C87),0)&gt;0,IFERROR(SEARCH("직영",$C87),0)&gt;0),$B$13,0)</f>
        <v>-10</v>
      </c>
      <c r="L87" s="17">
        <f aca="false">IF($G87="","",$G87+$K87)</f>
        <v>1758</v>
      </c>
      <c r="M87" s="17">
        <f aca="false">IF($H87="","",$H87+$K87)</f>
        <v>2099</v>
      </c>
      <c r="N87" s="17">
        <f aca="false">IF($J87="","",$J87+$K87)</f>
        <v>1768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24,612원 / 고급유 23,509원</v>
      </c>
      <c r="P87" s="17">
        <f aca="false">IF($B$10=0,"",IFERROR(IF($B$4&gt;0,IF($L87="",1/0,$L87*$B$4),0)+IF($B$5&gt;0,IF($M87="",1/0,$M87*$B$5),0)+IF($B$6&gt;0,IF($N87="",1/0,$N87*$B$6),0),""))</f>
        <v>48120.8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48120.8</v>
      </c>
      <c r="U87" s="17">
        <f aca="false">IF($T87="","",IF($B$10=0,"",$T87/$B$10))</f>
        <v>1909.555555555555555</v>
      </c>
      <c r="V87" s="17">
        <f aca="false">IF($P87="","",IF($B$10=0,"",$P87/$B$10))</f>
        <v>1909.555555555555555</v>
      </c>
      <c r="W87" s="19">
        <f aca="false">IF($T87="",1000000000000000,$T87)</f>
        <v>48120.8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IF($T88="","",1+COUNTIF($W$15:$W$895,"&lt;"&amp;W88))</f>
        <v>74</v>
      </c>
      <c r="B88" s="16" t="s">
        <v>14</v>
      </c>
      <c r="C88" s="16" t="s">
        <v>777</v>
      </c>
      <c r="D88" s="16" t="s">
        <v>45</v>
      </c>
      <c r="E88" s="16" t="s">
        <v>26</v>
      </c>
      <c r="F88" s="16" t="s">
        <v>778</v>
      </c>
      <c r="G88" s="17">
        <v>1998</v>
      </c>
      <c r="H88" s="17">
        <v>2345</v>
      </c>
      <c r="I88" s="17"/>
      <c r="J88" s="17">
        <v>1958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1998</v>
      </c>
      <c r="M88" s="17">
        <f aca="false">IF($H88="","",$H88+$K88)</f>
        <v>2345</v>
      </c>
      <c r="N88" s="17">
        <f aca="false">IF($J88="","",$J88+$K88)</f>
        <v>1958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27,972원 / 고급유 26,264원</v>
      </c>
      <c r="P88" s="17">
        <f aca="false">IF($B$10=0,"",IFERROR(IF($B$4&gt;0,IF($L88="",1/0,$L88*$B$4),0)+IF($B$5&gt;0,IF($M88="",1/0,$M88*$B$5),0)+IF($B$6&gt;0,IF($N88="",1/0,$N88*$B$6),0),""))</f>
        <v>54236</v>
      </c>
      <c r="Q88" s="17" t="s">
        <v>54</v>
      </c>
      <c r="R88" s="18">
        <f aca="false">IF($P88="","",IF($Q88="Y",IFERROR(VLOOKUP($B88,$C$4:$D$13,2,FALSE()),0),0))</f>
        <v>0.11</v>
      </c>
      <c r="S88" s="17">
        <f aca="false">IF($P88="","",ROUNDDOWN($P88*$R88,0))</f>
        <v>5965</v>
      </c>
      <c r="T88" s="17">
        <f aca="false">IF($P88="","",$P88-$S88)</f>
        <v>48271</v>
      </c>
      <c r="U88" s="17">
        <f aca="false">IF($T88="","",IF($B$10=0,"",$T88/$B$10))</f>
        <v>1915.515873015873015</v>
      </c>
      <c r="V88" s="17">
        <f aca="false">IF($P88="","",IF($B$10=0,"",$P88/$B$10))</f>
        <v>2152.222222222222222</v>
      </c>
      <c r="W88" s="19">
        <f aca="false">IF($T88="",1000000000000000,$T88)</f>
        <v>48271</v>
      </c>
      <c r="XFB88" s="6"/>
      <c r="XFC88" s="3"/>
    </row>
    <row r="89" s="22" collapsed="false" customFormat="true" customHeight="true" hidden="false" ht="28.5" outlineLevel="0">
      <c r="A89" s="16">
        <f aca="false">IF($T89="","",1+COUNTIF($W$15:$W$895,"&lt;"&amp;W89))</f>
        <v>75</v>
      </c>
      <c r="B89" s="16" t="s">
        <v>6</v>
      </c>
      <c r="C89" s="16" t="s">
        <v>1465</v>
      </c>
      <c r="D89" s="16" t="s">
        <v>61</v>
      </c>
      <c r="E89" s="16" t="s">
        <v>26</v>
      </c>
      <c r="F89" s="16" t="s">
        <v>1466</v>
      </c>
      <c r="G89" s="17">
        <v>1770</v>
      </c>
      <c r="H89" s="17">
        <v>2110</v>
      </c>
      <c r="I89" s="17"/>
      <c r="J89" s="17">
        <v>1748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1770</v>
      </c>
      <c r="M89" s="17">
        <f aca="false">IF($H89="","",$H89+$K89)</f>
        <v>2110</v>
      </c>
      <c r="N89" s="17">
        <f aca="false">IF($J89="","",$J89+$K89)</f>
        <v>1748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24,780원 / 고급유 23,632원</v>
      </c>
      <c r="P89" s="17">
        <f aca="false">IF($B$10=0,"",IFERROR(IF($B$4&gt;0,IF($L89="",1/0,$L89*$B$4),0)+IF($B$5&gt;0,IF($M89="",1/0,$M89*$B$5),0)+IF($B$6&gt;0,IF($N89="",1/0,$N89*$B$6),0),""))</f>
        <v>48412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48412</v>
      </c>
      <c r="U89" s="17">
        <f aca="false">IF($T89="","",IF($B$10=0,"",$T89/$B$10))</f>
        <v>1921.111111111111111</v>
      </c>
      <c r="V89" s="17">
        <f aca="false">IF($P89="","",IF($B$10=0,"",$P89/$B$10))</f>
        <v>1921.111111111111111</v>
      </c>
      <c r="W89" s="19">
        <f aca="false">IF($T89="",1000000000000000,$T89)</f>
        <v>48412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IF($T90="","",1+COUNTIF($W$15:$W$895,"&lt;"&amp;W90))</f>
        <v>76</v>
      </c>
      <c r="B90" s="16" t="s">
        <v>6</v>
      </c>
      <c r="C90" s="16" t="s">
        <v>1030</v>
      </c>
      <c r="D90" s="21" t="s">
        <v>81</v>
      </c>
      <c r="E90" s="16" t="s">
        <v>26</v>
      </c>
      <c r="F90" s="16" t="s">
        <v>1031</v>
      </c>
      <c r="G90" s="17">
        <v>1968</v>
      </c>
      <c r="H90" s="17">
        <v>2357</v>
      </c>
      <c r="I90" s="17"/>
      <c r="J90" s="17">
        <v>1978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1968</v>
      </c>
      <c r="M90" s="17">
        <f aca="false">IF($H90="","",$H90+$K90)</f>
        <v>2357</v>
      </c>
      <c r="N90" s="17">
        <f aca="false">IF($J90="","",$J90+$K90)</f>
        <v>1978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27,552원 / 고급유 26,398원</v>
      </c>
      <c r="P90" s="17">
        <f aca="false">IF($B$10=0,"",IFERROR(IF($B$4&gt;0,IF($L90="",1/0,$L90*$B$4),0)+IF($B$5&gt;0,IF($M90="",1/0,$M90*$B$5),0)+IF($B$6&gt;0,IF($N90="",1/0,$N90*$B$6),0),""))</f>
        <v>53950.4</v>
      </c>
      <c r="Q90" s="17" t="s">
        <v>54</v>
      </c>
      <c r="R90" s="18">
        <f aca="false">IF($P90="","",IF($Q90="Y",IFERROR(VLOOKUP($B90,$C$4:$D$13,2,FALSE()),0),0))</f>
        <v>0.1</v>
      </c>
      <c r="S90" s="17">
        <f aca="false">IF($P90="","",ROUNDDOWN($P90*$R90,0))</f>
        <v>5395</v>
      </c>
      <c r="T90" s="17">
        <f aca="false">IF($P90="","",$P90-$S90)</f>
        <v>48555.4</v>
      </c>
      <c r="U90" s="17">
        <f aca="false">IF($T90="","",IF($B$10=0,"",$T90/$B$10))</f>
        <v>1926.801587301587301</v>
      </c>
      <c r="V90" s="17">
        <f aca="false">IF($P90="","",IF($B$10=0,"",$P90/$B$10))</f>
        <v>2140.888888888888888</v>
      </c>
      <c r="W90" s="19">
        <f aca="false">IF($T90="",1000000000000000,$T90)</f>
        <v>48555.4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IF($T91="","",1+COUNTIF($W$15:$W$895,"&lt;"&amp;W91))</f>
        <v>77</v>
      </c>
      <c r="B91" s="16" t="s">
        <v>14</v>
      </c>
      <c r="C91" s="16" t="s">
        <v>180</v>
      </c>
      <c r="D91" s="16" t="s">
        <v>58</v>
      </c>
      <c r="E91" s="16" t="s">
        <v>26</v>
      </c>
      <c r="F91" s="16" t="s">
        <v>181</v>
      </c>
      <c r="G91" s="17">
        <v>1799</v>
      </c>
      <c r="H91" s="17">
        <v>2099</v>
      </c>
      <c r="I91" s="17"/>
      <c r="J91" s="17">
        <v>1799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1799</v>
      </c>
      <c r="M91" s="17">
        <f aca="false">IF($H91="","",$H91+$K91)</f>
        <v>2099</v>
      </c>
      <c r="N91" s="17">
        <f aca="false">IF($J91="","",$J91+$K91)</f>
        <v>1799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25,186원 / 고급유 23,509원</v>
      </c>
      <c r="P91" s="17">
        <f aca="false">IF($B$10=0,"",IFERROR(IF($B$4&gt;0,IF($L91="",1/0,$L91*$B$4),0)+IF($B$5&gt;0,IF($M91="",1/0,$M91*$B$5),0)+IF($B$6&gt;0,IF($N91="",1/0,$N91*$B$6),0),""))</f>
        <v>48694.8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48694.8</v>
      </c>
      <c r="U91" s="17">
        <f aca="false">IF($T91="","",IF($B$10=0,"",$T91/$B$10))</f>
        <v>1932.333333333333333</v>
      </c>
      <c r="V91" s="17">
        <f aca="false">IF($P91="","",IF($B$10=0,"",$P91/$B$10))</f>
        <v>1932.333333333333333</v>
      </c>
      <c r="W91" s="19">
        <f aca="false">IF($T91="",1000000000000000,$T91)</f>
        <v>48694.8</v>
      </c>
      <c r="XFB91" s="6"/>
      <c r="XFC91" s="3"/>
    </row>
    <row r="92" s="22" collapsed="false" customFormat="true" customHeight="true" hidden="false" ht="28.5" outlineLevel="0">
      <c r="A92" s="16">
        <f aca="false">IF($T92="","",1+COUNTIF($W$15:$W$895,"&lt;"&amp;W92))</f>
        <v>78</v>
      </c>
      <c r="B92" s="16" t="s">
        <v>10</v>
      </c>
      <c r="C92" s="16" t="s">
        <v>1469</v>
      </c>
      <c r="D92" s="16" t="s">
        <v>61</v>
      </c>
      <c r="E92" s="16" t="s">
        <v>26</v>
      </c>
      <c r="F92" s="16" t="s">
        <v>1470</v>
      </c>
      <c r="G92" s="17">
        <v>1773</v>
      </c>
      <c r="H92" s="17">
        <v>2133</v>
      </c>
      <c r="I92" s="17"/>
      <c r="J92" s="17">
        <v>1750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1773</v>
      </c>
      <c r="M92" s="17">
        <f aca="false">IF($H92="","",$H92+$K92)</f>
        <v>2133</v>
      </c>
      <c r="N92" s="17">
        <f aca="false">IF($J92="","",$J92+$K92)</f>
        <v>1750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24,822원 / 고급유 23,890원</v>
      </c>
      <c r="P92" s="17">
        <f aca="false">IF($B$10=0,"",IFERROR(IF($B$4&gt;0,IF($L92="",1/0,$L92*$B$4),0)+IF($B$5&gt;0,IF($M92="",1/0,$M92*$B$5),0)+IF($B$6&gt;0,IF($N92="",1/0,$N92*$B$6),0),""))</f>
        <v>48711.6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48711.6</v>
      </c>
      <c r="U92" s="17">
        <f aca="false">IF($T92="","",IF($B$10=0,"",$T92/$B$10))</f>
        <v>1933</v>
      </c>
      <c r="V92" s="17">
        <f aca="false">IF($P92="","",IF($B$10=0,"",$P92/$B$10))</f>
        <v>1933</v>
      </c>
      <c r="W92" s="19">
        <f aca="false">IF($T92="",1000000000000000,$T92)</f>
        <v>48711.6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IF($T93="","",1+COUNTIF($W$15:$W$895,"&lt;"&amp;W93))</f>
        <v>79</v>
      </c>
      <c r="B93" s="16" t="s">
        <v>14</v>
      </c>
      <c r="C93" s="16" t="s">
        <v>1479</v>
      </c>
      <c r="D93" s="16" t="s">
        <v>61</v>
      </c>
      <c r="E93" s="16" t="s">
        <v>26</v>
      </c>
      <c r="F93" s="16" t="s">
        <v>1480</v>
      </c>
      <c r="G93" s="17">
        <v>1776</v>
      </c>
      <c r="H93" s="17">
        <v>2130</v>
      </c>
      <c r="I93" s="17"/>
      <c r="J93" s="17">
        <v>1746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1776</v>
      </c>
      <c r="M93" s="17">
        <f aca="false">IF($H93="","",$H93+$K93)</f>
        <v>2130</v>
      </c>
      <c r="N93" s="17">
        <f aca="false">IF($J93="","",$J93+$K93)</f>
        <v>1746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24,864원 / 고급유 23,856원</v>
      </c>
      <c r="P93" s="17">
        <f aca="false">IF($B$10=0,"",IFERROR(IF($B$4&gt;0,IF($L93="",1/0,$L93*$B$4),0)+IF($B$5&gt;0,IF($M93="",1/0,$M93*$B$5),0)+IF($B$6&gt;0,IF($N93="",1/0,$N93*$B$6),0),""))</f>
        <v>48720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48720</v>
      </c>
      <c r="U93" s="17">
        <f aca="false">IF($T93="","",IF($B$10=0,"",$T93/$B$10))</f>
        <v>1933.333333333333333</v>
      </c>
      <c r="V93" s="17">
        <f aca="false">IF($P93="","",IF($B$10=0,"",$P93/$B$10))</f>
        <v>1933.333333333333333</v>
      </c>
      <c r="W93" s="19">
        <f aca="false">IF($T93="",1000000000000000,$T93)</f>
        <v>48720</v>
      </c>
      <c r="XFB93" s="6"/>
      <c r="XFC93" s="3"/>
    </row>
    <row r="94" s="22" collapsed="false" customFormat="true" customHeight="true" hidden="false" ht="28.5" outlineLevel="0">
      <c r="A94" s="16">
        <f aca="false">IF($T94="","",1+COUNTIF($W$15:$W$895,"&lt;"&amp;W94))</f>
        <v>80</v>
      </c>
      <c r="B94" s="16" t="s">
        <v>10</v>
      </c>
      <c r="C94" s="16" t="s">
        <v>1463</v>
      </c>
      <c r="D94" s="16" t="s">
        <v>61</v>
      </c>
      <c r="E94" s="16" t="s">
        <v>26</v>
      </c>
      <c r="F94" s="16" t="s">
        <v>1464</v>
      </c>
      <c r="G94" s="17">
        <v>1777</v>
      </c>
      <c r="H94" s="17">
        <v>2129</v>
      </c>
      <c r="I94" s="17"/>
      <c r="J94" s="17">
        <v>1746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1777</v>
      </c>
      <c r="M94" s="17">
        <f aca="false">IF($H94="","",$H94+$K94)</f>
        <v>2129</v>
      </c>
      <c r="N94" s="17">
        <f aca="false">IF($J94="","",$J94+$K94)</f>
        <v>1746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24,878원 / 고급유 23,845원</v>
      </c>
      <c r="P94" s="17">
        <f aca="false">IF($B$10=0,"",IFERROR(IF($B$4&gt;0,IF($L94="",1/0,$L94*$B$4),0)+IF($B$5&gt;0,IF($M94="",1/0,$M94*$B$5),0)+IF($B$6&gt;0,IF($N94="",1/0,$N94*$B$6),0),""))</f>
        <v>48722.8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48722.8</v>
      </c>
      <c r="U94" s="17">
        <f aca="false">IF($T94="","",IF($B$10=0,"",$T94/$B$10))</f>
        <v>1933.444444444444444</v>
      </c>
      <c r="V94" s="17">
        <f aca="false">IF($P94="","",IF($B$10=0,"",$P94/$B$10))</f>
        <v>1933.444444444444444</v>
      </c>
      <c r="W94" s="19">
        <f aca="false">IF($T94="",1000000000000000,$T94)</f>
        <v>48722.8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IF($T95="","",1+COUNTIF($W$15:$W$895,"&lt;"&amp;W95))</f>
        <v>81</v>
      </c>
      <c r="B95" s="16" t="s">
        <v>10</v>
      </c>
      <c r="C95" s="16" t="s">
        <v>1487</v>
      </c>
      <c r="D95" s="16" t="s">
        <v>61</v>
      </c>
      <c r="E95" s="16" t="s">
        <v>26</v>
      </c>
      <c r="F95" s="16" t="s">
        <v>1488</v>
      </c>
      <c r="G95" s="17">
        <v>1794</v>
      </c>
      <c r="H95" s="17">
        <v>2114</v>
      </c>
      <c r="I95" s="17"/>
      <c r="J95" s="17">
        <v>1749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1794</v>
      </c>
      <c r="M95" s="17">
        <f aca="false">IF($H95="","",$H95+$K95)</f>
        <v>2114</v>
      </c>
      <c r="N95" s="17">
        <f aca="false">IF($J95="","",$J95+$K95)</f>
        <v>1749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25,116원 / 고급유 23,677원</v>
      </c>
      <c r="P95" s="17">
        <f aca="false">IF($B$10=0,"",IFERROR(IF($B$4&gt;0,IF($L95="",1/0,$L95*$B$4),0)+IF($B$5&gt;0,IF($M95="",1/0,$M95*$B$5),0)+IF($B$6&gt;0,IF($N95="",1/0,$N95*$B$6),0),""))</f>
        <v>48792.8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48792.8</v>
      </c>
      <c r="U95" s="17">
        <f aca="false">IF($T95="","",IF($B$10=0,"",$T95/$B$10))</f>
        <v>1936.222222222222222</v>
      </c>
      <c r="V95" s="17">
        <f aca="false">IF($P95="","",IF($B$10=0,"",$P95/$B$10))</f>
        <v>1936.222222222222222</v>
      </c>
      <c r="W95" s="19">
        <f aca="false">IF($T95="",1000000000000000,$T95)</f>
        <v>48792.8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IF($T96="","",1+COUNTIF($W$15:$W$895,"&lt;"&amp;W96))</f>
        <v>82</v>
      </c>
      <c r="B96" s="16" t="s">
        <v>10</v>
      </c>
      <c r="C96" s="16" t="s">
        <v>1481</v>
      </c>
      <c r="D96" s="16" t="s">
        <v>61</v>
      </c>
      <c r="E96" s="16" t="s">
        <v>26</v>
      </c>
      <c r="F96" s="16" t="s">
        <v>1482</v>
      </c>
      <c r="G96" s="17">
        <v>1778</v>
      </c>
      <c r="H96" s="17">
        <v>2138</v>
      </c>
      <c r="I96" s="17"/>
      <c r="J96" s="17">
        <v>1737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1778</v>
      </c>
      <c r="M96" s="17">
        <f aca="false">IF($H96="","",$H96+$K96)</f>
        <v>2138</v>
      </c>
      <c r="N96" s="17">
        <f aca="false">IF($J96="","",$J96+$K96)</f>
        <v>1737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24,892원 / 고급유 23,946원</v>
      </c>
      <c r="P96" s="17">
        <f aca="false">IF($B$10=0,"",IFERROR(IF($B$4&gt;0,IF($L96="",1/0,$L96*$B$4),0)+IF($B$5&gt;0,IF($M96="",1/0,$M96*$B$5),0)+IF($B$6&gt;0,IF($N96="",1/0,$N96*$B$6),0),""))</f>
        <v>48837.6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48837.6</v>
      </c>
      <c r="U96" s="17">
        <f aca="false">IF($T96="","",IF($B$10=0,"",$T96/$B$10))</f>
        <v>1938</v>
      </c>
      <c r="V96" s="17">
        <f aca="false">IF($P96="","",IF($B$10=0,"",$P96/$B$10))</f>
        <v>1938</v>
      </c>
      <c r="W96" s="19">
        <f aca="false">IF($T96="",1000000000000000,$T96)</f>
        <v>48837.6</v>
      </c>
      <c r="XFB96" s="6"/>
      <c r="XFC96" s="3"/>
    </row>
    <row r="97" s="6" collapsed="false" customFormat="true" customHeight="true" hidden="false" ht="28.5" outlineLevel="0">
      <c r="A97" s="16">
        <f aca="false">IF($T97="","",1+COUNTIF($W$15:$W$895,"&lt;"&amp;W97))</f>
        <v>83</v>
      </c>
      <c r="B97" s="16" t="s">
        <v>6</v>
      </c>
      <c r="C97" s="16" t="s">
        <v>1497</v>
      </c>
      <c r="D97" s="16" t="s">
        <v>61</v>
      </c>
      <c r="E97" s="16" t="s">
        <v>26</v>
      </c>
      <c r="F97" s="16" t="s">
        <v>1498</v>
      </c>
      <c r="G97" s="17">
        <v>1780</v>
      </c>
      <c r="H97" s="17">
        <v>2156</v>
      </c>
      <c r="I97" s="17"/>
      <c r="J97" s="17">
        <v>1760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1780</v>
      </c>
      <c r="M97" s="17">
        <f aca="false">IF($H97="","",$H97+$K97)</f>
        <v>2156</v>
      </c>
      <c r="N97" s="17">
        <f aca="false">IF($J97="","",$J97+$K97)</f>
        <v>1760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24,920원 / 고급유 24,147원</v>
      </c>
      <c r="P97" s="17">
        <f aca="false">IF($B$10=0,"",IFERROR(IF($B$4&gt;0,IF($L97="",1/0,$L97*$B$4),0)+IF($B$5&gt;0,IF($M97="",1/0,$M97*$B$5),0)+IF($B$6&gt;0,IF($N97="",1/0,$N97*$B$6),0),""))</f>
        <v>49067.2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49067.2</v>
      </c>
      <c r="U97" s="17">
        <f aca="false">IF($T97="","",IF($B$10=0,"",$T97/$B$10))</f>
        <v>1947.111111111111111</v>
      </c>
      <c r="V97" s="17">
        <f aca="false">IF($P97="","",IF($B$10=0,"",$P97/$B$10))</f>
        <v>1947.111111111111111</v>
      </c>
      <c r="W97" s="19">
        <f aca="false">IF($T97="",1000000000000000,$T97)</f>
        <v>49067.2</v>
      </c>
      <c r="XFC97" s="3"/>
    </row>
    <row r="98" s="5" collapsed="false" customFormat="true" customHeight="true" hidden="false" ht="28.5" outlineLevel="0">
      <c r="A98" s="16">
        <f aca="false">IF($T98="","",1+COUNTIF($W$15:$W$895,"&lt;"&amp;W98))</f>
        <v>84</v>
      </c>
      <c r="B98" s="16" t="s">
        <v>14</v>
      </c>
      <c r="C98" s="16" t="s">
        <v>202</v>
      </c>
      <c r="D98" s="16" t="s">
        <v>45</v>
      </c>
      <c r="E98" s="16" t="s">
        <v>62</v>
      </c>
      <c r="F98" s="16" t="s">
        <v>203</v>
      </c>
      <c r="G98" s="17">
        <v>1816</v>
      </c>
      <c r="H98" s="17">
        <v>2150</v>
      </c>
      <c r="I98" s="17"/>
      <c r="J98" s="17">
        <v>1804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1806</v>
      </c>
      <c r="M98" s="17">
        <f aca="false">IF($H98="","",$H98+$K98)</f>
        <v>2140</v>
      </c>
      <c r="N98" s="17">
        <f aca="false">IF($J98="","",$J98+$K98)</f>
        <v>1794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25,284원 / 고급유 23,968원</v>
      </c>
      <c r="P98" s="17">
        <f aca="false">IF($B$10=0,"",IFERROR(IF($B$4&gt;0,IF($L98="",1/0,$L98*$B$4),0)+IF($B$5&gt;0,IF($M98="",1/0,$M98*$B$5),0)+IF($B$6&gt;0,IF($N98="",1/0,$N98*$B$6),0),""))</f>
        <v>49252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49252</v>
      </c>
      <c r="U98" s="17">
        <f aca="false">IF($T98="","",IF($B$10=0,"",$T98/$B$10))</f>
        <v>1954.444444444444444</v>
      </c>
      <c r="V98" s="17">
        <f aca="false">IF($P98="","",IF($B$10=0,"",$P98/$B$10))</f>
        <v>1954.444444444444444</v>
      </c>
      <c r="W98" s="19">
        <f aca="false">IF($T98="",1000000000000000,$T98)</f>
        <v>49252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IF($T99="","",1+COUNTIF($W$15:$W$895,"&lt;"&amp;W99))</f>
        <v>85</v>
      </c>
      <c r="B99" s="16" t="s">
        <v>12</v>
      </c>
      <c r="C99" s="16" t="s">
        <v>222</v>
      </c>
      <c r="D99" s="20" t="s">
        <v>45</v>
      </c>
      <c r="E99" s="16" t="s">
        <v>26</v>
      </c>
      <c r="F99" s="16" t="s">
        <v>223</v>
      </c>
      <c r="G99" s="17">
        <v>1768</v>
      </c>
      <c r="H99" s="17">
        <v>2228</v>
      </c>
      <c r="I99" s="17" t="s">
        <v>54</v>
      </c>
      <c r="J99" s="17">
        <v>1763</v>
      </c>
      <c r="K99" s="17">
        <f aca="false">IF(AND(IFERROR(SEARCH("현대오일뱅크",$C99),0)&gt;0,IFERROR(SEARCH("직영",$C99),0)&gt;0),$B$13,0)</f>
        <v>-10</v>
      </c>
      <c r="L99" s="17">
        <f aca="false">IF($G99="","",$G99+$K99)</f>
        <v>1758</v>
      </c>
      <c r="M99" s="17">
        <f aca="false">IF($H99="","",$H99+$K99)</f>
        <v>2218</v>
      </c>
      <c r="N99" s="17">
        <f aca="false">IF($J99="","",$J99+$K99)</f>
        <v>1753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24,612원 / 고급유 24,842원</v>
      </c>
      <c r="P99" s="17">
        <f aca="false">IF($B$10=0,"",IFERROR(IF($B$4&gt;0,IF($L99="",1/0,$L99*$B$4),0)+IF($B$5&gt;0,IF($M99="",1/0,$M99*$B$5),0)+IF($B$6&gt;0,IF($N99="",1/0,$N99*$B$6),0),""))</f>
        <v>49453.6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49453.6</v>
      </c>
      <c r="U99" s="17">
        <f aca="false">IF($T99="","",IF($B$10=0,"",$T99/$B$10))</f>
        <v>1962.444444444444444</v>
      </c>
      <c r="V99" s="17">
        <f aca="false">IF($P99="","",IF($B$10=0,"",$P99/$B$10))</f>
        <v>1962.444444444444444</v>
      </c>
      <c r="W99" s="19">
        <f aca="false">IF($T99="",1000000000000000,$T99)</f>
        <v>49453.6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IF($T100="","",1+COUNTIF($W$15:$W$895,"&lt;"&amp;W100))</f>
        <v>86</v>
      </c>
      <c r="B100" s="16" t="s">
        <v>10</v>
      </c>
      <c r="C100" s="16" t="s">
        <v>348</v>
      </c>
      <c r="D100" s="21" t="s">
        <v>81</v>
      </c>
      <c r="E100" s="16" t="s">
        <v>26</v>
      </c>
      <c r="F100" s="16" t="s">
        <v>349</v>
      </c>
      <c r="G100" s="17">
        <v>1799</v>
      </c>
      <c r="H100" s="17">
        <v>2169</v>
      </c>
      <c r="I100" s="17"/>
      <c r="J100" s="17">
        <v>1799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1799</v>
      </c>
      <c r="M100" s="17">
        <f aca="false">IF($H100="","",$H100+$K100)</f>
        <v>2169</v>
      </c>
      <c r="N100" s="17">
        <f aca="false">IF($J100="","",$J100+$K100)</f>
        <v>1799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25,186원 / 고급유 24,293원</v>
      </c>
      <c r="P100" s="17">
        <f aca="false">IF($B$10=0,"",IFERROR(IF($B$4&gt;0,IF($L100="",1/0,$L100*$B$4),0)+IF($B$5&gt;0,IF($M100="",1/0,$M100*$B$5),0)+IF($B$6&gt;0,IF($N100="",1/0,$N100*$B$6),0),""))</f>
        <v>49478.8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49478.8</v>
      </c>
      <c r="U100" s="17">
        <f aca="false">IF($T100="","",IF($B$10=0,"",$T100/$B$10))</f>
        <v>1963.444444444444444</v>
      </c>
      <c r="V100" s="17">
        <f aca="false">IF($P100="","",IF($B$10=0,"",$P100/$B$10))</f>
        <v>1963.444444444444444</v>
      </c>
      <c r="W100" s="19">
        <f aca="false">IF($T100="",1000000000000000,$T100)</f>
        <v>49478.8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IF($T101="","",1+COUNTIF($W$15:$W$895,"&lt;"&amp;W101))</f>
        <v>87</v>
      </c>
      <c r="B101" s="16" t="s">
        <v>10</v>
      </c>
      <c r="C101" s="16" t="s">
        <v>220</v>
      </c>
      <c r="D101" s="16" t="s">
        <v>45</v>
      </c>
      <c r="E101" s="16" t="s">
        <v>26</v>
      </c>
      <c r="F101" s="16" t="s">
        <v>221</v>
      </c>
      <c r="G101" s="17">
        <v>1780</v>
      </c>
      <c r="H101" s="17">
        <v>2222</v>
      </c>
      <c r="I101" s="17"/>
      <c r="J101" s="17">
        <v>1759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1770</v>
      </c>
      <c r="M101" s="17">
        <f aca="false">IF($H101="","",$H101+$K101)</f>
        <v>2212</v>
      </c>
      <c r="N101" s="17">
        <f aca="false">IF($J101="","",$J101+$K101)</f>
        <v>1749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24,780원 / 고급유 24,774원</v>
      </c>
      <c r="P101" s="17">
        <f aca="false">IF($B$10=0,"",IFERROR(IF($B$4&gt;0,IF($L101="",1/0,$L101*$B$4),0)+IF($B$5&gt;0,IF($M101="",1/0,$M101*$B$5),0)+IF($B$6&gt;0,IF($N101="",1/0,$N101*$B$6),0),""))</f>
        <v>49554.4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49554.4</v>
      </c>
      <c r="U101" s="17">
        <f aca="false">IF($T101="","",IF($B$10=0,"",$T101/$B$10))</f>
        <v>1966.444444444444444</v>
      </c>
      <c r="V101" s="17">
        <f aca="false">IF($P101="","",IF($B$10=0,"",$P101/$B$10))</f>
        <v>1966.444444444444444</v>
      </c>
      <c r="W101" s="19">
        <f aca="false">IF($T101="",1000000000000000,$T101)</f>
        <v>49554.4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IF($T102="","",1+COUNTIF($W$15:$W$895,"&lt;"&amp;W102))</f>
        <v>88</v>
      </c>
      <c r="B102" s="16" t="s">
        <v>14</v>
      </c>
      <c r="C102" s="16" t="s">
        <v>1501</v>
      </c>
      <c r="D102" s="16" t="s">
        <v>61</v>
      </c>
      <c r="E102" s="16" t="s">
        <v>26</v>
      </c>
      <c r="F102" s="16" t="s">
        <v>1502</v>
      </c>
      <c r="G102" s="17">
        <v>1826</v>
      </c>
      <c r="H102" s="17">
        <v>2150</v>
      </c>
      <c r="I102" s="17"/>
      <c r="J102" s="17">
        <v>1746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1826</v>
      </c>
      <c r="M102" s="17">
        <f aca="false">IF($H102="","",$H102+$K102)</f>
        <v>2150</v>
      </c>
      <c r="N102" s="17">
        <f aca="false">IF($J102="","",$J102+$K102)</f>
        <v>1746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25,564원 / 고급유 24,080원</v>
      </c>
      <c r="P102" s="17">
        <f aca="false">IF($B$10=0,"",IFERROR(IF($B$4&gt;0,IF($L102="",1/0,$L102*$B$4),0)+IF($B$5&gt;0,IF($M102="",1/0,$M102*$B$5),0)+IF($B$6&gt;0,IF($N102="",1/0,$N102*$B$6),0),""))</f>
        <v>49644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49644</v>
      </c>
      <c r="U102" s="17">
        <f aca="false">IF($T102="","",IF($B$10=0,"",$T102/$B$10))</f>
        <v>1970</v>
      </c>
      <c r="V102" s="17">
        <f aca="false">IF($P102="","",IF($B$10=0,"",$P102/$B$10))</f>
        <v>1970</v>
      </c>
      <c r="W102" s="19">
        <f aca="false">IF($T102="",1000000000000000,$T102)</f>
        <v>49644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IF($T103="","",1+COUNTIF($W$15:$W$895,"&lt;"&amp;W103))</f>
        <v>89</v>
      </c>
      <c r="B103" s="16" t="s">
        <v>6</v>
      </c>
      <c r="C103" s="16" t="s">
        <v>214</v>
      </c>
      <c r="D103" s="16" t="s">
        <v>45</v>
      </c>
      <c r="E103" s="16" t="s">
        <v>26</v>
      </c>
      <c r="F103" s="16" t="s">
        <v>215</v>
      </c>
      <c r="G103" s="17">
        <v>1780</v>
      </c>
      <c r="H103" s="17">
        <v>2237</v>
      </c>
      <c r="I103" s="17"/>
      <c r="J103" s="17">
        <v>1750</v>
      </c>
      <c r="K103" s="17">
        <f aca="false">IF(AND(IFERROR(SEARCH("현대오일뱅크",$C103),0)&gt;0,IFERROR(SEARCH("직영",$C103),0)&gt;0),$B$13,0)</f>
        <v>-10</v>
      </c>
      <c r="L103" s="17">
        <f aca="false">IF($G103="","",$G103+$K103)</f>
        <v>1770</v>
      </c>
      <c r="M103" s="17">
        <f aca="false">IF($H103="","",$H103+$K103)</f>
        <v>2227</v>
      </c>
      <c r="N103" s="17">
        <f aca="false">IF($J103="","",$J103+$K103)</f>
        <v>1740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24,780원 / 고급유 24,942원</v>
      </c>
      <c r="P103" s="17">
        <f aca="false">IF($B$10=0,"",IFERROR(IF($B$4&gt;0,IF($L103="",1/0,$L103*$B$4),0)+IF($B$5&gt;0,IF($M103="",1/0,$M103*$B$5),0)+IF($B$6&gt;0,IF($N103="",1/0,$N103*$B$6),0),""))</f>
        <v>49722.4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49722.4</v>
      </c>
      <c r="U103" s="17">
        <f aca="false">IF($T103="","",IF($B$10=0,"",$T103/$B$10))</f>
        <v>1973.111111111111111</v>
      </c>
      <c r="V103" s="17">
        <f aca="false">IF($P103="","",IF($B$10=0,"",$P103/$B$10))</f>
        <v>1973.111111111111111</v>
      </c>
      <c r="W103" s="19">
        <f aca="false">IF($T103="",1000000000000000,$T103)</f>
        <v>49722.4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IF($T104="","",1+COUNTIF($W$15:$W$895,"&lt;"&amp;W104))</f>
        <v>90</v>
      </c>
      <c r="B104" s="16" t="s">
        <v>10</v>
      </c>
      <c r="C104" s="16" t="s">
        <v>210</v>
      </c>
      <c r="D104" s="16" t="s">
        <v>45</v>
      </c>
      <c r="E104" s="16" t="s">
        <v>62</v>
      </c>
      <c r="F104" s="16" t="s">
        <v>211</v>
      </c>
      <c r="G104" s="17">
        <v>1784</v>
      </c>
      <c r="H104" s="17">
        <v>2233</v>
      </c>
      <c r="I104" s="17"/>
      <c r="J104" s="17">
        <v>1749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1774</v>
      </c>
      <c r="M104" s="17">
        <f aca="false">IF($H104="","",$H104+$K104)</f>
        <v>2223</v>
      </c>
      <c r="N104" s="17">
        <f aca="false">IF($J104="","",$J104+$K104)</f>
        <v>1739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24,836원 / 고급유 24,898원</v>
      </c>
      <c r="P104" s="17">
        <f aca="false">IF($B$10=0,"",IFERROR(IF($B$4&gt;0,IF($L104="",1/0,$L104*$B$4),0)+IF($B$5&gt;0,IF($M104="",1/0,$M104*$B$5),0)+IF($B$6&gt;0,IF($N104="",1/0,$N104*$B$6),0),""))</f>
        <v>49733.6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49733.6</v>
      </c>
      <c r="U104" s="17">
        <f aca="false">IF($T104="","",IF($B$10=0,"",$T104/$B$10))</f>
        <v>1973.555555555555555</v>
      </c>
      <c r="V104" s="17">
        <f aca="false">IF($P104="","",IF($B$10=0,"",$P104/$B$10))</f>
        <v>1973.555555555555555</v>
      </c>
      <c r="W104" s="19">
        <f aca="false">IF($T104="",1000000000000000,$T104)</f>
        <v>49733.6</v>
      </c>
      <c r="XFB104" s="6"/>
      <c r="XFC104" s="3"/>
    </row>
    <row r="105" s="22" collapsed="false" customFormat="true" customHeight="true" hidden="false" ht="28.5" outlineLevel="0">
      <c r="A105" s="16">
        <f aca="false">IF($T105="","",1+COUNTIF($W$15:$W$895,"&lt;"&amp;W105))</f>
        <v>91</v>
      </c>
      <c r="B105" s="16" t="s">
        <v>12</v>
      </c>
      <c r="C105" s="16" t="s">
        <v>1471</v>
      </c>
      <c r="D105" s="20" t="s">
        <v>61</v>
      </c>
      <c r="E105" s="16" t="s">
        <v>26</v>
      </c>
      <c r="F105" s="16" t="s">
        <v>1472</v>
      </c>
      <c r="G105" s="17">
        <v>1805</v>
      </c>
      <c r="H105" s="17">
        <v>2188</v>
      </c>
      <c r="I105" s="17"/>
      <c r="J105" s="17">
        <v>1770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1805</v>
      </c>
      <c r="M105" s="17">
        <f aca="false">IF($H105="","",$H105+$K105)</f>
        <v>2188</v>
      </c>
      <c r="N105" s="17">
        <f aca="false">IF($J105="","",$J105+$K105)</f>
        <v>1770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25,270원 / 고급유 24,506원</v>
      </c>
      <c r="P105" s="17">
        <f aca="false">IF($B$10=0,"",IFERROR(IF($B$4&gt;0,IF($L105="",1/0,$L105*$B$4),0)+IF($B$5&gt;0,IF($M105="",1/0,$M105*$B$5),0)+IF($B$6&gt;0,IF($N105="",1/0,$N105*$B$6),0),""))</f>
        <v>49775.6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49775.6</v>
      </c>
      <c r="U105" s="17">
        <f aca="false">IF($T105="","",IF($B$10=0,"",$T105/$B$10))</f>
        <v>1975.222222222222222</v>
      </c>
      <c r="V105" s="17">
        <f aca="false">IF($P105="","",IF($B$10=0,"",$P105/$B$10))</f>
        <v>1975.222222222222222</v>
      </c>
      <c r="W105" s="19">
        <f aca="false">IF($T105="",1000000000000000,$T105)</f>
        <v>49775.6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IF($T106="","",1+COUNTIF($W$15:$W$895,"&lt;"&amp;W106))</f>
        <v>92</v>
      </c>
      <c r="B106" s="16" t="s">
        <v>8</v>
      </c>
      <c r="C106" s="16" t="s">
        <v>200</v>
      </c>
      <c r="D106" s="16" t="s">
        <v>45</v>
      </c>
      <c r="E106" s="16" t="s">
        <v>26</v>
      </c>
      <c r="F106" s="16" t="s">
        <v>201</v>
      </c>
      <c r="G106" s="17">
        <v>1768</v>
      </c>
      <c r="H106" s="17">
        <v>2264</v>
      </c>
      <c r="I106" s="17"/>
      <c r="J106" s="17">
        <v>1759</v>
      </c>
      <c r="K106" s="17">
        <f aca="false">IF(AND(IFERROR(SEARCH("현대오일뱅크",$C106),0)&gt;0,IFERROR(SEARCH("직영",$C106),0)&gt;0),$B$13,0)</f>
        <v>-10</v>
      </c>
      <c r="L106" s="17">
        <f aca="false">IF($G106="","",$G106+$K106)</f>
        <v>1758</v>
      </c>
      <c r="M106" s="17">
        <f aca="false">IF($H106="","",$H106+$K106)</f>
        <v>2254</v>
      </c>
      <c r="N106" s="17">
        <f aca="false">IF($J106="","",$J106+$K106)</f>
        <v>1749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24,612원 / 고급유 25,245원</v>
      </c>
      <c r="P106" s="17">
        <f aca="false">IF($B$10=0,"",IFERROR(IF($B$4&gt;0,IF($L106="",1/0,$L106*$B$4),0)+IF($B$5&gt;0,IF($M106="",1/0,$M106*$B$5),0)+IF($B$6&gt;0,IF($N106="",1/0,$N106*$B$6),0),""))</f>
        <v>49856.8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49856.8</v>
      </c>
      <c r="U106" s="17">
        <f aca="false">IF($T106="","",IF($B$10=0,"",$T106/$B$10))</f>
        <v>1978.444444444444444</v>
      </c>
      <c r="V106" s="17">
        <f aca="false">IF($P106="","",IF($B$10=0,"",$P106/$B$10))</f>
        <v>1978.444444444444444</v>
      </c>
      <c r="W106" s="19">
        <f aca="false">IF($T106="",1000000000000000,$T106)</f>
        <v>49856.8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IF($T107="","",1+COUNTIF($W$15:$W$895,"&lt;"&amp;W107))</f>
        <v>93</v>
      </c>
      <c r="B107" s="16" t="s">
        <v>16</v>
      </c>
      <c r="C107" s="16" t="s">
        <v>1194</v>
      </c>
      <c r="D107" s="16" t="s">
        <v>61</v>
      </c>
      <c r="E107" s="16" t="s">
        <v>26</v>
      </c>
      <c r="F107" s="16" t="s">
        <v>1195</v>
      </c>
      <c r="G107" s="17">
        <v>1899</v>
      </c>
      <c r="H107" s="17">
        <v>2090</v>
      </c>
      <c r="I107" s="17"/>
      <c r="J107" s="17">
        <v>1899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1899</v>
      </c>
      <c r="M107" s="17">
        <f aca="false">IF($H107="","",$H107+$K107)</f>
        <v>2090</v>
      </c>
      <c r="N107" s="17">
        <f aca="false">IF($J107="","",$J107+$K107)</f>
        <v>1899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26,586원 / 고급유 23,408원</v>
      </c>
      <c r="P107" s="17">
        <f aca="false">IF($B$10=0,"",IFERROR(IF($B$4&gt;0,IF($L107="",1/0,$L107*$B$4),0)+IF($B$5&gt;0,IF($M107="",1/0,$M107*$B$5),0)+IF($B$6&gt;0,IF($N107="",1/0,$N107*$B$6),0),""))</f>
        <v>49994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49994</v>
      </c>
      <c r="U107" s="17">
        <f aca="false">IF($T107="","",IF($B$10=0,"",$T107/$B$10))</f>
        <v>1983.888888888888888</v>
      </c>
      <c r="V107" s="17">
        <f aca="false">IF($P107="","",IF($B$10=0,"",$P107/$B$10))</f>
        <v>1983.888888888888888</v>
      </c>
      <c r="W107" s="19">
        <f aca="false">IF($T107="",1000000000000000,$T107)</f>
        <v>49994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IF($T108="","",1+COUNTIF($W$15:$W$895,"&lt;"&amp;W108))</f>
        <v>94</v>
      </c>
      <c r="B108" s="16" t="s">
        <v>8</v>
      </c>
      <c r="C108" s="16" t="s">
        <v>230</v>
      </c>
      <c r="D108" s="16" t="s">
        <v>45</v>
      </c>
      <c r="E108" s="16" t="s">
        <v>26</v>
      </c>
      <c r="F108" s="16" t="s">
        <v>231</v>
      </c>
      <c r="G108" s="17">
        <v>1782</v>
      </c>
      <c r="H108" s="17">
        <v>2261</v>
      </c>
      <c r="I108" s="17"/>
      <c r="J108" s="17">
        <v>1758</v>
      </c>
      <c r="K108" s="17">
        <f aca="false">IF(AND(IFERROR(SEARCH("현대오일뱅크",$C108),0)&gt;0,IFERROR(SEARCH("직영",$C108),0)&gt;0),$B$13,0)</f>
        <v>-10</v>
      </c>
      <c r="L108" s="17">
        <f aca="false">IF($G108="","",$G108+$K108)</f>
        <v>1772</v>
      </c>
      <c r="M108" s="17">
        <f aca="false">IF($H108="","",$H108+$K108)</f>
        <v>2251</v>
      </c>
      <c r="N108" s="17">
        <f aca="false">IF($J108="","",$J108+$K108)</f>
        <v>1748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24,808원 / 고급유 25,211원</v>
      </c>
      <c r="P108" s="17">
        <f aca="false">IF($B$10=0,"",IFERROR(IF($B$4&gt;0,IF($L108="",1/0,$L108*$B$4),0)+IF($B$5&gt;0,IF($M108="",1/0,$M108*$B$5),0)+IF($B$6&gt;0,IF($N108="",1/0,$N108*$B$6),0),""))</f>
        <v>50019.2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50019.2</v>
      </c>
      <c r="U108" s="17">
        <f aca="false">IF($T108="","",IF($B$10=0,"",$T108/$B$10))</f>
        <v>1984.888888888888888</v>
      </c>
      <c r="V108" s="17">
        <f aca="false">IF($P108="","",IF($B$10=0,"",$P108/$B$10))</f>
        <v>1984.888888888888888</v>
      </c>
      <c r="W108" s="19">
        <f aca="false">IF($T108="",1000000000000000,$T108)</f>
        <v>50019.2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IF($T109="","",1+COUNTIF($W$15:$W$895,"&lt;"&amp;W109))</f>
        <v>95</v>
      </c>
      <c r="B109" s="16" t="s">
        <v>10</v>
      </c>
      <c r="C109" s="16" t="s">
        <v>757</v>
      </c>
      <c r="D109" s="16" t="s">
        <v>58</v>
      </c>
      <c r="E109" s="16" t="s">
        <v>26</v>
      </c>
      <c r="F109" s="16" t="s">
        <v>758</v>
      </c>
      <c r="G109" s="17">
        <v>1879</v>
      </c>
      <c r="H109" s="17">
        <v>2129</v>
      </c>
      <c r="I109" s="17"/>
      <c r="J109" s="17">
        <v>1879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1879</v>
      </c>
      <c r="M109" s="17">
        <f aca="false">IF($H109="","",$H109+$K109)</f>
        <v>2129</v>
      </c>
      <c r="N109" s="17">
        <f aca="false">IF($J109="","",$J109+$K109)</f>
        <v>1879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26,306원 / 고급유 23,845원</v>
      </c>
      <c r="P109" s="17">
        <f aca="false">IF($B$10=0,"",IFERROR(IF($B$4&gt;0,IF($L109="",1/0,$L109*$B$4),0)+IF($B$5&gt;0,IF($M109="",1/0,$M109*$B$5),0)+IF($B$6&gt;0,IF($N109="",1/0,$N109*$B$6),0),""))</f>
        <v>50150.8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50150.8</v>
      </c>
      <c r="U109" s="17">
        <f aca="false">IF($T109="","",IF($B$10=0,"",$T109/$B$10))</f>
        <v>1990.111111111111111</v>
      </c>
      <c r="V109" s="17">
        <f aca="false">IF($P109="","",IF($B$10=0,"",$P109/$B$10))</f>
        <v>1990.111111111111111</v>
      </c>
      <c r="W109" s="19">
        <f aca="false">IF($T109="",1000000000000000,$T109)</f>
        <v>50150.8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IF($T110="","",1+COUNTIF($W$15:$W$895,"&lt;"&amp;W110))</f>
        <v>96</v>
      </c>
      <c r="B110" s="16" t="s">
        <v>10</v>
      </c>
      <c r="C110" s="16" t="s">
        <v>224</v>
      </c>
      <c r="D110" s="16" t="s">
        <v>45</v>
      </c>
      <c r="E110" s="16" t="s">
        <v>26</v>
      </c>
      <c r="F110" s="16" t="s">
        <v>225</v>
      </c>
      <c r="G110" s="17">
        <v>1784</v>
      </c>
      <c r="H110" s="17">
        <v>2271</v>
      </c>
      <c r="I110" s="17"/>
      <c r="J110" s="17">
        <v>1755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1774</v>
      </c>
      <c r="M110" s="17">
        <f aca="false">IF($H110="","",$H110+$K110)</f>
        <v>2261</v>
      </c>
      <c r="N110" s="17">
        <f aca="false">IF($J110="","",$J110+$K110)</f>
        <v>1745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24,836원 / 고급유 25,323원</v>
      </c>
      <c r="P110" s="17">
        <f aca="false">IF($B$10=0,"",IFERROR(IF($B$4&gt;0,IF($L110="",1/0,$L110*$B$4),0)+IF($B$5&gt;0,IF($M110="",1/0,$M110*$B$5),0)+IF($B$6&gt;0,IF($N110="",1/0,$N110*$B$6),0),""))</f>
        <v>50159.2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50159.2</v>
      </c>
      <c r="U110" s="17">
        <f aca="false">IF($T110="","",IF($B$10=0,"",$T110/$B$10))</f>
        <v>1990.444444444444444</v>
      </c>
      <c r="V110" s="17">
        <f aca="false">IF($P110="","",IF($B$10=0,"",$P110/$B$10))</f>
        <v>1990.444444444444444</v>
      </c>
      <c r="W110" s="19">
        <f aca="false">IF($T110="",1000000000000000,$T110)</f>
        <v>50159.2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IF($T111="","",1+COUNTIF($W$15:$W$895,"&lt;"&amp;W111))</f>
        <v>97</v>
      </c>
      <c r="B111" s="16" t="s">
        <v>10</v>
      </c>
      <c r="C111" s="16" t="s">
        <v>47</v>
      </c>
      <c r="D111" s="16" t="s">
        <v>48</v>
      </c>
      <c r="E111" s="16" t="s">
        <v>26</v>
      </c>
      <c r="F111" s="16" t="s">
        <v>49</v>
      </c>
      <c r="G111" s="17">
        <v>1849</v>
      </c>
      <c r="H111" s="17">
        <v>2169</v>
      </c>
      <c r="I111" s="17"/>
      <c r="J111" s="17">
        <v>1849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1849</v>
      </c>
      <c r="M111" s="17">
        <f aca="false">IF($H111="","",$H111+$K111)</f>
        <v>2169</v>
      </c>
      <c r="N111" s="17">
        <f aca="false">IF($J111="","",$J111+$K111)</f>
        <v>1849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25,886원 / 고급유 24,293원</v>
      </c>
      <c r="P111" s="17">
        <f aca="false">IF($B$10=0,"",IFERROR(IF($B$4&gt;0,IF($L111="",1/0,$L111*$B$4),0)+IF($B$5&gt;0,IF($M111="",1/0,$M111*$B$5),0)+IF($B$6&gt;0,IF($N111="",1/0,$N111*$B$6),0),""))</f>
        <v>50178.8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50178.8</v>
      </c>
      <c r="U111" s="17">
        <f aca="false">IF($T111="","",IF($B$10=0,"",$T111/$B$10))</f>
        <v>1991.222222222222222</v>
      </c>
      <c r="V111" s="17">
        <f aca="false">IF($P111="","",IF($B$10=0,"",$P111/$B$10))</f>
        <v>1991.222222222222222</v>
      </c>
      <c r="W111" s="19">
        <f aca="false">IF($T111="",1000000000000000,$T111)</f>
        <v>50178.8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IF($T112="","",1+COUNTIF($W$15:$W$895,"&lt;"&amp;W112))</f>
        <v>98</v>
      </c>
      <c r="B112" s="16" t="s">
        <v>6</v>
      </c>
      <c r="C112" s="16" t="s">
        <v>427</v>
      </c>
      <c r="D112" s="16" t="s">
        <v>58</v>
      </c>
      <c r="E112" s="16" t="s">
        <v>62</v>
      </c>
      <c r="F112" s="16" t="s">
        <v>428</v>
      </c>
      <c r="G112" s="17">
        <v>1998</v>
      </c>
      <c r="H112" s="17">
        <v>2489</v>
      </c>
      <c r="I112" s="17"/>
      <c r="J112" s="17">
        <v>1899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1998</v>
      </c>
      <c r="M112" s="17">
        <f aca="false">IF($H112="","",$H112+$K112)</f>
        <v>2489</v>
      </c>
      <c r="N112" s="17">
        <f aca="false">IF($J112="","",$J112+$K112)</f>
        <v>1899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27,972원 / 고급유 27,877원</v>
      </c>
      <c r="P112" s="17">
        <f aca="false">IF($B$10=0,"",IFERROR(IF($B$4&gt;0,IF($L112="",1/0,$L112*$B$4),0)+IF($B$5&gt;0,IF($M112="",1/0,$M112*$B$5),0)+IF($B$6&gt;0,IF($N112="",1/0,$N112*$B$6),0),""))</f>
        <v>55848.8</v>
      </c>
      <c r="Q112" s="17" t="s">
        <v>54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5584</v>
      </c>
      <c r="T112" s="17">
        <f aca="false">IF($P112="","",$P112-$S112)</f>
        <v>50264.8</v>
      </c>
      <c r="U112" s="17">
        <f aca="false">IF($T112="","",IF($B$10=0,"",$T112/$B$10))</f>
        <v>1994.634920634920634</v>
      </c>
      <c r="V112" s="17">
        <f aca="false">IF($P112="","",IF($B$10=0,"",$P112/$B$10))</f>
        <v>2216.222222222222222</v>
      </c>
      <c r="W112" s="19">
        <f aca="false">IF($T112="",1000000000000000,$T112)</f>
        <v>50264.8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IF($T113="","",1+COUNTIF($W$15:$W$895,"&lt;"&amp;W113))</f>
        <v>99</v>
      </c>
      <c r="B113" s="16" t="s">
        <v>10</v>
      </c>
      <c r="C113" s="16" t="s">
        <v>234</v>
      </c>
      <c r="D113" s="16" t="s">
        <v>45</v>
      </c>
      <c r="E113" s="16" t="s">
        <v>26</v>
      </c>
      <c r="F113" s="16" t="s">
        <v>235</v>
      </c>
      <c r="G113" s="17">
        <v>1794</v>
      </c>
      <c r="H113" s="17">
        <v>2271</v>
      </c>
      <c r="I113" s="17"/>
      <c r="J113" s="17">
        <v>1764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1784</v>
      </c>
      <c r="M113" s="17">
        <f aca="false">IF($H113="","",$H113+$K113)</f>
        <v>2261</v>
      </c>
      <c r="N113" s="17">
        <f aca="false">IF($J113="","",$J113+$K113)</f>
        <v>1754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24,976원 / 고급유 25,323원</v>
      </c>
      <c r="P113" s="17">
        <f aca="false">IF($B$10=0,"",IFERROR(IF($B$4&gt;0,IF($L113="",1/0,$L113*$B$4),0)+IF($B$5&gt;0,IF($M113="",1/0,$M113*$B$5),0)+IF($B$6&gt;0,IF($N113="",1/0,$N113*$B$6),0),""))</f>
        <v>50299.2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50299.2</v>
      </c>
      <c r="U113" s="17">
        <f aca="false">IF($T113="","",IF($B$10=0,"",$T113/$B$10))</f>
        <v>1996</v>
      </c>
      <c r="V113" s="17">
        <f aca="false">IF($P113="","",IF($B$10=0,"",$P113/$B$10))</f>
        <v>1996</v>
      </c>
      <c r="W113" s="19">
        <f aca="false">IF($T113="",1000000000000000,$T113)</f>
        <v>50299.2</v>
      </c>
      <c r="XFB113" s="6"/>
      <c r="XFC113" s="3"/>
    </row>
    <row r="114" s="6" collapsed="false" customFormat="true" customHeight="true" hidden="false" ht="28.5" outlineLevel="0">
      <c r="A114" s="16">
        <f aca="false">IF($T114="","",1+COUNTIF($W$15:$W$895,"&lt;"&amp;W114))</f>
        <v>100</v>
      </c>
      <c r="B114" s="16" t="s">
        <v>16</v>
      </c>
      <c r="C114" s="16" t="s">
        <v>260</v>
      </c>
      <c r="D114" s="16" t="s">
        <v>61</v>
      </c>
      <c r="E114" s="16" t="s">
        <v>26</v>
      </c>
      <c r="F114" s="16" t="s">
        <v>261</v>
      </c>
      <c r="G114" s="17">
        <v>1890</v>
      </c>
      <c r="H114" s="17">
        <v>2130</v>
      </c>
      <c r="I114" s="17"/>
      <c r="J114" s="17">
        <v>1890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1890</v>
      </c>
      <c r="M114" s="17">
        <f aca="false">IF($H114="","",$H114+$K114)</f>
        <v>2130</v>
      </c>
      <c r="N114" s="17">
        <f aca="false">IF($J114="","",$J114+$K114)</f>
        <v>1890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26,460원 / 고급유 23,856원</v>
      </c>
      <c r="P114" s="17">
        <f aca="false">IF($B$10=0,"",IFERROR(IF($B$4&gt;0,IF($L114="",1/0,$L114*$B$4),0)+IF($B$5&gt;0,IF($M114="",1/0,$M114*$B$5),0)+IF($B$6&gt;0,IF($N114="",1/0,$N114*$B$6),0),""))</f>
        <v>50316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50316</v>
      </c>
      <c r="U114" s="17">
        <f aca="false">IF($T114="","",IF($B$10=0,"",$T114/$B$10))</f>
        <v>1996.666666666666666</v>
      </c>
      <c r="V114" s="17">
        <f aca="false">IF($P114="","",IF($B$10=0,"",$P114/$B$10))</f>
        <v>1996.666666666666666</v>
      </c>
      <c r="W114" s="19">
        <f aca="false">IF($T114="",1000000000000000,$T114)</f>
        <v>50316</v>
      </c>
      <c r="XFC114" s="3"/>
    </row>
    <row r="115" s="5" collapsed="false" customFormat="true" customHeight="true" hidden="false" ht="28.5" outlineLevel="0">
      <c r="A115" s="16">
        <f aca="false">IF($T115="","",1+COUNTIF($W$15:$W$895,"&lt;"&amp;W115))</f>
        <v>101</v>
      </c>
      <c r="B115" s="16" t="s">
        <v>6</v>
      </c>
      <c r="C115" s="16" t="s">
        <v>1056</v>
      </c>
      <c r="D115" s="16" t="s">
        <v>58</v>
      </c>
      <c r="E115" s="16" t="s">
        <v>26</v>
      </c>
      <c r="F115" s="16" t="s">
        <v>1057</v>
      </c>
      <c r="G115" s="17">
        <v>1895</v>
      </c>
      <c r="H115" s="17">
        <v>2125</v>
      </c>
      <c r="I115" s="17"/>
      <c r="J115" s="17">
        <v>1879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1895</v>
      </c>
      <c r="M115" s="17">
        <f aca="false">IF($H115="","",$H115+$K115)</f>
        <v>2125</v>
      </c>
      <c r="N115" s="17">
        <f aca="false">IF($J115="","",$J115+$K115)</f>
        <v>1879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26,530원 / 고급유 23,800원</v>
      </c>
      <c r="P115" s="17">
        <f aca="false">IF($B$10=0,"",IFERROR(IF($B$4&gt;0,IF($L115="",1/0,$L115*$B$4),0)+IF($B$5&gt;0,IF($M115="",1/0,$M115*$B$5),0)+IF($B$6&gt;0,IF($N115="",1/0,$N115*$B$6),0),""))</f>
        <v>50330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50330</v>
      </c>
      <c r="U115" s="17">
        <f aca="false">IF($T115="","",IF($B$10=0,"",$T115/$B$10))</f>
        <v>1997.222222222222222</v>
      </c>
      <c r="V115" s="17">
        <f aca="false">IF($P115="","",IF($B$10=0,"",$P115/$B$10))</f>
        <v>1997.222222222222222</v>
      </c>
      <c r="W115" s="19">
        <f aca="false">IF($T115="",1000000000000000,$T115)</f>
        <v>50330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IF($T116="","",1+COUNTIF($W$15:$W$895,"&lt;"&amp;W116))</f>
        <v>102</v>
      </c>
      <c r="B116" s="16" t="s">
        <v>10</v>
      </c>
      <c r="C116" s="16" t="s">
        <v>134</v>
      </c>
      <c r="D116" s="16" t="s">
        <v>48</v>
      </c>
      <c r="E116" s="16" t="s">
        <v>26</v>
      </c>
      <c r="F116" s="16" t="s">
        <v>135</v>
      </c>
      <c r="G116" s="17">
        <v>1878</v>
      </c>
      <c r="H116" s="17">
        <v>2148</v>
      </c>
      <c r="I116" s="17"/>
      <c r="J116" s="17">
        <v>1862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1878</v>
      </c>
      <c r="M116" s="17">
        <f aca="false">IF($H116="","",$H116+$K116)</f>
        <v>2148</v>
      </c>
      <c r="N116" s="17">
        <f aca="false">IF($J116="","",$J116+$K116)</f>
        <v>1862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26,292원 / 고급유 24,058원</v>
      </c>
      <c r="P116" s="17">
        <f aca="false">IF($B$10=0,"",IFERROR(IF($B$4&gt;0,IF($L116="",1/0,$L116*$B$4),0)+IF($B$5&gt;0,IF($M116="",1/0,$M116*$B$5),0)+IF($B$6&gt;0,IF($N116="",1/0,$N116*$B$6),0),""))</f>
        <v>50349.6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50349.6</v>
      </c>
      <c r="U116" s="17">
        <f aca="false">IF($T116="","",IF($B$10=0,"",$T116/$B$10))</f>
        <v>1998</v>
      </c>
      <c r="V116" s="17">
        <f aca="false">IF($P116="","",IF($B$10=0,"",$P116/$B$10))</f>
        <v>1998</v>
      </c>
      <c r="W116" s="19">
        <f aca="false">IF($T116="",1000000000000000,$T116)</f>
        <v>50349.6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IF($T117="","",1+COUNTIF($W$15:$W$895,"&lt;"&amp;W117))</f>
        <v>103</v>
      </c>
      <c r="B117" s="16" t="s">
        <v>10</v>
      </c>
      <c r="C117" s="16" t="s">
        <v>1610</v>
      </c>
      <c r="D117" s="16" t="s">
        <v>58</v>
      </c>
      <c r="E117" s="16" t="s">
        <v>26</v>
      </c>
      <c r="F117" s="16" t="s">
        <v>1611</v>
      </c>
      <c r="G117" s="17">
        <v>1839</v>
      </c>
      <c r="H117" s="17">
        <v>2199</v>
      </c>
      <c r="I117" s="17"/>
      <c r="J117" s="17">
        <v>1839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1839</v>
      </c>
      <c r="M117" s="17">
        <f aca="false">IF($H117="","",$H117+$K117)</f>
        <v>2199</v>
      </c>
      <c r="N117" s="17">
        <f aca="false">IF($J117="","",$J117+$K117)</f>
        <v>1839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25,746원 / 고급유 24,629원</v>
      </c>
      <c r="P117" s="17">
        <f aca="false">IF($B$10=0,"",IFERROR(IF($B$4&gt;0,IF($L117="",1/0,$L117*$B$4),0)+IF($B$5&gt;0,IF($M117="",1/0,$M117*$B$5),0)+IF($B$6&gt;0,IF($N117="",1/0,$N117*$B$6),0),""))</f>
        <v>50374.8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50374.8</v>
      </c>
      <c r="U117" s="17">
        <f aca="false">IF($T117="","",IF($B$10=0,"",$T117/$B$10))</f>
        <v>1999</v>
      </c>
      <c r="V117" s="17">
        <f aca="false">IF($P117="","",IF($B$10=0,"",$P117/$B$10))</f>
        <v>1999</v>
      </c>
      <c r="W117" s="19">
        <f aca="false">IF($T117="",1000000000000000,$T117)</f>
        <v>50374.8</v>
      </c>
      <c r="XFC117" s="3"/>
    </row>
    <row r="118" s="5" collapsed="false" customFormat="true" customHeight="true" hidden="false" ht="28.5" outlineLevel="0">
      <c r="A118" s="16">
        <f aca="false">IF($T118="","",1+COUNTIF($W$15:$W$895,"&lt;"&amp;W118))</f>
        <v>103</v>
      </c>
      <c r="B118" s="16" t="s">
        <v>16</v>
      </c>
      <c r="C118" s="16" t="s">
        <v>627</v>
      </c>
      <c r="D118" s="16" t="s">
        <v>45</v>
      </c>
      <c r="E118" s="16" t="s">
        <v>26</v>
      </c>
      <c r="F118" s="16" t="s">
        <v>628</v>
      </c>
      <c r="G118" s="17">
        <v>1895</v>
      </c>
      <c r="H118" s="17">
        <v>2129</v>
      </c>
      <c r="I118" s="17"/>
      <c r="J118" s="17">
        <v>1895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1895</v>
      </c>
      <c r="M118" s="17">
        <f aca="false">IF($H118="","",$H118+$K118)</f>
        <v>2129</v>
      </c>
      <c r="N118" s="17">
        <f aca="false">IF($J118="","",$J118+$K118)</f>
        <v>1895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26,530원 / 고급유 23,845원</v>
      </c>
      <c r="P118" s="17">
        <f aca="false">IF($B$10=0,"",IFERROR(IF($B$4&gt;0,IF($L118="",1/0,$L118*$B$4),0)+IF($B$5&gt;0,IF($M118="",1/0,$M118*$B$5),0)+IF($B$6&gt;0,IF($N118="",1/0,$N118*$B$6),0),""))</f>
        <v>50374.8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50374.8</v>
      </c>
      <c r="U118" s="17">
        <f aca="false">IF($T118="","",IF($B$10=0,"",$T118/$B$10))</f>
        <v>1999</v>
      </c>
      <c r="V118" s="17">
        <f aca="false">IF($P118="","",IF($B$10=0,"",$P118/$B$10))</f>
        <v>1999</v>
      </c>
      <c r="W118" s="19">
        <f aca="false">IF($T118="",1000000000000000,$T118)</f>
        <v>50374.8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IF($T119="","",1+COUNTIF($W$15:$W$895,"&lt;"&amp;W119))</f>
        <v>105</v>
      </c>
      <c r="B119" s="16" t="s">
        <v>12</v>
      </c>
      <c r="C119" s="16" t="s">
        <v>1038</v>
      </c>
      <c r="D119" s="20" t="s">
        <v>61</v>
      </c>
      <c r="E119" s="16" t="s">
        <v>26</v>
      </c>
      <c r="F119" s="16" t="s">
        <v>1039</v>
      </c>
      <c r="G119" s="17">
        <v>1875</v>
      </c>
      <c r="H119" s="17">
        <v>2155</v>
      </c>
      <c r="I119" s="17"/>
      <c r="J119" s="17">
        <v>1875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1875</v>
      </c>
      <c r="M119" s="17">
        <f aca="false">IF($H119="","",$H119+$K119)</f>
        <v>2155</v>
      </c>
      <c r="N119" s="17">
        <f aca="false">IF($J119="","",$J119+$K119)</f>
        <v>1875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26,250원 / 고급유 24,136원</v>
      </c>
      <c r="P119" s="17">
        <f aca="false">IF($B$10=0,"",IFERROR(IF($B$4&gt;0,IF($L119="",1/0,$L119*$B$4),0)+IF($B$5&gt;0,IF($M119="",1/0,$M119*$B$5),0)+IF($B$6&gt;0,IF($N119="",1/0,$N119*$B$6),0),""))</f>
        <v>50386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50386</v>
      </c>
      <c r="U119" s="17">
        <f aca="false">IF($T119="","",IF($B$10=0,"",$T119/$B$10))</f>
        <v>1999.444444444444444</v>
      </c>
      <c r="V119" s="17">
        <f aca="false">IF($P119="","",IF($B$10=0,"",$P119/$B$10))</f>
        <v>1999.444444444444444</v>
      </c>
      <c r="W119" s="19">
        <f aca="false">IF($T119="",1000000000000000,$T119)</f>
        <v>50386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IF($T120="","",1+COUNTIF($W$15:$W$895,"&lt;"&amp;W120))</f>
        <v>106</v>
      </c>
      <c r="B120" s="16" t="s">
        <v>10</v>
      </c>
      <c r="C120" s="16" t="s">
        <v>947</v>
      </c>
      <c r="D120" s="16" t="s">
        <v>58</v>
      </c>
      <c r="E120" s="16" t="s">
        <v>26</v>
      </c>
      <c r="F120" s="16" t="s">
        <v>948</v>
      </c>
      <c r="G120" s="17">
        <v>1890</v>
      </c>
      <c r="H120" s="17">
        <v>2138</v>
      </c>
      <c r="I120" s="17"/>
      <c r="J120" s="17">
        <v>1890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1890</v>
      </c>
      <c r="M120" s="17">
        <f aca="false">IF($H120="","",$H120+$K120)</f>
        <v>2138</v>
      </c>
      <c r="N120" s="17">
        <f aca="false">IF($J120="","",$J120+$K120)</f>
        <v>1890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26,460원 / 고급유 23,946원</v>
      </c>
      <c r="P120" s="17">
        <f aca="false">IF($B$10=0,"",IFERROR(IF($B$4&gt;0,IF($L120="",1/0,$L120*$B$4),0)+IF($B$5&gt;0,IF($M120="",1/0,$M120*$B$5),0)+IF($B$6&gt;0,IF($N120="",1/0,$N120*$B$6),0),""))</f>
        <v>50405.6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50405.6</v>
      </c>
      <c r="U120" s="17">
        <f aca="false">IF($T120="","",IF($B$10=0,"",$T120/$B$10))</f>
        <v>2000.222222222222222</v>
      </c>
      <c r="V120" s="17">
        <f aca="false">IF($P120="","",IF($B$10=0,"",$P120/$B$10))</f>
        <v>2000.222222222222222</v>
      </c>
      <c r="W120" s="19">
        <f aca="false">IF($T120="",1000000000000000,$T120)</f>
        <v>50405.6</v>
      </c>
      <c r="XFB120" s="6"/>
      <c r="XFC120" s="3"/>
    </row>
    <row r="121" s="22" collapsed="false" customFormat="true" customHeight="true" hidden="false" ht="28.5" outlineLevel="0">
      <c r="A121" s="16">
        <f aca="false">IF($T121="","",1+COUNTIF($W$15:$W$895,"&lt;"&amp;W121))</f>
        <v>107</v>
      </c>
      <c r="B121" s="16" t="s">
        <v>10</v>
      </c>
      <c r="C121" s="16" t="s">
        <v>256</v>
      </c>
      <c r="D121" s="21" t="s">
        <v>81</v>
      </c>
      <c r="E121" s="16" t="s">
        <v>26</v>
      </c>
      <c r="F121" s="16" t="s">
        <v>257</v>
      </c>
      <c r="G121" s="17">
        <v>1925</v>
      </c>
      <c r="H121" s="17">
        <v>2095</v>
      </c>
      <c r="I121" s="17"/>
      <c r="J121" s="17">
        <v>1895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1925</v>
      </c>
      <c r="M121" s="17">
        <f aca="false">IF($H121="","",$H121+$K121)</f>
        <v>2095</v>
      </c>
      <c r="N121" s="17">
        <f aca="false">IF($J121="","",$J121+$K121)</f>
        <v>1895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26,950원 / 고급유 23,464원</v>
      </c>
      <c r="P121" s="17">
        <f aca="false">IF($B$10=0,"",IFERROR(IF($B$4&gt;0,IF($L121="",1/0,$L121*$B$4),0)+IF($B$5&gt;0,IF($M121="",1/0,$M121*$B$5),0)+IF($B$6&gt;0,IF($N121="",1/0,$N121*$B$6),0),""))</f>
        <v>50414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50414</v>
      </c>
      <c r="U121" s="17">
        <f aca="false">IF($T121="","",IF($B$10=0,"",$T121/$B$10))</f>
        <v>2000.555555555555555</v>
      </c>
      <c r="V121" s="17">
        <f aca="false">IF($P121="","",IF($B$10=0,"",$P121/$B$10))</f>
        <v>2000.555555555555555</v>
      </c>
      <c r="W121" s="19">
        <f aca="false">IF($T121="",1000000000000000,$T121)</f>
        <v>50414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IF($T122="","",1+COUNTIF($W$15:$W$895,"&lt;"&amp;W122))</f>
        <v>108</v>
      </c>
      <c r="B122" s="16" t="s">
        <v>6</v>
      </c>
      <c r="C122" s="16" t="s">
        <v>574</v>
      </c>
      <c r="D122" s="16" t="s">
        <v>45</v>
      </c>
      <c r="E122" s="16" t="s">
        <v>26</v>
      </c>
      <c r="F122" s="16" t="s">
        <v>575</v>
      </c>
      <c r="G122" s="17">
        <v>1885</v>
      </c>
      <c r="H122" s="17">
        <v>2150</v>
      </c>
      <c r="I122" s="17"/>
      <c r="J122" s="17">
        <v>1884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1885</v>
      </c>
      <c r="M122" s="17">
        <f aca="false">IF($H122="","",$H122+$K122)</f>
        <v>2150</v>
      </c>
      <c r="N122" s="17">
        <f aca="false">IF($J122="","",$J122+$K122)</f>
        <v>1884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26,390원 / 고급유 24,080원</v>
      </c>
      <c r="P122" s="17">
        <f aca="false">IF($B$10=0,"",IFERROR(IF($B$4&gt;0,IF($L122="",1/0,$L122*$B$4),0)+IF($B$5&gt;0,IF($M122="",1/0,$M122*$B$5),0)+IF($B$6&gt;0,IF($N122="",1/0,$N122*$B$6),0),""))</f>
        <v>50470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50470</v>
      </c>
      <c r="U122" s="17">
        <f aca="false">IF($T122="","",IF($B$10=0,"",$T122/$B$10))</f>
        <v>2002.777777777777777</v>
      </c>
      <c r="V122" s="17">
        <f aca="false">IF($P122="","",IF($B$10=0,"",$P122/$B$10))</f>
        <v>2002.777777777777777</v>
      </c>
      <c r="W122" s="19">
        <f aca="false">IF($T122="",1000000000000000,$T122)</f>
        <v>50470</v>
      </c>
      <c r="XFB122" s="6"/>
      <c r="XFC122" s="3"/>
    </row>
    <row r="123" s="6" collapsed="false" customFormat="true" customHeight="true" hidden="false" ht="28.5" outlineLevel="0">
      <c r="A123" s="16">
        <f aca="false">IF($T123="","",1+COUNTIF($W$15:$W$895,"&lt;"&amp;W123))</f>
        <v>109</v>
      </c>
      <c r="B123" s="16" t="s">
        <v>10</v>
      </c>
      <c r="C123" s="16" t="s">
        <v>1713</v>
      </c>
      <c r="D123" s="16" t="s">
        <v>61</v>
      </c>
      <c r="E123" s="16" t="s">
        <v>26</v>
      </c>
      <c r="F123" s="16" t="s">
        <v>1714</v>
      </c>
      <c r="G123" s="17">
        <v>1894</v>
      </c>
      <c r="H123" s="17">
        <v>2148</v>
      </c>
      <c r="I123" s="17"/>
      <c r="J123" s="17">
        <v>1892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1894</v>
      </c>
      <c r="M123" s="17">
        <f aca="false">IF($H123="","",$H123+$K123)</f>
        <v>2148</v>
      </c>
      <c r="N123" s="17">
        <f aca="false">IF($J123="","",$J123+$K123)</f>
        <v>1892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26,516원 / 고급유 24,058원</v>
      </c>
      <c r="P123" s="17">
        <f aca="false">IF($B$10=0,"",IFERROR(IF($B$4&gt;0,IF($L123="",1/0,$L123*$B$4),0)+IF($B$5&gt;0,IF($M123="",1/0,$M123*$B$5),0)+IF($B$6&gt;0,IF($N123="",1/0,$N123*$B$6),0),""))</f>
        <v>50573.6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50573.6</v>
      </c>
      <c r="U123" s="17">
        <f aca="false">IF($T123="","",IF($B$10=0,"",$T123/$B$10))</f>
        <v>2006.888888888888888</v>
      </c>
      <c r="V123" s="17">
        <f aca="false">IF($P123="","",IF($B$10=0,"",$P123/$B$10))</f>
        <v>2006.888888888888888</v>
      </c>
      <c r="W123" s="19">
        <f aca="false">IF($T123="",1000000000000000,$T123)</f>
        <v>50573.6</v>
      </c>
      <c r="XFC123" s="3"/>
    </row>
    <row r="124" s="22" collapsed="false" customFormat="true" customHeight="true" hidden="false" ht="28.5" outlineLevel="0">
      <c r="A124" s="16">
        <f aca="false">IF($T124="","",1+COUNTIF($W$15:$W$895,"&lt;"&amp;W124))</f>
        <v>110</v>
      </c>
      <c r="B124" s="16" t="s">
        <v>10</v>
      </c>
      <c r="C124" s="16" t="s">
        <v>1524</v>
      </c>
      <c r="D124" s="16" t="s">
        <v>48</v>
      </c>
      <c r="E124" s="16" t="s">
        <v>26</v>
      </c>
      <c r="F124" s="16" t="s">
        <v>1525</v>
      </c>
      <c r="G124" s="17">
        <v>1859</v>
      </c>
      <c r="H124" s="17">
        <v>2199</v>
      </c>
      <c r="I124" s="17"/>
      <c r="J124" s="17">
        <v>1839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1859</v>
      </c>
      <c r="M124" s="17">
        <f aca="false">IF($H124="","",$H124+$K124)</f>
        <v>2199</v>
      </c>
      <c r="N124" s="17">
        <f aca="false">IF($J124="","",$J124+$K124)</f>
        <v>1839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26,026원 / 고급유 24,629원</v>
      </c>
      <c r="P124" s="17">
        <f aca="false">IF($B$10=0,"",IFERROR(IF($B$4&gt;0,IF($L124="",1/0,$L124*$B$4),0)+IF($B$5&gt;0,IF($M124="",1/0,$M124*$B$5),0)+IF($B$6&gt;0,IF($N124="",1/0,$N124*$B$6),0),""))</f>
        <v>50654.8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50654.8</v>
      </c>
      <c r="U124" s="17">
        <f aca="false">IF($T124="","",IF($B$10=0,"",$T124/$B$10))</f>
        <v>2010.111111111111111</v>
      </c>
      <c r="V124" s="17">
        <f aca="false">IF($P124="","",IF($B$10=0,"",$P124/$B$10))</f>
        <v>2010.111111111111111</v>
      </c>
      <c r="W124" s="19">
        <f aca="false">IF($T124="",1000000000000000,$T124)</f>
        <v>50654.8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IF($T125="","",1+COUNTIF($W$15:$W$895,"&lt;"&amp;W125))</f>
        <v>110</v>
      </c>
      <c r="B125" s="16" t="s">
        <v>10</v>
      </c>
      <c r="C125" s="16" t="s">
        <v>136</v>
      </c>
      <c r="D125" s="16" t="s">
        <v>61</v>
      </c>
      <c r="E125" s="16" t="s">
        <v>62</v>
      </c>
      <c r="F125" s="16" t="s">
        <v>137</v>
      </c>
      <c r="G125" s="17">
        <v>1899</v>
      </c>
      <c r="H125" s="17">
        <v>2149</v>
      </c>
      <c r="I125" s="17"/>
      <c r="J125" s="17">
        <v>1899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1899</v>
      </c>
      <c r="M125" s="17">
        <f aca="false">IF($H125="","",$H125+$K125)</f>
        <v>2149</v>
      </c>
      <c r="N125" s="17">
        <f aca="false">IF($J125="","",$J125+$K125)</f>
        <v>1899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26,586원 / 고급유 24,069원</v>
      </c>
      <c r="P125" s="17">
        <f aca="false">IF($B$10=0,"",IFERROR(IF($B$4&gt;0,IF($L125="",1/0,$L125*$B$4),0)+IF($B$5&gt;0,IF($M125="",1/0,$M125*$B$5),0)+IF($B$6&gt;0,IF($N125="",1/0,$N125*$B$6),0),""))</f>
        <v>50654.8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50654.8</v>
      </c>
      <c r="U125" s="17">
        <f aca="false">IF($T125="","",IF($B$10=0,"",$T125/$B$10))</f>
        <v>2010.111111111111111</v>
      </c>
      <c r="V125" s="17">
        <f aca="false">IF($P125="","",IF($B$10=0,"",$P125/$B$10))</f>
        <v>2010.111111111111111</v>
      </c>
      <c r="W125" s="19">
        <f aca="false">IF($T125="",1000000000000000,$T125)</f>
        <v>50654.8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IF($T126="","",1+COUNTIF($W$15:$W$895,"&lt;"&amp;W126))</f>
        <v>112</v>
      </c>
      <c r="B126" s="16" t="s">
        <v>10</v>
      </c>
      <c r="C126" s="16" t="s">
        <v>196</v>
      </c>
      <c r="D126" s="16" t="s">
        <v>45</v>
      </c>
      <c r="E126" s="16" t="s">
        <v>26</v>
      </c>
      <c r="F126" s="16" t="s">
        <v>197</v>
      </c>
      <c r="G126" s="17">
        <v>1784</v>
      </c>
      <c r="H126" s="17">
        <v>2316</v>
      </c>
      <c r="I126" s="17" t="s">
        <v>54</v>
      </c>
      <c r="J126" s="17">
        <v>1765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1774</v>
      </c>
      <c r="M126" s="17">
        <f aca="false">IF($H126="","",$H126+$K126)</f>
        <v>2306</v>
      </c>
      <c r="N126" s="17">
        <f aca="false">IF($J126="","",$J126+$K126)</f>
        <v>1755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24,836원 / 고급유 25,827원</v>
      </c>
      <c r="P126" s="17">
        <f aca="false">IF($B$10=0,"",IFERROR(IF($B$4&gt;0,IF($L126="",1/0,$L126*$B$4),0)+IF($B$5&gt;0,IF($M126="",1/0,$M126*$B$5),0)+IF($B$6&gt;0,IF($N126="",1/0,$N126*$B$6),0),""))</f>
        <v>50663.2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50663.2</v>
      </c>
      <c r="U126" s="17">
        <f aca="false">IF($T126="","",IF($B$10=0,"",$T126/$B$10))</f>
        <v>2010.444444444444444</v>
      </c>
      <c r="V126" s="17">
        <f aca="false">IF($P126="","",IF($B$10=0,"",$P126/$B$10))</f>
        <v>2010.444444444444444</v>
      </c>
      <c r="W126" s="19">
        <f aca="false">IF($T126="",1000000000000000,$T126)</f>
        <v>50663.2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IF($T127="","",1+COUNTIF($W$15:$W$895,"&lt;"&amp;W127))</f>
        <v>113</v>
      </c>
      <c r="B127" s="16" t="s">
        <v>16</v>
      </c>
      <c r="C127" s="16" t="s">
        <v>162</v>
      </c>
      <c r="D127" s="16" t="s">
        <v>48</v>
      </c>
      <c r="E127" s="16" t="s">
        <v>26</v>
      </c>
      <c r="F127" s="16" t="s">
        <v>163</v>
      </c>
      <c r="G127" s="17">
        <v>1900</v>
      </c>
      <c r="H127" s="17">
        <v>2150</v>
      </c>
      <c r="I127" s="17"/>
      <c r="J127" s="17">
        <v>1900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1900</v>
      </c>
      <c r="M127" s="17">
        <f aca="false">IF($H127="","",$H127+$K127)</f>
        <v>2150</v>
      </c>
      <c r="N127" s="17">
        <f aca="false">IF($J127="","",$J127+$K127)</f>
        <v>1900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26,600원 / 고급유 24,080원</v>
      </c>
      <c r="P127" s="17">
        <f aca="false">IF($B$10=0,"",IFERROR(IF($B$4&gt;0,IF($L127="",1/0,$L127*$B$4),0)+IF($B$5&gt;0,IF($M127="",1/0,$M127*$B$5),0)+IF($B$6&gt;0,IF($N127="",1/0,$N127*$B$6),0),""))</f>
        <v>50680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50680</v>
      </c>
      <c r="U127" s="17">
        <f aca="false">IF($T127="","",IF($B$10=0,"",$T127/$B$10))</f>
        <v>2011.111111111111111</v>
      </c>
      <c r="V127" s="17">
        <f aca="false">IF($P127="","",IF($B$10=0,"",$P127/$B$10))</f>
        <v>2011.111111111111111</v>
      </c>
      <c r="W127" s="19">
        <f aca="false">IF($T127="",1000000000000000,$T127)</f>
        <v>50680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IF($T128="","",1+COUNTIF($W$15:$W$895,"&lt;"&amp;W128))</f>
        <v>114</v>
      </c>
      <c r="B128" s="16" t="s">
        <v>10</v>
      </c>
      <c r="C128" s="16" t="s">
        <v>272</v>
      </c>
      <c r="D128" s="21" t="s">
        <v>81</v>
      </c>
      <c r="E128" s="16" t="s">
        <v>26</v>
      </c>
      <c r="F128" s="16" t="s">
        <v>273</v>
      </c>
      <c r="G128" s="17">
        <v>1769</v>
      </c>
      <c r="H128" s="17">
        <v>2319</v>
      </c>
      <c r="I128" s="17"/>
      <c r="J128" s="17">
        <v>1748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1769</v>
      </c>
      <c r="M128" s="17">
        <f aca="false">IF($H128="","",$H128+$K128)</f>
        <v>2319</v>
      </c>
      <c r="N128" s="17">
        <f aca="false">IF($J128="","",$J128+$K128)</f>
        <v>1748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24,766원 / 고급유 25,973원</v>
      </c>
      <c r="P128" s="17">
        <f aca="false">IF($B$10=0,"",IFERROR(IF($B$4&gt;0,IF($L128="",1/0,$L128*$B$4),0)+IF($B$5&gt;0,IF($M128="",1/0,$M128*$B$5),0)+IF($B$6&gt;0,IF($N128="",1/0,$N128*$B$6),0),""))</f>
        <v>50738.8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50738.8</v>
      </c>
      <c r="U128" s="17">
        <f aca="false">IF($T128="","",IF($B$10=0,"",$T128/$B$10))</f>
        <v>2013.444444444444444</v>
      </c>
      <c r="V128" s="17">
        <f aca="false">IF($P128="","",IF($B$10=0,"",$P128/$B$10))</f>
        <v>2013.444444444444444</v>
      </c>
      <c r="W128" s="19">
        <f aca="false">IF($T128="",1000000000000000,$T128)</f>
        <v>50738.8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IF($T129="","",1+COUNTIF($W$15:$W$895,"&lt;"&amp;W129))</f>
        <v>115</v>
      </c>
      <c r="B129" s="16" t="s">
        <v>10</v>
      </c>
      <c r="C129" s="16" t="s">
        <v>910</v>
      </c>
      <c r="D129" s="16" t="s">
        <v>58</v>
      </c>
      <c r="E129" s="16" t="s">
        <v>26</v>
      </c>
      <c r="F129" s="16" t="s">
        <v>911</v>
      </c>
      <c r="G129" s="17">
        <v>1899</v>
      </c>
      <c r="H129" s="17">
        <v>2159</v>
      </c>
      <c r="I129" s="17"/>
      <c r="J129" s="17">
        <v>1889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1899</v>
      </c>
      <c r="M129" s="17">
        <f aca="false">IF($H129="","",$H129+$K129)</f>
        <v>2159</v>
      </c>
      <c r="N129" s="17">
        <f aca="false">IF($J129="","",$J129+$K129)</f>
        <v>1889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26,586원 / 고급유 24,181원</v>
      </c>
      <c r="P129" s="17">
        <f aca="false">IF($B$10=0,"",IFERROR(IF($B$4&gt;0,IF($L129="",1/0,$L129*$B$4),0)+IF($B$5&gt;0,IF($M129="",1/0,$M129*$B$5),0)+IF($B$6&gt;0,IF($N129="",1/0,$N129*$B$6),0),""))</f>
        <v>50766.8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50766.8</v>
      </c>
      <c r="U129" s="17">
        <f aca="false">IF($T129="","",IF($B$10=0,"",$T129/$B$10))</f>
        <v>2014.555555555555555</v>
      </c>
      <c r="V129" s="17">
        <f aca="false">IF($P129="","",IF($B$10=0,"",$P129/$B$10))</f>
        <v>2014.555555555555555</v>
      </c>
      <c r="W129" s="19">
        <f aca="false">IF($T129="",1000000000000000,$T129)</f>
        <v>50766.8</v>
      </c>
      <c r="XFB129" s="6"/>
      <c r="XFC129" s="3"/>
    </row>
    <row r="130" s="22" collapsed="false" customFormat="true" customHeight="true" hidden="false" ht="28.5" outlineLevel="0">
      <c r="A130" s="16">
        <f aca="false">IF($T130="","",1+COUNTIF($W$15:$W$895,"&lt;"&amp;W130))</f>
        <v>116</v>
      </c>
      <c r="B130" s="16" t="s">
        <v>10</v>
      </c>
      <c r="C130" s="16" t="s">
        <v>1600</v>
      </c>
      <c r="D130" s="16" t="s">
        <v>61</v>
      </c>
      <c r="E130" s="16" t="s">
        <v>26</v>
      </c>
      <c r="F130" s="16" t="s">
        <v>1601</v>
      </c>
      <c r="G130" s="17">
        <v>1895</v>
      </c>
      <c r="H130" s="17">
        <v>2165</v>
      </c>
      <c r="I130" s="17"/>
      <c r="J130" s="17">
        <v>1885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1895</v>
      </c>
      <c r="M130" s="17">
        <f aca="false">IF($H130="","",$H130+$K130)</f>
        <v>2165</v>
      </c>
      <c r="N130" s="17">
        <f aca="false">IF($J130="","",$J130+$K130)</f>
        <v>1885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26,530원 / 고급유 24,248원</v>
      </c>
      <c r="P130" s="17">
        <f aca="false">IF($B$10=0,"",IFERROR(IF($B$4&gt;0,IF($L130="",1/0,$L130*$B$4),0)+IF($B$5&gt;0,IF($M130="",1/0,$M130*$B$5),0)+IF($B$6&gt;0,IF($N130="",1/0,$N130*$B$6),0),""))</f>
        <v>50778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50778</v>
      </c>
      <c r="U130" s="17">
        <f aca="false">IF($T130="","",IF($B$10=0,"",$T130/$B$10))</f>
        <v>2015</v>
      </c>
      <c r="V130" s="17">
        <f aca="false">IF($P130="","",IF($B$10=0,"",$P130/$B$10))</f>
        <v>2015</v>
      </c>
      <c r="W130" s="19">
        <f aca="false">IF($T130="",1000000000000000,$T130)</f>
        <v>50778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IF($T131="","",1+COUNTIF($W$15:$W$895,"&lt;"&amp;W131))</f>
        <v>117</v>
      </c>
      <c r="B131" s="16" t="s">
        <v>18</v>
      </c>
      <c r="C131" s="16" t="s">
        <v>404</v>
      </c>
      <c r="D131" s="16" t="s">
        <v>61</v>
      </c>
      <c r="E131" s="16" t="s">
        <v>26</v>
      </c>
      <c r="F131" s="16" t="s">
        <v>405</v>
      </c>
      <c r="G131" s="17">
        <v>1882</v>
      </c>
      <c r="H131" s="17">
        <v>2189</v>
      </c>
      <c r="I131" s="17"/>
      <c r="J131" s="17">
        <v>1882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1882</v>
      </c>
      <c r="M131" s="17">
        <f aca="false">IF($H131="","",$H131+$K131)</f>
        <v>2189</v>
      </c>
      <c r="N131" s="17">
        <f aca="false">IF($J131="","",$J131+$K131)</f>
        <v>1882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26,348원 / 고급유 24,517원</v>
      </c>
      <c r="P131" s="17">
        <f aca="false">IF($B$10=0,"",IFERROR(IF($B$4&gt;0,IF($L131="",1/0,$L131*$B$4),0)+IF($B$5&gt;0,IF($M131="",1/0,$M131*$B$5),0)+IF($B$6&gt;0,IF($N131="",1/0,$N131*$B$6),0),""))</f>
        <v>50864.8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50864.8</v>
      </c>
      <c r="U131" s="17">
        <f aca="false">IF($T131="","",IF($B$10=0,"",$T131/$B$10))</f>
        <v>2018.444444444444444</v>
      </c>
      <c r="V131" s="17">
        <f aca="false">IF($P131="","",IF($B$10=0,"",$P131/$B$10))</f>
        <v>2018.444444444444444</v>
      </c>
      <c r="W131" s="19">
        <f aca="false">IF($T131="",1000000000000000,$T131)</f>
        <v>50864.8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IF($T132="","",1+COUNTIF($W$15:$W$895,"&lt;"&amp;W132))</f>
        <v>118</v>
      </c>
      <c r="B132" s="16" t="s">
        <v>12</v>
      </c>
      <c r="C132" s="16" t="s">
        <v>83</v>
      </c>
      <c r="D132" s="20" t="s">
        <v>61</v>
      </c>
      <c r="E132" s="16" t="s">
        <v>26</v>
      </c>
      <c r="F132" s="16" t="s">
        <v>84</v>
      </c>
      <c r="G132" s="17">
        <v>1919</v>
      </c>
      <c r="H132" s="17">
        <v>2149</v>
      </c>
      <c r="I132" s="17"/>
      <c r="J132" s="17">
        <v>1859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1919</v>
      </c>
      <c r="M132" s="17">
        <f aca="false">IF($H132="","",$H132+$K132)</f>
        <v>2149</v>
      </c>
      <c r="N132" s="17">
        <f aca="false">IF($J132="","",$J132+$K132)</f>
        <v>1859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26,866원 / 고급유 24,069원</v>
      </c>
      <c r="P132" s="17">
        <f aca="false">IF($B$10=0,"",IFERROR(IF($B$4&gt;0,IF($L132="",1/0,$L132*$B$4),0)+IF($B$5&gt;0,IF($M132="",1/0,$M132*$B$5),0)+IF($B$6&gt;0,IF($N132="",1/0,$N132*$B$6),0),""))</f>
        <v>50934.8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50934.8</v>
      </c>
      <c r="U132" s="17">
        <f aca="false">IF($T132="","",IF($B$10=0,"",$T132/$B$10))</f>
        <v>2021.222222222222222</v>
      </c>
      <c r="V132" s="17">
        <f aca="false">IF($P132="","",IF($B$10=0,"",$P132/$B$10))</f>
        <v>2021.222222222222222</v>
      </c>
      <c r="W132" s="19">
        <f aca="false">IF($T132="",1000000000000000,$T132)</f>
        <v>50934.8</v>
      </c>
      <c r="XFB132" s="6"/>
      <c r="XFC132" s="3"/>
    </row>
    <row r="133" s="22" collapsed="false" customFormat="true" customHeight="true" hidden="false" ht="28.5" outlineLevel="0">
      <c r="A133" s="16">
        <f aca="false">IF($T133="","",1+COUNTIF($W$15:$W$895,"&lt;"&amp;W133))</f>
        <v>119</v>
      </c>
      <c r="B133" s="16" t="s">
        <v>8</v>
      </c>
      <c r="C133" s="16" t="s">
        <v>268</v>
      </c>
      <c r="D133" s="21" t="s">
        <v>81</v>
      </c>
      <c r="E133" s="16" t="s">
        <v>26</v>
      </c>
      <c r="F133" s="16" t="s">
        <v>269</v>
      </c>
      <c r="G133" s="17">
        <v>1788</v>
      </c>
      <c r="H133" s="17">
        <v>2319</v>
      </c>
      <c r="I133" s="17"/>
      <c r="J133" s="17">
        <v>1758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1788</v>
      </c>
      <c r="M133" s="17">
        <f aca="false">IF($H133="","",$H133+$K133)</f>
        <v>2319</v>
      </c>
      <c r="N133" s="17">
        <f aca="false">IF($J133="","",$J133+$K133)</f>
        <v>1758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25,032원 / 고급유 25,973원</v>
      </c>
      <c r="P133" s="17">
        <f aca="false">IF($B$10=0,"",IFERROR(IF($B$4&gt;0,IF($L133="",1/0,$L133*$B$4),0)+IF($B$5&gt;0,IF($M133="",1/0,$M133*$B$5),0)+IF($B$6&gt;0,IF($N133="",1/0,$N133*$B$6),0),""))</f>
        <v>51004.8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51004.8</v>
      </c>
      <c r="U133" s="17">
        <f aca="false">IF($T133="","",IF($B$10=0,"",$T133/$B$10))</f>
        <v>2024</v>
      </c>
      <c r="V133" s="17">
        <f aca="false">IF($P133="","",IF($B$10=0,"",$P133/$B$10))</f>
        <v>2024</v>
      </c>
      <c r="W133" s="19">
        <f aca="false">IF($T133="",1000000000000000,$T133)</f>
        <v>51004.8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IF($T134="","",1+COUNTIF($W$15:$W$895,"&lt;"&amp;W134))</f>
        <v>120</v>
      </c>
      <c r="B134" s="16" t="s">
        <v>12</v>
      </c>
      <c r="C134" s="16" t="s">
        <v>1252</v>
      </c>
      <c r="D134" s="20" t="s">
        <v>45</v>
      </c>
      <c r="E134" s="16" t="s">
        <v>26</v>
      </c>
      <c r="F134" s="16" t="s">
        <v>1253</v>
      </c>
      <c r="G134" s="17">
        <v>1893</v>
      </c>
      <c r="H134" s="17">
        <v>2194</v>
      </c>
      <c r="I134" s="17"/>
      <c r="J134" s="17">
        <v>1899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1893</v>
      </c>
      <c r="M134" s="17">
        <f aca="false">IF($H134="","",$H134+$K134)</f>
        <v>2194</v>
      </c>
      <c r="N134" s="17">
        <f aca="false">IF($J134="","",$J134+$K134)</f>
        <v>1899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26,502원 / 고급유 24,573원</v>
      </c>
      <c r="P134" s="17">
        <f aca="false">IF($B$10=0,"",IFERROR(IF($B$4&gt;0,IF($L134="",1/0,$L134*$B$4),0)+IF($B$5&gt;0,IF($M134="",1/0,$M134*$B$5),0)+IF($B$6&gt;0,IF($N134="",1/0,$N134*$B$6),0),""))</f>
        <v>51074.8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51074.8</v>
      </c>
      <c r="U134" s="17">
        <f aca="false">IF($T134="","",IF($B$10=0,"",$T134/$B$10))</f>
        <v>2026.777777777777777</v>
      </c>
      <c r="V134" s="17">
        <f aca="false">IF($P134="","",IF($B$10=0,"",$P134/$B$10))</f>
        <v>2026.777777777777777</v>
      </c>
      <c r="W134" s="19">
        <f aca="false">IF($T134="",1000000000000000,$T134)</f>
        <v>51074.8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IF($T135="","",1+COUNTIF($W$15:$W$895,"&lt;"&amp;W135))</f>
        <v>121</v>
      </c>
      <c r="B135" s="16" t="s">
        <v>6</v>
      </c>
      <c r="C135" s="16" t="s">
        <v>855</v>
      </c>
      <c r="D135" s="21" t="s">
        <v>81</v>
      </c>
      <c r="E135" s="16" t="s">
        <v>26</v>
      </c>
      <c r="F135" s="16" t="s">
        <v>856</v>
      </c>
      <c r="G135" s="17">
        <v>1925</v>
      </c>
      <c r="H135" s="17">
        <v>2156</v>
      </c>
      <c r="I135" s="17"/>
      <c r="J135" s="17">
        <v>1895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1925</v>
      </c>
      <c r="M135" s="17">
        <f aca="false">IF($H135="","",$H135+$K135)</f>
        <v>2156</v>
      </c>
      <c r="N135" s="17">
        <f aca="false">IF($J135="","",$J135+$K135)</f>
        <v>1895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26,950원 / 고급유 24,147원</v>
      </c>
      <c r="P135" s="17">
        <f aca="false">IF($B$10=0,"",IFERROR(IF($B$4&gt;0,IF($L135="",1/0,$L135*$B$4),0)+IF($B$5&gt;0,IF($M135="",1/0,$M135*$B$5),0)+IF($B$6&gt;0,IF($N135="",1/0,$N135*$B$6),0),""))</f>
        <v>51097.2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51097.2</v>
      </c>
      <c r="U135" s="17">
        <f aca="false">IF($T135="","",IF($B$10=0,"",$T135/$B$10))</f>
        <v>2027.666666666666666</v>
      </c>
      <c r="V135" s="17">
        <f aca="false">IF($P135="","",IF($B$10=0,"",$P135/$B$10))</f>
        <v>2027.666666666666666</v>
      </c>
      <c r="W135" s="19">
        <f aca="false">IF($T135="",1000000000000000,$T135)</f>
        <v>51097.2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IF($T136="","",1+COUNTIF($W$15:$W$895,"&lt;"&amp;W136))</f>
        <v>122</v>
      </c>
      <c r="B136" s="16" t="s">
        <v>10</v>
      </c>
      <c r="C136" s="16" t="s">
        <v>582</v>
      </c>
      <c r="D136" s="16" t="s">
        <v>45</v>
      </c>
      <c r="E136" s="16" t="s">
        <v>26</v>
      </c>
      <c r="F136" s="16" t="s">
        <v>583</v>
      </c>
      <c r="G136" s="17">
        <v>1937</v>
      </c>
      <c r="H136" s="17">
        <v>2145</v>
      </c>
      <c r="I136" s="17"/>
      <c r="J136" s="17">
        <v>1929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1937</v>
      </c>
      <c r="M136" s="17">
        <f aca="false">IF($H136="","",$H136+$K136)</f>
        <v>2145</v>
      </c>
      <c r="N136" s="17">
        <f aca="false">IF($J136="","",$J136+$K136)</f>
        <v>1929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27,118원 / 고급유 24,024원</v>
      </c>
      <c r="P136" s="17">
        <f aca="false">IF($B$10=0,"",IFERROR(IF($B$4&gt;0,IF($L136="",1/0,$L136*$B$4),0)+IF($B$5&gt;0,IF($M136="",1/0,$M136*$B$5),0)+IF($B$6&gt;0,IF($N136="",1/0,$N136*$B$6),0),""))</f>
        <v>51142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51142</v>
      </c>
      <c r="U136" s="17">
        <f aca="false">IF($T136="","",IF($B$10=0,"",$T136/$B$10))</f>
        <v>2029.444444444444444</v>
      </c>
      <c r="V136" s="17">
        <f aca="false">IF($P136="","",IF($B$10=0,"",$P136/$B$10))</f>
        <v>2029.444444444444444</v>
      </c>
      <c r="W136" s="19">
        <f aca="false">IF($T136="",1000000000000000,$T136)</f>
        <v>51142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IF($T137="","",1+COUNTIF($W$15:$W$895,"&lt;"&amp;W137))</f>
        <v>123</v>
      </c>
      <c r="B137" s="16" t="s">
        <v>12</v>
      </c>
      <c r="C137" s="16" t="s">
        <v>284</v>
      </c>
      <c r="D137" s="21" t="s">
        <v>81</v>
      </c>
      <c r="E137" s="16" t="s">
        <v>26</v>
      </c>
      <c r="F137" s="16" t="s">
        <v>285</v>
      </c>
      <c r="G137" s="17">
        <v>1798</v>
      </c>
      <c r="H137" s="17">
        <v>2319</v>
      </c>
      <c r="I137" s="17"/>
      <c r="J137" s="17">
        <v>1768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1798</v>
      </c>
      <c r="M137" s="17">
        <f aca="false">IF($H137="","",$H137+$K137)</f>
        <v>2319</v>
      </c>
      <c r="N137" s="17">
        <f aca="false">IF($J137="","",$J137+$K137)</f>
        <v>1768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25,172원 / 고급유 25,973원</v>
      </c>
      <c r="P137" s="17">
        <f aca="false">IF($B$10=0,"",IFERROR(IF($B$4&gt;0,IF($L137="",1/0,$L137*$B$4),0)+IF($B$5&gt;0,IF($M137="",1/0,$M137*$B$5),0)+IF($B$6&gt;0,IF($N137="",1/0,$N137*$B$6),0),""))</f>
        <v>51144.8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51144.8</v>
      </c>
      <c r="U137" s="17">
        <f aca="false">IF($T137="","",IF($B$10=0,"",$T137/$B$10))</f>
        <v>2029.555555555555555</v>
      </c>
      <c r="V137" s="17">
        <f aca="false">IF($P137="","",IF($B$10=0,"",$P137/$B$10))</f>
        <v>2029.555555555555555</v>
      </c>
      <c r="W137" s="19">
        <f aca="false">IF($T137="",1000000000000000,$T137)</f>
        <v>51144.8</v>
      </c>
      <c r="XFB137" s="6"/>
      <c r="XFC137" s="3"/>
    </row>
    <row r="138" s="22" collapsed="false" customFormat="true" customHeight="true" hidden="false" ht="28.5" outlineLevel="0">
      <c r="A138" s="16">
        <f aca="false">IF($T138="","",1+COUNTIF($W$15:$W$895,"&lt;"&amp;W138))</f>
        <v>123</v>
      </c>
      <c r="B138" s="16" t="s">
        <v>6</v>
      </c>
      <c r="C138" s="16" t="s">
        <v>278</v>
      </c>
      <c r="D138" s="21" t="s">
        <v>81</v>
      </c>
      <c r="E138" s="16" t="s">
        <v>26</v>
      </c>
      <c r="F138" s="16" t="s">
        <v>279</v>
      </c>
      <c r="G138" s="17">
        <v>1798</v>
      </c>
      <c r="H138" s="17">
        <v>2319</v>
      </c>
      <c r="I138" s="17"/>
      <c r="J138" s="17">
        <v>1779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1798</v>
      </c>
      <c r="M138" s="17">
        <f aca="false">IF($H138="","",$H138+$K138)</f>
        <v>2319</v>
      </c>
      <c r="N138" s="17">
        <f aca="false">IF($J138="","",$J138+$K138)</f>
        <v>1779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25,172원 / 고급유 25,973원</v>
      </c>
      <c r="P138" s="17">
        <f aca="false">IF($B$10=0,"",IFERROR(IF($B$4&gt;0,IF($L138="",1/0,$L138*$B$4),0)+IF($B$5&gt;0,IF($M138="",1/0,$M138*$B$5),0)+IF($B$6&gt;0,IF($N138="",1/0,$N138*$B$6),0),""))</f>
        <v>51144.8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51144.8</v>
      </c>
      <c r="U138" s="17">
        <f aca="false">IF($T138="","",IF($B$10=0,"",$T138/$B$10))</f>
        <v>2029.555555555555555</v>
      </c>
      <c r="V138" s="17">
        <f aca="false">IF($P138="","",IF($B$10=0,"",$P138/$B$10))</f>
        <v>2029.555555555555555</v>
      </c>
      <c r="W138" s="19">
        <f aca="false">IF($T138="",1000000000000000,$T138)</f>
        <v>51144.8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IF($T139="","",1+COUNTIF($W$15:$W$895,"&lt;"&amp;W139))</f>
        <v>125</v>
      </c>
      <c r="B139" s="16" t="s">
        <v>10</v>
      </c>
      <c r="C139" s="16" t="s">
        <v>414</v>
      </c>
      <c r="D139" s="21" t="s">
        <v>81</v>
      </c>
      <c r="E139" s="16" t="s">
        <v>26</v>
      </c>
      <c r="F139" s="16" t="s">
        <v>415</v>
      </c>
      <c r="G139" s="17">
        <v>1899</v>
      </c>
      <c r="H139" s="17">
        <v>2199</v>
      </c>
      <c r="I139" s="17"/>
      <c r="J139" s="17">
        <v>1889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1899</v>
      </c>
      <c r="M139" s="17">
        <f aca="false">IF($H139="","",$H139+$K139)</f>
        <v>2199</v>
      </c>
      <c r="N139" s="17">
        <f aca="false">IF($J139="","",$J139+$K139)</f>
        <v>1889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26,586원 / 고급유 24,629원</v>
      </c>
      <c r="P139" s="17">
        <f aca="false">IF($B$10=0,"",IFERROR(IF($B$4&gt;0,IF($L139="",1/0,$L139*$B$4),0)+IF($B$5&gt;0,IF($M139="",1/0,$M139*$B$5),0)+IF($B$6&gt;0,IF($N139="",1/0,$N139*$B$6),0),""))</f>
        <v>51214.8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51214.8</v>
      </c>
      <c r="U139" s="17">
        <f aca="false">IF($T139="","",IF($B$10=0,"",$T139/$B$10))</f>
        <v>2032.333333333333333</v>
      </c>
      <c r="V139" s="17">
        <f aca="false">IF($P139="","",IF($B$10=0,"",$P139/$B$10))</f>
        <v>2032.333333333333333</v>
      </c>
      <c r="W139" s="19">
        <f aca="false">IF($T139="",1000000000000000,$T139)</f>
        <v>51214.8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IF($T140="","",1+COUNTIF($W$15:$W$895,"&lt;"&amp;W140))</f>
        <v>126</v>
      </c>
      <c r="B140" s="16" t="s">
        <v>10</v>
      </c>
      <c r="C140" s="16" t="s">
        <v>440</v>
      </c>
      <c r="D140" s="21" t="s">
        <v>81</v>
      </c>
      <c r="E140" s="16" t="s">
        <v>26</v>
      </c>
      <c r="F140" s="16" t="s">
        <v>441</v>
      </c>
      <c r="G140" s="17">
        <v>2037</v>
      </c>
      <c r="H140" s="17">
        <v>2537</v>
      </c>
      <c r="I140" s="17"/>
      <c r="J140" s="17">
        <v>2027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2037</v>
      </c>
      <c r="M140" s="17">
        <f aca="false">IF($H140="","",$H140+$K140)</f>
        <v>2537</v>
      </c>
      <c r="N140" s="17">
        <f aca="false">IF($J140="","",$J140+$K140)</f>
        <v>2027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28,518원 / 고급유 28,414원</v>
      </c>
      <c r="P140" s="17">
        <f aca="false">IF($B$10=0,"",IFERROR(IF($B$4&gt;0,IF($L140="",1/0,$L140*$B$4),0)+IF($B$5&gt;0,IF($M140="",1/0,$M140*$B$5),0)+IF($B$6&gt;0,IF($N140="",1/0,$N140*$B$6),0),""))</f>
        <v>56932.4</v>
      </c>
      <c r="Q140" s="17" t="s">
        <v>54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5693</v>
      </c>
      <c r="T140" s="17">
        <f aca="false">IF($P140="","",$P140-$S140)</f>
        <v>51239.4</v>
      </c>
      <c r="U140" s="17">
        <f aca="false">IF($T140="","",IF($B$10=0,"",$T140/$B$10))</f>
        <v>2033.309523809523809</v>
      </c>
      <c r="V140" s="17">
        <f aca="false">IF($P140="","",IF($B$10=0,"",$P140/$B$10))</f>
        <v>2259.222222222222222</v>
      </c>
      <c r="W140" s="19">
        <f aca="false">IF($T140="",1000000000000000,$T140)</f>
        <v>51239.4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IF($T141="","",1+COUNTIF($W$15:$W$895,"&lt;"&amp;W141))</f>
        <v>127</v>
      </c>
      <c r="B141" s="16" t="s">
        <v>6</v>
      </c>
      <c r="C141" s="16" t="s">
        <v>857</v>
      </c>
      <c r="D141" s="21" t="s">
        <v>81</v>
      </c>
      <c r="E141" s="16" t="s">
        <v>26</v>
      </c>
      <c r="F141" s="16" t="s">
        <v>858</v>
      </c>
      <c r="G141" s="17">
        <v>1948</v>
      </c>
      <c r="H141" s="17">
        <v>2150</v>
      </c>
      <c r="I141" s="17"/>
      <c r="J141" s="17">
        <v>1948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1948</v>
      </c>
      <c r="M141" s="17">
        <f aca="false">IF($H141="","",$H141+$K141)</f>
        <v>2150</v>
      </c>
      <c r="N141" s="17">
        <f aca="false">IF($J141="","",$J141+$K141)</f>
        <v>1948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27,272원 / 고급유 24,080원</v>
      </c>
      <c r="P141" s="17">
        <f aca="false">IF($B$10=0,"",IFERROR(IF($B$4&gt;0,IF($L141="",1/0,$L141*$B$4),0)+IF($B$5&gt;0,IF($M141="",1/0,$M141*$B$5),0)+IF($B$6&gt;0,IF($N141="",1/0,$N141*$B$6),0),""))</f>
        <v>51352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51352</v>
      </c>
      <c r="U141" s="17">
        <f aca="false">IF($T141="","",IF($B$10=0,"",$T141/$B$10))</f>
        <v>2037.777777777777777</v>
      </c>
      <c r="V141" s="17">
        <f aca="false">IF($P141="","",IF($B$10=0,"",$P141/$B$10))</f>
        <v>2037.777777777777777</v>
      </c>
      <c r="W141" s="19">
        <f aca="false">IF($T141="",1000000000000000,$T141)</f>
        <v>51352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IF($T142="","",1+COUNTIF($W$15:$W$895,"&lt;"&amp;W142))</f>
        <v>128</v>
      </c>
      <c r="B142" s="16" t="s">
        <v>18</v>
      </c>
      <c r="C142" s="16" t="s">
        <v>1408</v>
      </c>
      <c r="D142" s="21" t="s">
        <v>81</v>
      </c>
      <c r="E142" s="16" t="s">
        <v>26</v>
      </c>
      <c r="F142" s="16" t="s">
        <v>1409</v>
      </c>
      <c r="G142" s="17">
        <v>1884</v>
      </c>
      <c r="H142" s="17">
        <v>2234</v>
      </c>
      <c r="I142" s="17"/>
      <c r="J142" s="17">
        <v>1874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1884</v>
      </c>
      <c r="M142" s="17">
        <f aca="false">IF($H142="","",$H142+$K142)</f>
        <v>2234</v>
      </c>
      <c r="N142" s="17">
        <f aca="false">IF($J142="","",$J142+$K142)</f>
        <v>1874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26,376원 / 고급유 25,021원</v>
      </c>
      <c r="P142" s="17">
        <f aca="false">IF($B$10=0,"",IFERROR(IF($B$4&gt;0,IF($L142="",1/0,$L142*$B$4),0)+IF($B$5&gt;0,IF($M142="",1/0,$M142*$B$5),0)+IF($B$6&gt;0,IF($N142="",1/0,$N142*$B$6),0),""))</f>
        <v>51396.8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51396.8</v>
      </c>
      <c r="U142" s="17">
        <f aca="false">IF($T142="","",IF($B$10=0,"",$T142/$B$10))</f>
        <v>2039.555555555555555</v>
      </c>
      <c r="V142" s="17">
        <f aca="false">IF($P142="","",IF($B$10=0,"",$P142/$B$10))</f>
        <v>2039.555555555555555</v>
      </c>
      <c r="W142" s="19">
        <f aca="false">IF($T142="",1000000000000000,$T142)</f>
        <v>51396.8</v>
      </c>
      <c r="XFC142" s="3"/>
    </row>
    <row r="143" s="5" collapsed="false" customFormat="true" customHeight="true" hidden="false" ht="28.5" outlineLevel="0">
      <c r="A143" s="16">
        <f aca="false">IF($T143="","",1+COUNTIF($W$15:$W$895,"&lt;"&amp;W143))</f>
        <v>129</v>
      </c>
      <c r="B143" s="16" t="s">
        <v>12</v>
      </c>
      <c r="C143" s="16" t="s">
        <v>904</v>
      </c>
      <c r="D143" s="20" t="s">
        <v>45</v>
      </c>
      <c r="E143" s="16" t="s">
        <v>26</v>
      </c>
      <c r="F143" s="16" t="s">
        <v>905</v>
      </c>
      <c r="G143" s="17">
        <v>1924</v>
      </c>
      <c r="H143" s="17">
        <v>2185</v>
      </c>
      <c r="I143" s="17"/>
      <c r="J143" s="17">
        <v>1899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1924</v>
      </c>
      <c r="M143" s="17">
        <f aca="false">IF($H143="","",$H143+$K143)</f>
        <v>2185</v>
      </c>
      <c r="N143" s="17">
        <f aca="false">IF($J143="","",$J143+$K143)</f>
        <v>1899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26,936원 / 고급유 24,472원</v>
      </c>
      <c r="P143" s="17">
        <f aca="false">IF($B$10=0,"",IFERROR(IF($B$4&gt;0,IF($L143="",1/0,$L143*$B$4),0)+IF($B$5&gt;0,IF($M143="",1/0,$M143*$B$5),0)+IF($B$6&gt;0,IF($N143="",1/0,$N143*$B$6),0),""))</f>
        <v>51408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51408</v>
      </c>
      <c r="U143" s="17">
        <f aca="false">IF($T143="","",IF($B$10=0,"",$T143/$B$10))</f>
        <v>2040</v>
      </c>
      <c r="V143" s="17">
        <f aca="false">IF($P143="","",IF($B$10=0,"",$P143/$B$10))</f>
        <v>2040</v>
      </c>
      <c r="W143" s="19">
        <f aca="false">IF($T143="",1000000000000000,$T143)</f>
        <v>51408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IF($T144="","",1+COUNTIF($W$15:$W$895,"&lt;"&amp;W144))</f>
        <v>130</v>
      </c>
      <c r="B144" s="16" t="s">
        <v>10</v>
      </c>
      <c r="C144" s="16" t="s">
        <v>820</v>
      </c>
      <c r="D144" s="16" t="s">
        <v>61</v>
      </c>
      <c r="E144" s="16" t="s">
        <v>26</v>
      </c>
      <c r="F144" s="16" t="s">
        <v>821</v>
      </c>
      <c r="G144" s="17">
        <v>1885</v>
      </c>
      <c r="H144" s="17">
        <v>2250</v>
      </c>
      <c r="I144" s="17"/>
      <c r="J144" s="17">
        <v>1885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1885</v>
      </c>
      <c r="M144" s="17">
        <f aca="false">IF($H144="","",$H144+$K144)</f>
        <v>2250</v>
      </c>
      <c r="N144" s="17">
        <f aca="false">IF($J144="","",$J144+$K144)</f>
        <v>1885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26,390원 / 고급유 25,200원</v>
      </c>
      <c r="P144" s="17">
        <f aca="false">IF($B$10=0,"",IFERROR(IF($B$4&gt;0,IF($L144="",1/0,$L144*$B$4),0)+IF($B$5&gt;0,IF($M144="",1/0,$M144*$B$5),0)+IF($B$6&gt;0,IF($N144="",1/0,$N144*$B$6),0),""))</f>
        <v>51590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51590</v>
      </c>
      <c r="U144" s="17">
        <f aca="false">IF($T144="","",IF($B$10=0,"",$T144/$B$10))</f>
        <v>2047.222222222222222</v>
      </c>
      <c r="V144" s="17">
        <f aca="false">IF($P144="","",IF($B$10=0,"",$P144/$B$10))</f>
        <v>2047.222222222222222</v>
      </c>
      <c r="W144" s="19">
        <f aca="false">IF($T144="",1000000000000000,$T144)</f>
        <v>51590</v>
      </c>
      <c r="XFB144" s="6"/>
      <c r="XFC144" s="3"/>
    </row>
    <row r="145" s="6" collapsed="false" customFormat="true" customHeight="true" hidden="false" ht="28.5" outlineLevel="0">
      <c r="A145" s="16">
        <f aca="false">IF($T145="","",1+COUNTIF($W$15:$W$895,"&lt;"&amp;W145))</f>
        <v>131</v>
      </c>
      <c r="B145" s="16" t="s">
        <v>12</v>
      </c>
      <c r="C145" s="16" t="s">
        <v>264</v>
      </c>
      <c r="D145" s="21" t="s">
        <v>81</v>
      </c>
      <c r="E145" s="16" t="s">
        <v>26</v>
      </c>
      <c r="F145" s="16" t="s">
        <v>265</v>
      </c>
      <c r="G145" s="17">
        <v>1838</v>
      </c>
      <c r="H145" s="17">
        <v>2319</v>
      </c>
      <c r="I145" s="17"/>
      <c r="J145" s="17">
        <v>1778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1838</v>
      </c>
      <c r="M145" s="17">
        <f aca="false">IF($H145="","",$H145+$K145)</f>
        <v>2319</v>
      </c>
      <c r="N145" s="17">
        <f aca="false">IF($J145="","",$J145+$K145)</f>
        <v>1778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25,732원 / 고급유 25,973원</v>
      </c>
      <c r="P145" s="17">
        <f aca="false">IF($B$10=0,"",IFERROR(IF($B$4&gt;0,IF($L145="",1/0,$L145*$B$4),0)+IF($B$5&gt;0,IF($M145="",1/0,$M145*$B$5),0)+IF($B$6&gt;0,IF($N145="",1/0,$N145*$B$6),0),""))</f>
        <v>51704.8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51704.8</v>
      </c>
      <c r="U145" s="17">
        <f aca="false">IF($T145="","",IF($B$10=0,"",$T145/$B$10))</f>
        <v>2051.777777777777777</v>
      </c>
      <c r="V145" s="17">
        <f aca="false">IF($P145="","",IF($B$10=0,"",$P145/$B$10))</f>
        <v>2051.777777777777777</v>
      </c>
      <c r="W145" s="19">
        <f aca="false">IF($T145="",1000000000000000,$T145)</f>
        <v>51704.8</v>
      </c>
      <c r="XFC145" s="3"/>
    </row>
    <row r="146" s="5" collapsed="false" customFormat="true" customHeight="true" hidden="false" ht="28.5" outlineLevel="0">
      <c r="A146" s="16">
        <f aca="false">IF($T146="","",1+COUNTIF($W$15:$W$895,"&lt;"&amp;W146))</f>
        <v>131</v>
      </c>
      <c r="B146" s="16" t="s">
        <v>12</v>
      </c>
      <c r="C146" s="16" t="s">
        <v>1109</v>
      </c>
      <c r="D146" s="20" t="s">
        <v>61</v>
      </c>
      <c r="E146" s="16" t="s">
        <v>26</v>
      </c>
      <c r="F146" s="16" t="s">
        <v>1110</v>
      </c>
      <c r="G146" s="17">
        <v>1894</v>
      </c>
      <c r="H146" s="17">
        <v>2249</v>
      </c>
      <c r="I146" s="17"/>
      <c r="J146" s="17">
        <v>1894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1894</v>
      </c>
      <c r="M146" s="17">
        <f aca="false">IF($H146="","",$H146+$K146)</f>
        <v>2249</v>
      </c>
      <c r="N146" s="17">
        <f aca="false">IF($J146="","",$J146+$K146)</f>
        <v>1894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26,516원 / 고급유 25,189원</v>
      </c>
      <c r="P146" s="17">
        <f aca="false">IF($B$10=0,"",IFERROR(IF($B$4&gt;0,IF($L146="",1/0,$L146*$B$4),0)+IF($B$5&gt;0,IF($M146="",1/0,$M146*$B$5),0)+IF($B$6&gt;0,IF($N146="",1/0,$N146*$B$6),0),""))</f>
        <v>51704.8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51704.8</v>
      </c>
      <c r="U146" s="17">
        <f aca="false">IF($T146="","",IF($B$10=0,"",$T146/$B$10))</f>
        <v>2051.777777777777777</v>
      </c>
      <c r="V146" s="17">
        <f aca="false">IF($P146="","",IF($B$10=0,"",$P146/$B$10))</f>
        <v>2051.777777777777777</v>
      </c>
      <c r="W146" s="19">
        <f aca="false">IF($T146="",1000000000000000,$T146)</f>
        <v>51704.8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IF($T147="","",1+COUNTIF($W$15:$W$895,"&lt;"&amp;W147))</f>
        <v>133</v>
      </c>
      <c r="B147" s="16" t="s">
        <v>6</v>
      </c>
      <c r="C147" s="16" t="s">
        <v>276</v>
      </c>
      <c r="D147" s="21" t="s">
        <v>81</v>
      </c>
      <c r="E147" s="16" t="s">
        <v>26</v>
      </c>
      <c r="F147" s="16" t="s">
        <v>277</v>
      </c>
      <c r="G147" s="17">
        <v>1839</v>
      </c>
      <c r="H147" s="17">
        <v>2319</v>
      </c>
      <c r="I147" s="17"/>
      <c r="J147" s="17">
        <v>1798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1839</v>
      </c>
      <c r="M147" s="17">
        <f aca="false">IF($H147="","",$H147+$K147)</f>
        <v>2319</v>
      </c>
      <c r="N147" s="17">
        <f aca="false">IF($J147="","",$J147+$K147)</f>
        <v>1798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25,746원 / 고급유 25,973원</v>
      </c>
      <c r="P147" s="17">
        <f aca="false">IF($B$10=0,"",IFERROR(IF($B$4&gt;0,IF($L147="",1/0,$L147*$B$4),0)+IF($B$5&gt;0,IF($M147="",1/0,$M147*$B$5),0)+IF($B$6&gt;0,IF($N147="",1/0,$N147*$B$6),0),""))</f>
        <v>51718.8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51718.8</v>
      </c>
      <c r="U147" s="17">
        <f aca="false">IF($T147="","",IF($B$10=0,"",$T147/$B$10))</f>
        <v>2052.333333333333333</v>
      </c>
      <c r="V147" s="17">
        <f aca="false">IF($P147="","",IF($B$10=0,"",$P147/$B$10))</f>
        <v>2052.333333333333333</v>
      </c>
      <c r="W147" s="19">
        <f aca="false">IF($T147="",1000000000000000,$T147)</f>
        <v>51718.8</v>
      </c>
      <c r="XFB147" s="6"/>
      <c r="XFC147" s="3"/>
    </row>
    <row r="148" s="22" collapsed="false" customFormat="true" customHeight="true" hidden="false" ht="28.5" outlineLevel="0">
      <c r="A148" s="16">
        <f aca="false">IF($T148="","",1+COUNTIF($W$15:$W$895,"&lt;"&amp;W148))</f>
        <v>134</v>
      </c>
      <c r="B148" s="16" t="s">
        <v>10</v>
      </c>
      <c r="C148" s="16" t="s">
        <v>1440</v>
      </c>
      <c r="D148" s="16" t="s">
        <v>61</v>
      </c>
      <c r="E148" s="16" t="s">
        <v>26</v>
      </c>
      <c r="F148" s="16" t="s">
        <v>1441</v>
      </c>
      <c r="G148" s="17">
        <v>1895</v>
      </c>
      <c r="H148" s="17">
        <v>2250</v>
      </c>
      <c r="I148" s="17"/>
      <c r="J148" s="17">
        <v>1895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1895</v>
      </c>
      <c r="M148" s="17">
        <f aca="false">IF($H148="","",$H148+$K148)</f>
        <v>2250</v>
      </c>
      <c r="N148" s="17">
        <f aca="false">IF($J148="","",$J148+$K148)</f>
        <v>1895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26,530원 / 고급유 25,200원</v>
      </c>
      <c r="P148" s="17">
        <f aca="false">IF($B$10=0,"",IFERROR(IF($B$4&gt;0,IF($L148="",1/0,$L148*$B$4),0)+IF($B$5&gt;0,IF($M148="",1/0,$M148*$B$5),0)+IF($B$6&gt;0,IF($N148="",1/0,$N148*$B$6),0),""))</f>
        <v>51730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51730</v>
      </c>
      <c r="U148" s="17">
        <f aca="false">IF($T148="","",IF($B$10=0,"",$T148/$B$10))</f>
        <v>2052.777777777777777</v>
      </c>
      <c r="V148" s="17">
        <f aca="false">IF($P148="","",IF($B$10=0,"",$P148/$B$10))</f>
        <v>2052.777777777777777</v>
      </c>
      <c r="W148" s="19">
        <f aca="false">IF($T148="",1000000000000000,$T148)</f>
        <v>51730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IF($T149="","",1+COUNTIF($W$15:$W$895,"&lt;"&amp;W149))</f>
        <v>135</v>
      </c>
      <c r="B149" s="16" t="s">
        <v>12</v>
      </c>
      <c r="C149" s="16" t="s">
        <v>1675</v>
      </c>
      <c r="D149" s="20" t="s">
        <v>61</v>
      </c>
      <c r="E149" s="16" t="s">
        <v>26</v>
      </c>
      <c r="F149" s="16" t="s">
        <v>1676</v>
      </c>
      <c r="G149" s="17">
        <v>1945</v>
      </c>
      <c r="H149" s="17">
        <v>2195</v>
      </c>
      <c r="I149" s="17"/>
      <c r="J149" s="17">
        <v>1945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1945</v>
      </c>
      <c r="M149" s="17">
        <f aca="false">IF($H149="","",$H149+$K149)</f>
        <v>2195</v>
      </c>
      <c r="N149" s="17">
        <f aca="false">IF($J149="","",$J149+$K149)</f>
        <v>1945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27,230원 / 고급유 24,584원</v>
      </c>
      <c r="P149" s="17">
        <f aca="false">IF($B$10=0,"",IFERROR(IF($B$4&gt;0,IF($L149="",1/0,$L149*$B$4),0)+IF($B$5&gt;0,IF($M149="",1/0,$M149*$B$5),0)+IF($B$6&gt;0,IF($N149="",1/0,$N149*$B$6),0),""))</f>
        <v>51814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51814</v>
      </c>
      <c r="U149" s="17">
        <f aca="false">IF($T149="","",IF($B$10=0,"",$T149/$B$10))</f>
        <v>2056.111111111111111</v>
      </c>
      <c r="V149" s="17">
        <f aca="false">IF($P149="","",IF($B$10=0,"",$P149/$B$10))</f>
        <v>2056.111111111111111</v>
      </c>
      <c r="W149" s="19">
        <f aca="false">IF($T149="",1000000000000000,$T149)</f>
        <v>51814</v>
      </c>
      <c r="XFC149" s="3"/>
    </row>
    <row r="150" s="6" collapsed="false" customFormat="true" customHeight="true" hidden="false" ht="28.5" outlineLevel="0">
      <c r="A150" s="16">
        <f aca="false">IF($T150="","",1+COUNTIF($W$15:$W$895,"&lt;"&amp;W150))</f>
        <v>136</v>
      </c>
      <c r="B150" s="16" t="s">
        <v>12</v>
      </c>
      <c r="C150" s="16" t="s">
        <v>280</v>
      </c>
      <c r="D150" s="21" t="s">
        <v>81</v>
      </c>
      <c r="E150" s="16" t="s">
        <v>62</v>
      </c>
      <c r="F150" s="16" t="s">
        <v>281</v>
      </c>
      <c r="G150" s="17">
        <v>1849</v>
      </c>
      <c r="H150" s="17">
        <v>2319</v>
      </c>
      <c r="I150" s="17"/>
      <c r="J150" s="17">
        <v>1798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1849</v>
      </c>
      <c r="M150" s="17">
        <f aca="false">IF($H150="","",$H150+$K150)</f>
        <v>2319</v>
      </c>
      <c r="N150" s="17">
        <f aca="false">IF($J150="","",$J150+$K150)</f>
        <v>1798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25,886원 / 고급유 25,973원</v>
      </c>
      <c r="P150" s="17">
        <f aca="false">IF($B$10=0,"",IFERROR(IF($B$4&gt;0,IF($L150="",1/0,$L150*$B$4),0)+IF($B$5&gt;0,IF($M150="",1/0,$M150*$B$5),0)+IF($B$6&gt;0,IF($N150="",1/0,$N150*$B$6),0),""))</f>
        <v>51858.8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51858.8</v>
      </c>
      <c r="U150" s="17">
        <f aca="false">IF($T150="","",IF($B$10=0,"",$T150/$B$10))</f>
        <v>2057.888888888888888</v>
      </c>
      <c r="V150" s="17">
        <f aca="false">IF($P150="","",IF($B$10=0,"",$P150/$B$10))</f>
        <v>2057.888888888888888</v>
      </c>
      <c r="W150" s="19">
        <f aca="false">IF($T150="",1000000000000000,$T150)</f>
        <v>51858.8</v>
      </c>
      <c r="XFC150" s="3"/>
    </row>
    <row r="151" s="6" collapsed="false" customFormat="true" customHeight="true" hidden="false" ht="28.5" outlineLevel="0">
      <c r="A151" s="16">
        <f aca="false">IF($T151="","",1+COUNTIF($W$15:$W$895,"&lt;"&amp;W151))</f>
        <v>137</v>
      </c>
      <c r="B151" s="16" t="s">
        <v>10</v>
      </c>
      <c r="C151" s="16" t="s">
        <v>1715</v>
      </c>
      <c r="D151" s="21" t="s">
        <v>81</v>
      </c>
      <c r="E151" s="16" t="s">
        <v>26</v>
      </c>
      <c r="F151" s="16" t="s">
        <v>1716</v>
      </c>
      <c r="G151" s="17">
        <v>1949</v>
      </c>
      <c r="H151" s="17">
        <v>2199</v>
      </c>
      <c r="I151" s="17"/>
      <c r="J151" s="17">
        <v>1949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1949</v>
      </c>
      <c r="M151" s="17">
        <f aca="false">IF($H151="","",$H151+$K151)</f>
        <v>2199</v>
      </c>
      <c r="N151" s="17">
        <f aca="false">IF($J151="","",$J151+$K151)</f>
        <v>1949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27,286원 / 고급유 24,629원</v>
      </c>
      <c r="P151" s="17">
        <f aca="false">IF($B$10=0,"",IFERROR(IF($B$4&gt;0,IF($L151="",1/0,$L151*$B$4),0)+IF($B$5&gt;0,IF($M151="",1/0,$M151*$B$5),0)+IF($B$6&gt;0,IF($N151="",1/0,$N151*$B$6),0),""))</f>
        <v>51914.8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51914.8</v>
      </c>
      <c r="U151" s="17">
        <f aca="false">IF($T151="","",IF($B$10=0,"",$T151/$B$10))</f>
        <v>2060.111111111111111</v>
      </c>
      <c r="V151" s="17">
        <f aca="false">IF($P151="","",IF($B$10=0,"",$P151/$B$10))</f>
        <v>2060.111111111111111</v>
      </c>
      <c r="W151" s="19">
        <f aca="false">IF($T151="",1000000000000000,$T151)</f>
        <v>51914.8</v>
      </c>
      <c r="XFC151" s="3"/>
    </row>
    <row r="152" s="5" collapsed="false" customFormat="true" customHeight="true" hidden="false" ht="28.5" outlineLevel="0">
      <c r="A152" s="16">
        <f aca="false">IF($T152="","",1+COUNTIF($W$15:$W$895,"&lt;"&amp;W152))</f>
        <v>138</v>
      </c>
      <c r="B152" s="16" t="s">
        <v>12</v>
      </c>
      <c r="C152" s="16" t="s">
        <v>703</v>
      </c>
      <c r="D152" s="20" t="s">
        <v>61</v>
      </c>
      <c r="E152" s="16" t="s">
        <v>26</v>
      </c>
      <c r="F152" s="16" t="s">
        <v>704</v>
      </c>
      <c r="G152" s="17">
        <v>1914</v>
      </c>
      <c r="H152" s="17">
        <v>2249</v>
      </c>
      <c r="I152" s="17"/>
      <c r="J152" s="17">
        <v>1934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1914</v>
      </c>
      <c r="M152" s="17">
        <f aca="false">IF($H152="","",$H152+$K152)</f>
        <v>2249</v>
      </c>
      <c r="N152" s="17">
        <f aca="false">IF($J152="","",$J152+$K152)</f>
        <v>1934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26,796원 / 고급유 25,189원</v>
      </c>
      <c r="P152" s="17">
        <f aca="false">IF($B$10=0,"",IFERROR(IF($B$4&gt;0,IF($L152="",1/0,$L152*$B$4),0)+IF($B$5&gt;0,IF($M152="",1/0,$M152*$B$5),0)+IF($B$6&gt;0,IF($N152="",1/0,$N152*$B$6),0),""))</f>
        <v>51984.8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51984.8</v>
      </c>
      <c r="U152" s="17">
        <f aca="false">IF($T152="","",IF($B$10=0,"",$T152/$B$10))</f>
        <v>2062.888888888888888</v>
      </c>
      <c r="V152" s="17">
        <f aca="false">IF($P152="","",IF($B$10=0,"",$P152/$B$10))</f>
        <v>2062.888888888888888</v>
      </c>
      <c r="W152" s="19">
        <f aca="false">IF($T152="",1000000000000000,$T152)</f>
        <v>51984.8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IF($T153="","",1+COUNTIF($W$15:$W$895,"&lt;"&amp;W153))</f>
        <v>139</v>
      </c>
      <c r="B153" s="16" t="s">
        <v>14</v>
      </c>
      <c r="C153" s="16" t="s">
        <v>1438</v>
      </c>
      <c r="D153" s="16" t="s">
        <v>61</v>
      </c>
      <c r="E153" s="16" t="s">
        <v>26</v>
      </c>
      <c r="F153" s="16" t="s">
        <v>1439</v>
      </c>
      <c r="G153" s="17">
        <v>1925</v>
      </c>
      <c r="H153" s="17">
        <v>2240</v>
      </c>
      <c r="I153" s="17"/>
      <c r="J153" s="17">
        <v>1925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1925</v>
      </c>
      <c r="M153" s="17">
        <f aca="false">IF($H153="","",$H153+$K153)</f>
        <v>2240</v>
      </c>
      <c r="N153" s="17">
        <f aca="false">IF($J153="","",$J153+$K153)</f>
        <v>1925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26,950원 / 고급유 25,088원</v>
      </c>
      <c r="P153" s="17">
        <f aca="false">IF($B$10=0,"",IFERROR(IF($B$4&gt;0,IF($L153="",1/0,$L153*$B$4),0)+IF($B$5&gt;0,IF($M153="",1/0,$M153*$B$5),0)+IF($B$6&gt;0,IF($N153="",1/0,$N153*$B$6),0),""))</f>
        <v>52038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52038</v>
      </c>
      <c r="U153" s="17">
        <f aca="false">IF($T153="","",IF($B$10=0,"",$T153/$B$10))</f>
        <v>2065</v>
      </c>
      <c r="V153" s="17">
        <f aca="false">IF($P153="","",IF($B$10=0,"",$P153/$B$10))</f>
        <v>2065</v>
      </c>
      <c r="W153" s="19">
        <f aca="false">IF($T153="",1000000000000000,$T153)</f>
        <v>52038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IF($T154="","",1+COUNTIF($W$15:$W$895,"&lt;"&amp;W154))</f>
        <v>140</v>
      </c>
      <c r="B154" s="16" t="s">
        <v>18</v>
      </c>
      <c r="C154" s="16" t="s">
        <v>711</v>
      </c>
      <c r="D154" s="16" t="s">
        <v>58</v>
      </c>
      <c r="E154" s="16" t="s">
        <v>26</v>
      </c>
      <c r="F154" s="16" t="s">
        <v>712</v>
      </c>
      <c r="G154" s="17">
        <v>1959</v>
      </c>
      <c r="H154" s="17">
        <v>2199</v>
      </c>
      <c r="I154" s="17"/>
      <c r="J154" s="17">
        <v>1929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1959</v>
      </c>
      <c r="M154" s="17">
        <f aca="false">IF($H154="","",$H154+$K154)</f>
        <v>2199</v>
      </c>
      <c r="N154" s="17">
        <f aca="false">IF($J154="","",$J154+$K154)</f>
        <v>1929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27,426원 / 고급유 24,629원</v>
      </c>
      <c r="P154" s="17">
        <f aca="false">IF($B$10=0,"",IFERROR(IF($B$4&gt;0,IF($L154="",1/0,$L154*$B$4),0)+IF($B$5&gt;0,IF($M154="",1/0,$M154*$B$5),0)+IF($B$6&gt;0,IF($N154="",1/0,$N154*$B$6),0),""))</f>
        <v>52054.8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52054.8</v>
      </c>
      <c r="U154" s="17">
        <f aca="false">IF($T154="","",IF($B$10=0,"",$T154/$B$10))</f>
        <v>2065.666666666666666</v>
      </c>
      <c r="V154" s="17">
        <f aca="false">IF($P154="","",IF($B$10=0,"",$P154/$B$10))</f>
        <v>2065.666666666666666</v>
      </c>
      <c r="W154" s="19">
        <f aca="false">IF($T154="",1000000000000000,$T154)</f>
        <v>52054.8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IF($T155="","",1+COUNTIF($W$15:$W$895,"&lt;"&amp;W155))</f>
        <v>141</v>
      </c>
      <c r="B155" s="16" t="s">
        <v>8</v>
      </c>
      <c r="C155" s="16" t="s">
        <v>826</v>
      </c>
      <c r="D155" s="21" t="s">
        <v>81</v>
      </c>
      <c r="E155" s="16" t="s">
        <v>26</v>
      </c>
      <c r="F155" s="16" t="s">
        <v>827</v>
      </c>
      <c r="G155" s="17">
        <v>1899</v>
      </c>
      <c r="H155" s="17">
        <v>2299</v>
      </c>
      <c r="I155" s="17"/>
      <c r="J155" s="17">
        <v>1879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1899</v>
      </c>
      <c r="M155" s="17">
        <f aca="false">IF($H155="","",$H155+$K155)</f>
        <v>2299</v>
      </c>
      <c r="N155" s="17">
        <f aca="false">IF($J155="","",$J155+$K155)</f>
        <v>1879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26,586원 / 고급유 25,749원</v>
      </c>
      <c r="P155" s="17">
        <f aca="false">IF($B$10=0,"",IFERROR(IF($B$4&gt;0,IF($L155="",1/0,$L155*$B$4),0)+IF($B$5&gt;0,IF($M155="",1/0,$M155*$B$5),0)+IF($B$6&gt;0,IF($N155="",1/0,$N155*$B$6),0),""))</f>
        <v>52334.8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52334.8</v>
      </c>
      <c r="U155" s="17">
        <f aca="false">IF($T155="","",IF($B$10=0,"",$T155/$B$10))</f>
        <v>2076.777777777777777</v>
      </c>
      <c r="V155" s="17">
        <f aca="false">IF($P155="","",IF($B$10=0,"",$P155/$B$10))</f>
        <v>2076.777777777777777</v>
      </c>
      <c r="W155" s="19">
        <f aca="false">IF($T155="",1000000000000000,$T155)</f>
        <v>52334.8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IF($T156="","",1+COUNTIF($W$15:$W$895,"&lt;"&amp;W156))</f>
        <v>141</v>
      </c>
      <c r="B156" s="16" t="s">
        <v>12</v>
      </c>
      <c r="C156" s="16" t="s">
        <v>737</v>
      </c>
      <c r="D156" s="21" t="s">
        <v>81</v>
      </c>
      <c r="E156" s="16" t="s">
        <v>62</v>
      </c>
      <c r="F156" s="16" t="s">
        <v>738</v>
      </c>
      <c r="G156" s="17">
        <v>1979</v>
      </c>
      <c r="H156" s="17">
        <v>2199</v>
      </c>
      <c r="I156" s="17"/>
      <c r="J156" s="17">
        <v>1978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1979</v>
      </c>
      <c r="M156" s="17">
        <f aca="false">IF($H156="","",$H156+$K156)</f>
        <v>2199</v>
      </c>
      <c r="N156" s="17">
        <f aca="false">IF($J156="","",$J156+$K156)</f>
        <v>1978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27,706원 / 고급유 24,629원</v>
      </c>
      <c r="P156" s="17">
        <f aca="false">IF($B$10=0,"",IFERROR(IF($B$4&gt;0,IF($L156="",1/0,$L156*$B$4),0)+IF($B$5&gt;0,IF($M156="",1/0,$M156*$B$5),0)+IF($B$6&gt;0,IF($N156="",1/0,$N156*$B$6),0),""))</f>
        <v>52334.8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52334.8</v>
      </c>
      <c r="U156" s="17">
        <f aca="false">IF($T156="","",IF($B$10=0,"",$T156/$B$10))</f>
        <v>2076.777777777777777</v>
      </c>
      <c r="V156" s="17">
        <f aca="false">IF($P156="","",IF($B$10=0,"",$P156/$B$10))</f>
        <v>2076.777777777777777</v>
      </c>
      <c r="W156" s="19">
        <f aca="false">IF($T156="",1000000000000000,$T156)</f>
        <v>52334.8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IF($T157="","",1+COUNTIF($W$15:$W$895,"&lt;"&amp;W157))</f>
        <v>143</v>
      </c>
      <c r="B157" s="16" t="s">
        <v>8</v>
      </c>
      <c r="C157" s="16" t="s">
        <v>593</v>
      </c>
      <c r="D157" s="21" t="s">
        <v>81</v>
      </c>
      <c r="E157" s="16" t="s">
        <v>26</v>
      </c>
      <c r="F157" s="16" t="s">
        <v>594</v>
      </c>
      <c r="G157" s="17">
        <v>1946</v>
      </c>
      <c r="H157" s="17">
        <v>2241</v>
      </c>
      <c r="I157" s="17"/>
      <c r="J157" s="17">
        <v>1946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1946</v>
      </c>
      <c r="M157" s="17">
        <f aca="false">IF($H157="","",$H157+$K157)</f>
        <v>2241</v>
      </c>
      <c r="N157" s="17">
        <f aca="false">IF($J157="","",$J157+$K157)</f>
        <v>1946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27,244원 / 고급유 25,099원</v>
      </c>
      <c r="P157" s="17">
        <f aca="false">IF($B$10=0,"",IFERROR(IF($B$4&gt;0,IF($L157="",1/0,$L157*$B$4),0)+IF($B$5&gt;0,IF($M157="",1/0,$M157*$B$5),0)+IF($B$6&gt;0,IF($N157="",1/0,$N157*$B$6),0),""))</f>
        <v>52343.2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52343.2</v>
      </c>
      <c r="U157" s="17">
        <f aca="false">IF($T157="","",IF($B$10=0,"",$T157/$B$10))</f>
        <v>2077.111111111111111</v>
      </c>
      <c r="V157" s="17">
        <f aca="false">IF($P157="","",IF($B$10=0,"",$P157/$B$10))</f>
        <v>2077.111111111111111</v>
      </c>
      <c r="W157" s="19">
        <f aca="false">IF($T157="",1000000000000000,$T157)</f>
        <v>52343.2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IF($T158="","",1+COUNTIF($W$15:$W$895,"&lt;"&amp;W158))</f>
        <v>144</v>
      </c>
      <c r="B158" s="16" t="s">
        <v>12</v>
      </c>
      <c r="C158" s="16" t="s">
        <v>668</v>
      </c>
      <c r="D158" s="20" t="s">
        <v>58</v>
      </c>
      <c r="E158" s="16" t="s">
        <v>26</v>
      </c>
      <c r="F158" s="16" t="s">
        <v>669</v>
      </c>
      <c r="G158" s="17">
        <v>1910</v>
      </c>
      <c r="H158" s="17">
        <v>2295</v>
      </c>
      <c r="I158" s="17"/>
      <c r="J158" s="17">
        <v>1910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1910</v>
      </c>
      <c r="M158" s="17">
        <f aca="false">IF($H158="","",$H158+$K158)</f>
        <v>2295</v>
      </c>
      <c r="N158" s="17">
        <f aca="false">IF($J158="","",$J158+$K158)</f>
        <v>1910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26,740원 / 고급유 25,704원</v>
      </c>
      <c r="P158" s="17">
        <f aca="false">IF($B$10=0,"",IFERROR(IF($B$4&gt;0,IF($L158="",1/0,$L158*$B$4),0)+IF($B$5&gt;0,IF($M158="",1/0,$M158*$B$5),0)+IF($B$6&gt;0,IF($N158="",1/0,$N158*$B$6),0),""))</f>
        <v>52444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52444</v>
      </c>
      <c r="U158" s="17">
        <f aca="false">IF($T158="","",IF($B$10=0,"",$T158/$B$10))</f>
        <v>2081.111111111111111</v>
      </c>
      <c r="V158" s="17">
        <f aca="false">IF($P158="","",IF($B$10=0,"",$P158/$B$10))</f>
        <v>2081.111111111111111</v>
      </c>
      <c r="W158" s="19">
        <f aca="false">IF($T158="",1000000000000000,$T158)</f>
        <v>52444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IF($T159="","",1+COUNTIF($W$15:$W$895,"&lt;"&amp;W159))</f>
        <v>145</v>
      </c>
      <c r="B159" s="16" t="s">
        <v>12</v>
      </c>
      <c r="C159" s="16" t="s">
        <v>603</v>
      </c>
      <c r="D159" s="20" t="s">
        <v>45</v>
      </c>
      <c r="E159" s="16" t="s">
        <v>26</v>
      </c>
      <c r="F159" s="16" t="s">
        <v>604</v>
      </c>
      <c r="G159" s="17">
        <v>1934</v>
      </c>
      <c r="H159" s="17">
        <v>2274</v>
      </c>
      <c r="I159" s="17"/>
      <c r="J159" s="17">
        <v>1934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1934</v>
      </c>
      <c r="M159" s="17">
        <f aca="false">IF($H159="","",$H159+$K159)</f>
        <v>2274</v>
      </c>
      <c r="N159" s="17">
        <f aca="false">IF($J159="","",$J159+$K159)</f>
        <v>1934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27,076원 / 고급유 25,469원</v>
      </c>
      <c r="P159" s="17">
        <f aca="false">IF($B$10=0,"",IFERROR(IF($B$4&gt;0,IF($L159="",1/0,$L159*$B$4),0)+IF($B$5&gt;0,IF($M159="",1/0,$M159*$B$5),0)+IF($B$6&gt;0,IF($N159="",1/0,$N159*$B$6),0),""))</f>
        <v>52544.8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52544.8</v>
      </c>
      <c r="U159" s="17">
        <f aca="false">IF($T159="","",IF($B$10=0,"",$T159/$B$10))</f>
        <v>2085.111111111111111</v>
      </c>
      <c r="V159" s="17">
        <f aca="false">IF($P159="","",IF($B$10=0,"",$P159/$B$10))</f>
        <v>2085.111111111111111</v>
      </c>
      <c r="W159" s="19">
        <f aca="false">IF($T159="",1000000000000000,$T159)</f>
        <v>52544.8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IF($T160="","",1+COUNTIF($W$15:$W$895,"&lt;"&amp;W160))</f>
        <v>146</v>
      </c>
      <c r="B160" s="16" t="s">
        <v>10</v>
      </c>
      <c r="C160" s="16" t="s">
        <v>1586</v>
      </c>
      <c r="D160" s="21" t="s">
        <v>81</v>
      </c>
      <c r="E160" s="16" t="s">
        <v>26</v>
      </c>
      <c r="F160" s="16" t="s">
        <v>1587</v>
      </c>
      <c r="G160" s="17">
        <v>1885</v>
      </c>
      <c r="H160" s="17">
        <v>2350</v>
      </c>
      <c r="I160" s="17"/>
      <c r="J160" s="17">
        <v>1885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1885</v>
      </c>
      <c r="M160" s="17">
        <f aca="false">IF($H160="","",$H160+$K160)</f>
        <v>2350</v>
      </c>
      <c r="N160" s="17">
        <f aca="false">IF($J160="","",$J160+$K160)</f>
        <v>1885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26,390원 / 고급유 26,320원</v>
      </c>
      <c r="P160" s="17">
        <f aca="false">IF($B$10=0,"",IFERROR(IF($B$4&gt;0,IF($L160="",1/0,$L160*$B$4),0)+IF($B$5&gt;0,IF($M160="",1/0,$M160*$B$5),0)+IF($B$6&gt;0,IF($N160="",1/0,$N160*$B$6),0),""))</f>
        <v>52710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52710</v>
      </c>
      <c r="U160" s="17">
        <f aca="false">IF($T160="","",IF($B$10=0,"",$T160/$B$10))</f>
        <v>2091.666666666666666</v>
      </c>
      <c r="V160" s="17">
        <f aca="false">IF($P160="","",IF($B$10=0,"",$P160/$B$10))</f>
        <v>2091.666666666666666</v>
      </c>
      <c r="W160" s="19">
        <f aca="false">IF($T160="",1000000000000000,$T160)</f>
        <v>52710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IF($T161="","",1+COUNTIF($W$15:$W$895,"&lt;"&amp;W161))</f>
        <v>146</v>
      </c>
      <c r="B161" s="16" t="s">
        <v>10</v>
      </c>
      <c r="C161" s="16" t="s">
        <v>1594</v>
      </c>
      <c r="D161" s="21" t="s">
        <v>81</v>
      </c>
      <c r="E161" s="16" t="s">
        <v>26</v>
      </c>
      <c r="F161" s="16" t="s">
        <v>1595</v>
      </c>
      <c r="G161" s="17">
        <v>1885</v>
      </c>
      <c r="H161" s="17">
        <v>2350</v>
      </c>
      <c r="I161" s="17"/>
      <c r="J161" s="17">
        <v>1885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1885</v>
      </c>
      <c r="M161" s="17">
        <f aca="false">IF($H161="","",$H161+$K161)</f>
        <v>2350</v>
      </c>
      <c r="N161" s="17">
        <f aca="false">IF($J161="","",$J161+$K161)</f>
        <v>1885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26,390원 / 고급유 26,320원</v>
      </c>
      <c r="P161" s="17">
        <f aca="false">IF($B$10=0,"",IFERROR(IF($B$4&gt;0,IF($L161="",1/0,$L161*$B$4),0)+IF($B$5&gt;0,IF($M161="",1/0,$M161*$B$5),0)+IF($B$6&gt;0,IF($N161="",1/0,$N161*$B$6),0),""))</f>
        <v>52710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52710</v>
      </c>
      <c r="U161" s="17">
        <f aca="false">IF($T161="","",IF($B$10=0,"",$T161/$B$10))</f>
        <v>2091.666666666666666</v>
      </c>
      <c r="V161" s="17">
        <f aca="false">IF($P161="","",IF($B$10=0,"",$P161/$B$10))</f>
        <v>2091.666666666666666</v>
      </c>
      <c r="W161" s="19">
        <f aca="false">IF($T161="",1000000000000000,$T161)</f>
        <v>52710</v>
      </c>
      <c r="XFC161" s="3"/>
    </row>
    <row r="162" s="5" collapsed="false" customFormat="true" customHeight="true" hidden="false" ht="28.5" outlineLevel="0">
      <c r="A162" s="16">
        <f aca="false">IF($T162="","",1+COUNTIF($W$15:$W$895,"&lt;"&amp;W162))</f>
        <v>148</v>
      </c>
      <c r="B162" s="16" t="s">
        <v>10</v>
      </c>
      <c r="C162" s="16" t="s">
        <v>442</v>
      </c>
      <c r="D162" s="16" t="s">
        <v>45</v>
      </c>
      <c r="E162" s="16" t="s">
        <v>26</v>
      </c>
      <c r="F162" s="16" t="s">
        <v>443</v>
      </c>
      <c r="G162" s="17">
        <v>1999</v>
      </c>
      <c r="H162" s="17">
        <v>2223</v>
      </c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2223</v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27,986원 / 고급유 24,898원</v>
      </c>
      <c r="P162" s="17">
        <f aca="false">IF($B$10=0,"",IFERROR(IF($B$4&gt;0,IF($L162="",1/0,$L162*$B$4),0)+IF($B$5&gt;0,IF($M162="",1/0,$M162*$B$5),0)+IF($B$6&gt;0,IF($N162="",1/0,$N162*$B$6),0),""))</f>
        <v>52883.6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52883.6</v>
      </c>
      <c r="U162" s="17">
        <f aca="false">IF($T162="","",IF($B$10=0,"",$T162/$B$10))</f>
        <v>2098.555555555555555</v>
      </c>
      <c r="V162" s="17">
        <f aca="false">IF($P162="","",IF($B$10=0,"",$P162/$B$10))</f>
        <v>2098.555555555555555</v>
      </c>
      <c r="W162" s="19">
        <f aca="false">IF($T162="",1000000000000000,$T162)</f>
        <v>52883.6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IF($T163="","",1+COUNTIF($W$15:$W$895,"&lt;"&amp;W163))</f>
        <v>149</v>
      </c>
      <c r="B163" s="16" t="s">
        <v>12</v>
      </c>
      <c r="C163" s="16" t="s">
        <v>740</v>
      </c>
      <c r="D163" s="16" t="s">
        <v>110</v>
      </c>
      <c r="E163" s="16" t="s">
        <v>26</v>
      </c>
      <c r="F163" s="16" t="s">
        <v>741</v>
      </c>
      <c r="G163" s="17">
        <v>1988</v>
      </c>
      <c r="H163" s="17">
        <v>2238</v>
      </c>
      <c r="I163" s="17"/>
      <c r="J163" s="17">
        <v>1978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1988</v>
      </c>
      <c r="M163" s="17">
        <f aca="false">IF($H163="","",$H163+$K163)</f>
        <v>2238</v>
      </c>
      <c r="N163" s="17">
        <f aca="false">IF($J163="","",$J163+$K163)</f>
        <v>1978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27,832원 / 고급유 25,066원</v>
      </c>
      <c r="P163" s="17">
        <f aca="false">IF($B$10=0,"",IFERROR(IF($B$4&gt;0,IF($L163="",1/0,$L163*$B$4),0)+IF($B$5&gt;0,IF($M163="",1/0,$M163*$B$5),0)+IF($B$6&gt;0,IF($N163="",1/0,$N163*$B$6),0),""))</f>
        <v>52897.6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52897.6</v>
      </c>
      <c r="U163" s="17">
        <f aca="false">IF($T163="","",IF($B$10=0,"",$T163/$B$10))</f>
        <v>2099.111111111111111</v>
      </c>
      <c r="V163" s="17">
        <f aca="false">IF($P163="","",IF($B$10=0,"",$P163/$B$10))</f>
        <v>2099.111111111111111</v>
      </c>
      <c r="W163" s="19">
        <f aca="false">IF($T163="",1000000000000000,$T163)</f>
        <v>52897.6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IF($T164="","",1+COUNTIF($W$15:$W$895,"&lt;"&amp;W164))</f>
        <v>150</v>
      </c>
      <c r="B164" s="16" t="s">
        <v>12</v>
      </c>
      <c r="C164" s="16" t="s">
        <v>1544</v>
      </c>
      <c r="D164" s="16" t="s">
        <v>110</v>
      </c>
      <c r="E164" s="16" t="s">
        <v>26</v>
      </c>
      <c r="F164" s="16" t="s">
        <v>1545</v>
      </c>
      <c r="G164" s="17">
        <v>1989</v>
      </c>
      <c r="H164" s="17">
        <v>2238</v>
      </c>
      <c r="I164" s="17"/>
      <c r="J164" s="17">
        <v>1988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1989</v>
      </c>
      <c r="M164" s="17">
        <f aca="false">IF($H164="","",$H164+$K164)</f>
        <v>2238</v>
      </c>
      <c r="N164" s="17">
        <f aca="false">IF($J164="","",$J164+$K164)</f>
        <v>1988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27,846원 / 고급유 25,066원</v>
      </c>
      <c r="P164" s="17">
        <f aca="false">IF($B$10=0,"",IFERROR(IF($B$4&gt;0,IF($L164="",1/0,$L164*$B$4),0)+IF($B$5&gt;0,IF($M164="",1/0,$M164*$B$5),0)+IF($B$6&gt;0,IF($N164="",1/0,$N164*$B$6),0),""))</f>
        <v>52911.6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52911.6</v>
      </c>
      <c r="U164" s="17">
        <f aca="false">IF($T164="","",IF($B$10=0,"",$T164/$B$10))</f>
        <v>2099.666666666666666</v>
      </c>
      <c r="V164" s="17">
        <f aca="false">IF($P164="","",IF($B$10=0,"",$P164/$B$10))</f>
        <v>2099.666666666666666</v>
      </c>
      <c r="W164" s="19">
        <f aca="false">IF($T164="",1000000000000000,$T164)</f>
        <v>52911.6</v>
      </c>
      <c r="XFC164" s="3"/>
    </row>
    <row r="165" s="5" collapsed="false" customFormat="true" customHeight="true" hidden="false" ht="28.5" outlineLevel="0">
      <c r="A165" s="16">
        <f aca="false">IF($T165="","",1+COUNTIF($W$15:$W$895,"&lt;"&amp;W165))</f>
        <v>151</v>
      </c>
      <c r="B165" s="16" t="s">
        <v>8</v>
      </c>
      <c r="C165" s="16" t="s">
        <v>87</v>
      </c>
      <c r="D165" s="16" t="s">
        <v>58</v>
      </c>
      <c r="E165" s="16" t="s">
        <v>26</v>
      </c>
      <c r="F165" s="16" t="s">
        <v>88</v>
      </c>
      <c r="G165" s="17">
        <v>1945</v>
      </c>
      <c r="H165" s="17">
        <v>2299</v>
      </c>
      <c r="I165" s="17"/>
      <c r="J165" s="17">
        <v>1935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1945</v>
      </c>
      <c r="M165" s="17">
        <f aca="false">IF($H165="","",$H165+$K165)</f>
        <v>2299</v>
      </c>
      <c r="N165" s="17">
        <f aca="false">IF($J165="","",$J165+$K165)</f>
        <v>1935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27,230원 / 고급유 25,749원</v>
      </c>
      <c r="P165" s="17">
        <f aca="false">IF($B$10=0,"",IFERROR(IF($B$4&gt;0,IF($L165="",1/0,$L165*$B$4),0)+IF($B$5&gt;0,IF($M165="",1/0,$M165*$B$5),0)+IF($B$6&gt;0,IF($N165="",1/0,$N165*$B$6),0),""))</f>
        <v>52978.8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52978.8</v>
      </c>
      <c r="U165" s="17">
        <f aca="false">IF($T165="","",IF($B$10=0,"",$T165/$B$10))</f>
        <v>2102.333333333333333</v>
      </c>
      <c r="V165" s="17">
        <f aca="false">IF($P165="","",IF($B$10=0,"",$P165/$B$10))</f>
        <v>2102.333333333333333</v>
      </c>
      <c r="W165" s="19">
        <f aca="false">IF($T165="",1000000000000000,$T165)</f>
        <v>52978.8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IF($T166="","",1+COUNTIF($W$15:$W$895,"&lt;"&amp;W166))</f>
        <v>152</v>
      </c>
      <c r="B166" s="16" t="s">
        <v>8</v>
      </c>
      <c r="C166" s="16" t="s">
        <v>435</v>
      </c>
      <c r="D166" s="21" t="s">
        <v>81</v>
      </c>
      <c r="E166" s="16" t="s">
        <v>26</v>
      </c>
      <c r="F166" s="16" t="s">
        <v>436</v>
      </c>
      <c r="G166" s="17">
        <v>1949</v>
      </c>
      <c r="H166" s="17">
        <v>2299</v>
      </c>
      <c r="I166" s="17"/>
      <c r="J166" s="17">
        <v>1949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1949</v>
      </c>
      <c r="M166" s="17">
        <f aca="false">IF($H166="","",$H166+$K166)</f>
        <v>2299</v>
      </c>
      <c r="N166" s="17">
        <f aca="false">IF($J166="","",$J166+$K166)</f>
        <v>1949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27,286원 / 고급유 25,749원</v>
      </c>
      <c r="P166" s="17">
        <f aca="false">IF($B$10=0,"",IFERROR(IF($B$4&gt;0,IF($L166="",1/0,$L166*$B$4),0)+IF($B$5&gt;0,IF($M166="",1/0,$M166*$B$5),0)+IF($B$6&gt;0,IF($N166="",1/0,$N166*$B$6),0),""))</f>
        <v>53034.8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53034.8</v>
      </c>
      <c r="U166" s="17">
        <f aca="false">IF($T166="","",IF($B$10=0,"",$T166/$B$10))</f>
        <v>2104.555555555555555</v>
      </c>
      <c r="V166" s="17">
        <f aca="false">IF($P166="","",IF($B$10=0,"",$P166/$B$10))</f>
        <v>2104.555555555555555</v>
      </c>
      <c r="W166" s="19">
        <f aca="false">IF($T166="",1000000000000000,$T166)</f>
        <v>53034.8</v>
      </c>
      <c r="XFB166" s="6"/>
      <c r="XFC166" s="3"/>
    </row>
    <row r="167" s="22" collapsed="false" customFormat="true" customHeight="true" hidden="false" ht="28.5" outlineLevel="0">
      <c r="A167" s="16">
        <f aca="false">IF($T167="","",1+COUNTIF($W$15:$W$895,"&lt;"&amp;W167))</f>
        <v>153</v>
      </c>
      <c r="B167" s="16" t="s">
        <v>14</v>
      </c>
      <c r="C167" s="16" t="s">
        <v>1270</v>
      </c>
      <c r="D167" s="16" t="s">
        <v>58</v>
      </c>
      <c r="E167" s="16" t="s">
        <v>26</v>
      </c>
      <c r="F167" s="16" t="s">
        <v>1271</v>
      </c>
      <c r="G167" s="17">
        <v>1999</v>
      </c>
      <c r="H167" s="17">
        <v>2239</v>
      </c>
      <c r="I167" s="17"/>
      <c r="J167" s="17">
        <v>1999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1999</v>
      </c>
      <c r="M167" s="17">
        <f aca="false">IF($H167="","",$H167+$K167)</f>
        <v>2239</v>
      </c>
      <c r="N167" s="17">
        <f aca="false">IF($J167="","",$J167+$K167)</f>
        <v>1999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27,986원 / 고급유 25,077원</v>
      </c>
      <c r="P167" s="17">
        <f aca="false">IF($B$10=0,"",IFERROR(IF($B$4&gt;0,IF($L167="",1/0,$L167*$B$4),0)+IF($B$5&gt;0,IF($M167="",1/0,$M167*$B$5),0)+IF($B$6&gt;0,IF($N167="",1/0,$N167*$B$6),0),""))</f>
        <v>53062.8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53062.8</v>
      </c>
      <c r="U167" s="17">
        <f aca="false">IF($T167="","",IF($B$10=0,"",$T167/$B$10))</f>
        <v>2105.666666666666666</v>
      </c>
      <c r="V167" s="17">
        <f aca="false">IF($P167="","",IF($B$10=0,"",$P167/$B$10))</f>
        <v>2105.666666666666666</v>
      </c>
      <c r="W167" s="19">
        <f aca="false">IF($T167="",1000000000000000,$T167)</f>
        <v>53062.8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IF($T168="","",1+COUNTIF($W$15:$W$895,"&lt;"&amp;W168))</f>
        <v>153</v>
      </c>
      <c r="B168" s="16" t="s">
        <v>14</v>
      </c>
      <c r="C168" s="16" t="s">
        <v>1748</v>
      </c>
      <c r="D168" s="21" t="s">
        <v>81</v>
      </c>
      <c r="E168" s="16" t="s">
        <v>26</v>
      </c>
      <c r="F168" s="16" t="s">
        <v>1749</v>
      </c>
      <c r="G168" s="17">
        <v>1999</v>
      </c>
      <c r="H168" s="17">
        <v>2239</v>
      </c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1999</v>
      </c>
      <c r="M168" s="17">
        <f aca="false">IF($H168="","",$H168+$K168)</f>
        <v>2239</v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27,986원 / 고급유 25,077원</v>
      </c>
      <c r="P168" s="17">
        <f aca="false">IF($B$10=0,"",IFERROR(IF($B$4&gt;0,IF($L168="",1/0,$L168*$B$4),0)+IF($B$5&gt;0,IF($M168="",1/0,$M168*$B$5),0)+IF($B$6&gt;0,IF($N168="",1/0,$N168*$B$6),0),""))</f>
        <v>53062.8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53062.8</v>
      </c>
      <c r="U168" s="17">
        <f aca="false">IF($T168="","",IF($B$10=0,"",$T168/$B$10))</f>
        <v>2105.666666666666666</v>
      </c>
      <c r="V168" s="17">
        <f aca="false">IF($P168="","",IF($B$10=0,"",$P168/$B$10))</f>
        <v>2105.666666666666666</v>
      </c>
      <c r="W168" s="19">
        <f aca="false">IF($T168="",1000000000000000,$T168)</f>
        <v>53062.8</v>
      </c>
      <c r="XFC168" s="3"/>
    </row>
    <row r="169" s="5" collapsed="false" customFormat="true" customHeight="true" hidden="false" ht="28.5" outlineLevel="0">
      <c r="A169" s="16">
        <f aca="false">IF($T169="","",1+COUNTIF($W$15:$W$895,"&lt;"&amp;W169))</f>
        <v>155</v>
      </c>
      <c r="B169" s="16" t="s">
        <v>14</v>
      </c>
      <c r="C169" s="16" t="s">
        <v>735</v>
      </c>
      <c r="D169" s="21" t="s">
        <v>81</v>
      </c>
      <c r="E169" s="16" t="s">
        <v>26</v>
      </c>
      <c r="F169" s="16" t="s">
        <v>736</v>
      </c>
      <c r="G169" s="17">
        <v>1918</v>
      </c>
      <c r="H169" s="17">
        <v>2343</v>
      </c>
      <c r="I169" s="17"/>
      <c r="J169" s="17">
        <v>1897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1918</v>
      </c>
      <c r="M169" s="17">
        <f aca="false">IF($H169="","",$H169+$K169)</f>
        <v>2343</v>
      </c>
      <c r="N169" s="17">
        <f aca="false">IF($J169="","",$J169+$K169)</f>
        <v>1897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26,852원 / 고급유 26,242원</v>
      </c>
      <c r="P169" s="17">
        <f aca="false">IF($B$10=0,"",IFERROR(IF($B$4&gt;0,IF($L169="",1/0,$L169*$B$4),0)+IF($B$5&gt;0,IF($M169="",1/0,$M169*$B$5),0)+IF($B$6&gt;0,IF($N169="",1/0,$N169*$B$6),0),""))</f>
        <v>53093.6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53093.6</v>
      </c>
      <c r="U169" s="17">
        <f aca="false">IF($T169="","",IF($B$10=0,"",$T169/$B$10))</f>
        <v>2106.888888888888888</v>
      </c>
      <c r="V169" s="17">
        <f aca="false">IF($P169="","",IF($B$10=0,"",$P169/$B$10))</f>
        <v>2106.888888888888888</v>
      </c>
      <c r="W169" s="19">
        <f aca="false">IF($T169="",1000000000000000,$T169)</f>
        <v>53093.6</v>
      </c>
      <c r="XFB169" s="6"/>
      <c r="XFC169" s="3"/>
    </row>
    <row r="170" s="6" collapsed="false" customFormat="true" customHeight="true" hidden="false" ht="28.5" outlineLevel="0">
      <c r="A170" s="16">
        <f aca="false">IF($T170="","",1+COUNTIF($W$15:$W$895,"&lt;"&amp;W170))</f>
        <v>156</v>
      </c>
      <c r="B170" s="16" t="s">
        <v>8</v>
      </c>
      <c r="C170" s="16" t="s">
        <v>380</v>
      </c>
      <c r="D170" s="16" t="s">
        <v>58</v>
      </c>
      <c r="E170" s="16" t="s">
        <v>26</v>
      </c>
      <c r="F170" s="16" t="s">
        <v>381</v>
      </c>
      <c r="G170" s="17">
        <v>1959</v>
      </c>
      <c r="H170" s="17">
        <v>2299</v>
      </c>
      <c r="I170" s="17"/>
      <c r="J170" s="17">
        <v>1979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1959</v>
      </c>
      <c r="M170" s="17">
        <f aca="false">IF($H170="","",$H170+$K170)</f>
        <v>2299</v>
      </c>
      <c r="N170" s="17">
        <f aca="false">IF($J170="","",$J170+$K170)</f>
        <v>1979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27,426원 / 고급유 25,749원</v>
      </c>
      <c r="P170" s="17">
        <f aca="false">IF($B$10=0,"",IFERROR(IF($B$4&gt;0,IF($L170="",1/0,$L170*$B$4),0)+IF($B$5&gt;0,IF($M170="",1/0,$M170*$B$5),0)+IF($B$6&gt;0,IF($N170="",1/0,$N170*$B$6),0),""))</f>
        <v>53174.8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53174.8</v>
      </c>
      <c r="U170" s="17">
        <f aca="false">IF($T170="","",IF($B$10=0,"",$T170/$B$10))</f>
        <v>2110.111111111111111</v>
      </c>
      <c r="V170" s="17">
        <f aca="false">IF($P170="","",IF($B$10=0,"",$P170/$B$10))</f>
        <v>2110.111111111111111</v>
      </c>
      <c r="W170" s="19">
        <f aca="false">IF($T170="",1000000000000000,$T170)</f>
        <v>53174.8</v>
      </c>
      <c r="XFC170" s="3"/>
    </row>
    <row r="171" s="6" collapsed="false" customFormat="true" customHeight="true" hidden="false" ht="28.5" outlineLevel="0">
      <c r="A171" s="16">
        <f aca="false">IF($T171="","",1+COUNTIF($W$15:$W$895,"&lt;"&amp;W171))</f>
        <v>157</v>
      </c>
      <c r="B171" s="16" t="s">
        <v>18</v>
      </c>
      <c r="C171" s="16" t="s">
        <v>1369</v>
      </c>
      <c r="D171" s="21" t="s">
        <v>81</v>
      </c>
      <c r="E171" s="16" t="s">
        <v>26</v>
      </c>
      <c r="F171" s="16" t="s">
        <v>1370</v>
      </c>
      <c r="G171" s="17">
        <v>1999</v>
      </c>
      <c r="H171" s="17">
        <v>2299</v>
      </c>
      <c r="I171" s="17"/>
      <c r="J171" s="17">
        <v>1999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1999</v>
      </c>
      <c r="M171" s="17">
        <f aca="false">IF($H171="","",$H171+$K171)</f>
        <v>2299</v>
      </c>
      <c r="N171" s="17">
        <f aca="false">IF($J171="","",$J171+$K171)</f>
        <v>1999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27,986원 / 고급유 25,749원</v>
      </c>
      <c r="P171" s="17">
        <f aca="false">IF($B$10=0,"",IFERROR(IF($B$4&gt;0,IF($L171="",1/0,$L171*$B$4),0)+IF($B$5&gt;0,IF($M171="",1/0,$M171*$B$5),0)+IF($B$6&gt;0,IF($N171="",1/0,$N171*$B$6),0),""))</f>
        <v>53734.8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53734.8</v>
      </c>
      <c r="U171" s="17">
        <f aca="false">IF($T171="","",IF($B$10=0,"",$T171/$B$10))</f>
        <v>2132.333333333333333</v>
      </c>
      <c r="V171" s="17">
        <f aca="false">IF($P171="","",IF($B$10=0,"",$P171/$B$10))</f>
        <v>2132.333333333333333</v>
      </c>
      <c r="W171" s="19">
        <f aca="false">IF($T171="",1000000000000000,$T171)</f>
        <v>53734.8</v>
      </c>
      <c r="XFC171" s="3"/>
    </row>
    <row r="172" s="22" collapsed="false" customFormat="true" customHeight="true" hidden="false" ht="28.5" outlineLevel="0">
      <c r="A172" s="16">
        <f aca="false">IF($T172="","",1+COUNTIF($W$15:$W$895,"&lt;"&amp;W172))</f>
        <v>158</v>
      </c>
      <c r="B172" s="16" t="s">
        <v>8</v>
      </c>
      <c r="C172" s="16" t="s">
        <v>320</v>
      </c>
      <c r="D172" s="16" t="s">
        <v>58</v>
      </c>
      <c r="E172" s="16" t="s">
        <v>26</v>
      </c>
      <c r="F172" s="16" t="s">
        <v>321</v>
      </c>
      <c r="G172" s="17">
        <v>1946</v>
      </c>
      <c r="H172" s="17">
        <v>2399</v>
      </c>
      <c r="I172" s="17"/>
      <c r="J172" s="17">
        <v>1946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1946</v>
      </c>
      <c r="M172" s="17">
        <f aca="false">IF($H172="","",$H172+$K172)</f>
        <v>2399</v>
      </c>
      <c r="N172" s="17">
        <f aca="false">IF($J172="","",$J172+$K172)</f>
        <v>1946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27,244원 / 고급유 26,869원</v>
      </c>
      <c r="P172" s="17">
        <f aca="false">IF($B$10=0,"",IFERROR(IF($B$4&gt;0,IF($L172="",1/0,$L172*$B$4),0)+IF($B$5&gt;0,IF($M172="",1/0,$M172*$B$5),0)+IF($B$6&gt;0,IF($N172="",1/0,$N172*$B$6),0),""))</f>
        <v>54112.8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54112.8</v>
      </c>
      <c r="U172" s="17">
        <f aca="false">IF($T172="","",IF($B$10=0,"",$T172/$B$10))</f>
        <v>2147.333333333333333</v>
      </c>
      <c r="V172" s="17">
        <f aca="false">IF($P172="","",IF($B$10=0,"",$P172/$B$10))</f>
        <v>2147.333333333333333</v>
      </c>
      <c r="W172" s="19">
        <f aca="false">IF($T172="",1000000000000000,$T172)</f>
        <v>54112.8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IF($T173="","",1+COUNTIF($W$15:$W$895,"&lt;"&amp;W173))</f>
        <v>159</v>
      </c>
      <c r="B173" s="16" t="s">
        <v>14</v>
      </c>
      <c r="C173" s="16" t="s">
        <v>481</v>
      </c>
      <c r="D173" s="16" t="s">
        <v>58</v>
      </c>
      <c r="E173" s="16" t="s">
        <v>26</v>
      </c>
      <c r="F173" s="16" t="s">
        <v>482</v>
      </c>
      <c r="G173" s="17">
        <v>1999</v>
      </c>
      <c r="H173" s="17">
        <v>2350</v>
      </c>
      <c r="I173" s="17"/>
      <c r="J173" s="17">
        <v>1809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1999</v>
      </c>
      <c r="M173" s="17">
        <f aca="false">IF($H173="","",$H173+$K173)</f>
        <v>2350</v>
      </c>
      <c r="N173" s="17">
        <f aca="false">IF($J173="","",$J173+$K173)</f>
        <v>1809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27,986원 / 고급유 26,320원</v>
      </c>
      <c r="P173" s="17">
        <f aca="false">IF($B$10=0,"",IFERROR(IF($B$4&gt;0,IF($L173="",1/0,$L173*$B$4),0)+IF($B$5&gt;0,IF($M173="",1/0,$M173*$B$5),0)+IF($B$6&gt;0,IF($N173="",1/0,$N173*$B$6),0),""))</f>
        <v>54306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54306</v>
      </c>
      <c r="U173" s="17">
        <f aca="false">IF($T173="","",IF($B$10=0,"",$T173/$B$10))</f>
        <v>2155</v>
      </c>
      <c r="V173" s="17">
        <f aca="false">IF($P173="","",IF($B$10=0,"",$P173/$B$10))</f>
        <v>2155</v>
      </c>
      <c r="W173" s="19">
        <f aca="false">IF($T173="",1000000000000000,$T173)</f>
        <v>54306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IF($T174="","",1+COUNTIF($W$15:$W$895,"&lt;"&amp;W174))</f>
        <v>160</v>
      </c>
      <c r="B174" s="16" t="s">
        <v>10</v>
      </c>
      <c r="C174" s="16" t="s">
        <v>160</v>
      </c>
      <c r="D174" s="21" t="s">
        <v>81</v>
      </c>
      <c r="E174" s="16" t="s">
        <v>26</v>
      </c>
      <c r="F174" s="16" t="s">
        <v>161</v>
      </c>
      <c r="G174" s="17">
        <v>1959</v>
      </c>
      <c r="H174" s="17">
        <v>2450</v>
      </c>
      <c r="I174" s="17"/>
      <c r="J174" s="17">
        <v>1929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1959</v>
      </c>
      <c r="M174" s="17">
        <f aca="false">IF($H174="","",$H174+$K174)</f>
        <v>2450</v>
      </c>
      <c r="N174" s="17">
        <f aca="false">IF($J174="","",$J174+$K174)</f>
        <v>1929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27,426원 / 고급유 27,440원</v>
      </c>
      <c r="P174" s="17">
        <f aca="false">IF($B$10=0,"",IFERROR(IF($B$4&gt;0,IF($L174="",1/0,$L174*$B$4),0)+IF($B$5&gt;0,IF($M174="",1/0,$M174*$B$5),0)+IF($B$6&gt;0,IF($N174="",1/0,$N174*$B$6),0),""))</f>
        <v>54866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54866</v>
      </c>
      <c r="U174" s="17">
        <f aca="false">IF($T174="","",IF($B$10=0,"",$T174/$B$10))</f>
        <v>2177.222222222222222</v>
      </c>
      <c r="V174" s="17">
        <f aca="false">IF($P174="","",IF($B$10=0,"",$P174/$B$10))</f>
        <v>2177.222222222222222</v>
      </c>
      <c r="W174" s="19">
        <f aca="false">IF($T174="",1000000000000000,$T174)</f>
        <v>54866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IF($T175="","",1+COUNTIF($W$15:$W$895,"&lt;"&amp;W175))</f>
        <v>161</v>
      </c>
      <c r="B175" s="16" t="s">
        <v>10</v>
      </c>
      <c r="C175" s="16" t="s">
        <v>152</v>
      </c>
      <c r="D175" s="16" t="s">
        <v>45</v>
      </c>
      <c r="E175" s="16" t="s">
        <v>26</v>
      </c>
      <c r="F175" s="16" t="s">
        <v>153</v>
      </c>
      <c r="G175" s="17">
        <v>1999</v>
      </c>
      <c r="H175" s="17">
        <v>2450</v>
      </c>
      <c r="I175" s="17"/>
      <c r="J175" s="17">
        <v>1997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1999</v>
      </c>
      <c r="M175" s="17">
        <f aca="false">IF($H175="","",$H175+$K175)</f>
        <v>2450</v>
      </c>
      <c r="N175" s="17">
        <f aca="false">IF($J175="","",$J175+$K175)</f>
        <v>1997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27,986원 / 고급유 27,440원</v>
      </c>
      <c r="P175" s="17">
        <f aca="false">IF($B$10=0,"",IFERROR(IF($B$4&gt;0,IF($L175="",1/0,$L175*$B$4),0)+IF($B$5&gt;0,IF($M175="",1/0,$M175*$B$5),0)+IF($B$6&gt;0,IF($N175="",1/0,$N175*$B$6),0),""))</f>
        <v>55426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55426</v>
      </c>
      <c r="U175" s="17">
        <f aca="false">IF($T175="","",IF($B$10=0,"",$T175/$B$10))</f>
        <v>2199.444444444444444</v>
      </c>
      <c r="V175" s="17">
        <f aca="false">IF($P175="","",IF($B$10=0,"",$P175/$B$10))</f>
        <v>2199.444444444444444</v>
      </c>
      <c r="W175" s="19">
        <f aca="false">IF($T175="",1000000000000000,$T175)</f>
        <v>55426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IF($T176="","",1+COUNTIF($W$15:$W$895,"&lt;"&amp;W176))</f>
        <v>162</v>
      </c>
      <c r="B176" s="16" t="s">
        <v>10</v>
      </c>
      <c r="C176" s="16" t="s">
        <v>1168</v>
      </c>
      <c r="D176" s="21" t="s">
        <v>81</v>
      </c>
      <c r="E176" s="16" t="s">
        <v>26</v>
      </c>
      <c r="F176" s="16" t="s">
        <v>1169</v>
      </c>
      <c r="G176" s="17">
        <v>1995</v>
      </c>
      <c r="H176" s="17">
        <v>2537</v>
      </c>
      <c r="I176" s="17"/>
      <c r="J176" s="17">
        <v>1985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>2537</v>
      </c>
      <c r="N176" s="17">
        <f aca="false">IF($J176="","",$J176+$K176)</f>
        <v>1985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27,930원 / 고급유 28,414원</v>
      </c>
      <c r="P176" s="17">
        <f aca="false">IF($B$10=0,"",IFERROR(IF($B$4&gt;0,IF($L176="",1/0,$L176*$B$4),0)+IF($B$5&gt;0,IF($M176="",1/0,$M176*$B$5),0)+IF($B$6&gt;0,IF($N176="",1/0,$N176*$B$6),0),""))</f>
        <v>56344.4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56344.4</v>
      </c>
      <c r="U176" s="17">
        <f aca="false">IF($T176="","",IF($B$10=0,"",$T176/$B$10))</f>
        <v>2235.888888888888888</v>
      </c>
      <c r="V176" s="17">
        <f aca="false">IF($P176="","",IF($B$10=0,"",$P176/$B$10))</f>
        <v>2235.888888888888888</v>
      </c>
      <c r="W176" s="19">
        <f aca="false">IF($T176="",1000000000000000,$T176)</f>
        <v>56344.4</v>
      </c>
      <c r="XFC176" s="3"/>
    </row>
    <row r="177" s="5" collapsed="false" customFormat="true" customHeight="true" hidden="false" ht="28.5" outlineLevel="0">
      <c r="A177" s="16">
        <f aca="false">IF($T177="","",1+COUNTIF($W$15:$W$895,"&lt;"&amp;W177))</f>
        <v/>
      </c>
      <c r="B177" s="16" t="s">
        <v>18</v>
      </c>
      <c r="C177" s="16" t="s">
        <v>194</v>
      </c>
      <c r="D177" s="16" t="s">
        <v>45</v>
      </c>
      <c r="E177" s="16" t="s">
        <v>62</v>
      </c>
      <c r="F177" s="16" t="s">
        <v>195</v>
      </c>
      <c r="G177" s="17">
        <v>1762</v>
      </c>
      <c r="H177" s="17"/>
      <c r="I177" s="17"/>
      <c r="J177" s="17">
        <v>1755</v>
      </c>
      <c r="K177" s="17">
        <v>-10</v>
      </c>
      <c r="L177" s="17">
        <f aca="false">IF($G177="","",$G177+$K177)</f>
        <v>1752</v>
      </c>
      <c r="M177" s="17">
        <f aca="false">IF($H177="","",$H177+$K177)</f>
        <v/>
      </c>
      <c r="N177" s="17">
        <f aca="false">IF($J177="","",$J177+$K177)</f>
        <v>1745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54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6" collapsed="false" customFormat="true" customHeight="true" hidden="false" ht="28.5" outlineLevel="0">
      <c r="A178" s="16">
        <f aca="false">IF($T178="","",1+COUNTIF($W$15:$W$895,"&lt;"&amp;W178))</f>
        <v/>
      </c>
      <c r="B178" s="16" t="s">
        <v>6</v>
      </c>
      <c r="C178" s="16" t="s">
        <v>1733</v>
      </c>
      <c r="D178" s="16" t="s">
        <v>45</v>
      </c>
      <c r="E178" s="16" t="s">
        <v>62</v>
      </c>
      <c r="F178" s="16" t="s">
        <v>1734</v>
      </c>
      <c r="G178" s="17">
        <v>1774</v>
      </c>
      <c r="H178" s="17"/>
      <c r="I178" s="17"/>
      <c r="J178" s="17">
        <v>1749</v>
      </c>
      <c r="K178" s="17">
        <v>-10</v>
      </c>
      <c r="L178" s="17">
        <f aca="false">IF($G178="","",$G178+$K178)</f>
        <v>1764</v>
      </c>
      <c r="M178" s="17">
        <f aca="false">IF($H178="","",$H178+$K178)</f>
        <v/>
      </c>
      <c r="N178" s="17">
        <f aca="false">IF($J178="","",$J178+$K178)</f>
        <v>1739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54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IF($T179="","",1+COUNTIF($W$15:$W$895,"&lt;"&amp;W179))</f>
        <v/>
      </c>
      <c r="B179" s="16" t="s">
        <v>18</v>
      </c>
      <c r="C179" s="16" t="s">
        <v>1062</v>
      </c>
      <c r="D179" s="16" t="s">
        <v>45</v>
      </c>
      <c r="E179" s="16" t="s">
        <v>62</v>
      </c>
      <c r="F179" s="16" t="s">
        <v>1063</v>
      </c>
      <c r="G179" s="17">
        <v>1879</v>
      </c>
      <c r="H179" s="17"/>
      <c r="I179" s="17"/>
      <c r="J179" s="17">
        <v>1879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1879</v>
      </c>
      <c r="M179" s="17">
        <f aca="false">IF($H179="","",$H179+$K179)</f>
        <v/>
      </c>
      <c r="N179" s="17">
        <f aca="false">IF($J179="","",$J179+$K179)</f>
        <v>1879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54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/>
      <c r="W179" s="19">
        <f aca="false">IF($T179="",1000000000000000,$T179)</f>
        <v>1000000000000000</v>
      </c>
      <c r="XFB179" s="6"/>
      <c r="XFC179" s="3"/>
    </row>
    <row r="180" s="6" collapsed="false" customFormat="true" customHeight="true" hidden="false" ht="28.5" outlineLevel="0">
      <c r="A180" s="16">
        <f aca="false">IF($T180="","",1+COUNTIF($W$15:$W$895,"&lt;"&amp;W180))</f>
        <v/>
      </c>
      <c r="B180" s="16" t="s">
        <v>18</v>
      </c>
      <c r="C180" s="16" t="s">
        <v>1693</v>
      </c>
      <c r="D180" s="16" t="s">
        <v>45</v>
      </c>
      <c r="E180" s="16" t="s">
        <v>26</v>
      </c>
      <c r="F180" s="16" t="s">
        <v>1694</v>
      </c>
      <c r="G180" s="17">
        <v>1879</v>
      </c>
      <c r="H180" s="17"/>
      <c r="I180" s="17"/>
      <c r="J180" s="17">
        <v>1879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1879</v>
      </c>
      <c r="M180" s="17">
        <f aca="false">IF($H180="","",$H180+$K180)</f>
        <v/>
      </c>
      <c r="N180" s="17">
        <f aca="false">IF($J180="","",$J180+$K180)</f>
        <v>1879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54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C180" s="3"/>
    </row>
    <row r="181" s="5" collapsed="false" customFormat="true" customHeight="true" hidden="false" ht="28.5" outlineLevel="0">
      <c r="A181" s="16">
        <f aca="false">IF($T181="","",1+COUNTIF($W$15:$W$895,"&lt;"&amp;W181))</f>
        <v/>
      </c>
      <c r="B181" s="16" t="s">
        <v>6</v>
      </c>
      <c r="C181" s="16" t="s">
        <v>1503</v>
      </c>
      <c r="D181" s="16" t="s">
        <v>61</v>
      </c>
      <c r="E181" s="16" t="s">
        <v>26</v>
      </c>
      <c r="F181" s="16" t="s">
        <v>1504</v>
      </c>
      <c r="G181" s="17">
        <v>1780</v>
      </c>
      <c r="H181" s="17"/>
      <c r="I181" s="17"/>
      <c r="J181" s="17">
        <v>1760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1780</v>
      </c>
      <c r="M181" s="17">
        <f aca="false">IF($H181="","",$H181+$K181)</f>
        <v/>
      </c>
      <c r="N181" s="17">
        <f aca="false">IF($J181="","",$J181+$K181)</f>
        <v>1760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54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IF($T182="","",1+COUNTIF($W$15:$W$895,"&lt;"&amp;W182))</f>
        <v/>
      </c>
      <c r="B182" s="16" t="s">
        <v>18</v>
      </c>
      <c r="C182" s="16" t="s">
        <v>433</v>
      </c>
      <c r="D182" s="16" t="s">
        <v>61</v>
      </c>
      <c r="E182" s="16" t="s">
        <v>26</v>
      </c>
      <c r="F182" s="16" t="s">
        <v>434</v>
      </c>
      <c r="G182" s="17">
        <v>1902</v>
      </c>
      <c r="H182" s="17"/>
      <c r="I182" s="17"/>
      <c r="J182" s="17">
        <v>1910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1902</v>
      </c>
      <c r="M182" s="17">
        <f aca="false">IF($H182="","",$H182+$K182)</f>
        <v/>
      </c>
      <c r="N182" s="17">
        <f aca="false">IF($J182="","",$J182+$K182)</f>
        <v>1910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54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IF($T183="","",1+COUNTIF($W$15:$W$895,"&lt;"&amp;W183))</f>
        <v/>
      </c>
      <c r="B183" s="16" t="s">
        <v>18</v>
      </c>
      <c r="C183" s="16" t="s">
        <v>450</v>
      </c>
      <c r="D183" s="16" t="s">
        <v>96</v>
      </c>
      <c r="E183" s="16" t="s">
        <v>26</v>
      </c>
      <c r="F183" s="16" t="s">
        <v>451</v>
      </c>
      <c r="G183" s="17">
        <v>1915</v>
      </c>
      <c r="H183" s="17"/>
      <c r="I183" s="17"/>
      <c r="J183" s="17">
        <v>1895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1915</v>
      </c>
      <c r="M183" s="17">
        <f aca="false">IF($H183="","",$H183+$K183)</f>
        <v/>
      </c>
      <c r="N183" s="17">
        <f aca="false">IF($J183="","",$J183+$K183)</f>
        <v>1895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54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IF($T184="","",1+COUNTIF($W$15:$W$895,"&lt;"&amp;W184))</f>
        <v/>
      </c>
      <c r="B184" s="16" t="s">
        <v>18</v>
      </c>
      <c r="C184" s="16" t="s">
        <v>1174</v>
      </c>
      <c r="D184" s="16" t="s">
        <v>58</v>
      </c>
      <c r="E184" s="16" t="s">
        <v>62</v>
      </c>
      <c r="F184" s="16" t="s">
        <v>1175</v>
      </c>
      <c r="G184" s="17">
        <v>1919</v>
      </c>
      <c r="H184" s="17"/>
      <c r="I184" s="17"/>
      <c r="J184" s="17">
        <v>1919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1919</v>
      </c>
      <c r="M184" s="17">
        <f aca="false">IF($H184="","",$H184+$K184)</f>
        <v/>
      </c>
      <c r="N184" s="17">
        <f aca="false">IF($J184="","",$J184+$K184)</f>
        <v>1919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54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6" collapsed="false" customFormat="true" customHeight="true" hidden="false" ht="28.5" outlineLevel="0">
      <c r="A185" s="16">
        <f aca="false">IF($T185="","",1+COUNTIF($W$15:$W$895,"&lt;"&amp;W185))</f>
        <v/>
      </c>
      <c r="B185" s="16" t="s">
        <v>18</v>
      </c>
      <c r="C185" s="16" t="s">
        <v>1554</v>
      </c>
      <c r="D185" s="16" t="s">
        <v>61</v>
      </c>
      <c r="E185" s="16" t="s">
        <v>62</v>
      </c>
      <c r="F185" s="16" t="s">
        <v>1555</v>
      </c>
      <c r="G185" s="17">
        <v>1919</v>
      </c>
      <c r="H185" s="17"/>
      <c r="I185" s="17"/>
      <c r="J185" s="17">
        <v>1919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1919</v>
      </c>
      <c r="M185" s="17">
        <f aca="false">IF($H185="","",$H185+$K185)</f>
        <v/>
      </c>
      <c r="N185" s="17">
        <f aca="false">IF($J185="","",$J185+$K185)</f>
        <v>1919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54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C185" s="3"/>
    </row>
    <row r="186" s="5" collapsed="false" customFormat="true" customHeight="true" hidden="false" ht="28.5" outlineLevel="0">
      <c r="A186" s="16">
        <f aca="false">IF($T186="","",1+COUNTIF($W$15:$W$895,"&lt;"&amp;W186))</f>
        <v/>
      </c>
      <c r="B186" s="16" t="s">
        <v>18</v>
      </c>
      <c r="C186" s="16" t="s">
        <v>999</v>
      </c>
      <c r="D186" s="16" t="s">
        <v>58</v>
      </c>
      <c r="E186" s="16" t="s">
        <v>26</v>
      </c>
      <c r="F186" s="16" t="s">
        <v>1000</v>
      </c>
      <c r="G186" s="17">
        <v>1922</v>
      </c>
      <c r="H186" s="17"/>
      <c r="I186" s="17"/>
      <c r="J186" s="17">
        <v>1852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1922</v>
      </c>
      <c r="M186" s="17">
        <f aca="false">IF($H186="","",$H186+$K186)</f>
        <v/>
      </c>
      <c r="N186" s="17">
        <f aca="false">IF($J186="","",$J186+$K186)</f>
        <v>1852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54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IF($T187="","",1+COUNTIF($W$15:$W$895,"&lt;"&amp;W187))</f>
        <v/>
      </c>
      <c r="B187" s="16" t="s">
        <v>18</v>
      </c>
      <c r="C187" s="16" t="s">
        <v>1210</v>
      </c>
      <c r="D187" s="16" t="s">
        <v>58</v>
      </c>
      <c r="E187" s="16" t="s">
        <v>62</v>
      </c>
      <c r="F187" s="16" t="s">
        <v>1211</v>
      </c>
      <c r="G187" s="17">
        <v>1925</v>
      </c>
      <c r="H187" s="17"/>
      <c r="I187" s="17"/>
      <c r="J187" s="17">
        <v>1925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1925</v>
      </c>
      <c r="M187" s="17">
        <f aca="false">IF($H187="","",$H187+$K187)</f>
        <v/>
      </c>
      <c r="N187" s="17">
        <f aca="false">IF($J187="","",$J187+$K187)</f>
        <v>1925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54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22" collapsed="false" customFormat="true" customHeight="true" hidden="false" ht="28.5" outlineLevel="0">
      <c r="A188" s="16">
        <f aca="false">IF($T188="","",1+COUNTIF($W$15:$W$895,"&lt;"&amp;W188))</f>
        <v/>
      </c>
      <c r="B188" s="16" t="s">
        <v>18</v>
      </c>
      <c r="C188" s="16" t="s">
        <v>1351</v>
      </c>
      <c r="D188" s="21" t="s">
        <v>81</v>
      </c>
      <c r="E188" s="16" t="s">
        <v>62</v>
      </c>
      <c r="F188" s="16" t="s">
        <v>1352</v>
      </c>
      <c r="G188" s="17">
        <v>1928</v>
      </c>
      <c r="H188" s="17"/>
      <c r="I188" s="17"/>
      <c r="J188" s="17">
        <v>1928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1928</v>
      </c>
      <c r="M188" s="17">
        <f aca="false">IF($H188="","",$H188+$K188)</f>
        <v/>
      </c>
      <c r="N188" s="17">
        <f aca="false">IF($J188="","",$J188+$K188)</f>
        <v>1928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54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IF($T189="","",1+COUNTIF($W$15:$W$895,"&lt;"&amp;W189))</f>
        <v/>
      </c>
      <c r="B189" s="16" t="s">
        <v>18</v>
      </c>
      <c r="C189" s="16" t="s">
        <v>878</v>
      </c>
      <c r="D189" s="21" t="s">
        <v>81</v>
      </c>
      <c r="E189" s="16" t="s">
        <v>26</v>
      </c>
      <c r="F189" s="16" t="s">
        <v>879</v>
      </c>
      <c r="G189" s="17">
        <v>1929</v>
      </c>
      <c r="H189" s="17"/>
      <c r="I189" s="17"/>
      <c r="J189" s="17">
        <v>1919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1929</v>
      </c>
      <c r="M189" s="17">
        <f aca="false">IF($H189="","",$H189+$K189)</f>
        <v/>
      </c>
      <c r="N189" s="17">
        <f aca="false">IF($J189="","",$J189+$K189)</f>
        <v>1919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54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IF($T190="","",1+COUNTIF($W$15:$W$895,"&lt;"&amp;W190))</f>
        <v/>
      </c>
      <c r="B190" s="16" t="s">
        <v>18</v>
      </c>
      <c r="C190" s="16" t="s">
        <v>649</v>
      </c>
      <c r="D190" s="16" t="s">
        <v>45</v>
      </c>
      <c r="E190" s="16" t="s">
        <v>26</v>
      </c>
      <c r="F190" s="16" t="s">
        <v>650</v>
      </c>
      <c r="G190" s="17">
        <v>1932</v>
      </c>
      <c r="H190" s="17"/>
      <c r="I190" s="17"/>
      <c r="J190" s="17">
        <v>1922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1932</v>
      </c>
      <c r="M190" s="17">
        <f aca="false">IF($H190="","",$H190+$K190)</f>
        <v/>
      </c>
      <c r="N190" s="17">
        <f aca="false">IF($J190="","",$J190+$K190)</f>
        <v>1922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54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22" collapsed="false" customFormat="true" customHeight="true" hidden="false" ht="28.5" outlineLevel="0">
      <c r="A191" s="16">
        <f aca="false">IF($T191="","",1+COUNTIF($W$15:$W$895,"&lt;"&amp;W191))</f>
        <v/>
      </c>
      <c r="B191" s="16" t="s">
        <v>18</v>
      </c>
      <c r="C191" s="16" t="s">
        <v>1307</v>
      </c>
      <c r="D191" s="21" t="s">
        <v>81</v>
      </c>
      <c r="E191" s="16" t="s">
        <v>26</v>
      </c>
      <c r="F191" s="16" t="s">
        <v>1308</v>
      </c>
      <c r="G191" s="17">
        <v>1935</v>
      </c>
      <c r="H191" s="17"/>
      <c r="I191" s="17"/>
      <c r="J191" s="17">
        <v>1925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1935</v>
      </c>
      <c r="M191" s="17">
        <f aca="false">IF($H191="","",$H191+$K191)</f>
        <v/>
      </c>
      <c r="N191" s="17">
        <f aca="false">IF($J191="","",$J191+$K191)</f>
        <v>1925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54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IF($T192="","",1+COUNTIF($W$15:$W$895,"&lt;"&amp;W192))</f>
        <v/>
      </c>
      <c r="B192" s="16" t="s">
        <v>18</v>
      </c>
      <c r="C192" s="16" t="s">
        <v>1096</v>
      </c>
      <c r="D192" s="16" t="s">
        <v>45</v>
      </c>
      <c r="E192" s="16" t="s">
        <v>62</v>
      </c>
      <c r="F192" s="16" t="s">
        <v>1097</v>
      </c>
      <c r="G192" s="17">
        <v>1937</v>
      </c>
      <c r="H192" s="17"/>
      <c r="I192" s="17"/>
      <c r="J192" s="17">
        <v>1927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1937</v>
      </c>
      <c r="M192" s="17">
        <f aca="false">IF($H192="","",$H192+$K192)</f>
        <v/>
      </c>
      <c r="N192" s="17">
        <f aca="false">IF($J192="","",$J192+$K192)</f>
        <v>1927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54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IF($T193="","",1+COUNTIF($W$15:$W$895,"&lt;"&amp;W193))</f>
        <v/>
      </c>
      <c r="B193" s="16" t="s">
        <v>14</v>
      </c>
      <c r="C193" s="16" t="s">
        <v>1729</v>
      </c>
      <c r="D193" s="16" t="s">
        <v>58</v>
      </c>
      <c r="E193" s="16" t="s">
        <v>62</v>
      </c>
      <c r="F193" s="16" t="s">
        <v>1730</v>
      </c>
      <c r="G193" s="17">
        <v>1850</v>
      </c>
      <c r="H193" s="17"/>
      <c r="I193" s="17"/>
      <c r="J193" s="17">
        <v>1960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1850</v>
      </c>
      <c r="M193" s="17">
        <f aca="false">IF($H193="","",$H193+$K193)</f>
        <v/>
      </c>
      <c r="N193" s="17">
        <f aca="false">IF($J193="","",$J193+$K193)</f>
        <v>1960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54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22" collapsed="false" customFormat="true" customHeight="true" hidden="false" ht="28.5" outlineLevel="0">
      <c r="A194" s="16">
        <f aca="false">IF($T194="","",1+COUNTIF($W$15:$W$895,"&lt;"&amp;W194))</f>
        <v/>
      </c>
      <c r="B194" s="16" t="s">
        <v>18</v>
      </c>
      <c r="C194" s="16" t="s">
        <v>1446</v>
      </c>
      <c r="D194" s="21" t="s">
        <v>81</v>
      </c>
      <c r="E194" s="16" t="s">
        <v>26</v>
      </c>
      <c r="F194" s="16" t="s">
        <v>1447</v>
      </c>
      <c r="G194" s="17">
        <v>1939</v>
      </c>
      <c r="H194" s="17"/>
      <c r="I194" s="17"/>
      <c r="J194" s="17">
        <v>1929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1939</v>
      </c>
      <c r="M194" s="17">
        <f aca="false">IF($H194="","",$H194+$K194)</f>
        <v/>
      </c>
      <c r="N194" s="17">
        <f aca="false">IF($J194="","",$J194+$K194)</f>
        <v>1929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54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IF($T195="","",1+COUNTIF($W$15:$W$895,"&lt;"&amp;W195))</f>
        <v/>
      </c>
      <c r="B195" s="16" t="s">
        <v>10</v>
      </c>
      <c r="C195" s="16" t="s">
        <v>713</v>
      </c>
      <c r="D195" s="16" t="s">
        <v>48</v>
      </c>
      <c r="E195" s="16" t="s">
        <v>62</v>
      </c>
      <c r="F195" s="16" t="s">
        <v>714</v>
      </c>
      <c r="G195" s="17">
        <v>1833</v>
      </c>
      <c r="H195" s="17"/>
      <c r="I195" s="17"/>
      <c r="J195" s="17">
        <v>1833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1833</v>
      </c>
      <c r="M195" s="17">
        <f aca="false">IF($H195="","",$H195+$K195)</f>
        <v/>
      </c>
      <c r="N195" s="17">
        <f aca="false">IF($J195="","",$J195+$K195)</f>
        <v>1833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54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IF($T196="","",1+COUNTIF($W$15:$W$895,"&lt;"&amp;W196))</f>
        <v/>
      </c>
      <c r="B196" s="16" t="s">
        <v>18</v>
      </c>
      <c r="C196" s="16" t="s">
        <v>1053</v>
      </c>
      <c r="D196" s="21" t="s">
        <v>81</v>
      </c>
      <c r="E196" s="16" t="s">
        <v>62</v>
      </c>
      <c r="F196" s="16" t="s">
        <v>1054</v>
      </c>
      <c r="G196" s="17">
        <v>1945</v>
      </c>
      <c r="H196" s="17"/>
      <c r="I196" s="17"/>
      <c r="J196" s="17">
        <v>1935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1945</v>
      </c>
      <c r="M196" s="17">
        <f aca="false">IF($H196="","",$H196+$K196)</f>
        <v/>
      </c>
      <c r="N196" s="17">
        <f aca="false">IF($J196="","",$J196+$K196)</f>
        <v>1935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54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IF($T197="","",1+COUNTIF($W$15:$W$895,"&lt;"&amp;W197))</f>
        <v/>
      </c>
      <c r="B197" s="16" t="s">
        <v>18</v>
      </c>
      <c r="C197" s="16" t="s">
        <v>1297</v>
      </c>
      <c r="D197" s="16" t="s">
        <v>61</v>
      </c>
      <c r="E197" s="16" t="s">
        <v>26</v>
      </c>
      <c r="F197" s="16" t="s">
        <v>1298</v>
      </c>
      <c r="G197" s="17">
        <v>1945</v>
      </c>
      <c r="H197" s="17"/>
      <c r="I197" s="17"/>
      <c r="J197" s="17">
        <v>1965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1945</v>
      </c>
      <c r="M197" s="17">
        <f aca="false">IF($H197="","",$H197+$K197)</f>
        <v/>
      </c>
      <c r="N197" s="17">
        <f aca="false">IF($J197="","",$J197+$K197)</f>
        <v>1965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54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IF($T198="","",1+COUNTIF($W$15:$W$895,"&lt;"&amp;W198))</f>
        <v/>
      </c>
      <c r="B198" s="16" t="s">
        <v>16</v>
      </c>
      <c r="C198" s="16" t="s">
        <v>1394</v>
      </c>
      <c r="D198" s="16" t="s">
        <v>45</v>
      </c>
      <c r="E198" s="16" t="s">
        <v>26</v>
      </c>
      <c r="F198" s="16" t="s">
        <v>1395</v>
      </c>
      <c r="G198" s="17">
        <v>1880</v>
      </c>
      <c r="H198" s="17"/>
      <c r="I198" s="17"/>
      <c r="J198" s="17">
        <v>1880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1880</v>
      </c>
      <c r="M198" s="17">
        <f aca="false">IF($H198="","",$H198+$K198)</f>
        <v/>
      </c>
      <c r="N198" s="17">
        <f aca="false">IF($J198="","",$J198+$K198)</f>
        <v>1880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54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IF($T199="","",1+COUNTIF($W$15:$W$895,"&lt;"&amp;W199))</f>
        <v/>
      </c>
      <c r="B199" s="16" t="s">
        <v>18</v>
      </c>
      <c r="C199" s="16" t="s">
        <v>689</v>
      </c>
      <c r="D199" s="16" t="s">
        <v>45</v>
      </c>
      <c r="E199" s="16" t="s">
        <v>62</v>
      </c>
      <c r="F199" s="16" t="s">
        <v>690</v>
      </c>
      <c r="G199" s="17">
        <v>1948</v>
      </c>
      <c r="H199" s="17"/>
      <c r="I199" s="17"/>
      <c r="J199" s="17">
        <v>1948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1948</v>
      </c>
      <c r="M199" s="17">
        <f aca="false">IF($H199="","",$H199+$K199)</f>
        <v/>
      </c>
      <c r="N199" s="17">
        <f aca="false">IF($J199="","",$J199+$K199)</f>
        <v>1948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54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IF($T200="","",1+COUNTIF($W$15:$W$895,"&lt;"&amp;W200))</f>
        <v/>
      </c>
      <c r="B200" s="16" t="s">
        <v>18</v>
      </c>
      <c r="C200" s="16" t="s">
        <v>1188</v>
      </c>
      <c r="D200" s="21" t="s">
        <v>81</v>
      </c>
      <c r="E200" s="16" t="s">
        <v>26</v>
      </c>
      <c r="F200" s="16" t="s">
        <v>1189</v>
      </c>
      <c r="G200" s="17">
        <v>1949</v>
      </c>
      <c r="H200" s="17"/>
      <c r="I200" s="17"/>
      <c r="J200" s="17">
        <v>1949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1949</v>
      </c>
      <c r="M200" s="17">
        <f aca="false">IF($H200="","",$H200+$K200)</f>
        <v/>
      </c>
      <c r="N200" s="17">
        <f aca="false">IF($J200="","",$J200+$K200)</f>
        <v>1949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54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C200" s="3"/>
    </row>
    <row r="201" s="5" collapsed="false" customFormat="true" customHeight="true" hidden="false" ht="28.5" outlineLevel="0">
      <c r="A201" s="16">
        <f aca="false">IF($T201="","",1+COUNTIF($W$15:$W$895,"&lt;"&amp;W201))</f>
        <v/>
      </c>
      <c r="B201" s="16" t="s">
        <v>16</v>
      </c>
      <c r="C201" s="16" t="s">
        <v>497</v>
      </c>
      <c r="D201" s="16" t="s">
        <v>45</v>
      </c>
      <c r="E201" s="16" t="s">
        <v>26</v>
      </c>
      <c r="F201" s="16" t="s">
        <v>498</v>
      </c>
      <c r="G201" s="17">
        <v>1885</v>
      </c>
      <c r="H201" s="17"/>
      <c r="I201" s="17"/>
      <c r="J201" s="17">
        <v>1875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1885</v>
      </c>
      <c r="M201" s="17">
        <f aca="false">IF($H201="","",$H201+$K201)</f>
        <v/>
      </c>
      <c r="N201" s="17">
        <f aca="false">IF($J201="","",$J201+$K201)</f>
        <v>1875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54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IF($T202="","",1+COUNTIF($W$15:$W$895,"&lt;"&amp;W202))</f>
        <v/>
      </c>
      <c r="B202" s="16" t="s">
        <v>16</v>
      </c>
      <c r="C202" s="16" t="s">
        <v>656</v>
      </c>
      <c r="D202" s="16" t="s">
        <v>45</v>
      </c>
      <c r="E202" s="16" t="s">
        <v>26</v>
      </c>
      <c r="F202" s="16" t="s">
        <v>657</v>
      </c>
      <c r="G202" s="17">
        <v>1887</v>
      </c>
      <c r="H202" s="17"/>
      <c r="I202" s="17"/>
      <c r="J202" s="17">
        <v>1887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1887</v>
      </c>
      <c r="M202" s="17">
        <f aca="false">IF($H202="","",$H202+$K202)</f>
        <v/>
      </c>
      <c r="N202" s="17">
        <f aca="false">IF($J202="","",$J202+$K202)</f>
        <v>1887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54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IF($T203="","",1+COUNTIF($W$15:$W$895,"&lt;"&amp;W203))</f>
        <v/>
      </c>
      <c r="B203" s="16" t="s">
        <v>6</v>
      </c>
      <c r="C203" s="16" t="s">
        <v>588</v>
      </c>
      <c r="D203" s="16" t="s">
        <v>58</v>
      </c>
      <c r="E203" s="16" t="s">
        <v>26</v>
      </c>
      <c r="F203" s="16" t="s">
        <v>589</v>
      </c>
      <c r="G203" s="17">
        <v>1849</v>
      </c>
      <c r="H203" s="17"/>
      <c r="I203" s="17"/>
      <c r="J203" s="17">
        <v>1889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1849</v>
      </c>
      <c r="M203" s="17">
        <f aca="false">IF($H203="","",$H203+$K203)</f>
        <v/>
      </c>
      <c r="N203" s="17">
        <f aca="false">IF($J203="","",$J203+$K203)</f>
        <v>1889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54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IF($T204="","",1+COUNTIF($W$15:$W$895,"&lt;"&amp;W204))</f>
        <v/>
      </c>
      <c r="B204" s="16" t="s">
        <v>6</v>
      </c>
      <c r="C204" s="16" t="s">
        <v>1268</v>
      </c>
      <c r="D204" s="16" t="s">
        <v>58</v>
      </c>
      <c r="E204" s="16" t="s">
        <v>26</v>
      </c>
      <c r="F204" s="16" t="s">
        <v>1269</v>
      </c>
      <c r="G204" s="17">
        <v>1850</v>
      </c>
      <c r="H204" s="17"/>
      <c r="I204" s="17"/>
      <c r="J204" s="17">
        <v>1850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1850</v>
      </c>
      <c r="M204" s="17">
        <f aca="false">IF($H204="","",$H204+$K204)</f>
        <v/>
      </c>
      <c r="N204" s="17">
        <f aca="false">IF($J204="","",$J204+$K204)</f>
        <v>1850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54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IF($T205="","",1+COUNTIF($W$15:$W$895,"&lt;"&amp;W205))</f>
        <v/>
      </c>
      <c r="B205" s="16" t="s">
        <v>18</v>
      </c>
      <c r="C205" s="16" t="s">
        <v>1564</v>
      </c>
      <c r="D205" s="16" t="s">
        <v>61</v>
      </c>
      <c r="E205" s="16" t="s">
        <v>62</v>
      </c>
      <c r="F205" s="16" t="s">
        <v>1565</v>
      </c>
      <c r="G205" s="17">
        <v>1960</v>
      </c>
      <c r="H205" s="17"/>
      <c r="I205" s="17"/>
      <c r="J205" s="17">
        <v>1930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1960</v>
      </c>
      <c r="M205" s="17">
        <f aca="false">IF($H205="","",$H205+$K205)</f>
        <v/>
      </c>
      <c r="N205" s="17">
        <f aca="false">IF($J205="","",$J205+$K205)</f>
        <v>1930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54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22" collapsed="false" customFormat="true" customHeight="true" hidden="false" ht="28.5" outlineLevel="0">
      <c r="A206" s="16">
        <f aca="false">IF($T206="","",1+COUNTIF($W$15:$W$895,"&lt;"&amp;W206))</f>
        <v/>
      </c>
      <c r="B206" s="16" t="s">
        <v>16</v>
      </c>
      <c r="C206" s="16" t="s">
        <v>1723</v>
      </c>
      <c r="D206" s="16" t="s">
        <v>45</v>
      </c>
      <c r="E206" s="16" t="s">
        <v>26</v>
      </c>
      <c r="F206" s="16" t="s">
        <v>1724</v>
      </c>
      <c r="G206" s="17">
        <v>1895</v>
      </c>
      <c r="H206" s="17"/>
      <c r="I206" s="17"/>
      <c r="J206" s="17">
        <v>1895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1895</v>
      </c>
      <c r="M206" s="17">
        <f aca="false">IF($H206="","",$H206+$K206)</f>
        <v/>
      </c>
      <c r="N206" s="17">
        <f aca="false">IF($J206="","",$J206+$K206)</f>
        <v>1895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54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IF($T207="","",1+COUNTIF($W$15:$W$895,"&lt;"&amp;W207))</f>
        <v/>
      </c>
      <c r="B207" s="16" t="s">
        <v>16</v>
      </c>
      <c r="C207" s="16" t="s">
        <v>1765</v>
      </c>
      <c r="D207" s="21" t="s">
        <v>81</v>
      </c>
      <c r="E207" s="16" t="s">
        <v>62</v>
      </c>
      <c r="F207" s="16" t="s">
        <v>1766</v>
      </c>
      <c r="G207" s="17">
        <v>1898</v>
      </c>
      <c r="H207" s="17"/>
      <c r="I207" s="17"/>
      <c r="J207" s="17">
        <v>1890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1898</v>
      </c>
      <c r="M207" s="17">
        <f aca="false">IF($H207="","",$H207+$K207)</f>
        <v/>
      </c>
      <c r="N207" s="17">
        <f aca="false">IF($J207="","",$J207+$K207)</f>
        <v>1890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54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IF($T208="","",1+COUNTIF($W$15:$W$895,"&lt;"&amp;W208))</f>
        <v/>
      </c>
      <c r="B208" s="16" t="s">
        <v>18</v>
      </c>
      <c r="C208" s="16" t="s">
        <v>1337</v>
      </c>
      <c r="D208" s="16" t="s">
        <v>58</v>
      </c>
      <c r="E208" s="16" t="s">
        <v>62</v>
      </c>
      <c r="F208" s="16" t="s">
        <v>1338</v>
      </c>
      <c r="G208" s="17">
        <v>1965</v>
      </c>
      <c r="H208" s="17"/>
      <c r="I208" s="17"/>
      <c r="J208" s="17">
        <v>1965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1965</v>
      </c>
      <c r="M208" s="17">
        <f aca="false">IF($H208="","",$H208+$K208)</f>
        <v/>
      </c>
      <c r="N208" s="17">
        <f aca="false">IF($J208="","",$J208+$K208)</f>
        <v>1965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54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22" collapsed="false" customFormat="true" customHeight="true" hidden="false" ht="28.5" outlineLevel="0">
      <c r="A209" s="16">
        <f aca="false">IF($T209="","",1+COUNTIF($W$15:$W$895,"&lt;"&amp;W209))</f>
        <v/>
      </c>
      <c r="B209" s="16" t="s">
        <v>18</v>
      </c>
      <c r="C209" s="16" t="s">
        <v>1683</v>
      </c>
      <c r="D209" s="16" t="s">
        <v>61</v>
      </c>
      <c r="E209" s="16" t="s">
        <v>62</v>
      </c>
      <c r="F209" s="16" t="s">
        <v>1684</v>
      </c>
      <c r="G209" s="17">
        <v>1965</v>
      </c>
      <c r="H209" s="17"/>
      <c r="I209" s="17"/>
      <c r="J209" s="17">
        <v>1965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1965</v>
      </c>
      <c r="M209" s="17">
        <f aca="false">IF($H209="","",$H209+$K209)</f>
        <v/>
      </c>
      <c r="N209" s="17">
        <f aca="false">IF($J209="","",$J209+$K209)</f>
        <v>1965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54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IF($T210="","",1+COUNTIF($W$15:$W$895,"&lt;"&amp;W210))</f>
        <v/>
      </c>
      <c r="B210" s="16" t="s">
        <v>16</v>
      </c>
      <c r="C210" s="16" t="s">
        <v>945</v>
      </c>
      <c r="D210" s="21" t="s">
        <v>81</v>
      </c>
      <c r="E210" s="16" t="s">
        <v>62</v>
      </c>
      <c r="F210" s="16" t="s">
        <v>946</v>
      </c>
      <c r="G210" s="17">
        <v>1899</v>
      </c>
      <c r="H210" s="17"/>
      <c r="I210" s="17"/>
      <c r="J210" s="17">
        <v>1839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1899</v>
      </c>
      <c r="M210" s="17">
        <f aca="false">IF($H210="","",$H210+$K210)</f>
        <v/>
      </c>
      <c r="N210" s="17">
        <f aca="false">IF($J210="","",$J210+$K210)</f>
        <v>1839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54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IF($T211="","",1+COUNTIF($W$15:$W$895,"&lt;"&amp;W211))</f>
        <v/>
      </c>
      <c r="B211" s="16" t="s">
        <v>16</v>
      </c>
      <c r="C211" s="16" t="s">
        <v>682</v>
      </c>
      <c r="D211" s="16" t="s">
        <v>61</v>
      </c>
      <c r="E211" s="16" t="s">
        <v>26</v>
      </c>
      <c r="F211" s="16" t="s">
        <v>683</v>
      </c>
      <c r="G211" s="17">
        <v>1899</v>
      </c>
      <c r="H211" s="17"/>
      <c r="I211" s="17"/>
      <c r="J211" s="17">
        <v>1889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1899</v>
      </c>
      <c r="M211" s="17">
        <f aca="false">IF($H211="","",$H211+$K211)</f>
        <v/>
      </c>
      <c r="N211" s="17">
        <f aca="false">IF($J211="","",$J211+$K211)</f>
        <v>1889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54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IF($T212="","",1+COUNTIF($W$15:$W$895,"&lt;"&amp;W212))</f>
        <v/>
      </c>
      <c r="B212" s="16" t="s">
        <v>16</v>
      </c>
      <c r="C212" s="16" t="s">
        <v>912</v>
      </c>
      <c r="D212" s="16" t="s">
        <v>61</v>
      </c>
      <c r="E212" s="16" t="s">
        <v>62</v>
      </c>
      <c r="F212" s="16" t="s">
        <v>913</v>
      </c>
      <c r="G212" s="17">
        <v>1899</v>
      </c>
      <c r="H212" s="17"/>
      <c r="I212" s="17"/>
      <c r="J212" s="17">
        <v>1899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1899</v>
      </c>
      <c r="M212" s="17">
        <f aca="false">IF($H212="","",$H212+$K212)</f>
        <v/>
      </c>
      <c r="N212" s="17">
        <f aca="false">IF($J212="","",$J212+$K212)</f>
        <v>1899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54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IF($T213="","",1+COUNTIF($W$15:$W$895,"&lt;"&amp;W213))</f>
        <v/>
      </c>
      <c r="B213" s="16" t="s">
        <v>16</v>
      </c>
      <c r="C213" s="16" t="s">
        <v>607</v>
      </c>
      <c r="D213" s="16" t="s">
        <v>45</v>
      </c>
      <c r="E213" s="16" t="s">
        <v>62</v>
      </c>
      <c r="F213" s="16" t="s">
        <v>608</v>
      </c>
      <c r="G213" s="17">
        <v>1899</v>
      </c>
      <c r="H213" s="17"/>
      <c r="I213" s="17"/>
      <c r="J213" s="17">
        <v>1929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1899</v>
      </c>
      <c r="M213" s="17">
        <f aca="false">IF($H213="","",$H213+$K213)</f>
        <v/>
      </c>
      <c r="N213" s="17">
        <f aca="false">IF($J213="","",$J213+$K213)</f>
        <v>1929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54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IF($T214="","",1+COUNTIF($W$15:$W$895,"&lt;"&amp;W214))</f>
        <v/>
      </c>
      <c r="B214" s="16" t="s">
        <v>6</v>
      </c>
      <c r="C214" s="16" t="s">
        <v>158</v>
      </c>
      <c r="D214" s="21" t="s">
        <v>81</v>
      </c>
      <c r="E214" s="16" t="s">
        <v>26</v>
      </c>
      <c r="F214" s="16" t="s">
        <v>159</v>
      </c>
      <c r="G214" s="17">
        <v>1857</v>
      </c>
      <c r="H214" s="17"/>
      <c r="I214" s="17"/>
      <c r="J214" s="17">
        <v>1847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1857</v>
      </c>
      <c r="M214" s="17">
        <f aca="false">IF($H214="","",$H214+$K214)</f>
        <v/>
      </c>
      <c r="N214" s="17">
        <f aca="false">IF($J214="","",$J214+$K214)</f>
        <v>1847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54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IF($T215="","",1+COUNTIF($W$15:$W$895,"&lt;"&amp;W215))</f>
        <v/>
      </c>
      <c r="B215" s="16" t="s">
        <v>6</v>
      </c>
      <c r="C215" s="16" t="s">
        <v>1094</v>
      </c>
      <c r="D215" s="16" t="s">
        <v>48</v>
      </c>
      <c r="E215" s="16" t="s">
        <v>26</v>
      </c>
      <c r="F215" s="16" t="s">
        <v>1095</v>
      </c>
      <c r="G215" s="17">
        <v>1859</v>
      </c>
      <c r="H215" s="17"/>
      <c r="I215" s="17"/>
      <c r="J215" s="17">
        <v>1859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1859</v>
      </c>
      <c r="M215" s="17">
        <f aca="false">IF($H215="","",$H215+$K215)</f>
        <v/>
      </c>
      <c r="N215" s="17">
        <f aca="false">IF($J215="","",$J215+$K215)</f>
        <v>1859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54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IF($T216="","",1+COUNTIF($W$15:$W$895,"&lt;"&amp;W216))</f>
        <v/>
      </c>
      <c r="B216" s="16" t="s">
        <v>8</v>
      </c>
      <c r="C216" s="16" t="s">
        <v>977</v>
      </c>
      <c r="D216" s="16" t="s">
        <v>45</v>
      </c>
      <c r="E216" s="16" t="s">
        <v>26</v>
      </c>
      <c r="F216" s="16" t="s">
        <v>978</v>
      </c>
      <c r="G216" s="17">
        <v>1859</v>
      </c>
      <c r="H216" s="17"/>
      <c r="I216" s="17"/>
      <c r="J216" s="17">
        <v>1859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1859</v>
      </c>
      <c r="M216" s="17">
        <f aca="false">IF($H216="","",$H216+$K216)</f>
        <v/>
      </c>
      <c r="N216" s="17">
        <f aca="false">IF($J216="","",$J216+$K216)</f>
        <v>1859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54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22" collapsed="false" customFormat="true" customHeight="true" hidden="false" ht="28.5" outlineLevel="0">
      <c r="A217" s="16">
        <f aca="false">IF($T217="","",1+COUNTIF($W$15:$W$895,"&lt;"&amp;W217))</f>
        <v/>
      </c>
      <c r="B217" s="16" t="s">
        <v>18</v>
      </c>
      <c r="C217" s="16" t="s">
        <v>1448</v>
      </c>
      <c r="D217" s="16" t="s">
        <v>58</v>
      </c>
      <c r="E217" s="16" t="s">
        <v>62</v>
      </c>
      <c r="F217" s="16" t="s">
        <v>1449</v>
      </c>
      <c r="G217" s="17">
        <v>1970</v>
      </c>
      <c r="H217" s="17"/>
      <c r="I217" s="17"/>
      <c r="J217" s="17">
        <v>1970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1970</v>
      </c>
      <c r="M217" s="17">
        <f aca="false">IF($H217="","",$H217+$K217)</f>
        <v/>
      </c>
      <c r="N217" s="17">
        <f aca="false">IF($J217="","",$J217+$K217)</f>
        <v>1970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54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IF($T218="","",1+COUNTIF($W$15:$W$895,"&lt;"&amp;W218))</f>
        <v/>
      </c>
      <c r="B218" s="16" t="s">
        <v>6</v>
      </c>
      <c r="C218" s="16" t="s">
        <v>518</v>
      </c>
      <c r="D218" s="16" t="s">
        <v>58</v>
      </c>
      <c r="E218" s="16" t="s">
        <v>26</v>
      </c>
      <c r="F218" s="16" t="s">
        <v>519</v>
      </c>
      <c r="G218" s="17">
        <v>1864</v>
      </c>
      <c r="H218" s="17"/>
      <c r="I218" s="17"/>
      <c r="J218" s="17">
        <v>1863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1864</v>
      </c>
      <c r="M218" s="17">
        <f aca="false">IF($H218="","",$H218+$K218)</f>
        <v/>
      </c>
      <c r="N218" s="17">
        <f aca="false">IF($J218="","",$J218+$K218)</f>
        <v>1863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54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IF($T219="","",1+COUNTIF($W$15:$W$895,"&lt;"&amp;W219))</f>
        <v/>
      </c>
      <c r="B219" s="16" t="s">
        <v>12</v>
      </c>
      <c r="C219" s="16" t="s">
        <v>78</v>
      </c>
      <c r="D219" s="20" t="s">
        <v>61</v>
      </c>
      <c r="E219" s="16" t="s">
        <v>26</v>
      </c>
      <c r="F219" s="16" t="s">
        <v>79</v>
      </c>
      <c r="G219" s="17">
        <v>1865</v>
      </c>
      <c r="H219" s="17"/>
      <c r="I219" s="17"/>
      <c r="J219" s="17">
        <v>1865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1865</v>
      </c>
      <c r="M219" s="17">
        <f aca="false">IF($H219="","",$H219+$K219)</f>
        <v/>
      </c>
      <c r="N219" s="17">
        <f aca="false">IF($J219="","",$J219+$K219)</f>
        <v>1865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54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IF($T220="","",1+COUNTIF($W$15:$W$895,"&lt;"&amp;W220))</f>
        <v/>
      </c>
      <c r="B220" s="16" t="s">
        <v>18</v>
      </c>
      <c r="C220" s="16" t="s">
        <v>993</v>
      </c>
      <c r="D220" s="21" t="s">
        <v>81</v>
      </c>
      <c r="E220" s="16" t="s">
        <v>62</v>
      </c>
      <c r="F220" s="16" t="s">
        <v>994</v>
      </c>
      <c r="G220" s="17">
        <v>1975</v>
      </c>
      <c r="H220" s="17"/>
      <c r="I220" s="17"/>
      <c r="J220" s="17">
        <v>1965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1975</v>
      </c>
      <c r="M220" s="17">
        <f aca="false">IF($H220="","",$H220+$K220)</f>
        <v/>
      </c>
      <c r="N220" s="17">
        <f aca="false">IF($J220="","",$J220+$K220)</f>
        <v>1965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54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IF($T221="","",1+COUNTIF($W$15:$W$895,"&lt;"&amp;W221))</f>
        <v/>
      </c>
      <c r="B221" s="16" t="s">
        <v>6</v>
      </c>
      <c r="C221" s="16" t="s">
        <v>382</v>
      </c>
      <c r="D221" s="16" t="s">
        <v>45</v>
      </c>
      <c r="E221" s="16" t="s">
        <v>26</v>
      </c>
      <c r="F221" s="16" t="s">
        <v>383</v>
      </c>
      <c r="G221" s="17">
        <v>1867</v>
      </c>
      <c r="H221" s="17"/>
      <c r="I221" s="17"/>
      <c r="J221" s="17">
        <v>1843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1867</v>
      </c>
      <c r="M221" s="17">
        <f aca="false">IF($H221="","",$H221+$K221)</f>
        <v/>
      </c>
      <c r="N221" s="17">
        <f aca="false">IF($J221="","",$J221+$K221)</f>
        <v>1843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54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IF($T222="","",1+COUNTIF($W$15:$W$895,"&lt;"&amp;W222))</f>
        <v/>
      </c>
      <c r="B222" s="16" t="s">
        <v>6</v>
      </c>
      <c r="C222" s="16" t="s">
        <v>487</v>
      </c>
      <c r="D222" s="16" t="s">
        <v>58</v>
      </c>
      <c r="E222" s="16" t="s">
        <v>26</v>
      </c>
      <c r="F222" s="16" t="s">
        <v>488</v>
      </c>
      <c r="G222" s="17">
        <v>1869</v>
      </c>
      <c r="H222" s="17"/>
      <c r="I222" s="17"/>
      <c r="J222" s="17">
        <v>1829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1869</v>
      </c>
      <c r="M222" s="17">
        <f aca="false">IF($H222="","",$H222+$K222)</f>
        <v/>
      </c>
      <c r="N222" s="17">
        <f aca="false">IF($J222="","",$J222+$K222)</f>
        <v>1829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54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22" collapsed="false" customFormat="true" customHeight="true" hidden="false" ht="28.5" outlineLevel="0">
      <c r="A223" s="16">
        <f aca="false">IF($T223="","",1+COUNTIF($W$15:$W$895,"&lt;"&amp;W223))</f>
        <v/>
      </c>
      <c r="B223" s="16" t="s">
        <v>6</v>
      </c>
      <c r="C223" s="16" t="s">
        <v>1301</v>
      </c>
      <c r="D223" s="16" t="s">
        <v>45</v>
      </c>
      <c r="E223" s="16" t="s">
        <v>26</v>
      </c>
      <c r="F223" s="16" t="s">
        <v>1302</v>
      </c>
      <c r="G223" s="17">
        <v>1869</v>
      </c>
      <c r="H223" s="17"/>
      <c r="I223" s="17"/>
      <c r="J223" s="17">
        <v>1859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1869</v>
      </c>
      <c r="M223" s="17">
        <f aca="false">IF($H223="","",$H223+$K223)</f>
        <v/>
      </c>
      <c r="N223" s="17">
        <f aca="false">IF($J223="","",$J223+$K223)</f>
        <v>1859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54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IF($T224="","",1+COUNTIF($W$15:$W$895,"&lt;"&amp;W224))</f>
        <v/>
      </c>
      <c r="B224" s="16" t="s">
        <v>10</v>
      </c>
      <c r="C224" s="16" t="s">
        <v>981</v>
      </c>
      <c r="D224" s="16" t="s">
        <v>58</v>
      </c>
      <c r="E224" s="16" t="s">
        <v>26</v>
      </c>
      <c r="F224" s="16" t="s">
        <v>984</v>
      </c>
      <c r="G224" s="17">
        <v>1869</v>
      </c>
      <c r="H224" s="17"/>
      <c r="I224" s="17"/>
      <c r="J224" s="17">
        <v>1859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1869</v>
      </c>
      <c r="M224" s="17">
        <f aca="false">IF($H224="","",$H224+$K224)</f>
        <v/>
      </c>
      <c r="N224" s="17">
        <f aca="false">IF($J224="","",$J224+$K224)</f>
        <v>1859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54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22" collapsed="false" customFormat="true" customHeight="true" hidden="false" ht="28.5" outlineLevel="0">
      <c r="A225" s="16">
        <f aca="false">IF($T225="","",1+COUNTIF($W$15:$W$895,"&lt;"&amp;W225))</f>
        <v/>
      </c>
      <c r="B225" s="16" t="s">
        <v>18</v>
      </c>
      <c r="C225" s="16" t="s">
        <v>1398</v>
      </c>
      <c r="D225" s="16" t="s">
        <v>58</v>
      </c>
      <c r="E225" s="16" t="s">
        <v>26</v>
      </c>
      <c r="F225" s="16" t="s">
        <v>1399</v>
      </c>
      <c r="G225" s="17">
        <v>1979</v>
      </c>
      <c r="H225" s="17"/>
      <c r="I225" s="17"/>
      <c r="J225" s="17">
        <v>1969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1979</v>
      </c>
      <c r="M225" s="17">
        <f aca="false">IF($H225="","",$H225+$K225)</f>
        <v/>
      </c>
      <c r="N225" s="17">
        <f aca="false">IF($J225="","",$J225+$K225)</f>
        <v>1969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54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IF($T226="","",1+COUNTIF($W$15:$W$895,"&lt;"&amp;W226))</f>
        <v/>
      </c>
      <c r="B226" s="16" t="s">
        <v>6</v>
      </c>
      <c r="C226" s="16" t="s">
        <v>130</v>
      </c>
      <c r="D226" s="16" t="s">
        <v>45</v>
      </c>
      <c r="E226" s="16" t="s">
        <v>26</v>
      </c>
      <c r="F226" s="16" t="s">
        <v>131</v>
      </c>
      <c r="G226" s="17">
        <v>1875</v>
      </c>
      <c r="H226" s="17"/>
      <c r="I226" s="17"/>
      <c r="J226" s="17">
        <v>1875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1875</v>
      </c>
      <c r="M226" s="17">
        <f aca="false">IF($H226="","",$H226+$K226)</f>
        <v/>
      </c>
      <c r="N226" s="17">
        <f aca="false">IF($J226="","",$J226+$K226)</f>
        <v>1875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54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22" collapsed="false" customFormat="true" customHeight="true" hidden="false" ht="28.5" outlineLevel="0">
      <c r="A227" s="16">
        <f aca="false">IF($T227="","",1+COUNTIF($W$15:$W$895,"&lt;"&amp;W227))</f>
        <v/>
      </c>
      <c r="B227" s="16" t="s">
        <v>16</v>
      </c>
      <c r="C227" s="16" t="s">
        <v>1695</v>
      </c>
      <c r="D227" s="21" t="s">
        <v>81</v>
      </c>
      <c r="E227" s="16" t="s">
        <v>62</v>
      </c>
      <c r="F227" s="16" t="s">
        <v>1696</v>
      </c>
      <c r="G227" s="17">
        <v>1919</v>
      </c>
      <c r="H227" s="17"/>
      <c r="I227" s="17"/>
      <c r="J227" s="17">
        <v>1929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1919</v>
      </c>
      <c r="M227" s="17">
        <f aca="false">IF($H227="","",$H227+$K227)</f>
        <v/>
      </c>
      <c r="N227" s="17">
        <f aca="false">IF($J227="","",$J227+$K227)</f>
        <v>1929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54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IF($T228="","",1+COUNTIF($W$15:$W$895,"&lt;"&amp;W228))</f>
        <v/>
      </c>
      <c r="B228" s="16" t="s">
        <v>14</v>
      </c>
      <c r="C228" s="16" t="s">
        <v>392</v>
      </c>
      <c r="D228" s="16" t="s">
        <v>61</v>
      </c>
      <c r="E228" s="16" t="s">
        <v>62</v>
      </c>
      <c r="F228" s="16" t="s">
        <v>393</v>
      </c>
      <c r="G228" s="17">
        <v>1898</v>
      </c>
      <c r="H228" s="17"/>
      <c r="I228" s="17"/>
      <c r="J228" s="17">
        <v>1917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1898</v>
      </c>
      <c r="M228" s="17">
        <f aca="false">IF($H228="","",$H228+$K228)</f>
        <v/>
      </c>
      <c r="N228" s="17">
        <f aca="false">IF($J228="","",$J228+$K228)</f>
        <v>1917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54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IF($T229="","",1+COUNTIF($W$15:$W$895,"&lt;"&amp;W229))</f>
        <v/>
      </c>
      <c r="B229" s="16" t="s">
        <v>16</v>
      </c>
      <c r="C229" s="16" t="s">
        <v>1530</v>
      </c>
      <c r="D229" s="21" t="s">
        <v>81</v>
      </c>
      <c r="E229" s="16" t="s">
        <v>62</v>
      </c>
      <c r="F229" s="16" t="s">
        <v>1531</v>
      </c>
      <c r="G229" s="17">
        <v>1920</v>
      </c>
      <c r="H229" s="17"/>
      <c r="I229" s="17"/>
      <c r="J229" s="17">
        <v>1920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1920</v>
      </c>
      <c r="M229" s="17">
        <f aca="false">IF($H229="","",$H229+$K229)</f>
        <v/>
      </c>
      <c r="N229" s="17">
        <f aca="false">IF($J229="","",$J229+$K229)</f>
        <v>1920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54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IF($T230="","",1+COUNTIF($W$15:$W$895,"&lt;"&amp;W230))</f>
        <v/>
      </c>
      <c r="B230" s="16" t="s">
        <v>18</v>
      </c>
      <c r="C230" s="16" t="s">
        <v>400</v>
      </c>
      <c r="D230" s="16" t="s">
        <v>58</v>
      </c>
      <c r="E230" s="16" t="s">
        <v>26</v>
      </c>
      <c r="F230" s="16" t="s">
        <v>401</v>
      </c>
      <c r="G230" s="17">
        <v>1989</v>
      </c>
      <c r="H230" s="17"/>
      <c r="I230" s="17"/>
      <c r="J230" s="17">
        <v>1899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1989</v>
      </c>
      <c r="M230" s="17">
        <f aca="false">IF($H230="","",$H230+$K230)</f>
        <v/>
      </c>
      <c r="N230" s="17">
        <f aca="false">IF($J230="","",$J230+$K230)</f>
        <v>1899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54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22" collapsed="false" customFormat="true" customHeight="true" hidden="false" ht="28.5" outlineLevel="0">
      <c r="A231" s="16">
        <f aca="false">IF($T231="","",1+COUNTIF($W$15:$W$895,"&lt;"&amp;W231))</f>
        <v/>
      </c>
      <c r="B231" s="16" t="s">
        <v>6</v>
      </c>
      <c r="C231" s="16" t="s">
        <v>1317</v>
      </c>
      <c r="D231" s="16" t="s">
        <v>61</v>
      </c>
      <c r="E231" s="16" t="s">
        <v>26</v>
      </c>
      <c r="F231" s="16" t="s">
        <v>1318</v>
      </c>
      <c r="G231" s="17">
        <v>1879</v>
      </c>
      <c r="H231" s="17"/>
      <c r="I231" s="17"/>
      <c r="J231" s="17">
        <v>1859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1879</v>
      </c>
      <c r="M231" s="17">
        <f aca="false">IF($H231="","",$H231+$K231)</f>
        <v/>
      </c>
      <c r="N231" s="17">
        <f aca="false">IF($J231="","",$J231+$K231)</f>
        <v>1859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54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IF($T232="","",1+COUNTIF($W$15:$W$895,"&lt;"&amp;W232))</f>
        <v/>
      </c>
      <c r="B232" s="16" t="s">
        <v>10</v>
      </c>
      <c r="C232" s="16" t="s">
        <v>981</v>
      </c>
      <c r="D232" s="16" t="s">
        <v>61</v>
      </c>
      <c r="E232" s="16" t="s">
        <v>26</v>
      </c>
      <c r="F232" s="16" t="s">
        <v>983</v>
      </c>
      <c r="G232" s="17">
        <v>1879</v>
      </c>
      <c r="H232" s="17"/>
      <c r="I232" s="17"/>
      <c r="J232" s="17">
        <v>1859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1879</v>
      </c>
      <c r="M232" s="17">
        <f aca="false">IF($H232="","",$H232+$K232)</f>
        <v/>
      </c>
      <c r="N232" s="17">
        <f aca="false">IF($J232="","",$J232+$K232)</f>
        <v>1859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54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IF($T233="","",1+COUNTIF($W$15:$W$895,"&lt;"&amp;W233))</f>
        <v/>
      </c>
      <c r="B233" s="16" t="s">
        <v>6</v>
      </c>
      <c r="C233" s="16" t="s">
        <v>126</v>
      </c>
      <c r="D233" s="21" t="s">
        <v>81</v>
      </c>
      <c r="E233" s="16" t="s">
        <v>26</v>
      </c>
      <c r="F233" s="16" t="s">
        <v>127</v>
      </c>
      <c r="G233" s="17">
        <v>1879</v>
      </c>
      <c r="H233" s="17"/>
      <c r="I233" s="17"/>
      <c r="J233" s="17">
        <v>1869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1879</v>
      </c>
      <c r="M233" s="17">
        <f aca="false">IF($H233="","",$H233+$K233)</f>
        <v/>
      </c>
      <c r="N233" s="17">
        <f aca="false">IF($J233="","",$J233+$K233)</f>
        <v>1869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54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IF($T234="","",1+COUNTIF($W$15:$W$895,"&lt;"&amp;W234))</f>
        <v/>
      </c>
      <c r="B234" s="16" t="s">
        <v>6</v>
      </c>
      <c r="C234" s="16" t="s">
        <v>156</v>
      </c>
      <c r="D234" s="16" t="s">
        <v>61</v>
      </c>
      <c r="E234" s="16" t="s">
        <v>26</v>
      </c>
      <c r="F234" s="16" t="s">
        <v>157</v>
      </c>
      <c r="G234" s="17">
        <v>1879</v>
      </c>
      <c r="H234" s="17"/>
      <c r="I234" s="17"/>
      <c r="J234" s="17">
        <v>1869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1879</v>
      </c>
      <c r="M234" s="17">
        <f aca="false">IF($H234="","",$H234+$K234)</f>
        <v/>
      </c>
      <c r="N234" s="17">
        <f aca="false">IF($J234="","",$J234+$K234)</f>
        <v>1869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54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IF($T235="","",1+COUNTIF($W$15:$W$895,"&lt;"&amp;W235))</f>
        <v/>
      </c>
      <c r="B235" s="16" t="s">
        <v>6</v>
      </c>
      <c r="C235" s="16" t="s">
        <v>931</v>
      </c>
      <c r="D235" s="16" t="s">
        <v>45</v>
      </c>
      <c r="E235" s="16" t="s">
        <v>26</v>
      </c>
      <c r="F235" s="16" t="s">
        <v>932</v>
      </c>
      <c r="G235" s="17">
        <v>1879</v>
      </c>
      <c r="H235" s="17"/>
      <c r="I235" s="17"/>
      <c r="J235" s="17">
        <v>1869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1879</v>
      </c>
      <c r="M235" s="17">
        <f aca="false">IF($H235="","",$H235+$K235)</f>
        <v/>
      </c>
      <c r="N235" s="17">
        <f aca="false">IF($J235="","",$J235+$K235)</f>
        <v>1869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54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22" collapsed="false" customFormat="true" customHeight="true" hidden="false" ht="28.5" outlineLevel="0">
      <c r="A236" s="16">
        <f aca="false">IF($T236="","",1+COUNTIF($W$15:$W$895,"&lt;"&amp;W236))</f>
        <v/>
      </c>
      <c r="B236" s="16" t="s">
        <v>10</v>
      </c>
      <c r="C236" s="16" t="s">
        <v>318</v>
      </c>
      <c r="D236" s="21" t="s">
        <v>81</v>
      </c>
      <c r="E236" s="16" t="s">
        <v>26</v>
      </c>
      <c r="F236" s="16" t="s">
        <v>319</v>
      </c>
      <c r="G236" s="17">
        <v>1879</v>
      </c>
      <c r="H236" s="17"/>
      <c r="I236" s="17"/>
      <c r="J236" s="17">
        <v>1879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1879</v>
      </c>
      <c r="M236" s="17">
        <f aca="false">IF($H236="","",$H236+$K236)</f>
        <v/>
      </c>
      <c r="N236" s="17">
        <f aca="false">IF($J236="","",$J236+$K236)</f>
        <v>1879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54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IF($T237="","",1+COUNTIF($W$15:$W$895,"&lt;"&amp;W237))</f>
        <v/>
      </c>
      <c r="B237" s="16" t="s">
        <v>6</v>
      </c>
      <c r="C237" s="16" t="s">
        <v>562</v>
      </c>
      <c r="D237" s="16" t="s">
        <v>58</v>
      </c>
      <c r="E237" s="16" t="s">
        <v>62</v>
      </c>
      <c r="F237" s="16" t="s">
        <v>563</v>
      </c>
      <c r="G237" s="17">
        <v>1879</v>
      </c>
      <c r="H237" s="17"/>
      <c r="I237" s="17"/>
      <c r="J237" s="17">
        <v>1889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1879</v>
      </c>
      <c r="M237" s="17">
        <f aca="false">IF($H237="","",$H237+$K237)</f>
        <v/>
      </c>
      <c r="N237" s="17">
        <f aca="false">IF($J237="","",$J237+$K237)</f>
        <v>1889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54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IF($T238="","",1+COUNTIF($W$15:$W$895,"&lt;"&amp;W238))</f>
        <v/>
      </c>
      <c r="B238" s="16" t="s">
        <v>10</v>
      </c>
      <c r="C238" s="16" t="s">
        <v>1166</v>
      </c>
      <c r="D238" s="16" t="s">
        <v>48</v>
      </c>
      <c r="E238" s="16" t="s">
        <v>26</v>
      </c>
      <c r="F238" s="16" t="s">
        <v>1167</v>
      </c>
      <c r="G238" s="17">
        <v>1879</v>
      </c>
      <c r="H238" s="17"/>
      <c r="I238" s="17"/>
      <c r="J238" s="17">
        <v>1889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1879</v>
      </c>
      <c r="M238" s="17">
        <f aca="false">IF($H238="","",$H238+$K238)</f>
        <v/>
      </c>
      <c r="N238" s="17">
        <f aca="false">IF($J238="","",$J238+$K238)</f>
        <v>1889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54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C238" s="3"/>
    </row>
    <row r="239" s="6" collapsed="false" customFormat="true" customHeight="true" hidden="false" ht="28.5" outlineLevel="0">
      <c r="A239" s="16">
        <f aca="false">IF($T239="","",1+COUNTIF($W$15:$W$895,"&lt;"&amp;W239))</f>
        <v/>
      </c>
      <c r="B239" s="16" t="s">
        <v>8</v>
      </c>
      <c r="C239" s="16" t="s">
        <v>1715</v>
      </c>
      <c r="D239" s="21" t="s">
        <v>81</v>
      </c>
      <c r="E239" s="16" t="s">
        <v>26</v>
      </c>
      <c r="F239" s="16" t="s">
        <v>1717</v>
      </c>
      <c r="G239" s="17">
        <v>1879</v>
      </c>
      <c r="H239" s="17"/>
      <c r="I239" s="17"/>
      <c r="J239" s="17">
        <v>1899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1879</v>
      </c>
      <c r="M239" s="17">
        <f aca="false">IF($H239="","",$H239+$K239)</f>
        <v/>
      </c>
      <c r="N239" s="17">
        <f aca="false">IF($J239="","",$J239+$K239)</f>
        <v>1899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54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C239" s="3"/>
    </row>
    <row r="240" s="5" collapsed="false" customFormat="true" customHeight="true" hidden="false" ht="28.5" outlineLevel="0">
      <c r="A240" s="16">
        <f aca="false">IF($T240="","",1+COUNTIF($W$15:$W$895,"&lt;"&amp;W240))</f>
        <v/>
      </c>
      <c r="B240" s="16" t="s">
        <v>18</v>
      </c>
      <c r="C240" s="16" t="s">
        <v>935</v>
      </c>
      <c r="D240" s="21" t="s">
        <v>81</v>
      </c>
      <c r="E240" s="16" t="s">
        <v>62</v>
      </c>
      <c r="F240" s="16" t="s">
        <v>936</v>
      </c>
      <c r="G240" s="17">
        <v>1990</v>
      </c>
      <c r="H240" s="17"/>
      <c r="I240" s="17"/>
      <c r="J240" s="17">
        <v>1995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1990</v>
      </c>
      <c r="M240" s="17">
        <f aca="false">IF($H240="","",$H240+$K240)</f>
        <v/>
      </c>
      <c r="N240" s="17">
        <f aca="false">IF($J240="","",$J240+$K240)</f>
        <v>1995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54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IF($T241="","",1+COUNTIF($W$15:$W$895,"&lt;"&amp;W241))</f>
        <v/>
      </c>
      <c r="B241" s="16" t="s">
        <v>10</v>
      </c>
      <c r="C241" s="16" t="s">
        <v>532</v>
      </c>
      <c r="D241" s="16" t="s">
        <v>61</v>
      </c>
      <c r="E241" s="16" t="s">
        <v>26</v>
      </c>
      <c r="F241" s="16" t="s">
        <v>533</v>
      </c>
      <c r="G241" s="17">
        <v>1880</v>
      </c>
      <c r="H241" s="17"/>
      <c r="I241" s="17"/>
      <c r="J241" s="17">
        <v>1865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1880</v>
      </c>
      <c r="M241" s="17">
        <f aca="false">IF($H241="","",$H241+$K241)</f>
        <v/>
      </c>
      <c r="N241" s="17">
        <f aca="false">IF($J241="","",$J241+$K241)</f>
        <v>1865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54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IF($T242="","",1+COUNTIF($W$15:$W$895,"&lt;"&amp;W242))</f>
        <v/>
      </c>
      <c r="B242" s="16" t="s">
        <v>6</v>
      </c>
      <c r="C242" s="16" t="s">
        <v>576</v>
      </c>
      <c r="D242" s="16" t="s">
        <v>61</v>
      </c>
      <c r="E242" s="16" t="s">
        <v>26</v>
      </c>
      <c r="F242" s="16" t="s">
        <v>577</v>
      </c>
      <c r="G242" s="17">
        <v>1883</v>
      </c>
      <c r="H242" s="17"/>
      <c r="I242" s="17"/>
      <c r="J242" s="17">
        <v>1873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1883</v>
      </c>
      <c r="M242" s="17">
        <f aca="false">IF($H242="","",$H242+$K242)</f>
        <v/>
      </c>
      <c r="N242" s="17">
        <f aca="false">IF($J242="","",$J242+$K242)</f>
        <v>1873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54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IF($T243="","",1+COUNTIF($W$15:$W$895,"&lt;"&amp;W243))</f>
        <v/>
      </c>
      <c r="B243" s="16" t="s">
        <v>6</v>
      </c>
      <c r="C243" s="16" t="s">
        <v>1428</v>
      </c>
      <c r="D243" s="16" t="s">
        <v>61</v>
      </c>
      <c r="E243" s="16" t="s">
        <v>26</v>
      </c>
      <c r="F243" s="16" t="s">
        <v>1429</v>
      </c>
      <c r="G243" s="17">
        <v>1884</v>
      </c>
      <c r="H243" s="17"/>
      <c r="I243" s="17"/>
      <c r="J243" s="17">
        <v>1874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1884</v>
      </c>
      <c r="M243" s="17">
        <f aca="false">IF($H243="","",$H243+$K243)</f>
        <v/>
      </c>
      <c r="N243" s="17">
        <f aca="false">IF($J243="","",$J243+$K243)</f>
        <v>1874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54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C243" s="3"/>
    </row>
    <row r="244" s="5" collapsed="false" customFormat="true" customHeight="true" hidden="false" ht="28.5" outlineLevel="0">
      <c r="A244" s="16">
        <f aca="false">IF($T244="","",1+COUNTIF($W$15:$W$895,"&lt;"&amp;W244))</f>
        <v/>
      </c>
      <c r="B244" s="16" t="s">
        <v>18</v>
      </c>
      <c r="C244" s="16" t="s">
        <v>495</v>
      </c>
      <c r="D244" s="16" t="s">
        <v>45</v>
      </c>
      <c r="E244" s="16" t="s">
        <v>26</v>
      </c>
      <c r="F244" s="16" t="s">
        <v>496</v>
      </c>
      <c r="G244" s="17">
        <v>1995</v>
      </c>
      <c r="H244" s="17"/>
      <c r="I244" s="17"/>
      <c r="J244" s="17">
        <v>1990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1995</v>
      </c>
      <c r="M244" s="17">
        <f aca="false">IF($H244="","",$H244+$K244)</f>
        <v/>
      </c>
      <c r="N244" s="17">
        <f aca="false">IF($J244="","",$J244+$K244)</f>
        <v>1990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6" t="s">
        <v>54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6" collapsed="false" customFormat="true" customHeight="true" hidden="false" ht="28.5" outlineLevel="0">
      <c r="A245" s="16">
        <f aca="false">IF($T245="","",1+COUNTIF($W$15:$W$895,"&lt;"&amp;W245))</f>
        <v/>
      </c>
      <c r="B245" s="16" t="s">
        <v>18</v>
      </c>
      <c r="C245" s="16" t="s">
        <v>1519</v>
      </c>
      <c r="D245" s="21" t="s">
        <v>81</v>
      </c>
      <c r="E245" s="16" t="s">
        <v>62</v>
      </c>
      <c r="F245" s="16" t="s">
        <v>1520</v>
      </c>
      <c r="G245" s="17">
        <v>1995</v>
      </c>
      <c r="H245" s="17"/>
      <c r="I245" s="17"/>
      <c r="J245" s="17">
        <v>1995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1995</v>
      </c>
      <c r="M245" s="17">
        <f aca="false">IF($H245="","",$H245+$K245)</f>
        <v/>
      </c>
      <c r="N245" s="17">
        <f aca="false">IF($J245="","",$J245+$K245)</f>
        <v>1995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54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C245" s="3"/>
    </row>
    <row r="246" s="5" collapsed="false" customFormat="true" customHeight="true" hidden="false" ht="28.5" outlineLevel="0">
      <c r="A246" s="16">
        <f aca="false">IF($T246="","",1+COUNTIF($W$15:$W$895,"&lt;"&amp;W246))</f>
        <v/>
      </c>
      <c r="B246" s="16" t="s">
        <v>6</v>
      </c>
      <c r="C246" s="16" t="s">
        <v>489</v>
      </c>
      <c r="D246" s="16" t="s">
        <v>61</v>
      </c>
      <c r="E246" s="16" t="s">
        <v>26</v>
      </c>
      <c r="F246" s="16" t="s">
        <v>490</v>
      </c>
      <c r="G246" s="17">
        <v>1885</v>
      </c>
      <c r="H246" s="17"/>
      <c r="I246" s="17"/>
      <c r="J246" s="17">
        <v>1865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1885</v>
      </c>
      <c r="M246" s="17">
        <f aca="false">IF($H246="","",$H246+$K246)</f>
        <v/>
      </c>
      <c r="N246" s="17">
        <f aca="false">IF($J246="","",$J246+$K246)</f>
        <v>1865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54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IF($T247="","",1+COUNTIF($W$15:$W$895,"&lt;"&amp;W247))</f>
        <v/>
      </c>
      <c r="B247" s="16" t="s">
        <v>6</v>
      </c>
      <c r="C247" s="16" t="s">
        <v>1092</v>
      </c>
      <c r="D247" s="16" t="s">
        <v>72</v>
      </c>
      <c r="E247" s="16" t="s">
        <v>26</v>
      </c>
      <c r="F247" s="16" t="s">
        <v>1093</v>
      </c>
      <c r="G247" s="17">
        <v>1885</v>
      </c>
      <c r="H247" s="17"/>
      <c r="I247" s="17"/>
      <c r="J247" s="17">
        <v>1865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1885</v>
      </c>
      <c r="M247" s="17">
        <f aca="false">IF($H247="","",$H247+$K247)</f>
        <v/>
      </c>
      <c r="N247" s="17">
        <f aca="false">IF($J247="","",$J247+$K247)</f>
        <v>1865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54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22" collapsed="false" customFormat="true" customHeight="true" hidden="false" ht="28.5" outlineLevel="0">
      <c r="A248" s="16">
        <f aca="false">IF($T248="","",1+COUNTIF($W$15:$W$895,"&lt;"&amp;W248))</f>
        <v/>
      </c>
      <c r="B248" s="16" t="s">
        <v>6</v>
      </c>
      <c r="C248" s="16" t="s">
        <v>1345</v>
      </c>
      <c r="D248" s="16" t="s">
        <v>96</v>
      </c>
      <c r="E248" s="16" t="s">
        <v>62</v>
      </c>
      <c r="F248" s="16" t="s">
        <v>1346</v>
      </c>
      <c r="G248" s="17">
        <v>1885</v>
      </c>
      <c r="H248" s="17"/>
      <c r="I248" s="17"/>
      <c r="J248" s="17">
        <v>1884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1885</v>
      </c>
      <c r="M248" s="17">
        <f aca="false">IF($H248="","",$H248+$K248)</f>
        <v/>
      </c>
      <c r="N248" s="17">
        <f aca="false">IF($J248="","",$J248+$K248)</f>
        <v>1884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54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IF($T249="","",1+COUNTIF($W$15:$W$895,"&lt;"&amp;W249))</f>
        <v/>
      </c>
      <c r="B249" s="16" t="s">
        <v>6</v>
      </c>
      <c r="C249" s="16" t="s">
        <v>949</v>
      </c>
      <c r="D249" s="16" t="s">
        <v>58</v>
      </c>
      <c r="E249" s="16" t="s">
        <v>26</v>
      </c>
      <c r="F249" s="16" t="s">
        <v>950</v>
      </c>
      <c r="G249" s="17">
        <v>1885</v>
      </c>
      <c r="H249" s="17"/>
      <c r="I249" s="17"/>
      <c r="J249" s="17">
        <v>1885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1885</v>
      </c>
      <c r="M249" s="17">
        <f aca="false">IF($H249="","",$H249+$K249)</f>
        <v/>
      </c>
      <c r="N249" s="17">
        <f aca="false">IF($J249="","",$J249+$K249)</f>
        <v>1885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54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IF($T250="","",1+COUNTIF($W$15:$W$895,"&lt;"&amp;W250))</f>
        <v/>
      </c>
      <c r="B250" s="16" t="s">
        <v>6</v>
      </c>
      <c r="C250" s="16" t="s">
        <v>1019</v>
      </c>
      <c r="D250" s="16" t="s">
        <v>58</v>
      </c>
      <c r="E250" s="16" t="s">
        <v>26</v>
      </c>
      <c r="F250" s="16" t="s">
        <v>1020</v>
      </c>
      <c r="G250" s="17">
        <v>1885</v>
      </c>
      <c r="H250" s="17"/>
      <c r="I250" s="17"/>
      <c r="J250" s="17">
        <v>1885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1885</v>
      </c>
      <c r="M250" s="17">
        <f aca="false">IF($H250="","",$H250+$K250)</f>
        <v/>
      </c>
      <c r="N250" s="17">
        <f aca="false">IF($J250="","",$J250+$K250)</f>
        <v>1885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54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IF($T251="","",1+COUNTIF($W$15:$W$895,"&lt;"&amp;W251))</f>
        <v/>
      </c>
      <c r="B251" s="16" t="s">
        <v>6</v>
      </c>
      <c r="C251" s="16" t="s">
        <v>1090</v>
      </c>
      <c r="D251" s="21" t="s">
        <v>81</v>
      </c>
      <c r="E251" s="16" t="s">
        <v>26</v>
      </c>
      <c r="F251" s="16" t="s">
        <v>1091</v>
      </c>
      <c r="G251" s="17">
        <v>1885</v>
      </c>
      <c r="H251" s="17"/>
      <c r="I251" s="17"/>
      <c r="J251" s="17">
        <v>1885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1885</v>
      </c>
      <c r="M251" s="17">
        <f aca="false">IF($H251="","",$H251+$K251)</f>
        <v/>
      </c>
      <c r="N251" s="17">
        <f aca="false">IF($J251="","",$J251+$K251)</f>
        <v>1885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54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IF($T252="","",1+COUNTIF($W$15:$W$895,"&lt;"&amp;W252))</f>
        <v/>
      </c>
      <c r="B252" s="16" t="s">
        <v>6</v>
      </c>
      <c r="C252" s="16" t="s">
        <v>1117</v>
      </c>
      <c r="D252" s="16" t="s">
        <v>58</v>
      </c>
      <c r="E252" s="16" t="s">
        <v>26</v>
      </c>
      <c r="F252" s="16" t="s">
        <v>1118</v>
      </c>
      <c r="G252" s="17">
        <v>1885</v>
      </c>
      <c r="H252" s="17"/>
      <c r="I252" s="17"/>
      <c r="J252" s="17">
        <v>1885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1885</v>
      </c>
      <c r="M252" s="17">
        <f aca="false">IF($H252="","",$H252+$K252)</f>
        <v/>
      </c>
      <c r="N252" s="17">
        <f aca="false">IF($J252="","",$J252+$K252)</f>
        <v>1885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54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6" collapsed="false" customFormat="true" customHeight="true" hidden="false" ht="28.5" outlineLevel="0">
      <c r="A253" s="16">
        <f aca="false">IF($T253="","",1+COUNTIF($W$15:$W$895,"&lt;"&amp;W253))</f>
        <v/>
      </c>
      <c r="B253" s="16" t="s">
        <v>6</v>
      </c>
      <c r="C253" s="16" t="s">
        <v>1258</v>
      </c>
      <c r="D253" s="16" t="s">
        <v>58</v>
      </c>
      <c r="E253" s="16" t="s">
        <v>26</v>
      </c>
      <c r="F253" s="16" t="s">
        <v>1259</v>
      </c>
      <c r="G253" s="17">
        <v>1885</v>
      </c>
      <c r="H253" s="17"/>
      <c r="I253" s="17"/>
      <c r="J253" s="17">
        <v>1885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1885</v>
      </c>
      <c r="M253" s="17">
        <f aca="false">IF($H253="","",$H253+$K253)</f>
        <v/>
      </c>
      <c r="N253" s="17">
        <f aca="false">IF($J253="","",$J253+$K253)</f>
        <v>1885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54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C253" s="3"/>
    </row>
    <row r="254" s="6" collapsed="false" customFormat="true" customHeight="true" hidden="false" ht="28.5" outlineLevel="0">
      <c r="A254" s="16">
        <f aca="false">IF($T254="","",1+COUNTIF($W$15:$W$895,"&lt;"&amp;W254))</f>
        <v/>
      </c>
      <c r="B254" s="16" t="s">
        <v>18</v>
      </c>
      <c r="C254" s="16" t="s">
        <v>1550</v>
      </c>
      <c r="D254" s="16" t="s">
        <v>61</v>
      </c>
      <c r="E254" s="16" t="s">
        <v>62</v>
      </c>
      <c r="F254" s="16" t="s">
        <v>1551</v>
      </c>
      <c r="G254" s="17">
        <v>1997</v>
      </c>
      <c r="H254" s="17"/>
      <c r="I254" s="17"/>
      <c r="J254" s="17">
        <v>1997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1997</v>
      </c>
      <c r="M254" s="17">
        <f aca="false">IF($H254="","",$H254+$K254)</f>
        <v/>
      </c>
      <c r="N254" s="17">
        <f aca="false">IF($J254="","",$J254+$K254)</f>
        <v>1997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54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C254" s="3"/>
    </row>
    <row r="255" s="5" collapsed="false" customFormat="true" customHeight="true" hidden="false" ht="28.5" outlineLevel="0">
      <c r="A255" s="16">
        <f aca="false">IF($T255="","",1+COUNTIF($W$15:$W$895,"&lt;"&amp;W255))</f>
        <v/>
      </c>
      <c r="B255" s="16" t="s">
        <v>16</v>
      </c>
      <c r="C255" s="16" t="s">
        <v>915</v>
      </c>
      <c r="D255" s="16" t="s">
        <v>45</v>
      </c>
      <c r="E255" s="16" t="s">
        <v>26</v>
      </c>
      <c r="F255" s="16" t="s">
        <v>916</v>
      </c>
      <c r="G255" s="17">
        <v>1929</v>
      </c>
      <c r="H255" s="17"/>
      <c r="I255" s="17"/>
      <c r="J255" s="17">
        <v>1929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1929</v>
      </c>
      <c r="M255" s="17">
        <f aca="false">IF($H255="","",$H255+$K255)</f>
        <v/>
      </c>
      <c r="N255" s="17">
        <f aca="false">IF($J255="","",$J255+$K255)</f>
        <v>1929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54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IF($T256="","",1+COUNTIF($W$15:$W$895,"&lt;"&amp;W256))</f>
        <v/>
      </c>
      <c r="B256" s="16" t="s">
        <v>14</v>
      </c>
      <c r="C256" s="16" t="s">
        <v>98</v>
      </c>
      <c r="D256" s="16" t="s">
        <v>58</v>
      </c>
      <c r="E256" s="16" t="s">
        <v>26</v>
      </c>
      <c r="F256" s="16" t="s">
        <v>99</v>
      </c>
      <c r="G256" s="17">
        <v>1908</v>
      </c>
      <c r="H256" s="17"/>
      <c r="I256" s="17"/>
      <c r="J256" s="17">
        <v>1898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1908</v>
      </c>
      <c r="M256" s="17">
        <f aca="false">IF($H256="","",$H256+$K256)</f>
        <v/>
      </c>
      <c r="N256" s="17">
        <f aca="false">IF($J256="","",$J256+$K256)</f>
        <v>1898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54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22" collapsed="false" customFormat="true" customHeight="true" hidden="false" ht="28.5" outlineLevel="0">
      <c r="A257" s="16">
        <f aca="false">IF($T257="","",1+COUNTIF($W$15:$W$895,"&lt;"&amp;W257))</f>
        <v/>
      </c>
      <c r="B257" s="16" t="s">
        <v>18</v>
      </c>
      <c r="C257" s="16" t="s">
        <v>1127</v>
      </c>
      <c r="D257" s="21" t="s">
        <v>81</v>
      </c>
      <c r="E257" s="16" t="s">
        <v>62</v>
      </c>
      <c r="F257" s="16" t="s">
        <v>1128</v>
      </c>
      <c r="G257" s="17">
        <v>1998</v>
      </c>
      <c r="H257" s="17"/>
      <c r="I257" s="17"/>
      <c r="J257" s="17">
        <v>1958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1998</v>
      </c>
      <c r="M257" s="17">
        <f aca="false">IF($H257="","",$H257+$K257)</f>
        <v/>
      </c>
      <c r="N257" s="17">
        <f aca="false">IF($J257="","",$J257+$K257)</f>
        <v>1958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54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IF($T258="","",1+COUNTIF($W$15:$W$895,"&lt;"&amp;W258))</f>
        <v/>
      </c>
      <c r="B258" s="16" t="s">
        <v>6</v>
      </c>
      <c r="C258" s="16" t="s">
        <v>429</v>
      </c>
      <c r="D258" s="21" t="s">
        <v>81</v>
      </c>
      <c r="E258" s="16" t="s">
        <v>26</v>
      </c>
      <c r="F258" s="16" t="s">
        <v>430</v>
      </c>
      <c r="G258" s="17">
        <v>1887</v>
      </c>
      <c r="H258" s="17"/>
      <c r="I258" s="17"/>
      <c r="J258" s="17">
        <v>1877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1887</v>
      </c>
      <c r="M258" s="17">
        <f aca="false">IF($H258="","",$H258+$K258)</f>
        <v/>
      </c>
      <c r="N258" s="17">
        <f aca="false">IF($J258="","",$J258+$K258)</f>
        <v>1877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54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6" collapsed="false" customFormat="true" customHeight="true" hidden="false" ht="28.5" outlineLevel="0">
      <c r="A259" s="16">
        <f aca="false">IF($T259="","",1+COUNTIF($W$15:$W$895,"&lt;"&amp;W259))</f>
        <v/>
      </c>
      <c r="B259" s="16" t="s">
        <v>6</v>
      </c>
      <c r="C259" s="16" t="s">
        <v>1170</v>
      </c>
      <c r="D259" s="21" t="s">
        <v>81</v>
      </c>
      <c r="E259" s="16" t="s">
        <v>26</v>
      </c>
      <c r="F259" s="16" t="s">
        <v>1171</v>
      </c>
      <c r="G259" s="17">
        <v>1887</v>
      </c>
      <c r="H259" s="17"/>
      <c r="I259" s="17"/>
      <c r="J259" s="17">
        <v>1879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1887</v>
      </c>
      <c r="M259" s="17">
        <f aca="false">IF($H259="","",$H259+$K259)</f>
        <v/>
      </c>
      <c r="N259" s="17">
        <f aca="false">IF($J259="","",$J259+$K259)</f>
        <v>1879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54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C259" s="3"/>
    </row>
    <row r="260" s="22" collapsed="false" customFormat="true" customHeight="true" hidden="false" ht="28.5" outlineLevel="0">
      <c r="A260" s="16">
        <f aca="false">IF($T260="","",1+COUNTIF($W$15:$W$895,"&lt;"&amp;W260))</f>
        <v/>
      </c>
      <c r="B260" s="16" t="s">
        <v>6</v>
      </c>
      <c r="C260" s="16" t="s">
        <v>1725</v>
      </c>
      <c r="D260" s="16" t="s">
        <v>45</v>
      </c>
      <c r="E260" s="16" t="s">
        <v>26</v>
      </c>
      <c r="F260" s="16" t="s">
        <v>1726</v>
      </c>
      <c r="G260" s="17">
        <v>1887</v>
      </c>
      <c r="H260" s="17"/>
      <c r="I260" s="17"/>
      <c r="J260" s="17">
        <v>1887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1887</v>
      </c>
      <c r="M260" s="17">
        <f aca="false">IF($H260="","",$H260+$K260)</f>
        <v/>
      </c>
      <c r="N260" s="17">
        <f aca="false">IF($J260="","",$J260+$K260)</f>
        <v>1887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54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IF($T261="","",1+COUNTIF($W$15:$W$895,"&lt;"&amp;W261))</f>
        <v/>
      </c>
      <c r="B261" s="16" t="s">
        <v>18</v>
      </c>
      <c r="C261" s="16" t="s">
        <v>544</v>
      </c>
      <c r="D261" s="16" t="s">
        <v>58</v>
      </c>
      <c r="E261" s="16" t="s">
        <v>62</v>
      </c>
      <c r="F261" s="16" t="s">
        <v>545</v>
      </c>
      <c r="G261" s="17">
        <v>1999</v>
      </c>
      <c r="H261" s="17"/>
      <c r="I261" s="17"/>
      <c r="J261" s="17">
        <v>1999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1999</v>
      </c>
      <c r="M261" s="17">
        <f aca="false">IF($H261="","",$H261+$K261)</f>
        <v/>
      </c>
      <c r="N261" s="17">
        <f aca="false">IF($J261="","",$J261+$K261)</f>
        <v>1999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54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6" collapsed="false" customFormat="true" customHeight="true" hidden="false" ht="28.5" outlineLevel="0">
      <c r="A262" s="16">
        <f aca="false">IF($T262="","",1+COUNTIF($W$15:$W$895,"&lt;"&amp;W262))</f>
        <v/>
      </c>
      <c r="B262" s="16" t="s">
        <v>18</v>
      </c>
      <c r="C262" s="16" t="s">
        <v>1148</v>
      </c>
      <c r="D262" s="16" t="s">
        <v>58</v>
      </c>
      <c r="E262" s="16" t="s">
        <v>62</v>
      </c>
      <c r="F262" s="16" t="s">
        <v>1149</v>
      </c>
      <c r="G262" s="17">
        <v>1999</v>
      </c>
      <c r="H262" s="17"/>
      <c r="I262" s="17"/>
      <c r="J262" s="17">
        <v>1999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1999</v>
      </c>
      <c r="M262" s="17">
        <f aca="false">IF($H262="","",$H262+$K262)</f>
        <v/>
      </c>
      <c r="N262" s="17">
        <f aca="false">IF($J262="","",$J262+$K262)</f>
        <v>1999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54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C262" s="3"/>
    </row>
    <row r="263" s="6" collapsed="false" customFormat="true" customHeight="true" hidden="false" ht="28.5" outlineLevel="0">
      <c r="A263" s="16">
        <f aca="false">IF($T263="","",1+COUNTIF($W$15:$W$895,"&lt;"&amp;W263))</f>
        <v/>
      </c>
      <c r="B263" s="16" t="s">
        <v>18</v>
      </c>
      <c r="C263" s="16" t="s">
        <v>1741</v>
      </c>
      <c r="D263" s="16" t="s">
        <v>58</v>
      </c>
      <c r="E263" s="16" t="s">
        <v>62</v>
      </c>
      <c r="F263" s="16" t="s">
        <v>1742</v>
      </c>
      <c r="G263" s="17">
        <v>1999</v>
      </c>
      <c r="H263" s="17"/>
      <c r="I263" s="17"/>
      <c r="J263" s="17">
        <v>1999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1999</v>
      </c>
      <c r="M263" s="17">
        <f aca="false">IF($H263="","",$H263+$K263)</f>
        <v/>
      </c>
      <c r="N263" s="17">
        <f aca="false">IF($J263="","",$J263+$K263)</f>
        <v>1999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54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C263" s="3"/>
    </row>
    <row r="264" s="5" collapsed="false" customFormat="true" customHeight="true" hidden="false" ht="28.5" outlineLevel="0">
      <c r="A264" s="16">
        <f aca="false">IF($T264="","",1+COUNTIF($W$15:$W$895,"&lt;"&amp;W264))</f>
        <v/>
      </c>
      <c r="B264" s="16" t="s">
        <v>6</v>
      </c>
      <c r="C264" s="16" t="s">
        <v>71</v>
      </c>
      <c r="D264" s="16" t="s">
        <v>72</v>
      </c>
      <c r="E264" s="16" t="s">
        <v>26</v>
      </c>
      <c r="F264" s="16" t="s">
        <v>73</v>
      </c>
      <c r="G264" s="17">
        <v>1888</v>
      </c>
      <c r="H264" s="17"/>
      <c r="I264" s="17"/>
      <c r="J264" s="17">
        <v>1888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1888</v>
      </c>
      <c r="M264" s="17">
        <f aca="false">IF($H264="","",$H264+$K264)</f>
        <v/>
      </c>
      <c r="N264" s="17">
        <f aca="false">IF($J264="","",$J264+$K264)</f>
        <v>1888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54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IF($T265="","",1+COUNTIF($W$15:$W$895,"&lt;"&amp;W265))</f>
        <v/>
      </c>
      <c r="B265" s="16" t="s">
        <v>6</v>
      </c>
      <c r="C265" s="16" t="s">
        <v>900</v>
      </c>
      <c r="D265" s="21" t="s">
        <v>81</v>
      </c>
      <c r="E265" s="16" t="s">
        <v>26</v>
      </c>
      <c r="F265" s="16" t="s">
        <v>901</v>
      </c>
      <c r="G265" s="17">
        <v>1889</v>
      </c>
      <c r="H265" s="17"/>
      <c r="I265" s="17"/>
      <c r="J265" s="17">
        <v>1879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1889</v>
      </c>
      <c r="M265" s="17">
        <f aca="false">IF($H265="","",$H265+$K265)</f>
        <v/>
      </c>
      <c r="N265" s="17">
        <f aca="false">IF($J265="","",$J265+$K265)</f>
        <v>1879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54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IF($T266="","",1+COUNTIF($W$15:$W$895,"&lt;"&amp;W266))</f>
        <v/>
      </c>
      <c r="B266" s="16" t="s">
        <v>6</v>
      </c>
      <c r="C266" s="16" t="s">
        <v>1111</v>
      </c>
      <c r="D266" s="16" t="s">
        <v>48</v>
      </c>
      <c r="E266" s="16" t="s">
        <v>26</v>
      </c>
      <c r="F266" s="16" t="s">
        <v>1112</v>
      </c>
      <c r="G266" s="17">
        <v>1889</v>
      </c>
      <c r="H266" s="17"/>
      <c r="I266" s="17"/>
      <c r="J266" s="17">
        <v>1879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1889</v>
      </c>
      <c r="M266" s="17">
        <f aca="false">IF($H266="","",$H266+$K266)</f>
        <v/>
      </c>
      <c r="N266" s="17">
        <f aca="false">IF($J266="","",$J266+$K266)</f>
        <v>1879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54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IF($T267="","",1+COUNTIF($W$15:$W$895,"&lt;"&amp;W267))</f>
        <v/>
      </c>
      <c r="B267" s="16" t="s">
        <v>10</v>
      </c>
      <c r="C267" s="16" t="s">
        <v>943</v>
      </c>
      <c r="D267" s="16" t="s">
        <v>45</v>
      </c>
      <c r="E267" s="16" t="s">
        <v>62</v>
      </c>
      <c r="F267" s="16" t="s">
        <v>944</v>
      </c>
      <c r="G267" s="17">
        <v>1889</v>
      </c>
      <c r="H267" s="17"/>
      <c r="I267" s="17"/>
      <c r="J267" s="17">
        <v>1879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1889</v>
      </c>
      <c r="M267" s="17">
        <f aca="false">IF($H267="","",$H267+$K267)</f>
        <v/>
      </c>
      <c r="N267" s="17">
        <f aca="false">IF($J267="","",$J267+$K267)</f>
        <v>1879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54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IF($T268="","",1+COUNTIF($W$15:$W$895,"&lt;"&amp;W268))</f>
        <v/>
      </c>
      <c r="B268" s="16" t="s">
        <v>6</v>
      </c>
      <c r="C268" s="16" t="s">
        <v>142</v>
      </c>
      <c r="D268" s="16" t="s">
        <v>45</v>
      </c>
      <c r="E268" s="16" t="s">
        <v>62</v>
      </c>
      <c r="F268" s="16" t="s">
        <v>143</v>
      </c>
      <c r="G268" s="17">
        <v>1889</v>
      </c>
      <c r="H268" s="17"/>
      <c r="I268" s="17"/>
      <c r="J268" s="17">
        <v>1889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1889</v>
      </c>
      <c r="M268" s="17">
        <f aca="false">IF($H268="","",$H268+$K268)</f>
        <v/>
      </c>
      <c r="N268" s="17">
        <f aca="false">IF($J268="","",$J268+$K268)</f>
        <v>1889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54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6" collapsed="false" customFormat="true" customHeight="true" hidden="false" ht="28.5" outlineLevel="0">
      <c r="A269" s="16">
        <f aca="false">IF($T269="","",1+COUNTIF($W$15:$W$895,"&lt;"&amp;W269))</f>
        <v/>
      </c>
      <c r="B269" s="16" t="s">
        <v>6</v>
      </c>
      <c r="C269" s="16" t="s">
        <v>1162</v>
      </c>
      <c r="D269" s="16" t="s">
        <v>61</v>
      </c>
      <c r="E269" s="16" t="s">
        <v>26</v>
      </c>
      <c r="F269" s="16" t="s">
        <v>1163</v>
      </c>
      <c r="G269" s="17">
        <v>1889</v>
      </c>
      <c r="H269" s="17"/>
      <c r="I269" s="17"/>
      <c r="J269" s="17">
        <v>1889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1889</v>
      </c>
      <c r="M269" s="17">
        <f aca="false">IF($H269="","",$H269+$K269)</f>
        <v/>
      </c>
      <c r="N269" s="17">
        <f aca="false">IF($J269="","",$J269+$K269)</f>
        <v>1889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54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C269" s="3"/>
    </row>
    <row r="270" s="22" collapsed="false" customFormat="true" customHeight="true" hidden="false" ht="28.5" outlineLevel="0">
      <c r="A270" s="16">
        <f aca="false">IF($T270="","",1+COUNTIF($W$15:$W$895,"&lt;"&amp;W270))</f>
        <v/>
      </c>
      <c r="B270" s="16" t="s">
        <v>12</v>
      </c>
      <c r="C270" s="16" t="s">
        <v>1349</v>
      </c>
      <c r="D270" s="21" t="s">
        <v>81</v>
      </c>
      <c r="E270" s="16" t="s">
        <v>26</v>
      </c>
      <c r="F270" s="16" t="s">
        <v>1350</v>
      </c>
      <c r="G270" s="17">
        <v>1889</v>
      </c>
      <c r="H270" s="17"/>
      <c r="I270" s="17"/>
      <c r="J270" s="17">
        <v>1899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1889</v>
      </c>
      <c r="M270" s="17">
        <f aca="false">IF($H270="","",$H270+$K270)</f>
        <v/>
      </c>
      <c r="N270" s="17">
        <f aca="false">IF($J270="","",$J270+$K270)</f>
        <v>1899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54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IF($T271="","",1+COUNTIF($W$15:$W$895,"&lt;"&amp;W271))</f>
        <v/>
      </c>
      <c r="B271" s="16" t="s">
        <v>6</v>
      </c>
      <c r="C271" s="16" t="s">
        <v>647</v>
      </c>
      <c r="D271" s="16" t="s">
        <v>45</v>
      </c>
      <c r="E271" s="16" t="s">
        <v>26</v>
      </c>
      <c r="F271" s="16" t="s">
        <v>648</v>
      </c>
      <c r="G271" s="17">
        <v>1892</v>
      </c>
      <c r="H271" s="17"/>
      <c r="I271" s="17"/>
      <c r="J271" s="17">
        <v>1885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1892</v>
      </c>
      <c r="M271" s="17">
        <f aca="false">IF($H271="","",$H271+$K271)</f>
        <v/>
      </c>
      <c r="N271" s="17">
        <f aca="false">IF($J271="","",$J271+$K271)</f>
        <v>1885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54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IF($T272="","",1+COUNTIF($W$15:$W$895,"&lt;"&amp;W272))</f>
        <v/>
      </c>
      <c r="B272" s="16" t="s">
        <v>6</v>
      </c>
      <c r="C272" s="16" t="s">
        <v>394</v>
      </c>
      <c r="D272" s="16" t="s">
        <v>58</v>
      </c>
      <c r="E272" s="16" t="s">
        <v>26</v>
      </c>
      <c r="F272" s="16" t="s">
        <v>395</v>
      </c>
      <c r="G272" s="17">
        <v>1893</v>
      </c>
      <c r="H272" s="17"/>
      <c r="I272" s="17"/>
      <c r="J272" s="17">
        <v>1885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1893</v>
      </c>
      <c r="M272" s="17">
        <f aca="false">IF($H272="","",$H272+$K272)</f>
        <v/>
      </c>
      <c r="N272" s="17">
        <f aca="false">IF($J272="","",$J272+$K272)</f>
        <v>1885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54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IF($T273="","",1+COUNTIF($W$15:$W$895,"&lt;"&amp;W273))</f>
        <v/>
      </c>
      <c r="B273" s="16" t="s">
        <v>12</v>
      </c>
      <c r="C273" s="16" t="s">
        <v>840</v>
      </c>
      <c r="D273" s="20" t="s">
        <v>45</v>
      </c>
      <c r="E273" s="16" t="s">
        <v>26</v>
      </c>
      <c r="F273" s="16" t="s">
        <v>841</v>
      </c>
      <c r="G273" s="17">
        <v>1894</v>
      </c>
      <c r="H273" s="17"/>
      <c r="I273" s="17"/>
      <c r="J273" s="17">
        <v>1884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1894</v>
      </c>
      <c r="M273" s="17">
        <f aca="false">IF($H273="","",$H273+$K273)</f>
        <v/>
      </c>
      <c r="N273" s="17">
        <f aca="false">IF($J273="","",$J273+$K273)</f>
        <v>1884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54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IF($T274="","",1+COUNTIF($W$15:$W$895,"&lt;"&amp;W274))</f>
        <v/>
      </c>
      <c r="B274" s="16" t="s">
        <v>6</v>
      </c>
      <c r="C274" s="16" t="s">
        <v>987</v>
      </c>
      <c r="D274" s="16" t="s">
        <v>61</v>
      </c>
      <c r="E274" s="16" t="s">
        <v>26</v>
      </c>
      <c r="F274" s="16" t="s">
        <v>988</v>
      </c>
      <c r="G274" s="17">
        <v>1894</v>
      </c>
      <c r="H274" s="17"/>
      <c r="I274" s="17"/>
      <c r="J274" s="17">
        <v>1887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1894</v>
      </c>
      <c r="M274" s="17">
        <f aca="false">IF($H274="","",$H274+$K274)</f>
        <v/>
      </c>
      <c r="N274" s="17">
        <f aca="false">IF($J274="","",$J274+$K274)</f>
        <v>1887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54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IF($T275="","",1+COUNTIF($W$15:$W$895,"&lt;"&amp;W275))</f>
        <v/>
      </c>
      <c r="B275" s="16" t="s">
        <v>6</v>
      </c>
      <c r="C275" s="16" t="s">
        <v>1620</v>
      </c>
      <c r="D275" s="16" t="s">
        <v>58</v>
      </c>
      <c r="E275" s="16" t="s">
        <v>26</v>
      </c>
      <c r="F275" s="16" t="s">
        <v>1622</v>
      </c>
      <c r="G275" s="17">
        <v>1894</v>
      </c>
      <c r="H275" s="17"/>
      <c r="I275" s="17"/>
      <c r="J275" s="17">
        <v>1899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1894</v>
      </c>
      <c r="M275" s="17">
        <f aca="false">IF($H275="","",$H275+$K275)</f>
        <v/>
      </c>
      <c r="N275" s="17">
        <f aca="false">IF($J275="","",$J275+$K275)</f>
        <v>1899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54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5" collapsed="false" customFormat="true" customHeight="true" hidden="false" ht="28.5" outlineLevel="0">
      <c r="A276" s="16">
        <f aca="false">IF($T276="","",1+COUNTIF($W$15:$W$895,"&lt;"&amp;W276))</f>
        <v/>
      </c>
      <c r="B276" s="16" t="s">
        <v>10</v>
      </c>
      <c r="C276" s="16" t="s">
        <v>444</v>
      </c>
      <c r="D276" s="21" t="s">
        <v>81</v>
      </c>
      <c r="E276" s="16" t="s">
        <v>26</v>
      </c>
      <c r="F276" s="16" t="s">
        <v>445</v>
      </c>
      <c r="G276" s="17">
        <v>1895</v>
      </c>
      <c r="H276" s="17"/>
      <c r="I276" s="17"/>
      <c r="J276" s="17">
        <v>1825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1895</v>
      </c>
      <c r="M276" s="17">
        <f aca="false">IF($H276="","",$H276+$K276)</f>
        <v/>
      </c>
      <c r="N276" s="17">
        <f aca="false">IF($J276="","",$J276+$K276)</f>
        <v>1825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54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22" collapsed="false" customFormat="true" customHeight="true" hidden="false" ht="28.5" outlineLevel="0">
      <c r="A277" s="16">
        <f aca="false">IF($T277="","",1+COUNTIF($W$15:$W$895,"&lt;"&amp;W277))</f>
        <v/>
      </c>
      <c r="B277" s="16" t="s">
        <v>6</v>
      </c>
      <c r="C277" s="16" t="s">
        <v>1444</v>
      </c>
      <c r="D277" s="21" t="s">
        <v>81</v>
      </c>
      <c r="E277" s="16" t="s">
        <v>26</v>
      </c>
      <c r="F277" s="16" t="s">
        <v>1445</v>
      </c>
      <c r="G277" s="17">
        <v>1895</v>
      </c>
      <c r="H277" s="17"/>
      <c r="I277" s="17"/>
      <c r="J277" s="17">
        <v>1855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1895</v>
      </c>
      <c r="M277" s="17">
        <f aca="false">IF($H277="","",$H277+$K277)</f>
        <v/>
      </c>
      <c r="N277" s="17">
        <f aca="false">IF($J277="","",$J277+$K277)</f>
        <v>1855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54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IF($T278="","",1+COUNTIF($W$15:$W$895,"&lt;"&amp;W278))</f>
        <v/>
      </c>
      <c r="B278" s="16" t="s">
        <v>6</v>
      </c>
      <c r="C278" s="16" t="s">
        <v>961</v>
      </c>
      <c r="D278" s="21" t="s">
        <v>81</v>
      </c>
      <c r="E278" s="16" t="s">
        <v>26</v>
      </c>
      <c r="F278" s="16" t="s">
        <v>962</v>
      </c>
      <c r="G278" s="17">
        <v>1895</v>
      </c>
      <c r="H278" s="17"/>
      <c r="I278" s="17"/>
      <c r="J278" s="17">
        <v>1885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1895</v>
      </c>
      <c r="M278" s="17">
        <f aca="false">IF($H278="","",$H278+$K278)</f>
        <v/>
      </c>
      <c r="N278" s="17">
        <f aca="false">IF($J278="","",$J278+$K278)</f>
        <v>1885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54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IF($T279="","",1+COUNTIF($W$15:$W$895,"&lt;"&amp;W279))</f>
        <v/>
      </c>
      <c r="B279" s="16" t="s">
        <v>6</v>
      </c>
      <c r="C279" s="16" t="s">
        <v>93</v>
      </c>
      <c r="D279" s="21" t="s">
        <v>81</v>
      </c>
      <c r="E279" s="16" t="s">
        <v>26</v>
      </c>
      <c r="F279" s="16" t="s">
        <v>94</v>
      </c>
      <c r="G279" s="17">
        <v>1895</v>
      </c>
      <c r="H279" s="17"/>
      <c r="I279" s="17"/>
      <c r="J279" s="17">
        <v>1895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1895</v>
      </c>
      <c r="M279" s="17">
        <f aca="false">IF($H279="","",$H279+$K279)</f>
        <v/>
      </c>
      <c r="N279" s="17">
        <f aca="false">IF($J279="","",$J279+$K279)</f>
        <v>1895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54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6" collapsed="false" customFormat="true" customHeight="true" hidden="false" ht="28.5" outlineLevel="0">
      <c r="A280" s="16">
        <f aca="false">IF($T280="","",1+COUNTIF($W$15:$W$895,"&lt;"&amp;W280))</f>
        <v/>
      </c>
      <c r="B280" s="16" t="s">
        <v>6</v>
      </c>
      <c r="C280" s="16" t="s">
        <v>470</v>
      </c>
      <c r="D280" s="16" t="s">
        <v>45</v>
      </c>
      <c r="E280" s="16" t="s">
        <v>26</v>
      </c>
      <c r="F280" s="16" t="s">
        <v>471</v>
      </c>
      <c r="G280" s="17">
        <v>1895</v>
      </c>
      <c r="H280" s="17"/>
      <c r="I280" s="17"/>
      <c r="J280" s="17">
        <v>1895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1895</v>
      </c>
      <c r="M280" s="17">
        <f aca="false">IF($H280="","",$H280+$K280)</f>
        <v/>
      </c>
      <c r="N280" s="17">
        <f aca="false">IF($J280="","",$J280+$K280)</f>
        <v>1895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54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C280" s="3"/>
    </row>
    <row r="281" s="5" collapsed="false" customFormat="true" customHeight="true" hidden="false" ht="28.5" outlineLevel="0">
      <c r="A281" s="16">
        <f aca="false">IF($T281="","",1+COUNTIF($W$15:$W$895,"&lt;"&amp;W281))</f>
        <v/>
      </c>
      <c r="B281" s="16" t="s">
        <v>6</v>
      </c>
      <c r="C281" s="16" t="s">
        <v>570</v>
      </c>
      <c r="D281" s="16" t="s">
        <v>45</v>
      </c>
      <c r="E281" s="16" t="s">
        <v>62</v>
      </c>
      <c r="F281" s="16" t="s">
        <v>571</v>
      </c>
      <c r="G281" s="17">
        <v>1895</v>
      </c>
      <c r="H281" s="17"/>
      <c r="I281" s="17"/>
      <c r="J281" s="17">
        <v>1895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1895</v>
      </c>
      <c r="M281" s="17">
        <f aca="false">IF($H281="","",$H281+$K281)</f>
        <v/>
      </c>
      <c r="N281" s="17">
        <f aca="false">IF($J281="","",$J281+$K281)</f>
        <v>1895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54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IF($T282="","",1+COUNTIF($W$15:$W$895,"&lt;"&amp;W282))</f>
        <v/>
      </c>
      <c r="B282" s="16" t="s">
        <v>6</v>
      </c>
      <c r="C282" s="16" t="s">
        <v>654</v>
      </c>
      <c r="D282" s="16" t="s">
        <v>58</v>
      </c>
      <c r="E282" s="16" t="s">
        <v>26</v>
      </c>
      <c r="F282" s="16" t="s">
        <v>655</v>
      </c>
      <c r="G282" s="17">
        <v>1895</v>
      </c>
      <c r="H282" s="17"/>
      <c r="I282" s="17"/>
      <c r="J282" s="17">
        <v>1895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1895</v>
      </c>
      <c r="M282" s="17">
        <f aca="false">IF($H282="","",$H282+$K282)</f>
        <v/>
      </c>
      <c r="N282" s="17">
        <f aca="false">IF($J282="","",$J282+$K282)</f>
        <v>1895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54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IF($T283="","",1+COUNTIF($W$15:$W$895,"&lt;"&amp;W283))</f>
        <v/>
      </c>
      <c r="B283" s="16" t="s">
        <v>6</v>
      </c>
      <c r="C283" s="16" t="s">
        <v>991</v>
      </c>
      <c r="D283" s="16" t="s">
        <v>45</v>
      </c>
      <c r="E283" s="16" t="s">
        <v>26</v>
      </c>
      <c r="F283" s="16" t="s">
        <v>992</v>
      </c>
      <c r="G283" s="17">
        <v>1895</v>
      </c>
      <c r="H283" s="17"/>
      <c r="I283" s="17"/>
      <c r="J283" s="17">
        <v>1895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1895</v>
      </c>
      <c r="M283" s="17">
        <f aca="false">IF($H283="","",$H283+$K283)</f>
        <v/>
      </c>
      <c r="N283" s="17">
        <f aca="false">IF($J283="","",$J283+$K283)</f>
        <v>1895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54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22" collapsed="false" customFormat="true" customHeight="true" hidden="false" ht="28.5" outlineLevel="0">
      <c r="A284" s="16">
        <f aca="false">IF($T284="","",1+COUNTIF($W$15:$W$895,"&lt;"&amp;W284))</f>
        <v/>
      </c>
      <c r="B284" s="16" t="s">
        <v>6</v>
      </c>
      <c r="C284" s="16" t="s">
        <v>1295</v>
      </c>
      <c r="D284" s="21" t="s">
        <v>81</v>
      </c>
      <c r="E284" s="16" t="s">
        <v>26</v>
      </c>
      <c r="F284" s="16" t="s">
        <v>1296</v>
      </c>
      <c r="G284" s="17">
        <v>1895</v>
      </c>
      <c r="H284" s="17"/>
      <c r="I284" s="17"/>
      <c r="J284" s="17">
        <v>1895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1895</v>
      </c>
      <c r="M284" s="17">
        <f aca="false">IF($H284="","",$H284+$K284)</f>
        <v/>
      </c>
      <c r="N284" s="17">
        <f aca="false">IF($J284="","",$J284+$K284)</f>
        <v>1895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54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IF($T285="","",1+COUNTIF($W$15:$W$895,"&lt;"&amp;W285))</f>
        <v/>
      </c>
      <c r="B285" s="16" t="s">
        <v>6</v>
      </c>
      <c r="C285" s="16" t="s">
        <v>1422</v>
      </c>
      <c r="D285" s="16" t="s">
        <v>61</v>
      </c>
      <c r="E285" s="16" t="s">
        <v>26</v>
      </c>
      <c r="F285" s="16" t="s">
        <v>1423</v>
      </c>
      <c r="G285" s="17">
        <v>1895</v>
      </c>
      <c r="H285" s="17"/>
      <c r="I285" s="17"/>
      <c r="J285" s="17">
        <v>1895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1895</v>
      </c>
      <c r="M285" s="17">
        <f aca="false">IF($H285="","",$H285+$K285)</f>
        <v/>
      </c>
      <c r="N285" s="17">
        <f aca="false">IF($J285="","",$J285+$K285)</f>
        <v>1895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54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C285" s="3"/>
    </row>
    <row r="286" s="5" collapsed="false" customFormat="true" customHeight="true" hidden="false" ht="28.5" outlineLevel="0">
      <c r="A286" s="16">
        <f aca="false">IF($T286="","",1+COUNTIF($W$15:$W$895,"&lt;"&amp;W286))</f>
        <v/>
      </c>
      <c r="B286" s="16" t="s">
        <v>6</v>
      </c>
      <c r="C286" s="16" t="s">
        <v>744</v>
      </c>
      <c r="D286" s="21" t="s">
        <v>81</v>
      </c>
      <c r="E286" s="16" t="s">
        <v>26</v>
      </c>
      <c r="F286" s="16" t="s">
        <v>745</v>
      </c>
      <c r="G286" s="17">
        <v>1895</v>
      </c>
      <c r="H286" s="17"/>
      <c r="I286" s="17"/>
      <c r="J286" s="17">
        <v>1896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1895</v>
      </c>
      <c r="M286" s="17">
        <f aca="false">IF($H286="","",$H286+$K286)</f>
        <v/>
      </c>
      <c r="N286" s="17">
        <f aca="false">IF($J286="","",$J286+$K286)</f>
        <v>1896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54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IF($T287="","",1+COUNTIF($W$15:$W$895,"&lt;"&amp;W287))</f>
        <v/>
      </c>
      <c r="B287" s="16" t="s">
        <v>6</v>
      </c>
      <c r="C287" s="16" t="s">
        <v>567</v>
      </c>
      <c r="D287" s="16" t="s">
        <v>45</v>
      </c>
      <c r="E287" s="16" t="s">
        <v>26</v>
      </c>
      <c r="F287" s="16" t="s">
        <v>569</v>
      </c>
      <c r="G287" s="17">
        <v>1895</v>
      </c>
      <c r="H287" s="17"/>
      <c r="I287" s="17"/>
      <c r="J287" s="17">
        <v>1898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1895</v>
      </c>
      <c r="M287" s="17">
        <f aca="false">IF($H287="","",$H287+$K287)</f>
        <v/>
      </c>
      <c r="N287" s="17">
        <f aca="false">IF($J287="","",$J287+$K287)</f>
        <v>1898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54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IF($T288="","",1+COUNTIF($W$15:$W$895,"&lt;"&amp;W288))</f>
        <v/>
      </c>
      <c r="B288" s="16" t="s">
        <v>6</v>
      </c>
      <c r="C288" s="16" t="s">
        <v>588</v>
      </c>
      <c r="D288" s="16" t="s">
        <v>45</v>
      </c>
      <c r="E288" s="16" t="s">
        <v>26</v>
      </c>
      <c r="F288" s="16" t="s">
        <v>590</v>
      </c>
      <c r="G288" s="17">
        <v>1895</v>
      </c>
      <c r="H288" s="17"/>
      <c r="I288" s="17"/>
      <c r="J288" s="17">
        <v>1898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1895</v>
      </c>
      <c r="M288" s="17">
        <f aca="false">IF($H288="","",$H288+$K288)</f>
        <v/>
      </c>
      <c r="N288" s="17">
        <f aca="false">IF($J288="","",$J288+$K288)</f>
        <v>1898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54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IF($T289="","",1+COUNTIF($W$15:$W$895,"&lt;"&amp;W289))</f>
        <v/>
      </c>
      <c r="B289" s="16" t="s">
        <v>8</v>
      </c>
      <c r="C289" s="16" t="s">
        <v>1771</v>
      </c>
      <c r="D289" s="16" t="s">
        <v>61</v>
      </c>
      <c r="E289" s="16" t="s">
        <v>26</v>
      </c>
      <c r="F289" s="16" t="s">
        <v>1772</v>
      </c>
      <c r="G289" s="17">
        <v>1895</v>
      </c>
      <c r="H289" s="17"/>
      <c r="I289" s="17"/>
      <c r="J289" s="17">
        <v>1925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1895</v>
      </c>
      <c r="M289" s="17">
        <f aca="false">IF($H289="","",$H289+$K289)</f>
        <v/>
      </c>
      <c r="N289" s="17">
        <f aca="false">IF($J289="","",$J289+$K289)</f>
        <v>1925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54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IF($T290="","",1+COUNTIF($W$15:$W$895,"&lt;"&amp;W290))</f>
        <v/>
      </c>
      <c r="B290" s="16" t="s">
        <v>6</v>
      </c>
      <c r="C290" s="16" t="s">
        <v>615</v>
      </c>
      <c r="D290" s="16" t="s">
        <v>58</v>
      </c>
      <c r="E290" s="16" t="s">
        <v>26</v>
      </c>
      <c r="F290" s="16" t="s">
        <v>616</v>
      </c>
      <c r="G290" s="17">
        <v>1895</v>
      </c>
      <c r="H290" s="17"/>
      <c r="I290" s="17"/>
      <c r="J290" s="17">
        <v>1935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1895</v>
      </c>
      <c r="M290" s="17">
        <f aca="false">IF($H290="","",$H290+$K290)</f>
        <v/>
      </c>
      <c r="N290" s="17">
        <f aca="false">IF($J290="","",$J290+$K290)</f>
        <v>1935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54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IF($T291="","",1+COUNTIF($W$15:$W$895,"&lt;"&amp;W291))</f>
        <v/>
      </c>
      <c r="B291" s="16" t="s">
        <v>6</v>
      </c>
      <c r="C291" s="16" t="s">
        <v>697</v>
      </c>
      <c r="D291" s="21" t="s">
        <v>81</v>
      </c>
      <c r="E291" s="16" t="s">
        <v>26</v>
      </c>
      <c r="F291" s="16" t="s">
        <v>698</v>
      </c>
      <c r="G291" s="17">
        <v>1896</v>
      </c>
      <c r="H291" s="17"/>
      <c r="I291" s="17"/>
      <c r="J291" s="17">
        <v>1996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1896</v>
      </c>
      <c r="M291" s="17">
        <f aca="false">IF($H291="","",$H291+$K291)</f>
        <v/>
      </c>
      <c r="N291" s="17">
        <f aca="false">IF($J291="","",$J291+$K291)</f>
        <v>1996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54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6" collapsed="false" customFormat="true" customHeight="true" hidden="false" ht="28.5" outlineLevel="0">
      <c r="A292" s="16">
        <f aca="false">IF($T292="","",1+COUNTIF($W$15:$W$895,"&lt;"&amp;W292))</f>
        <v/>
      </c>
      <c r="B292" s="16" t="s">
        <v>6</v>
      </c>
      <c r="C292" s="16" t="s">
        <v>1760</v>
      </c>
      <c r="D292" s="21" t="s">
        <v>81</v>
      </c>
      <c r="E292" s="16" t="s">
        <v>26</v>
      </c>
      <c r="F292" s="16" t="s">
        <v>1761</v>
      </c>
      <c r="G292" s="17">
        <v>1897</v>
      </c>
      <c r="H292" s="17"/>
      <c r="I292" s="17"/>
      <c r="J292" s="17">
        <v>1877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1897</v>
      </c>
      <c r="M292" s="17">
        <f aca="false">IF($H292="","",$H292+$K292)</f>
        <v/>
      </c>
      <c r="N292" s="17">
        <f aca="false">IF($J292="","",$J292+$K292)</f>
        <v>1877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54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C292" s="3"/>
    </row>
    <row r="293" s="5" collapsed="false" customFormat="true" customHeight="true" hidden="false" ht="28.5" outlineLevel="0">
      <c r="A293" s="16">
        <f aca="false">IF($T293="","",1+COUNTIF($W$15:$W$895,"&lt;"&amp;W293))</f>
        <v/>
      </c>
      <c r="B293" s="16" t="s">
        <v>12</v>
      </c>
      <c r="C293" s="16" t="s">
        <v>190</v>
      </c>
      <c r="D293" s="20" t="s">
        <v>61</v>
      </c>
      <c r="E293" s="16" t="s">
        <v>26</v>
      </c>
      <c r="F293" s="16" t="s">
        <v>191</v>
      </c>
      <c r="G293" s="17">
        <v>1897</v>
      </c>
      <c r="H293" s="17"/>
      <c r="I293" s="17"/>
      <c r="J293" s="17">
        <v>1896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1897</v>
      </c>
      <c r="M293" s="17">
        <f aca="false">IF($H293="","",$H293+$K293)</f>
        <v/>
      </c>
      <c r="N293" s="17">
        <f aca="false">IF($J293="","",$J293+$K293)</f>
        <v>1896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54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IF($T294="","",1+COUNTIF($W$15:$W$895,"&lt;"&amp;W294))</f>
        <v/>
      </c>
      <c r="B294" s="16" t="s">
        <v>10</v>
      </c>
      <c r="C294" s="16" t="s">
        <v>933</v>
      </c>
      <c r="D294" s="16" t="s">
        <v>45</v>
      </c>
      <c r="E294" s="16" t="s">
        <v>26</v>
      </c>
      <c r="F294" s="16" t="s">
        <v>934</v>
      </c>
      <c r="G294" s="17">
        <v>1897</v>
      </c>
      <c r="H294" s="17"/>
      <c r="I294" s="17"/>
      <c r="J294" s="17">
        <v>1896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1897</v>
      </c>
      <c r="M294" s="17">
        <f aca="false">IF($H294="","",$H294+$K294)</f>
        <v/>
      </c>
      <c r="N294" s="17">
        <f aca="false">IF($J294="","",$J294+$K294)</f>
        <v>1896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54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IF($T295="","",1+COUNTIF($W$15:$W$895,"&lt;"&amp;W295))</f>
        <v/>
      </c>
      <c r="B295" s="16" t="s">
        <v>6</v>
      </c>
      <c r="C295" s="16" t="s">
        <v>792</v>
      </c>
      <c r="D295" s="16" t="s">
        <v>45</v>
      </c>
      <c r="E295" s="16" t="s">
        <v>62</v>
      </c>
      <c r="F295" s="16" t="s">
        <v>793</v>
      </c>
      <c r="G295" s="17">
        <v>1897</v>
      </c>
      <c r="H295" s="17"/>
      <c r="I295" s="17"/>
      <c r="J295" s="17">
        <v>1897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1897</v>
      </c>
      <c r="M295" s="17">
        <f aca="false">IF($H295="","",$H295+$K295)</f>
        <v/>
      </c>
      <c r="N295" s="17">
        <f aca="false">IF($J295="","",$J295+$K295)</f>
        <v>1897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54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IF($T296="","",1+COUNTIF($W$15:$W$895,"&lt;"&amp;W296))</f>
        <v/>
      </c>
      <c r="B296" s="16" t="s">
        <v>6</v>
      </c>
      <c r="C296" s="16" t="s">
        <v>832</v>
      </c>
      <c r="D296" s="16" t="s">
        <v>58</v>
      </c>
      <c r="E296" s="16" t="s">
        <v>26</v>
      </c>
      <c r="F296" s="16" t="s">
        <v>833</v>
      </c>
      <c r="G296" s="17">
        <v>1897</v>
      </c>
      <c r="H296" s="17"/>
      <c r="I296" s="17"/>
      <c r="J296" s="17">
        <v>1897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1897</v>
      </c>
      <c r="M296" s="17">
        <f aca="false">IF($H296="","",$H296+$K296)</f>
        <v/>
      </c>
      <c r="N296" s="17">
        <f aca="false">IF($J296="","",$J296+$K296)</f>
        <v>1897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54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IF($T297="","",1+COUNTIF($W$15:$W$895,"&lt;"&amp;W297))</f>
        <v/>
      </c>
      <c r="B297" s="16" t="s">
        <v>10</v>
      </c>
      <c r="C297" s="16" t="s">
        <v>1620</v>
      </c>
      <c r="D297" s="16" t="s">
        <v>58</v>
      </c>
      <c r="E297" s="16" t="s">
        <v>26</v>
      </c>
      <c r="F297" s="16" t="s">
        <v>1621</v>
      </c>
      <c r="G297" s="17">
        <v>1897</v>
      </c>
      <c r="H297" s="17"/>
      <c r="I297" s="17"/>
      <c r="J297" s="17">
        <v>1918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1897</v>
      </c>
      <c r="M297" s="17">
        <f aca="false">IF($H297="","",$H297+$K297)</f>
        <v/>
      </c>
      <c r="N297" s="17">
        <f aca="false">IF($J297="","",$J297+$K297)</f>
        <v>1918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54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IF($T298="","",1+COUNTIF($W$15:$W$895,"&lt;"&amp;W298))</f>
        <v/>
      </c>
      <c r="B298" s="16" t="s">
        <v>12</v>
      </c>
      <c r="C298" s="16" t="s">
        <v>60</v>
      </c>
      <c r="D298" s="20" t="s">
        <v>61</v>
      </c>
      <c r="E298" s="16" t="s">
        <v>62</v>
      </c>
      <c r="F298" s="16" t="s">
        <v>63</v>
      </c>
      <c r="G298" s="17">
        <v>1898</v>
      </c>
      <c r="H298" s="17"/>
      <c r="I298" s="17"/>
      <c r="J298" s="17">
        <v>1897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1898</v>
      </c>
      <c r="M298" s="17">
        <f aca="false">IF($H298="","",$H298+$K298)</f>
        <v/>
      </c>
      <c r="N298" s="17">
        <f aca="false">IF($J298="","",$J298+$K298)</f>
        <v>1897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54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IF($T299="","",1+COUNTIF($W$15:$W$895,"&lt;"&amp;W299))</f>
        <v/>
      </c>
      <c r="B299" s="16" t="s">
        <v>6</v>
      </c>
      <c r="C299" s="16" t="s">
        <v>368</v>
      </c>
      <c r="D299" s="16" t="s">
        <v>45</v>
      </c>
      <c r="E299" s="16" t="s">
        <v>26</v>
      </c>
      <c r="F299" s="16" t="s">
        <v>369</v>
      </c>
      <c r="G299" s="17">
        <v>1898</v>
      </c>
      <c r="H299" s="17"/>
      <c r="I299" s="17"/>
      <c r="J299" s="17">
        <v>1898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1898</v>
      </c>
      <c r="M299" s="17">
        <f aca="false">IF($H299="","",$H299+$K299)</f>
        <v/>
      </c>
      <c r="N299" s="17">
        <f aca="false">IF($J299="","",$J299+$K299)</f>
        <v>1898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54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C299" s="3"/>
    </row>
    <row r="300" s="5" collapsed="false" customFormat="true" customHeight="true" hidden="false" ht="28.5" outlineLevel="0">
      <c r="A300" s="16">
        <f aca="false">IF($T300="","",1+COUNTIF($W$15:$W$895,"&lt;"&amp;W300))</f>
        <v/>
      </c>
      <c r="B300" s="16" t="s">
        <v>6</v>
      </c>
      <c r="C300" s="16" t="s">
        <v>402</v>
      </c>
      <c r="D300" s="16" t="s">
        <v>61</v>
      </c>
      <c r="E300" s="16" t="s">
        <v>26</v>
      </c>
      <c r="F300" s="16" t="s">
        <v>403</v>
      </c>
      <c r="G300" s="17">
        <v>1898</v>
      </c>
      <c r="H300" s="17"/>
      <c r="I300" s="17"/>
      <c r="J300" s="17">
        <v>1898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1898</v>
      </c>
      <c r="M300" s="17">
        <f aca="false">IF($H300="","",$H300+$K300)</f>
        <v/>
      </c>
      <c r="N300" s="17">
        <f aca="false">IF($J300="","",$J300+$K300)</f>
        <v>1898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54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IF($T301="","",1+COUNTIF($W$15:$W$895,"&lt;"&amp;W301))</f>
        <v/>
      </c>
      <c r="B301" s="16" t="s">
        <v>6</v>
      </c>
      <c r="C301" s="16" t="s">
        <v>116</v>
      </c>
      <c r="D301" s="16" t="s">
        <v>58</v>
      </c>
      <c r="E301" s="16" t="s">
        <v>26</v>
      </c>
      <c r="F301" s="16" t="s">
        <v>117</v>
      </c>
      <c r="G301" s="17">
        <v>1899</v>
      </c>
      <c r="H301" s="17"/>
      <c r="I301" s="17"/>
      <c r="J301" s="17">
        <v>1879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1899</v>
      </c>
      <c r="M301" s="17">
        <f aca="false">IF($H301="","",$H301+$K301)</f>
        <v/>
      </c>
      <c r="N301" s="17">
        <f aca="false">IF($J301="","",$J301+$K301)</f>
        <v>1879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54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IF($T302="","",1+COUNTIF($W$15:$W$895,"&lt;"&amp;W302))</f>
        <v/>
      </c>
      <c r="B302" s="16" t="s">
        <v>6</v>
      </c>
      <c r="C302" s="16" t="s">
        <v>737</v>
      </c>
      <c r="D302" s="16" t="s">
        <v>45</v>
      </c>
      <c r="E302" s="16" t="s">
        <v>26</v>
      </c>
      <c r="F302" s="16" t="s">
        <v>739</v>
      </c>
      <c r="G302" s="17">
        <v>1899</v>
      </c>
      <c r="H302" s="17"/>
      <c r="I302" s="17"/>
      <c r="J302" s="17">
        <v>1889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1899</v>
      </c>
      <c r="M302" s="17">
        <f aca="false">IF($H302="","",$H302+$K302)</f>
        <v/>
      </c>
      <c r="N302" s="17">
        <f aca="false">IF($J302="","",$J302+$K302)</f>
        <v>1889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54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IF($T303="","",1+COUNTIF($W$15:$W$895,"&lt;"&amp;W303))</f>
        <v/>
      </c>
      <c r="B303" s="16" t="s">
        <v>6</v>
      </c>
      <c r="C303" s="16" t="s">
        <v>560</v>
      </c>
      <c r="D303" s="21" t="s">
        <v>81</v>
      </c>
      <c r="E303" s="16" t="s">
        <v>62</v>
      </c>
      <c r="F303" s="16" t="s">
        <v>561</v>
      </c>
      <c r="G303" s="17">
        <v>1899</v>
      </c>
      <c r="H303" s="17"/>
      <c r="I303" s="17"/>
      <c r="J303" s="17">
        <v>1895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1899</v>
      </c>
      <c r="M303" s="17">
        <f aca="false">IF($H303="","",$H303+$K303)</f>
        <v/>
      </c>
      <c r="N303" s="17">
        <f aca="false">IF($J303="","",$J303+$K303)</f>
        <v>1895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54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IF($T304="","",1+COUNTIF($W$15:$W$895,"&lt;"&amp;W304))</f>
        <v/>
      </c>
      <c r="B304" s="16" t="s">
        <v>6</v>
      </c>
      <c r="C304" s="16" t="s">
        <v>658</v>
      </c>
      <c r="D304" s="21" t="s">
        <v>81</v>
      </c>
      <c r="E304" s="16" t="s">
        <v>26</v>
      </c>
      <c r="F304" s="16" t="s">
        <v>659</v>
      </c>
      <c r="G304" s="17">
        <v>1899</v>
      </c>
      <c r="H304" s="17"/>
      <c r="I304" s="17"/>
      <c r="J304" s="17">
        <v>1899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1899</v>
      </c>
      <c r="M304" s="17">
        <f aca="false">IF($H304="","",$H304+$K304)</f>
        <v/>
      </c>
      <c r="N304" s="17">
        <f aca="false">IF($J304="","",$J304+$K304)</f>
        <v>1899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54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22" collapsed="false" customFormat="true" customHeight="true" hidden="false" ht="28.5" outlineLevel="0">
      <c r="A305" s="16">
        <f aca="false">IF($T305="","",1+COUNTIF($W$15:$W$895,"&lt;"&amp;W305))</f>
        <v/>
      </c>
      <c r="B305" s="16" t="s">
        <v>6</v>
      </c>
      <c r="C305" s="16" t="s">
        <v>1264</v>
      </c>
      <c r="D305" s="16" t="s">
        <v>58</v>
      </c>
      <c r="E305" s="16" t="s">
        <v>26</v>
      </c>
      <c r="F305" s="16" t="s">
        <v>1265</v>
      </c>
      <c r="G305" s="17">
        <v>1899</v>
      </c>
      <c r="H305" s="17"/>
      <c r="I305" s="17"/>
      <c r="J305" s="17">
        <v>1899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1899</v>
      </c>
      <c r="M305" s="17">
        <f aca="false">IF($H305="","",$H305+$K305)</f>
        <v/>
      </c>
      <c r="N305" s="17">
        <f aca="false">IF($J305="","",$J305+$K305)</f>
        <v>1899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54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IF($T306="","",1+COUNTIF($W$15:$W$895,"&lt;"&amp;W306))</f>
        <v/>
      </c>
      <c r="B306" s="16" t="s">
        <v>6</v>
      </c>
      <c r="C306" s="16" t="s">
        <v>1273</v>
      </c>
      <c r="D306" s="16" t="s">
        <v>58</v>
      </c>
      <c r="E306" s="16" t="s">
        <v>26</v>
      </c>
      <c r="F306" s="16" t="s">
        <v>1274</v>
      </c>
      <c r="G306" s="17">
        <v>1899</v>
      </c>
      <c r="H306" s="17"/>
      <c r="I306" s="17"/>
      <c r="J306" s="17">
        <v>1899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1899</v>
      </c>
      <c r="M306" s="17">
        <f aca="false">IF($H306="","",$H306+$K306)</f>
        <v/>
      </c>
      <c r="N306" s="17">
        <f aca="false">IF($J306="","",$J306+$K306)</f>
        <v>1899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54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C306" s="3"/>
    </row>
    <row r="307" s="6" collapsed="false" customFormat="true" customHeight="true" hidden="false" ht="28.5" outlineLevel="0">
      <c r="A307" s="16">
        <f aca="false">IF($T307="","",1+COUNTIF($W$15:$W$895,"&lt;"&amp;W307))</f>
        <v/>
      </c>
      <c r="B307" s="16" t="s">
        <v>6</v>
      </c>
      <c r="C307" s="16" t="s">
        <v>1612</v>
      </c>
      <c r="D307" s="16" t="s">
        <v>48</v>
      </c>
      <c r="E307" s="16" t="s">
        <v>26</v>
      </c>
      <c r="F307" s="16" t="s">
        <v>1613</v>
      </c>
      <c r="G307" s="17">
        <v>1899</v>
      </c>
      <c r="H307" s="17"/>
      <c r="I307" s="17"/>
      <c r="J307" s="17">
        <v>1899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1899</v>
      </c>
      <c r="M307" s="17">
        <f aca="false">IF($H307="","",$H307+$K307)</f>
        <v/>
      </c>
      <c r="N307" s="17">
        <f aca="false">IF($J307="","",$J307+$K307)</f>
        <v>1899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54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C307" s="3"/>
    </row>
    <row r="308" s="5" collapsed="false" customFormat="true" customHeight="true" hidden="false" ht="28.5" outlineLevel="0">
      <c r="A308" s="16">
        <f aca="false">IF($T308="","",1+COUNTIF($W$15:$W$895,"&lt;"&amp;W308))</f>
        <v/>
      </c>
      <c r="B308" s="16" t="s">
        <v>8</v>
      </c>
      <c r="C308" s="16" t="s">
        <v>981</v>
      </c>
      <c r="D308" s="16" t="s">
        <v>45</v>
      </c>
      <c r="E308" s="16" t="s">
        <v>26</v>
      </c>
      <c r="F308" s="16" t="s">
        <v>982</v>
      </c>
      <c r="G308" s="17">
        <v>1899</v>
      </c>
      <c r="H308" s="17"/>
      <c r="I308" s="17"/>
      <c r="J308" s="17">
        <v>1899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1899</v>
      </c>
      <c r="M308" s="17">
        <f aca="false">IF($H308="","",$H308+$K308)</f>
        <v/>
      </c>
      <c r="N308" s="17">
        <f aca="false">IF($J308="","",$J308+$K308)</f>
        <v>1899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54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IF($T309="","",1+COUNTIF($W$15:$W$895,"&lt;"&amp;W309))</f>
        <v/>
      </c>
      <c r="B309" s="16" t="s">
        <v>12</v>
      </c>
      <c r="C309" s="16" t="s">
        <v>836</v>
      </c>
      <c r="D309" s="21" t="s">
        <v>81</v>
      </c>
      <c r="E309" s="16" t="s">
        <v>26</v>
      </c>
      <c r="F309" s="16" t="s">
        <v>837</v>
      </c>
      <c r="G309" s="17">
        <v>1899</v>
      </c>
      <c r="H309" s="17"/>
      <c r="I309" s="17"/>
      <c r="J309" s="17">
        <v>1899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1899</v>
      </c>
      <c r="M309" s="17">
        <f aca="false">IF($H309="","",$H309+$K309)</f>
        <v/>
      </c>
      <c r="N309" s="17">
        <f aca="false">IF($J309="","",$J309+$K309)</f>
        <v>1899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54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IF($T310="","",1+COUNTIF($W$15:$W$895,"&lt;"&amp;W310))</f>
        <v/>
      </c>
      <c r="B310" s="16" t="s">
        <v>6</v>
      </c>
      <c r="C310" s="16" t="s">
        <v>540</v>
      </c>
      <c r="D310" s="21" t="s">
        <v>81</v>
      </c>
      <c r="E310" s="16" t="s">
        <v>26</v>
      </c>
      <c r="F310" s="16" t="s">
        <v>541</v>
      </c>
      <c r="G310" s="17">
        <v>1899</v>
      </c>
      <c r="H310" s="17"/>
      <c r="I310" s="17"/>
      <c r="J310" s="17">
        <v>1919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1899</v>
      </c>
      <c r="M310" s="17">
        <f aca="false">IF($H310="","",$H310+$K310)</f>
        <v/>
      </c>
      <c r="N310" s="17">
        <f aca="false">IF($J310="","",$J310+$K310)</f>
        <v>1919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54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22" collapsed="false" customFormat="true" customHeight="true" hidden="false" ht="28.5" outlineLevel="0">
      <c r="A311" s="16">
        <f aca="false">IF($T311="","",1+COUNTIF($W$15:$W$895,"&lt;"&amp;W311))</f>
        <v/>
      </c>
      <c r="B311" s="16" t="s">
        <v>6</v>
      </c>
      <c r="C311" s="16" t="s">
        <v>1566</v>
      </c>
      <c r="D311" s="21" t="s">
        <v>81</v>
      </c>
      <c r="E311" s="16" t="s">
        <v>26</v>
      </c>
      <c r="F311" s="16" t="s">
        <v>1567</v>
      </c>
      <c r="G311" s="17">
        <v>1899</v>
      </c>
      <c r="H311" s="17"/>
      <c r="I311" s="17"/>
      <c r="J311" s="17">
        <v>1949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1899</v>
      </c>
      <c r="M311" s="17">
        <f aca="false">IF($H311="","",$H311+$K311)</f>
        <v/>
      </c>
      <c r="N311" s="17">
        <f aca="false">IF($J311="","",$J311+$K311)</f>
        <v>1949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54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IF($T312="","",1+COUNTIF($W$15:$W$895,"&lt;"&amp;W312))</f>
        <v/>
      </c>
      <c r="B312" s="16" t="s">
        <v>6</v>
      </c>
      <c r="C312" s="16" t="s">
        <v>721</v>
      </c>
      <c r="D312" s="16" t="s">
        <v>58</v>
      </c>
      <c r="E312" s="16" t="s">
        <v>26</v>
      </c>
      <c r="F312" s="16" t="s">
        <v>722</v>
      </c>
      <c r="G312" s="17">
        <v>1899</v>
      </c>
      <c r="H312" s="17"/>
      <c r="I312" s="17"/>
      <c r="J312" s="17">
        <v>1979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1899</v>
      </c>
      <c r="M312" s="17">
        <f aca="false">IF($H312="","",$H312+$K312)</f>
        <v/>
      </c>
      <c r="N312" s="17">
        <f aca="false">IF($J312="","",$J312+$K312)</f>
        <v>1979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54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IF($T313="","",1+COUNTIF($W$15:$W$895,"&lt;"&amp;W313))</f>
        <v/>
      </c>
      <c r="B313" s="16" t="s">
        <v>16</v>
      </c>
      <c r="C313" s="16" t="s">
        <v>733</v>
      </c>
      <c r="D313" s="16" t="s">
        <v>58</v>
      </c>
      <c r="E313" s="16" t="s">
        <v>26</v>
      </c>
      <c r="F313" s="16" t="s">
        <v>734</v>
      </c>
      <c r="G313" s="17">
        <v>1948</v>
      </c>
      <c r="H313" s="17"/>
      <c r="I313" s="17"/>
      <c r="J313" s="17">
        <v>1938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1948</v>
      </c>
      <c r="M313" s="17">
        <f aca="false">IF($H313="","",$H313+$K313)</f>
        <v/>
      </c>
      <c r="N313" s="17">
        <f aca="false">IF($J313="","",$J313+$K313)</f>
        <v>1938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54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IF($T314="","",1+COUNTIF($W$15:$W$895,"&lt;"&amp;W314))</f>
        <v/>
      </c>
      <c r="B314" s="16" t="s">
        <v>16</v>
      </c>
      <c r="C314" s="16" t="s">
        <v>636</v>
      </c>
      <c r="D314" s="16" t="s">
        <v>58</v>
      </c>
      <c r="E314" s="16" t="s">
        <v>26</v>
      </c>
      <c r="F314" s="16" t="s">
        <v>637</v>
      </c>
      <c r="G314" s="17">
        <v>1949</v>
      </c>
      <c r="H314" s="17"/>
      <c r="I314" s="17"/>
      <c r="J314" s="17">
        <v>1949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1949</v>
      </c>
      <c r="M314" s="17">
        <f aca="false">IF($H314="","",$H314+$K314)</f>
        <v/>
      </c>
      <c r="N314" s="17">
        <f aca="false">IF($J314="","",$J314+$K314)</f>
        <v>1949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54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IF($T315="","",1+COUNTIF($W$15:$W$895,"&lt;"&amp;W315))</f>
        <v/>
      </c>
      <c r="B315" s="16" t="s">
        <v>16</v>
      </c>
      <c r="C315" s="16" t="s">
        <v>456</v>
      </c>
      <c r="D315" s="16" t="s">
        <v>45</v>
      </c>
      <c r="E315" s="16" t="s">
        <v>62</v>
      </c>
      <c r="F315" s="16" t="s">
        <v>457</v>
      </c>
      <c r="G315" s="17">
        <v>1950</v>
      </c>
      <c r="H315" s="17"/>
      <c r="I315" s="17"/>
      <c r="J315" s="17">
        <v>1900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1950</v>
      </c>
      <c r="M315" s="17">
        <f aca="false">IF($H315="","",$H315+$K315)</f>
        <v/>
      </c>
      <c r="N315" s="17">
        <f aca="false">IF($J315="","",$J315+$K315)</f>
        <v>1900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54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IF($T316="","",1+COUNTIF($W$15:$W$895,"&lt;"&amp;W316))</f>
        <v/>
      </c>
      <c r="B316" s="16" t="s">
        <v>16</v>
      </c>
      <c r="C316" s="16" t="s">
        <v>755</v>
      </c>
      <c r="D316" s="16" t="s">
        <v>61</v>
      </c>
      <c r="E316" s="16" t="s">
        <v>62</v>
      </c>
      <c r="F316" s="16" t="s">
        <v>756</v>
      </c>
      <c r="G316" s="17">
        <v>1950</v>
      </c>
      <c r="H316" s="17"/>
      <c r="I316" s="17"/>
      <c r="J316" s="17">
        <v>1910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1950</v>
      </c>
      <c r="M316" s="17">
        <f aca="false">IF($H316="","",$H316+$K316)</f>
        <v/>
      </c>
      <c r="N316" s="17">
        <f aca="false">IF($J316="","",$J316+$K316)</f>
        <v>1910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54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IF($T317="","",1+COUNTIF($W$15:$W$895,"&lt;"&amp;W317))</f>
        <v/>
      </c>
      <c r="B317" s="16" t="s">
        <v>14</v>
      </c>
      <c r="C317" s="16" t="s">
        <v>468</v>
      </c>
      <c r="D317" s="21" t="s">
        <v>81</v>
      </c>
      <c r="E317" s="16" t="s">
        <v>62</v>
      </c>
      <c r="F317" s="16" t="s">
        <v>469</v>
      </c>
      <c r="G317" s="17">
        <v>1929</v>
      </c>
      <c r="H317" s="17"/>
      <c r="I317" s="17"/>
      <c r="J317" s="17">
        <v>1899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1929</v>
      </c>
      <c r="M317" s="17">
        <f aca="false">IF($H317="","",$H317+$K317)</f>
        <v/>
      </c>
      <c r="N317" s="17">
        <f aca="false">IF($J317="","",$J317+$K317)</f>
        <v>1899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54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IF($T318="","",1+COUNTIF($W$15:$W$895,"&lt;"&amp;W318))</f>
        <v/>
      </c>
      <c r="B318" s="16" t="s">
        <v>18</v>
      </c>
      <c r="C318" s="16" t="s">
        <v>1727</v>
      </c>
      <c r="D318" s="16" t="s">
        <v>45</v>
      </c>
      <c r="E318" s="16" t="s">
        <v>62</v>
      </c>
      <c r="F318" s="16" t="s">
        <v>1728</v>
      </c>
      <c r="G318" s="17">
        <v>2020</v>
      </c>
      <c r="H318" s="17"/>
      <c r="I318" s="17"/>
      <c r="J318" s="17">
        <v>2010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2020</v>
      </c>
      <c r="M318" s="17">
        <f aca="false">IF($H318="","",$H318+$K318)</f>
        <v/>
      </c>
      <c r="N318" s="17">
        <f aca="false">IF($J318="","",$J318+$K318)</f>
        <v>2010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54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C318" s="3"/>
    </row>
    <row r="319" s="22" collapsed="false" customFormat="true" customHeight="true" hidden="false" ht="28.5" outlineLevel="0">
      <c r="A319" s="16">
        <f aca="false">IF($T319="","",1+COUNTIF($W$15:$W$895,"&lt;"&amp;W319))</f>
        <v/>
      </c>
      <c r="B319" s="16" t="s">
        <v>10</v>
      </c>
      <c r="C319" s="16" t="s">
        <v>1240</v>
      </c>
      <c r="D319" s="16" t="s">
        <v>58</v>
      </c>
      <c r="E319" s="16" t="s">
        <v>62</v>
      </c>
      <c r="F319" s="16" t="s">
        <v>1241</v>
      </c>
      <c r="G319" s="17">
        <v>1910</v>
      </c>
      <c r="H319" s="17"/>
      <c r="I319" s="17"/>
      <c r="J319" s="17">
        <v>1902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1910</v>
      </c>
      <c r="M319" s="17">
        <f aca="false">IF($H319="","",$H319+$K319)</f>
        <v/>
      </c>
      <c r="N319" s="17">
        <f aca="false">IF($J319="","",$J319+$K319)</f>
        <v>1902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54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IF($T320="","",1+COUNTIF($W$15:$W$895,"&lt;"&amp;W320))</f>
        <v/>
      </c>
      <c r="B320" s="16" t="s">
        <v>16</v>
      </c>
      <c r="C320" s="16" t="s">
        <v>813</v>
      </c>
      <c r="D320" s="21" t="s">
        <v>81</v>
      </c>
      <c r="E320" s="16" t="s">
        <v>62</v>
      </c>
      <c r="F320" s="16" t="s">
        <v>814</v>
      </c>
      <c r="G320" s="17">
        <v>1957</v>
      </c>
      <c r="H320" s="17"/>
      <c r="I320" s="17"/>
      <c r="J320" s="17">
        <v>1957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1957</v>
      </c>
      <c r="M320" s="17">
        <f aca="false">IF($H320="","",$H320+$K320)</f>
        <v/>
      </c>
      <c r="N320" s="17">
        <f aca="false">IF($J320="","",$J320+$K320)</f>
        <v>1957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54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IF($T321="","",1+COUNTIF($W$15:$W$895,"&lt;"&amp;W321))</f>
        <v/>
      </c>
      <c r="B321" s="16" t="s">
        <v>6</v>
      </c>
      <c r="C321" s="16" t="s">
        <v>140</v>
      </c>
      <c r="D321" s="16" t="s">
        <v>45</v>
      </c>
      <c r="E321" s="16" t="s">
        <v>26</v>
      </c>
      <c r="F321" s="16" t="s">
        <v>141</v>
      </c>
      <c r="G321" s="17">
        <v>1914</v>
      </c>
      <c r="H321" s="17"/>
      <c r="I321" s="17"/>
      <c r="J321" s="17">
        <v>1894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1914</v>
      </c>
      <c r="M321" s="17">
        <f aca="false">IF($H321="","",$H321+$K321)</f>
        <v/>
      </c>
      <c r="N321" s="17">
        <f aca="false">IF($J321="","",$J321+$K321)</f>
        <v>1894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54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6" collapsed="false" customFormat="true" customHeight="true" hidden="false" ht="28.5" outlineLevel="0">
      <c r="A322" s="16">
        <f aca="false">IF($T322="","",1+COUNTIF($W$15:$W$895,"&lt;"&amp;W322))</f>
        <v/>
      </c>
      <c r="B322" s="16" t="s">
        <v>6</v>
      </c>
      <c r="C322" s="16" t="s">
        <v>1281</v>
      </c>
      <c r="D322" s="16" t="s">
        <v>58</v>
      </c>
      <c r="E322" s="16" t="s">
        <v>62</v>
      </c>
      <c r="F322" s="16" t="s">
        <v>1282</v>
      </c>
      <c r="G322" s="17">
        <v>1915</v>
      </c>
      <c r="H322" s="17"/>
      <c r="I322" s="17"/>
      <c r="J322" s="17">
        <v>1885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1915</v>
      </c>
      <c r="M322" s="17">
        <f aca="false">IF($H322="","",$H322+$K322)</f>
        <v/>
      </c>
      <c r="N322" s="17">
        <f aca="false">IF($J322="","",$J322+$K322)</f>
        <v>1885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54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C322" s="3"/>
    </row>
    <row r="323" s="5" collapsed="false" customFormat="true" customHeight="true" hidden="false" ht="28.5" outlineLevel="0">
      <c r="A323" s="16">
        <f aca="false">IF($T323="","",1+COUNTIF($W$15:$W$895,"&lt;"&amp;W323))</f>
        <v/>
      </c>
      <c r="B323" s="16" t="s">
        <v>6</v>
      </c>
      <c r="C323" s="16" t="s">
        <v>611</v>
      </c>
      <c r="D323" s="16" t="s">
        <v>45</v>
      </c>
      <c r="E323" s="16" t="s">
        <v>26</v>
      </c>
      <c r="F323" s="16" t="s">
        <v>612</v>
      </c>
      <c r="G323" s="17">
        <v>1915</v>
      </c>
      <c r="H323" s="17"/>
      <c r="I323" s="17"/>
      <c r="J323" s="17">
        <v>1895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1915</v>
      </c>
      <c r="M323" s="17">
        <f aca="false">IF($H323="","",$H323+$K323)</f>
        <v/>
      </c>
      <c r="N323" s="17">
        <f aca="false">IF($J323="","",$J323+$K323)</f>
        <v>1895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54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22" collapsed="false" customFormat="true" customHeight="true" hidden="false" ht="28.5" outlineLevel="0">
      <c r="A324" s="16">
        <f aca="false">IF($T324="","",1+COUNTIF($W$15:$W$895,"&lt;"&amp;W324))</f>
        <v/>
      </c>
      <c r="B324" s="16" t="s">
        <v>6</v>
      </c>
      <c r="C324" s="16" t="s">
        <v>1442</v>
      </c>
      <c r="D324" s="16" t="s">
        <v>48</v>
      </c>
      <c r="E324" s="16" t="s">
        <v>26</v>
      </c>
      <c r="F324" s="16" t="s">
        <v>1443</v>
      </c>
      <c r="G324" s="17">
        <v>1915</v>
      </c>
      <c r="H324" s="17"/>
      <c r="I324" s="17"/>
      <c r="J324" s="17">
        <v>1908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1915</v>
      </c>
      <c r="M324" s="17">
        <f aca="false">IF($H324="","",$H324+$K324)</f>
        <v/>
      </c>
      <c r="N324" s="17">
        <f aca="false">IF($J324="","",$J324+$K324)</f>
        <v>1908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54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IF($T325="","",1+COUNTIF($W$15:$W$895,"&lt;"&amp;W325))</f>
        <v/>
      </c>
      <c r="B325" s="16" t="s">
        <v>18</v>
      </c>
      <c r="C325" s="16" t="s">
        <v>896</v>
      </c>
      <c r="D325" s="16" t="s">
        <v>58</v>
      </c>
      <c r="E325" s="16" t="s">
        <v>26</v>
      </c>
      <c r="F325" s="16" t="s">
        <v>897</v>
      </c>
      <c r="G325" s="17">
        <v>2029</v>
      </c>
      <c r="H325" s="17"/>
      <c r="I325" s="17"/>
      <c r="J325" s="17">
        <v>1999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2029</v>
      </c>
      <c r="M325" s="17">
        <f aca="false">IF($H325="","",$H325+$K325)</f>
        <v/>
      </c>
      <c r="N325" s="17">
        <f aca="false">IF($J325="","",$J325+$K325)</f>
        <v>1999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54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IF($T326="","",1+COUNTIF($W$15:$W$895,"&lt;"&amp;W326))</f>
        <v/>
      </c>
      <c r="B326" s="16" t="s">
        <v>10</v>
      </c>
      <c r="C326" s="16" t="s">
        <v>580</v>
      </c>
      <c r="D326" s="21" t="s">
        <v>81</v>
      </c>
      <c r="E326" s="16" t="s">
        <v>26</v>
      </c>
      <c r="F326" s="16" t="s">
        <v>581</v>
      </c>
      <c r="G326" s="17">
        <v>1917</v>
      </c>
      <c r="H326" s="17"/>
      <c r="I326" s="17"/>
      <c r="J326" s="17">
        <v>1877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1917</v>
      </c>
      <c r="M326" s="17">
        <f aca="false">IF($H326="","",$H326+$K326)</f>
        <v/>
      </c>
      <c r="N326" s="17">
        <f aca="false">IF($J326="","",$J326+$K326)</f>
        <v>1877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54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IF($T327="","",1+COUNTIF($W$15:$W$895,"&lt;"&amp;W327))</f>
        <v/>
      </c>
      <c r="B327" s="16" t="s">
        <v>14</v>
      </c>
      <c r="C327" s="16" t="s">
        <v>509</v>
      </c>
      <c r="D327" s="16" t="s">
        <v>45</v>
      </c>
      <c r="E327" s="16" t="s">
        <v>26</v>
      </c>
      <c r="F327" s="16" t="s">
        <v>510</v>
      </c>
      <c r="G327" s="17">
        <v>1939</v>
      </c>
      <c r="H327" s="17"/>
      <c r="I327" s="17"/>
      <c r="J327" s="17">
        <v>1899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1939</v>
      </c>
      <c r="M327" s="17">
        <f aca="false">IF($H327="","",$H327+$K327)</f>
        <v/>
      </c>
      <c r="N327" s="17">
        <f aca="false">IF($J327="","",$J327+$K327)</f>
        <v>1899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54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22" collapsed="false" customFormat="true" customHeight="true" hidden="false" ht="28.5" outlineLevel="0">
      <c r="A328" s="16">
        <f aca="false">IF($T328="","",1+COUNTIF($W$15:$W$895,"&lt;"&amp;W328))</f>
        <v/>
      </c>
      <c r="B328" s="16" t="s">
        <v>14</v>
      </c>
      <c r="C328" s="16" t="s">
        <v>1756</v>
      </c>
      <c r="D328" s="16" t="s">
        <v>58</v>
      </c>
      <c r="E328" s="16" t="s">
        <v>62</v>
      </c>
      <c r="F328" s="16" t="s">
        <v>1757</v>
      </c>
      <c r="G328" s="17">
        <v>1939</v>
      </c>
      <c r="H328" s="17"/>
      <c r="I328" s="17"/>
      <c r="J328" s="17">
        <v>1959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1939</v>
      </c>
      <c r="M328" s="17">
        <f aca="false">IF($H328="","",$H328+$K328)</f>
        <v/>
      </c>
      <c r="N328" s="17">
        <f aca="false">IF($J328="","",$J328+$K328)</f>
        <v>1959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54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IF($T329="","",1+COUNTIF($W$15:$W$895,"&lt;"&amp;W329))</f>
        <v/>
      </c>
      <c r="B329" s="16" t="s">
        <v>12</v>
      </c>
      <c r="C329" s="16" t="s">
        <v>851</v>
      </c>
      <c r="D329" s="21" t="s">
        <v>81</v>
      </c>
      <c r="E329" s="16" t="s">
        <v>62</v>
      </c>
      <c r="F329" s="16" t="s">
        <v>852</v>
      </c>
      <c r="G329" s="17">
        <v>1918</v>
      </c>
      <c r="H329" s="17"/>
      <c r="I329" s="17"/>
      <c r="J329" s="17">
        <v>1908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1918</v>
      </c>
      <c r="M329" s="17">
        <f aca="false">IF($H329="","",$H329+$K329)</f>
        <v/>
      </c>
      <c r="N329" s="17">
        <f aca="false">IF($J329="","",$J329+$K329)</f>
        <v>1908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54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IF($T330="","",1+COUNTIF($W$15:$W$895,"&lt;"&amp;W330))</f>
        <v/>
      </c>
      <c r="B330" s="16" t="s">
        <v>6</v>
      </c>
      <c r="C330" s="16" t="s">
        <v>420</v>
      </c>
      <c r="D330" s="16" t="s">
        <v>61</v>
      </c>
      <c r="E330" s="16" t="s">
        <v>62</v>
      </c>
      <c r="F330" s="16" t="s">
        <v>421</v>
      </c>
      <c r="G330" s="17">
        <v>1918</v>
      </c>
      <c r="H330" s="17"/>
      <c r="I330" s="17"/>
      <c r="J330" s="17">
        <v>1918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1918</v>
      </c>
      <c r="M330" s="17">
        <f aca="false">IF($H330="","",$H330+$K330)</f>
        <v/>
      </c>
      <c r="N330" s="17">
        <f aca="false">IF($J330="","",$J330+$K330)</f>
        <v>1918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54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IF($T331="","",1+COUNTIF($W$15:$W$895,"&lt;"&amp;W331))</f>
        <v/>
      </c>
      <c r="B331" s="16" t="s">
        <v>6</v>
      </c>
      <c r="C331" s="16" t="s">
        <v>1309</v>
      </c>
      <c r="D331" s="16" t="s">
        <v>58</v>
      </c>
      <c r="E331" s="16" t="s">
        <v>26</v>
      </c>
      <c r="F331" s="16" t="s">
        <v>1310</v>
      </c>
      <c r="G331" s="17">
        <v>1918</v>
      </c>
      <c r="H331" s="17"/>
      <c r="I331" s="17"/>
      <c r="J331" s="17">
        <v>1918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1918</v>
      </c>
      <c r="M331" s="17">
        <f aca="false">IF($H331="","",$H331+$K331)</f>
        <v/>
      </c>
      <c r="N331" s="17">
        <f aca="false">IF($J331="","",$J331+$K331)</f>
        <v>1918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54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IF($T332="","",1+COUNTIF($W$15:$W$895,"&lt;"&amp;W332))</f>
        <v/>
      </c>
      <c r="B332" s="16" t="s">
        <v>10</v>
      </c>
      <c r="C332" s="16" t="s">
        <v>550</v>
      </c>
      <c r="D332" s="16" t="s">
        <v>58</v>
      </c>
      <c r="E332" s="16" t="s">
        <v>62</v>
      </c>
      <c r="F332" s="16" t="s">
        <v>551</v>
      </c>
      <c r="G332" s="17">
        <v>1918</v>
      </c>
      <c r="H332" s="17"/>
      <c r="I332" s="17"/>
      <c r="J332" s="17">
        <v>1938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1918</v>
      </c>
      <c r="M332" s="17">
        <f aca="false">IF($H332="","",$H332+$K332)</f>
        <v/>
      </c>
      <c r="N332" s="17">
        <f aca="false">IF($J332="","",$J332+$K332)</f>
        <v>1938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54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IF($T333="","",1+COUNTIF($W$15:$W$895,"&lt;"&amp;W333))</f>
        <v/>
      </c>
      <c r="B333" s="16" t="s">
        <v>14</v>
      </c>
      <c r="C333" s="16" t="s">
        <v>957</v>
      </c>
      <c r="D333" s="16" t="s">
        <v>58</v>
      </c>
      <c r="E333" s="16" t="s">
        <v>62</v>
      </c>
      <c r="F333" s="16" t="s">
        <v>958</v>
      </c>
      <c r="G333" s="17">
        <v>1940</v>
      </c>
      <c r="H333" s="17"/>
      <c r="I333" s="17"/>
      <c r="J333" s="17">
        <v>1940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1940</v>
      </c>
      <c r="M333" s="17">
        <f aca="false">IF($H333="","",$H333+$K333)</f>
        <v/>
      </c>
      <c r="N333" s="17">
        <f aca="false">IF($J333="","",$J333+$K333)</f>
        <v>1940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54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IF($T334="","",1+COUNTIF($W$15:$W$895,"&lt;"&amp;W334))</f>
        <v/>
      </c>
      <c r="B334" s="16" t="s">
        <v>12</v>
      </c>
      <c r="C334" s="16" t="s">
        <v>595</v>
      </c>
      <c r="D334" s="21" t="s">
        <v>81</v>
      </c>
      <c r="E334" s="16" t="s">
        <v>26</v>
      </c>
      <c r="F334" s="16" t="s">
        <v>596</v>
      </c>
      <c r="G334" s="17">
        <v>1919</v>
      </c>
      <c r="H334" s="17"/>
      <c r="I334" s="17"/>
      <c r="J334" s="17">
        <v>1889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1919</v>
      </c>
      <c r="M334" s="17">
        <f aca="false">IF($H334="","",$H334+$K334)</f>
        <v/>
      </c>
      <c r="N334" s="17">
        <f aca="false">IF($J334="","",$J334+$K334)</f>
        <v>1889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54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6" collapsed="false" customFormat="true" customHeight="true" hidden="false" ht="28.5" outlineLevel="0">
      <c r="A335" s="16">
        <f aca="false">IF($T335="","",1+COUNTIF($W$15:$W$895,"&lt;"&amp;W335))</f>
        <v/>
      </c>
      <c r="B335" s="16" t="s">
        <v>10</v>
      </c>
      <c r="C335" s="16" t="s">
        <v>1743</v>
      </c>
      <c r="D335" s="21" t="s">
        <v>81</v>
      </c>
      <c r="E335" s="16" t="s">
        <v>62</v>
      </c>
      <c r="F335" s="16" t="s">
        <v>1744</v>
      </c>
      <c r="G335" s="17">
        <v>1919</v>
      </c>
      <c r="H335" s="17"/>
      <c r="I335" s="17"/>
      <c r="J335" s="17">
        <v>1899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1919</v>
      </c>
      <c r="M335" s="17">
        <f aca="false">IF($H335="","",$H335+$K335)</f>
        <v/>
      </c>
      <c r="N335" s="17">
        <f aca="false">IF($J335="","",$J335+$K335)</f>
        <v>1899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54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C335" s="3"/>
    </row>
    <row r="336" s="5" collapsed="false" customFormat="true" customHeight="true" hidden="false" ht="28.5" outlineLevel="0">
      <c r="A336" s="16">
        <f aca="false">IF($T336="","",1+COUNTIF($W$15:$W$895,"&lt;"&amp;W336))</f>
        <v/>
      </c>
      <c r="B336" s="16" t="s">
        <v>6</v>
      </c>
      <c r="C336" s="16" t="s">
        <v>838</v>
      </c>
      <c r="D336" s="16" t="s">
        <v>61</v>
      </c>
      <c r="E336" s="16" t="s">
        <v>62</v>
      </c>
      <c r="F336" s="16" t="s">
        <v>839</v>
      </c>
      <c r="G336" s="17">
        <v>1919</v>
      </c>
      <c r="H336" s="17"/>
      <c r="I336" s="17"/>
      <c r="J336" s="17">
        <v>1919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1919</v>
      </c>
      <c r="M336" s="17">
        <f aca="false">IF($H336="","",$H336+$K336)</f>
        <v/>
      </c>
      <c r="N336" s="17">
        <f aca="false">IF($J336="","",$J336+$K336)</f>
        <v>1919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54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IF($T337="","",1+COUNTIF($W$15:$W$895,"&lt;"&amp;W337))</f>
        <v/>
      </c>
      <c r="B337" s="16" t="s">
        <v>12</v>
      </c>
      <c r="C337" s="16" t="s">
        <v>695</v>
      </c>
      <c r="D337" s="20" t="s">
        <v>58</v>
      </c>
      <c r="E337" s="16" t="s">
        <v>26</v>
      </c>
      <c r="F337" s="16" t="s">
        <v>696</v>
      </c>
      <c r="G337" s="17">
        <v>1919</v>
      </c>
      <c r="H337" s="17"/>
      <c r="I337" s="17"/>
      <c r="J337" s="17">
        <v>1919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1919</v>
      </c>
      <c r="M337" s="17">
        <f aca="false">IF($H337="","",$H337+$K337)</f>
        <v/>
      </c>
      <c r="N337" s="17">
        <f aca="false">IF($J337="","",$J337+$K337)</f>
        <v>1919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54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IF($T338="","",1+COUNTIF($W$15:$W$895,"&lt;"&amp;W338))</f>
        <v/>
      </c>
      <c r="B338" s="16" t="s">
        <v>14</v>
      </c>
      <c r="C338" s="16" t="s">
        <v>705</v>
      </c>
      <c r="D338" s="16" t="s">
        <v>58</v>
      </c>
      <c r="E338" s="16" t="s">
        <v>26</v>
      </c>
      <c r="F338" s="16" t="s">
        <v>706</v>
      </c>
      <c r="G338" s="17">
        <v>1944</v>
      </c>
      <c r="H338" s="17"/>
      <c r="I338" s="17"/>
      <c r="J338" s="17">
        <v>1933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1944</v>
      </c>
      <c r="M338" s="17">
        <f aca="false">IF($H338="","",$H338+$K338)</f>
        <v/>
      </c>
      <c r="N338" s="17">
        <f aca="false">IF($J338="","",$J338+$K338)</f>
        <v>1933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54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22" collapsed="false" customFormat="true" customHeight="true" hidden="false" ht="28.5" outlineLevel="0">
      <c r="A339" s="16">
        <f aca="false">IF($T339="","",1+COUNTIF($W$15:$W$895,"&lt;"&amp;W339))</f>
        <v/>
      </c>
      <c r="B339" s="16" t="s">
        <v>12</v>
      </c>
      <c r="C339" s="16" t="s">
        <v>1190</v>
      </c>
      <c r="D339" s="20" t="s">
        <v>45</v>
      </c>
      <c r="E339" s="16" t="s">
        <v>26</v>
      </c>
      <c r="F339" s="16" t="s">
        <v>1191</v>
      </c>
      <c r="G339" s="17">
        <v>1923</v>
      </c>
      <c r="H339" s="17"/>
      <c r="I339" s="17"/>
      <c r="J339" s="17">
        <v>1913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1923</v>
      </c>
      <c r="M339" s="17">
        <f aca="false">IF($H339="","",$H339+$K339)</f>
        <v/>
      </c>
      <c r="N339" s="17">
        <f aca="false">IF($J339="","",$J339+$K339)</f>
        <v>1913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54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IF($T340="","",1+COUNTIF($W$15:$W$895,"&lt;"&amp;W340))</f>
        <v/>
      </c>
      <c r="B340" s="16" t="s">
        <v>6</v>
      </c>
      <c r="C340" s="16" t="s">
        <v>676</v>
      </c>
      <c r="D340" s="21" t="s">
        <v>81</v>
      </c>
      <c r="E340" s="16" t="s">
        <v>26</v>
      </c>
      <c r="F340" s="16" t="s">
        <v>677</v>
      </c>
      <c r="G340" s="17">
        <v>1924</v>
      </c>
      <c r="H340" s="17"/>
      <c r="I340" s="17"/>
      <c r="J340" s="17">
        <v>1893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1924</v>
      </c>
      <c r="M340" s="17">
        <f aca="false">IF($H340="","",$H340+$K340)</f>
        <v/>
      </c>
      <c r="N340" s="17">
        <f aca="false">IF($J340="","",$J340+$K340)</f>
        <v>1893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54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IF($T341="","",1+COUNTIF($W$15:$W$895,"&lt;"&amp;W341))</f>
        <v/>
      </c>
      <c r="B341" s="16" t="s">
        <v>12</v>
      </c>
      <c r="C341" s="16" t="s">
        <v>128</v>
      </c>
      <c r="D341" s="20" t="s">
        <v>45</v>
      </c>
      <c r="E341" s="16" t="s">
        <v>26</v>
      </c>
      <c r="F341" s="16" t="s">
        <v>129</v>
      </c>
      <c r="G341" s="17">
        <v>1924</v>
      </c>
      <c r="H341" s="17"/>
      <c r="I341" s="17"/>
      <c r="J341" s="17">
        <v>1924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1924</v>
      </c>
      <c r="M341" s="17">
        <f aca="false">IF($H341="","",$H341+$K341)</f>
        <v/>
      </c>
      <c r="N341" s="17">
        <f aca="false">IF($J341="","",$J341+$K341)</f>
        <v>1924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54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IF($T342="","",1+COUNTIF($W$15:$W$895,"&lt;"&amp;W342))</f>
        <v/>
      </c>
      <c r="B342" s="16" t="s">
        <v>6</v>
      </c>
      <c r="C342" s="16" t="s">
        <v>670</v>
      </c>
      <c r="D342" s="16" t="s">
        <v>45</v>
      </c>
      <c r="E342" s="16" t="s">
        <v>26</v>
      </c>
      <c r="F342" s="16" t="s">
        <v>671</v>
      </c>
      <c r="G342" s="17">
        <v>1925</v>
      </c>
      <c r="H342" s="17"/>
      <c r="I342" s="17"/>
      <c r="J342" s="17">
        <v>1865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1925</v>
      </c>
      <c r="M342" s="17">
        <f aca="false">IF($H342="","",$H342+$K342)</f>
        <v/>
      </c>
      <c r="N342" s="17">
        <f aca="false">IF($J342="","",$J342+$K342)</f>
        <v>1865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54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IF($T343="","",1+COUNTIF($W$15:$W$895,"&lt;"&amp;W343))</f>
        <v/>
      </c>
      <c r="B343" s="16" t="s">
        <v>8</v>
      </c>
      <c r="C343" s="16" t="s">
        <v>1752</v>
      </c>
      <c r="D343" s="16" t="s">
        <v>58</v>
      </c>
      <c r="E343" s="16" t="s">
        <v>26</v>
      </c>
      <c r="F343" s="16" t="s">
        <v>1753</v>
      </c>
      <c r="G343" s="17">
        <v>1925</v>
      </c>
      <c r="H343" s="17"/>
      <c r="I343" s="17"/>
      <c r="J343" s="17">
        <v>1905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1925</v>
      </c>
      <c r="M343" s="17">
        <f aca="false">IF($H343="","",$H343+$K343)</f>
        <v/>
      </c>
      <c r="N343" s="17">
        <f aca="false">IF($J343="","",$J343+$K343)</f>
        <v>1905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54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6" collapsed="false" customFormat="true" customHeight="true" hidden="false" ht="28.5" outlineLevel="0">
      <c r="A344" s="16">
        <f aca="false">IF($T344="","",1+COUNTIF($W$15:$W$895,"&lt;"&amp;W344))</f>
        <v/>
      </c>
      <c r="B344" s="16" t="s">
        <v>6</v>
      </c>
      <c r="C344" s="16" t="s">
        <v>1608</v>
      </c>
      <c r="D344" s="16" t="s">
        <v>58</v>
      </c>
      <c r="E344" s="16" t="s">
        <v>26</v>
      </c>
      <c r="F344" s="16" t="s">
        <v>1609</v>
      </c>
      <c r="G344" s="17">
        <v>1925</v>
      </c>
      <c r="H344" s="17"/>
      <c r="I344" s="17"/>
      <c r="J344" s="17">
        <v>1915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1925</v>
      </c>
      <c r="M344" s="17">
        <f aca="false">IF($H344="","",$H344+$K344)</f>
        <v/>
      </c>
      <c r="N344" s="17">
        <f aca="false">IF($J344="","",$J344+$K344)</f>
        <v>1915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54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C344" s="3"/>
    </row>
    <row r="345" s="5" collapsed="false" customFormat="true" customHeight="true" hidden="false" ht="28.5" outlineLevel="0">
      <c r="A345" s="16">
        <f aca="false">IF($T345="","",1+COUNTIF($W$15:$W$895,"&lt;"&amp;W345))</f>
        <v/>
      </c>
      <c r="B345" s="16" t="s">
        <v>6</v>
      </c>
      <c r="C345" s="16" t="s">
        <v>846</v>
      </c>
      <c r="D345" s="16" t="s">
        <v>58</v>
      </c>
      <c r="E345" s="16" t="s">
        <v>26</v>
      </c>
      <c r="F345" s="16" t="s">
        <v>847</v>
      </c>
      <c r="G345" s="17">
        <v>1925</v>
      </c>
      <c r="H345" s="17"/>
      <c r="I345" s="17"/>
      <c r="J345" s="17">
        <v>1925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1925</v>
      </c>
      <c r="M345" s="17">
        <f aca="false">IF($H345="","",$H345+$K345)</f>
        <v/>
      </c>
      <c r="N345" s="17">
        <f aca="false">IF($J345="","",$J345+$K345)</f>
        <v>1925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54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IF($T346="","",1+COUNTIF($W$15:$W$895,"&lt;"&amp;W346))</f>
        <v/>
      </c>
      <c r="B346" s="16" t="s">
        <v>6</v>
      </c>
      <c r="C346" s="16" t="s">
        <v>1119</v>
      </c>
      <c r="D346" s="16" t="s">
        <v>58</v>
      </c>
      <c r="E346" s="16" t="s">
        <v>26</v>
      </c>
      <c r="F346" s="16" t="s">
        <v>1120</v>
      </c>
      <c r="G346" s="17">
        <v>1925</v>
      </c>
      <c r="H346" s="17"/>
      <c r="I346" s="17"/>
      <c r="J346" s="17">
        <v>1925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1925</v>
      </c>
      <c r="M346" s="17">
        <f aca="false">IF($H346="","",$H346+$K346)</f>
        <v/>
      </c>
      <c r="N346" s="17">
        <f aca="false">IF($J346="","",$J346+$K346)</f>
        <v>1925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54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IF($T347="","",1+COUNTIF($W$15:$W$895,"&lt;"&amp;W347))</f>
        <v/>
      </c>
      <c r="B347" s="16" t="s">
        <v>14</v>
      </c>
      <c r="C347" s="16" t="s">
        <v>501</v>
      </c>
      <c r="D347" s="16" t="s">
        <v>45</v>
      </c>
      <c r="E347" s="16" t="s">
        <v>62</v>
      </c>
      <c r="F347" s="16" t="s">
        <v>502</v>
      </c>
      <c r="G347" s="17">
        <v>1947</v>
      </c>
      <c r="H347" s="17"/>
      <c r="I347" s="17"/>
      <c r="J347" s="17">
        <v>1938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1947</v>
      </c>
      <c r="M347" s="17">
        <f aca="false">IF($H347="","",$H347+$K347)</f>
        <v/>
      </c>
      <c r="N347" s="17">
        <f aca="false">IF($J347="","",$J347+$K347)</f>
        <v>1938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54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 aca="false">IF($T348="","",1+COUNTIF($W$15:$W$895,"&lt;"&amp;W348))</f>
        <v/>
      </c>
      <c r="B348" s="16" t="s">
        <v>6</v>
      </c>
      <c r="C348" s="16" t="s">
        <v>1548</v>
      </c>
      <c r="D348" s="16" t="s">
        <v>58</v>
      </c>
      <c r="E348" s="16" t="s">
        <v>26</v>
      </c>
      <c r="F348" s="16" t="s">
        <v>1549</v>
      </c>
      <c r="G348" s="17">
        <v>1927</v>
      </c>
      <c r="H348" s="17"/>
      <c r="I348" s="17"/>
      <c r="J348" s="17">
        <v>1917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1927</v>
      </c>
      <c r="M348" s="17">
        <f aca="false">IF($H348="","",$H348+$K348)</f>
        <v/>
      </c>
      <c r="N348" s="17">
        <f aca="false">IF($J348="","",$J348+$K348)</f>
        <v>1917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54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C348" s="3"/>
    </row>
    <row r="349" s="5" collapsed="false" customFormat="true" customHeight="true" hidden="false" ht="28.5" outlineLevel="0">
      <c r="A349" s="16">
        <f aca="false">IF($T349="","",1+COUNTIF($W$15:$W$895,"&lt;"&amp;W349))</f>
        <v/>
      </c>
      <c r="B349" s="16" t="s">
        <v>14</v>
      </c>
      <c r="C349" s="16" t="s">
        <v>867</v>
      </c>
      <c r="D349" s="16" t="s">
        <v>45</v>
      </c>
      <c r="E349" s="16" t="s">
        <v>62</v>
      </c>
      <c r="F349" s="16" t="s">
        <v>868</v>
      </c>
      <c r="G349" s="17">
        <v>1949</v>
      </c>
      <c r="H349" s="17"/>
      <c r="I349" s="17"/>
      <c r="J349" s="17">
        <v>1899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1949</v>
      </c>
      <c r="M349" s="17">
        <f aca="false">IF($H349="","",$H349+$K349)</f>
        <v/>
      </c>
      <c r="N349" s="17">
        <f aca="false">IF($J349="","",$J349+$K349)</f>
        <v>1899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54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IF($T350="","",1+COUNTIF($W$15:$W$895,"&lt;"&amp;W350))</f>
        <v/>
      </c>
      <c r="B350" s="16" t="s">
        <v>10</v>
      </c>
      <c r="C350" s="16" t="s">
        <v>286</v>
      </c>
      <c r="D350" s="21" t="s">
        <v>81</v>
      </c>
      <c r="E350" s="16" t="s">
        <v>62</v>
      </c>
      <c r="F350" s="16" t="s">
        <v>287</v>
      </c>
      <c r="G350" s="17">
        <v>1928</v>
      </c>
      <c r="H350" s="17"/>
      <c r="I350" s="17"/>
      <c r="J350" s="17">
        <v>1923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1928</v>
      </c>
      <c r="M350" s="17">
        <f aca="false">IF($H350="","",$H350+$K350)</f>
        <v/>
      </c>
      <c r="N350" s="17">
        <f aca="false">IF($J350="","",$J350+$K350)</f>
        <v>1923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54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IF($T351="","",1+COUNTIF($W$15:$W$895,"&lt;"&amp;W351))</f>
        <v/>
      </c>
      <c r="B351" s="16" t="s">
        <v>12</v>
      </c>
      <c r="C351" s="16" t="s">
        <v>729</v>
      </c>
      <c r="D351" s="20" t="s">
        <v>45</v>
      </c>
      <c r="E351" s="16" t="s">
        <v>26</v>
      </c>
      <c r="F351" s="16" t="s">
        <v>730</v>
      </c>
      <c r="G351" s="17">
        <v>1929</v>
      </c>
      <c r="H351" s="17"/>
      <c r="I351" s="17"/>
      <c r="J351" s="17">
        <v>1899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1929</v>
      </c>
      <c r="M351" s="17">
        <f aca="false">IF($H351="","",$H351+$K351)</f>
        <v/>
      </c>
      <c r="N351" s="17">
        <f aca="false">IF($J351="","",$J351+$K351)</f>
        <v>1899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54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IF($T352="","",1+COUNTIF($W$15:$W$895,"&lt;"&amp;W352))</f>
        <v/>
      </c>
      <c r="B352" s="16" t="s">
        <v>10</v>
      </c>
      <c r="C352" s="16" t="s">
        <v>744</v>
      </c>
      <c r="D352" s="21" t="s">
        <v>81</v>
      </c>
      <c r="E352" s="16" t="s">
        <v>62</v>
      </c>
      <c r="F352" s="16" t="s">
        <v>746</v>
      </c>
      <c r="G352" s="17">
        <v>1929</v>
      </c>
      <c r="H352" s="17"/>
      <c r="I352" s="17"/>
      <c r="J352" s="17">
        <v>1919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1929</v>
      </c>
      <c r="M352" s="17">
        <f aca="false">IF($H352="","",$H352+$K352)</f>
        <v/>
      </c>
      <c r="N352" s="17">
        <f aca="false">IF($J352="","",$J352+$K352)</f>
        <v>1919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54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IF($T353="","",1+COUNTIF($W$15:$W$895,"&lt;"&amp;W353))</f>
        <v/>
      </c>
      <c r="B353" s="16" t="s">
        <v>6</v>
      </c>
      <c r="C353" s="16" t="s">
        <v>437</v>
      </c>
      <c r="D353" s="16" t="s">
        <v>45</v>
      </c>
      <c r="E353" s="16" t="s">
        <v>62</v>
      </c>
      <c r="F353" s="16" t="s">
        <v>438</v>
      </c>
      <c r="G353" s="17">
        <v>1929</v>
      </c>
      <c r="H353" s="17"/>
      <c r="I353" s="17"/>
      <c r="J353" s="17">
        <v>1929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1929</v>
      </c>
      <c r="M353" s="17">
        <f aca="false">IF($H353="","",$H353+$K353)</f>
        <v/>
      </c>
      <c r="N353" s="17">
        <f aca="false">IF($J353="","",$J353+$K353)</f>
        <v>1929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54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IF($T354="","",1+COUNTIF($W$15:$W$895,"&lt;"&amp;W354))</f>
        <v/>
      </c>
      <c r="B354" s="16" t="s">
        <v>6</v>
      </c>
      <c r="C354" s="16" t="s">
        <v>460</v>
      </c>
      <c r="D354" s="16" t="s">
        <v>61</v>
      </c>
      <c r="E354" s="16" t="s">
        <v>62</v>
      </c>
      <c r="F354" s="16" t="s">
        <v>461</v>
      </c>
      <c r="G354" s="17">
        <v>1929</v>
      </c>
      <c r="H354" s="17"/>
      <c r="I354" s="17"/>
      <c r="J354" s="17">
        <v>1929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1929</v>
      </c>
      <c r="M354" s="17">
        <f aca="false">IF($H354="","",$H354+$K354)</f>
        <v/>
      </c>
      <c r="N354" s="17">
        <f aca="false">IF($J354="","",$J354+$K354)</f>
        <v>1929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54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IF($T355="","",1+COUNTIF($W$15:$W$895,"&lt;"&amp;W355))</f>
        <v/>
      </c>
      <c r="B355" s="16" t="s">
        <v>6</v>
      </c>
      <c r="C355" s="16" t="s">
        <v>645</v>
      </c>
      <c r="D355" s="16" t="s">
        <v>58</v>
      </c>
      <c r="E355" s="16" t="s">
        <v>26</v>
      </c>
      <c r="F355" s="16" t="s">
        <v>646</v>
      </c>
      <c r="G355" s="17">
        <v>1929</v>
      </c>
      <c r="H355" s="17"/>
      <c r="I355" s="17"/>
      <c r="J355" s="17">
        <v>1929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1929</v>
      </c>
      <c r="M355" s="17">
        <f aca="false">IF($H355="","",$H355+$K355)</f>
        <v/>
      </c>
      <c r="N355" s="17">
        <f aca="false">IF($J355="","",$J355+$K355)</f>
        <v>1929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54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IF($T356="","",1+COUNTIF($W$15:$W$895,"&lt;"&amp;W356))</f>
        <v/>
      </c>
      <c r="B356" s="16" t="s">
        <v>6</v>
      </c>
      <c r="C356" s="16" t="s">
        <v>1164</v>
      </c>
      <c r="D356" s="16" t="s">
        <v>45</v>
      </c>
      <c r="E356" s="16" t="s">
        <v>26</v>
      </c>
      <c r="F356" s="16" t="s">
        <v>1165</v>
      </c>
      <c r="G356" s="17">
        <v>1929</v>
      </c>
      <c r="H356" s="17"/>
      <c r="I356" s="17"/>
      <c r="J356" s="17">
        <v>1929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1929</v>
      </c>
      <c r="M356" s="17">
        <f aca="false">IF($H356="","",$H356+$K356)</f>
        <v/>
      </c>
      <c r="N356" s="17">
        <f aca="false">IF($J356="","",$J356+$K356)</f>
        <v>1929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54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6" collapsed="false" customFormat="true" customHeight="true" hidden="false" ht="28.5" outlineLevel="0">
      <c r="A357" s="16">
        <f aca="false">IF($T357="","",1+COUNTIF($W$15:$W$895,"&lt;"&amp;W357))</f>
        <v/>
      </c>
      <c r="B357" s="16" t="s">
        <v>6</v>
      </c>
      <c r="C357" s="16" t="s">
        <v>1341</v>
      </c>
      <c r="D357" s="21" t="s">
        <v>81</v>
      </c>
      <c r="E357" s="16" t="s">
        <v>62</v>
      </c>
      <c r="F357" s="16" t="s">
        <v>1342</v>
      </c>
      <c r="G357" s="17">
        <v>1929</v>
      </c>
      <c r="H357" s="17"/>
      <c r="I357" s="17"/>
      <c r="J357" s="17">
        <v>1929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1929</v>
      </c>
      <c r="M357" s="17">
        <f aca="false">IF($H357="","",$H357+$K357)</f>
        <v/>
      </c>
      <c r="N357" s="17">
        <f aca="false">IF($J357="","",$J357+$K357)</f>
        <v>1929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54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IF($T358="","",1+COUNTIF($W$15:$W$895,"&lt;"&amp;W358))</f>
        <v/>
      </c>
      <c r="B358" s="16" t="s">
        <v>12</v>
      </c>
      <c r="C358" s="16" t="s">
        <v>164</v>
      </c>
      <c r="D358" s="20" t="s">
        <v>58</v>
      </c>
      <c r="E358" s="16" t="s">
        <v>26</v>
      </c>
      <c r="F358" s="16" t="s">
        <v>165</v>
      </c>
      <c r="G358" s="17">
        <v>1929</v>
      </c>
      <c r="H358" s="17"/>
      <c r="I358" s="17"/>
      <c r="J358" s="17">
        <v>1929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1929</v>
      </c>
      <c r="M358" s="17">
        <f aca="false">IF($H358="","",$H358+$K358)</f>
        <v/>
      </c>
      <c r="N358" s="17">
        <f aca="false">IF($J358="","",$J358+$K358)</f>
        <v>1929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54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IF($T359="","",1+COUNTIF($W$15:$W$895,"&lt;"&amp;W359))</f>
        <v/>
      </c>
      <c r="B359" s="16" t="s">
        <v>12</v>
      </c>
      <c r="C359" s="16" t="s">
        <v>643</v>
      </c>
      <c r="D359" s="21" t="s">
        <v>81</v>
      </c>
      <c r="E359" s="16" t="s">
        <v>26</v>
      </c>
      <c r="F359" s="16" t="s">
        <v>644</v>
      </c>
      <c r="G359" s="17">
        <v>1929</v>
      </c>
      <c r="H359" s="17"/>
      <c r="I359" s="17"/>
      <c r="J359" s="17">
        <v>1929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1929</v>
      </c>
      <c r="M359" s="17">
        <f aca="false">IF($H359="","",$H359+$K359)</f>
        <v/>
      </c>
      <c r="N359" s="17">
        <f aca="false">IF($J359="","",$J359+$K359)</f>
        <v>1929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54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22" collapsed="false" customFormat="true" customHeight="true" hidden="false" ht="28.5" outlineLevel="0">
      <c r="A360" s="16">
        <f aca="false">IF($T360="","",1+COUNTIF($W$15:$W$895,"&lt;"&amp;W360))</f>
        <v/>
      </c>
      <c r="B360" s="16" t="s">
        <v>6</v>
      </c>
      <c r="C360" s="16" t="s">
        <v>1457</v>
      </c>
      <c r="D360" s="16" t="s">
        <v>45</v>
      </c>
      <c r="E360" s="16" t="s">
        <v>26</v>
      </c>
      <c r="F360" s="16" t="s">
        <v>1458</v>
      </c>
      <c r="G360" s="17">
        <v>1932</v>
      </c>
      <c r="H360" s="17"/>
      <c r="I360" s="17"/>
      <c r="J360" s="17">
        <v>1849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1932</v>
      </c>
      <c r="M360" s="17">
        <f aca="false">IF($H360="","",$H360+$K360)</f>
        <v/>
      </c>
      <c r="N360" s="17">
        <f aca="false">IF($J360="","",$J360+$K360)</f>
        <v>1849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54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22" collapsed="false" customFormat="true" customHeight="true" hidden="false" ht="28.5" outlineLevel="0">
      <c r="A361" s="16">
        <f aca="false">IF($T361="","",1+COUNTIF($W$15:$W$895,"&lt;"&amp;W361))</f>
        <v/>
      </c>
      <c r="B361" s="16" t="s">
        <v>14</v>
      </c>
      <c r="C361" s="16" t="s">
        <v>1400</v>
      </c>
      <c r="D361" s="16" t="s">
        <v>58</v>
      </c>
      <c r="E361" s="16" t="s">
        <v>62</v>
      </c>
      <c r="F361" s="16" t="s">
        <v>1401</v>
      </c>
      <c r="G361" s="17">
        <v>1955</v>
      </c>
      <c r="H361" s="17"/>
      <c r="I361" s="17"/>
      <c r="J361" s="17">
        <v>1945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1955</v>
      </c>
      <c r="M361" s="17">
        <f aca="false">IF($H361="","",$H361+$K361)</f>
        <v/>
      </c>
      <c r="N361" s="17">
        <f aca="false">IF($J361="","",$J361+$K361)</f>
        <v>1945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54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IF($T362="","",1+COUNTIF($W$15:$W$895,"&lt;"&amp;W362))</f>
        <v/>
      </c>
      <c r="B362" s="16" t="s">
        <v>10</v>
      </c>
      <c r="C362" s="16" t="s">
        <v>927</v>
      </c>
      <c r="D362" s="16" t="s">
        <v>61</v>
      </c>
      <c r="E362" s="16" t="s">
        <v>26</v>
      </c>
      <c r="F362" s="16" t="s">
        <v>928</v>
      </c>
      <c r="G362" s="17">
        <v>1934</v>
      </c>
      <c r="H362" s="17"/>
      <c r="I362" s="17"/>
      <c r="J362" s="17">
        <v>1922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1934</v>
      </c>
      <c r="M362" s="17">
        <f aca="false">IF($H362="","",$H362+$K362)</f>
        <v/>
      </c>
      <c r="N362" s="17">
        <f aca="false">IF($J362="","",$J362+$K362)</f>
        <v>1922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54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22" collapsed="false" customFormat="true" customHeight="true" hidden="false" ht="28.5" outlineLevel="0">
      <c r="A363" s="16">
        <f aca="false">IF($T363="","",1+COUNTIF($W$15:$W$895,"&lt;"&amp;W363))</f>
        <v/>
      </c>
      <c r="B363" s="16" t="s">
        <v>10</v>
      </c>
      <c r="C363" s="16" t="s">
        <v>1650</v>
      </c>
      <c r="D363" s="16" t="s">
        <v>45</v>
      </c>
      <c r="E363" s="16" t="s">
        <v>62</v>
      </c>
      <c r="F363" s="16" t="s">
        <v>1651</v>
      </c>
      <c r="G363" s="17">
        <v>1934</v>
      </c>
      <c r="H363" s="17"/>
      <c r="I363" s="17"/>
      <c r="J363" s="17">
        <v>1933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1934</v>
      </c>
      <c r="M363" s="17">
        <f aca="false">IF($H363="","",$H363+$K363)</f>
        <v/>
      </c>
      <c r="N363" s="17">
        <f aca="false">IF($J363="","",$J363+$K363)</f>
        <v>1933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54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IF($T364="","",1+COUNTIF($W$15:$W$895,"&lt;"&amp;W364))</f>
        <v/>
      </c>
      <c r="B364" s="16" t="s">
        <v>6</v>
      </c>
      <c r="C364" s="16" t="s">
        <v>567</v>
      </c>
      <c r="D364" s="21" t="s">
        <v>81</v>
      </c>
      <c r="E364" s="16" t="s">
        <v>26</v>
      </c>
      <c r="F364" s="16" t="s">
        <v>568</v>
      </c>
      <c r="G364" s="17">
        <v>1935</v>
      </c>
      <c r="H364" s="17"/>
      <c r="I364" s="17"/>
      <c r="J364" s="17">
        <v>1925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1935</v>
      </c>
      <c r="M364" s="17">
        <f aca="false">IF($H364="","",$H364+$K364)</f>
        <v/>
      </c>
      <c r="N364" s="17">
        <f aca="false">IF($J364="","",$J364+$K364)</f>
        <v>1925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54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IF($T365="","",1+COUNTIF($W$15:$W$895,"&lt;"&amp;W365))</f>
        <v/>
      </c>
      <c r="B365" s="16" t="s">
        <v>6</v>
      </c>
      <c r="C365" s="16" t="s">
        <v>1707</v>
      </c>
      <c r="D365" s="16" t="s">
        <v>45</v>
      </c>
      <c r="E365" s="16" t="s">
        <v>26</v>
      </c>
      <c r="F365" s="16" t="s">
        <v>1708</v>
      </c>
      <c r="G365" s="17">
        <v>1935</v>
      </c>
      <c r="H365" s="17"/>
      <c r="I365" s="17"/>
      <c r="J365" s="17">
        <v>1925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1935</v>
      </c>
      <c r="M365" s="17">
        <f aca="false">IF($H365="","",$H365+$K365)</f>
        <v/>
      </c>
      <c r="N365" s="17">
        <f aca="false">IF($J365="","",$J365+$K365)</f>
        <v>1925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54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C365" s="3"/>
    </row>
    <row r="366" s="6" collapsed="false" customFormat="true" customHeight="true" hidden="false" ht="28.5" outlineLevel="0">
      <c r="A366" s="16">
        <f aca="false">IF($T366="","",1+COUNTIF($W$15:$W$895,"&lt;"&amp;W366))</f>
        <v/>
      </c>
      <c r="B366" s="16" t="s">
        <v>6</v>
      </c>
      <c r="C366" s="16" t="s">
        <v>1517</v>
      </c>
      <c r="D366" s="16" t="s">
        <v>58</v>
      </c>
      <c r="E366" s="16" t="s">
        <v>62</v>
      </c>
      <c r="F366" s="16" t="s">
        <v>1518</v>
      </c>
      <c r="G366" s="17">
        <v>1935</v>
      </c>
      <c r="H366" s="17"/>
      <c r="I366" s="17"/>
      <c r="J366" s="17">
        <v>1933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1935</v>
      </c>
      <c r="M366" s="17">
        <f aca="false">IF($H366="","",$H366+$K366)</f>
        <v/>
      </c>
      <c r="N366" s="17">
        <f aca="false">IF($J366="","",$J366+$K366)</f>
        <v>1933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54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C366" s="3"/>
    </row>
    <row r="367" s="5" collapsed="false" customFormat="true" customHeight="true" hidden="false" ht="28.5" outlineLevel="0">
      <c r="A367" s="16">
        <f aca="false">IF($T367="","",1+COUNTIF($W$15:$W$895,"&lt;"&amp;W367))</f>
        <v/>
      </c>
      <c r="B367" s="16" t="s">
        <v>6</v>
      </c>
      <c r="C367" s="16" t="s">
        <v>146</v>
      </c>
      <c r="D367" s="16" t="s">
        <v>45</v>
      </c>
      <c r="E367" s="16" t="s">
        <v>26</v>
      </c>
      <c r="F367" s="16" t="s">
        <v>147</v>
      </c>
      <c r="G367" s="17">
        <v>1935</v>
      </c>
      <c r="H367" s="17"/>
      <c r="I367" s="17"/>
      <c r="J367" s="17">
        <v>1935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1935</v>
      </c>
      <c r="M367" s="17">
        <f aca="false">IF($H367="","",$H367+$K367)</f>
        <v/>
      </c>
      <c r="N367" s="17">
        <f aca="false">IF($J367="","",$J367+$K367)</f>
        <v>1935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54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IF($T368="","",1+COUNTIF($W$15:$W$895,"&lt;"&amp;W368))</f>
        <v/>
      </c>
      <c r="B368" s="16" t="s">
        <v>16</v>
      </c>
      <c r="C368" s="16" t="s">
        <v>621</v>
      </c>
      <c r="D368" s="21" t="s">
        <v>81</v>
      </c>
      <c r="E368" s="16" t="s">
        <v>62</v>
      </c>
      <c r="F368" s="16" t="s">
        <v>622</v>
      </c>
      <c r="G368" s="17">
        <v>1980</v>
      </c>
      <c r="H368" s="17"/>
      <c r="I368" s="17"/>
      <c r="J368" s="17">
        <v>1900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1980</v>
      </c>
      <c r="M368" s="17">
        <f aca="false">IF($H368="","",$H368+$K368)</f>
        <v/>
      </c>
      <c r="N368" s="17">
        <f aca="false">IF($J368="","",$J368+$K368)</f>
        <v>1900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54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IF($T369="","",1+COUNTIF($W$15:$W$895,"&lt;"&amp;W369))</f>
        <v/>
      </c>
      <c r="B369" s="16" t="s">
        <v>14</v>
      </c>
      <c r="C369" s="16" t="s">
        <v>1343</v>
      </c>
      <c r="D369" s="16" t="s">
        <v>61</v>
      </c>
      <c r="E369" s="16" t="s">
        <v>26</v>
      </c>
      <c r="F369" s="16" t="s">
        <v>1344</v>
      </c>
      <c r="G369" s="17">
        <v>1958</v>
      </c>
      <c r="H369" s="17"/>
      <c r="I369" s="17"/>
      <c r="J369" s="17">
        <v>1937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1958</v>
      </c>
      <c r="M369" s="17">
        <f aca="false">IF($H369="","",$H369+$K369)</f>
        <v/>
      </c>
      <c r="N369" s="17">
        <f aca="false">IF($J369="","",$J369+$K369)</f>
        <v>1937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54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IF($T370="","",1+COUNTIF($W$15:$W$895,"&lt;"&amp;W370))</f>
        <v/>
      </c>
      <c r="B370" s="16" t="s">
        <v>12</v>
      </c>
      <c r="C370" s="16" t="s">
        <v>953</v>
      </c>
      <c r="D370" s="20" t="s">
        <v>45</v>
      </c>
      <c r="E370" s="16" t="s">
        <v>26</v>
      </c>
      <c r="F370" s="16" t="s">
        <v>954</v>
      </c>
      <c r="G370" s="17">
        <v>1937</v>
      </c>
      <c r="H370" s="17"/>
      <c r="I370" s="17"/>
      <c r="J370" s="17">
        <v>1907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1937</v>
      </c>
      <c r="M370" s="17">
        <f aca="false">IF($H370="","",$H370+$K370)</f>
        <v/>
      </c>
      <c r="N370" s="17">
        <f aca="false">IF($J370="","",$J370+$K370)</f>
        <v>1907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54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IF($T371="","",1+COUNTIF($W$15:$W$895,"&lt;"&amp;W371))</f>
        <v/>
      </c>
      <c r="B371" s="16" t="s">
        <v>8</v>
      </c>
      <c r="C371" s="16" t="s">
        <v>1455</v>
      </c>
      <c r="D371" s="16" t="s">
        <v>61</v>
      </c>
      <c r="E371" s="16" t="s">
        <v>26</v>
      </c>
      <c r="F371" s="16" t="s">
        <v>1456</v>
      </c>
      <c r="G371" s="17">
        <v>1937</v>
      </c>
      <c r="H371" s="17"/>
      <c r="I371" s="17"/>
      <c r="J371" s="17">
        <v>1927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1937</v>
      </c>
      <c r="M371" s="17">
        <f aca="false">IF($H371="","",$H371+$K371)</f>
        <v/>
      </c>
      <c r="N371" s="17">
        <f aca="false">IF($J371="","",$J371+$K371)</f>
        <v>1927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54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IF($T372="","",1+COUNTIF($W$15:$W$895,"&lt;"&amp;W372))</f>
        <v/>
      </c>
      <c r="B372" s="16" t="s">
        <v>12</v>
      </c>
      <c r="C372" s="16" t="s">
        <v>884</v>
      </c>
      <c r="D372" s="20" t="s">
        <v>58</v>
      </c>
      <c r="E372" s="16" t="s">
        <v>62</v>
      </c>
      <c r="F372" s="16" t="s">
        <v>885</v>
      </c>
      <c r="G372" s="17">
        <v>1937</v>
      </c>
      <c r="H372" s="17"/>
      <c r="I372" s="17"/>
      <c r="J372" s="17">
        <v>1927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1937</v>
      </c>
      <c r="M372" s="17">
        <f aca="false">IF($H372="","",$H372+$K372)</f>
        <v/>
      </c>
      <c r="N372" s="17">
        <f aca="false">IF($J372="","",$J372+$K372)</f>
        <v>1927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54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6" collapsed="false" customFormat="true" customHeight="true" hidden="false" ht="28.5" outlineLevel="0">
      <c r="A373" s="16">
        <f aca="false">IF($T373="","",1+COUNTIF($W$15:$W$895,"&lt;"&amp;W373))</f>
        <v/>
      </c>
      <c r="B373" s="16" t="s">
        <v>10</v>
      </c>
      <c r="C373" s="16" t="s">
        <v>1760</v>
      </c>
      <c r="D373" s="16" t="s">
        <v>45</v>
      </c>
      <c r="E373" s="16" t="s">
        <v>26</v>
      </c>
      <c r="F373" s="16" t="s">
        <v>1762</v>
      </c>
      <c r="G373" s="17">
        <v>1937</v>
      </c>
      <c r="H373" s="17"/>
      <c r="I373" s="17"/>
      <c r="J373" s="17">
        <v>1937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1937</v>
      </c>
      <c r="M373" s="17">
        <f aca="false">IF($H373="","",$H373+$K373)</f>
        <v/>
      </c>
      <c r="N373" s="17">
        <f aca="false">IF($J373="","",$J373+$K373)</f>
        <v>1937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54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C373" s="3"/>
    </row>
    <row r="374" s="5" collapsed="false" customFormat="true" customHeight="true" hidden="false" ht="28.5" outlineLevel="0">
      <c r="A374" s="16">
        <f aca="false">IF($T374="","",1+COUNTIF($W$15:$W$895,"&lt;"&amp;W374))</f>
        <v/>
      </c>
      <c r="B374" s="16" t="s">
        <v>14</v>
      </c>
      <c r="C374" s="16" t="s">
        <v>1082</v>
      </c>
      <c r="D374" s="16" t="s">
        <v>58</v>
      </c>
      <c r="E374" s="16" t="s">
        <v>26</v>
      </c>
      <c r="F374" s="16" t="s">
        <v>1083</v>
      </c>
      <c r="G374" s="17">
        <v>1959</v>
      </c>
      <c r="H374" s="17"/>
      <c r="I374" s="17"/>
      <c r="J374" s="17">
        <v>1948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1959</v>
      </c>
      <c r="M374" s="17">
        <f aca="false">IF($H374="","",$H374+$K374)</f>
        <v/>
      </c>
      <c r="N374" s="17">
        <f aca="false">IF($J374="","",$J374+$K374)</f>
        <v>1948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54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IF($T375="","",1+COUNTIF($W$15:$W$895,"&lt;"&amp;W375))</f>
        <v/>
      </c>
      <c r="B375" s="16" t="s">
        <v>14</v>
      </c>
      <c r="C375" s="16" t="s">
        <v>294</v>
      </c>
      <c r="D375" s="16" t="s">
        <v>45</v>
      </c>
      <c r="E375" s="16" t="s">
        <v>26</v>
      </c>
      <c r="F375" s="16" t="s">
        <v>295</v>
      </c>
      <c r="G375" s="17">
        <v>1959</v>
      </c>
      <c r="H375" s="17"/>
      <c r="I375" s="17"/>
      <c r="J375" s="17">
        <v>1959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1959</v>
      </c>
      <c r="M375" s="17">
        <f aca="false">IF($H375="","",$H375+$K375)</f>
        <v/>
      </c>
      <c r="N375" s="17">
        <f aca="false">IF($J375="","",$J375+$K375)</f>
        <v>1959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54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IF($T376="","",1+COUNTIF($W$15:$W$895,"&lt;"&amp;W376))</f>
        <v/>
      </c>
      <c r="B376" s="16" t="s">
        <v>6</v>
      </c>
      <c r="C376" s="16" t="s">
        <v>398</v>
      </c>
      <c r="D376" s="16" t="s">
        <v>61</v>
      </c>
      <c r="E376" s="16" t="s">
        <v>26</v>
      </c>
      <c r="F376" s="16" t="s">
        <v>399</v>
      </c>
      <c r="G376" s="17">
        <v>1938</v>
      </c>
      <c r="H376" s="17"/>
      <c r="I376" s="17"/>
      <c r="J376" s="17">
        <v>1938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1938</v>
      </c>
      <c r="M376" s="17">
        <f aca="false">IF($H376="","",$H376+$K376)</f>
        <v/>
      </c>
      <c r="N376" s="17">
        <f aca="false">IF($J376="","",$J376+$K376)</f>
        <v>1938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54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IF($T377="","",1+COUNTIF($W$15:$W$895,"&lt;"&amp;W377))</f>
        <v/>
      </c>
      <c r="B377" s="16" t="s">
        <v>10</v>
      </c>
      <c r="C377" s="16" t="s">
        <v>1086</v>
      </c>
      <c r="D377" s="16" t="s">
        <v>61</v>
      </c>
      <c r="E377" s="16" t="s">
        <v>62</v>
      </c>
      <c r="F377" s="16" t="s">
        <v>1087</v>
      </c>
      <c r="G377" s="17">
        <v>1939</v>
      </c>
      <c r="H377" s="17"/>
      <c r="I377" s="17"/>
      <c r="J377" s="17">
        <v>1929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1939</v>
      </c>
      <c r="M377" s="17">
        <f aca="false">IF($H377="","",$H377+$K377)</f>
        <v/>
      </c>
      <c r="N377" s="17">
        <f aca="false">IF($J377="","",$J377+$K377)</f>
        <v>1929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54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IF($T378="","",1+COUNTIF($W$15:$W$895,"&lt;"&amp;W378))</f>
        <v/>
      </c>
      <c r="B378" s="16" t="s">
        <v>6</v>
      </c>
      <c r="C378" s="16" t="s">
        <v>788</v>
      </c>
      <c r="D378" s="16" t="s">
        <v>58</v>
      </c>
      <c r="E378" s="16" t="s">
        <v>26</v>
      </c>
      <c r="F378" s="16" t="s">
        <v>789</v>
      </c>
      <c r="G378" s="17">
        <v>1939</v>
      </c>
      <c r="H378" s="17"/>
      <c r="I378" s="17"/>
      <c r="J378" s="17">
        <v>1939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1939</v>
      </c>
      <c r="M378" s="17">
        <f aca="false">IF($H378="","",$H378+$K378)</f>
        <v/>
      </c>
      <c r="N378" s="17">
        <f aca="false">IF($J378="","",$J378+$K378)</f>
        <v>1939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54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IF($T379="","",1+COUNTIF($W$15:$W$895,"&lt;"&amp;W379))</f>
        <v/>
      </c>
      <c r="B379" s="16" t="s">
        <v>10</v>
      </c>
      <c r="C379" s="16" t="s">
        <v>437</v>
      </c>
      <c r="D379" s="16" t="s">
        <v>58</v>
      </c>
      <c r="E379" s="16" t="s">
        <v>62</v>
      </c>
      <c r="F379" s="16" t="s">
        <v>439</v>
      </c>
      <c r="G379" s="17">
        <v>1940</v>
      </c>
      <c r="H379" s="17"/>
      <c r="I379" s="17"/>
      <c r="J379" s="17">
        <v>1930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1940</v>
      </c>
      <c r="M379" s="17">
        <f aca="false">IF($H379="","",$H379+$K379)</f>
        <v/>
      </c>
      <c r="N379" s="17">
        <f aca="false">IF($J379="","",$J379+$K379)</f>
        <v>1930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54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IF($T380="","",1+COUNTIF($W$15:$W$895,"&lt;"&amp;W380))</f>
        <v/>
      </c>
      <c r="B380" s="16" t="s">
        <v>6</v>
      </c>
      <c r="C380" s="16" t="s">
        <v>64</v>
      </c>
      <c r="D380" s="16" t="s">
        <v>61</v>
      </c>
      <c r="E380" s="16" t="s">
        <v>62</v>
      </c>
      <c r="F380" s="16" t="s">
        <v>66</v>
      </c>
      <c r="G380" s="17">
        <v>1943</v>
      </c>
      <c r="H380" s="17"/>
      <c r="I380" s="17"/>
      <c r="J380" s="17">
        <v>1933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1943</v>
      </c>
      <c r="M380" s="17">
        <f aca="false">IF($H380="","",$H380+$K380)</f>
        <v/>
      </c>
      <c r="N380" s="17">
        <f aca="false">IF($J380="","",$J380+$K380)</f>
        <v>1933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54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IF($T381="","",1+COUNTIF($W$15:$W$895,"&lt;"&amp;W381))</f>
        <v/>
      </c>
      <c r="B381" s="16" t="s">
        <v>6</v>
      </c>
      <c r="C381" s="16" t="s">
        <v>1584</v>
      </c>
      <c r="D381" s="16" t="s">
        <v>96</v>
      </c>
      <c r="E381" s="16" t="s">
        <v>62</v>
      </c>
      <c r="F381" s="16" t="s">
        <v>1585</v>
      </c>
      <c r="G381" s="17">
        <v>1944</v>
      </c>
      <c r="H381" s="17"/>
      <c r="I381" s="17"/>
      <c r="J381" s="17">
        <v>1875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1944</v>
      </c>
      <c r="M381" s="17">
        <f aca="false">IF($H381="","",$H381+$K381)</f>
        <v/>
      </c>
      <c r="N381" s="17">
        <f aca="false">IF($J381="","",$J381+$K381)</f>
        <v>1875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54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IF($T382="","",1+COUNTIF($W$15:$W$895,"&lt;"&amp;W382))</f>
        <v/>
      </c>
      <c r="B382" s="16" t="s">
        <v>6</v>
      </c>
      <c r="C382" s="16" t="s">
        <v>262</v>
      </c>
      <c r="D382" s="21" t="s">
        <v>81</v>
      </c>
      <c r="E382" s="16" t="s">
        <v>26</v>
      </c>
      <c r="F382" s="16" t="s">
        <v>263</v>
      </c>
      <c r="G382" s="17">
        <v>1944</v>
      </c>
      <c r="H382" s="17"/>
      <c r="I382" s="17"/>
      <c r="J382" s="17">
        <v>1883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1944</v>
      </c>
      <c r="M382" s="17">
        <f aca="false">IF($H382="","",$H382+$K382)</f>
        <v/>
      </c>
      <c r="N382" s="17">
        <f aca="false">IF($J382="","",$J382+$K382)</f>
        <v>1883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54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IF($T383="","",1+COUNTIF($W$15:$W$895,"&lt;"&amp;W383))</f>
        <v/>
      </c>
      <c r="B383" s="16" t="s">
        <v>12</v>
      </c>
      <c r="C383" s="16" t="s">
        <v>906</v>
      </c>
      <c r="D383" s="20" t="s">
        <v>58</v>
      </c>
      <c r="E383" s="16" t="s">
        <v>26</v>
      </c>
      <c r="F383" s="16" t="s">
        <v>907</v>
      </c>
      <c r="G383" s="17">
        <v>1945</v>
      </c>
      <c r="H383" s="17"/>
      <c r="I383" s="17"/>
      <c r="J383" s="17">
        <v>1895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1945</v>
      </c>
      <c r="M383" s="17">
        <f aca="false">IF($H383="","",$H383+$K383)</f>
        <v/>
      </c>
      <c r="N383" s="17">
        <f aca="false">IF($J383="","",$J383+$K383)</f>
        <v>1895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54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IF($T384="","",1+COUNTIF($W$15:$W$895,"&lt;"&amp;W384))</f>
        <v/>
      </c>
      <c r="B384" s="16" t="s">
        <v>8</v>
      </c>
      <c r="C384" s="16" t="s">
        <v>811</v>
      </c>
      <c r="D384" s="16" t="s">
        <v>58</v>
      </c>
      <c r="E384" s="16" t="s">
        <v>26</v>
      </c>
      <c r="F384" s="16" t="s">
        <v>812</v>
      </c>
      <c r="G384" s="17">
        <v>1945</v>
      </c>
      <c r="H384" s="17"/>
      <c r="I384" s="17"/>
      <c r="J384" s="17">
        <v>1935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1945</v>
      </c>
      <c r="M384" s="17">
        <f aca="false">IF($H384="","",$H384+$K384)</f>
        <v/>
      </c>
      <c r="N384" s="17">
        <f aca="false">IF($J384="","",$J384+$K384)</f>
        <v>1935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54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22" collapsed="false" customFormat="true" customHeight="true" hidden="false" ht="28.5" outlineLevel="0">
      <c r="A385" s="16">
        <f aca="false">IF($T385="","",1+COUNTIF($W$15:$W$895,"&lt;"&amp;W385))</f>
        <v/>
      </c>
      <c r="B385" s="16" t="s">
        <v>10</v>
      </c>
      <c r="C385" s="16" t="s">
        <v>1379</v>
      </c>
      <c r="D385" s="16" t="s">
        <v>58</v>
      </c>
      <c r="E385" s="16" t="s">
        <v>26</v>
      </c>
      <c r="F385" s="16" t="s">
        <v>1380</v>
      </c>
      <c r="G385" s="17">
        <v>1945</v>
      </c>
      <c r="H385" s="17"/>
      <c r="I385" s="17"/>
      <c r="J385" s="17">
        <v>1935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1945</v>
      </c>
      <c r="M385" s="17">
        <f aca="false">IF($H385="","",$H385+$K385)</f>
        <v/>
      </c>
      <c r="N385" s="17">
        <f aca="false">IF($J385="","",$J385+$K385)</f>
        <v>1935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54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IF($T386="","",1+COUNTIF($W$15:$W$895,"&lt;"&amp;W386))</f>
        <v/>
      </c>
      <c r="B386" s="16" t="s">
        <v>6</v>
      </c>
      <c r="C386" s="16" t="s">
        <v>148</v>
      </c>
      <c r="D386" s="16" t="s">
        <v>45</v>
      </c>
      <c r="E386" s="16" t="s">
        <v>26</v>
      </c>
      <c r="F386" s="16" t="s">
        <v>149</v>
      </c>
      <c r="G386" s="17">
        <v>1945</v>
      </c>
      <c r="H386" s="17"/>
      <c r="I386" s="17"/>
      <c r="J386" s="17">
        <v>1945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1945</v>
      </c>
      <c r="M386" s="17">
        <f aca="false">IF($H386="","",$H386+$K386)</f>
        <v/>
      </c>
      <c r="N386" s="17">
        <f aca="false">IF($J386="","",$J386+$K386)</f>
        <v>1945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54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IF($T387="","",1+COUNTIF($W$15:$W$895,"&lt;"&amp;W387))</f>
        <v/>
      </c>
      <c r="B387" s="16" t="s">
        <v>12</v>
      </c>
      <c r="C387" s="16" t="s">
        <v>779</v>
      </c>
      <c r="D387" s="20" t="s">
        <v>45</v>
      </c>
      <c r="E387" s="16" t="s">
        <v>62</v>
      </c>
      <c r="F387" s="16" t="s">
        <v>781</v>
      </c>
      <c r="G387" s="17">
        <v>1945</v>
      </c>
      <c r="H387" s="17"/>
      <c r="I387" s="17"/>
      <c r="J387" s="17">
        <v>1945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1945</v>
      </c>
      <c r="M387" s="17">
        <f aca="false">IF($H387="","",$H387+$K387)</f>
        <v/>
      </c>
      <c r="N387" s="17">
        <f aca="false">IF($J387="","",$J387+$K387)</f>
        <v>1945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54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IF($T388="","",1+COUNTIF($W$15:$W$895,"&lt;"&amp;W388))</f>
        <v/>
      </c>
      <c r="B388" s="16" t="s">
        <v>12</v>
      </c>
      <c r="C388" s="16" t="s">
        <v>1032</v>
      </c>
      <c r="D388" s="20" t="s">
        <v>58</v>
      </c>
      <c r="E388" s="16" t="s">
        <v>26</v>
      </c>
      <c r="F388" s="16" t="s">
        <v>1033</v>
      </c>
      <c r="G388" s="17">
        <v>1947</v>
      </c>
      <c r="H388" s="17"/>
      <c r="I388" s="17"/>
      <c r="J388" s="17">
        <v>1917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1947</v>
      </c>
      <c r="M388" s="17">
        <f aca="false">IF($H388="","",$H388+$K388)</f>
        <v/>
      </c>
      <c r="N388" s="17">
        <f aca="false">IF($J388="","",$J388+$K388)</f>
        <v>1917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54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IF($T389="","",1+COUNTIF($W$15:$W$895,"&lt;"&amp;W389))</f>
        <v/>
      </c>
      <c r="B389" s="16" t="s">
        <v>8</v>
      </c>
      <c r="C389" s="16" t="s">
        <v>963</v>
      </c>
      <c r="D389" s="16" t="s">
        <v>58</v>
      </c>
      <c r="E389" s="16" t="s">
        <v>26</v>
      </c>
      <c r="F389" s="16" t="s">
        <v>964</v>
      </c>
      <c r="G389" s="17">
        <v>1947</v>
      </c>
      <c r="H389" s="17"/>
      <c r="I389" s="17"/>
      <c r="J389" s="17">
        <v>1935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1947</v>
      </c>
      <c r="M389" s="17">
        <f aca="false">IF($H389="","",$H389+$K389)</f>
        <v/>
      </c>
      <c r="N389" s="17">
        <f aca="false">IF($J389="","",$J389+$K389)</f>
        <v>1935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54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IF($T390="","",1+COUNTIF($W$15:$W$895,"&lt;"&amp;W390))</f>
        <v/>
      </c>
      <c r="B390" s="16" t="s">
        <v>10</v>
      </c>
      <c r="C390" s="16" t="s">
        <v>1101</v>
      </c>
      <c r="D390" s="16" t="s">
        <v>58</v>
      </c>
      <c r="E390" s="16" t="s">
        <v>26</v>
      </c>
      <c r="F390" s="16" t="s">
        <v>1102</v>
      </c>
      <c r="G390" s="17">
        <v>1947</v>
      </c>
      <c r="H390" s="17"/>
      <c r="I390" s="17"/>
      <c r="J390" s="17">
        <v>1937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1947</v>
      </c>
      <c r="M390" s="17">
        <f aca="false">IF($H390="","",$H390+$K390)</f>
        <v/>
      </c>
      <c r="N390" s="17">
        <f aca="false">IF($J390="","",$J390+$K390)</f>
        <v>1937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54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IF($T391="","",1+COUNTIF($W$15:$W$895,"&lt;"&amp;W391))</f>
        <v/>
      </c>
      <c r="B391" s="16" t="s">
        <v>6</v>
      </c>
      <c r="C391" s="16" t="s">
        <v>1691</v>
      </c>
      <c r="D391" s="16" t="s">
        <v>58</v>
      </c>
      <c r="E391" s="16" t="s">
        <v>26</v>
      </c>
      <c r="F391" s="16" t="s">
        <v>1692</v>
      </c>
      <c r="G391" s="17">
        <v>1947</v>
      </c>
      <c r="H391" s="17"/>
      <c r="I391" s="17"/>
      <c r="J391" s="17">
        <v>1947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1947</v>
      </c>
      <c r="M391" s="17">
        <f aca="false">IF($H391="","",$H391+$K391)</f>
        <v/>
      </c>
      <c r="N391" s="17">
        <f aca="false">IF($J391="","",$J391+$K391)</f>
        <v>1947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54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IF($T392="","",1+COUNTIF($W$15:$W$895,"&lt;"&amp;W392))</f>
        <v/>
      </c>
      <c r="B392" s="16" t="s">
        <v>12</v>
      </c>
      <c r="C392" s="16" t="s">
        <v>1396</v>
      </c>
      <c r="D392" s="20" t="s">
        <v>58</v>
      </c>
      <c r="E392" s="16" t="s">
        <v>26</v>
      </c>
      <c r="F392" s="16" t="s">
        <v>1397</v>
      </c>
      <c r="G392" s="17">
        <v>1947</v>
      </c>
      <c r="H392" s="17"/>
      <c r="I392" s="17"/>
      <c r="J392" s="17">
        <v>1957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1947</v>
      </c>
      <c r="M392" s="17">
        <f aca="false">IF($H392="","",$H392+$K392)</f>
        <v/>
      </c>
      <c r="N392" s="17">
        <f aca="false">IF($J392="","",$J392+$K392)</f>
        <v>1957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54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IF($T393="","",1+COUNTIF($W$15:$W$895,"&lt;"&amp;W393))</f>
        <v/>
      </c>
      <c r="B393" s="16" t="s">
        <v>14</v>
      </c>
      <c r="C393" s="16" t="s">
        <v>619</v>
      </c>
      <c r="D393" s="16" t="s">
        <v>45</v>
      </c>
      <c r="E393" s="16" t="s">
        <v>62</v>
      </c>
      <c r="F393" s="16" t="s">
        <v>620</v>
      </c>
      <c r="G393" s="17">
        <v>1969</v>
      </c>
      <c r="H393" s="17"/>
      <c r="I393" s="17"/>
      <c r="J393" s="17">
        <v>1959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1969</v>
      </c>
      <c r="M393" s="17">
        <f aca="false">IF($H393="","",$H393+$K393)</f>
        <v/>
      </c>
      <c r="N393" s="17">
        <f aca="false">IF($J393="","",$J393+$K393)</f>
        <v>1959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54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22" collapsed="false" customFormat="true" customHeight="true" hidden="false" ht="28.5" outlineLevel="0">
      <c r="A394" s="16">
        <f aca="false">IF($T394="","",1+COUNTIF($W$15:$W$895,"&lt;"&amp;W394))</f>
        <v/>
      </c>
      <c r="B394" s="16" t="s">
        <v>14</v>
      </c>
      <c r="C394" s="16" t="s">
        <v>1509</v>
      </c>
      <c r="D394" s="21" t="s">
        <v>81</v>
      </c>
      <c r="E394" s="16" t="s">
        <v>26</v>
      </c>
      <c r="F394" s="16" t="s">
        <v>1510</v>
      </c>
      <c r="G394" s="17">
        <v>1969</v>
      </c>
      <c r="H394" s="17"/>
      <c r="I394" s="17"/>
      <c r="J394" s="17">
        <v>1969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1969</v>
      </c>
      <c r="M394" s="17">
        <f aca="false">IF($H394="","",$H394+$K394)</f>
        <v/>
      </c>
      <c r="N394" s="17">
        <f aca="false">IF($J394="","",$J394+$K394)</f>
        <v>1969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54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IF($T395="","",1+COUNTIF($W$15:$W$895,"&lt;"&amp;W395))</f>
        <v/>
      </c>
      <c r="B395" s="16" t="s">
        <v>12</v>
      </c>
      <c r="C395" s="16" t="s">
        <v>605</v>
      </c>
      <c r="D395" s="21" t="s">
        <v>81</v>
      </c>
      <c r="E395" s="16" t="s">
        <v>26</v>
      </c>
      <c r="F395" s="16" t="s">
        <v>606</v>
      </c>
      <c r="G395" s="17">
        <v>1948</v>
      </c>
      <c r="H395" s="17"/>
      <c r="I395" s="17"/>
      <c r="J395" s="17">
        <v>1929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1948</v>
      </c>
      <c r="M395" s="17">
        <f aca="false">IF($H395="","",$H395+$K395)</f>
        <v/>
      </c>
      <c r="N395" s="17">
        <f aca="false">IF($J395="","",$J395+$K395)</f>
        <v>1929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54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IF($T396="","",1+COUNTIF($W$15:$W$895,"&lt;"&amp;W396))</f>
        <v/>
      </c>
      <c r="B396" s="16" t="s">
        <v>12</v>
      </c>
      <c r="C396" s="16" t="s">
        <v>454</v>
      </c>
      <c r="D396" s="21" t="s">
        <v>81</v>
      </c>
      <c r="E396" s="16" t="s">
        <v>26</v>
      </c>
      <c r="F396" s="16" t="s">
        <v>455</v>
      </c>
      <c r="G396" s="17">
        <v>1948</v>
      </c>
      <c r="H396" s="17"/>
      <c r="I396" s="17"/>
      <c r="J396" s="17">
        <v>1938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1948</v>
      </c>
      <c r="M396" s="17">
        <f aca="false">IF($H396="","",$H396+$K396)</f>
        <v/>
      </c>
      <c r="N396" s="17">
        <f aca="false">IF($J396="","",$J396+$K396)</f>
        <v>1938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54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IF($T397="","",1+COUNTIF($W$15:$W$895,"&lt;"&amp;W397))</f>
        <v/>
      </c>
      <c r="B397" s="16" t="s">
        <v>6</v>
      </c>
      <c r="C397" s="16" t="s">
        <v>248</v>
      </c>
      <c r="D397" s="21" t="s">
        <v>81</v>
      </c>
      <c r="E397" s="16" t="s">
        <v>26</v>
      </c>
      <c r="F397" s="16" t="s">
        <v>249</v>
      </c>
      <c r="G397" s="17">
        <v>1948</v>
      </c>
      <c r="H397" s="17"/>
      <c r="I397" s="17"/>
      <c r="J397" s="17">
        <v>1948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1948</v>
      </c>
      <c r="M397" s="17">
        <f aca="false">IF($H397="","",$H397+$K397)</f>
        <v/>
      </c>
      <c r="N397" s="17">
        <f aca="false">IF($J397="","",$J397+$K397)</f>
        <v>1948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54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IF($T398="","",1+COUNTIF($W$15:$W$895,"&lt;"&amp;W398))</f>
        <v/>
      </c>
      <c r="B398" s="16" t="s">
        <v>6</v>
      </c>
      <c r="C398" s="16" t="s">
        <v>1604</v>
      </c>
      <c r="D398" s="16" t="s">
        <v>58</v>
      </c>
      <c r="E398" s="16" t="s">
        <v>26</v>
      </c>
      <c r="F398" s="16" t="s">
        <v>1605</v>
      </c>
      <c r="G398" s="17">
        <v>1948</v>
      </c>
      <c r="H398" s="17"/>
      <c r="I398" s="17"/>
      <c r="J398" s="17">
        <v>1948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1948</v>
      </c>
      <c r="M398" s="17">
        <f aca="false">IF($H398="","",$H398+$K398)</f>
        <v/>
      </c>
      <c r="N398" s="17">
        <f aca="false">IF($J398="","",$J398+$K398)</f>
        <v>1948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54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5" collapsed="false" customFormat="true" customHeight="true" hidden="false" ht="28.5" outlineLevel="0">
      <c r="A399" s="16">
        <f aca="false">IF($T399="","",1+COUNTIF($W$15:$W$895,"&lt;"&amp;W399))</f>
        <v/>
      </c>
      <c r="B399" s="16" t="s">
        <v>10</v>
      </c>
      <c r="C399" s="16" t="s">
        <v>232</v>
      </c>
      <c r="D399" s="16" t="s">
        <v>45</v>
      </c>
      <c r="E399" s="16" t="s">
        <v>62</v>
      </c>
      <c r="F399" s="16" t="s">
        <v>233</v>
      </c>
      <c r="G399" s="17">
        <v>1764</v>
      </c>
      <c r="H399" s="17"/>
      <c r="I399" s="17"/>
      <c r="J399" s="17">
        <v>1749</v>
      </c>
      <c r="K399" s="17">
        <v>-10</v>
      </c>
      <c r="L399" s="17">
        <f aca="false">IF($G399="","",$G399+$K399)</f>
        <v>1754</v>
      </c>
      <c r="M399" s="17">
        <f aca="false">IF($H399="","",$H399+$K399)</f>
        <v/>
      </c>
      <c r="N399" s="17">
        <f aca="false">IF($J399="","",$J399+$K399)</f>
        <v>1739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/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IF($T400="","",1+COUNTIF($W$15:$W$895,"&lt;"&amp;W400))</f>
        <v/>
      </c>
      <c r="B400" s="16" t="s">
        <v>8</v>
      </c>
      <c r="C400" s="16" t="s">
        <v>875</v>
      </c>
      <c r="D400" s="16" t="s">
        <v>45</v>
      </c>
      <c r="E400" s="16" t="s">
        <v>62</v>
      </c>
      <c r="F400" s="16" t="s">
        <v>877</v>
      </c>
      <c r="G400" s="17">
        <v>1949</v>
      </c>
      <c r="H400" s="17"/>
      <c r="I400" s="17"/>
      <c r="J400" s="17">
        <v>1939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1949</v>
      </c>
      <c r="M400" s="17">
        <f aca="false">IF($H400="","",$H400+$K400)</f>
        <v/>
      </c>
      <c r="N400" s="17">
        <f aca="false">IF($J400="","",$J400+$K400)</f>
        <v>1939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54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IF($T401="","",1+COUNTIF($W$15:$W$895,"&lt;"&amp;W401))</f>
        <v/>
      </c>
      <c r="B401" s="16" t="s">
        <v>12</v>
      </c>
      <c r="C401" s="16" t="s">
        <v>166</v>
      </c>
      <c r="D401" s="20" t="s">
        <v>45</v>
      </c>
      <c r="E401" s="16" t="s">
        <v>26</v>
      </c>
      <c r="F401" s="16" t="s">
        <v>167</v>
      </c>
      <c r="G401" s="17">
        <v>1949</v>
      </c>
      <c r="H401" s="17"/>
      <c r="I401" s="17"/>
      <c r="J401" s="17">
        <v>1939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1949</v>
      </c>
      <c r="M401" s="17">
        <f aca="false">IF($H401="","",$H401+$K401)</f>
        <v/>
      </c>
      <c r="N401" s="17">
        <f aca="false">IF($J401="","",$J401+$K401)</f>
        <v>1939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54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IF($T402="","",1+COUNTIF($W$15:$W$895,"&lt;"&amp;W402))</f>
        <v/>
      </c>
      <c r="B402" s="16" t="s">
        <v>6</v>
      </c>
      <c r="C402" s="16" t="s">
        <v>124</v>
      </c>
      <c r="D402" s="21" t="s">
        <v>81</v>
      </c>
      <c r="E402" s="16" t="s">
        <v>26</v>
      </c>
      <c r="F402" s="16" t="s">
        <v>125</v>
      </c>
      <c r="G402" s="17">
        <v>1949</v>
      </c>
      <c r="H402" s="17"/>
      <c r="I402" s="17"/>
      <c r="J402" s="17">
        <v>1944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1949</v>
      </c>
      <c r="M402" s="17">
        <f aca="false">IF($H402="","",$H402+$K402)</f>
        <v/>
      </c>
      <c r="N402" s="17">
        <f aca="false">IF($J402="","",$J402+$K402)</f>
        <v>1944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54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IF($T403="","",1+COUNTIF($W$15:$W$895,"&lt;"&amp;W403))</f>
        <v/>
      </c>
      <c r="B403" s="16" t="s">
        <v>6</v>
      </c>
      <c r="C403" s="16" t="s">
        <v>1689</v>
      </c>
      <c r="D403" s="16" t="s">
        <v>45</v>
      </c>
      <c r="E403" s="16" t="s">
        <v>26</v>
      </c>
      <c r="F403" s="16" t="s">
        <v>1690</v>
      </c>
      <c r="G403" s="17">
        <v>1949</v>
      </c>
      <c r="H403" s="17"/>
      <c r="I403" s="17"/>
      <c r="J403" s="17">
        <v>1944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1949</v>
      </c>
      <c r="M403" s="17">
        <f aca="false">IF($H403="","",$H403+$K403)</f>
        <v/>
      </c>
      <c r="N403" s="17">
        <f aca="false">IF($J403="","",$J403+$K403)</f>
        <v>1944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54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 aca="false">IF($T404="","",1+COUNTIF($W$15:$W$895,"&lt;"&amp;W404))</f>
        <v/>
      </c>
      <c r="B404" s="16" t="s">
        <v>6</v>
      </c>
      <c r="C404" s="16" t="s">
        <v>1220</v>
      </c>
      <c r="D404" s="16" t="s">
        <v>45</v>
      </c>
      <c r="E404" s="16" t="s">
        <v>26</v>
      </c>
      <c r="F404" s="16" t="s">
        <v>1221</v>
      </c>
      <c r="G404" s="17">
        <v>1949</v>
      </c>
      <c r="H404" s="17"/>
      <c r="I404" s="17"/>
      <c r="J404" s="17">
        <v>1949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1949</v>
      </c>
      <c r="M404" s="17">
        <f aca="false">IF($H404="","",$H404+$K404)</f>
        <v/>
      </c>
      <c r="N404" s="17">
        <f aca="false">IF($J404="","",$J404+$K404)</f>
        <v>1949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54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22" collapsed="false" customFormat="true" customHeight="true" hidden="false" ht="28.5" outlineLevel="0">
      <c r="A405" s="16">
        <f aca="false">IF($T405="","",1+COUNTIF($W$15:$W$895,"&lt;"&amp;W405))</f>
        <v/>
      </c>
      <c r="B405" s="16" t="s">
        <v>8</v>
      </c>
      <c r="C405" s="16" t="s">
        <v>1192</v>
      </c>
      <c r="D405" s="16" t="s">
        <v>45</v>
      </c>
      <c r="E405" s="16" t="s">
        <v>26</v>
      </c>
      <c r="F405" s="16" t="s">
        <v>1193</v>
      </c>
      <c r="G405" s="17">
        <v>1949</v>
      </c>
      <c r="H405" s="17"/>
      <c r="I405" s="17"/>
      <c r="J405" s="17">
        <v>1949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1949</v>
      </c>
      <c r="M405" s="17">
        <f aca="false">IF($H405="","",$H405+$K405)</f>
        <v/>
      </c>
      <c r="N405" s="17">
        <f aca="false">IF($J405="","",$J405+$K405)</f>
        <v>1949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54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6" collapsed="false" customFormat="true" customHeight="true" hidden="false" ht="28.5" outlineLevel="0">
      <c r="A406" s="16">
        <f aca="false">IF($T406="","",1+COUNTIF($W$15:$W$895,"&lt;"&amp;W406))</f>
        <v/>
      </c>
      <c r="B406" s="16" t="s">
        <v>10</v>
      </c>
      <c r="C406" s="16" t="s">
        <v>1582</v>
      </c>
      <c r="D406" s="16" t="s">
        <v>45</v>
      </c>
      <c r="E406" s="16" t="s">
        <v>62</v>
      </c>
      <c r="F406" s="16" t="s">
        <v>1583</v>
      </c>
      <c r="G406" s="17">
        <v>1949</v>
      </c>
      <c r="H406" s="17"/>
      <c r="I406" s="17"/>
      <c r="J406" s="17">
        <v>1959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1949</v>
      </c>
      <c r="M406" s="17">
        <f aca="false">IF($H406="","",$H406+$K406)</f>
        <v/>
      </c>
      <c r="N406" s="17">
        <f aca="false">IF($J406="","",$J406+$K406)</f>
        <v>1959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54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C406" s="3"/>
    </row>
    <row r="407" s="6" collapsed="false" customFormat="true" customHeight="true" hidden="false" ht="28.5" outlineLevel="0">
      <c r="A407" s="16">
        <f aca="false">IF($T407="","",1+COUNTIF($W$15:$W$895,"&lt;"&amp;W407))</f>
        <v/>
      </c>
      <c r="B407" s="16" t="s">
        <v>12</v>
      </c>
      <c r="C407" s="16" t="s">
        <v>1556</v>
      </c>
      <c r="D407" s="20" t="s">
        <v>45</v>
      </c>
      <c r="E407" s="16" t="s">
        <v>26</v>
      </c>
      <c r="F407" s="16" t="s">
        <v>1557</v>
      </c>
      <c r="G407" s="17">
        <v>1950</v>
      </c>
      <c r="H407" s="17"/>
      <c r="I407" s="17"/>
      <c r="J407" s="17">
        <v>1915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1950</v>
      </c>
      <c r="M407" s="17">
        <f aca="false">IF($H407="","",$H407+$K407)</f>
        <v/>
      </c>
      <c r="N407" s="17">
        <f aca="false">IF($J407="","",$J407+$K407)</f>
        <v>1915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54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C407" s="3"/>
    </row>
    <row r="408" s="5" collapsed="false" customFormat="true" customHeight="true" hidden="false" ht="28.5" outlineLevel="0">
      <c r="A408" s="16">
        <f aca="false">IF($T408="","",1+COUNTIF($W$15:$W$895,"&lt;"&amp;W408))</f>
        <v/>
      </c>
      <c r="B408" s="16" t="s">
        <v>14</v>
      </c>
      <c r="C408" s="16" t="s">
        <v>1138</v>
      </c>
      <c r="D408" s="16" t="s">
        <v>61</v>
      </c>
      <c r="E408" s="16" t="s">
        <v>62</v>
      </c>
      <c r="F408" s="16" t="s">
        <v>1139</v>
      </c>
      <c r="G408" s="17">
        <v>1975</v>
      </c>
      <c r="H408" s="17"/>
      <c r="I408" s="17"/>
      <c r="J408" s="17">
        <v>1975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1975</v>
      </c>
      <c r="M408" s="17">
        <f aca="false">IF($H408="","",$H408+$K408)</f>
        <v/>
      </c>
      <c r="N408" s="17">
        <f aca="false">IF($J408="","",$J408+$K408)</f>
        <v>1975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54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22" collapsed="false" customFormat="true" customHeight="true" hidden="false" ht="28.5" outlineLevel="0">
      <c r="A409" s="16">
        <f aca="false">IF($T409="","",1+COUNTIF($W$15:$W$895,"&lt;"&amp;W409))</f>
        <v/>
      </c>
      <c r="B409" s="16" t="s">
        <v>6</v>
      </c>
      <c r="C409" s="16" t="s">
        <v>364</v>
      </c>
      <c r="D409" s="16" t="s">
        <v>48</v>
      </c>
      <c r="E409" s="16" t="s">
        <v>26</v>
      </c>
      <c r="F409" s="16" t="s">
        <v>365</v>
      </c>
      <c r="G409" s="17">
        <v>1954</v>
      </c>
      <c r="H409" s="17"/>
      <c r="I409" s="17"/>
      <c r="J409" s="17">
        <v>1859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1954</v>
      </c>
      <c r="M409" s="17">
        <f aca="false">IF($H409="","",$H409+$K409)</f>
        <v/>
      </c>
      <c r="N409" s="17">
        <f aca="false">IF($J409="","",$J409+$K409)</f>
        <v>1859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54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IF($T410="","",1+COUNTIF($W$15:$W$895,"&lt;"&amp;W410))</f>
        <v/>
      </c>
      <c r="B410" s="16" t="s">
        <v>16</v>
      </c>
      <c r="C410" s="16" t="s">
        <v>298</v>
      </c>
      <c r="D410" s="21" t="s">
        <v>81</v>
      </c>
      <c r="E410" s="16" t="s">
        <v>26</v>
      </c>
      <c r="F410" s="16" t="s">
        <v>299</v>
      </c>
      <c r="G410" s="17">
        <v>1999</v>
      </c>
      <c r="H410" s="17"/>
      <c r="I410" s="17"/>
      <c r="J410" s="17">
        <v>1925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1999</v>
      </c>
      <c r="M410" s="17">
        <f aca="false">IF($H410="","",$H410+$K410)</f>
        <v/>
      </c>
      <c r="N410" s="17">
        <f aca="false">IF($J410="","",$J410+$K410)</f>
        <v>1925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54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IF($T411="","",1+COUNTIF($W$15:$W$895,"&lt;"&amp;W411))</f>
        <v/>
      </c>
      <c r="B411" s="16" t="s">
        <v>6</v>
      </c>
      <c r="C411" s="16" t="s">
        <v>246</v>
      </c>
      <c r="D411" s="21" t="s">
        <v>81</v>
      </c>
      <c r="E411" s="16" t="s">
        <v>26</v>
      </c>
      <c r="F411" s="16" t="s">
        <v>247</v>
      </c>
      <c r="G411" s="17">
        <v>1955</v>
      </c>
      <c r="H411" s="17"/>
      <c r="I411" s="17"/>
      <c r="J411" s="17">
        <v>1925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1955</v>
      </c>
      <c r="M411" s="17">
        <f aca="false">IF($H411="","",$H411+$K411)</f>
        <v/>
      </c>
      <c r="N411" s="17">
        <f aca="false">IF($J411="","",$J411+$K411)</f>
        <v>1925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54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IF($T412="","",1+COUNTIF($W$15:$W$895,"&lt;"&amp;W412))</f>
        <v/>
      </c>
      <c r="B412" s="16" t="s">
        <v>6</v>
      </c>
      <c r="C412" s="16" t="s">
        <v>452</v>
      </c>
      <c r="D412" s="16" t="s">
        <v>45</v>
      </c>
      <c r="E412" s="16" t="s">
        <v>26</v>
      </c>
      <c r="F412" s="16" t="s">
        <v>453</v>
      </c>
      <c r="G412" s="17">
        <v>1955</v>
      </c>
      <c r="H412" s="17"/>
      <c r="I412" s="17"/>
      <c r="J412" s="17">
        <v>1955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1955</v>
      </c>
      <c r="M412" s="17">
        <f aca="false">IF($H412="","",$H412+$K412)</f>
        <v/>
      </c>
      <c r="N412" s="17">
        <f aca="false">IF($J412="","",$J412+$K412)</f>
        <v>1955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54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6" collapsed="false" customFormat="true" customHeight="true" hidden="false" ht="28.5" outlineLevel="0">
      <c r="A413" s="16">
        <f aca="false">IF($T413="","",1+COUNTIF($W$15:$W$895,"&lt;"&amp;W413))</f>
        <v/>
      </c>
      <c r="B413" s="16" t="s">
        <v>10</v>
      </c>
      <c r="C413" s="16" t="s">
        <v>1721</v>
      </c>
      <c r="D413" s="16" t="s">
        <v>58</v>
      </c>
      <c r="E413" s="16" t="s">
        <v>26</v>
      </c>
      <c r="F413" s="16" t="s">
        <v>1722</v>
      </c>
      <c r="G413" s="17">
        <v>1955</v>
      </c>
      <c r="H413" s="17"/>
      <c r="I413" s="17"/>
      <c r="J413" s="17">
        <v>1955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1955</v>
      </c>
      <c r="M413" s="17">
        <f aca="false">IF($H413="","",$H413+$K413)</f>
        <v/>
      </c>
      <c r="N413" s="17">
        <f aca="false">IF($J413="","",$J413+$K413)</f>
        <v>1955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54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C413" s="3"/>
    </row>
    <row r="414" s="5" collapsed="false" customFormat="true" customHeight="true" hidden="false" ht="28.5" outlineLevel="0">
      <c r="A414" s="16">
        <f aca="false">IF($T414="","",1+COUNTIF($W$15:$W$895,"&lt;"&amp;W414))</f>
        <v/>
      </c>
      <c r="B414" s="16" t="s">
        <v>12</v>
      </c>
      <c r="C414" s="16" t="s">
        <v>742</v>
      </c>
      <c r="D414" s="21" t="s">
        <v>81</v>
      </c>
      <c r="E414" s="16" t="s">
        <v>26</v>
      </c>
      <c r="F414" s="16" t="s">
        <v>743</v>
      </c>
      <c r="G414" s="17">
        <v>1957</v>
      </c>
      <c r="H414" s="17"/>
      <c r="I414" s="17"/>
      <c r="J414" s="17">
        <v>1937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1957</v>
      </c>
      <c r="M414" s="17">
        <f aca="false">IF($H414="","",$H414+$K414)</f>
        <v/>
      </c>
      <c r="N414" s="17">
        <f aca="false">IF($J414="","",$J414+$K414)</f>
        <v>1937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54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IF($T415="","",1+COUNTIF($W$15:$W$895,"&lt;"&amp;W415))</f>
        <v/>
      </c>
      <c r="B415" s="16" t="s">
        <v>12</v>
      </c>
      <c r="C415" s="16" t="s">
        <v>767</v>
      </c>
      <c r="D415" s="21" t="s">
        <v>81</v>
      </c>
      <c r="E415" s="16" t="s">
        <v>62</v>
      </c>
      <c r="F415" s="16" t="s">
        <v>768</v>
      </c>
      <c r="G415" s="17">
        <v>1957</v>
      </c>
      <c r="H415" s="17"/>
      <c r="I415" s="17"/>
      <c r="J415" s="17">
        <v>1937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1957</v>
      </c>
      <c r="M415" s="17">
        <f aca="false">IF($H415="","",$H415+$K415)</f>
        <v/>
      </c>
      <c r="N415" s="17">
        <f aca="false">IF($J415="","",$J415+$K415)</f>
        <v>1937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54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IF($T416="","",1+COUNTIF($W$15:$W$895,"&lt;"&amp;W416))</f>
        <v/>
      </c>
      <c r="B416" s="16" t="s">
        <v>10</v>
      </c>
      <c r="C416" s="16" t="s">
        <v>859</v>
      </c>
      <c r="D416" s="16" t="s">
        <v>61</v>
      </c>
      <c r="E416" s="16" t="s">
        <v>26</v>
      </c>
      <c r="F416" s="16" t="s">
        <v>860</v>
      </c>
      <c r="G416" s="17">
        <v>1957</v>
      </c>
      <c r="H416" s="17"/>
      <c r="I416" s="17"/>
      <c r="J416" s="17">
        <v>1937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1957</v>
      </c>
      <c r="M416" s="17">
        <f aca="false">IF($H416="","",$H416+$K416)</f>
        <v/>
      </c>
      <c r="N416" s="17">
        <f aca="false">IF($J416="","",$J416+$K416)</f>
        <v>1937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54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IF($T417="","",1+COUNTIF($W$15:$W$895,"&lt;"&amp;W417))</f>
        <v/>
      </c>
      <c r="B417" s="16" t="s">
        <v>14</v>
      </c>
      <c r="C417" s="16" t="s">
        <v>513</v>
      </c>
      <c r="D417" s="16" t="s">
        <v>58</v>
      </c>
      <c r="E417" s="16" t="s">
        <v>26</v>
      </c>
      <c r="F417" s="16" t="s">
        <v>514</v>
      </c>
      <c r="G417" s="17">
        <v>1979</v>
      </c>
      <c r="H417" s="17"/>
      <c r="I417" s="17"/>
      <c r="J417" s="17">
        <v>1959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1979</v>
      </c>
      <c r="M417" s="17">
        <f aca="false">IF($H417="","",$H417+$K417)</f>
        <v/>
      </c>
      <c r="N417" s="17">
        <f aca="false">IF($J417="","",$J417+$K417)</f>
        <v>1959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54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IF($T418="","",1+COUNTIF($W$15:$W$895,"&lt;"&amp;W418))</f>
        <v/>
      </c>
      <c r="B418" s="16" t="s">
        <v>14</v>
      </c>
      <c r="C418" s="16" t="s">
        <v>1719</v>
      </c>
      <c r="D418" s="16" t="s">
        <v>45</v>
      </c>
      <c r="E418" s="16" t="s">
        <v>26</v>
      </c>
      <c r="F418" s="16" t="s">
        <v>1720</v>
      </c>
      <c r="G418" s="17">
        <v>1979</v>
      </c>
      <c r="H418" s="17"/>
      <c r="I418" s="17"/>
      <c r="J418" s="17">
        <v>1959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1979</v>
      </c>
      <c r="M418" s="17">
        <f aca="false">IF($H418="","",$H418+$K418)</f>
        <v/>
      </c>
      <c r="N418" s="17">
        <f aca="false">IF($J418="","",$J418+$K418)</f>
        <v>1959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54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C418" s="3"/>
    </row>
    <row r="419" s="6" collapsed="false" customFormat="true" customHeight="true" hidden="false" ht="28.5" outlineLevel="0">
      <c r="A419" s="16">
        <f aca="false">IF($T419="","",1+COUNTIF($W$15:$W$895,"&lt;"&amp;W419))</f>
        <v/>
      </c>
      <c r="B419" s="16" t="s">
        <v>12</v>
      </c>
      <c r="C419" s="16" t="s">
        <v>1068</v>
      </c>
      <c r="D419" s="21" t="s">
        <v>81</v>
      </c>
      <c r="E419" s="16" t="s">
        <v>26</v>
      </c>
      <c r="F419" s="16" t="s">
        <v>1069</v>
      </c>
      <c r="G419" s="17">
        <v>1958</v>
      </c>
      <c r="H419" s="17"/>
      <c r="I419" s="17"/>
      <c r="J419" s="17">
        <v>1958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1958</v>
      </c>
      <c r="M419" s="17">
        <f aca="false">IF($H419="","",$H419+$K419)</f>
        <v/>
      </c>
      <c r="N419" s="17">
        <f aca="false">IF($J419="","",$J419+$K419)</f>
        <v>1958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54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C419" s="3"/>
    </row>
    <row r="420" s="5" collapsed="false" customFormat="true" customHeight="true" hidden="false" ht="28.5" outlineLevel="0">
      <c r="A420" s="16">
        <f aca="false">IF($T420="","",1+COUNTIF($W$15:$W$895,"&lt;"&amp;W420))</f>
        <v/>
      </c>
      <c r="B420" s="16" t="s">
        <v>10</v>
      </c>
      <c r="C420" s="16" t="s">
        <v>526</v>
      </c>
      <c r="D420" s="16" t="s">
        <v>45</v>
      </c>
      <c r="E420" s="16" t="s">
        <v>62</v>
      </c>
      <c r="F420" s="16" t="s">
        <v>527</v>
      </c>
      <c r="G420" s="17">
        <v>1958</v>
      </c>
      <c r="H420" s="17"/>
      <c r="I420" s="17"/>
      <c r="J420" s="17">
        <v>1958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1958</v>
      </c>
      <c r="M420" s="17">
        <f aca="false">IF($H420="","",$H420+$K420)</f>
        <v/>
      </c>
      <c r="N420" s="17">
        <f aca="false">IF($J420="","",$J420+$K420)</f>
        <v>1958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54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6" collapsed="false" customFormat="true" customHeight="true" hidden="false" ht="28.5" outlineLevel="0">
      <c r="A421" s="16">
        <f aca="false">IF($T421="","",1+COUNTIF($W$15:$W$895,"&lt;"&amp;W421))</f>
        <v/>
      </c>
      <c r="B421" s="16" t="s">
        <v>10</v>
      </c>
      <c r="C421" s="16" t="s">
        <v>1746</v>
      </c>
      <c r="D421" s="16" t="s">
        <v>58</v>
      </c>
      <c r="E421" s="16" t="s">
        <v>26</v>
      </c>
      <c r="F421" s="16" t="s">
        <v>1747</v>
      </c>
      <c r="G421" s="17">
        <v>1958</v>
      </c>
      <c r="H421" s="17"/>
      <c r="I421" s="17"/>
      <c r="J421" s="17">
        <v>1958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1958</v>
      </c>
      <c r="M421" s="17">
        <f aca="false">IF($H421="","",$H421+$K421)</f>
        <v/>
      </c>
      <c r="N421" s="17">
        <f aca="false">IF($J421="","",$J421+$K421)</f>
        <v>1958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54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C421" s="3"/>
    </row>
    <row r="422" s="5" collapsed="false" customFormat="true" customHeight="true" hidden="false" ht="28.5" outlineLevel="0">
      <c r="A422" s="16">
        <f aca="false">IF($T422="","",1+COUNTIF($W$15:$W$895,"&lt;"&amp;W422))</f>
        <v/>
      </c>
      <c r="B422" s="16" t="s">
        <v>12</v>
      </c>
      <c r="C422" s="16" t="s">
        <v>192</v>
      </c>
      <c r="D422" s="20" t="s">
        <v>61</v>
      </c>
      <c r="E422" s="16" t="s">
        <v>26</v>
      </c>
      <c r="F422" s="16" t="s">
        <v>193</v>
      </c>
      <c r="G422" s="17">
        <v>1959</v>
      </c>
      <c r="H422" s="17"/>
      <c r="I422" s="17"/>
      <c r="J422" s="17">
        <v>1939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1959</v>
      </c>
      <c r="M422" s="17">
        <f aca="false">IF($H422="","",$H422+$K422)</f>
        <v/>
      </c>
      <c r="N422" s="17">
        <f aca="false">IF($J422="","",$J422+$K422)</f>
        <v>1939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54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23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IF($T423="","",1+COUNTIF($W$15:$W$895,"&lt;"&amp;W423))</f>
        <v/>
      </c>
      <c r="B423" s="16" t="s">
        <v>12</v>
      </c>
      <c r="C423" s="16" t="s">
        <v>959</v>
      </c>
      <c r="D423" s="20" t="s">
        <v>45</v>
      </c>
      <c r="E423" s="16" t="s">
        <v>26</v>
      </c>
      <c r="F423" s="16" t="s">
        <v>960</v>
      </c>
      <c r="G423" s="17">
        <v>1959</v>
      </c>
      <c r="H423" s="17"/>
      <c r="I423" s="17"/>
      <c r="J423" s="17">
        <v>1939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1959</v>
      </c>
      <c r="M423" s="17">
        <f aca="false">IF($H423="","",$H423+$K423)</f>
        <v/>
      </c>
      <c r="N423" s="17">
        <f aca="false">IF($J423="","",$J423+$K423)</f>
        <v>1939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54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IF($T424="","",1+COUNTIF($W$15:$W$895,"&lt;"&amp;W424))</f>
        <v/>
      </c>
      <c r="B424" s="16" t="s">
        <v>10</v>
      </c>
      <c r="C424" s="16" t="s">
        <v>817</v>
      </c>
      <c r="D424" s="16" t="s">
        <v>61</v>
      </c>
      <c r="E424" s="16" t="s">
        <v>62</v>
      </c>
      <c r="F424" s="16" t="s">
        <v>819</v>
      </c>
      <c r="G424" s="17">
        <v>1959</v>
      </c>
      <c r="H424" s="17"/>
      <c r="I424" s="17"/>
      <c r="J424" s="17">
        <v>1949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1959</v>
      </c>
      <c r="M424" s="17">
        <f aca="false">IF($H424="","",$H424+$K424)</f>
        <v/>
      </c>
      <c r="N424" s="17">
        <f aca="false">IF($J424="","",$J424+$K424)</f>
        <v>1949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54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IF($T425="","",1+COUNTIF($W$15:$W$895,"&lt;"&amp;W425))</f>
        <v/>
      </c>
      <c r="B425" s="16" t="s">
        <v>6</v>
      </c>
      <c r="C425" s="16" t="s">
        <v>358</v>
      </c>
      <c r="D425" s="16" t="s">
        <v>58</v>
      </c>
      <c r="E425" s="16" t="s">
        <v>26</v>
      </c>
      <c r="F425" s="16" t="s">
        <v>359</v>
      </c>
      <c r="G425" s="17">
        <v>1959</v>
      </c>
      <c r="H425" s="17"/>
      <c r="I425" s="17"/>
      <c r="J425" s="17">
        <v>1959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1959</v>
      </c>
      <c r="M425" s="17">
        <f aca="false">IF($H425="","",$H425+$K425)</f>
        <v/>
      </c>
      <c r="N425" s="17">
        <f aca="false">IF($J425="","",$J425+$K425)</f>
        <v>1959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54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22" collapsed="false" customFormat="true" customHeight="true" hidden="false" ht="28.5" outlineLevel="0">
      <c r="A426" s="16">
        <f aca="false">IF($T426="","",1+COUNTIF($W$15:$W$895,"&lt;"&amp;W426))</f>
        <v/>
      </c>
      <c r="B426" s="16" t="s">
        <v>8</v>
      </c>
      <c r="C426" s="16" t="s">
        <v>1618</v>
      </c>
      <c r="D426" s="16" t="s">
        <v>45</v>
      </c>
      <c r="E426" s="16" t="s">
        <v>26</v>
      </c>
      <c r="F426" s="16" t="s">
        <v>1619</v>
      </c>
      <c r="G426" s="17">
        <v>1959</v>
      </c>
      <c r="H426" s="17"/>
      <c r="I426" s="17"/>
      <c r="J426" s="17">
        <v>1959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1959</v>
      </c>
      <c r="M426" s="17">
        <f aca="false">IF($H426="","",$H426+$K426)</f>
        <v/>
      </c>
      <c r="N426" s="17">
        <f aca="false">IF($J426="","",$J426+$K426)</f>
        <v>1959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54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IF($T427="","",1+COUNTIF($W$15:$W$895,"&lt;"&amp;W427))</f>
        <v/>
      </c>
      <c r="B427" s="16" t="s">
        <v>12</v>
      </c>
      <c r="C427" s="16" t="s">
        <v>882</v>
      </c>
      <c r="D427" s="20" t="s">
        <v>58</v>
      </c>
      <c r="E427" s="16" t="s">
        <v>26</v>
      </c>
      <c r="F427" s="16" t="s">
        <v>883</v>
      </c>
      <c r="G427" s="17">
        <v>1959</v>
      </c>
      <c r="H427" s="17"/>
      <c r="I427" s="17"/>
      <c r="J427" s="17">
        <v>1959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1959</v>
      </c>
      <c r="M427" s="17">
        <f aca="false">IF($H427="","",$H427+$K427)</f>
        <v/>
      </c>
      <c r="N427" s="17">
        <f aca="false">IF($J427="","",$J427+$K427)</f>
        <v>1959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54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IF($T428="","",1+COUNTIF($W$15:$W$895,"&lt;"&amp;W428))</f>
        <v/>
      </c>
      <c r="B428" s="16" t="s">
        <v>10</v>
      </c>
      <c r="C428" s="16" t="s">
        <v>1206</v>
      </c>
      <c r="D428" s="21" t="s">
        <v>81</v>
      </c>
      <c r="E428" s="16" t="s">
        <v>62</v>
      </c>
      <c r="F428" s="16" t="s">
        <v>1207</v>
      </c>
      <c r="G428" s="17">
        <v>1959</v>
      </c>
      <c r="H428" s="17"/>
      <c r="I428" s="17"/>
      <c r="J428" s="17">
        <v>1959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1959</v>
      </c>
      <c r="M428" s="17">
        <f aca="false">IF($H428="","",$H428+$K428)</f>
        <v/>
      </c>
      <c r="N428" s="17">
        <f aca="false">IF($J428="","",$J428+$K428)</f>
        <v>1959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54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IF($T429="","",1+COUNTIF($W$15:$W$895,"&lt;"&amp;W429))</f>
        <v/>
      </c>
      <c r="B429" s="16" t="s">
        <v>12</v>
      </c>
      <c r="C429" s="16" t="s">
        <v>1598</v>
      </c>
      <c r="D429" s="20" t="s">
        <v>58</v>
      </c>
      <c r="E429" s="16" t="s">
        <v>26</v>
      </c>
      <c r="F429" s="16" t="s">
        <v>1599</v>
      </c>
      <c r="G429" s="17">
        <v>1959</v>
      </c>
      <c r="H429" s="17"/>
      <c r="I429" s="17"/>
      <c r="J429" s="17">
        <v>1989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1959</v>
      </c>
      <c r="M429" s="17">
        <f aca="false">IF($H429="","",$H429+$K429)</f>
        <v/>
      </c>
      <c r="N429" s="17">
        <f aca="false">IF($J429="","",$J429+$K429)</f>
        <v>1989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54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6" collapsed="false" customFormat="true" customHeight="true" hidden="false" ht="28.5" outlineLevel="0">
      <c r="A430" s="16">
        <f aca="false">IF($T430="","",1+COUNTIF($W$15:$W$895,"&lt;"&amp;W430))</f>
        <v/>
      </c>
      <c r="B430" s="16" t="s">
        <v>10</v>
      </c>
      <c r="C430" s="16" t="s">
        <v>238</v>
      </c>
      <c r="D430" s="16" t="s">
        <v>45</v>
      </c>
      <c r="E430" s="16" t="s">
        <v>26</v>
      </c>
      <c r="F430" s="16" t="s">
        <v>239</v>
      </c>
      <c r="G430" s="17">
        <v>1774</v>
      </c>
      <c r="H430" s="17"/>
      <c r="I430" s="17"/>
      <c r="J430" s="17">
        <v>1769</v>
      </c>
      <c r="K430" s="17">
        <v>-10</v>
      </c>
      <c r="L430" s="17">
        <f aca="false">IF($G430="","",$G430+$K430)</f>
        <v>1764</v>
      </c>
      <c r="M430" s="17">
        <f aca="false">IF($H430="","",$H430+$K430)</f>
        <v/>
      </c>
      <c r="N430" s="17">
        <f aca="false">IF($J430="","",$J430+$K430)</f>
        <v>1759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/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C430" s="3"/>
    </row>
    <row r="431" s="5" collapsed="false" customFormat="true" customHeight="true" hidden="false" ht="28.5" outlineLevel="0">
      <c r="A431" s="16">
        <f aca="false">IF($T431="","",1+COUNTIF($W$15:$W$895,"&lt;"&amp;W431))</f>
        <v/>
      </c>
      <c r="B431" s="16" t="s">
        <v>14</v>
      </c>
      <c r="C431" s="16" t="s">
        <v>1130</v>
      </c>
      <c r="D431" s="16" t="s">
        <v>45</v>
      </c>
      <c r="E431" s="16" t="s">
        <v>26</v>
      </c>
      <c r="F431" s="16" t="s">
        <v>1131</v>
      </c>
      <c r="G431" s="17">
        <v>1985</v>
      </c>
      <c r="H431" s="17"/>
      <c r="I431" s="17"/>
      <c r="J431" s="17">
        <v>1895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1985</v>
      </c>
      <c r="M431" s="17">
        <f aca="false">IF($H431="","",$H431+$K431)</f>
        <v/>
      </c>
      <c r="N431" s="17">
        <f aca="false">IF($J431="","",$J431+$K431)</f>
        <v>1895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54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IF($T432="","",1+COUNTIF($W$15:$W$895,"&lt;"&amp;W432))</f>
        <v/>
      </c>
      <c r="B432" s="16" t="s">
        <v>6</v>
      </c>
      <c r="C432" s="16" t="s">
        <v>85</v>
      </c>
      <c r="D432" s="16" t="s">
        <v>45</v>
      </c>
      <c r="E432" s="16" t="s">
        <v>26</v>
      </c>
      <c r="F432" s="16" t="s">
        <v>86</v>
      </c>
      <c r="G432" s="17">
        <v>1964</v>
      </c>
      <c r="H432" s="17"/>
      <c r="I432" s="17"/>
      <c r="J432" s="17">
        <v>1954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1964</v>
      </c>
      <c r="M432" s="17">
        <f aca="false">IF($H432="","",$H432+$K432)</f>
        <v/>
      </c>
      <c r="N432" s="17">
        <f aca="false">IF($J432="","",$J432+$K432)</f>
        <v>1954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54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IF($T433="","",1+COUNTIF($W$15:$W$895,"&lt;"&amp;W433))</f>
        <v/>
      </c>
      <c r="B433" s="16" t="s">
        <v>8</v>
      </c>
      <c r="C433" s="16" t="s">
        <v>1763</v>
      </c>
      <c r="D433" s="16" t="s">
        <v>45</v>
      </c>
      <c r="E433" s="16" t="s">
        <v>62</v>
      </c>
      <c r="F433" s="16" t="s">
        <v>1764</v>
      </c>
      <c r="G433" s="17">
        <v>1965</v>
      </c>
      <c r="H433" s="17"/>
      <c r="I433" s="17"/>
      <c r="J433" s="17">
        <v>1955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1965</v>
      </c>
      <c r="M433" s="17">
        <f aca="false">IF($H433="","",$H433+$K433)</f>
        <v/>
      </c>
      <c r="N433" s="17">
        <f aca="false">IF($J433="","",$J433+$K433)</f>
        <v>1955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54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22" collapsed="false" customFormat="true" customHeight="true" hidden="false" ht="28.5" outlineLevel="0">
      <c r="A434" s="16">
        <f aca="false">IF($T434="","",1+COUNTIF($W$15:$W$895,"&lt;"&amp;W434))</f>
        <v/>
      </c>
      <c r="B434" s="16" t="s">
        <v>14</v>
      </c>
      <c r="C434" s="16" t="s">
        <v>1293</v>
      </c>
      <c r="D434" s="16" t="s">
        <v>61</v>
      </c>
      <c r="E434" s="16" t="s">
        <v>62</v>
      </c>
      <c r="F434" s="16" t="s">
        <v>1294</v>
      </c>
      <c r="G434" s="17">
        <v>1988</v>
      </c>
      <c r="H434" s="17"/>
      <c r="I434" s="17"/>
      <c r="J434" s="17">
        <v>1988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1988</v>
      </c>
      <c r="M434" s="17">
        <f aca="false">IF($H434="","",$H434+$K434)</f>
        <v/>
      </c>
      <c r="N434" s="17">
        <f aca="false">IF($J434="","",$J434+$K434)</f>
        <v>1988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54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22" collapsed="false" customFormat="true" customHeight="true" hidden="false" ht="28.5" outlineLevel="0">
      <c r="A435" s="16">
        <f aca="false">IF($T435="","",1+COUNTIF($W$15:$W$895,"&lt;"&amp;W435))</f>
        <v/>
      </c>
      <c r="B435" s="16" t="s">
        <v>10</v>
      </c>
      <c r="C435" s="16" t="s">
        <v>1489</v>
      </c>
      <c r="D435" s="16" t="s">
        <v>61</v>
      </c>
      <c r="E435" s="16" t="s">
        <v>62</v>
      </c>
      <c r="F435" s="16" t="s">
        <v>1490</v>
      </c>
      <c r="G435" s="17">
        <v>1770</v>
      </c>
      <c r="H435" s="17"/>
      <c r="I435" s="17"/>
      <c r="J435" s="17">
        <v>1750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1770</v>
      </c>
      <c r="M435" s="17">
        <f aca="false">IF($H435="","",$H435+$K435)</f>
        <v/>
      </c>
      <c r="N435" s="17">
        <f aca="false">IF($J435="","",$J435+$K435)</f>
        <v>1750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IF($T436="","",1+COUNTIF($W$15:$W$895,"&lt;"&amp;W436))</f>
        <v/>
      </c>
      <c r="B436" s="16" t="s">
        <v>14</v>
      </c>
      <c r="C436" s="16" t="s">
        <v>848</v>
      </c>
      <c r="D436" s="16" t="s">
        <v>45</v>
      </c>
      <c r="E436" s="16" t="s">
        <v>62</v>
      </c>
      <c r="F436" s="16" t="s">
        <v>849</v>
      </c>
      <c r="G436" s="17">
        <v>1989</v>
      </c>
      <c r="H436" s="17"/>
      <c r="I436" s="17"/>
      <c r="J436" s="17">
        <v>1989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1989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54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IF($T437="","",1+COUNTIF($W$15:$W$895,"&lt;"&amp;W437))</f>
        <v/>
      </c>
      <c r="B437" s="16" t="s">
        <v>14</v>
      </c>
      <c r="C437" s="16" t="s">
        <v>1327</v>
      </c>
      <c r="D437" s="16" t="s">
        <v>72</v>
      </c>
      <c r="E437" s="16" t="s">
        <v>26</v>
      </c>
      <c r="F437" s="16" t="s">
        <v>1328</v>
      </c>
      <c r="G437" s="17">
        <v>1989</v>
      </c>
      <c r="H437" s="17"/>
      <c r="I437" s="17"/>
      <c r="J437" s="17">
        <v>1999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1999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54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 aca="false">IF($T438="","",1+COUNTIF($W$15:$W$895,"&lt;"&amp;W438))</f>
        <v/>
      </c>
      <c r="B438" s="16" t="s">
        <v>12</v>
      </c>
      <c r="C438" s="16" t="s">
        <v>188</v>
      </c>
      <c r="D438" s="20" t="s">
        <v>58</v>
      </c>
      <c r="E438" s="16" t="s">
        <v>62</v>
      </c>
      <c r="F438" s="16" t="s">
        <v>189</v>
      </c>
      <c r="G438" s="17">
        <v>1967</v>
      </c>
      <c r="H438" s="17"/>
      <c r="I438" s="17"/>
      <c r="J438" s="17">
        <v>1937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1967</v>
      </c>
      <c r="M438" s="17">
        <f aca="false">IF($H438="","",$H438+$K438)</f>
        <v/>
      </c>
      <c r="N438" s="17">
        <f aca="false">IF($J438="","",$J438+$K438)</f>
        <v>1937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54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IF($T439="","",1+COUNTIF($W$15:$W$895,"&lt;"&amp;W439))</f>
        <v/>
      </c>
      <c r="B439" s="16" t="s">
        <v>14</v>
      </c>
      <c r="C439" s="16" t="s">
        <v>771</v>
      </c>
      <c r="D439" s="16" t="s">
        <v>58</v>
      </c>
      <c r="E439" s="16" t="s">
        <v>62</v>
      </c>
      <c r="F439" s="16" t="s">
        <v>772</v>
      </c>
      <c r="G439" s="17">
        <v>1990</v>
      </c>
      <c r="H439" s="17"/>
      <c r="I439" s="17"/>
      <c r="J439" s="17">
        <v>1990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1990</v>
      </c>
      <c r="M439" s="17">
        <f aca="false">IF($H439="","",$H439+$K439)</f>
        <v/>
      </c>
      <c r="N439" s="17">
        <f aca="false">IF($J439="","",$J439+$K439)</f>
        <v>1990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54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IF($T440="","",1+COUNTIF($W$15:$W$895,"&lt;"&amp;W440))</f>
        <v/>
      </c>
      <c r="B440" s="16" t="s">
        <v>12</v>
      </c>
      <c r="C440" s="16" t="s">
        <v>522</v>
      </c>
      <c r="D440" s="20" t="s">
        <v>61</v>
      </c>
      <c r="E440" s="16" t="s">
        <v>26</v>
      </c>
      <c r="F440" s="16" t="s">
        <v>523</v>
      </c>
      <c r="G440" s="17">
        <v>1968</v>
      </c>
      <c r="H440" s="17"/>
      <c r="I440" s="17"/>
      <c r="J440" s="17">
        <v>1958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1968</v>
      </c>
      <c r="M440" s="17">
        <f aca="false">IF($H440="","",$H440+$K440)</f>
        <v/>
      </c>
      <c r="N440" s="17">
        <f aca="false">IF($J440="","",$J440+$K440)</f>
        <v>1958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54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IF($T441="","",1+COUNTIF($W$15:$W$895,"&lt;"&amp;W441))</f>
        <v/>
      </c>
      <c r="B441" s="16" t="s">
        <v>12</v>
      </c>
      <c r="C441" s="16" t="s">
        <v>955</v>
      </c>
      <c r="D441" s="20" t="s">
        <v>45</v>
      </c>
      <c r="E441" s="16" t="s">
        <v>62</v>
      </c>
      <c r="F441" s="16" t="s">
        <v>956</v>
      </c>
      <c r="G441" s="17">
        <v>1968</v>
      </c>
      <c r="H441" s="17"/>
      <c r="I441" s="17"/>
      <c r="J441" s="17">
        <v>1958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1968</v>
      </c>
      <c r="M441" s="17">
        <f aca="false">IF($H441="","",$H441+$K441)</f>
        <v/>
      </c>
      <c r="N441" s="17">
        <f aca="false">IF($J441="","",$J441+$K441)</f>
        <v>1958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54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IF($T442="","",1+COUNTIF($W$15:$W$895,"&lt;"&amp;W442))</f>
        <v/>
      </c>
      <c r="B442" s="16" t="s">
        <v>10</v>
      </c>
      <c r="C442" s="16" t="s">
        <v>1096</v>
      </c>
      <c r="D442" s="21" t="s">
        <v>81</v>
      </c>
      <c r="E442" s="16" t="s">
        <v>26</v>
      </c>
      <c r="F442" s="16" t="s">
        <v>1098</v>
      </c>
      <c r="G442" s="17">
        <v>1968</v>
      </c>
      <c r="H442" s="17"/>
      <c r="I442" s="17"/>
      <c r="J442" s="17">
        <v>1958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1968</v>
      </c>
      <c r="M442" s="17">
        <f aca="false">IF($H442="","",$H442+$K442)</f>
        <v/>
      </c>
      <c r="N442" s="17">
        <f aca="false">IF($J442="","",$J442+$K442)</f>
        <v>1958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 t="s">
        <v>54</v>
      </c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IF($T443="","",1+COUNTIF($W$15:$W$895,"&lt;"&amp;W443))</f>
        <v/>
      </c>
      <c r="B443" s="16" t="s">
        <v>6</v>
      </c>
      <c r="C443" s="16" t="s">
        <v>1311</v>
      </c>
      <c r="D443" s="16" t="s">
        <v>61</v>
      </c>
      <c r="E443" s="16" t="s">
        <v>26</v>
      </c>
      <c r="F443" s="16" t="s">
        <v>1312</v>
      </c>
      <c r="G443" s="17">
        <v>1969</v>
      </c>
      <c r="H443" s="17"/>
      <c r="I443" s="17"/>
      <c r="J443" s="17">
        <v>1895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1969</v>
      </c>
      <c r="M443" s="17">
        <f aca="false">IF($H443="","",$H443+$K443)</f>
        <v/>
      </c>
      <c r="N443" s="17">
        <f aca="false">IF($J443="","",$J443+$K443)</f>
        <v>1895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54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22" collapsed="false" customFormat="true" customHeight="true" hidden="false" ht="28.5" outlineLevel="0">
      <c r="A444" s="16">
        <f aca="false">IF($T444="","",1+COUNTIF($W$15:$W$895,"&lt;"&amp;W444))</f>
        <v/>
      </c>
      <c r="B444" s="16" t="s">
        <v>10</v>
      </c>
      <c r="C444" s="16" t="s">
        <v>1638</v>
      </c>
      <c r="D444" s="21" t="s">
        <v>81</v>
      </c>
      <c r="E444" s="16" t="s">
        <v>62</v>
      </c>
      <c r="F444" s="16" t="s">
        <v>1639</v>
      </c>
      <c r="G444" s="17">
        <v>1969</v>
      </c>
      <c r="H444" s="17"/>
      <c r="I444" s="17"/>
      <c r="J444" s="17">
        <v>1949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1969</v>
      </c>
      <c r="M444" s="17">
        <f aca="false">IF($H444="","",$H444+$K444)</f>
        <v/>
      </c>
      <c r="N444" s="17">
        <f aca="false">IF($J444="","",$J444+$K444)</f>
        <v>1949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54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IF($T445="","",1+COUNTIF($W$15:$W$895,"&lt;"&amp;W445))</f>
        <v/>
      </c>
      <c r="B445" s="16" t="s">
        <v>6</v>
      </c>
      <c r="C445" s="16" t="s">
        <v>416</v>
      </c>
      <c r="D445" s="16" t="s">
        <v>45</v>
      </c>
      <c r="E445" s="16" t="s">
        <v>62</v>
      </c>
      <c r="F445" s="16" t="s">
        <v>417</v>
      </c>
      <c r="G445" s="17">
        <v>1969</v>
      </c>
      <c r="H445" s="17"/>
      <c r="I445" s="17"/>
      <c r="J445" s="17">
        <v>1959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1969</v>
      </c>
      <c r="M445" s="17">
        <f aca="false">IF($H445="","",$H445+$K445)</f>
        <v/>
      </c>
      <c r="N445" s="17">
        <f aca="false">IF($J445="","",$J445+$K445)</f>
        <v>1959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54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6" collapsed="false" customFormat="true" customHeight="true" hidden="false" ht="28.5" outlineLevel="0">
      <c r="A446" s="16">
        <f aca="false">IF($T446="","",1+COUNTIF($W$15:$W$895,"&lt;"&amp;W446))</f>
        <v/>
      </c>
      <c r="B446" s="16" t="s">
        <v>10</v>
      </c>
      <c r="C446" s="16" t="s">
        <v>1313</v>
      </c>
      <c r="D446" s="21" t="s">
        <v>81</v>
      </c>
      <c r="E446" s="16" t="s">
        <v>62</v>
      </c>
      <c r="F446" s="16" t="s">
        <v>1314</v>
      </c>
      <c r="G446" s="17">
        <v>1969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1969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 t="s">
        <v>54</v>
      </c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C446" s="3"/>
    </row>
    <row r="447" s="6" collapsed="false" customFormat="true" customHeight="true" hidden="false" ht="28.5" outlineLevel="0">
      <c r="A447" s="16">
        <f aca="false">IF($T447="","",1+COUNTIF($W$15:$W$895,"&lt;"&amp;W447))</f>
        <v/>
      </c>
      <c r="B447" s="16" t="s">
        <v>10</v>
      </c>
      <c r="C447" s="16" t="s">
        <v>1648</v>
      </c>
      <c r="D447" s="16" t="s">
        <v>61</v>
      </c>
      <c r="E447" s="16" t="s">
        <v>62</v>
      </c>
      <c r="F447" s="16" t="s">
        <v>1649</v>
      </c>
      <c r="G447" s="17">
        <v>1969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1969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 t="s">
        <v>54</v>
      </c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C447" s="3"/>
    </row>
    <row r="448" s="5" collapsed="false" customFormat="true" customHeight="true" hidden="false" ht="28.5" outlineLevel="0">
      <c r="A448" s="16">
        <f aca="false">IF($T448="","",1+COUNTIF($W$15:$W$895,"&lt;"&amp;W448))</f>
        <v/>
      </c>
      <c r="B448" s="16" t="s">
        <v>14</v>
      </c>
      <c r="C448" s="16" t="s">
        <v>410</v>
      </c>
      <c r="D448" s="16" t="s">
        <v>45</v>
      </c>
      <c r="E448" s="16" t="s">
        <v>26</v>
      </c>
      <c r="F448" s="16" t="s">
        <v>411</v>
      </c>
      <c r="G448" s="17">
        <v>1994</v>
      </c>
      <c r="H448" s="17"/>
      <c r="I448" s="17"/>
      <c r="J448" s="17">
        <v>1967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1994</v>
      </c>
      <c r="M448" s="17">
        <f aca="false">IF($H448="","",$H448+$K448)</f>
        <v/>
      </c>
      <c r="N448" s="17">
        <f aca="false">IF($J448="","",$J448+$K448)</f>
        <v>1967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 t="s">
        <v>54</v>
      </c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22" collapsed="false" customFormat="true" customHeight="true" hidden="false" ht="28.5" outlineLevel="0">
      <c r="A449" s="16">
        <f aca="false">IF($T449="","",1+COUNTIF($W$15:$W$895,"&lt;"&amp;W449))</f>
        <v/>
      </c>
      <c r="B449" s="16" t="s">
        <v>14</v>
      </c>
      <c r="C449" s="16" t="s">
        <v>1070</v>
      </c>
      <c r="D449" s="16" t="s">
        <v>58</v>
      </c>
      <c r="E449" s="16" t="s">
        <v>62</v>
      </c>
      <c r="F449" s="16" t="s">
        <v>1071</v>
      </c>
      <c r="G449" s="17">
        <v>1995</v>
      </c>
      <c r="H449" s="17"/>
      <c r="I449" s="17"/>
      <c r="J449" s="17">
        <v>1995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1995</v>
      </c>
      <c r="M449" s="17">
        <f aca="false">IF($H449="","",$H449+$K449)</f>
        <v/>
      </c>
      <c r="N449" s="17">
        <f aca="false">IF($J449="","",$J449+$K449)</f>
        <v>1995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 t="s">
        <v>54</v>
      </c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IF($T450="","",1+COUNTIF($W$15:$W$895,"&lt;"&amp;W450))</f>
        <v/>
      </c>
      <c r="B450" s="16" t="s">
        <v>12</v>
      </c>
      <c r="C450" s="16" t="s">
        <v>815</v>
      </c>
      <c r="D450" s="20" t="s">
        <v>58</v>
      </c>
      <c r="E450" s="16" t="s">
        <v>62</v>
      </c>
      <c r="F450" s="16" t="s">
        <v>816</v>
      </c>
      <c r="G450" s="17">
        <v>1974</v>
      </c>
      <c r="H450" s="17"/>
      <c r="I450" s="17"/>
      <c r="J450" s="17">
        <v>1959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1974</v>
      </c>
      <c r="M450" s="17">
        <f aca="false">IF($H450="","",$H450+$K450)</f>
        <v/>
      </c>
      <c r="N450" s="17">
        <f aca="false">IF($J450="","",$J450+$K450)</f>
        <v>1959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 t="s">
        <v>54</v>
      </c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22" collapsed="false" customFormat="true" customHeight="true" hidden="false" ht="28.5" outlineLevel="0">
      <c r="A451" s="16">
        <f aca="false">IF($T451="","",1+COUNTIF($W$15:$W$895,"&lt;"&amp;W451))</f>
        <v/>
      </c>
      <c r="B451" s="16" t="s">
        <v>8</v>
      </c>
      <c r="C451" s="16" t="s">
        <v>1493</v>
      </c>
      <c r="D451" s="16" t="s">
        <v>61</v>
      </c>
      <c r="E451" s="16" t="s">
        <v>26</v>
      </c>
      <c r="F451" s="16" t="s">
        <v>1494</v>
      </c>
      <c r="G451" s="17">
        <v>1777</v>
      </c>
      <c r="H451" s="17"/>
      <c r="I451" s="17"/>
      <c r="J451" s="17">
        <v>1738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1777</v>
      </c>
      <c r="M451" s="17">
        <f aca="false">IF($H451="","",$H451+$K451)</f>
        <v/>
      </c>
      <c r="N451" s="17">
        <f aca="false">IF($J451="","",$J451+$K451)</f>
        <v>1738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22" collapsed="false" customFormat="true" customHeight="true" hidden="false" ht="28.5" outlineLevel="0">
      <c r="A452" s="16">
        <f aca="false">IF($T452="","",1+COUNTIF($W$15:$W$895,"&lt;"&amp;W452))</f>
        <v/>
      </c>
      <c r="B452" s="16" t="s">
        <v>14</v>
      </c>
      <c r="C452" s="16" t="s">
        <v>1453</v>
      </c>
      <c r="D452" s="16" t="s">
        <v>58</v>
      </c>
      <c r="E452" s="16" t="s">
        <v>62</v>
      </c>
      <c r="F452" s="16" t="s">
        <v>1454</v>
      </c>
      <c r="G452" s="17">
        <v>1998</v>
      </c>
      <c r="H452" s="17"/>
      <c r="I452" s="17"/>
      <c r="J452" s="17">
        <v>1998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1998</v>
      </c>
      <c r="M452" s="17">
        <f aca="false">IF($H452="","",$H452+$K452)</f>
        <v/>
      </c>
      <c r="N452" s="17">
        <f aca="false">IF($J452="","",$J452+$K452)</f>
        <v>1998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 t="s">
        <v>54</v>
      </c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IF($T453="","",1+COUNTIF($W$15:$W$895,"&lt;"&amp;W453))</f>
        <v/>
      </c>
      <c r="B453" s="16" t="s">
        <v>10</v>
      </c>
      <c r="C453" s="16" t="s">
        <v>784</v>
      </c>
      <c r="D453" s="16" t="s">
        <v>45</v>
      </c>
      <c r="E453" s="16" t="s">
        <v>26</v>
      </c>
      <c r="F453" s="16" t="s">
        <v>785</v>
      </c>
      <c r="G453" s="17">
        <v>1976</v>
      </c>
      <c r="H453" s="17"/>
      <c r="I453" s="17"/>
      <c r="J453" s="17">
        <v>1968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1976</v>
      </c>
      <c r="M453" s="17">
        <f aca="false">IF($H453="","",$H453+$K453)</f>
        <v/>
      </c>
      <c r="N453" s="17">
        <f aca="false">IF($J453="","",$J453+$K453)</f>
        <v>1968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 t="s">
        <v>54</v>
      </c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IF($T454="","",1+COUNTIF($W$15:$W$895,"&lt;"&amp;W454))</f>
        <v/>
      </c>
      <c r="B454" s="16" t="s">
        <v>14</v>
      </c>
      <c r="C454" s="16" t="s">
        <v>444</v>
      </c>
      <c r="D454" s="16" t="s">
        <v>45</v>
      </c>
      <c r="E454" s="16" t="s">
        <v>62</v>
      </c>
      <c r="F454" s="16" t="s">
        <v>446</v>
      </c>
      <c r="G454" s="17">
        <v>1999</v>
      </c>
      <c r="H454" s="17"/>
      <c r="I454" s="17"/>
      <c r="J454" s="17">
        <v>1899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1999</v>
      </c>
      <c r="M454" s="17">
        <f aca="false">IF($H454="","",$H454+$K454)</f>
        <v/>
      </c>
      <c r="N454" s="17">
        <f aca="false">IF($J454="","",$J454+$K454)</f>
        <v>1899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 t="s">
        <v>54</v>
      </c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IF($T455="","",1+COUNTIF($W$15:$W$895,"&lt;"&amp;W455))</f>
        <v/>
      </c>
      <c r="B455" s="16" t="s">
        <v>14</v>
      </c>
      <c r="C455" s="16" t="s">
        <v>806</v>
      </c>
      <c r="D455" s="16" t="s">
        <v>58</v>
      </c>
      <c r="E455" s="16" t="s">
        <v>62</v>
      </c>
      <c r="F455" s="16" t="s">
        <v>807</v>
      </c>
      <c r="G455" s="17">
        <v>1999</v>
      </c>
      <c r="H455" s="17"/>
      <c r="I455" s="17"/>
      <c r="J455" s="17">
        <v>1955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1999</v>
      </c>
      <c r="M455" s="17">
        <f aca="false">IF($H455="","",$H455+$K455)</f>
        <v/>
      </c>
      <c r="N455" s="17">
        <f aca="false">IF($J455="","",$J455+$K455)</f>
        <v>1955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 t="s">
        <v>54</v>
      </c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IF($T456="","",1+COUNTIF($W$15:$W$895,"&lt;"&amp;W456))</f>
        <v/>
      </c>
      <c r="B456" s="16" t="s">
        <v>14</v>
      </c>
      <c r="C456" s="16" t="s">
        <v>423</v>
      </c>
      <c r="D456" s="16" t="s">
        <v>58</v>
      </c>
      <c r="E456" s="16" t="s">
        <v>26</v>
      </c>
      <c r="F456" s="16" t="s">
        <v>424</v>
      </c>
      <c r="G456" s="17">
        <v>1999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1999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 t="s">
        <v>54</v>
      </c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IF($T457="","",1+COUNTIF($W$15:$W$895,"&lt;"&amp;W457))</f>
        <v/>
      </c>
      <c r="B457" s="16" t="s">
        <v>12</v>
      </c>
      <c r="C457" s="16" t="s">
        <v>629</v>
      </c>
      <c r="D457" s="20" t="s">
        <v>45</v>
      </c>
      <c r="E457" s="16" t="s">
        <v>62</v>
      </c>
      <c r="F457" s="16" t="s">
        <v>631</v>
      </c>
      <c r="G457" s="17">
        <v>1978</v>
      </c>
      <c r="H457" s="17"/>
      <c r="I457" s="17"/>
      <c r="J457" s="17">
        <v>1958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1978</v>
      </c>
      <c r="M457" s="17">
        <f aca="false">IF($H457="","",$H457+$K457)</f>
        <v/>
      </c>
      <c r="N457" s="17">
        <f aca="false">IF($J457="","",$J457+$K457)</f>
        <v>1958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 t="s">
        <v>54</v>
      </c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22" collapsed="false" customFormat="true" customHeight="true" hidden="false" ht="28.5" outlineLevel="0">
      <c r="A458" s="16">
        <f aca="false">IF($T458="","",1+COUNTIF($W$15:$W$895,"&lt;"&amp;W458))</f>
        <v/>
      </c>
      <c r="B458" s="16" t="s">
        <v>12</v>
      </c>
      <c r="C458" s="16" t="s">
        <v>1562</v>
      </c>
      <c r="D458" s="20" t="s">
        <v>45</v>
      </c>
      <c r="E458" s="16" t="s">
        <v>62</v>
      </c>
      <c r="F458" s="16" t="s">
        <v>1563</v>
      </c>
      <c r="G458" s="17">
        <v>1978</v>
      </c>
      <c r="H458" s="17"/>
      <c r="I458" s="17"/>
      <c r="J458" s="17">
        <v>1958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1978</v>
      </c>
      <c r="M458" s="17">
        <f aca="false">IF($H458="","",$H458+$K458)</f>
        <v/>
      </c>
      <c r="N458" s="17">
        <f aca="false">IF($J458="","",$J458+$K458)</f>
        <v>1958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 t="s">
        <v>54</v>
      </c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22" collapsed="false" customFormat="true" customHeight="true" hidden="false" ht="28.5" outlineLevel="0">
      <c r="A459" s="16">
        <f aca="false">IF($T459="","",1+COUNTIF($W$15:$W$895,"&lt;"&amp;W459))</f>
        <v/>
      </c>
      <c r="B459" s="16" t="s">
        <v>10</v>
      </c>
      <c r="C459" s="16" t="s">
        <v>1616</v>
      </c>
      <c r="D459" s="16" t="s">
        <v>96</v>
      </c>
      <c r="E459" s="16" t="s">
        <v>26</v>
      </c>
      <c r="F459" s="16" t="s">
        <v>1617</v>
      </c>
      <c r="G459" s="17">
        <v>1978</v>
      </c>
      <c r="H459" s="17"/>
      <c r="I459" s="17"/>
      <c r="J459" s="17">
        <v>1958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1978</v>
      </c>
      <c r="M459" s="17">
        <f aca="false">IF($H459="","",$H459+$K459)</f>
        <v/>
      </c>
      <c r="N459" s="17">
        <f aca="false">IF($J459="","",$J459+$K459)</f>
        <v>1958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 t="s">
        <v>54</v>
      </c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22" collapsed="false" customFormat="true" customHeight="true" hidden="false" ht="28.5" outlineLevel="0">
      <c r="A460" s="16">
        <f aca="false">IF($T460="","",1+COUNTIF($W$15:$W$895,"&lt;"&amp;W460))</f>
        <v/>
      </c>
      <c r="B460" s="16" t="s">
        <v>8</v>
      </c>
      <c r="C460" s="16" t="s">
        <v>1495</v>
      </c>
      <c r="D460" s="16" t="s">
        <v>61</v>
      </c>
      <c r="E460" s="16" t="s">
        <v>26</v>
      </c>
      <c r="F460" s="16" t="s">
        <v>1496</v>
      </c>
      <c r="G460" s="17">
        <v>1781</v>
      </c>
      <c r="H460" s="17"/>
      <c r="I460" s="17"/>
      <c r="J460" s="17">
        <v>1736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1781</v>
      </c>
      <c r="M460" s="17">
        <f aca="false">IF($H460="","",$H460+$K460)</f>
        <v/>
      </c>
      <c r="N460" s="17">
        <f aca="false">IF($J460="","",$J460+$K460)</f>
        <v>1736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IF($T461="","",1+COUNTIF($W$15:$W$895,"&lt;"&amp;W461))</f>
        <v/>
      </c>
      <c r="B461" s="16" t="s">
        <v>10</v>
      </c>
      <c r="C461" s="16" t="s">
        <v>685</v>
      </c>
      <c r="D461" s="16" t="s">
        <v>58</v>
      </c>
      <c r="E461" s="16" t="s">
        <v>26</v>
      </c>
      <c r="F461" s="16" t="s">
        <v>686</v>
      </c>
      <c r="G461" s="17">
        <v>1979</v>
      </c>
      <c r="H461" s="17"/>
      <c r="I461" s="17"/>
      <c r="J461" s="17">
        <v>1899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1979</v>
      </c>
      <c r="M461" s="17">
        <f aca="false">IF($H461="","",$H461+$K461)</f>
        <v/>
      </c>
      <c r="N461" s="17">
        <f aca="false">IF($J461="","",$J461+$K461)</f>
        <v>1899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 t="s">
        <v>54</v>
      </c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IF($T462="","",1+COUNTIF($W$15:$W$895,"&lt;"&amp;W462))</f>
        <v/>
      </c>
      <c r="B462" s="16" t="s">
        <v>6</v>
      </c>
      <c r="C462" s="16" t="s">
        <v>112</v>
      </c>
      <c r="D462" s="16" t="s">
        <v>58</v>
      </c>
      <c r="E462" s="16" t="s">
        <v>26</v>
      </c>
      <c r="F462" s="16" t="s">
        <v>113</v>
      </c>
      <c r="G462" s="17">
        <v>1979</v>
      </c>
      <c r="H462" s="17"/>
      <c r="I462" s="17"/>
      <c r="J462" s="17">
        <v>1959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1979</v>
      </c>
      <c r="M462" s="17">
        <f aca="false">IF($H462="","",$H462+$K462)</f>
        <v/>
      </c>
      <c r="N462" s="17">
        <f aca="false">IF($J462="","",$J462+$K462)</f>
        <v>1959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 t="s">
        <v>54</v>
      </c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22" collapsed="false" customFormat="true" customHeight="true" hidden="false" ht="28.5" outlineLevel="0">
      <c r="A463" s="16">
        <f aca="false">IF($T463="","",1+COUNTIF($W$15:$W$895,"&lt;"&amp;W463))</f>
        <v/>
      </c>
      <c r="B463" s="16" t="s">
        <v>12</v>
      </c>
      <c r="C463" s="16" t="s">
        <v>1291</v>
      </c>
      <c r="D463" s="20" t="s">
        <v>45</v>
      </c>
      <c r="E463" s="16" t="s">
        <v>26</v>
      </c>
      <c r="F463" s="16" t="s">
        <v>1292</v>
      </c>
      <c r="G463" s="17">
        <v>1979</v>
      </c>
      <c r="H463" s="17"/>
      <c r="I463" s="17"/>
      <c r="J463" s="17">
        <v>1979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1979</v>
      </c>
      <c r="M463" s="17">
        <f aca="false">IF($H463="","",$H463+$K463)</f>
        <v/>
      </c>
      <c r="N463" s="17">
        <f aca="false">IF($J463="","",$J463+$K463)</f>
        <v>1979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 t="s">
        <v>54</v>
      </c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IF($T464="","",1+COUNTIF($W$15:$W$895,"&lt;"&amp;W464))</f>
        <v/>
      </c>
      <c r="B464" s="16" t="s">
        <v>10</v>
      </c>
      <c r="C464" s="16" t="s">
        <v>919</v>
      </c>
      <c r="D464" s="16" t="s">
        <v>58</v>
      </c>
      <c r="E464" s="16" t="s">
        <v>26</v>
      </c>
      <c r="F464" s="16" t="s">
        <v>920</v>
      </c>
      <c r="G464" s="17">
        <v>1980</v>
      </c>
      <c r="H464" s="17"/>
      <c r="I464" s="17"/>
      <c r="J464" s="17">
        <v>1970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1980</v>
      </c>
      <c r="M464" s="17">
        <f aca="false">IF($H464="","",$H464+$K464)</f>
        <v/>
      </c>
      <c r="N464" s="17">
        <f aca="false">IF($J464="","",$J464+$K464)</f>
        <v>1970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 t="s">
        <v>54</v>
      </c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IF($T465="","",1+COUNTIF($W$15:$W$895,"&lt;"&amp;W465))</f>
        <v/>
      </c>
      <c r="B465" s="16" t="s">
        <v>10</v>
      </c>
      <c r="C465" s="16" t="s">
        <v>1044</v>
      </c>
      <c r="D465" s="16" t="s">
        <v>61</v>
      </c>
      <c r="E465" s="16" t="s">
        <v>62</v>
      </c>
      <c r="F465" s="16" t="s">
        <v>1045</v>
      </c>
      <c r="G465" s="17">
        <v>1980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1980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 t="s">
        <v>54</v>
      </c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22" collapsed="false" customFormat="true" customHeight="true" hidden="false" ht="28.5" outlineLevel="0">
      <c r="A466" s="16">
        <f aca="false">IF($T466="","",1+COUNTIF($W$15:$W$895,"&lt;"&amp;W466))</f>
        <v/>
      </c>
      <c r="B466" s="16" t="s">
        <v>12</v>
      </c>
      <c r="C466" s="16" t="s">
        <v>1515</v>
      </c>
      <c r="D466" s="20" t="s">
        <v>61</v>
      </c>
      <c r="E466" s="16" t="s">
        <v>26</v>
      </c>
      <c r="F466" s="16" t="s">
        <v>1516</v>
      </c>
      <c r="G466" s="17">
        <v>1984</v>
      </c>
      <c r="H466" s="17"/>
      <c r="I466" s="17"/>
      <c r="J466" s="17">
        <v>1944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1944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 t="s">
        <v>54</v>
      </c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22" collapsed="false" customFormat="true" customHeight="true" hidden="false" ht="28.5" outlineLevel="0">
      <c r="A467" s="16">
        <f aca="false">IF($T467="","",1+COUNTIF($W$15:$W$895,"&lt;"&amp;W467))</f>
        <v/>
      </c>
      <c r="B467" s="16" t="s">
        <v>10</v>
      </c>
      <c r="C467" s="16" t="s">
        <v>1459</v>
      </c>
      <c r="D467" s="16" t="s">
        <v>45</v>
      </c>
      <c r="E467" s="16" t="s">
        <v>26</v>
      </c>
      <c r="F467" s="16" t="s">
        <v>1460</v>
      </c>
      <c r="G467" s="17">
        <v>1984</v>
      </c>
      <c r="H467" s="17"/>
      <c r="I467" s="17"/>
      <c r="J467" s="17">
        <v>1972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1972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 t="s">
        <v>54</v>
      </c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IF($T468="","",1+COUNTIF($W$15:$W$895,"&lt;"&amp;W468))</f>
        <v/>
      </c>
      <c r="B468" s="16" t="s">
        <v>6</v>
      </c>
      <c r="C468" s="16" t="s">
        <v>875</v>
      </c>
      <c r="D468" s="16" t="s">
        <v>58</v>
      </c>
      <c r="E468" s="16" t="s">
        <v>26</v>
      </c>
      <c r="F468" s="16" t="s">
        <v>876</v>
      </c>
      <c r="G468" s="17">
        <v>1988</v>
      </c>
      <c r="H468" s="17"/>
      <c r="I468" s="17"/>
      <c r="J468" s="17">
        <v>1979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1988</v>
      </c>
      <c r="M468" s="17">
        <f aca="false">IF($H468="","",$H468+$K468)</f>
        <v/>
      </c>
      <c r="N468" s="17">
        <f aca="false">IF($J468="","",$J468+$K468)</f>
        <v>1979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 t="s">
        <v>54</v>
      </c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IF($T469="","",1+COUNTIF($W$15:$W$895,"&lt;"&amp;W469))</f>
        <v/>
      </c>
      <c r="B469" s="16" t="s">
        <v>6</v>
      </c>
      <c r="C469" s="16" t="s">
        <v>1373</v>
      </c>
      <c r="D469" s="16" t="s">
        <v>45</v>
      </c>
      <c r="E469" s="16" t="s">
        <v>26</v>
      </c>
      <c r="F469" s="16" t="s">
        <v>1374</v>
      </c>
      <c r="G469" s="17">
        <v>1988</v>
      </c>
      <c r="H469" s="17"/>
      <c r="I469" s="17"/>
      <c r="J469" s="17">
        <v>1988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1988</v>
      </c>
      <c r="M469" s="17">
        <f aca="false">IF($H469="","",$H469+$K469)</f>
        <v/>
      </c>
      <c r="N469" s="17">
        <f aca="false">IF($J469="","",$J469+$K469)</f>
        <v>1988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 t="s">
        <v>54</v>
      </c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C469" s="3"/>
    </row>
    <row r="470" s="5" collapsed="false" customFormat="true" customHeight="true" hidden="false" ht="28.5" outlineLevel="0">
      <c r="A470" s="16">
        <f aca="false">IF($T470="","",1+COUNTIF($W$15:$W$895,"&lt;"&amp;W470))</f>
        <v/>
      </c>
      <c r="B470" s="16" t="s">
        <v>6</v>
      </c>
      <c r="C470" s="16" t="s">
        <v>316</v>
      </c>
      <c r="D470" s="16" t="s">
        <v>45</v>
      </c>
      <c r="E470" s="16" t="s">
        <v>26</v>
      </c>
      <c r="F470" s="16" t="s">
        <v>317</v>
      </c>
      <c r="G470" s="17">
        <v>1989</v>
      </c>
      <c r="H470" s="17"/>
      <c r="I470" s="17"/>
      <c r="J470" s="17">
        <v>1849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1849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 t="s">
        <v>54</v>
      </c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IF($T471="","",1+COUNTIF($W$15:$W$895,"&lt;"&amp;W471))</f>
        <v/>
      </c>
      <c r="B471" s="16" t="s">
        <v>8</v>
      </c>
      <c r="C471" s="16" t="s">
        <v>672</v>
      </c>
      <c r="D471" s="21" t="s">
        <v>81</v>
      </c>
      <c r="E471" s="16" t="s">
        <v>62</v>
      </c>
      <c r="F471" s="16" t="s">
        <v>673</v>
      </c>
      <c r="G471" s="17">
        <v>1989</v>
      </c>
      <c r="H471" s="17"/>
      <c r="I471" s="17"/>
      <c r="J471" s="17">
        <v>1939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1939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 t="s">
        <v>54</v>
      </c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IF($T472="","",1+COUNTIF($W$15:$W$895,"&lt;"&amp;W472))</f>
        <v/>
      </c>
      <c r="B472" s="16" t="s">
        <v>10</v>
      </c>
      <c r="C472" s="16" t="s">
        <v>1182</v>
      </c>
      <c r="D472" s="21" t="s">
        <v>81</v>
      </c>
      <c r="E472" s="16" t="s">
        <v>26</v>
      </c>
      <c r="F472" s="16" t="s">
        <v>1183</v>
      </c>
      <c r="G472" s="17">
        <v>1989</v>
      </c>
      <c r="H472" s="17"/>
      <c r="I472" s="17"/>
      <c r="J472" s="17">
        <v>1979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1979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 t="s">
        <v>54</v>
      </c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6" collapsed="false" customFormat="true" customHeight="true" hidden="false" ht="28.5" outlineLevel="0">
      <c r="A473" s="16">
        <f aca="false">IF($T473="","",1+COUNTIF($W$15:$W$895,"&lt;"&amp;W473))</f>
        <v/>
      </c>
      <c r="B473" s="16" t="s">
        <v>10</v>
      </c>
      <c r="C473" s="16" t="s">
        <v>1406</v>
      </c>
      <c r="D473" s="16" t="s">
        <v>45</v>
      </c>
      <c r="E473" s="16" t="s">
        <v>62</v>
      </c>
      <c r="F473" s="16" t="s">
        <v>1407</v>
      </c>
      <c r="G473" s="17">
        <v>1989</v>
      </c>
      <c r="H473" s="17"/>
      <c r="I473" s="17"/>
      <c r="J473" s="17">
        <v>1979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1979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 t="s">
        <v>54</v>
      </c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C473" s="3"/>
    </row>
    <row r="474" s="5" collapsed="false" customFormat="true" customHeight="true" hidden="false" ht="28.5" outlineLevel="0">
      <c r="A474" s="16">
        <f aca="false">IF($T474="","",1+COUNTIF($W$15:$W$895,"&lt;"&amp;W474))</f>
        <v/>
      </c>
      <c r="B474" s="16" t="s">
        <v>10</v>
      </c>
      <c r="C474" s="16" t="s">
        <v>499</v>
      </c>
      <c r="D474" s="16" t="s">
        <v>61</v>
      </c>
      <c r="E474" s="16" t="s">
        <v>26</v>
      </c>
      <c r="F474" s="16" t="s">
        <v>500</v>
      </c>
      <c r="G474" s="17">
        <v>1989</v>
      </c>
      <c r="H474" s="17"/>
      <c r="I474" s="17"/>
      <c r="J474" s="17">
        <v>1999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1999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 t="s">
        <v>54</v>
      </c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IF($T475="","",1+COUNTIF($W$15:$W$895,"&lt;"&amp;W475))</f>
        <v/>
      </c>
      <c r="B475" s="16" t="s">
        <v>10</v>
      </c>
      <c r="C475" s="16" t="s">
        <v>1769</v>
      </c>
      <c r="D475" s="16" t="s">
        <v>45</v>
      </c>
      <c r="E475" s="16" t="s">
        <v>26</v>
      </c>
      <c r="F475" s="16" t="s">
        <v>1770</v>
      </c>
      <c r="G475" s="17">
        <v>1990</v>
      </c>
      <c r="H475" s="17"/>
      <c r="I475" s="17"/>
      <c r="J475" s="17">
        <v>1920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1990</v>
      </c>
      <c r="M475" s="17">
        <f aca="false">IF($H475="","",$H475+$K475)</f>
        <v/>
      </c>
      <c r="N475" s="17">
        <f aca="false">IF($J475="","",$J475+$K475)</f>
        <v>1920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 t="s">
        <v>54</v>
      </c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IF($T476="","",1+COUNTIF($W$15:$W$895,"&lt;"&amp;W476))</f>
        <v/>
      </c>
      <c r="B476" s="16" t="s">
        <v>6</v>
      </c>
      <c r="C476" s="16" t="s">
        <v>617</v>
      </c>
      <c r="D476" s="16" t="s">
        <v>58</v>
      </c>
      <c r="E476" s="16" t="s">
        <v>26</v>
      </c>
      <c r="F476" s="16" t="s">
        <v>618</v>
      </c>
      <c r="G476" s="17">
        <v>1990</v>
      </c>
      <c r="H476" s="17"/>
      <c r="I476" s="17"/>
      <c r="J476" s="17">
        <v>1980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1990</v>
      </c>
      <c r="M476" s="17">
        <f aca="false">IF($H476="","",$H476+$K476)</f>
        <v/>
      </c>
      <c r="N476" s="17">
        <f aca="false">IF($J476="","",$J476+$K476)</f>
        <v>1980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 t="s">
        <v>54</v>
      </c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6" collapsed="false" customFormat="true" customHeight="true" hidden="false" ht="28.5" outlineLevel="0">
      <c r="A477" s="16">
        <f aca="false">IF($T477="","",1+COUNTIF($W$15:$W$895,"&lt;"&amp;W477))</f>
        <v/>
      </c>
      <c r="B477" s="16" t="s">
        <v>6</v>
      </c>
      <c r="C477" s="16" t="s">
        <v>1088</v>
      </c>
      <c r="D477" s="16" t="s">
        <v>110</v>
      </c>
      <c r="E477" s="16" t="s">
        <v>26</v>
      </c>
      <c r="F477" s="16" t="s">
        <v>1089</v>
      </c>
      <c r="G477" s="17">
        <v>1993</v>
      </c>
      <c r="H477" s="17"/>
      <c r="I477" s="17"/>
      <c r="J477" s="17">
        <v>1984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1993</v>
      </c>
      <c r="M477" s="17">
        <f aca="false">IF($H477="","",$H477+$K477)</f>
        <v/>
      </c>
      <c r="N477" s="17">
        <f aca="false">IF($J477="","",$J477+$K477)</f>
        <v>1984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 t="s">
        <v>54</v>
      </c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C477" s="3"/>
    </row>
    <row r="478" s="6" collapsed="false" customFormat="true" customHeight="true" hidden="false" ht="28.5" outlineLevel="0">
      <c r="A478" s="16">
        <f aca="false">IF($T478="","",1+COUNTIF($W$15:$W$895,"&lt;"&amp;W478))</f>
        <v/>
      </c>
      <c r="B478" s="16" t="s">
        <v>12</v>
      </c>
      <c r="C478" s="16" t="s">
        <v>1475</v>
      </c>
      <c r="D478" s="20" t="s">
        <v>61</v>
      </c>
      <c r="E478" s="16" t="s">
        <v>26</v>
      </c>
      <c r="F478" s="16" t="s">
        <v>1476</v>
      </c>
      <c r="G478" s="17">
        <v>1794</v>
      </c>
      <c r="H478" s="17"/>
      <c r="I478" s="17"/>
      <c r="J478" s="17">
        <v>1780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1794</v>
      </c>
      <c r="M478" s="17">
        <f aca="false">IF($H478="","",$H478+$K478)</f>
        <v/>
      </c>
      <c r="N478" s="17">
        <f aca="false">IF($J478="","",$J478+$K478)</f>
        <v>1780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C478" s="3"/>
    </row>
    <row r="479" s="5" collapsed="false" customFormat="true" customHeight="true" hidden="false" ht="28.5" outlineLevel="0">
      <c r="A479" s="16">
        <f aca="false">IF($T479="","",1+COUNTIF($W$15:$W$895,"&lt;"&amp;W479))</f>
        <v/>
      </c>
      <c r="B479" s="16" t="s">
        <v>12</v>
      </c>
      <c r="C479" s="16" t="s">
        <v>102</v>
      </c>
      <c r="D479" s="20" t="s">
        <v>45</v>
      </c>
      <c r="E479" s="16" t="s">
        <v>26</v>
      </c>
      <c r="F479" s="16" t="s">
        <v>104</v>
      </c>
      <c r="G479" s="17">
        <v>1994</v>
      </c>
      <c r="H479" s="17"/>
      <c r="I479" s="17"/>
      <c r="J479" s="17">
        <v>1882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1994</v>
      </c>
      <c r="M479" s="17">
        <f aca="false">IF($H479="","",$H479+$K479)</f>
        <v/>
      </c>
      <c r="N479" s="17">
        <f aca="false">IF($J479="","",$J479+$K479)</f>
        <v>1882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 t="s">
        <v>54</v>
      </c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IF($T480="","",1+COUNTIF($W$15:$W$895,"&lt;"&amp;W480))</f>
        <v/>
      </c>
      <c r="B480" s="16" t="s">
        <v>6</v>
      </c>
      <c r="C480" s="16" t="s">
        <v>1013</v>
      </c>
      <c r="D480" s="16" t="s">
        <v>96</v>
      </c>
      <c r="E480" s="16" t="s">
        <v>26</v>
      </c>
      <c r="F480" s="16" t="s">
        <v>1014</v>
      </c>
      <c r="G480" s="17">
        <v>1995</v>
      </c>
      <c r="H480" s="17"/>
      <c r="I480" s="17"/>
      <c r="J480" s="17">
        <v>1885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1995</v>
      </c>
      <c r="M480" s="17">
        <f aca="false">IF($H480="","",$H480+$K480)</f>
        <v/>
      </c>
      <c r="N480" s="17">
        <f aca="false">IF($J480="","",$J480+$K480)</f>
        <v>1885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 t="s">
        <v>54</v>
      </c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IF($T481="","",1+COUNTIF($W$15:$W$895,"&lt;"&amp;W481))</f>
        <v/>
      </c>
      <c r="B481" s="16" t="s">
        <v>6</v>
      </c>
      <c r="C481" s="16" t="s">
        <v>478</v>
      </c>
      <c r="D481" s="16" t="s">
        <v>48</v>
      </c>
      <c r="E481" s="16" t="s">
        <v>26</v>
      </c>
      <c r="F481" s="16" t="s">
        <v>480</v>
      </c>
      <c r="G481" s="17">
        <v>1995</v>
      </c>
      <c r="H481" s="17"/>
      <c r="I481" s="17"/>
      <c r="J481" s="17">
        <v>1945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1995</v>
      </c>
      <c r="M481" s="17">
        <f aca="false">IF($H481="","",$H481+$K481)</f>
        <v/>
      </c>
      <c r="N481" s="17">
        <f aca="false">IF($J481="","",$J481+$K481)</f>
        <v>1945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 t="s">
        <v>54</v>
      </c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IF($T482="","",1+COUNTIF($W$15:$W$895,"&lt;"&amp;W482))</f>
        <v/>
      </c>
      <c r="B482" s="16" t="s">
        <v>6</v>
      </c>
      <c r="C482" s="16" t="s">
        <v>873</v>
      </c>
      <c r="D482" s="21" t="s">
        <v>81</v>
      </c>
      <c r="E482" s="16" t="s">
        <v>26</v>
      </c>
      <c r="F482" s="16" t="s">
        <v>874</v>
      </c>
      <c r="G482" s="17">
        <v>1995</v>
      </c>
      <c r="H482" s="17"/>
      <c r="I482" s="17"/>
      <c r="J482" s="17">
        <v>1975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1995</v>
      </c>
      <c r="M482" s="17">
        <f aca="false">IF($H482="","",$H482+$K482)</f>
        <v/>
      </c>
      <c r="N482" s="17">
        <f aca="false">IF($J482="","",$J482+$K482)</f>
        <v>1975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 t="s">
        <v>54</v>
      </c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6" collapsed="false" customFormat="true" customHeight="true" hidden="false" ht="28.5" outlineLevel="0">
      <c r="A483" s="16">
        <f aca="false">IF($T483="","",1+COUNTIF($W$15:$W$895,"&lt;"&amp;W483))</f>
        <v/>
      </c>
      <c r="B483" s="16" t="s">
        <v>10</v>
      </c>
      <c r="C483" s="16" t="s">
        <v>1283</v>
      </c>
      <c r="D483" s="16" t="s">
        <v>45</v>
      </c>
      <c r="E483" s="16" t="s">
        <v>62</v>
      </c>
      <c r="F483" s="16" t="s">
        <v>1284</v>
      </c>
      <c r="G483" s="17">
        <v>1995</v>
      </c>
      <c r="H483" s="17"/>
      <c r="I483" s="17"/>
      <c r="J483" s="17">
        <v>1985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1995</v>
      </c>
      <c r="M483" s="17">
        <f aca="false">IF($H483="","",$H483+$K483)</f>
        <v/>
      </c>
      <c r="N483" s="17">
        <f aca="false">IF($J483="","",$J483+$K483)</f>
        <v>1985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 t="s">
        <v>54</v>
      </c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C483" s="3"/>
    </row>
    <row r="484" s="5" collapsed="false" customFormat="true" customHeight="true" hidden="false" ht="28.5" outlineLevel="0">
      <c r="A484" s="16">
        <f aca="false">IF($T484="","",1+COUNTIF($W$15:$W$895,"&lt;"&amp;W484))</f>
        <v/>
      </c>
      <c r="B484" s="16" t="s">
        <v>6</v>
      </c>
      <c r="C484" s="16" t="s">
        <v>1034</v>
      </c>
      <c r="D484" s="16" t="s">
        <v>58</v>
      </c>
      <c r="E484" s="16" t="s">
        <v>26</v>
      </c>
      <c r="F484" s="16" t="s">
        <v>1035</v>
      </c>
      <c r="G484" s="17">
        <v>1995</v>
      </c>
      <c r="H484" s="17"/>
      <c r="I484" s="17"/>
      <c r="J484" s="17">
        <v>1995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1995</v>
      </c>
      <c r="M484" s="17">
        <f aca="false">IF($H484="","",$H484+$K484)</f>
        <v/>
      </c>
      <c r="N484" s="17">
        <f aca="false">IF($J484="","",$J484+$K484)</f>
        <v>1995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 t="s">
        <v>54</v>
      </c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IF($T485="","",1+COUNTIF($W$15:$W$895,"&lt;"&amp;W485))</f>
        <v/>
      </c>
      <c r="B485" s="16" t="s">
        <v>6</v>
      </c>
      <c r="C485" s="16" t="s">
        <v>1279</v>
      </c>
      <c r="D485" s="16" t="s">
        <v>58</v>
      </c>
      <c r="E485" s="16" t="s">
        <v>26</v>
      </c>
      <c r="F485" s="16" t="s">
        <v>1280</v>
      </c>
      <c r="G485" s="17">
        <v>1995</v>
      </c>
      <c r="H485" s="17"/>
      <c r="I485" s="17"/>
      <c r="J485" s="17">
        <v>1995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1995</v>
      </c>
      <c r="M485" s="17">
        <f aca="false">IF($H485="","",$H485+$K485)</f>
        <v/>
      </c>
      <c r="N485" s="17">
        <f aca="false">IF($J485="","",$J485+$K485)</f>
        <v>1995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 t="s">
        <v>54</v>
      </c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IF($T486="","",1+COUNTIF($W$15:$W$895,"&lt;"&amp;W486))</f>
        <v/>
      </c>
      <c r="B486" s="16" t="s">
        <v>8</v>
      </c>
      <c r="C486" s="16" t="s">
        <v>802</v>
      </c>
      <c r="D486" s="16" t="s">
        <v>45</v>
      </c>
      <c r="E486" s="16" t="s">
        <v>62</v>
      </c>
      <c r="F486" s="16" t="s">
        <v>803</v>
      </c>
      <c r="G486" s="17">
        <v>1995</v>
      </c>
      <c r="H486" s="17"/>
      <c r="I486" s="17"/>
      <c r="J486" s="17">
        <v>1995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1995</v>
      </c>
      <c r="M486" s="17">
        <f aca="false">IF($H486="","",$H486+$K486)</f>
        <v/>
      </c>
      <c r="N486" s="17">
        <f aca="false">IF($J486="","",$J486+$K486)</f>
        <v>1995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 t="s">
        <v>54</v>
      </c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IF($T487="","",1+COUNTIF($W$15:$W$895,"&lt;"&amp;W487))</f>
        <v/>
      </c>
      <c r="B487" s="16" t="s">
        <v>8</v>
      </c>
      <c r="C487" s="16" t="s">
        <v>1028</v>
      </c>
      <c r="D487" s="16" t="s">
        <v>61</v>
      </c>
      <c r="E487" s="16" t="s">
        <v>62</v>
      </c>
      <c r="F487" s="16" t="s">
        <v>1029</v>
      </c>
      <c r="G487" s="17">
        <v>1995</v>
      </c>
      <c r="H487" s="17"/>
      <c r="I487" s="17"/>
      <c r="J487" s="17">
        <v>1995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1995</v>
      </c>
      <c r="M487" s="17">
        <f aca="false">IF($H487="","",$H487+$K487)</f>
        <v/>
      </c>
      <c r="N487" s="17">
        <f aca="false">IF($J487="","",$J487+$K487)</f>
        <v>1995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 t="s">
        <v>54</v>
      </c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22" collapsed="false" customFormat="true" customHeight="true" hidden="false" ht="28.5" outlineLevel="0">
      <c r="A488" s="16">
        <f aca="false">IF($T488="","",1+COUNTIF($W$15:$W$895,"&lt;"&amp;W488))</f>
        <v/>
      </c>
      <c r="B488" s="16" t="s">
        <v>12</v>
      </c>
      <c r="C488" s="16" t="s">
        <v>1532</v>
      </c>
      <c r="D488" s="20" t="s">
        <v>58</v>
      </c>
      <c r="E488" s="16" t="s">
        <v>26</v>
      </c>
      <c r="F488" s="16" t="s">
        <v>1533</v>
      </c>
      <c r="G488" s="17">
        <v>1995</v>
      </c>
      <c r="H488" s="17"/>
      <c r="I488" s="17"/>
      <c r="J488" s="17">
        <v>1995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1995</v>
      </c>
      <c r="M488" s="17">
        <f aca="false">IF($H488="","",$H488+$K488)</f>
        <v/>
      </c>
      <c r="N488" s="17">
        <f aca="false">IF($J488="","",$J488+$K488)</f>
        <v>1995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 t="s">
        <v>54</v>
      </c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IF($T489="","",1+COUNTIF($W$15:$W$895,"&lt;"&amp;W489))</f>
        <v/>
      </c>
      <c r="B489" s="16" t="s">
        <v>6</v>
      </c>
      <c r="C489" s="16" t="s">
        <v>493</v>
      </c>
      <c r="D489" s="16" t="s">
        <v>58</v>
      </c>
      <c r="E489" s="16" t="s">
        <v>26</v>
      </c>
      <c r="F489" s="16" t="s">
        <v>494</v>
      </c>
      <c r="G489" s="17">
        <v>1996</v>
      </c>
      <c r="H489" s="17"/>
      <c r="I489" s="17"/>
      <c r="J489" s="17">
        <v>1996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1996</v>
      </c>
      <c r="M489" s="17">
        <f aca="false">IF($H489="","",$H489+$K489)</f>
        <v/>
      </c>
      <c r="N489" s="17">
        <f aca="false">IF($J489="","",$J489+$K489)</f>
        <v>1996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 t="s">
        <v>54</v>
      </c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IF($T490="","",1+COUNTIF($W$15:$W$895,"&lt;"&amp;W490))</f>
        <v/>
      </c>
      <c r="B490" s="16" t="s">
        <v>14</v>
      </c>
      <c r="C490" s="16" t="s">
        <v>1125</v>
      </c>
      <c r="D490" s="16" t="s">
        <v>58</v>
      </c>
      <c r="E490" s="16" t="s">
        <v>26</v>
      </c>
      <c r="F490" s="16" t="s">
        <v>1126</v>
      </c>
      <c r="G490" s="17">
        <v>2019</v>
      </c>
      <c r="H490" s="17"/>
      <c r="I490" s="17"/>
      <c r="J490" s="17">
        <v>1999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2019</v>
      </c>
      <c r="M490" s="17">
        <f aca="false">IF($H490="","",$H490+$K490)</f>
        <v/>
      </c>
      <c r="N490" s="17">
        <f aca="false">IF($J490="","",$J490+$K490)</f>
        <v>1999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 t="s">
        <v>54</v>
      </c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IF($T491="","",1+COUNTIF($W$15:$W$895,"&lt;"&amp;W491))</f>
        <v/>
      </c>
      <c r="B491" s="16" t="s">
        <v>12</v>
      </c>
      <c r="C491" s="16" t="s">
        <v>322</v>
      </c>
      <c r="D491" s="20" t="s">
        <v>58</v>
      </c>
      <c r="E491" s="16" t="s">
        <v>26</v>
      </c>
      <c r="F491" s="16" t="s">
        <v>323</v>
      </c>
      <c r="G491" s="17">
        <v>1997</v>
      </c>
      <c r="H491" s="17"/>
      <c r="I491" s="17"/>
      <c r="J491" s="17">
        <v>1987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1997</v>
      </c>
      <c r="M491" s="17">
        <f aca="false">IF($H491="","",$H491+$K491)</f>
        <v/>
      </c>
      <c r="N491" s="17">
        <f aca="false">IF($J491="","",$J491+$K491)</f>
        <v>1987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 t="s">
        <v>54</v>
      </c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IF($T492="","",1+COUNTIF($W$15:$W$895,"&lt;"&amp;W492))</f>
        <v/>
      </c>
      <c r="B492" s="16" t="s">
        <v>10</v>
      </c>
      <c r="C492" s="16" t="s">
        <v>1022</v>
      </c>
      <c r="D492" s="16" t="s">
        <v>45</v>
      </c>
      <c r="E492" s="16" t="s">
        <v>26</v>
      </c>
      <c r="F492" s="16" t="s">
        <v>1023</v>
      </c>
      <c r="G492" s="17">
        <v>1997</v>
      </c>
      <c r="H492" s="17"/>
      <c r="I492" s="17"/>
      <c r="J492" s="17">
        <v>1997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1997</v>
      </c>
      <c r="M492" s="17">
        <f aca="false">IF($H492="","",$H492+$K492)</f>
        <v/>
      </c>
      <c r="N492" s="17">
        <f aca="false">IF($J492="","",$J492+$K492)</f>
        <v>1997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 t="s">
        <v>54</v>
      </c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22" collapsed="false" customFormat="true" customHeight="true" hidden="false" ht="28.5" outlineLevel="0">
      <c r="A493" s="16">
        <f aca="false">IF($T493="","",1+COUNTIF($W$15:$W$895,"&lt;"&amp;W493))</f>
        <v/>
      </c>
      <c r="B493" s="16" t="s">
        <v>10</v>
      </c>
      <c r="C493" s="16" t="s">
        <v>1483</v>
      </c>
      <c r="D493" s="16" t="s">
        <v>61</v>
      </c>
      <c r="E493" s="16" t="s">
        <v>62</v>
      </c>
      <c r="F493" s="16" t="s">
        <v>1484</v>
      </c>
      <c r="G493" s="17">
        <v>1798</v>
      </c>
      <c r="H493" s="17"/>
      <c r="I493" s="17"/>
      <c r="J493" s="17">
        <v>1749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1798</v>
      </c>
      <c r="M493" s="17">
        <f aca="false">IF($H493="","",$H493+$K493)</f>
        <v/>
      </c>
      <c r="N493" s="17">
        <f aca="false">IF($J493="","",$J493+$K493)</f>
        <v>1749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22" collapsed="false" customFormat="true" customHeight="true" hidden="false" ht="28.5" outlineLevel="0">
      <c r="A494" s="16">
        <f aca="false">IF($T494="","",1+COUNTIF($W$15:$W$895,"&lt;"&amp;W494))</f>
        <v/>
      </c>
      <c r="B494" s="16" t="s">
        <v>10</v>
      </c>
      <c r="C494" s="16" t="s">
        <v>282</v>
      </c>
      <c r="D494" s="21" t="s">
        <v>81</v>
      </c>
      <c r="E494" s="16" t="s">
        <v>26</v>
      </c>
      <c r="F494" s="16" t="s">
        <v>283</v>
      </c>
      <c r="G494" s="17">
        <v>1798</v>
      </c>
      <c r="H494" s="17"/>
      <c r="I494" s="17"/>
      <c r="J494" s="17">
        <v>1758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1798</v>
      </c>
      <c r="M494" s="17">
        <f aca="false">IF($H494="","",$H494+$K494)</f>
        <v/>
      </c>
      <c r="N494" s="17">
        <f aca="false">IF($J494="","",$J494+$K494)</f>
        <v>1758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IF($T495="","",1+COUNTIF($W$15:$W$895,"&lt;"&amp;W495))</f>
        <v/>
      </c>
      <c r="B495" s="16" t="s">
        <v>6</v>
      </c>
      <c r="C495" s="16" t="s">
        <v>312</v>
      </c>
      <c r="D495" s="16" t="s">
        <v>45</v>
      </c>
      <c r="E495" s="16" t="s">
        <v>62</v>
      </c>
      <c r="F495" s="16" t="s">
        <v>313</v>
      </c>
      <c r="G495" s="17">
        <v>1998</v>
      </c>
      <c r="H495" s="17"/>
      <c r="I495" s="17"/>
      <c r="J495" s="17">
        <v>1938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1998</v>
      </c>
      <c r="M495" s="17">
        <f aca="false">IF($H495="","",$H495+$K495)</f>
        <v/>
      </c>
      <c r="N495" s="17">
        <f aca="false">IF($J495="","",$J495+$K495)</f>
        <v>1938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 t="s">
        <v>54</v>
      </c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IF($T496="","",1+COUNTIF($W$15:$W$895,"&lt;"&amp;W496))</f>
        <v/>
      </c>
      <c r="B496" s="16" t="s">
        <v>6</v>
      </c>
      <c r="C496" s="16" t="s">
        <v>715</v>
      </c>
      <c r="D496" s="21" t="s">
        <v>81</v>
      </c>
      <c r="E496" s="16" t="s">
        <v>26</v>
      </c>
      <c r="F496" s="16" t="s">
        <v>716</v>
      </c>
      <c r="G496" s="17">
        <v>1998</v>
      </c>
      <c r="H496" s="17"/>
      <c r="I496" s="17"/>
      <c r="J496" s="17">
        <v>1938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1998</v>
      </c>
      <c r="M496" s="17">
        <f aca="false">IF($H496="","",$H496+$K496)</f>
        <v/>
      </c>
      <c r="N496" s="17">
        <f aca="false">IF($J496="","",$J496+$K496)</f>
        <v>1938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 t="s">
        <v>54</v>
      </c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IF($T497="","",1+COUNTIF($W$15:$W$895,"&lt;"&amp;W497))</f>
        <v/>
      </c>
      <c r="B497" s="16" t="s">
        <v>6</v>
      </c>
      <c r="C497" s="16" t="s">
        <v>1121</v>
      </c>
      <c r="D497" s="16" t="s">
        <v>58</v>
      </c>
      <c r="E497" s="16" t="s">
        <v>26</v>
      </c>
      <c r="F497" s="16" t="s">
        <v>1122</v>
      </c>
      <c r="G497" s="17">
        <v>1998</v>
      </c>
      <c r="H497" s="17"/>
      <c r="I497" s="17"/>
      <c r="J497" s="17">
        <v>1945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1998</v>
      </c>
      <c r="M497" s="17">
        <f aca="false">IF($H497="","",$H497+$K497)</f>
        <v/>
      </c>
      <c r="N497" s="17">
        <f aca="false">IF($J497="","",$J497+$K497)</f>
        <v>1945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 t="s">
        <v>54</v>
      </c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IF($T498="","",1+COUNTIF($W$15:$W$895,"&lt;"&amp;W498))</f>
        <v/>
      </c>
      <c r="B498" s="16" t="s">
        <v>12</v>
      </c>
      <c r="C498" s="16" t="s">
        <v>817</v>
      </c>
      <c r="D498" s="20" t="s">
        <v>58</v>
      </c>
      <c r="E498" s="16" t="s">
        <v>26</v>
      </c>
      <c r="F498" s="16" t="s">
        <v>818</v>
      </c>
      <c r="G498" s="17">
        <v>1998</v>
      </c>
      <c r="H498" s="17"/>
      <c r="I498" s="17"/>
      <c r="J498" s="17">
        <v>1948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1998</v>
      </c>
      <c r="M498" s="17">
        <f aca="false">IF($H498="","",$H498+$K498)</f>
        <v/>
      </c>
      <c r="N498" s="17">
        <f aca="false">IF($J498="","",$J498+$K498)</f>
        <v>1948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 t="s">
        <v>54</v>
      </c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IF($T499="","",1+COUNTIF($W$15:$W$895,"&lt;"&amp;W499))</f>
        <v/>
      </c>
      <c r="B499" s="16" t="s">
        <v>10</v>
      </c>
      <c r="C499" s="16" t="s">
        <v>1019</v>
      </c>
      <c r="D499" s="21" t="s">
        <v>81</v>
      </c>
      <c r="E499" s="16" t="s">
        <v>26</v>
      </c>
      <c r="F499" s="16" t="s">
        <v>1021</v>
      </c>
      <c r="G499" s="17">
        <v>1998</v>
      </c>
      <c r="H499" s="17"/>
      <c r="I499" s="17"/>
      <c r="J499" s="17">
        <v>1988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1998</v>
      </c>
      <c r="M499" s="17">
        <f aca="false">IF($H499="","",$H499+$K499)</f>
        <v/>
      </c>
      <c r="N499" s="17">
        <f aca="false">IF($J499="","",$J499+$K499)</f>
        <v>1988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 t="s">
        <v>54</v>
      </c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IF($T500="","",1+COUNTIF($W$15:$W$895,"&lt;"&amp;W500))</f>
        <v/>
      </c>
      <c r="B500" s="16" t="s">
        <v>12</v>
      </c>
      <c r="C500" s="16" t="s">
        <v>765</v>
      </c>
      <c r="D500" s="20" t="s">
        <v>45</v>
      </c>
      <c r="E500" s="16" t="s">
        <v>62</v>
      </c>
      <c r="F500" s="16" t="s">
        <v>766</v>
      </c>
      <c r="G500" s="17">
        <v>1998</v>
      </c>
      <c r="H500" s="17"/>
      <c r="I500" s="17"/>
      <c r="J500" s="17">
        <v>1998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1998</v>
      </c>
      <c r="M500" s="17">
        <f aca="false">IF($H500="","",$H500+$K500)</f>
        <v/>
      </c>
      <c r="N500" s="17">
        <f aca="false">IF($J500="","",$J500+$K500)</f>
        <v>1998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 t="s">
        <v>54</v>
      </c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IF($T501="","",1+COUNTIF($W$15:$W$895,"&lt;"&amp;W501))</f>
        <v/>
      </c>
      <c r="B501" s="16" t="s">
        <v>12</v>
      </c>
      <c r="C501" s="16" t="s">
        <v>1123</v>
      </c>
      <c r="D501" s="20" t="s">
        <v>61</v>
      </c>
      <c r="E501" s="16" t="s">
        <v>62</v>
      </c>
      <c r="F501" s="16" t="s">
        <v>1124</v>
      </c>
      <c r="G501" s="17">
        <v>1998</v>
      </c>
      <c r="H501" s="17"/>
      <c r="I501" s="17"/>
      <c r="J501" s="17">
        <v>1998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1998</v>
      </c>
      <c r="M501" s="17">
        <f aca="false">IF($H501="","",$H501+$K501)</f>
        <v/>
      </c>
      <c r="N501" s="17">
        <f aca="false">IF($J501="","",$J501+$K501)</f>
        <v>1998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 t="s">
        <v>54</v>
      </c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6" collapsed="false" customFormat="true" customHeight="true" hidden="false" ht="28.5" outlineLevel="0">
      <c r="A502" s="16">
        <f aca="false">IF($T502="","",1+COUNTIF($W$15:$W$895,"&lt;"&amp;W502))</f>
        <v/>
      </c>
      <c r="B502" s="16" t="s">
        <v>12</v>
      </c>
      <c r="C502" s="16" t="s">
        <v>1319</v>
      </c>
      <c r="D502" s="21" t="s">
        <v>81</v>
      </c>
      <c r="E502" s="16" t="s">
        <v>26</v>
      </c>
      <c r="F502" s="16" t="s">
        <v>1320</v>
      </c>
      <c r="G502" s="17">
        <v>1998</v>
      </c>
      <c r="H502" s="17"/>
      <c r="I502" s="17"/>
      <c r="J502" s="17">
        <v>1998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1998</v>
      </c>
      <c r="M502" s="17">
        <f aca="false">IF($H502="","",$H502+$K502)</f>
        <v/>
      </c>
      <c r="N502" s="17">
        <f aca="false">IF($J502="","",$J502+$K502)</f>
        <v>1998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 t="s">
        <v>54</v>
      </c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C502" s="3"/>
    </row>
    <row r="503" s="5" collapsed="false" customFormat="true" customHeight="true" hidden="false" ht="28.5" outlineLevel="0">
      <c r="A503" s="16">
        <f aca="false">IF($T503="","",1+COUNTIF($W$15:$W$895,"&lt;"&amp;W503))</f>
        <v/>
      </c>
      <c r="B503" s="16" t="s">
        <v>10</v>
      </c>
      <c r="C503" s="16" t="s">
        <v>609</v>
      </c>
      <c r="D503" s="16" t="s">
        <v>45</v>
      </c>
      <c r="E503" s="16" t="s">
        <v>62</v>
      </c>
      <c r="F503" s="16" t="s">
        <v>610</v>
      </c>
      <c r="G503" s="17">
        <v>1998</v>
      </c>
      <c r="H503" s="17"/>
      <c r="I503" s="17"/>
      <c r="J503" s="17">
        <v>1998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1998</v>
      </c>
      <c r="M503" s="17">
        <f aca="false">IF($H503="","",$H503+$K503)</f>
        <v/>
      </c>
      <c r="N503" s="17">
        <f aca="false">IF($J503="","",$J503+$K503)</f>
        <v>1998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 t="s">
        <v>54</v>
      </c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6" collapsed="false" customFormat="true" customHeight="true" hidden="false" ht="28.5" outlineLevel="0">
      <c r="A504" s="16">
        <f aca="false">IF($T504="","",1+COUNTIF($W$15:$W$895,"&lt;"&amp;W504))</f>
        <v/>
      </c>
      <c r="B504" s="16" t="s">
        <v>10</v>
      </c>
      <c r="C504" s="16" t="s">
        <v>1248</v>
      </c>
      <c r="D504" s="16" t="s">
        <v>58</v>
      </c>
      <c r="E504" s="16" t="s">
        <v>62</v>
      </c>
      <c r="F504" s="16" t="s">
        <v>1249</v>
      </c>
      <c r="G504" s="17">
        <v>1998</v>
      </c>
      <c r="H504" s="17"/>
      <c r="I504" s="17"/>
      <c r="J504" s="17">
        <v>1998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1998</v>
      </c>
      <c r="M504" s="17">
        <f aca="false">IF($H504="","",$H504+$K504)</f>
        <v/>
      </c>
      <c r="N504" s="17">
        <f aca="false">IF($J504="","",$J504+$K504)</f>
        <v>1998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 t="s">
        <v>54</v>
      </c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C504" s="3"/>
    </row>
    <row r="505" s="5" collapsed="false" customFormat="true" customHeight="true" hidden="false" ht="28.5" outlineLevel="0">
      <c r="A505" s="16">
        <f aca="false">IF($T505="","",1+COUNTIF($W$15:$W$895,"&lt;"&amp;W505))</f>
        <v/>
      </c>
      <c r="B505" s="16" t="s">
        <v>14</v>
      </c>
      <c r="C505" s="16" t="s">
        <v>174</v>
      </c>
      <c r="D505" s="16" t="s">
        <v>58</v>
      </c>
      <c r="E505" s="16" t="s">
        <v>26</v>
      </c>
      <c r="F505" s="16" t="s">
        <v>175</v>
      </c>
      <c r="G505" s="17">
        <v>1799</v>
      </c>
      <c r="H505" s="17"/>
      <c r="I505" s="17"/>
      <c r="J505" s="17">
        <v>1799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1799</v>
      </c>
      <c r="M505" s="17">
        <f aca="false">IF($H505="","",$H505+$K505)</f>
        <v/>
      </c>
      <c r="N505" s="17">
        <f aca="false">IF($J505="","",$J505+$K505)</f>
        <v>1799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IF($T506="","",1+COUNTIF($W$15:$W$895,"&lt;"&amp;W506))</f>
        <v/>
      </c>
      <c r="B506" s="16" t="s">
        <v>14</v>
      </c>
      <c r="C506" s="16" t="s">
        <v>184</v>
      </c>
      <c r="D506" s="16" t="s">
        <v>58</v>
      </c>
      <c r="E506" s="16" t="s">
        <v>26</v>
      </c>
      <c r="F506" s="16" t="s">
        <v>185</v>
      </c>
      <c r="G506" s="17">
        <v>1799</v>
      </c>
      <c r="H506" s="17"/>
      <c r="I506" s="17"/>
      <c r="J506" s="17">
        <v>1799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1799</v>
      </c>
      <c r="M506" s="17">
        <f aca="false">IF($H506="","",$H506+$K506)</f>
        <v/>
      </c>
      <c r="N506" s="17">
        <f aca="false">IF($J506="","",$J506+$K506)</f>
        <v>1799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IF($T507="","",1+COUNTIF($W$15:$W$895,"&lt;"&amp;W507))</f>
        <v/>
      </c>
      <c r="B507" s="16" t="s">
        <v>6</v>
      </c>
      <c r="C507" s="16" t="s">
        <v>288</v>
      </c>
      <c r="D507" s="21" t="s">
        <v>81</v>
      </c>
      <c r="E507" s="16" t="s">
        <v>26</v>
      </c>
      <c r="F507" s="16" t="s">
        <v>289</v>
      </c>
      <c r="G507" s="17">
        <v>1999</v>
      </c>
      <c r="H507" s="17"/>
      <c r="I507" s="17"/>
      <c r="J507" s="17">
        <v>1879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1999</v>
      </c>
      <c r="M507" s="17">
        <f aca="false">IF($H507="","",$H507+$K507)</f>
        <v/>
      </c>
      <c r="N507" s="17">
        <f aca="false">IF($J507="","",$J507+$K507)</f>
        <v>1879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 t="s">
        <v>54</v>
      </c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IF($T508="","",1+COUNTIF($W$15:$W$895,"&lt;"&amp;W508))</f>
        <v/>
      </c>
      <c r="B508" s="16" t="s">
        <v>12</v>
      </c>
      <c r="C508" s="16" t="s">
        <v>1005</v>
      </c>
      <c r="D508" s="16" t="s">
        <v>48</v>
      </c>
      <c r="E508" s="16" t="s">
        <v>26</v>
      </c>
      <c r="F508" s="16" t="s">
        <v>1006</v>
      </c>
      <c r="G508" s="17">
        <v>1999</v>
      </c>
      <c r="H508" s="17"/>
      <c r="I508" s="17"/>
      <c r="J508" s="17">
        <v>1896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1999</v>
      </c>
      <c r="M508" s="17">
        <f aca="false">IF($H508="","",$H508+$K508)</f>
        <v/>
      </c>
      <c r="N508" s="17">
        <f aca="false">IF($J508="","",$J508+$K508)</f>
        <v>1896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 t="s">
        <v>54</v>
      </c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IF($T509="","",1+COUNTIF($W$15:$W$895,"&lt;"&amp;W509))</f>
        <v/>
      </c>
      <c r="B509" s="16" t="s">
        <v>12</v>
      </c>
      <c r="C509" s="16" t="s">
        <v>871</v>
      </c>
      <c r="D509" s="21" t="s">
        <v>81</v>
      </c>
      <c r="E509" s="16" t="s">
        <v>26</v>
      </c>
      <c r="F509" s="16" t="s">
        <v>872</v>
      </c>
      <c r="G509" s="17">
        <v>1999</v>
      </c>
      <c r="H509" s="17"/>
      <c r="I509" s="17"/>
      <c r="J509" s="17">
        <v>1899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1999</v>
      </c>
      <c r="M509" s="17">
        <f aca="false">IF($H509="","",$H509+$K509)</f>
        <v/>
      </c>
      <c r="N509" s="17">
        <f aca="false">IF($J509="","",$J509+$K509)</f>
        <v>1899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 t="s">
        <v>54</v>
      </c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IF($T510="","",1+COUNTIF($W$15:$W$895,"&lt;"&amp;W510))</f>
        <v/>
      </c>
      <c r="B510" s="16" t="s">
        <v>10</v>
      </c>
      <c r="C510" s="16" t="s">
        <v>779</v>
      </c>
      <c r="D510" s="16" t="s">
        <v>58</v>
      </c>
      <c r="E510" s="16" t="s">
        <v>26</v>
      </c>
      <c r="F510" s="16" t="s">
        <v>780</v>
      </c>
      <c r="G510" s="17">
        <v>1999</v>
      </c>
      <c r="H510" s="17"/>
      <c r="I510" s="17"/>
      <c r="J510" s="17">
        <v>1899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1999</v>
      </c>
      <c r="M510" s="17">
        <f aca="false">IF($H510="","",$H510+$K510)</f>
        <v/>
      </c>
      <c r="N510" s="17">
        <f aca="false">IF($J510="","",$J510+$K510)</f>
        <v>1899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 t="s">
        <v>54</v>
      </c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IF($T511="","",1+COUNTIF($W$15:$W$895,"&lt;"&amp;W511))</f>
        <v/>
      </c>
      <c r="B511" s="16" t="s">
        <v>6</v>
      </c>
      <c r="C511" s="16" t="s">
        <v>120</v>
      </c>
      <c r="D511" s="16" t="s">
        <v>58</v>
      </c>
      <c r="E511" s="16" t="s">
        <v>26</v>
      </c>
      <c r="F511" s="16" t="s">
        <v>121</v>
      </c>
      <c r="G511" s="17">
        <v>1999</v>
      </c>
      <c r="H511" s="17"/>
      <c r="I511" s="17"/>
      <c r="J511" s="17">
        <v>1989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1999</v>
      </c>
      <c r="M511" s="17">
        <f aca="false">IF($H511="","",$H511+$K511)</f>
        <v/>
      </c>
      <c r="N511" s="17">
        <f aca="false">IF($J511="","",$J511+$K511)</f>
        <v>1989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 t="s">
        <v>54</v>
      </c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IF($T512="","",1+COUNTIF($W$15:$W$895,"&lt;"&amp;W512))</f>
        <v/>
      </c>
      <c r="B512" s="16" t="s">
        <v>6</v>
      </c>
      <c r="C512" s="16" t="s">
        <v>444</v>
      </c>
      <c r="D512" s="16" t="s">
        <v>61</v>
      </c>
      <c r="E512" s="16" t="s">
        <v>62</v>
      </c>
      <c r="F512" s="16" t="s">
        <v>447</v>
      </c>
      <c r="G512" s="17">
        <v>1999</v>
      </c>
      <c r="H512" s="17"/>
      <c r="I512" s="17"/>
      <c r="J512" s="17">
        <v>1989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1999</v>
      </c>
      <c r="M512" s="17">
        <f aca="false">IF($H512="","",$H512+$K512)</f>
        <v/>
      </c>
      <c r="N512" s="17">
        <f aca="false">IF($J512="","",$J512+$K512)</f>
        <v>1989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 t="s">
        <v>54</v>
      </c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IF($T513="","",1+COUNTIF($W$15:$W$895,"&lt;"&amp;W513))</f>
        <v/>
      </c>
      <c r="B513" s="16" t="s">
        <v>6</v>
      </c>
      <c r="C513" s="16" t="s">
        <v>649</v>
      </c>
      <c r="D513" s="16" t="s">
        <v>45</v>
      </c>
      <c r="E513" s="16" t="s">
        <v>26</v>
      </c>
      <c r="F513" s="16" t="s">
        <v>651</v>
      </c>
      <c r="G513" s="17">
        <v>1999</v>
      </c>
      <c r="H513" s="17"/>
      <c r="I513" s="17"/>
      <c r="J513" s="17">
        <v>1989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1999</v>
      </c>
      <c r="M513" s="17">
        <f aca="false">IF($H513="","",$H513+$K513)</f>
        <v/>
      </c>
      <c r="N513" s="17">
        <f aca="false">IF($J513="","",$J513+$K513)</f>
        <v>1989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 t="s">
        <v>54</v>
      </c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IF($T514="","",1+COUNTIF($W$15:$W$895,"&lt;"&amp;W514))</f>
        <v/>
      </c>
      <c r="B514" s="16" t="s">
        <v>12</v>
      </c>
      <c r="C514" s="16" t="s">
        <v>775</v>
      </c>
      <c r="D514" s="20" t="s">
        <v>45</v>
      </c>
      <c r="E514" s="16" t="s">
        <v>62</v>
      </c>
      <c r="F514" s="16" t="s">
        <v>776</v>
      </c>
      <c r="G514" s="17">
        <v>1999</v>
      </c>
      <c r="H514" s="17"/>
      <c r="I514" s="17"/>
      <c r="J514" s="17">
        <v>1989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1999</v>
      </c>
      <c r="M514" s="17">
        <f aca="false">IF($H514="","",$H514+$K514)</f>
        <v/>
      </c>
      <c r="N514" s="17">
        <f aca="false">IF($J514="","",$J514+$K514)</f>
        <v>1989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 t="s">
        <v>54</v>
      </c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22" collapsed="false" customFormat="true" customHeight="true" hidden="false" ht="28.5" outlineLevel="0">
      <c r="A515" s="16">
        <f aca="false">IF($T515="","",1+COUNTIF($W$15:$W$895,"&lt;"&amp;W515))</f>
        <v/>
      </c>
      <c r="B515" s="16" t="s">
        <v>6</v>
      </c>
      <c r="C515" s="16" t="s">
        <v>1414</v>
      </c>
      <c r="D515" s="16" t="s">
        <v>61</v>
      </c>
      <c r="E515" s="16" t="s">
        <v>26</v>
      </c>
      <c r="F515" s="16" t="s">
        <v>1415</v>
      </c>
      <c r="G515" s="17">
        <v>1999</v>
      </c>
      <c r="H515" s="17"/>
      <c r="I515" s="17"/>
      <c r="J515" s="17">
        <v>1999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1999</v>
      </c>
      <c r="M515" s="17">
        <f aca="false">IF($H515="","",$H515+$K515)</f>
        <v/>
      </c>
      <c r="N515" s="17">
        <f aca="false">IF($J515="","",$J515+$K515)</f>
        <v>1999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 t="s">
        <v>54</v>
      </c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IF($T516="","",1+COUNTIF($W$15:$W$895,"&lt;"&amp;W516))</f>
        <v/>
      </c>
      <c r="B516" s="16" t="s">
        <v>8</v>
      </c>
      <c r="C516" s="16" t="s">
        <v>542</v>
      </c>
      <c r="D516" s="21" t="s">
        <v>81</v>
      </c>
      <c r="E516" s="16" t="s">
        <v>62</v>
      </c>
      <c r="F516" s="16" t="s">
        <v>543</v>
      </c>
      <c r="G516" s="17">
        <v>1999</v>
      </c>
      <c r="H516" s="17"/>
      <c r="I516" s="17"/>
      <c r="J516" s="17">
        <v>1999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1999</v>
      </c>
      <c r="M516" s="17">
        <f aca="false">IF($H516="","",$H516+$K516)</f>
        <v/>
      </c>
      <c r="N516" s="17">
        <f aca="false">IF($J516="","",$J516+$K516)</f>
        <v>1999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 t="s">
        <v>54</v>
      </c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IF($T517="","",1+COUNTIF($W$15:$W$895,"&lt;"&amp;W517))</f>
        <v/>
      </c>
      <c r="B517" s="16" t="s">
        <v>8</v>
      </c>
      <c r="C517" s="16" t="s">
        <v>761</v>
      </c>
      <c r="D517" s="16" t="s">
        <v>58</v>
      </c>
      <c r="E517" s="16" t="s">
        <v>62</v>
      </c>
      <c r="F517" s="16" t="s">
        <v>762</v>
      </c>
      <c r="G517" s="17">
        <v>1999</v>
      </c>
      <c r="H517" s="17"/>
      <c r="I517" s="17"/>
      <c r="J517" s="17">
        <v>1999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1999</v>
      </c>
      <c r="M517" s="17">
        <f aca="false">IF($H517="","",$H517+$K517)</f>
        <v/>
      </c>
      <c r="N517" s="17">
        <f aca="false">IF($J517="","",$J517+$K517)</f>
        <v>1999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 t="s">
        <v>54</v>
      </c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IF($T518="","",1+COUNTIF($W$15:$W$895,"&lt;"&amp;W518))</f>
        <v/>
      </c>
      <c r="B518" s="16" t="s">
        <v>8</v>
      </c>
      <c r="C518" s="16" t="s">
        <v>1053</v>
      </c>
      <c r="D518" s="16" t="s">
        <v>58</v>
      </c>
      <c r="E518" s="16" t="s">
        <v>62</v>
      </c>
      <c r="F518" s="16" t="s">
        <v>1055</v>
      </c>
      <c r="G518" s="17">
        <v>1999</v>
      </c>
      <c r="H518" s="17"/>
      <c r="I518" s="17"/>
      <c r="J518" s="17">
        <v>1999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1999</v>
      </c>
      <c r="M518" s="17">
        <f aca="false">IF($H518="","",$H518+$K518)</f>
        <v/>
      </c>
      <c r="N518" s="17">
        <f aca="false">IF($J518="","",$J518+$K518)</f>
        <v>1999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 t="s">
        <v>54</v>
      </c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 aca="false">IF($T519="","",1+COUNTIF($W$15:$W$895,"&lt;"&amp;W519))</f>
        <v/>
      </c>
      <c r="B519" s="16" t="s">
        <v>8</v>
      </c>
      <c r="C519" s="16" t="s">
        <v>1652</v>
      </c>
      <c r="D519" s="16" t="s">
        <v>58</v>
      </c>
      <c r="E519" s="16" t="s">
        <v>26</v>
      </c>
      <c r="F519" s="16" t="s">
        <v>1653</v>
      </c>
      <c r="G519" s="17">
        <v>1999</v>
      </c>
      <c r="H519" s="17"/>
      <c r="I519" s="17"/>
      <c r="J519" s="17">
        <v>1999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1999</v>
      </c>
      <c r="M519" s="17">
        <f aca="false">IF($H519="","",$H519+$K519)</f>
        <v/>
      </c>
      <c r="N519" s="17">
        <f aca="false">IF($J519="","",$J519+$K519)</f>
        <v>1999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 t="s">
        <v>54</v>
      </c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 aca="false">IF($T520="","",1+COUNTIF($W$15:$W$895,"&lt;"&amp;W520))</f>
        <v/>
      </c>
      <c r="B520" s="16" t="s">
        <v>12</v>
      </c>
      <c r="C520" s="16" t="s">
        <v>513</v>
      </c>
      <c r="D520" s="21" t="s">
        <v>81</v>
      </c>
      <c r="E520" s="16" t="s">
        <v>26</v>
      </c>
      <c r="F520" s="16" t="s">
        <v>515</v>
      </c>
      <c r="G520" s="17">
        <v>1999</v>
      </c>
      <c r="H520" s="17"/>
      <c r="I520" s="17"/>
      <c r="J520" s="17">
        <v>1999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1999</v>
      </c>
      <c r="M520" s="17">
        <f aca="false">IF($H520="","",$H520+$K520)</f>
        <v/>
      </c>
      <c r="N520" s="17">
        <f aca="false">IF($J520="","",$J520+$K520)</f>
        <v>1999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 t="s">
        <v>54</v>
      </c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IF($T521="","",1+COUNTIF($W$15:$W$895,"&lt;"&amp;W521))</f>
        <v/>
      </c>
      <c r="B521" s="16" t="s">
        <v>12</v>
      </c>
      <c r="C521" s="16" t="s">
        <v>1522</v>
      </c>
      <c r="D521" s="21" t="s">
        <v>81</v>
      </c>
      <c r="E521" s="16" t="s">
        <v>62</v>
      </c>
      <c r="F521" s="16" t="s">
        <v>1523</v>
      </c>
      <c r="G521" s="17">
        <v>1999</v>
      </c>
      <c r="H521" s="17"/>
      <c r="I521" s="17"/>
      <c r="J521" s="17">
        <v>1999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1999</v>
      </c>
      <c r="M521" s="17">
        <f aca="false">IF($H521="","",$H521+$K521)</f>
        <v/>
      </c>
      <c r="N521" s="17">
        <f aca="false">IF($J521="","",$J521+$K521)</f>
        <v>1999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 t="s">
        <v>54</v>
      </c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C521" s="3"/>
    </row>
    <row r="522" s="22" collapsed="false" customFormat="true" customHeight="true" hidden="false" ht="28.5" outlineLevel="0">
      <c r="A522" s="16">
        <f aca="false">IF($T522="","",1+COUNTIF($W$15:$W$895,"&lt;"&amp;W522))</f>
        <v/>
      </c>
      <c r="B522" s="16" t="s">
        <v>12</v>
      </c>
      <c r="C522" s="16" t="s">
        <v>1542</v>
      </c>
      <c r="D522" s="21" t="s">
        <v>81</v>
      </c>
      <c r="E522" s="16" t="s">
        <v>26</v>
      </c>
      <c r="F522" s="16" t="s">
        <v>1543</v>
      </c>
      <c r="G522" s="17">
        <v>1999</v>
      </c>
      <c r="H522" s="17"/>
      <c r="I522" s="17"/>
      <c r="J522" s="17">
        <v>1999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1999</v>
      </c>
      <c r="M522" s="17">
        <f aca="false">IF($H522="","",$H522+$K522)</f>
        <v/>
      </c>
      <c r="N522" s="17">
        <f aca="false">IF($J522="","",$J522+$K522)</f>
        <v>1999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 t="s">
        <v>54</v>
      </c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6" collapsed="false" customFormat="true" customHeight="true" hidden="false" ht="28.5" outlineLevel="0">
      <c r="A523" s="16">
        <f aca="false">IF($T523="","",1+COUNTIF($W$15:$W$895,"&lt;"&amp;W523))</f>
        <v/>
      </c>
      <c r="B523" s="16" t="s">
        <v>12</v>
      </c>
      <c r="C523" s="16" t="s">
        <v>1634</v>
      </c>
      <c r="D523" s="20" t="s">
        <v>58</v>
      </c>
      <c r="E523" s="16" t="s">
        <v>26</v>
      </c>
      <c r="F523" s="16" t="s">
        <v>1635</v>
      </c>
      <c r="G523" s="17">
        <v>1999</v>
      </c>
      <c r="H523" s="17"/>
      <c r="I523" s="17"/>
      <c r="J523" s="17">
        <v>1999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1999</v>
      </c>
      <c r="M523" s="17">
        <f aca="false">IF($H523="","",$H523+$K523)</f>
        <v/>
      </c>
      <c r="N523" s="17">
        <f aca="false">IF($J523="","",$J523+$K523)</f>
        <v>1999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 t="s">
        <v>54</v>
      </c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C523" s="3"/>
    </row>
    <row r="524" s="5" collapsed="false" customFormat="true" customHeight="true" hidden="false" ht="28.5" outlineLevel="0">
      <c r="A524" s="16">
        <f aca="false">IF($T524="","",1+COUNTIF($W$15:$W$895,"&lt;"&amp;W524))</f>
        <v/>
      </c>
      <c r="B524" s="16" t="s">
        <v>10</v>
      </c>
      <c r="C524" s="16" t="s">
        <v>386</v>
      </c>
      <c r="D524" s="16" t="s">
        <v>58</v>
      </c>
      <c r="E524" s="16" t="s">
        <v>26</v>
      </c>
      <c r="F524" s="16" t="s">
        <v>387</v>
      </c>
      <c r="G524" s="17">
        <v>1999</v>
      </c>
      <c r="H524" s="17"/>
      <c r="I524" s="17"/>
      <c r="J524" s="17">
        <v>1999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1999</v>
      </c>
      <c r="M524" s="17">
        <f aca="false">IF($H524="","",$H524+$K524)</f>
        <v/>
      </c>
      <c r="N524" s="17">
        <f aca="false">IF($J524="","",$J524+$K524)</f>
        <v>1999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 t="s">
        <v>54</v>
      </c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IF($T525="","",1+COUNTIF($W$15:$W$895,"&lt;"&amp;W525))</f>
        <v/>
      </c>
      <c r="B525" s="16" t="s">
        <v>10</v>
      </c>
      <c r="C525" s="16" t="s">
        <v>578</v>
      </c>
      <c r="D525" s="16" t="s">
        <v>45</v>
      </c>
      <c r="E525" s="16" t="s">
        <v>26</v>
      </c>
      <c r="F525" s="16" t="s">
        <v>579</v>
      </c>
      <c r="G525" s="17">
        <v>1999</v>
      </c>
      <c r="H525" s="17"/>
      <c r="I525" s="17"/>
      <c r="J525" s="17">
        <v>1999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1999</v>
      </c>
      <c r="M525" s="17">
        <f aca="false">IF($H525="","",$H525+$K525)</f>
        <v/>
      </c>
      <c r="N525" s="17">
        <f aca="false">IF($J525="","",$J525+$K525)</f>
        <v>1999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 t="s">
        <v>54</v>
      </c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IF($T526="","",1+COUNTIF($W$15:$W$895,"&lt;"&amp;W526))</f>
        <v/>
      </c>
      <c r="B526" s="16" t="s">
        <v>10</v>
      </c>
      <c r="C526" s="16" t="s">
        <v>588</v>
      </c>
      <c r="D526" s="21" t="s">
        <v>81</v>
      </c>
      <c r="E526" s="16" t="s">
        <v>62</v>
      </c>
      <c r="F526" s="16" t="s">
        <v>591</v>
      </c>
      <c r="G526" s="17">
        <v>1999</v>
      </c>
      <c r="H526" s="17"/>
      <c r="I526" s="17"/>
      <c r="J526" s="17">
        <v>1999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1999</v>
      </c>
      <c r="M526" s="17">
        <f aca="false">IF($H526="","",$H526+$K526)</f>
        <v/>
      </c>
      <c r="N526" s="17">
        <f aca="false">IF($J526="","",$J526+$K526)</f>
        <v>1999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 t="s">
        <v>54</v>
      </c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IF($T527="","",1+COUNTIF($W$15:$W$895,"&lt;"&amp;W527))</f>
        <v/>
      </c>
      <c r="B527" s="16" t="s">
        <v>10</v>
      </c>
      <c r="C527" s="16" t="s">
        <v>1204</v>
      </c>
      <c r="D527" s="16" t="s">
        <v>58</v>
      </c>
      <c r="E527" s="16" t="s">
        <v>62</v>
      </c>
      <c r="F527" s="16" t="s">
        <v>1205</v>
      </c>
      <c r="G527" s="17">
        <v>1999</v>
      </c>
      <c r="H527" s="17"/>
      <c r="I527" s="17"/>
      <c r="J527" s="17">
        <v>1999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1999</v>
      </c>
      <c r="M527" s="17">
        <f aca="false">IF($H527="","",$H527+$K527)</f>
        <v/>
      </c>
      <c r="N527" s="17">
        <f aca="false">IF($J527="","",$J527+$K527)</f>
        <v>1999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 t="s">
        <v>54</v>
      </c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IF($T528="","",1+COUNTIF($W$15:$W$895,"&lt;"&amp;W528))</f>
        <v/>
      </c>
      <c r="B528" s="16" t="s">
        <v>12</v>
      </c>
      <c r="C528" s="16" t="s">
        <v>226</v>
      </c>
      <c r="D528" s="20" t="s">
        <v>45</v>
      </c>
      <c r="E528" s="16" t="s">
        <v>62</v>
      </c>
      <c r="F528" s="16" t="s">
        <v>227</v>
      </c>
      <c r="G528" s="17">
        <v>1819</v>
      </c>
      <c r="H528" s="17"/>
      <c r="I528" s="17"/>
      <c r="J528" s="17">
        <v>1848</v>
      </c>
      <c r="K528" s="17">
        <v>-10</v>
      </c>
      <c r="L528" s="17">
        <f aca="false">IF($G528="","",$G528+$K528)</f>
        <v>1809</v>
      </c>
      <c r="M528" s="17">
        <f aca="false">IF($H528="","",$H528+$K528)</f>
        <v/>
      </c>
      <c r="N528" s="17">
        <f aca="false">IF($J528="","",$J528+$K528)</f>
        <v>1838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IF($T529="","",1+COUNTIF($W$15:$W$895,"&lt;"&amp;W529))</f>
        <v/>
      </c>
      <c r="B529" s="16" t="s">
        <v>14</v>
      </c>
      <c r="C529" s="16" t="s">
        <v>997</v>
      </c>
      <c r="D529" s="16" t="s">
        <v>45</v>
      </c>
      <c r="E529" s="16" t="s">
        <v>26</v>
      </c>
      <c r="F529" s="16" t="s">
        <v>998</v>
      </c>
      <c r="G529" s="17">
        <v>2039</v>
      </c>
      <c r="H529" s="17"/>
      <c r="I529" s="17"/>
      <c r="J529" s="17">
        <v>2049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2039</v>
      </c>
      <c r="M529" s="17">
        <f aca="false">IF($H529="","",$H529+$K529)</f>
        <v/>
      </c>
      <c r="N529" s="17">
        <f aca="false">IF($J529="","",$J529+$K529)</f>
        <v>2049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 t="s">
        <v>54</v>
      </c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6" collapsed="false" customFormat="true" customHeight="true" hidden="false" ht="28.5" outlineLevel="0">
      <c r="A530" s="16">
        <f aca="false">IF($T530="","",1+COUNTIF($W$15:$W$895,"&lt;"&amp;W530))</f>
        <v/>
      </c>
      <c r="B530" s="16" t="s">
        <v>10</v>
      </c>
      <c r="C530" s="16" t="s">
        <v>1626</v>
      </c>
      <c r="D530" s="21" t="s">
        <v>81</v>
      </c>
      <c r="E530" s="16" t="s">
        <v>26</v>
      </c>
      <c r="F530" s="16" t="s">
        <v>1627</v>
      </c>
      <c r="G530" s="17">
        <v>2019</v>
      </c>
      <c r="H530" s="17"/>
      <c r="I530" s="17"/>
      <c r="J530" s="17">
        <v>1987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2019</v>
      </c>
      <c r="M530" s="17">
        <f aca="false">IF($H530="","",$H530+$K530)</f>
        <v/>
      </c>
      <c r="N530" s="17">
        <f aca="false">IF($J530="","",$J530+$K530)</f>
        <v>1987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 t="s">
        <v>54</v>
      </c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C530" s="3"/>
    </row>
    <row r="531" s="5" collapsed="false" customFormat="true" customHeight="true" hidden="false" ht="28.5" outlineLevel="0">
      <c r="A531" s="16">
        <f aca="false">IF($T531="","",1+COUNTIF($W$15:$W$895,"&lt;"&amp;W531))</f>
        <v/>
      </c>
      <c r="B531" s="16" t="s">
        <v>14</v>
      </c>
      <c r="C531" s="16" t="s">
        <v>786</v>
      </c>
      <c r="D531" s="16" t="s">
        <v>61</v>
      </c>
      <c r="E531" s="16" t="s">
        <v>62</v>
      </c>
      <c r="F531" s="16" t="s">
        <v>787</v>
      </c>
      <c r="G531" s="17">
        <v>2050</v>
      </c>
      <c r="H531" s="17"/>
      <c r="I531" s="17"/>
      <c r="J531" s="17">
        <v>1990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2050</v>
      </c>
      <c r="M531" s="17">
        <f aca="false">IF($H531="","",$H531+$K531)</f>
        <v/>
      </c>
      <c r="N531" s="17">
        <f aca="false">IF($J531="","",$J531+$K531)</f>
        <v>1990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 t="s">
        <v>54</v>
      </c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IF($T532="","",1+COUNTIF($W$15:$W$895,"&lt;"&amp;W532))</f>
        <v/>
      </c>
      <c r="B532" s="16" t="s">
        <v>14</v>
      </c>
      <c r="C532" s="16" t="s">
        <v>1107</v>
      </c>
      <c r="D532" s="16" t="s">
        <v>45</v>
      </c>
      <c r="E532" s="16" t="s">
        <v>62</v>
      </c>
      <c r="F532" s="16" t="s">
        <v>1108</v>
      </c>
      <c r="G532" s="17">
        <v>1828</v>
      </c>
      <c r="H532" s="17"/>
      <c r="I532" s="17"/>
      <c r="J532" s="17">
        <v>1828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1828</v>
      </c>
      <c r="M532" s="17">
        <f aca="false">IF($H532="","",$H532+$K532)</f>
        <v/>
      </c>
      <c r="N532" s="17">
        <f aca="false">IF($J532="","",$J532+$K532)</f>
        <v>1828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IF($T533="","",1+COUNTIF($W$15:$W$895,"&lt;"&amp;W533))</f>
        <v/>
      </c>
      <c r="B533" s="16" t="s">
        <v>12</v>
      </c>
      <c r="C533" s="16" t="s">
        <v>208</v>
      </c>
      <c r="D533" s="20" t="s">
        <v>45</v>
      </c>
      <c r="E533" s="16" t="s">
        <v>62</v>
      </c>
      <c r="F533" s="16" t="s">
        <v>209</v>
      </c>
      <c r="G533" s="17">
        <v>1839</v>
      </c>
      <c r="H533" s="17"/>
      <c r="I533" s="17"/>
      <c r="J533" s="17">
        <v>1819</v>
      </c>
      <c r="K533" s="17">
        <v>-10</v>
      </c>
      <c r="L533" s="17">
        <f aca="false">IF($G533="","",$G533+$K533)</f>
        <v>1829</v>
      </c>
      <c r="M533" s="17">
        <f aca="false">IF($H533="","",$H533+$K533)</f>
        <v/>
      </c>
      <c r="N533" s="17">
        <f aca="false">IF($J533="","",$J533+$K533)</f>
        <v>1809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IF($T534="","",1+COUNTIF($W$15:$W$895,"&lt;"&amp;W534))</f>
        <v/>
      </c>
      <c r="B534" s="16" t="s">
        <v>12</v>
      </c>
      <c r="C534" s="16" t="s">
        <v>240</v>
      </c>
      <c r="D534" s="20" t="s">
        <v>45</v>
      </c>
      <c r="E534" s="16" t="s">
        <v>62</v>
      </c>
      <c r="F534" s="16" t="s">
        <v>241</v>
      </c>
      <c r="G534" s="17">
        <v>1839</v>
      </c>
      <c r="H534" s="17"/>
      <c r="I534" s="17"/>
      <c r="J534" s="17">
        <v>1824</v>
      </c>
      <c r="K534" s="17">
        <v>-10</v>
      </c>
      <c r="L534" s="17">
        <f aca="false">IF($G534="","",$G534+$K534)</f>
        <v>1829</v>
      </c>
      <c r="M534" s="17">
        <f aca="false">IF($H534="","",$H534+$K534)</f>
        <v/>
      </c>
      <c r="N534" s="17">
        <f aca="false">IF($J534="","",$J534+$K534)</f>
        <v>1814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22" collapsed="false" customFormat="true" customHeight="true" hidden="false" ht="28.5" outlineLevel="0">
      <c r="A535" s="16">
        <f aca="false">IF($T535="","",1+COUNTIF($W$15:$W$895,"&lt;"&amp;W535))</f>
        <v/>
      </c>
      <c r="B535" s="16" t="s">
        <v>18</v>
      </c>
      <c r="C535" s="16" t="s">
        <v>1305</v>
      </c>
      <c r="D535" s="16" t="s">
        <v>45</v>
      </c>
      <c r="E535" s="16" t="s">
        <v>62</v>
      </c>
      <c r="F535" s="16" t="s">
        <v>1306</v>
      </c>
      <c r="G535" s="17">
        <v>1829</v>
      </c>
      <c r="H535" s="17"/>
      <c r="I535" s="17"/>
      <c r="J535" s="17">
        <v>1829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1829</v>
      </c>
      <c r="M535" s="17">
        <f aca="false">IF($H535="","",$H535+$K535)</f>
        <v/>
      </c>
      <c r="N535" s="17">
        <f aca="false">IF($J535="","",$J535+$K535)</f>
        <v>1829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6" collapsed="false" customFormat="true" customHeight="true" hidden="false" ht="28.5" outlineLevel="0">
      <c r="A536" s="16">
        <f aca="false">IF($T536="","",1+COUNTIF($W$15:$W$895,"&lt;"&amp;W536))</f>
        <v/>
      </c>
      <c r="B536" s="16" t="s">
        <v>8</v>
      </c>
      <c r="C536" s="16" t="s">
        <v>1361</v>
      </c>
      <c r="D536" s="16" t="s">
        <v>58</v>
      </c>
      <c r="E536" s="16" t="s">
        <v>62</v>
      </c>
      <c r="F536" s="16" t="s">
        <v>1362</v>
      </c>
      <c r="G536" s="17">
        <v>2039</v>
      </c>
      <c r="H536" s="17"/>
      <c r="I536" s="17"/>
      <c r="J536" s="17">
        <v>2029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2039</v>
      </c>
      <c r="M536" s="17">
        <f aca="false">IF($H536="","",$H536+$K536)</f>
        <v/>
      </c>
      <c r="N536" s="17">
        <f aca="false">IF($J536="","",$J536+$K536)</f>
        <v>2029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 t="s">
        <v>54</v>
      </c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C536" s="3"/>
    </row>
    <row r="537" s="5" collapsed="false" customFormat="true" customHeight="true" hidden="false" ht="28.5" outlineLevel="0">
      <c r="A537" s="16">
        <f aca="false">IF($T537="","",1+COUNTIF($W$15:$W$895,"&lt;"&amp;W537))</f>
        <v/>
      </c>
      <c r="B537" s="16" t="s">
        <v>14</v>
      </c>
      <c r="C537" s="16" t="s">
        <v>1001</v>
      </c>
      <c r="D537" s="16" t="s">
        <v>45</v>
      </c>
      <c r="E537" s="16" t="s">
        <v>26</v>
      </c>
      <c r="F537" s="16" t="s">
        <v>1002</v>
      </c>
      <c r="G537" s="17">
        <v>2065</v>
      </c>
      <c r="H537" s="17"/>
      <c r="I537" s="17"/>
      <c r="J537" s="17">
        <v>2085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2065</v>
      </c>
      <c r="M537" s="17">
        <f aca="false">IF($H537="","",$H537+$K537)</f>
        <v/>
      </c>
      <c r="N537" s="17">
        <f aca="false">IF($J537="","",$J537+$K537)</f>
        <v>2085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 t="s">
        <v>54</v>
      </c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6" collapsed="false" customFormat="true" customHeight="true" hidden="false" ht="28.5" outlineLevel="0">
      <c r="A538" s="16">
        <f aca="false">IF($T538="","",1+COUNTIF($W$15:$W$895,"&lt;"&amp;W538))</f>
        <v/>
      </c>
      <c r="B538" s="16" t="s">
        <v>10</v>
      </c>
      <c r="C538" s="16" t="s">
        <v>274</v>
      </c>
      <c r="D538" s="21" t="s">
        <v>81</v>
      </c>
      <c r="E538" s="16" t="s">
        <v>62</v>
      </c>
      <c r="F538" s="16" t="s">
        <v>275</v>
      </c>
      <c r="G538" s="17">
        <v>1839</v>
      </c>
      <c r="H538" s="17"/>
      <c r="I538" s="17"/>
      <c r="J538" s="17">
        <v>1798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1839</v>
      </c>
      <c r="M538" s="17">
        <f aca="false">IF($H538="","",$H538+$K538)</f>
        <v/>
      </c>
      <c r="N538" s="17">
        <f aca="false">IF($J538="","",$J538+$K538)</f>
        <v>1798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C538" s="3"/>
    </row>
    <row r="539" s="5" collapsed="false" customFormat="true" customHeight="true" hidden="false" ht="28.5" outlineLevel="0">
      <c r="A539" s="16">
        <f aca="false">IF($T539="","",1+COUNTIF($W$15:$W$895,"&lt;"&amp;W539))</f>
        <v/>
      </c>
      <c r="B539" s="16" t="s">
        <v>10</v>
      </c>
      <c r="C539" s="16" t="s">
        <v>483</v>
      </c>
      <c r="D539" s="16" t="s">
        <v>58</v>
      </c>
      <c r="E539" s="16" t="s">
        <v>62</v>
      </c>
      <c r="F539" s="16" t="s">
        <v>484</v>
      </c>
      <c r="G539" s="17">
        <v>1839</v>
      </c>
      <c r="H539" s="17"/>
      <c r="I539" s="17"/>
      <c r="J539" s="17">
        <v>1829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1839</v>
      </c>
      <c r="M539" s="17">
        <f aca="false">IF($H539="","",$H539+$K539)</f>
        <v/>
      </c>
      <c r="N539" s="17">
        <f aca="false">IF($J539="","",$J539+$K539)</f>
        <v>1829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IF($T540="","",1+COUNTIF($W$15:$W$895,"&lt;"&amp;W540))</f>
        <v/>
      </c>
      <c r="B540" s="16" t="s">
        <v>10</v>
      </c>
      <c r="C540" s="16" t="s">
        <v>55</v>
      </c>
      <c r="D540" s="16" t="s">
        <v>48</v>
      </c>
      <c r="E540" s="16" t="s">
        <v>26</v>
      </c>
      <c r="F540" s="16" t="s">
        <v>56</v>
      </c>
      <c r="G540" s="17">
        <v>1839</v>
      </c>
      <c r="H540" s="17"/>
      <c r="I540" s="17"/>
      <c r="J540" s="17">
        <v>1835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1839</v>
      </c>
      <c r="M540" s="17">
        <f aca="false">IF($H540="","",$H540+$K540)</f>
        <v/>
      </c>
      <c r="N540" s="17">
        <f aca="false">IF($J540="","",$J540+$K540)</f>
        <v>1835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IF($T541="","",1+COUNTIF($W$15:$W$895,"&lt;"&amp;W541))</f>
        <v/>
      </c>
      <c r="B541" s="16" t="s">
        <v>10</v>
      </c>
      <c r="C541" s="16" t="s">
        <v>822</v>
      </c>
      <c r="D541" s="16" t="s">
        <v>48</v>
      </c>
      <c r="E541" s="16" t="s">
        <v>26</v>
      </c>
      <c r="F541" s="16" t="s">
        <v>823</v>
      </c>
      <c r="G541" s="17">
        <v>1839</v>
      </c>
      <c r="H541" s="17"/>
      <c r="I541" s="17"/>
      <c r="J541" s="17">
        <v>1839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1839</v>
      </c>
      <c r="M541" s="17">
        <f aca="false">IF($H541="","",$H541+$K541)</f>
        <v/>
      </c>
      <c r="N541" s="17">
        <f aca="false">IF($J541="","",$J541+$K541)</f>
        <v>1839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IF($T542="","",1+COUNTIF($W$15:$W$895,"&lt;"&amp;W542))</f>
        <v/>
      </c>
      <c r="B542" s="16" t="s">
        <v>10</v>
      </c>
      <c r="C542" s="16" t="s">
        <v>1127</v>
      </c>
      <c r="D542" s="16" t="s">
        <v>48</v>
      </c>
      <c r="E542" s="16" t="s">
        <v>26</v>
      </c>
      <c r="F542" s="16" t="s">
        <v>1129</v>
      </c>
      <c r="G542" s="17">
        <v>1839</v>
      </c>
      <c r="H542" s="17"/>
      <c r="I542" s="17"/>
      <c r="J542" s="17">
        <v>1839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1839</v>
      </c>
      <c r="M542" s="17">
        <f aca="false">IF($H542="","",$H542+$K542)</f>
        <v/>
      </c>
      <c r="N542" s="17">
        <f aca="false">IF($J542="","",$J542+$K542)</f>
        <v>1839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 aca="false">IF($T543="","",1+COUNTIF($W$15:$W$895,"&lt;"&amp;W543))</f>
        <v/>
      </c>
      <c r="B543" s="16" t="s">
        <v>10</v>
      </c>
      <c r="C543" s="16" t="s">
        <v>1578</v>
      </c>
      <c r="D543" s="16" t="s">
        <v>48</v>
      </c>
      <c r="E543" s="16" t="s">
        <v>26</v>
      </c>
      <c r="F543" s="16" t="s">
        <v>1579</v>
      </c>
      <c r="G543" s="17">
        <v>1839</v>
      </c>
      <c r="H543" s="17"/>
      <c r="I543" s="17"/>
      <c r="J543" s="17">
        <v>1839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1839</v>
      </c>
      <c r="M543" s="17">
        <f aca="false">IF($H543="","",$H543+$K543)</f>
        <v/>
      </c>
      <c r="N543" s="17">
        <f aca="false">IF($J543="","",$J543+$K543)</f>
        <v>1839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C543" s="3"/>
    </row>
    <row r="544" s="22" collapsed="false" customFormat="true" customHeight="true" hidden="false" ht="28.5" outlineLevel="0">
      <c r="A544" s="16">
        <f aca="false">IF($T544="","",1+COUNTIF($W$15:$W$895,"&lt;"&amp;W544))</f>
        <v/>
      </c>
      <c r="B544" s="16" t="s">
        <v>10</v>
      </c>
      <c r="C544" s="16" t="s">
        <v>1654</v>
      </c>
      <c r="D544" s="16" t="s">
        <v>48</v>
      </c>
      <c r="E544" s="16" t="s">
        <v>26</v>
      </c>
      <c r="F544" s="16" t="s">
        <v>1655</v>
      </c>
      <c r="G544" s="17">
        <v>1839</v>
      </c>
      <c r="H544" s="17"/>
      <c r="I544" s="17"/>
      <c r="J544" s="17">
        <v>1839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1839</v>
      </c>
      <c r="M544" s="17">
        <f aca="false">IF($H544="","",$H544+$K544)</f>
        <v/>
      </c>
      <c r="N544" s="17">
        <f aca="false">IF($J544="","",$J544+$K544)</f>
        <v>1839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6" collapsed="false" customFormat="true" customHeight="true" hidden="false" ht="28.5" outlineLevel="0">
      <c r="A545" s="16">
        <f aca="false">IF($T545="","",1+COUNTIF($W$15:$W$895,"&lt;"&amp;W545))</f>
        <v/>
      </c>
      <c r="B545" s="16" t="s">
        <v>16</v>
      </c>
      <c r="C545" s="16" t="s">
        <v>1526</v>
      </c>
      <c r="D545" s="16" t="s">
        <v>72</v>
      </c>
      <c r="E545" s="16" t="s">
        <v>26</v>
      </c>
      <c r="F545" s="16" t="s">
        <v>1527</v>
      </c>
      <c r="G545" s="17">
        <v>1840</v>
      </c>
      <c r="H545" s="17"/>
      <c r="I545" s="17"/>
      <c r="J545" s="17">
        <v>1880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1840</v>
      </c>
      <c r="M545" s="17">
        <f aca="false">IF($H545="","",$H545+$K545)</f>
        <v/>
      </c>
      <c r="N545" s="17">
        <f aca="false">IF($J545="","",$J545+$K545)</f>
        <v>1880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C545" s="3"/>
    </row>
    <row r="546" s="6" collapsed="false" customFormat="true" customHeight="true" hidden="false" ht="28.5" outlineLevel="0">
      <c r="A546" s="16">
        <f aca="false">IF($T546="","",1+COUNTIF($W$15:$W$895,"&lt;"&amp;W546))</f>
        <v/>
      </c>
      <c r="B546" s="16" t="s">
        <v>16</v>
      </c>
      <c r="C546" s="16" t="s">
        <v>1528</v>
      </c>
      <c r="D546" s="16" t="s">
        <v>72</v>
      </c>
      <c r="E546" s="16" t="s">
        <v>62</v>
      </c>
      <c r="F546" s="16" t="s">
        <v>1529</v>
      </c>
      <c r="G546" s="17">
        <v>1840</v>
      </c>
      <c r="H546" s="17"/>
      <c r="I546" s="17"/>
      <c r="J546" s="17">
        <v>1880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1840</v>
      </c>
      <c r="M546" s="17">
        <f aca="false">IF($H546="","",$H546+$K546)</f>
        <v/>
      </c>
      <c r="N546" s="17">
        <f aca="false">IF($J546="","",$J546+$K546)</f>
        <v>1880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C546" s="3"/>
    </row>
    <row r="547" s="22" collapsed="false" customFormat="true" customHeight="true" hidden="false" ht="28.5" outlineLevel="0">
      <c r="A547" s="16">
        <f aca="false">IF($T547="","",1+COUNTIF($W$15:$W$895,"&lt;"&amp;W547))</f>
        <v/>
      </c>
      <c r="B547" s="16" t="s">
        <v>8</v>
      </c>
      <c r="C547" s="16" t="s">
        <v>1375</v>
      </c>
      <c r="D547" s="16" t="s">
        <v>45</v>
      </c>
      <c r="E547" s="16" t="s">
        <v>62</v>
      </c>
      <c r="F547" s="16" t="s">
        <v>1376</v>
      </c>
      <c r="G547" s="17">
        <v>2049</v>
      </c>
      <c r="H547" s="17"/>
      <c r="I547" s="17"/>
      <c r="J547" s="17">
        <v>2069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2049</v>
      </c>
      <c r="M547" s="17">
        <f aca="false">IF($H547="","",$H547+$K547)</f>
        <v/>
      </c>
      <c r="N547" s="17">
        <f aca="false">IF($J547="","",$J547+$K547)</f>
        <v>2069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 t="s">
        <v>54</v>
      </c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IF($T548="","",1+COUNTIF($W$15:$W$895,"&lt;"&amp;W548))</f>
        <v/>
      </c>
      <c r="B548" s="16" t="s">
        <v>8</v>
      </c>
      <c r="C548" s="16" t="s">
        <v>1007</v>
      </c>
      <c r="D548" s="16" t="s">
        <v>45</v>
      </c>
      <c r="E548" s="16" t="s">
        <v>62</v>
      </c>
      <c r="F548" s="16" t="s">
        <v>1008</v>
      </c>
      <c r="G548" s="17">
        <v>2050</v>
      </c>
      <c r="H548" s="17"/>
      <c r="I548" s="17"/>
      <c r="J548" s="17">
        <v>2030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2050</v>
      </c>
      <c r="M548" s="17">
        <f aca="false">IF($H548="","",$H548+$K548)</f>
        <v/>
      </c>
      <c r="N548" s="17">
        <f aca="false">IF($J548="","",$J548+$K548)</f>
        <v>2030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 t="s">
        <v>54</v>
      </c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22" collapsed="false" customFormat="true" customHeight="true" hidden="false" ht="28.5" outlineLevel="0">
      <c r="A549" s="16">
        <f aca="false">IF($T549="","",1+COUNTIF($W$15:$W$895,"&lt;"&amp;W549))</f>
        <v/>
      </c>
      <c r="B549" s="16" t="s">
        <v>6</v>
      </c>
      <c r="C549" s="16" t="s">
        <v>258</v>
      </c>
      <c r="D549" s="16" t="s">
        <v>45</v>
      </c>
      <c r="E549" s="16" t="s">
        <v>26</v>
      </c>
      <c r="F549" s="16" t="s">
        <v>259</v>
      </c>
      <c r="G549" s="17">
        <v>1845</v>
      </c>
      <c r="H549" s="17"/>
      <c r="I549" s="17"/>
      <c r="J549" s="17">
        <v>1979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1845</v>
      </c>
      <c r="M549" s="17">
        <f aca="false">IF($H549="","",$H549+$K549)</f>
        <v/>
      </c>
      <c r="N549" s="17">
        <f aca="false">IF($J549="","",$J549+$K549)</f>
        <v>1979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IF($T550="","",1+COUNTIF($W$15:$W$895,"&lt;"&amp;W550))</f>
        <v/>
      </c>
      <c r="B550" s="16" t="s">
        <v>10</v>
      </c>
      <c r="C550" s="16" t="s">
        <v>1367</v>
      </c>
      <c r="D550" s="16" t="s">
        <v>48</v>
      </c>
      <c r="E550" s="16" t="s">
        <v>26</v>
      </c>
      <c r="F550" s="16" t="s">
        <v>1368</v>
      </c>
      <c r="G550" s="17">
        <v>1847</v>
      </c>
      <c r="H550" s="17"/>
      <c r="I550" s="17"/>
      <c r="J550" s="17">
        <v>1847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1847</v>
      </c>
      <c r="M550" s="17">
        <f aca="false">IF($H550="","",$H550+$K550)</f>
        <v/>
      </c>
      <c r="N550" s="17">
        <f aca="false">IF($J550="","",$J550+$K550)</f>
        <v>1847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6" collapsed="false" customFormat="true" customHeight="true" hidden="false" ht="28.5" outlineLevel="0">
      <c r="A551" s="16">
        <f aca="false">IF($T551="","",1+COUNTIF($W$15:$W$895,"&lt;"&amp;W551))</f>
        <v/>
      </c>
      <c r="B551" s="16" t="s">
        <v>12</v>
      </c>
      <c r="C551" s="16" t="s">
        <v>266</v>
      </c>
      <c r="D551" s="21" t="s">
        <v>81</v>
      </c>
      <c r="E551" s="16" t="s">
        <v>62</v>
      </c>
      <c r="F551" s="16" t="s">
        <v>267</v>
      </c>
      <c r="G551" s="17">
        <v>1849</v>
      </c>
      <c r="H551" s="17"/>
      <c r="I551" s="17"/>
      <c r="J551" s="17">
        <v>1799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1849</v>
      </c>
      <c r="M551" s="17">
        <f aca="false">IF($H551="","",$H551+$K551)</f>
        <v/>
      </c>
      <c r="N551" s="17">
        <f aca="false">IF($J551="","",$J551+$K551)</f>
        <v>1799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C551" s="3"/>
    </row>
    <row r="552" s="5" collapsed="false" customFormat="true" customHeight="true" hidden="false" ht="28.5" outlineLevel="0">
      <c r="A552" s="16">
        <f aca="false">IF($T552="","",1+COUNTIF($W$15:$W$895,"&lt;"&amp;W552))</f>
        <v/>
      </c>
      <c r="B552" s="16" t="s">
        <v>10</v>
      </c>
      <c r="C552" s="16" t="s">
        <v>302</v>
      </c>
      <c r="D552" s="16" t="s">
        <v>96</v>
      </c>
      <c r="E552" s="16" t="s">
        <v>26</v>
      </c>
      <c r="F552" s="16" t="s">
        <v>303</v>
      </c>
      <c r="G552" s="17">
        <v>1849</v>
      </c>
      <c r="H552" s="17"/>
      <c r="I552" s="17"/>
      <c r="J552" s="17">
        <v>1834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1849</v>
      </c>
      <c r="M552" s="17">
        <f aca="false">IF($H552="","",$H552+$K552)</f>
        <v/>
      </c>
      <c r="N552" s="17">
        <f aca="false">IF($J552="","",$J552+$K552)</f>
        <v>1834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IF($T553="","",1+COUNTIF($W$15:$W$895,"&lt;"&amp;W553))</f>
        <v/>
      </c>
      <c r="B553" s="16" t="s">
        <v>18</v>
      </c>
      <c r="C553" s="16" t="s">
        <v>1046</v>
      </c>
      <c r="D553" s="21" t="s">
        <v>81</v>
      </c>
      <c r="E553" s="16" t="s">
        <v>62</v>
      </c>
      <c r="F553" s="16" t="s">
        <v>1047</v>
      </c>
      <c r="G553" s="17">
        <v>1849</v>
      </c>
      <c r="H553" s="17"/>
      <c r="I553" s="17"/>
      <c r="J553" s="17">
        <v>1849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1849</v>
      </c>
      <c r="M553" s="17">
        <f aca="false">IF($H553="","",$H553+$K553)</f>
        <v/>
      </c>
      <c r="N553" s="17">
        <f aca="false">IF($J553="","",$J553+$K553)</f>
        <v>1849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6" collapsed="false" customFormat="true" customHeight="true" hidden="false" ht="28.5" outlineLevel="0">
      <c r="A554" s="16">
        <f aca="false">IF($T554="","",1+COUNTIF($W$15:$W$895,"&lt;"&amp;W554))</f>
        <v/>
      </c>
      <c r="B554" s="16" t="s">
        <v>18</v>
      </c>
      <c r="C554" s="16" t="s">
        <v>1329</v>
      </c>
      <c r="D554" s="16" t="s">
        <v>45</v>
      </c>
      <c r="E554" s="16" t="s">
        <v>62</v>
      </c>
      <c r="F554" s="16" t="s">
        <v>1330</v>
      </c>
      <c r="G554" s="17">
        <v>1850</v>
      </c>
      <c r="H554" s="17"/>
      <c r="I554" s="17"/>
      <c r="J554" s="17">
        <v>1850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1850</v>
      </c>
      <c r="M554" s="17">
        <f aca="false">IF($H554="","",$H554+$K554)</f>
        <v/>
      </c>
      <c r="N554" s="17">
        <f aca="false">IF($J554="","",$J554+$K554)</f>
        <v>1850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C554" s="3"/>
    </row>
    <row r="555" s="5" collapsed="false" customFormat="true" customHeight="true" hidden="false" ht="28.5" outlineLevel="0">
      <c r="A555" s="16">
        <f aca="false">IF($T555="","",1+COUNTIF($W$15:$W$895,"&lt;"&amp;W555))</f>
        <v/>
      </c>
      <c r="B555" s="16" t="s">
        <v>10</v>
      </c>
      <c r="C555" s="16" t="s">
        <v>554</v>
      </c>
      <c r="D555" s="16" t="s">
        <v>48</v>
      </c>
      <c r="E555" s="16" t="s">
        <v>62</v>
      </c>
      <c r="F555" s="16" t="s">
        <v>555</v>
      </c>
      <c r="G555" s="17">
        <v>1857</v>
      </c>
      <c r="H555" s="17"/>
      <c r="I555" s="17"/>
      <c r="J555" s="17">
        <v>1857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1857</v>
      </c>
      <c r="M555" s="17">
        <f aca="false">IF($H555="","",$H555+$K555)</f>
        <v/>
      </c>
      <c r="N555" s="17">
        <f aca="false">IF($J555="","",$J555+$K555)</f>
        <v>1857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IF($T556="","",1+COUNTIF($W$15:$W$895,"&lt;"&amp;W556))</f>
        <v/>
      </c>
      <c r="B556" s="16" t="s">
        <v>10</v>
      </c>
      <c r="C556" s="16" t="s">
        <v>1568</v>
      </c>
      <c r="D556" s="16" t="s">
        <v>45</v>
      </c>
      <c r="E556" s="16" t="s">
        <v>26</v>
      </c>
      <c r="F556" s="16" t="s">
        <v>1569</v>
      </c>
      <c r="G556" s="17">
        <v>1859</v>
      </c>
      <c r="H556" s="17"/>
      <c r="I556" s="17"/>
      <c r="J556" s="17">
        <v>1849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1859</v>
      </c>
      <c r="M556" s="17">
        <f aca="false">IF($H556="","",$H556+$K556)</f>
        <v/>
      </c>
      <c r="N556" s="17">
        <f aca="false">IF($J556="","",$J556+$K556)</f>
        <v>1849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C556" s="3"/>
    </row>
    <row r="557" s="22" collapsed="false" customFormat="true" customHeight="true" hidden="false" ht="28.5" outlineLevel="0">
      <c r="A557" s="16">
        <f aca="false">IF($T557="","",1+COUNTIF($W$15:$W$895,"&lt;"&amp;W557))</f>
        <v/>
      </c>
      <c r="B557" s="16" t="s">
        <v>10</v>
      </c>
      <c r="C557" s="16" t="s">
        <v>1389</v>
      </c>
      <c r="D557" s="16" t="s">
        <v>61</v>
      </c>
      <c r="E557" s="16" t="s">
        <v>26</v>
      </c>
      <c r="F557" s="16" t="s">
        <v>1390</v>
      </c>
      <c r="G557" s="17">
        <v>1859</v>
      </c>
      <c r="H557" s="17"/>
      <c r="I557" s="17"/>
      <c r="J557" s="17">
        <v>1858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1859</v>
      </c>
      <c r="M557" s="17">
        <f aca="false">IF($H557="","",$H557+$K557)</f>
        <v/>
      </c>
      <c r="N557" s="17">
        <f aca="false">IF($J557="","",$J557+$K557)</f>
        <v>1858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IF($T558="","",1+COUNTIF($W$15:$W$895,"&lt;"&amp;W558))</f>
        <v/>
      </c>
      <c r="B558" s="16" t="s">
        <v>10</v>
      </c>
      <c r="C558" s="16" t="s">
        <v>178</v>
      </c>
      <c r="D558" s="16" t="s">
        <v>58</v>
      </c>
      <c r="E558" s="16" t="s">
        <v>26</v>
      </c>
      <c r="F558" s="16" t="s">
        <v>179</v>
      </c>
      <c r="G558" s="17">
        <v>1859</v>
      </c>
      <c r="H558" s="17"/>
      <c r="I558" s="17"/>
      <c r="J558" s="17">
        <v>1859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1859</v>
      </c>
      <c r="M558" s="17">
        <f aca="false">IF($H558="","",$H558+$K558)</f>
        <v/>
      </c>
      <c r="N558" s="17">
        <f aca="false">IF($J558="","",$J558+$K558)</f>
        <v>1859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IF($T559="","",1+COUNTIF($W$15:$W$895,"&lt;"&amp;W559))</f>
        <v/>
      </c>
      <c r="B559" s="16" t="s">
        <v>10</v>
      </c>
      <c r="C559" s="16" t="s">
        <v>344</v>
      </c>
      <c r="D559" s="16" t="s">
        <v>45</v>
      </c>
      <c r="E559" s="16" t="s">
        <v>26</v>
      </c>
      <c r="F559" s="16" t="s">
        <v>345</v>
      </c>
      <c r="G559" s="17">
        <v>1861</v>
      </c>
      <c r="H559" s="17"/>
      <c r="I559" s="17"/>
      <c r="J559" s="17">
        <v>1847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1861</v>
      </c>
      <c r="M559" s="17">
        <f aca="false">IF($H559="","",$H559+$K559)</f>
        <v/>
      </c>
      <c r="N559" s="17">
        <f aca="false">IF($J559="","",$J559+$K559)</f>
        <v>1847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IF($T560="","",1+COUNTIF($W$15:$W$895,"&lt;"&amp;W560))</f>
        <v/>
      </c>
      <c r="B560" s="16" t="s">
        <v>10</v>
      </c>
      <c r="C560" s="16" t="s">
        <v>524</v>
      </c>
      <c r="D560" s="16" t="s">
        <v>48</v>
      </c>
      <c r="E560" s="16" t="s">
        <v>62</v>
      </c>
      <c r="F560" s="16" t="s">
        <v>525</v>
      </c>
      <c r="G560" s="17">
        <v>1869</v>
      </c>
      <c r="H560" s="17"/>
      <c r="I560" s="17"/>
      <c r="J560" s="17">
        <v>1858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1869</v>
      </c>
      <c r="M560" s="17">
        <f aca="false">IF($H560="","",$H560+$K560)</f>
        <v/>
      </c>
      <c r="N560" s="17">
        <f aca="false">IF($J560="","",$J560+$K560)</f>
        <v>1858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IF($T561="","",1+COUNTIF($W$15:$W$895,"&lt;"&amp;W561))</f>
        <v/>
      </c>
      <c r="B561" s="16" t="s">
        <v>16</v>
      </c>
      <c r="C561" s="16" t="s">
        <v>1658</v>
      </c>
      <c r="D561" s="21" t="s">
        <v>81</v>
      </c>
      <c r="E561" s="16" t="s">
        <v>62</v>
      </c>
      <c r="F561" s="16" t="s">
        <v>1659</v>
      </c>
      <c r="G561" s="17">
        <v>1869</v>
      </c>
      <c r="H561" s="17"/>
      <c r="I561" s="17"/>
      <c r="J561" s="17">
        <v>1869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1869</v>
      </c>
      <c r="M561" s="17">
        <f aca="false">IF($H561="","",$H561+$K561)</f>
        <v/>
      </c>
      <c r="N561" s="17">
        <f aca="false">IF($J561="","",$J561+$K561)</f>
        <v>1869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6" collapsed="false" customFormat="true" customHeight="true" hidden="false" ht="28.5" outlineLevel="0">
      <c r="A562" s="16">
        <f aca="false">IF($T562="","",1+COUNTIF($W$15:$W$895,"&lt;"&amp;W562))</f>
        <v/>
      </c>
      <c r="B562" s="16" t="s">
        <v>16</v>
      </c>
      <c r="C562" s="16" t="s">
        <v>1660</v>
      </c>
      <c r="D562" s="21" t="s">
        <v>81</v>
      </c>
      <c r="E562" s="16" t="s">
        <v>62</v>
      </c>
      <c r="F562" s="16" t="s">
        <v>1661</v>
      </c>
      <c r="G562" s="17">
        <v>1869</v>
      </c>
      <c r="H562" s="17"/>
      <c r="I562" s="17"/>
      <c r="J562" s="17">
        <v>1869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1869</v>
      </c>
      <c r="M562" s="17">
        <f aca="false">IF($H562="","",$H562+$K562)</f>
        <v/>
      </c>
      <c r="N562" s="17">
        <f aca="false">IF($J562="","",$J562+$K562)</f>
        <v>1869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C562" s="3"/>
    </row>
    <row r="563" s="5" collapsed="false" customFormat="true" customHeight="true" hidden="false" ht="28.5" outlineLevel="0">
      <c r="A563" s="16">
        <f aca="false">IF($T563="","",1+COUNTIF($W$15:$W$895,"&lt;"&amp;W563))</f>
        <v/>
      </c>
      <c r="B563" s="16" t="s">
        <v>10</v>
      </c>
      <c r="C563" s="16" t="s">
        <v>769</v>
      </c>
      <c r="D563" s="16" t="s">
        <v>45</v>
      </c>
      <c r="E563" s="16" t="s">
        <v>26</v>
      </c>
      <c r="F563" s="16" t="s">
        <v>770</v>
      </c>
      <c r="G563" s="17">
        <v>1869</v>
      </c>
      <c r="H563" s="17"/>
      <c r="I563" s="17"/>
      <c r="J563" s="17">
        <v>1869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1869</v>
      </c>
      <c r="M563" s="17">
        <f aca="false">IF($H563="","",$H563+$K563)</f>
        <v/>
      </c>
      <c r="N563" s="17">
        <f aca="false">IF($J563="","",$J563+$K563)</f>
        <v>1869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IF($T564="","",1+COUNTIF($W$15:$W$895,"&lt;"&amp;W564))</f>
        <v/>
      </c>
      <c r="B564" s="16" t="s">
        <v>10</v>
      </c>
      <c r="C564" s="16" t="s">
        <v>1673</v>
      </c>
      <c r="D564" s="16" t="s">
        <v>45</v>
      </c>
      <c r="E564" s="16" t="s">
        <v>26</v>
      </c>
      <c r="F564" s="16" t="s">
        <v>1674</v>
      </c>
      <c r="G564" s="17">
        <v>1869</v>
      </c>
      <c r="H564" s="17"/>
      <c r="I564" s="17"/>
      <c r="J564" s="17">
        <v>1869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1869</v>
      </c>
      <c r="M564" s="17">
        <f aca="false">IF($H564="","",$H564+$K564)</f>
        <v/>
      </c>
      <c r="N564" s="17">
        <f aca="false">IF($J564="","",$J564+$K564)</f>
        <v>1869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IF($T565="","",1+COUNTIF($W$15:$W$895,"&lt;"&amp;W565))</f>
        <v/>
      </c>
      <c r="B565" s="16" t="s">
        <v>8</v>
      </c>
      <c r="C565" s="16" t="s">
        <v>979</v>
      </c>
      <c r="D565" s="16" t="s">
        <v>72</v>
      </c>
      <c r="E565" s="16" t="s">
        <v>26</v>
      </c>
      <c r="F565" s="16" t="s">
        <v>980</v>
      </c>
      <c r="G565" s="17">
        <v>1870</v>
      </c>
      <c r="H565" s="17"/>
      <c r="I565" s="17"/>
      <c r="J565" s="17">
        <v>1910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1870</v>
      </c>
      <c r="M565" s="17">
        <f aca="false">IF($H565="","",$H565+$K565)</f>
        <v/>
      </c>
      <c r="N565" s="17">
        <f aca="false">IF($J565="","",$J565+$K565)</f>
        <v>1910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IF($T566="","",1+COUNTIF($W$15:$W$895,"&lt;"&amp;W566))</f>
        <v/>
      </c>
      <c r="B566" s="16" t="s">
        <v>10</v>
      </c>
      <c r="C566" s="16" t="s">
        <v>338</v>
      </c>
      <c r="D566" s="16" t="s">
        <v>48</v>
      </c>
      <c r="E566" s="16" t="s">
        <v>26</v>
      </c>
      <c r="F566" s="16" t="s">
        <v>339</v>
      </c>
      <c r="G566" s="17">
        <v>1872</v>
      </c>
      <c r="H566" s="17"/>
      <c r="I566" s="17"/>
      <c r="J566" s="17">
        <v>1858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1872</v>
      </c>
      <c r="M566" s="17">
        <f aca="false">IF($H566="","",$H566+$K566)</f>
        <v/>
      </c>
      <c r="N566" s="17">
        <f aca="false">IF($J566="","",$J566+$K566)</f>
        <v>1858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6" collapsed="false" customFormat="true" customHeight="true" hidden="false" ht="28.5" outlineLevel="0">
      <c r="A567" s="16">
        <f aca="false">IF($T567="","",1+COUNTIF($W$15:$W$895,"&lt;"&amp;W567))</f>
        <v/>
      </c>
      <c r="B567" s="16" t="s">
        <v>12</v>
      </c>
      <c r="C567" s="16" t="s">
        <v>1743</v>
      </c>
      <c r="D567" s="20" t="s">
        <v>61</v>
      </c>
      <c r="E567" s="16" t="s">
        <v>62</v>
      </c>
      <c r="F567" s="16" t="s">
        <v>1745</v>
      </c>
      <c r="G567" s="17">
        <v>2080</v>
      </c>
      <c r="H567" s="17"/>
      <c r="I567" s="17"/>
      <c r="J567" s="17">
        <v>2070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2080</v>
      </c>
      <c r="M567" s="17">
        <f aca="false">IF($H567="","",$H567+$K567)</f>
        <v/>
      </c>
      <c r="N567" s="17">
        <f aca="false">IF($J567="","",$J567+$K567)</f>
        <v>2070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 t="s">
        <v>54</v>
      </c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C567" s="3"/>
    </row>
    <row r="568" s="6" collapsed="false" customFormat="true" customHeight="true" hidden="false" ht="28.5" outlineLevel="0">
      <c r="A568" s="16">
        <f aca="false">IF($T568="","",1+COUNTIF($W$15:$W$895,"&lt;"&amp;W568))</f>
        <v/>
      </c>
      <c r="B568" s="16" t="s">
        <v>6</v>
      </c>
      <c r="C568" s="16" t="s">
        <v>1640</v>
      </c>
      <c r="D568" s="16" t="s">
        <v>61</v>
      </c>
      <c r="E568" s="16" t="s">
        <v>26</v>
      </c>
      <c r="F568" s="16" t="s">
        <v>1641</v>
      </c>
      <c r="G568" s="17">
        <v>1875</v>
      </c>
      <c r="H568" s="17"/>
      <c r="I568" s="17"/>
      <c r="J568" s="17">
        <v>1865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1875</v>
      </c>
      <c r="M568" s="17">
        <f aca="false">IF($H568="","",$H568+$K568)</f>
        <v/>
      </c>
      <c r="N568" s="17">
        <f aca="false">IF($J568="","",$J568+$K568)</f>
        <v>1865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C568" s="3"/>
    </row>
    <row r="569" s="22" collapsed="false" customFormat="true" customHeight="true" hidden="false" ht="28.5" outlineLevel="0">
      <c r="A569" s="16">
        <f aca="false">IF($T569="","",1+COUNTIF($W$15:$W$895,"&lt;"&amp;W569))</f>
        <v/>
      </c>
      <c r="B569" s="16" t="s">
        <v>8</v>
      </c>
      <c r="C569" s="16" t="s">
        <v>1596</v>
      </c>
      <c r="D569" s="16" t="s">
        <v>48</v>
      </c>
      <c r="E569" s="16" t="s">
        <v>26</v>
      </c>
      <c r="F569" s="16" t="s">
        <v>1597</v>
      </c>
      <c r="G569" s="17">
        <v>1875</v>
      </c>
      <c r="H569" s="17"/>
      <c r="I569" s="17"/>
      <c r="J569" s="17">
        <v>1865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1875</v>
      </c>
      <c r="M569" s="17">
        <f aca="false">IF($H569="","",$H569+$K569)</f>
        <v/>
      </c>
      <c r="N569" s="17">
        <f aca="false">IF($J569="","",$J569+$K569)</f>
        <v>1865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IF($T570="","",1+COUNTIF($W$15:$W$895,"&lt;"&amp;W570))</f>
        <v/>
      </c>
      <c r="B570" s="16" t="s">
        <v>16</v>
      </c>
      <c r="C570" s="16" t="s">
        <v>989</v>
      </c>
      <c r="D570" s="21" t="s">
        <v>81</v>
      </c>
      <c r="E570" s="16" t="s">
        <v>26</v>
      </c>
      <c r="F570" s="16" t="s">
        <v>990</v>
      </c>
      <c r="G570" s="17">
        <v>1875</v>
      </c>
      <c r="H570" s="17"/>
      <c r="I570" s="17"/>
      <c r="J570" s="17">
        <v>1875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1875</v>
      </c>
      <c r="M570" s="17">
        <f aca="false">IF($H570="","",$H570+$K570)</f>
        <v/>
      </c>
      <c r="N570" s="17">
        <f aca="false">IF($J570="","",$J570+$K570)</f>
        <v>1875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IF($T571="","",1+COUNTIF($W$15:$W$895,"&lt;"&amp;W571))</f>
        <v/>
      </c>
      <c r="B571" s="16" t="s">
        <v>10</v>
      </c>
      <c r="C571" s="16" t="s">
        <v>921</v>
      </c>
      <c r="D571" s="16" t="s">
        <v>58</v>
      </c>
      <c r="E571" s="16" t="s">
        <v>26</v>
      </c>
      <c r="F571" s="16" t="s">
        <v>922</v>
      </c>
      <c r="G571" s="17">
        <v>1875</v>
      </c>
      <c r="H571" s="17"/>
      <c r="I571" s="17"/>
      <c r="J571" s="17">
        <v>1875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1875</v>
      </c>
      <c r="M571" s="17">
        <f aca="false">IF($H571="","",$H571+$K571)</f>
        <v/>
      </c>
      <c r="N571" s="17">
        <f aca="false">IF($J571="","",$J571+$K571)</f>
        <v>1875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IF($T572="","",1+COUNTIF($W$15:$W$895,"&lt;"&amp;W572))</f>
        <v/>
      </c>
      <c r="B572" s="16" t="s">
        <v>10</v>
      </c>
      <c r="C572" s="16" t="s">
        <v>57</v>
      </c>
      <c r="D572" s="16" t="s">
        <v>58</v>
      </c>
      <c r="E572" s="16" t="s">
        <v>26</v>
      </c>
      <c r="F572" s="16" t="s">
        <v>59</v>
      </c>
      <c r="G572" s="17">
        <v>1878</v>
      </c>
      <c r="H572" s="17"/>
      <c r="I572" s="17"/>
      <c r="J572" s="17">
        <v>1868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1878</v>
      </c>
      <c r="M572" s="17">
        <f aca="false">IF($H572="","",$H572+$K572)</f>
        <v/>
      </c>
      <c r="N572" s="17">
        <f aca="false">IF($J572="","",$J572+$K572)</f>
        <v>1868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IF($T573="","",1+COUNTIF($W$15:$W$895,"&lt;"&amp;W573))</f>
        <v/>
      </c>
      <c r="B573" s="16" t="s">
        <v>8</v>
      </c>
      <c r="C573" s="16" t="s">
        <v>1105</v>
      </c>
      <c r="D573" s="16" t="s">
        <v>45</v>
      </c>
      <c r="E573" s="16" t="s">
        <v>26</v>
      </c>
      <c r="F573" s="16" t="s">
        <v>1106</v>
      </c>
      <c r="G573" s="17">
        <v>1878</v>
      </c>
      <c r="H573" s="17"/>
      <c r="I573" s="17"/>
      <c r="J573" s="17">
        <v>1878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1878</v>
      </c>
      <c r="M573" s="17">
        <f aca="false">IF($H573="","",$H573+$K573)</f>
        <v/>
      </c>
      <c r="N573" s="17">
        <f aca="false">IF($J573="","",$J573+$K573)</f>
        <v>1878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IF($T574="","",1+COUNTIF($W$15:$W$895,"&lt;"&amp;W574))</f>
        <v/>
      </c>
      <c r="B574" s="16" t="s">
        <v>10</v>
      </c>
      <c r="C574" s="16" t="s">
        <v>894</v>
      </c>
      <c r="D574" s="16" t="s">
        <v>58</v>
      </c>
      <c r="E574" s="16" t="s">
        <v>26</v>
      </c>
      <c r="F574" s="16" t="s">
        <v>895</v>
      </c>
      <c r="G574" s="17">
        <v>1878</v>
      </c>
      <c r="H574" s="17"/>
      <c r="I574" s="17"/>
      <c r="J574" s="17">
        <v>1878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1878</v>
      </c>
      <c r="M574" s="17">
        <f aca="false">IF($H574="","",$H574+$K574)</f>
        <v/>
      </c>
      <c r="N574" s="17">
        <f aca="false">IF($J574="","",$J574+$K574)</f>
        <v>1878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IF($T575="","",1+COUNTIF($W$15:$W$895,"&lt;"&amp;W575))</f>
        <v/>
      </c>
      <c r="B575" s="16" t="s">
        <v>10</v>
      </c>
      <c r="C575" s="16" t="s">
        <v>530</v>
      </c>
      <c r="D575" s="16" t="s">
        <v>72</v>
      </c>
      <c r="E575" s="16" t="s">
        <v>26</v>
      </c>
      <c r="F575" s="16" t="s">
        <v>531</v>
      </c>
      <c r="G575" s="17">
        <v>1878</v>
      </c>
      <c r="H575" s="17"/>
      <c r="I575" s="17"/>
      <c r="J575" s="17">
        <v>1899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1878</v>
      </c>
      <c r="M575" s="17">
        <f aca="false">IF($H575="","",$H575+$K575)</f>
        <v/>
      </c>
      <c r="N575" s="17">
        <f aca="false">IF($J575="","",$J575+$K575)</f>
        <v>1899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IF($T576="","",1+COUNTIF($W$15:$W$895,"&lt;"&amp;W576))</f>
        <v/>
      </c>
      <c r="B576" s="16" t="s">
        <v>12</v>
      </c>
      <c r="C576" s="16" t="s">
        <v>1630</v>
      </c>
      <c r="D576" s="20" t="s">
        <v>45</v>
      </c>
      <c r="E576" s="16" t="s">
        <v>62</v>
      </c>
      <c r="F576" s="16" t="s">
        <v>1631</v>
      </c>
      <c r="G576" s="17">
        <v>2087</v>
      </c>
      <c r="H576" s="17"/>
      <c r="I576" s="17"/>
      <c r="J576" s="17">
        <v>2070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2087</v>
      </c>
      <c r="M576" s="17">
        <f aca="false">IF($H576="","",$H576+$K576)</f>
        <v/>
      </c>
      <c r="N576" s="17">
        <f aca="false">IF($J576="","",$J576+$K576)</f>
        <v>2070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 t="s">
        <v>54</v>
      </c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C576" s="3"/>
    </row>
    <row r="577" s="5" collapsed="false" customFormat="true" customHeight="true" hidden="false" ht="28.5" outlineLevel="0">
      <c r="A577" s="16">
        <f aca="false">IF($T577="","",1+COUNTIF($W$15:$W$895,"&lt;"&amp;W577))</f>
        <v/>
      </c>
      <c r="B577" s="16" t="s">
        <v>10</v>
      </c>
      <c r="C577" s="16" t="s">
        <v>244</v>
      </c>
      <c r="D577" s="21" t="s">
        <v>81</v>
      </c>
      <c r="E577" s="16" t="s">
        <v>26</v>
      </c>
      <c r="F577" s="16" t="s">
        <v>245</v>
      </c>
      <c r="G577" s="17">
        <v>1879</v>
      </c>
      <c r="H577" s="17"/>
      <c r="I577" s="17"/>
      <c r="J577" s="17">
        <v>1859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1879</v>
      </c>
      <c r="M577" s="17">
        <f aca="false">IF($H577="","",$H577+$K577)</f>
        <v/>
      </c>
      <c r="N577" s="17">
        <f aca="false">IF($J577="","",$J577+$K577)</f>
        <v>1859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IF($T578="","",1+COUNTIF($W$15:$W$895,"&lt;"&amp;W578))</f>
        <v/>
      </c>
      <c r="B578" s="16" t="s">
        <v>12</v>
      </c>
      <c r="C578" s="16" t="s">
        <v>516</v>
      </c>
      <c r="D578" s="20" t="s">
        <v>58</v>
      </c>
      <c r="E578" s="16" t="s">
        <v>26</v>
      </c>
      <c r="F578" s="16" t="s">
        <v>517</v>
      </c>
      <c r="G578" s="17">
        <v>1879</v>
      </c>
      <c r="H578" s="17"/>
      <c r="I578" s="17"/>
      <c r="J578" s="17">
        <v>1869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1879</v>
      </c>
      <c r="M578" s="17">
        <f aca="false">IF($H578="","",$H578+$K578)</f>
        <v/>
      </c>
      <c r="N578" s="17">
        <f aca="false">IF($J578="","",$J578+$K578)</f>
        <v>1869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IF($T579="","",1+COUNTIF($W$15:$W$895,"&lt;"&amp;W579))</f>
        <v/>
      </c>
      <c r="B579" s="16" t="s">
        <v>18</v>
      </c>
      <c r="C579" s="16" t="s">
        <v>693</v>
      </c>
      <c r="D579" s="16" t="s">
        <v>48</v>
      </c>
      <c r="E579" s="16" t="s">
        <v>26</v>
      </c>
      <c r="F579" s="16" t="s">
        <v>694</v>
      </c>
      <c r="G579" s="17">
        <v>1879</v>
      </c>
      <c r="H579" s="17"/>
      <c r="I579" s="17"/>
      <c r="J579" s="17">
        <v>1879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1879</v>
      </c>
      <c r="M579" s="17">
        <f aca="false">IF($H579="","",$H579+$K579)</f>
        <v/>
      </c>
      <c r="N579" s="17">
        <f aca="false">IF($J579="","",$J579+$K579)</f>
        <v>1879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IF($T580="","",1+COUNTIF($W$15:$W$895,"&lt;"&amp;W580))</f>
        <v/>
      </c>
      <c r="B580" s="16" t="s">
        <v>10</v>
      </c>
      <c r="C580" s="16" t="s">
        <v>528</v>
      </c>
      <c r="D580" s="16" t="s">
        <v>58</v>
      </c>
      <c r="E580" s="16" t="s">
        <v>26</v>
      </c>
      <c r="F580" s="16" t="s">
        <v>529</v>
      </c>
      <c r="G580" s="17">
        <v>1879</v>
      </c>
      <c r="H580" s="17"/>
      <c r="I580" s="17"/>
      <c r="J580" s="17">
        <v>1879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1879</v>
      </c>
      <c r="M580" s="17">
        <f aca="false">IF($H580="","",$H580+$K580)</f>
        <v/>
      </c>
      <c r="N580" s="17">
        <f aca="false">IF($J580="","",$J580+$K580)</f>
        <v>1879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IF($T581="","",1+COUNTIF($W$15:$W$895,"&lt;"&amp;W581))</f>
        <v/>
      </c>
      <c r="B581" s="16" t="s">
        <v>10</v>
      </c>
      <c r="C581" s="16" t="s">
        <v>830</v>
      </c>
      <c r="D581" s="16" t="s">
        <v>48</v>
      </c>
      <c r="E581" s="16" t="s">
        <v>26</v>
      </c>
      <c r="F581" s="16" t="s">
        <v>831</v>
      </c>
      <c r="G581" s="17">
        <v>1879</v>
      </c>
      <c r="H581" s="17"/>
      <c r="I581" s="17"/>
      <c r="J581" s="17">
        <v>1879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1879</v>
      </c>
      <c r="M581" s="17">
        <f aca="false">IF($H581="","",$H581+$K581)</f>
        <v/>
      </c>
      <c r="N581" s="17">
        <f aca="false">IF($J581="","",$J581+$K581)</f>
        <v>1879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IF($T582="","",1+COUNTIF($W$15:$W$895,"&lt;"&amp;W582))</f>
        <v/>
      </c>
      <c r="B582" s="16" t="s">
        <v>16</v>
      </c>
      <c r="C582" s="16" t="s">
        <v>50</v>
      </c>
      <c r="D582" s="16" t="s">
        <v>48</v>
      </c>
      <c r="E582" s="16" t="s">
        <v>26</v>
      </c>
      <c r="F582" s="16" t="s">
        <v>51</v>
      </c>
      <c r="G582" s="17">
        <v>1880</v>
      </c>
      <c r="H582" s="17"/>
      <c r="I582" s="17"/>
      <c r="J582" s="17">
        <v>1880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1880</v>
      </c>
      <c r="M582" s="17">
        <f aca="false">IF($H582="","",$H582+$K582)</f>
        <v/>
      </c>
      <c r="N582" s="17">
        <f aca="false">IF($J582="","",$J582+$K582)</f>
        <v>1880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IF($T583="","",1+COUNTIF($W$15:$W$895,"&lt;"&amp;W583))</f>
        <v/>
      </c>
      <c r="B583" s="16" t="s">
        <v>16</v>
      </c>
      <c r="C583" s="16" t="s">
        <v>462</v>
      </c>
      <c r="D583" s="16" t="s">
        <v>58</v>
      </c>
      <c r="E583" s="16" t="s">
        <v>26</v>
      </c>
      <c r="F583" s="16" t="s">
        <v>463</v>
      </c>
      <c r="G583" s="17">
        <v>1880</v>
      </c>
      <c r="H583" s="17"/>
      <c r="I583" s="17"/>
      <c r="J583" s="17">
        <v>1880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1880</v>
      </c>
      <c r="M583" s="17">
        <f aca="false">IF($H583="","",$H583+$K583)</f>
        <v/>
      </c>
      <c r="N583" s="17">
        <f aca="false">IF($J583="","",$J583+$K583)</f>
        <v>1880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IF($T584="","",1+COUNTIF($W$15:$W$895,"&lt;"&amp;W584))</f>
        <v/>
      </c>
      <c r="B584" s="16" t="s">
        <v>16</v>
      </c>
      <c r="C584" s="16" t="s">
        <v>1236</v>
      </c>
      <c r="D584" s="16" t="s">
        <v>45</v>
      </c>
      <c r="E584" s="16" t="s">
        <v>26</v>
      </c>
      <c r="F584" s="16" t="s">
        <v>1237</v>
      </c>
      <c r="G584" s="17">
        <v>1880</v>
      </c>
      <c r="H584" s="17"/>
      <c r="I584" s="17"/>
      <c r="J584" s="17">
        <v>1880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1880</v>
      </c>
      <c r="M584" s="17">
        <f aca="false">IF($H584="","",$H584+$K584)</f>
        <v/>
      </c>
      <c r="N584" s="17">
        <f aca="false">IF($J584="","",$J584+$K584)</f>
        <v>1880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IF($T585="","",1+COUNTIF($W$15:$W$895,"&lt;"&amp;W585))</f>
        <v/>
      </c>
      <c r="B585" s="16" t="s">
        <v>16</v>
      </c>
      <c r="C585" s="16" t="s">
        <v>1325</v>
      </c>
      <c r="D585" s="16" t="s">
        <v>58</v>
      </c>
      <c r="E585" s="16" t="s">
        <v>26</v>
      </c>
      <c r="F585" s="16" t="s">
        <v>1326</v>
      </c>
      <c r="G585" s="17">
        <v>1880</v>
      </c>
      <c r="H585" s="17"/>
      <c r="I585" s="17"/>
      <c r="J585" s="17">
        <v>1899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1880</v>
      </c>
      <c r="M585" s="17">
        <f aca="false">IF($H585="","",$H585+$K585)</f>
        <v/>
      </c>
      <c r="N585" s="17">
        <f aca="false">IF($J585="","",$J585+$K585)</f>
        <v>1899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C585" s="3"/>
    </row>
    <row r="586" s="5" collapsed="false" customFormat="true" customHeight="true" hidden="false" ht="28.5" outlineLevel="0">
      <c r="A586" s="16">
        <f aca="false">IF($T586="","",1+COUNTIF($W$15:$W$895,"&lt;"&amp;W586))</f>
        <v/>
      </c>
      <c r="B586" s="16" t="s">
        <v>18</v>
      </c>
      <c r="C586" s="16" t="s">
        <v>842</v>
      </c>
      <c r="D586" s="16" t="s">
        <v>45</v>
      </c>
      <c r="E586" s="16" t="s">
        <v>62</v>
      </c>
      <c r="F586" s="16" t="s">
        <v>843</v>
      </c>
      <c r="G586" s="17">
        <v>1880</v>
      </c>
      <c r="H586" s="17"/>
      <c r="I586" s="17"/>
      <c r="J586" s="17">
        <v>1920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1880</v>
      </c>
      <c r="M586" s="17">
        <f aca="false">IF($H586="","",$H586+$K586)</f>
        <v/>
      </c>
      <c r="N586" s="17">
        <f aca="false">IF($J586="","",$J586+$K586)</f>
        <v>1920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IF($T587="","",1+COUNTIF($W$15:$W$895,"&lt;"&amp;W587))</f>
        <v/>
      </c>
      <c r="B587" s="16" t="s">
        <v>18</v>
      </c>
      <c r="C587" s="16" t="s">
        <v>1172</v>
      </c>
      <c r="D587" s="16" t="s">
        <v>45</v>
      </c>
      <c r="E587" s="16" t="s">
        <v>26</v>
      </c>
      <c r="F587" s="16" t="s">
        <v>1173</v>
      </c>
      <c r="G587" s="17">
        <v>1882</v>
      </c>
      <c r="H587" s="17"/>
      <c r="I587" s="17"/>
      <c r="J587" s="17">
        <v>1852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1882</v>
      </c>
      <c r="M587" s="17">
        <f aca="false">IF($H587="","",$H587+$K587)</f>
        <v/>
      </c>
      <c r="N587" s="17">
        <f aca="false">IF($J587="","",$J587+$K587)</f>
        <v>1852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22" collapsed="false" customFormat="true" customHeight="true" hidden="false" ht="28.5" outlineLevel="0">
      <c r="A588" s="16">
        <f aca="false">IF($T588="","",1+COUNTIF($W$15:$W$895,"&lt;"&amp;W588))</f>
        <v/>
      </c>
      <c r="B588" s="16" t="s">
        <v>6</v>
      </c>
      <c r="C588" s="16" t="s">
        <v>1200</v>
      </c>
      <c r="D588" s="16" t="s">
        <v>45</v>
      </c>
      <c r="E588" s="16" t="s">
        <v>26</v>
      </c>
      <c r="F588" s="16" t="s">
        <v>1201</v>
      </c>
      <c r="G588" s="17">
        <v>1885</v>
      </c>
      <c r="H588" s="17"/>
      <c r="I588" s="17"/>
      <c r="J588" s="17">
        <v>1865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1885</v>
      </c>
      <c r="M588" s="17">
        <f aca="false">IF($H588="","",$H588+$K588)</f>
        <v/>
      </c>
      <c r="N588" s="17">
        <f aca="false">IF($J588="","",$J588+$K588)</f>
        <v>1865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IF($T589="","",1+COUNTIF($W$15:$W$895,"&lt;"&amp;W589))</f>
        <v/>
      </c>
      <c r="B589" s="16" t="s">
        <v>10</v>
      </c>
      <c r="C589" s="16" t="s">
        <v>346</v>
      </c>
      <c r="D589" s="16" t="s">
        <v>45</v>
      </c>
      <c r="E589" s="16" t="s">
        <v>26</v>
      </c>
      <c r="F589" s="16" t="s">
        <v>347</v>
      </c>
      <c r="G589" s="17">
        <v>1885</v>
      </c>
      <c r="H589" s="17"/>
      <c r="I589" s="17"/>
      <c r="J589" s="17">
        <v>1875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1885</v>
      </c>
      <c r="M589" s="17">
        <f aca="false">IF($H589="","",$H589+$K589)</f>
        <v/>
      </c>
      <c r="N589" s="17">
        <f aca="false">IF($J589="","",$J589+$K589)</f>
        <v>1875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22" collapsed="false" customFormat="true" customHeight="true" hidden="false" ht="28.5" outlineLevel="0">
      <c r="A590" s="16">
        <f aca="false">IF($T590="","",1+COUNTIF($W$15:$W$895,"&lt;"&amp;W590))</f>
        <v/>
      </c>
      <c r="B590" s="16" t="s">
        <v>16</v>
      </c>
      <c r="C590" s="16" t="s">
        <v>1699</v>
      </c>
      <c r="D590" s="16" t="s">
        <v>58</v>
      </c>
      <c r="E590" s="16" t="s">
        <v>26</v>
      </c>
      <c r="F590" s="16" t="s">
        <v>1700</v>
      </c>
      <c r="G590" s="17">
        <v>1885</v>
      </c>
      <c r="H590" s="17"/>
      <c r="I590" s="17"/>
      <c r="J590" s="17">
        <v>1885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1885</v>
      </c>
      <c r="M590" s="17">
        <f aca="false">IF($H590="","",$H590+$K590)</f>
        <v/>
      </c>
      <c r="N590" s="17">
        <f aca="false">IF($J590="","",$J590+$K590)</f>
        <v>1885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22" collapsed="false" customFormat="true" customHeight="true" hidden="false" ht="28.5" outlineLevel="0">
      <c r="A591" s="16">
        <f aca="false">IF($T591="","",1+COUNTIF($W$15:$W$895,"&lt;"&amp;W591))</f>
        <v/>
      </c>
      <c r="B591" s="16" t="s">
        <v>10</v>
      </c>
      <c r="C591" s="16" t="s">
        <v>354</v>
      </c>
      <c r="D591" s="21" t="s">
        <v>81</v>
      </c>
      <c r="E591" s="16" t="s">
        <v>26</v>
      </c>
      <c r="F591" s="16" t="s">
        <v>355</v>
      </c>
      <c r="G591" s="17">
        <v>1885</v>
      </c>
      <c r="H591" s="17"/>
      <c r="I591" s="17"/>
      <c r="J591" s="17">
        <v>1885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1885</v>
      </c>
      <c r="M591" s="17">
        <f aca="false">IF($H591="","",$H591+$K591)</f>
        <v/>
      </c>
      <c r="N591" s="17">
        <f aca="false">IF($J591="","",$J591+$K591)</f>
        <v>1885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IF($T592="","",1+COUNTIF($W$15:$W$895,"&lt;"&amp;W592))</f>
        <v/>
      </c>
      <c r="B592" s="16" t="s">
        <v>10</v>
      </c>
      <c r="C592" s="16" t="s">
        <v>412</v>
      </c>
      <c r="D592" s="16" t="s">
        <v>48</v>
      </c>
      <c r="E592" s="16" t="s">
        <v>26</v>
      </c>
      <c r="F592" s="16" t="s">
        <v>413</v>
      </c>
      <c r="G592" s="17">
        <v>1885</v>
      </c>
      <c r="H592" s="17"/>
      <c r="I592" s="17"/>
      <c r="J592" s="17">
        <v>1885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1885</v>
      </c>
      <c r="M592" s="17">
        <f aca="false">IF($H592="","",$H592+$K592)</f>
        <v/>
      </c>
      <c r="N592" s="17">
        <f aca="false">IF($J592="","",$J592+$K592)</f>
        <v>1885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IF($T593="","",1+COUNTIF($W$15:$W$895,"&lt;"&amp;W593))</f>
        <v/>
      </c>
      <c r="B593" s="16" t="s">
        <v>10</v>
      </c>
      <c r="C593" s="16" t="s">
        <v>727</v>
      </c>
      <c r="D593" s="16" t="s">
        <v>45</v>
      </c>
      <c r="E593" s="16" t="s">
        <v>26</v>
      </c>
      <c r="F593" s="16" t="s">
        <v>728</v>
      </c>
      <c r="G593" s="17">
        <v>1885</v>
      </c>
      <c r="H593" s="17"/>
      <c r="I593" s="17"/>
      <c r="J593" s="17">
        <v>1885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1885</v>
      </c>
      <c r="M593" s="17">
        <f aca="false">IF($H593="","",$H593+$K593)</f>
        <v/>
      </c>
      <c r="N593" s="17">
        <f aca="false">IF($J593="","",$J593+$K593)</f>
        <v>1885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IF($T594="","",1+COUNTIF($W$15:$W$895,"&lt;"&amp;W594))</f>
        <v/>
      </c>
      <c r="B594" s="16" t="s">
        <v>10</v>
      </c>
      <c r="C594" s="16" t="s">
        <v>1588</v>
      </c>
      <c r="D594" s="21" t="s">
        <v>81</v>
      </c>
      <c r="E594" s="16" t="s">
        <v>26</v>
      </c>
      <c r="F594" s="16" t="s">
        <v>1589</v>
      </c>
      <c r="G594" s="17">
        <v>1885</v>
      </c>
      <c r="H594" s="17"/>
      <c r="I594" s="17"/>
      <c r="J594" s="17">
        <v>1885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1885</v>
      </c>
      <c r="M594" s="17">
        <f aca="false">IF($H594="","",$H594+$K594)</f>
        <v/>
      </c>
      <c r="N594" s="17">
        <f aca="false">IF($J594="","",$J594+$K594)</f>
        <v>1885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22" collapsed="false" customFormat="true" customHeight="true" hidden="false" ht="28.5" outlineLevel="0">
      <c r="A595" s="16">
        <f aca="false">IF($T595="","",1+COUNTIF($W$15:$W$895,"&lt;"&amp;W595))</f>
        <v/>
      </c>
      <c r="B595" s="16" t="s">
        <v>10</v>
      </c>
      <c r="C595" s="16" t="s">
        <v>1592</v>
      </c>
      <c r="D595" s="21" t="s">
        <v>81</v>
      </c>
      <c r="E595" s="16" t="s">
        <v>26</v>
      </c>
      <c r="F595" s="16" t="s">
        <v>1593</v>
      </c>
      <c r="G595" s="17">
        <v>1885</v>
      </c>
      <c r="H595" s="17"/>
      <c r="I595" s="17"/>
      <c r="J595" s="17">
        <v>1885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1885</v>
      </c>
      <c r="M595" s="17">
        <f aca="false">IF($H595="","",$H595+$K595)</f>
        <v/>
      </c>
      <c r="N595" s="17">
        <f aca="false">IF($J595="","",$J595+$K595)</f>
        <v>1885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IF($T596="","",1+COUNTIF($W$15:$W$895,"&lt;"&amp;W596))</f>
        <v/>
      </c>
      <c r="B596" s="16" t="s">
        <v>12</v>
      </c>
      <c r="C596" s="16" t="s">
        <v>834</v>
      </c>
      <c r="D596" s="20" t="s">
        <v>45</v>
      </c>
      <c r="E596" s="16" t="s">
        <v>62</v>
      </c>
      <c r="F596" s="16" t="s">
        <v>835</v>
      </c>
      <c r="G596" s="17">
        <v>2095</v>
      </c>
      <c r="H596" s="17"/>
      <c r="I596" s="17"/>
      <c r="J596" s="17">
        <v>2095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2095</v>
      </c>
      <c r="M596" s="17">
        <f aca="false">IF($H596="","",$H596+$K596)</f>
        <v/>
      </c>
      <c r="N596" s="17">
        <f aca="false">IF($J596="","",$J596+$K596)</f>
        <v>2095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 t="s">
        <v>54</v>
      </c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IF($T597="","",1+COUNTIF($W$15:$W$895,"&lt;"&amp;W597))</f>
        <v/>
      </c>
      <c r="B597" s="16" t="s">
        <v>18</v>
      </c>
      <c r="C597" s="16" t="s">
        <v>1303</v>
      </c>
      <c r="D597" s="16" t="s">
        <v>58</v>
      </c>
      <c r="E597" s="16" t="s">
        <v>62</v>
      </c>
      <c r="F597" s="16" t="s">
        <v>1304</v>
      </c>
      <c r="G597" s="17">
        <v>1887</v>
      </c>
      <c r="H597" s="17"/>
      <c r="I597" s="17"/>
      <c r="J597" s="17">
        <v>1877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1887</v>
      </c>
      <c r="M597" s="17">
        <f aca="false">IF($H597="","",$H597+$K597)</f>
        <v/>
      </c>
      <c r="N597" s="17">
        <f aca="false">IF($J597="","",$J597+$K597)</f>
        <v>1877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IF($T598="","",1+COUNTIF($W$15:$W$895,"&lt;"&amp;W598))</f>
        <v/>
      </c>
      <c r="B598" s="16" t="s">
        <v>18</v>
      </c>
      <c r="C598" s="16" t="s">
        <v>725</v>
      </c>
      <c r="D598" s="16" t="s">
        <v>45</v>
      </c>
      <c r="E598" s="16" t="s">
        <v>26</v>
      </c>
      <c r="F598" s="16" t="s">
        <v>726</v>
      </c>
      <c r="G598" s="17">
        <v>1887</v>
      </c>
      <c r="H598" s="17"/>
      <c r="I598" s="17"/>
      <c r="J598" s="17">
        <v>1889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1887</v>
      </c>
      <c r="M598" s="17">
        <f aca="false">IF($H598="","",$H598+$K598)</f>
        <v/>
      </c>
      <c r="N598" s="17">
        <f aca="false">IF($J598="","",$J598+$K598)</f>
        <v>1889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IF($T599="","",1+COUNTIF($W$15:$W$895,"&lt;"&amp;W599))</f>
        <v/>
      </c>
      <c r="B599" s="16" t="s">
        <v>6</v>
      </c>
      <c r="C599" s="16" t="s">
        <v>132</v>
      </c>
      <c r="D599" s="16" t="s">
        <v>61</v>
      </c>
      <c r="E599" s="16" t="s">
        <v>62</v>
      </c>
      <c r="F599" s="16" t="s">
        <v>133</v>
      </c>
      <c r="G599" s="17">
        <v>2098</v>
      </c>
      <c r="H599" s="17"/>
      <c r="I599" s="17"/>
      <c r="J599" s="17">
        <v>2098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2098</v>
      </c>
      <c r="M599" s="17">
        <f aca="false">IF($H599="","",$H599+$K599)</f>
        <v/>
      </c>
      <c r="N599" s="17">
        <f aca="false">IF($J599="","",$J599+$K599)</f>
        <v>2098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 t="s">
        <v>54</v>
      </c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IF($T600="","",1+COUNTIF($W$15:$W$895,"&lt;"&amp;W600))</f>
        <v/>
      </c>
      <c r="B600" s="16" t="s">
        <v>10</v>
      </c>
      <c r="C600" s="16" t="s">
        <v>464</v>
      </c>
      <c r="D600" s="16" t="s">
        <v>58</v>
      </c>
      <c r="E600" s="16" t="s">
        <v>26</v>
      </c>
      <c r="F600" s="16" t="s">
        <v>465</v>
      </c>
      <c r="G600" s="17">
        <v>1889</v>
      </c>
      <c r="H600" s="17"/>
      <c r="I600" s="17"/>
      <c r="J600" s="17">
        <v>1879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1889</v>
      </c>
      <c r="M600" s="17">
        <f aca="false">IF($H600="","",$H600+$K600)</f>
        <v/>
      </c>
      <c r="N600" s="17">
        <f aca="false">IF($J600="","",$J600+$K600)</f>
        <v>1879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IF($T601="","",1+COUNTIF($W$15:$W$895,"&lt;"&amp;W601))</f>
        <v/>
      </c>
      <c r="B601" s="16" t="s">
        <v>12</v>
      </c>
      <c r="C601" s="16" t="s">
        <v>929</v>
      </c>
      <c r="D601" s="20" t="s">
        <v>45</v>
      </c>
      <c r="E601" s="16" t="s">
        <v>26</v>
      </c>
      <c r="F601" s="16" t="s">
        <v>930</v>
      </c>
      <c r="G601" s="17">
        <v>1889</v>
      </c>
      <c r="H601" s="17"/>
      <c r="I601" s="17"/>
      <c r="J601" s="17">
        <v>1889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1889</v>
      </c>
      <c r="M601" s="17">
        <f aca="false">IF($H601="","",$H601+$K601)</f>
        <v/>
      </c>
      <c r="N601" s="17">
        <f aca="false">IF($J601="","",$J601+$K601)</f>
        <v>1889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22" collapsed="false" customFormat="true" customHeight="true" hidden="false" ht="28.5" outlineLevel="0">
      <c r="A602" s="16">
        <f aca="false">IF($T602="","",1+COUNTIF($W$15:$W$895,"&lt;"&amp;W602))</f>
        <v/>
      </c>
      <c r="B602" s="16" t="s">
        <v>14</v>
      </c>
      <c r="C602" s="16" t="s">
        <v>1418</v>
      </c>
      <c r="D602" s="16" t="s">
        <v>58</v>
      </c>
      <c r="E602" s="16" t="s">
        <v>62</v>
      </c>
      <c r="F602" s="16" t="s">
        <v>1419</v>
      </c>
      <c r="G602" s="17">
        <v>1889</v>
      </c>
      <c r="H602" s="17"/>
      <c r="I602" s="17"/>
      <c r="J602" s="17">
        <v>1929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1889</v>
      </c>
      <c r="M602" s="17">
        <f aca="false">IF($H602="","",$H602+$K602)</f>
        <v/>
      </c>
      <c r="N602" s="17">
        <f aca="false">IF($J602="","",$J602+$K602)</f>
        <v>1929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IF($T603="","",1+COUNTIF($W$15:$W$895,"&lt;"&amp;W603))</f>
        <v/>
      </c>
      <c r="B603" s="16" t="s">
        <v>12</v>
      </c>
      <c r="C603" s="16" t="s">
        <v>448</v>
      </c>
      <c r="D603" s="20" t="s">
        <v>45</v>
      </c>
      <c r="E603" s="16" t="s">
        <v>62</v>
      </c>
      <c r="F603" s="16" t="s">
        <v>449</v>
      </c>
      <c r="G603" s="17">
        <v>2100</v>
      </c>
      <c r="H603" s="17"/>
      <c r="I603" s="17"/>
      <c r="J603" s="17">
        <v>1968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2100</v>
      </c>
      <c r="M603" s="17">
        <f aca="false">IF($H603="","",$H603+$K603)</f>
        <v/>
      </c>
      <c r="N603" s="17">
        <f aca="false">IF($J603="","",$J603+$K603)</f>
        <v>1968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 t="s">
        <v>54</v>
      </c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6" collapsed="false" customFormat="true" customHeight="true" hidden="false" ht="28.5" outlineLevel="0">
      <c r="A604" s="16">
        <f aca="false">IF($T604="","",1+COUNTIF($W$15:$W$895,"&lt;"&amp;W604))</f>
        <v/>
      </c>
      <c r="B604" s="16" t="s">
        <v>16</v>
      </c>
      <c r="C604" s="16" t="s">
        <v>1234</v>
      </c>
      <c r="D604" s="16" t="s">
        <v>72</v>
      </c>
      <c r="E604" s="16" t="s">
        <v>26</v>
      </c>
      <c r="F604" s="16" t="s">
        <v>1235</v>
      </c>
      <c r="G604" s="17">
        <v>1890</v>
      </c>
      <c r="H604" s="17"/>
      <c r="I604" s="17"/>
      <c r="J604" s="17">
        <v>1880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1890</v>
      </c>
      <c r="M604" s="17">
        <f aca="false">IF($H604="","",$H604+$K604)</f>
        <v/>
      </c>
      <c r="N604" s="17">
        <f aca="false">IF($J604="","",$J604+$K604)</f>
        <v>1880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C604" s="3"/>
    </row>
    <row r="605" s="22" collapsed="false" customFormat="true" customHeight="true" hidden="false" ht="28.5" outlineLevel="0">
      <c r="A605" s="16">
        <f aca="false">IF($T605="","",1+COUNTIF($W$15:$W$895,"&lt;"&amp;W605))</f>
        <v/>
      </c>
      <c r="B605" s="16" t="s">
        <v>16</v>
      </c>
      <c r="C605" s="16" t="s">
        <v>1560</v>
      </c>
      <c r="D605" s="16" t="s">
        <v>72</v>
      </c>
      <c r="E605" s="16" t="s">
        <v>62</v>
      </c>
      <c r="F605" s="16" t="s">
        <v>1561</v>
      </c>
      <c r="G605" s="17">
        <v>1890</v>
      </c>
      <c r="H605" s="17"/>
      <c r="I605" s="17"/>
      <c r="J605" s="17">
        <v>1890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1890</v>
      </c>
      <c r="M605" s="17">
        <f aca="false">IF($H605="","",$H605+$K605)</f>
        <v/>
      </c>
      <c r="N605" s="17">
        <f aca="false">IF($J605="","",$J605+$K605)</f>
        <v>1890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IF($T606="","",1+COUNTIF($W$15:$W$895,"&lt;"&amp;W606))</f>
        <v/>
      </c>
      <c r="B606" s="16" t="s">
        <v>10</v>
      </c>
      <c r="C606" s="16" t="s">
        <v>80</v>
      </c>
      <c r="D606" s="21" t="s">
        <v>81</v>
      </c>
      <c r="E606" s="16" t="s">
        <v>26</v>
      </c>
      <c r="F606" s="16" t="s">
        <v>82</v>
      </c>
      <c r="G606" s="17">
        <v>1892</v>
      </c>
      <c r="H606" s="17"/>
      <c r="I606" s="17"/>
      <c r="J606" s="17">
        <v>1859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1892</v>
      </c>
      <c r="M606" s="17">
        <f aca="false">IF($H606="","",$H606+$K606)</f>
        <v/>
      </c>
      <c r="N606" s="17">
        <f aca="false">IF($J606="","",$J606+$K606)</f>
        <v>1859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IF($T607="","",1+COUNTIF($W$15:$W$895,"&lt;"&amp;W607))</f>
        <v/>
      </c>
      <c r="B607" s="16" t="s">
        <v>8</v>
      </c>
      <c r="C607" s="16" t="s">
        <v>470</v>
      </c>
      <c r="D607" s="16" t="s">
        <v>96</v>
      </c>
      <c r="E607" s="16" t="s">
        <v>62</v>
      </c>
      <c r="F607" s="16" t="s">
        <v>472</v>
      </c>
      <c r="G607" s="17">
        <v>1893</v>
      </c>
      <c r="H607" s="17"/>
      <c r="I607" s="17"/>
      <c r="J607" s="17">
        <v>1843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1893</v>
      </c>
      <c r="M607" s="17">
        <f aca="false">IF($H607="","",$H607+$K607)</f>
        <v/>
      </c>
      <c r="N607" s="17">
        <f aca="false">IF($J607="","",$J607+$K607)</f>
        <v>1843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IF($T608="","",1+COUNTIF($W$15:$W$895,"&lt;"&amp;W608))</f>
        <v/>
      </c>
      <c r="B608" s="16" t="s">
        <v>8</v>
      </c>
      <c r="C608" s="16" t="s">
        <v>749</v>
      </c>
      <c r="D608" s="16" t="s">
        <v>61</v>
      </c>
      <c r="E608" s="16" t="s">
        <v>26</v>
      </c>
      <c r="F608" s="16" t="s">
        <v>750</v>
      </c>
      <c r="G608" s="17">
        <v>1893</v>
      </c>
      <c r="H608" s="17"/>
      <c r="I608" s="17"/>
      <c r="J608" s="17">
        <v>1878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1893</v>
      </c>
      <c r="M608" s="17">
        <f aca="false">IF($H608="","",$H608+$K608)</f>
        <v/>
      </c>
      <c r="N608" s="17">
        <f aca="false">IF($J608="","",$J608+$K608)</f>
        <v>1878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6" collapsed="false" customFormat="true" customHeight="true" hidden="false" ht="28.5" outlineLevel="0">
      <c r="A609" s="16">
        <f aca="false">IF($T609="","",1+COUNTIF($W$15:$W$895,"&lt;"&amp;W609))</f>
        <v/>
      </c>
      <c r="B609" s="16" t="s">
        <v>8</v>
      </c>
      <c r="C609" s="16" t="s">
        <v>1058</v>
      </c>
      <c r="D609" s="16" t="s">
        <v>48</v>
      </c>
      <c r="E609" s="16" t="s">
        <v>26</v>
      </c>
      <c r="F609" s="16" t="s">
        <v>1059</v>
      </c>
      <c r="G609" s="17">
        <v>1893</v>
      </c>
      <c r="H609" s="17"/>
      <c r="I609" s="17"/>
      <c r="J609" s="17">
        <v>1893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1893</v>
      </c>
      <c r="M609" s="17">
        <f aca="false">IF($H609="","",$H609+$K609)</f>
        <v/>
      </c>
      <c r="N609" s="17">
        <f aca="false">IF($J609="","",$J609+$K609)</f>
        <v>1893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C609" s="3"/>
    </row>
    <row r="610" s="5" collapsed="false" customFormat="true" customHeight="true" hidden="false" ht="28.5" outlineLevel="0">
      <c r="A610" s="16">
        <f aca="false">IF($T610="","",1+COUNTIF($W$15:$W$895,"&lt;"&amp;W610))</f>
        <v/>
      </c>
      <c r="B610" s="16" t="s">
        <v>10</v>
      </c>
      <c r="C610" s="16" t="s">
        <v>1076</v>
      </c>
      <c r="D610" s="16" t="s">
        <v>58</v>
      </c>
      <c r="E610" s="16" t="s">
        <v>26</v>
      </c>
      <c r="F610" s="16" t="s">
        <v>1077</v>
      </c>
      <c r="G610" s="17">
        <v>1893</v>
      </c>
      <c r="H610" s="17"/>
      <c r="I610" s="17"/>
      <c r="J610" s="17">
        <v>1893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1893</v>
      </c>
      <c r="M610" s="17">
        <f aca="false">IF($H610="","",$H610+$K610)</f>
        <v/>
      </c>
      <c r="N610" s="17">
        <f aca="false">IF($J610="","",$J610+$K610)</f>
        <v>1893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6" collapsed="false" customFormat="true" customHeight="true" hidden="false" ht="28.5" outlineLevel="0">
      <c r="A611" s="16">
        <f aca="false">IF($T611="","",1+COUNTIF($W$15:$W$895,"&lt;"&amp;W611))</f>
        <v/>
      </c>
      <c r="B611" s="16" t="s">
        <v>12</v>
      </c>
      <c r="C611" s="16" t="s">
        <v>1703</v>
      </c>
      <c r="D611" s="21" t="s">
        <v>81</v>
      </c>
      <c r="E611" s="16" t="s">
        <v>26</v>
      </c>
      <c r="F611" s="16" t="s">
        <v>1704</v>
      </c>
      <c r="G611" s="17">
        <v>1893</v>
      </c>
      <c r="H611" s="17"/>
      <c r="I611" s="17"/>
      <c r="J611" s="17">
        <v>1912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1893</v>
      </c>
      <c r="M611" s="17">
        <f aca="false">IF($H611="","",$H611+$K611)</f>
        <v/>
      </c>
      <c r="N611" s="17">
        <f aca="false">IF($J611="","",$J611+$K611)</f>
        <v>1912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C611" s="3"/>
    </row>
    <row r="612" s="22" collapsed="false" customFormat="true" customHeight="true" hidden="false" ht="28.5" outlineLevel="0">
      <c r="A612" s="16">
        <f aca="false">IF($T612="","",1+COUNTIF($W$15:$W$895,"&lt;"&amp;W612))</f>
        <v/>
      </c>
      <c r="B612" s="16" t="s">
        <v>14</v>
      </c>
      <c r="C612" s="16" t="s">
        <v>1602</v>
      </c>
      <c r="D612" s="16" t="s">
        <v>45</v>
      </c>
      <c r="E612" s="16" t="s">
        <v>26</v>
      </c>
      <c r="F612" s="16" t="s">
        <v>1603</v>
      </c>
      <c r="G612" s="17">
        <v>1894</v>
      </c>
      <c r="H612" s="17"/>
      <c r="I612" s="17"/>
      <c r="J612" s="17">
        <v>1892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1894</v>
      </c>
      <c r="M612" s="17">
        <f aca="false">IF($H612="","",$H612+$K612)</f>
        <v/>
      </c>
      <c r="N612" s="17">
        <f aca="false">IF($J612="","",$J612+$K612)</f>
        <v>1892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IF($T613="","",1+COUNTIF($W$15:$W$895,"&lt;"&amp;W613))</f>
        <v/>
      </c>
      <c r="B613" s="16" t="s">
        <v>10</v>
      </c>
      <c r="C613" s="16" t="s">
        <v>1080</v>
      </c>
      <c r="D613" s="16" t="s">
        <v>58</v>
      </c>
      <c r="E613" s="16" t="s">
        <v>26</v>
      </c>
      <c r="F613" s="16" t="s">
        <v>1081</v>
      </c>
      <c r="G613" s="17">
        <v>1894</v>
      </c>
      <c r="H613" s="17"/>
      <c r="I613" s="17"/>
      <c r="J613" s="17">
        <v>1892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1894</v>
      </c>
      <c r="M613" s="17">
        <f aca="false">IF($H613="","",$H613+$K613)</f>
        <v/>
      </c>
      <c r="N613" s="17">
        <f aca="false">IF($J613="","",$J613+$K613)</f>
        <v>1892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IF($T614="","",1+COUNTIF($W$15:$W$895,"&lt;"&amp;W614))</f>
        <v/>
      </c>
      <c r="B614" s="16" t="s">
        <v>12</v>
      </c>
      <c r="C614" s="16" t="s">
        <v>470</v>
      </c>
      <c r="D614" s="20" t="s">
        <v>45</v>
      </c>
      <c r="E614" s="16" t="s">
        <v>62</v>
      </c>
      <c r="F614" s="16" t="s">
        <v>473</v>
      </c>
      <c r="G614" s="17">
        <v>1894</v>
      </c>
      <c r="H614" s="17"/>
      <c r="I614" s="17"/>
      <c r="J614" s="17">
        <v>1894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1894</v>
      </c>
      <c r="M614" s="17">
        <f aca="false">IF($H614="","",$H614+$K614)</f>
        <v/>
      </c>
      <c r="N614" s="17">
        <f aca="false">IF($J614="","",$J614+$K614)</f>
        <v>1894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IF($T615="","",1+COUNTIF($W$15:$W$895,"&lt;"&amp;W615))</f>
        <v/>
      </c>
      <c r="B615" s="16" t="s">
        <v>12</v>
      </c>
      <c r="C615" s="16" t="s">
        <v>1078</v>
      </c>
      <c r="D615" s="20" t="s">
        <v>58</v>
      </c>
      <c r="E615" s="16" t="s">
        <v>26</v>
      </c>
      <c r="F615" s="16" t="s">
        <v>1079</v>
      </c>
      <c r="G615" s="17">
        <v>1894</v>
      </c>
      <c r="H615" s="17"/>
      <c r="I615" s="17"/>
      <c r="J615" s="17">
        <v>1894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1894</v>
      </c>
      <c r="M615" s="17">
        <f aca="false">IF($H615="","",$H615+$K615)</f>
        <v/>
      </c>
      <c r="N615" s="17">
        <f aca="false">IF($J615="","",$J615+$K615)</f>
        <v>1894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22" collapsed="false" customFormat="true" customHeight="true" hidden="false" ht="28.5" outlineLevel="0">
      <c r="A616" s="16">
        <f aca="false">IF($T616="","",1+COUNTIF($W$15:$W$895,"&lt;"&amp;W616))</f>
        <v/>
      </c>
      <c r="B616" s="16" t="s">
        <v>12</v>
      </c>
      <c r="C616" s="16" t="s">
        <v>1632</v>
      </c>
      <c r="D616" s="20" t="s">
        <v>45</v>
      </c>
      <c r="E616" s="16" t="s">
        <v>26</v>
      </c>
      <c r="F616" s="16" t="s">
        <v>1633</v>
      </c>
      <c r="G616" s="17">
        <v>1894</v>
      </c>
      <c r="H616" s="17"/>
      <c r="I616" s="17"/>
      <c r="J616" s="17">
        <v>1894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1894</v>
      </c>
      <c r="M616" s="17">
        <f aca="false">IF($H616="","",$H616+$K616)</f>
        <v/>
      </c>
      <c r="N616" s="17">
        <f aca="false">IF($J616="","",$J616+$K616)</f>
        <v>1894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IF($T617="","",1+COUNTIF($W$15:$W$895,"&lt;"&amp;W617))</f>
        <v/>
      </c>
      <c r="B617" s="16" t="s">
        <v>18</v>
      </c>
      <c r="C617" s="16" t="s">
        <v>44</v>
      </c>
      <c r="D617" s="16" t="s">
        <v>45</v>
      </c>
      <c r="E617" s="16" t="s">
        <v>26</v>
      </c>
      <c r="F617" s="16" t="s">
        <v>46</v>
      </c>
      <c r="G617" s="17">
        <v>1895</v>
      </c>
      <c r="H617" s="17"/>
      <c r="I617" s="17"/>
      <c r="J617" s="17">
        <v>1878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1895</v>
      </c>
      <c r="M617" s="17">
        <f aca="false">IF($H617="","",$H617+$K617)</f>
        <v/>
      </c>
      <c r="N617" s="17">
        <f aca="false">IF($J617="","",$J617+$K617)</f>
        <v>1878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IF($T618="","",1+COUNTIF($W$15:$W$895,"&lt;"&amp;W618))</f>
        <v/>
      </c>
      <c r="B618" s="16" t="s">
        <v>10</v>
      </c>
      <c r="C618" s="16" t="s">
        <v>1576</v>
      </c>
      <c r="D618" s="16" t="s">
        <v>45</v>
      </c>
      <c r="E618" s="16" t="s">
        <v>62</v>
      </c>
      <c r="F618" s="16" t="s">
        <v>1577</v>
      </c>
      <c r="G618" s="17">
        <v>1895</v>
      </c>
      <c r="H618" s="17"/>
      <c r="I618" s="17"/>
      <c r="J618" s="17">
        <v>1885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1895</v>
      </c>
      <c r="M618" s="17">
        <f aca="false">IF($H618="","",$H618+$K618)</f>
        <v/>
      </c>
      <c r="N618" s="17">
        <f aca="false">IF($J618="","",$J618+$K618)</f>
        <v>1885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22" collapsed="false" customFormat="true" customHeight="true" hidden="false" ht="28.5" outlineLevel="0">
      <c r="A619" s="16">
        <f aca="false">IF($T619="","",1+COUNTIF($W$15:$W$895,"&lt;"&amp;W619))</f>
        <v/>
      </c>
      <c r="B619" s="16" t="s">
        <v>10</v>
      </c>
      <c r="C619" s="16" t="s">
        <v>1590</v>
      </c>
      <c r="D619" s="21" t="s">
        <v>81</v>
      </c>
      <c r="E619" s="16" t="s">
        <v>26</v>
      </c>
      <c r="F619" s="16" t="s">
        <v>1591</v>
      </c>
      <c r="G619" s="17">
        <v>1895</v>
      </c>
      <c r="H619" s="17"/>
      <c r="I619" s="17"/>
      <c r="J619" s="17">
        <v>1885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1895</v>
      </c>
      <c r="M619" s="17">
        <f aca="false">IF($H619="","",$H619+$K619)</f>
        <v/>
      </c>
      <c r="N619" s="17">
        <f aca="false">IF($J619="","",$J619+$K619)</f>
        <v>1885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IF($T620="","",1+COUNTIF($W$15:$W$895,"&lt;"&amp;W620))</f>
        <v/>
      </c>
      <c r="B620" s="16" t="s">
        <v>6</v>
      </c>
      <c r="C620" s="16" t="s">
        <v>172</v>
      </c>
      <c r="D620" s="16" t="s">
        <v>61</v>
      </c>
      <c r="E620" s="16" t="s">
        <v>26</v>
      </c>
      <c r="F620" s="16" t="s">
        <v>173</v>
      </c>
      <c r="G620" s="17">
        <v>1895</v>
      </c>
      <c r="H620" s="17"/>
      <c r="I620" s="17"/>
      <c r="J620" s="17">
        <v>1895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1895</v>
      </c>
      <c r="M620" s="17">
        <f aca="false">IF($H620="","",$H620+$K620)</f>
        <v/>
      </c>
      <c r="N620" s="17">
        <f aca="false">IF($J620="","",$J620+$K620)</f>
        <v>1895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6" collapsed="false" customFormat="true" customHeight="true" hidden="false" ht="28.5" outlineLevel="0">
      <c r="A621" s="16">
        <f aca="false">IF($T621="","",1+COUNTIF($W$15:$W$895,"&lt;"&amp;W621))</f>
        <v/>
      </c>
      <c r="B621" s="16" t="s">
        <v>6</v>
      </c>
      <c r="C621" s="16" t="s">
        <v>1250</v>
      </c>
      <c r="D621" s="21" t="s">
        <v>81</v>
      </c>
      <c r="E621" s="16" t="s">
        <v>26</v>
      </c>
      <c r="F621" s="16" t="s">
        <v>1251</v>
      </c>
      <c r="G621" s="17">
        <v>1895</v>
      </c>
      <c r="H621" s="17"/>
      <c r="I621" s="17"/>
      <c r="J621" s="17">
        <v>1895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1895</v>
      </c>
      <c r="M621" s="17">
        <f aca="false">IF($H621="","",$H621+$K621)</f>
        <v/>
      </c>
      <c r="N621" s="17">
        <f aca="false">IF($J621="","",$J621+$K621)</f>
        <v>1895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C621" s="3"/>
    </row>
    <row r="622" s="5" collapsed="false" customFormat="true" customHeight="true" hidden="false" ht="28.5" outlineLevel="0">
      <c r="A622" s="16">
        <f aca="false">IF($T622="","",1+COUNTIF($W$15:$W$895,"&lt;"&amp;W622))</f>
        <v/>
      </c>
      <c r="B622" s="16" t="s">
        <v>16</v>
      </c>
      <c r="C622" s="16" t="s">
        <v>458</v>
      </c>
      <c r="D622" s="21" t="s">
        <v>81</v>
      </c>
      <c r="E622" s="16" t="s">
        <v>26</v>
      </c>
      <c r="F622" s="16" t="s">
        <v>459</v>
      </c>
      <c r="G622" s="17">
        <v>1895</v>
      </c>
      <c r="H622" s="17"/>
      <c r="I622" s="17"/>
      <c r="J622" s="17">
        <v>1895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1895</v>
      </c>
      <c r="M622" s="17">
        <f aca="false">IF($H622="","",$H622+$K622)</f>
        <v/>
      </c>
      <c r="N622" s="17">
        <f aca="false">IF($J622="","",$J622+$K622)</f>
        <v>1895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22" collapsed="false" customFormat="true" customHeight="true" hidden="false" ht="28.5" outlineLevel="0">
      <c r="A623" s="16">
        <f aca="false">IF($T623="","",1+COUNTIF($W$15:$W$895,"&lt;"&amp;W623))</f>
        <v/>
      </c>
      <c r="B623" s="16" t="s">
        <v>16</v>
      </c>
      <c r="C623" s="16" t="s">
        <v>1711</v>
      </c>
      <c r="D623" s="21" t="s">
        <v>81</v>
      </c>
      <c r="E623" s="16" t="s">
        <v>26</v>
      </c>
      <c r="F623" s="16" t="s">
        <v>1712</v>
      </c>
      <c r="G623" s="17">
        <v>1895</v>
      </c>
      <c r="H623" s="17"/>
      <c r="I623" s="17"/>
      <c r="J623" s="17">
        <v>1895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1895</v>
      </c>
      <c r="M623" s="17">
        <f aca="false">IF($H623="","",$H623+$K623)</f>
        <v/>
      </c>
      <c r="N623" s="17">
        <f aca="false">IF($J623="","",$J623+$K623)</f>
        <v>1895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IF($T624="","",1+COUNTIF($W$15:$W$895,"&lt;"&amp;W624))</f>
        <v/>
      </c>
      <c r="B624" s="16" t="s">
        <v>8</v>
      </c>
      <c r="C624" s="16" t="s">
        <v>1064</v>
      </c>
      <c r="D624" s="21" t="s">
        <v>81</v>
      </c>
      <c r="E624" s="16" t="s">
        <v>26</v>
      </c>
      <c r="F624" s="16" t="s">
        <v>1065</v>
      </c>
      <c r="G624" s="17">
        <v>1895</v>
      </c>
      <c r="H624" s="17"/>
      <c r="I624" s="17"/>
      <c r="J624" s="17">
        <v>1895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1895</v>
      </c>
      <c r="M624" s="17">
        <f aca="false">IF($H624="","",$H624+$K624)</f>
        <v/>
      </c>
      <c r="N624" s="17">
        <f aca="false">IF($J624="","",$J624+$K624)</f>
        <v>1895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IF($T625="","",1+COUNTIF($W$15:$W$895,"&lt;"&amp;W625))</f>
        <v/>
      </c>
      <c r="B625" s="16" t="s">
        <v>12</v>
      </c>
      <c r="C625" s="16" t="s">
        <v>168</v>
      </c>
      <c r="D625" s="20" t="s">
        <v>58</v>
      </c>
      <c r="E625" s="16" t="s">
        <v>26</v>
      </c>
      <c r="F625" s="16" t="s">
        <v>169</v>
      </c>
      <c r="G625" s="17">
        <v>1895</v>
      </c>
      <c r="H625" s="17"/>
      <c r="I625" s="17"/>
      <c r="J625" s="17">
        <v>1895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1895</v>
      </c>
      <c r="M625" s="17">
        <f aca="false">IF($H625="","",$H625+$K625)</f>
        <v/>
      </c>
      <c r="N625" s="17">
        <f aca="false">IF($J625="","",$J625+$K625)</f>
        <v>1895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6" collapsed="false" customFormat="true" customHeight="true" hidden="false" ht="28.5" outlineLevel="0">
      <c r="A626" s="16">
        <f aca="false">IF($T626="","",1+COUNTIF($W$15:$W$895,"&lt;"&amp;W626))</f>
        <v/>
      </c>
      <c r="B626" s="16" t="s">
        <v>12</v>
      </c>
      <c r="C626" s="16" t="s">
        <v>334</v>
      </c>
      <c r="D626" s="20" t="s">
        <v>45</v>
      </c>
      <c r="E626" s="16" t="s">
        <v>26</v>
      </c>
      <c r="F626" s="16" t="s">
        <v>335</v>
      </c>
      <c r="G626" s="17">
        <v>1895</v>
      </c>
      <c r="H626" s="17"/>
      <c r="I626" s="17"/>
      <c r="J626" s="17">
        <v>1895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1895</v>
      </c>
      <c r="M626" s="17">
        <f aca="false">IF($H626="","",$H626+$K626)</f>
        <v/>
      </c>
      <c r="N626" s="17">
        <f aca="false">IF($J626="","",$J626+$K626)</f>
        <v>1895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C626" s="3"/>
    </row>
    <row r="627" s="22" collapsed="false" customFormat="true" customHeight="true" hidden="false" ht="28.5" outlineLevel="0">
      <c r="A627" s="16">
        <f aca="false">IF($T627="","",1+COUNTIF($W$15:$W$895,"&lt;"&amp;W627))</f>
        <v/>
      </c>
      <c r="B627" s="16" t="s">
        <v>10</v>
      </c>
      <c r="C627" s="16" t="s">
        <v>1430</v>
      </c>
      <c r="D627" s="16" t="s">
        <v>61</v>
      </c>
      <c r="E627" s="16" t="s">
        <v>26</v>
      </c>
      <c r="F627" s="16" t="s">
        <v>1431</v>
      </c>
      <c r="G627" s="17">
        <v>1895</v>
      </c>
      <c r="H627" s="17"/>
      <c r="I627" s="17"/>
      <c r="J627" s="17">
        <v>1895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1895</v>
      </c>
      <c r="M627" s="17">
        <f aca="false">IF($H627="","",$H627+$K627)</f>
        <v/>
      </c>
      <c r="N627" s="17">
        <f aca="false">IF($J627="","",$J627+$K627)</f>
        <v>1895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6" collapsed="false" customFormat="true" customHeight="true" hidden="false" ht="28.5" outlineLevel="0">
      <c r="A628" s="16">
        <f aca="false">IF($T628="","",1+COUNTIF($W$15:$W$895,"&lt;"&amp;W628))</f>
        <v/>
      </c>
      <c r="B628" s="16" t="s">
        <v>14</v>
      </c>
      <c r="C628" s="16" t="s">
        <v>310</v>
      </c>
      <c r="D628" s="16" t="s">
        <v>58</v>
      </c>
      <c r="E628" s="16" t="s">
        <v>62</v>
      </c>
      <c r="F628" s="16" t="s">
        <v>311</v>
      </c>
      <c r="G628" s="17">
        <v>1895</v>
      </c>
      <c r="H628" s="17"/>
      <c r="I628" s="17"/>
      <c r="J628" s="17">
        <v>1929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1895</v>
      </c>
      <c r="M628" s="17">
        <f aca="false">IF($H628="","",$H628+$K628)</f>
        <v/>
      </c>
      <c r="N628" s="17">
        <f aca="false">IF($J628="","",$J628+$K628)</f>
        <v>1929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C628" s="3"/>
    </row>
    <row r="629" s="6" collapsed="false" customFormat="true" customHeight="true" hidden="false" ht="28.5" outlineLevel="0">
      <c r="A629" s="16">
        <f aca="false">IF($T629="","",1+COUNTIF($W$15:$W$895,"&lt;"&amp;W629))</f>
        <v/>
      </c>
      <c r="B629" s="16" t="s">
        <v>10</v>
      </c>
      <c r="C629" s="16" t="s">
        <v>1074</v>
      </c>
      <c r="D629" s="21" t="s">
        <v>81</v>
      </c>
      <c r="E629" s="16" t="s">
        <v>26</v>
      </c>
      <c r="F629" s="16" t="s">
        <v>1075</v>
      </c>
      <c r="G629" s="17">
        <v>1897</v>
      </c>
      <c r="H629" s="17"/>
      <c r="I629" s="17"/>
      <c r="J629" s="17">
        <v>1894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1897</v>
      </c>
      <c r="M629" s="17">
        <f aca="false">IF($H629="","",$H629+$K629)</f>
        <v/>
      </c>
      <c r="N629" s="17">
        <f aca="false">IF($J629="","",$J629+$K629)</f>
        <v>1894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C629" s="3"/>
    </row>
    <row r="630" s="22" collapsed="false" customFormat="true" customHeight="true" hidden="false" ht="28.5" outlineLevel="0">
      <c r="A630" s="16">
        <f aca="false">IF($T630="","",1+COUNTIF($W$15:$W$895,"&lt;"&amp;W630))</f>
        <v/>
      </c>
      <c r="B630" s="16" t="s">
        <v>10</v>
      </c>
      <c r="C630" s="16" t="s">
        <v>1387</v>
      </c>
      <c r="D630" s="21" t="s">
        <v>81</v>
      </c>
      <c r="E630" s="16" t="s">
        <v>26</v>
      </c>
      <c r="F630" s="16" t="s">
        <v>1388</v>
      </c>
      <c r="G630" s="17">
        <v>1897</v>
      </c>
      <c r="H630" s="17"/>
      <c r="I630" s="17"/>
      <c r="J630" s="17">
        <v>1897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1897</v>
      </c>
      <c r="M630" s="17">
        <f aca="false">IF($H630="","",$H630+$K630)</f>
        <v/>
      </c>
      <c r="N630" s="17">
        <f aca="false">IF($J630="","",$J630+$K630)</f>
        <v>1897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6" collapsed="false" customFormat="true" customHeight="true" hidden="false" ht="28.5" outlineLevel="0">
      <c r="A631" s="16">
        <f aca="false">IF($T631="","",1+COUNTIF($W$15:$W$895,"&lt;"&amp;W631))</f>
        <v/>
      </c>
      <c r="B631" s="16" t="s">
        <v>18</v>
      </c>
      <c r="C631" s="16" t="s">
        <v>304</v>
      </c>
      <c r="D631" s="16" t="s">
        <v>58</v>
      </c>
      <c r="E631" s="16" t="s">
        <v>26</v>
      </c>
      <c r="F631" s="16" t="s">
        <v>305</v>
      </c>
      <c r="G631" s="17">
        <v>1898</v>
      </c>
      <c r="H631" s="17"/>
      <c r="I631" s="17"/>
      <c r="J631" s="17">
        <v>1878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1898</v>
      </c>
      <c r="M631" s="17">
        <f aca="false">IF($H631="","",$H631+$K631)</f>
        <v/>
      </c>
      <c r="N631" s="17">
        <f aca="false">IF($J631="","",$J631+$K631)</f>
        <v>1878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C631" s="3"/>
    </row>
    <row r="632" s="22" collapsed="false" customFormat="true" customHeight="true" hidden="false" ht="28.5" outlineLevel="0">
      <c r="A632" s="16">
        <f aca="false">IF($T632="","",1+COUNTIF($W$15:$W$895,"&lt;"&amp;W632))</f>
        <v/>
      </c>
      <c r="B632" s="16" t="s">
        <v>8</v>
      </c>
      <c r="C632" s="16" t="s">
        <v>1519</v>
      </c>
      <c r="D632" s="16" t="s">
        <v>58</v>
      </c>
      <c r="E632" s="16" t="s">
        <v>62</v>
      </c>
      <c r="F632" s="16" t="s">
        <v>1521</v>
      </c>
      <c r="G632" s="17">
        <v>1898</v>
      </c>
      <c r="H632" s="17"/>
      <c r="I632" s="17"/>
      <c r="J632" s="17">
        <v>1887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1898</v>
      </c>
      <c r="M632" s="17">
        <f aca="false">IF($H632="","",$H632+$K632)</f>
        <v/>
      </c>
      <c r="N632" s="17">
        <f aca="false">IF($J632="","",$J632+$K632)</f>
        <v>1887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IF($T633="","",1+COUNTIF($W$15:$W$895,"&lt;"&amp;W633))</f>
        <v/>
      </c>
      <c r="B633" s="16" t="s">
        <v>16</v>
      </c>
      <c r="C633" s="16" t="s">
        <v>623</v>
      </c>
      <c r="D633" s="16" t="s">
        <v>45</v>
      </c>
      <c r="E633" s="16" t="s">
        <v>26</v>
      </c>
      <c r="F633" s="16" t="s">
        <v>624</v>
      </c>
      <c r="G633" s="17">
        <v>1898</v>
      </c>
      <c r="H633" s="17"/>
      <c r="I633" s="17"/>
      <c r="J633" s="17">
        <v>1898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1898</v>
      </c>
      <c r="M633" s="17">
        <f aca="false">IF($H633="","",$H633+$K633)</f>
        <v/>
      </c>
      <c r="N633" s="17">
        <f aca="false">IF($J633="","",$J633+$K633)</f>
        <v>1898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IF($T634="","",1+COUNTIF($W$15:$W$895,"&lt;"&amp;W634))</f>
        <v/>
      </c>
      <c r="B634" s="16" t="s">
        <v>12</v>
      </c>
      <c r="C634" s="16" t="s">
        <v>511</v>
      </c>
      <c r="D634" s="20" t="s">
        <v>61</v>
      </c>
      <c r="E634" s="16" t="s">
        <v>26</v>
      </c>
      <c r="F634" s="16" t="s">
        <v>512</v>
      </c>
      <c r="G634" s="17">
        <v>1898</v>
      </c>
      <c r="H634" s="17"/>
      <c r="I634" s="17"/>
      <c r="J634" s="17">
        <v>1898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1898</v>
      </c>
      <c r="M634" s="17">
        <f aca="false">IF($H634="","",$H634+$K634)</f>
        <v/>
      </c>
      <c r="N634" s="17">
        <f aca="false">IF($J634="","",$J634+$K634)</f>
        <v>1898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IF($T635="","",1+COUNTIF($W$15:$W$895,"&lt;"&amp;W635))</f>
        <v/>
      </c>
      <c r="B635" s="16" t="s">
        <v>10</v>
      </c>
      <c r="C635" s="16" t="s">
        <v>1214</v>
      </c>
      <c r="D635" s="21" t="s">
        <v>81</v>
      </c>
      <c r="E635" s="16" t="s">
        <v>26</v>
      </c>
      <c r="F635" s="16" t="s">
        <v>1215</v>
      </c>
      <c r="G635" s="17">
        <v>1898</v>
      </c>
      <c r="H635" s="17"/>
      <c r="I635" s="17"/>
      <c r="J635" s="17">
        <v>1898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1898</v>
      </c>
      <c r="M635" s="17">
        <f aca="false">IF($H635="","",$H635+$K635)</f>
        <v/>
      </c>
      <c r="N635" s="17">
        <f aca="false">IF($J635="","",$J635+$K635)</f>
        <v>1898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IF($T636="","",1+COUNTIF($W$15:$W$895,"&lt;"&amp;W636))</f>
        <v/>
      </c>
      <c r="B636" s="16" t="s">
        <v>12</v>
      </c>
      <c r="C636" s="16" t="s">
        <v>485</v>
      </c>
      <c r="D636" s="20" t="s">
        <v>45</v>
      </c>
      <c r="E636" s="16" t="s">
        <v>26</v>
      </c>
      <c r="F636" s="16" t="s">
        <v>486</v>
      </c>
      <c r="G636" s="17">
        <v>1899</v>
      </c>
      <c r="H636" s="17"/>
      <c r="I636" s="17"/>
      <c r="J636" s="17">
        <v>1799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1899</v>
      </c>
      <c r="M636" s="17">
        <f aca="false">IF($H636="","",$H636+$K636)</f>
        <v/>
      </c>
      <c r="N636" s="17">
        <f aca="false">IF($J636="","",$J636+$K636)</f>
        <v>1799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IF($T637="","",1+COUNTIF($W$15:$W$895,"&lt;"&amp;W637))</f>
        <v/>
      </c>
      <c r="B637" s="16" t="s">
        <v>12</v>
      </c>
      <c r="C637" s="16" t="s">
        <v>1084</v>
      </c>
      <c r="D637" s="20" t="s">
        <v>45</v>
      </c>
      <c r="E637" s="16" t="s">
        <v>26</v>
      </c>
      <c r="F637" s="16" t="s">
        <v>1085</v>
      </c>
      <c r="G637" s="17">
        <v>1899</v>
      </c>
      <c r="H637" s="17"/>
      <c r="I637" s="17"/>
      <c r="J637" s="17">
        <v>1879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1899</v>
      </c>
      <c r="M637" s="17">
        <f aca="false">IF($H637="","",$H637+$K637)</f>
        <v/>
      </c>
      <c r="N637" s="17">
        <f aca="false">IF($J637="","",$J637+$K637)</f>
        <v>1879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IF($T638="","",1+COUNTIF($W$15:$W$895,"&lt;"&amp;W638))</f>
        <v/>
      </c>
      <c r="B638" s="16" t="s">
        <v>10</v>
      </c>
      <c r="C638" s="16" t="s">
        <v>652</v>
      </c>
      <c r="D638" s="16" t="s">
        <v>61</v>
      </c>
      <c r="E638" s="16" t="s">
        <v>26</v>
      </c>
      <c r="F638" s="16" t="s">
        <v>653</v>
      </c>
      <c r="G638" s="17">
        <v>1899</v>
      </c>
      <c r="H638" s="17"/>
      <c r="I638" s="17"/>
      <c r="J638" s="17">
        <v>1889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1899</v>
      </c>
      <c r="M638" s="17">
        <f aca="false">IF($H638="","",$H638+$K638)</f>
        <v/>
      </c>
      <c r="N638" s="17">
        <f aca="false">IF($J638="","",$J638+$K638)</f>
        <v>1889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IF($T639="","",1+COUNTIF($W$15:$W$895,"&lt;"&amp;W639))</f>
        <v/>
      </c>
      <c r="B639" s="16" t="s">
        <v>10</v>
      </c>
      <c r="C639" s="16" t="s">
        <v>773</v>
      </c>
      <c r="D639" s="16" t="s">
        <v>45</v>
      </c>
      <c r="E639" s="16" t="s">
        <v>26</v>
      </c>
      <c r="F639" s="16" t="s">
        <v>774</v>
      </c>
      <c r="G639" s="17">
        <v>1899</v>
      </c>
      <c r="H639" s="17"/>
      <c r="I639" s="17"/>
      <c r="J639" s="17">
        <v>1889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1899</v>
      </c>
      <c r="M639" s="17">
        <f aca="false">IF($H639="","",$H639+$K639)</f>
        <v/>
      </c>
      <c r="N639" s="17">
        <f aca="false">IF($J639="","",$J639+$K639)</f>
        <v>1889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22" collapsed="false" customFormat="true" customHeight="true" hidden="false" ht="28.5" outlineLevel="0">
      <c r="A640" s="16">
        <f aca="false">IF($T640="","",1+COUNTIF($W$15:$W$895,"&lt;"&amp;W640))</f>
        <v/>
      </c>
      <c r="B640" s="16" t="s">
        <v>10</v>
      </c>
      <c r="C640" s="16" t="s">
        <v>1196</v>
      </c>
      <c r="D640" s="16" t="s">
        <v>45</v>
      </c>
      <c r="E640" s="16" t="s">
        <v>26</v>
      </c>
      <c r="F640" s="16" t="s">
        <v>1197</v>
      </c>
      <c r="G640" s="17">
        <v>1899</v>
      </c>
      <c r="H640" s="17"/>
      <c r="I640" s="17"/>
      <c r="J640" s="17">
        <v>1889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1899</v>
      </c>
      <c r="M640" s="17">
        <f aca="false">IF($H640="","",$H640+$K640)</f>
        <v/>
      </c>
      <c r="N640" s="17">
        <f aca="false">IF($J640="","",$J640+$K640)</f>
        <v>1889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22" collapsed="false" customFormat="true" customHeight="true" hidden="false" ht="28.5" outlineLevel="0">
      <c r="A641" s="16">
        <f aca="false">IF($T641="","",1+COUNTIF($W$15:$W$895,"&lt;"&amp;W641))</f>
        <v/>
      </c>
      <c r="B641" s="16" t="s">
        <v>10</v>
      </c>
      <c r="C641" s="16" t="s">
        <v>1232</v>
      </c>
      <c r="D641" s="16" t="s">
        <v>48</v>
      </c>
      <c r="E641" s="16" t="s">
        <v>26</v>
      </c>
      <c r="F641" s="16" t="s">
        <v>1233</v>
      </c>
      <c r="G641" s="17">
        <v>1899</v>
      </c>
      <c r="H641" s="17"/>
      <c r="I641" s="17"/>
      <c r="J641" s="17">
        <v>1889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1899</v>
      </c>
      <c r="M641" s="17">
        <f aca="false">IF($H641="","",$H641+$K641)</f>
        <v/>
      </c>
      <c r="N641" s="17">
        <f aca="false">IF($J641="","",$J641+$K641)</f>
        <v>1889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IF($T642="","",1+COUNTIF($W$15:$W$895,"&lt;"&amp;W642))</f>
        <v/>
      </c>
      <c r="B642" s="16" t="s">
        <v>10</v>
      </c>
      <c r="C642" s="16" t="s">
        <v>731</v>
      </c>
      <c r="D642" s="21" t="s">
        <v>81</v>
      </c>
      <c r="E642" s="16" t="s">
        <v>62</v>
      </c>
      <c r="F642" s="16" t="s">
        <v>732</v>
      </c>
      <c r="G642" s="17">
        <v>1899</v>
      </c>
      <c r="H642" s="17"/>
      <c r="I642" s="17"/>
      <c r="J642" s="17">
        <v>1895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1899</v>
      </c>
      <c r="M642" s="17">
        <f aca="false">IF($H642="","",$H642+$K642)</f>
        <v/>
      </c>
      <c r="N642" s="17">
        <f aca="false">IF($J642="","",$J642+$K642)</f>
        <v>1895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IF($T643="","",1+COUNTIF($W$15:$W$895,"&lt;"&amp;W643))</f>
        <v/>
      </c>
      <c r="B643" s="16" t="s">
        <v>18</v>
      </c>
      <c r="C643" s="16" t="s">
        <v>1669</v>
      </c>
      <c r="D643" s="16" t="s">
        <v>58</v>
      </c>
      <c r="E643" s="16" t="s">
        <v>62</v>
      </c>
      <c r="F643" s="16" t="s">
        <v>1670</v>
      </c>
      <c r="G643" s="17">
        <v>1899</v>
      </c>
      <c r="H643" s="17"/>
      <c r="I643" s="17"/>
      <c r="J643" s="17">
        <v>1897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1899</v>
      </c>
      <c r="M643" s="17">
        <f aca="false">IF($H643="","",$H643+$K643)</f>
        <v/>
      </c>
      <c r="N643" s="17">
        <f aca="false">IF($J643="","",$J643+$K643)</f>
        <v>1897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6" collapsed="false" customFormat="true" customHeight="true" hidden="false" ht="28.5" outlineLevel="0">
      <c r="A644" s="16">
        <f aca="false">IF($T644="","",1+COUNTIF($W$15:$W$895,"&lt;"&amp;W644))</f>
        <v/>
      </c>
      <c r="B644" s="16" t="s">
        <v>16</v>
      </c>
      <c r="C644" s="16" t="s">
        <v>1178</v>
      </c>
      <c r="D644" s="16" t="s">
        <v>61</v>
      </c>
      <c r="E644" s="16" t="s">
        <v>26</v>
      </c>
      <c r="F644" s="16" t="s">
        <v>1179</v>
      </c>
      <c r="G644" s="17">
        <v>1899</v>
      </c>
      <c r="H644" s="17"/>
      <c r="I644" s="17"/>
      <c r="J644" s="17">
        <v>1899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1899</v>
      </c>
      <c r="M644" s="17">
        <f aca="false">IF($H644="","",$H644+$K644)</f>
        <v/>
      </c>
      <c r="N644" s="17">
        <f aca="false">IF($J644="","",$J644+$K644)</f>
        <v>1899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 aca="false">IF($T645="","",1+COUNTIF($W$15:$W$895,"&lt;"&amp;W645))</f>
        <v/>
      </c>
      <c r="B645" s="16" t="s">
        <v>16</v>
      </c>
      <c r="C645" s="16" t="s">
        <v>1333</v>
      </c>
      <c r="D645" s="16" t="s">
        <v>45</v>
      </c>
      <c r="E645" s="16" t="s">
        <v>26</v>
      </c>
      <c r="F645" s="16" t="s">
        <v>1334</v>
      </c>
      <c r="G645" s="17">
        <v>1899</v>
      </c>
      <c r="H645" s="17"/>
      <c r="I645" s="17"/>
      <c r="J645" s="17">
        <v>1899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1899</v>
      </c>
      <c r="M645" s="17">
        <f aca="false">IF($H645="","",$H645+$K645)</f>
        <v/>
      </c>
      <c r="N645" s="17">
        <f aca="false">IF($J645="","",$J645+$K645)</f>
        <v>1899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IF($T646="","",1+COUNTIF($W$15:$W$895,"&lt;"&amp;W646))</f>
        <v/>
      </c>
      <c r="B646" s="16" t="s">
        <v>8</v>
      </c>
      <c r="C646" s="16" t="s">
        <v>150</v>
      </c>
      <c r="D646" s="21" t="s">
        <v>81</v>
      </c>
      <c r="E646" s="16" t="s">
        <v>26</v>
      </c>
      <c r="F646" s="16" t="s">
        <v>151</v>
      </c>
      <c r="G646" s="17">
        <v>1899</v>
      </c>
      <c r="H646" s="17"/>
      <c r="I646" s="17"/>
      <c r="J646" s="17">
        <v>1899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1899</v>
      </c>
      <c r="M646" s="17">
        <f aca="false">IF($H646="","",$H646+$K646)</f>
        <v/>
      </c>
      <c r="N646" s="17">
        <f aca="false">IF($J646="","",$J646+$K646)</f>
        <v>1899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IF($T647="","",1+COUNTIF($W$15:$W$895,"&lt;"&amp;W647))</f>
        <v/>
      </c>
      <c r="B647" s="16" t="s">
        <v>8</v>
      </c>
      <c r="C647" s="16" t="s">
        <v>985</v>
      </c>
      <c r="D647" s="16" t="s">
        <v>72</v>
      </c>
      <c r="E647" s="16" t="s">
        <v>26</v>
      </c>
      <c r="F647" s="16" t="s">
        <v>1796</v>
      </c>
      <c r="G647" s="17">
        <v>1899</v>
      </c>
      <c r="H647" s="17"/>
      <c r="I647" s="17"/>
      <c r="J647" s="17">
        <v>1899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1899</v>
      </c>
      <c r="M647" s="17">
        <f aca="false">IF($H647="","",$H647+$K647)</f>
        <v/>
      </c>
      <c r="N647" s="17">
        <f aca="false">IF($J647="","",$J647+$K647)</f>
        <v>1899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IF($T648="","",1+COUNTIF($W$15:$W$895,"&lt;"&amp;W648))</f>
        <v/>
      </c>
      <c r="B648" s="16" t="s">
        <v>14</v>
      </c>
      <c r="C648" s="16" t="s">
        <v>1142</v>
      </c>
      <c r="D648" s="16" t="s">
        <v>45</v>
      </c>
      <c r="E648" s="16" t="s">
        <v>26</v>
      </c>
      <c r="F648" s="16" t="s">
        <v>1143</v>
      </c>
      <c r="G648" s="17">
        <v>1899</v>
      </c>
      <c r="H648" s="17"/>
      <c r="I648" s="17"/>
      <c r="J648" s="17">
        <v>1899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1899</v>
      </c>
      <c r="M648" s="17">
        <f aca="false">IF($H648="","",$H648+$K648)</f>
        <v/>
      </c>
      <c r="N648" s="17">
        <f aca="false">IF($J648="","",$J648+$K648)</f>
        <v>1899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22" collapsed="false" customFormat="true" customHeight="true" hidden="false" ht="28.5" outlineLevel="0">
      <c r="A649" s="16">
        <f aca="false">IF($T649="","",1+COUNTIF($W$15:$W$895,"&lt;"&amp;W649))</f>
        <v/>
      </c>
      <c r="B649" s="16" t="s">
        <v>12</v>
      </c>
      <c r="C649" s="16" t="s">
        <v>1505</v>
      </c>
      <c r="D649" s="20" t="s">
        <v>61</v>
      </c>
      <c r="E649" s="16" t="s">
        <v>26</v>
      </c>
      <c r="F649" s="16" t="s">
        <v>1506</v>
      </c>
      <c r="G649" s="17">
        <v>1899</v>
      </c>
      <c r="H649" s="17"/>
      <c r="I649" s="17"/>
      <c r="J649" s="17">
        <v>1899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1899</v>
      </c>
      <c r="M649" s="17">
        <f aca="false">IF($H649="","",$H649+$K649)</f>
        <v/>
      </c>
      <c r="N649" s="17">
        <f aca="false">IF($J649="","",$J649+$K649)</f>
        <v>1899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IF($T650="","",1+COUNTIF($W$15:$W$895,"&lt;"&amp;W650))</f>
        <v/>
      </c>
      <c r="B650" s="16" t="s">
        <v>10</v>
      </c>
      <c r="C650" s="16" t="s">
        <v>67</v>
      </c>
      <c r="D650" s="16" t="s">
        <v>45</v>
      </c>
      <c r="E650" s="16" t="s">
        <v>26</v>
      </c>
      <c r="F650" s="16" t="s">
        <v>68</v>
      </c>
      <c r="G650" s="17">
        <v>1899</v>
      </c>
      <c r="H650" s="17"/>
      <c r="I650" s="17"/>
      <c r="J650" s="17">
        <v>1899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1899</v>
      </c>
      <c r="M650" s="17">
        <f aca="false">IF($H650="","",$H650+$K650)</f>
        <v/>
      </c>
      <c r="N650" s="17">
        <f aca="false">IF($J650="","",$J650+$K650)</f>
        <v>1899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IF($T651="","",1+COUNTIF($W$15:$W$895,"&lt;"&amp;W651))</f>
        <v/>
      </c>
      <c r="B651" s="16" t="s">
        <v>10</v>
      </c>
      <c r="C651" s="16" t="s">
        <v>763</v>
      </c>
      <c r="D651" s="16" t="s">
        <v>45</v>
      </c>
      <c r="E651" s="16" t="s">
        <v>26</v>
      </c>
      <c r="F651" s="16" t="s">
        <v>764</v>
      </c>
      <c r="G651" s="17">
        <v>1899</v>
      </c>
      <c r="H651" s="17"/>
      <c r="I651" s="17"/>
      <c r="J651" s="17">
        <v>1899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1899</v>
      </c>
      <c r="M651" s="17">
        <f aca="false">IF($H651="","",$H651+$K651)</f>
        <v/>
      </c>
      <c r="N651" s="17">
        <f aca="false">IF($J651="","",$J651+$K651)</f>
        <v>1899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IF($T652="","",1+COUNTIF($W$15:$W$895,"&lt;"&amp;W652))</f>
        <v/>
      </c>
      <c r="B652" s="16" t="s">
        <v>16</v>
      </c>
      <c r="C652" s="16" t="s">
        <v>794</v>
      </c>
      <c r="D652" s="16" t="s">
        <v>96</v>
      </c>
      <c r="E652" s="16" t="s">
        <v>26</v>
      </c>
      <c r="F652" s="16" t="s">
        <v>795</v>
      </c>
      <c r="G652" s="17">
        <v>1899</v>
      </c>
      <c r="H652" s="17"/>
      <c r="I652" s="17"/>
      <c r="J652" s="17">
        <v>1923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1899</v>
      </c>
      <c r="M652" s="17">
        <f aca="false">IF($H652="","",$H652+$K652)</f>
        <v/>
      </c>
      <c r="N652" s="17">
        <f aca="false">IF($J652="","",$J652+$K652)</f>
        <v>1923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IF($T653="","",1+COUNTIF($W$15:$W$895,"&lt;"&amp;W653))</f>
        <v/>
      </c>
      <c r="B653" s="16" t="s">
        <v>10</v>
      </c>
      <c r="C653" s="16" t="s">
        <v>1003</v>
      </c>
      <c r="D653" s="16" t="s">
        <v>61</v>
      </c>
      <c r="E653" s="16" t="s">
        <v>62</v>
      </c>
      <c r="F653" s="16" t="s">
        <v>1004</v>
      </c>
      <c r="G653" s="17">
        <v>1899</v>
      </c>
      <c r="H653" s="17"/>
      <c r="I653" s="17"/>
      <c r="J653" s="17">
        <v>1939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1899</v>
      </c>
      <c r="M653" s="17">
        <f aca="false">IF($H653="","",$H653+$K653)</f>
        <v/>
      </c>
      <c r="N653" s="17">
        <f aca="false">IF($J653="","",$J653+$K653)</f>
        <v>1939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IF($T654="","",1+COUNTIF($W$15:$W$895,"&lt;"&amp;W654))</f>
        <v/>
      </c>
      <c r="B654" s="16" t="s">
        <v>8</v>
      </c>
      <c r="C654" s="16" t="s">
        <v>975</v>
      </c>
      <c r="D654" s="16" t="s">
        <v>72</v>
      </c>
      <c r="E654" s="16" t="s">
        <v>62</v>
      </c>
      <c r="F654" s="16" t="s">
        <v>976</v>
      </c>
      <c r="G654" s="17">
        <v>1899</v>
      </c>
      <c r="H654" s="17"/>
      <c r="I654" s="17"/>
      <c r="J654" s="17">
        <v>1970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1899</v>
      </c>
      <c r="M654" s="17">
        <f aca="false">IF($H654="","",$H654+$K654)</f>
        <v/>
      </c>
      <c r="N654" s="17">
        <f aca="false">IF($J654="","",$J654+$K654)</f>
        <v>1970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IF($T655="","",1+COUNTIF($W$15:$W$895,"&lt;"&amp;W655))</f>
        <v/>
      </c>
      <c r="B655" s="16" t="s">
        <v>16</v>
      </c>
      <c r="C655" s="16" t="s">
        <v>625</v>
      </c>
      <c r="D655" s="16" t="s">
        <v>45</v>
      </c>
      <c r="E655" s="16" t="s">
        <v>26</v>
      </c>
      <c r="F655" s="16" t="s">
        <v>626</v>
      </c>
      <c r="G655" s="17">
        <v>1900</v>
      </c>
      <c r="H655" s="17"/>
      <c r="I655" s="17"/>
      <c r="J655" s="17">
        <v>1900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1900</v>
      </c>
      <c r="M655" s="17">
        <f aca="false">IF($H655="","",$H655+$K655)</f>
        <v/>
      </c>
      <c r="N655" s="17">
        <f aca="false">IF($J655="","",$J655+$K655)</f>
        <v>1900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IF($T656="","",1+COUNTIF($W$15:$W$895,"&lt;"&amp;W656))</f>
        <v/>
      </c>
      <c r="B656" s="16" t="s">
        <v>16</v>
      </c>
      <c r="C656" s="16" t="s">
        <v>534</v>
      </c>
      <c r="D656" s="21" t="s">
        <v>81</v>
      </c>
      <c r="E656" s="16" t="s">
        <v>62</v>
      </c>
      <c r="F656" s="16" t="s">
        <v>535</v>
      </c>
      <c r="G656" s="17">
        <v>1900</v>
      </c>
      <c r="H656" s="17"/>
      <c r="I656" s="17"/>
      <c r="J656" s="17">
        <v>1940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1900</v>
      </c>
      <c r="M656" s="17">
        <f aca="false">IF($H656="","",$H656+$K656)</f>
        <v/>
      </c>
      <c r="N656" s="17">
        <f aca="false">IF($J656="","",$J656+$K656)</f>
        <v>1940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22" collapsed="false" customFormat="true" customHeight="true" hidden="false" ht="28.5" outlineLevel="0">
      <c r="A657" s="16">
        <f aca="false">IF($T657="","",1+COUNTIF($W$15:$W$895,"&lt;"&amp;W657))</f>
        <v/>
      </c>
      <c r="B657" s="16" t="s">
        <v>10</v>
      </c>
      <c r="C657" s="16" t="s">
        <v>1230</v>
      </c>
      <c r="D657" s="16" t="s">
        <v>72</v>
      </c>
      <c r="E657" s="16" t="s">
        <v>26</v>
      </c>
      <c r="F657" s="16" t="s">
        <v>1231</v>
      </c>
      <c r="G657" s="17">
        <v>1904</v>
      </c>
      <c r="H657" s="17"/>
      <c r="I657" s="17"/>
      <c r="J657" s="17">
        <v>1923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1904</v>
      </c>
      <c r="M657" s="17">
        <f aca="false">IF($H657="","",$H657+$K657)</f>
        <v/>
      </c>
      <c r="N657" s="17">
        <f aca="false">IF($J657="","",$J657+$K657)</f>
        <v>1923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IF($T658="","",1+COUNTIF($W$15:$W$895,"&lt;"&amp;W658))</f>
        <v/>
      </c>
      <c r="B658" s="16" t="s">
        <v>10</v>
      </c>
      <c r="C658" s="16" t="s">
        <v>1228</v>
      </c>
      <c r="D658" s="16" t="s">
        <v>61</v>
      </c>
      <c r="E658" s="16" t="s">
        <v>26</v>
      </c>
      <c r="F658" s="16" t="s">
        <v>1229</v>
      </c>
      <c r="G658" s="17">
        <v>1905</v>
      </c>
      <c r="H658" s="17"/>
      <c r="I658" s="17"/>
      <c r="J658" s="17">
        <v>1845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1905</v>
      </c>
      <c r="M658" s="17">
        <f aca="false">IF($H658="","",$H658+$K658)</f>
        <v/>
      </c>
      <c r="N658" s="17">
        <f aca="false">IF($J658="","",$J658+$K658)</f>
        <v>1845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IF($T659="","",1+COUNTIF($W$15:$W$895,"&lt;"&amp;W659))</f>
        <v/>
      </c>
      <c r="B659" s="16" t="s">
        <v>10</v>
      </c>
      <c r="C659" s="16" t="s">
        <v>1212</v>
      </c>
      <c r="D659" s="16" t="s">
        <v>58</v>
      </c>
      <c r="E659" s="16" t="s">
        <v>26</v>
      </c>
      <c r="F659" s="16" t="s">
        <v>1213</v>
      </c>
      <c r="G659" s="17">
        <v>1905</v>
      </c>
      <c r="H659" s="17"/>
      <c r="I659" s="17"/>
      <c r="J659" s="17">
        <v>1895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1905</v>
      </c>
      <c r="M659" s="17">
        <f aca="false">IF($H659="","",$H659+$K659)</f>
        <v/>
      </c>
      <c r="N659" s="17">
        <f aca="false">IF($J659="","",$J659+$K659)</f>
        <v>1895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IF($T660="","",1+COUNTIF($W$15:$W$895,"&lt;"&amp;W660))</f>
        <v/>
      </c>
      <c r="B660" s="16" t="s">
        <v>12</v>
      </c>
      <c r="C660" s="16" t="s">
        <v>1416</v>
      </c>
      <c r="D660" s="20" t="s">
        <v>58</v>
      </c>
      <c r="E660" s="16" t="s">
        <v>26</v>
      </c>
      <c r="F660" s="16" t="s">
        <v>1417</v>
      </c>
      <c r="G660" s="17">
        <v>1909</v>
      </c>
      <c r="H660" s="17"/>
      <c r="I660" s="17"/>
      <c r="J660" s="17">
        <v>1869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1909</v>
      </c>
      <c r="M660" s="17">
        <f aca="false">IF($H660="","",$H660+$K660)</f>
        <v/>
      </c>
      <c r="N660" s="17">
        <f aca="false">IF($J660="","",$J660+$K660)</f>
        <v>1869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IF($T661="","",1+COUNTIF($W$15:$W$895,"&lt;"&amp;W661))</f>
        <v/>
      </c>
      <c r="B661" s="16" t="s">
        <v>8</v>
      </c>
      <c r="C661" s="16" t="s">
        <v>967</v>
      </c>
      <c r="D661" s="16" t="s">
        <v>45</v>
      </c>
      <c r="E661" s="16" t="s">
        <v>26</v>
      </c>
      <c r="F661" s="16" t="s">
        <v>968</v>
      </c>
      <c r="G661" s="17">
        <v>1910</v>
      </c>
      <c r="H661" s="17"/>
      <c r="I661" s="17"/>
      <c r="J661" s="17">
        <v>1897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1910</v>
      </c>
      <c r="M661" s="17">
        <f aca="false">IF($H661="","",$H661+$K661)</f>
        <v/>
      </c>
      <c r="N661" s="17">
        <f aca="false">IF($J661="","",$J661+$K661)</f>
        <v>1897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22" collapsed="false" customFormat="true" customHeight="true" hidden="false" ht="28.5" outlineLevel="0">
      <c r="A662" s="16">
        <f aca="false">IF($T662="","",1+COUNTIF($W$15:$W$895,"&lt;"&amp;W662))</f>
        <v/>
      </c>
      <c r="B662" s="16" t="s">
        <v>12</v>
      </c>
      <c r="C662" s="16" t="s">
        <v>1270</v>
      </c>
      <c r="D662" s="20" t="s">
        <v>61</v>
      </c>
      <c r="E662" s="16" t="s">
        <v>26</v>
      </c>
      <c r="F662" s="16" t="s">
        <v>1272</v>
      </c>
      <c r="G662" s="17">
        <v>1910</v>
      </c>
      <c r="H662" s="17"/>
      <c r="I662" s="17"/>
      <c r="J662" s="17">
        <v>1910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1910</v>
      </c>
      <c r="M662" s="17">
        <f aca="false">IF($H662="","",$H662+$K662)</f>
        <v/>
      </c>
      <c r="N662" s="17">
        <f aca="false">IF($J662="","",$J662+$K662)</f>
        <v>1910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6" collapsed="false" customFormat="true" customHeight="true" hidden="false" ht="28.5" outlineLevel="0">
      <c r="A663" s="16">
        <f aca="false">IF($T663="","",1+COUNTIF($W$15:$W$895,"&lt;"&amp;W663))</f>
        <v/>
      </c>
      <c r="B663" s="16" t="s">
        <v>12</v>
      </c>
      <c r="C663" s="16" t="s">
        <v>1534</v>
      </c>
      <c r="D663" s="20" t="s">
        <v>45</v>
      </c>
      <c r="E663" s="16" t="s">
        <v>26</v>
      </c>
      <c r="F663" s="16" t="s">
        <v>1535</v>
      </c>
      <c r="G663" s="17">
        <v>1910</v>
      </c>
      <c r="H663" s="17"/>
      <c r="I663" s="17"/>
      <c r="J663" s="17">
        <v>1910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1910</v>
      </c>
      <c r="M663" s="17">
        <f aca="false">IF($H663="","",$H663+$K663)</f>
        <v/>
      </c>
      <c r="N663" s="17">
        <f aca="false">IF($J663="","",$J663+$K663)</f>
        <v>1910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C663" s="3"/>
    </row>
    <row r="664" s="22" collapsed="false" customFormat="true" customHeight="true" hidden="false" ht="28.5" outlineLevel="0">
      <c r="A664" s="16">
        <f aca="false">IF($T664="","",1+COUNTIF($W$15:$W$895,"&lt;"&amp;W664))</f>
        <v/>
      </c>
      <c r="B664" s="16" t="s">
        <v>12</v>
      </c>
      <c r="C664" s="16" t="s">
        <v>1536</v>
      </c>
      <c r="D664" s="20" t="s">
        <v>72</v>
      </c>
      <c r="E664" s="16" t="s">
        <v>26</v>
      </c>
      <c r="F664" s="16" t="s">
        <v>1537</v>
      </c>
      <c r="G664" s="17">
        <v>1910</v>
      </c>
      <c r="H664" s="17"/>
      <c r="I664" s="17"/>
      <c r="J664" s="17">
        <v>1910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1910</v>
      </c>
      <c r="M664" s="17">
        <f aca="false">IF($H664="","",$H664+$K664)</f>
        <v/>
      </c>
      <c r="N664" s="17">
        <f aca="false">IF($J664="","",$J664+$K664)</f>
        <v>1910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22" collapsed="false" customFormat="true" customHeight="true" hidden="false" ht="28.5" outlineLevel="0">
      <c r="A665" s="16">
        <f aca="false">IF($T665="","",1+COUNTIF($W$15:$W$895,"&lt;"&amp;W665))</f>
        <v/>
      </c>
      <c r="B665" s="16" t="s">
        <v>12</v>
      </c>
      <c r="C665" s="16" t="s">
        <v>1538</v>
      </c>
      <c r="D665" s="20" t="s">
        <v>72</v>
      </c>
      <c r="E665" s="16" t="s">
        <v>26</v>
      </c>
      <c r="F665" s="16" t="s">
        <v>1539</v>
      </c>
      <c r="G665" s="17">
        <v>1910</v>
      </c>
      <c r="H665" s="17"/>
      <c r="I665" s="17"/>
      <c r="J665" s="17">
        <v>1910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1910</v>
      </c>
      <c r="M665" s="17">
        <f aca="false">IF($H665="","",$H665+$K665)</f>
        <v/>
      </c>
      <c r="N665" s="17">
        <f aca="false">IF($J665="","",$J665+$K665)</f>
        <v>1910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22" collapsed="false" customFormat="true" customHeight="true" hidden="false" ht="28.5" outlineLevel="0">
      <c r="A666" s="16">
        <f aca="false">IF($T666="","",1+COUNTIF($W$15:$W$895,"&lt;"&amp;W666))</f>
        <v/>
      </c>
      <c r="B666" s="16" t="s">
        <v>14</v>
      </c>
      <c r="C666" s="16" t="s">
        <v>1448</v>
      </c>
      <c r="D666" s="16" t="s">
        <v>61</v>
      </c>
      <c r="E666" s="16" t="s">
        <v>62</v>
      </c>
      <c r="F666" s="16" t="s">
        <v>1450</v>
      </c>
      <c r="G666" s="17">
        <v>1915</v>
      </c>
      <c r="H666" s="17"/>
      <c r="I666" s="17"/>
      <c r="J666" s="17">
        <v>1895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1915</v>
      </c>
      <c r="M666" s="17">
        <f aca="false">IF($H666="","",$H666+$K666)</f>
        <v/>
      </c>
      <c r="N666" s="17">
        <f aca="false">IF($J666="","",$J666+$K666)</f>
        <v>1895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IF($T667="","",1+COUNTIF($W$15:$W$895,"&lt;"&amp;W667))</f>
        <v/>
      </c>
      <c r="B667" s="16" t="s">
        <v>10</v>
      </c>
      <c r="C667" s="16" t="s">
        <v>886</v>
      </c>
      <c r="D667" s="16" t="s">
        <v>61</v>
      </c>
      <c r="E667" s="16" t="s">
        <v>62</v>
      </c>
      <c r="F667" s="16" t="s">
        <v>887</v>
      </c>
      <c r="G667" s="17">
        <v>1915</v>
      </c>
      <c r="H667" s="17"/>
      <c r="I667" s="17"/>
      <c r="J667" s="17">
        <v>1915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1915</v>
      </c>
      <c r="M667" s="17">
        <f aca="false">IF($H667="","",$H667+$K667)</f>
        <v/>
      </c>
      <c r="N667" s="17">
        <f aca="false">IF($J667="","",$J667+$K667)</f>
        <v>1915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22" collapsed="false" customFormat="true" customHeight="true" hidden="false" ht="28.5" outlineLevel="0">
      <c r="A668" s="16">
        <f aca="false">IF($T668="","",1+COUNTIF($W$15:$W$895,"&lt;"&amp;W668))</f>
        <v/>
      </c>
      <c r="B668" s="16" t="s">
        <v>14</v>
      </c>
      <c r="C668" s="16" t="s">
        <v>1412</v>
      </c>
      <c r="D668" s="16" t="s">
        <v>58</v>
      </c>
      <c r="E668" s="16" t="s">
        <v>26</v>
      </c>
      <c r="F668" s="16" t="s">
        <v>1413</v>
      </c>
      <c r="G668" s="17">
        <v>1917</v>
      </c>
      <c r="H668" s="17"/>
      <c r="I668" s="17"/>
      <c r="J668" s="17">
        <v>1896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1917</v>
      </c>
      <c r="M668" s="17">
        <f aca="false">IF($H668="","",$H668+$K668)</f>
        <v/>
      </c>
      <c r="N668" s="17">
        <f aca="false">IF($J668="","",$J668+$K668)</f>
        <v>1896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22" collapsed="false" customFormat="true" customHeight="true" hidden="false" ht="28.5" outlineLevel="0">
      <c r="A669" s="16">
        <f aca="false">IF($T669="","",1+COUNTIF($W$15:$W$895,"&lt;"&amp;W669))</f>
        <v/>
      </c>
      <c r="B669" s="16" t="s">
        <v>12</v>
      </c>
      <c r="C669" s="16" t="s">
        <v>1646</v>
      </c>
      <c r="D669" s="21" t="s">
        <v>81</v>
      </c>
      <c r="E669" s="16" t="s">
        <v>62</v>
      </c>
      <c r="F669" s="16" t="s">
        <v>1647</v>
      </c>
      <c r="G669" s="17">
        <v>1918</v>
      </c>
      <c r="H669" s="17"/>
      <c r="I669" s="17"/>
      <c r="J669" s="17">
        <v>1908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1918</v>
      </c>
      <c r="M669" s="17">
        <f aca="false">IF($H669="","",$H669+$K669)</f>
        <v/>
      </c>
      <c r="N669" s="17">
        <f aca="false">IF($J669="","",$J669+$K669)</f>
        <v>1908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IF($T670="","",1+COUNTIF($W$15:$W$895,"&lt;"&amp;W670))</f>
        <v/>
      </c>
      <c r="B670" s="16" t="s">
        <v>10</v>
      </c>
      <c r="C670" s="16" t="s">
        <v>908</v>
      </c>
      <c r="D670" s="16" t="s">
        <v>45</v>
      </c>
      <c r="E670" s="16" t="s">
        <v>26</v>
      </c>
      <c r="F670" s="16" t="s">
        <v>909</v>
      </c>
      <c r="G670" s="17">
        <v>1918</v>
      </c>
      <c r="H670" s="17"/>
      <c r="I670" s="17"/>
      <c r="J670" s="17">
        <v>1918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1918</v>
      </c>
      <c r="M670" s="17">
        <f aca="false">IF($H670="","",$H670+$K670)</f>
        <v/>
      </c>
      <c r="N670" s="17">
        <f aca="false">IF($J670="","",$J670+$K670)</f>
        <v>1918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22" collapsed="false" customFormat="true" customHeight="true" hidden="false" ht="28.5" outlineLevel="0">
      <c r="A671" s="16">
        <f aca="false">IF($T671="","",1+COUNTIF($W$15:$W$895,"&lt;"&amp;W671))</f>
        <v/>
      </c>
      <c r="B671" s="16" t="s">
        <v>10</v>
      </c>
      <c r="C671" s="16" t="s">
        <v>1606</v>
      </c>
      <c r="D671" s="16" t="s">
        <v>58</v>
      </c>
      <c r="E671" s="16" t="s">
        <v>26</v>
      </c>
      <c r="F671" s="16" t="s">
        <v>1607</v>
      </c>
      <c r="G671" s="17">
        <v>1918</v>
      </c>
      <c r="H671" s="17"/>
      <c r="I671" s="17"/>
      <c r="J671" s="17">
        <v>1918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1918</v>
      </c>
      <c r="M671" s="17">
        <f aca="false">IF($H671="","",$H671+$K671)</f>
        <v/>
      </c>
      <c r="N671" s="17">
        <f aca="false">IF($J671="","",$J671+$K671)</f>
        <v>1918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IF($T672="","",1+COUNTIF($W$15:$W$895,"&lt;"&amp;W672))</f>
        <v/>
      </c>
      <c r="B672" s="16" t="s">
        <v>12</v>
      </c>
      <c r="C672" s="16" t="s">
        <v>923</v>
      </c>
      <c r="D672" s="16" t="s">
        <v>58</v>
      </c>
      <c r="E672" s="16" t="s">
        <v>26</v>
      </c>
      <c r="F672" s="16" t="s">
        <v>1794</v>
      </c>
      <c r="G672" s="17">
        <v>1919</v>
      </c>
      <c r="H672" s="17"/>
      <c r="I672" s="17"/>
      <c r="J672" s="17">
        <v>1864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1919</v>
      </c>
      <c r="M672" s="17">
        <f aca="false">IF($H672="","",$H672+$K672)</f>
        <v/>
      </c>
      <c r="N672" s="17">
        <f aca="false">IF($J672="","",$J672+$K672)</f>
        <v>1864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IF($T673="","",1+COUNTIF($W$15:$W$895,"&lt;"&amp;W673))</f>
        <v/>
      </c>
      <c r="B673" s="16" t="s">
        <v>12</v>
      </c>
      <c r="C673" s="16" t="s">
        <v>1024</v>
      </c>
      <c r="D673" s="20" t="s">
        <v>58</v>
      </c>
      <c r="E673" s="16" t="s">
        <v>26</v>
      </c>
      <c r="F673" s="16" t="s">
        <v>1025</v>
      </c>
      <c r="G673" s="17">
        <v>1919</v>
      </c>
      <c r="H673" s="17"/>
      <c r="I673" s="17"/>
      <c r="J673" s="17">
        <v>1864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1919</v>
      </c>
      <c r="M673" s="17">
        <f aca="false">IF($H673="","",$H673+$K673)</f>
        <v/>
      </c>
      <c r="N673" s="17">
        <f aca="false">IF($J673="","",$J673+$K673)</f>
        <v>1864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IF($T674="","",1+COUNTIF($W$15:$W$895,"&lt;"&amp;W674))</f>
        <v/>
      </c>
      <c r="B674" s="16" t="s">
        <v>18</v>
      </c>
      <c r="C674" s="16" t="s">
        <v>1558</v>
      </c>
      <c r="D674" s="16" t="s">
        <v>58</v>
      </c>
      <c r="E674" s="16" t="s">
        <v>26</v>
      </c>
      <c r="F674" s="16" t="s">
        <v>1559</v>
      </c>
      <c r="G674" s="17">
        <v>1919</v>
      </c>
      <c r="H674" s="17"/>
      <c r="I674" s="17"/>
      <c r="J674" s="17">
        <v>1868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1919</v>
      </c>
      <c r="M674" s="17">
        <f aca="false">IF($H674="","",$H674+$K674)</f>
        <v/>
      </c>
      <c r="N674" s="17">
        <f aca="false">IF($J674="","",$J674+$K674)</f>
        <v>1868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C674" s="3"/>
    </row>
    <row r="675" s="22" collapsed="false" customFormat="true" customHeight="true" hidden="false" ht="28.5" outlineLevel="0">
      <c r="A675" s="16">
        <f aca="false">IF($T675="","",1+COUNTIF($W$15:$W$895,"&lt;"&amp;W675))</f>
        <v/>
      </c>
      <c r="B675" s="16" t="s">
        <v>6</v>
      </c>
      <c r="C675" s="16" t="s">
        <v>362</v>
      </c>
      <c r="D675" s="16" t="s">
        <v>58</v>
      </c>
      <c r="E675" s="16" t="s">
        <v>26</v>
      </c>
      <c r="F675" s="16" t="s">
        <v>363</v>
      </c>
      <c r="G675" s="17">
        <v>1919</v>
      </c>
      <c r="H675" s="17"/>
      <c r="I675" s="17"/>
      <c r="J675" s="17">
        <v>1899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1919</v>
      </c>
      <c r="M675" s="17">
        <f aca="false">IF($H675="","",$H675+$K675)</f>
        <v/>
      </c>
      <c r="N675" s="17">
        <f aca="false">IF($J675="","",$J675+$K675)</f>
        <v>1899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IF($T676="","",1+COUNTIF($W$15:$W$895,"&lt;"&amp;W676))</f>
        <v/>
      </c>
      <c r="B676" s="16" t="s">
        <v>12</v>
      </c>
      <c r="C676" s="16" t="s">
        <v>186</v>
      </c>
      <c r="D676" s="21" t="s">
        <v>81</v>
      </c>
      <c r="E676" s="16" t="s">
        <v>26</v>
      </c>
      <c r="F676" s="16" t="s">
        <v>187</v>
      </c>
      <c r="G676" s="17">
        <v>1919</v>
      </c>
      <c r="H676" s="17"/>
      <c r="I676" s="17"/>
      <c r="J676" s="17">
        <v>1899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1919</v>
      </c>
      <c r="M676" s="17">
        <f aca="false">IF($H676="","",$H676+$K676)</f>
        <v/>
      </c>
      <c r="N676" s="17">
        <f aca="false">IF($J676="","",$J676+$K676)</f>
        <v>1899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IF($T677="","",1+COUNTIF($W$15:$W$895,"&lt;"&amp;W677))</f>
        <v/>
      </c>
      <c r="B677" s="16" t="s">
        <v>12</v>
      </c>
      <c r="C677" s="16" t="s">
        <v>505</v>
      </c>
      <c r="D677" s="20" t="s">
        <v>45</v>
      </c>
      <c r="E677" s="16" t="s">
        <v>26</v>
      </c>
      <c r="F677" s="16" t="s">
        <v>506</v>
      </c>
      <c r="G677" s="17">
        <v>1919</v>
      </c>
      <c r="H677" s="17"/>
      <c r="I677" s="17"/>
      <c r="J677" s="17">
        <v>1899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1919</v>
      </c>
      <c r="M677" s="17">
        <f aca="false">IF($H677="","",$H677+$K677)</f>
        <v/>
      </c>
      <c r="N677" s="17">
        <f aca="false">IF($J677="","",$J677+$K677)</f>
        <v>1899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IF($T678="","",1+COUNTIF($W$15:$W$895,"&lt;"&amp;W678))</f>
        <v/>
      </c>
      <c r="B678" s="16" t="s">
        <v>10</v>
      </c>
      <c r="C678" s="16" t="s">
        <v>632</v>
      </c>
      <c r="D678" s="16" t="s">
        <v>58</v>
      </c>
      <c r="E678" s="16" t="s">
        <v>62</v>
      </c>
      <c r="F678" s="16" t="s">
        <v>633</v>
      </c>
      <c r="G678" s="17">
        <v>1919</v>
      </c>
      <c r="H678" s="17"/>
      <c r="I678" s="17"/>
      <c r="J678" s="17">
        <v>1899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1919</v>
      </c>
      <c r="M678" s="17">
        <f aca="false">IF($H678="","",$H678+$K678)</f>
        <v/>
      </c>
      <c r="N678" s="17">
        <f aca="false">IF($J678="","",$J678+$K678)</f>
        <v>1899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IF($T679="","",1+COUNTIF($W$15:$W$895,"&lt;"&amp;W679))</f>
        <v/>
      </c>
      <c r="B679" s="16" t="s">
        <v>12</v>
      </c>
      <c r="C679" s="16" t="s">
        <v>723</v>
      </c>
      <c r="D679" s="20" t="s">
        <v>61</v>
      </c>
      <c r="E679" s="16" t="s">
        <v>26</v>
      </c>
      <c r="F679" s="16" t="s">
        <v>724</v>
      </c>
      <c r="G679" s="17">
        <v>1919</v>
      </c>
      <c r="H679" s="17"/>
      <c r="I679" s="17"/>
      <c r="J679" s="17">
        <v>1908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1919</v>
      </c>
      <c r="M679" s="17">
        <f aca="false">IF($H679="","",$H679+$K679)</f>
        <v/>
      </c>
      <c r="N679" s="17">
        <f aca="false">IF($J679="","",$J679+$K679)</f>
        <v>1908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IF($T680="","",1+COUNTIF($W$15:$W$895,"&lt;"&amp;W680))</f>
        <v/>
      </c>
      <c r="B680" s="16" t="s">
        <v>10</v>
      </c>
      <c r="C680" s="16" t="s">
        <v>352</v>
      </c>
      <c r="D680" s="16" t="s">
        <v>45</v>
      </c>
      <c r="E680" s="16" t="s">
        <v>26</v>
      </c>
      <c r="F680" s="16" t="s">
        <v>353</v>
      </c>
      <c r="G680" s="17">
        <v>1919</v>
      </c>
      <c r="H680" s="17"/>
      <c r="I680" s="17"/>
      <c r="J680" s="17">
        <v>1920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1919</v>
      </c>
      <c r="M680" s="17">
        <f aca="false">IF($H680="","",$H680+$K680)</f>
        <v/>
      </c>
      <c r="N680" s="17">
        <f aca="false">IF($J680="","",$J680+$K680)</f>
        <v>1920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IF($T681="","",1+COUNTIF($W$15:$W$895,"&lt;"&amp;W681))</f>
        <v/>
      </c>
      <c r="B681" s="16" t="s">
        <v>14</v>
      </c>
      <c r="C681" s="16" t="s">
        <v>1026</v>
      </c>
      <c r="D681" s="16" t="s">
        <v>45</v>
      </c>
      <c r="E681" s="16" t="s">
        <v>26</v>
      </c>
      <c r="F681" s="16" t="s">
        <v>1027</v>
      </c>
      <c r="G681" s="17">
        <v>1919</v>
      </c>
      <c r="H681" s="17"/>
      <c r="I681" s="17"/>
      <c r="J681" s="17">
        <v>1924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1919</v>
      </c>
      <c r="M681" s="17">
        <f aca="false">IF($H681="","",$H681+$K681)</f>
        <v/>
      </c>
      <c r="N681" s="17">
        <f aca="false">IF($J681="","",$J681+$K681)</f>
        <v>1924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IF($T682="","",1+COUNTIF($W$15:$W$895,"&lt;"&amp;W682))</f>
        <v/>
      </c>
      <c r="B682" s="16" t="s">
        <v>6</v>
      </c>
      <c r="C682" s="16" t="s">
        <v>144</v>
      </c>
      <c r="D682" s="21" t="s">
        <v>81</v>
      </c>
      <c r="E682" s="16" t="s">
        <v>26</v>
      </c>
      <c r="F682" s="16" t="s">
        <v>145</v>
      </c>
      <c r="G682" s="17">
        <v>1923</v>
      </c>
      <c r="H682" s="17"/>
      <c r="I682" s="17"/>
      <c r="J682" s="17">
        <v>1923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1923</v>
      </c>
      <c r="M682" s="17">
        <f aca="false">IF($H682="","",$H682+$K682)</f>
        <v/>
      </c>
      <c r="N682" s="17">
        <f aca="false">IF($J682="","",$J682+$K682)</f>
        <v>1923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IF($T683="","",1+COUNTIF($W$15:$W$895,"&lt;"&amp;W683))</f>
        <v/>
      </c>
      <c r="B683" s="16" t="s">
        <v>12</v>
      </c>
      <c r="C683" s="16" t="s">
        <v>324</v>
      </c>
      <c r="D683" s="16" t="s">
        <v>45</v>
      </c>
      <c r="E683" s="16" t="s">
        <v>26</v>
      </c>
      <c r="F683" s="16" t="s">
        <v>325</v>
      </c>
      <c r="G683" s="17">
        <v>1923</v>
      </c>
      <c r="H683" s="17"/>
      <c r="I683" s="17"/>
      <c r="J683" s="17">
        <v>1923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1923</v>
      </c>
      <c r="M683" s="17">
        <f aca="false">IF($H683="","",$H683+$K683)</f>
        <v/>
      </c>
      <c r="N683" s="17">
        <f aca="false">IF($J683="","",$J683+$K683)</f>
        <v>1923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6" collapsed="false" customFormat="true" customHeight="true" hidden="false" ht="28.5" outlineLevel="0">
      <c r="A684" s="16">
        <f aca="false">IF($T684="","",1+COUNTIF($W$15:$W$895,"&lt;"&amp;W684))</f>
        <v/>
      </c>
      <c r="B684" s="16" t="s">
        <v>6</v>
      </c>
      <c r="C684" s="16" t="s">
        <v>1391</v>
      </c>
      <c r="D684" s="16" t="s">
        <v>58</v>
      </c>
      <c r="E684" s="16" t="s">
        <v>26</v>
      </c>
      <c r="F684" s="16" t="s">
        <v>1393</v>
      </c>
      <c r="G684" s="17">
        <v>1925</v>
      </c>
      <c r="H684" s="17"/>
      <c r="I684" s="17"/>
      <c r="J684" s="17">
        <v>1895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1925</v>
      </c>
      <c r="M684" s="17">
        <f aca="false">IF($H684="","",$H684+$K684)</f>
        <v/>
      </c>
      <c r="N684" s="17">
        <f aca="false">IF($J684="","",$J684+$K684)</f>
        <v>1895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C684" s="3"/>
    </row>
    <row r="685" s="5" collapsed="false" customFormat="true" customHeight="true" hidden="false" ht="28.5" outlineLevel="0">
      <c r="A685" s="16">
        <f aca="false">IF($T685="","",1+COUNTIF($W$15:$W$895,"&lt;"&amp;W685))</f>
        <v/>
      </c>
      <c r="B685" s="16" t="s">
        <v>8</v>
      </c>
      <c r="C685" s="16" t="s">
        <v>806</v>
      </c>
      <c r="D685" s="16" t="s">
        <v>58</v>
      </c>
      <c r="E685" s="16" t="s">
        <v>26</v>
      </c>
      <c r="F685" s="16" t="s">
        <v>808</v>
      </c>
      <c r="G685" s="17">
        <v>1925</v>
      </c>
      <c r="H685" s="17"/>
      <c r="I685" s="17"/>
      <c r="J685" s="17">
        <v>1925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1925</v>
      </c>
      <c r="M685" s="17">
        <f aca="false">IF($H685="","",$H685+$K685)</f>
        <v/>
      </c>
      <c r="N685" s="17">
        <f aca="false">IF($J685="","",$J685+$K685)</f>
        <v>1925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IF($T686="","",1+COUNTIF($W$15:$W$895,"&lt;"&amp;W686))</f>
        <v/>
      </c>
      <c r="B686" s="16" t="s">
        <v>14</v>
      </c>
      <c r="C686" s="16" t="s">
        <v>100</v>
      </c>
      <c r="D686" s="16" t="s">
        <v>61</v>
      </c>
      <c r="E686" s="16" t="s">
        <v>26</v>
      </c>
      <c r="F686" s="16" t="s">
        <v>101</v>
      </c>
      <c r="G686" s="17">
        <v>1927</v>
      </c>
      <c r="H686" s="17"/>
      <c r="I686" s="17"/>
      <c r="J686" s="17">
        <v>1917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1927</v>
      </c>
      <c r="M686" s="17">
        <f aca="false">IF($H686="","",$H686+$K686)</f>
        <v/>
      </c>
      <c r="N686" s="17">
        <f aca="false">IF($J686="","",$J686+$K686)</f>
        <v>1917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IF($T687="","",1+COUNTIF($W$15:$W$895,"&lt;"&amp;W687))</f>
        <v/>
      </c>
      <c r="B687" s="16" t="s">
        <v>12</v>
      </c>
      <c r="C687" s="16" t="s">
        <v>828</v>
      </c>
      <c r="D687" s="20" t="s">
        <v>58</v>
      </c>
      <c r="E687" s="16" t="s">
        <v>26</v>
      </c>
      <c r="F687" s="16" t="s">
        <v>829</v>
      </c>
      <c r="G687" s="17">
        <v>1927</v>
      </c>
      <c r="H687" s="17"/>
      <c r="I687" s="17"/>
      <c r="J687" s="17">
        <v>1927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1927</v>
      </c>
      <c r="M687" s="17">
        <f aca="false">IF($H687="","",$H687+$K687)</f>
        <v/>
      </c>
      <c r="N687" s="17">
        <f aca="false">IF($J687="","",$J687+$K687)</f>
        <v>1927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IF($T688="","",1+COUNTIF($W$15:$W$895,"&lt;"&amp;W688))</f>
        <v/>
      </c>
      <c r="B688" s="16" t="s">
        <v>18</v>
      </c>
      <c r="C688" s="16" t="s">
        <v>330</v>
      </c>
      <c r="D688" s="16" t="s">
        <v>45</v>
      </c>
      <c r="E688" s="16" t="s">
        <v>26</v>
      </c>
      <c r="F688" s="16" t="s">
        <v>331</v>
      </c>
      <c r="G688" s="17">
        <v>1928</v>
      </c>
      <c r="H688" s="17"/>
      <c r="I688" s="17"/>
      <c r="J688" s="17">
        <v>1878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1928</v>
      </c>
      <c r="M688" s="17">
        <f aca="false">IF($H688="","",$H688+$K688)</f>
        <v/>
      </c>
      <c r="N688" s="17">
        <f aca="false">IF($J688="","",$J688+$K688)</f>
        <v>1878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C688" s="3"/>
    </row>
    <row r="689" s="5" collapsed="false" customFormat="true" customHeight="true" hidden="false" ht="28.5" outlineLevel="0">
      <c r="A689" s="16">
        <f aca="false">IF($T689="","",1+COUNTIF($W$15:$W$895,"&lt;"&amp;W689))</f>
        <v/>
      </c>
      <c r="B689" s="16" t="s">
        <v>14</v>
      </c>
      <c r="C689" s="16" t="s">
        <v>709</v>
      </c>
      <c r="D689" s="16" t="s">
        <v>58</v>
      </c>
      <c r="E689" s="16" t="s">
        <v>26</v>
      </c>
      <c r="F689" s="16" t="s">
        <v>710</v>
      </c>
      <c r="G689" s="17">
        <v>1928</v>
      </c>
      <c r="H689" s="17"/>
      <c r="I689" s="17"/>
      <c r="J689" s="17">
        <v>1918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1928</v>
      </c>
      <c r="M689" s="17">
        <f aca="false">IF($H689="","",$H689+$K689)</f>
        <v/>
      </c>
      <c r="N689" s="17">
        <f aca="false">IF($J689="","",$J689+$K689)</f>
        <v>1918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IF($T690="","",1+COUNTIF($W$15:$W$895,"&lt;"&amp;W690))</f>
        <v/>
      </c>
      <c r="B690" s="16" t="s">
        <v>12</v>
      </c>
      <c r="C690" s="16" t="s">
        <v>1202</v>
      </c>
      <c r="D690" s="20" t="s">
        <v>61</v>
      </c>
      <c r="E690" s="16" t="s">
        <v>62</v>
      </c>
      <c r="F690" s="16" t="s">
        <v>1203</v>
      </c>
      <c r="G690" s="17">
        <v>1928</v>
      </c>
      <c r="H690" s="17"/>
      <c r="I690" s="17"/>
      <c r="J690" s="17">
        <v>1928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1928</v>
      </c>
      <c r="M690" s="17">
        <f aca="false">IF($H690="","",$H690+$K690)</f>
        <v/>
      </c>
      <c r="N690" s="17">
        <f aca="false">IF($J690="","",$J690+$K690)</f>
        <v>1928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IF($T691="","",1+COUNTIF($W$15:$W$895,"&lt;"&amp;W691))</f>
        <v/>
      </c>
      <c r="B691" s="16" t="s">
        <v>10</v>
      </c>
      <c r="C691" s="16" t="s">
        <v>572</v>
      </c>
      <c r="D691" s="16" t="s">
        <v>61</v>
      </c>
      <c r="E691" s="16" t="s">
        <v>62</v>
      </c>
      <c r="F691" s="16" t="s">
        <v>573</v>
      </c>
      <c r="G691" s="17">
        <v>1928</v>
      </c>
      <c r="H691" s="17"/>
      <c r="I691" s="17"/>
      <c r="J691" s="17">
        <v>1928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1928</v>
      </c>
      <c r="M691" s="17">
        <f aca="false">IF($H691="","",$H691+$K691)</f>
        <v/>
      </c>
      <c r="N691" s="17">
        <f aca="false">IF($J691="","",$J691+$K691)</f>
        <v>1928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22" collapsed="false" customFormat="true" customHeight="true" hidden="false" ht="28.5" outlineLevel="0">
      <c r="A692" s="16">
        <f aca="false">IF($T692="","",1+COUNTIF($W$15:$W$895,"&lt;"&amp;W692))</f>
        <v/>
      </c>
      <c r="B692" s="16" t="s">
        <v>18</v>
      </c>
      <c r="C692" s="16" t="s">
        <v>1385</v>
      </c>
      <c r="D692" s="16" t="s">
        <v>72</v>
      </c>
      <c r="E692" s="16" t="s">
        <v>62</v>
      </c>
      <c r="F692" s="16" t="s">
        <v>1386</v>
      </c>
      <c r="G692" s="17">
        <v>1929</v>
      </c>
      <c r="H692" s="17"/>
      <c r="I692" s="17"/>
      <c r="J692" s="17">
        <v>1889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1929</v>
      </c>
      <c r="M692" s="17">
        <f aca="false">IF($H692="","",$H692+$K692)</f>
        <v/>
      </c>
      <c r="N692" s="17">
        <f aca="false">IF($J692="","",$J692+$K692)</f>
        <v>1889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IF($T693="","",1+COUNTIF($W$15:$W$895,"&lt;"&amp;W693))</f>
        <v/>
      </c>
      <c r="B693" s="16" t="s">
        <v>18</v>
      </c>
      <c r="C693" s="16" t="s">
        <v>565</v>
      </c>
      <c r="D693" s="21" t="s">
        <v>81</v>
      </c>
      <c r="E693" s="16" t="s">
        <v>26</v>
      </c>
      <c r="F693" s="16" t="s">
        <v>566</v>
      </c>
      <c r="G693" s="17">
        <v>1929</v>
      </c>
      <c r="H693" s="17"/>
      <c r="I693" s="17"/>
      <c r="J693" s="17">
        <v>1899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1929</v>
      </c>
      <c r="M693" s="17">
        <f aca="false">IF($H693="","",$H693+$K693)</f>
        <v/>
      </c>
      <c r="N693" s="17">
        <f aca="false">IF($J693="","",$J693+$K693)</f>
        <v>1899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6" collapsed="false" customFormat="true" customHeight="true" hidden="false" ht="28.5" outlineLevel="0">
      <c r="A694" s="16">
        <f aca="false">IF($T694="","",1+COUNTIF($W$15:$W$895,"&lt;"&amp;W694))</f>
        <v/>
      </c>
      <c r="B694" s="16" t="s">
        <v>10</v>
      </c>
      <c r="C694" s="16" t="s">
        <v>1176</v>
      </c>
      <c r="D694" s="16" t="s">
        <v>58</v>
      </c>
      <c r="E694" s="16" t="s">
        <v>62</v>
      </c>
      <c r="F694" s="16" t="s">
        <v>1177</v>
      </c>
      <c r="G694" s="17">
        <v>1929</v>
      </c>
      <c r="H694" s="17"/>
      <c r="I694" s="17"/>
      <c r="J694" s="17">
        <v>1899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1929</v>
      </c>
      <c r="M694" s="17">
        <f aca="false">IF($H694="","",$H694+$K694)</f>
        <v/>
      </c>
      <c r="N694" s="17">
        <f aca="false">IF($J694="","",$J694+$K694)</f>
        <v>1899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C694" s="3"/>
    </row>
    <row r="695" s="5" collapsed="false" customFormat="true" customHeight="true" hidden="false" ht="28.5" outlineLevel="0">
      <c r="A695" s="16">
        <f aca="false">IF($T695="","",1+COUNTIF($W$15:$W$895,"&lt;"&amp;W695))</f>
        <v/>
      </c>
      <c r="B695" s="16" t="s">
        <v>12</v>
      </c>
      <c r="C695" s="16" t="s">
        <v>937</v>
      </c>
      <c r="D695" s="20" t="s">
        <v>72</v>
      </c>
      <c r="E695" s="16" t="s">
        <v>26</v>
      </c>
      <c r="F695" s="16" t="s">
        <v>938</v>
      </c>
      <c r="G695" s="17">
        <v>1929</v>
      </c>
      <c r="H695" s="17"/>
      <c r="I695" s="17"/>
      <c r="J695" s="17">
        <v>1910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1929</v>
      </c>
      <c r="M695" s="17">
        <f aca="false">IF($H695="","",$H695+$K695)</f>
        <v/>
      </c>
      <c r="N695" s="17">
        <f aca="false">IF($J695="","",$J695+$K695)</f>
        <v>1910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IF($T696="","",1+COUNTIF($W$15:$W$895,"&lt;"&amp;W696))</f>
        <v/>
      </c>
      <c r="B696" s="16" t="s">
        <v>8</v>
      </c>
      <c r="C696" s="16" t="s">
        <v>182</v>
      </c>
      <c r="D696" s="16" t="s">
        <v>61</v>
      </c>
      <c r="E696" s="16" t="s">
        <v>62</v>
      </c>
      <c r="F696" s="16" t="s">
        <v>183</v>
      </c>
      <c r="G696" s="17">
        <v>1929</v>
      </c>
      <c r="H696" s="17"/>
      <c r="I696" s="17"/>
      <c r="J696" s="17">
        <v>1919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1929</v>
      </c>
      <c r="M696" s="17">
        <f aca="false">IF($H696="","",$H696+$K696)</f>
        <v/>
      </c>
      <c r="N696" s="17">
        <f aca="false">IF($J696="","",$J696+$K696)</f>
        <v>1919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IF($T697="","",1+COUNTIF($W$15:$W$895,"&lt;"&amp;W697))</f>
        <v/>
      </c>
      <c r="B697" s="16" t="s">
        <v>10</v>
      </c>
      <c r="C697" s="16" t="s">
        <v>390</v>
      </c>
      <c r="D697" s="16" t="s">
        <v>45</v>
      </c>
      <c r="E697" s="16" t="s">
        <v>26</v>
      </c>
      <c r="F697" s="16" t="s">
        <v>391</v>
      </c>
      <c r="G697" s="17">
        <v>1929</v>
      </c>
      <c r="H697" s="17"/>
      <c r="I697" s="17"/>
      <c r="J697" s="17">
        <v>1919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1929</v>
      </c>
      <c r="M697" s="17">
        <f aca="false">IF($H697="","",$H697+$K697)</f>
        <v/>
      </c>
      <c r="N697" s="17">
        <f aca="false">IF($J697="","",$J697+$K697)</f>
        <v>1919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IF($T698="","",1+COUNTIF($W$15:$W$895,"&lt;"&amp;W698))</f>
        <v/>
      </c>
      <c r="B698" s="16" t="s">
        <v>6</v>
      </c>
      <c r="C698" s="16" t="s">
        <v>503</v>
      </c>
      <c r="D698" s="16" t="s">
        <v>72</v>
      </c>
      <c r="E698" s="16" t="s">
        <v>26</v>
      </c>
      <c r="F698" s="16" t="s">
        <v>504</v>
      </c>
      <c r="G698" s="17">
        <v>1929</v>
      </c>
      <c r="H698" s="17"/>
      <c r="I698" s="17"/>
      <c r="J698" s="17">
        <v>1924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1929</v>
      </c>
      <c r="M698" s="17">
        <f aca="false">IF($H698="","",$H698+$K698)</f>
        <v/>
      </c>
      <c r="N698" s="17">
        <f aca="false">IF($J698="","",$J698+$K698)</f>
        <v>1924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IF($T699="","",1+COUNTIF($W$15:$W$895,"&lt;"&amp;W699))</f>
        <v/>
      </c>
      <c r="B699" s="16" t="s">
        <v>6</v>
      </c>
      <c r="C699" s="16" t="s">
        <v>1671</v>
      </c>
      <c r="D699" s="16" t="s">
        <v>45</v>
      </c>
      <c r="E699" s="16" t="s">
        <v>26</v>
      </c>
      <c r="F699" s="16" t="s">
        <v>1672</v>
      </c>
      <c r="G699" s="17">
        <v>1929</v>
      </c>
      <c r="H699" s="17"/>
      <c r="I699" s="17"/>
      <c r="J699" s="17">
        <v>1929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1929</v>
      </c>
      <c r="M699" s="17">
        <f aca="false">IF($H699="","",$H699+$K699)</f>
        <v/>
      </c>
      <c r="N699" s="17">
        <f aca="false">IF($J699="","",$J699+$K699)</f>
        <v>1929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C699" s="3"/>
    </row>
    <row r="700" s="5" collapsed="false" customFormat="true" customHeight="true" hidden="false" ht="28.5" outlineLevel="0">
      <c r="A700" s="16">
        <f aca="false">IF($T700="","",1+COUNTIF($W$15:$W$895,"&lt;"&amp;W700))</f>
        <v/>
      </c>
      <c r="B700" s="16" t="s">
        <v>14</v>
      </c>
      <c r="C700" s="16" t="s">
        <v>1146</v>
      </c>
      <c r="D700" s="21" t="s">
        <v>81</v>
      </c>
      <c r="E700" s="16" t="s">
        <v>26</v>
      </c>
      <c r="F700" s="16" t="s">
        <v>1147</v>
      </c>
      <c r="G700" s="17">
        <v>1929</v>
      </c>
      <c r="H700" s="17"/>
      <c r="I700" s="17"/>
      <c r="J700" s="17">
        <v>1929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1929</v>
      </c>
      <c r="M700" s="17">
        <f aca="false">IF($H700="","",$H700+$K700)</f>
        <v/>
      </c>
      <c r="N700" s="17">
        <f aca="false">IF($J700="","",$J700+$K700)</f>
        <v>1929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IF($T701="","",1+COUNTIF($W$15:$W$895,"&lt;"&amp;W701))</f>
        <v/>
      </c>
      <c r="B701" s="16" t="s">
        <v>12</v>
      </c>
      <c r="C701" s="16" t="s">
        <v>824</v>
      </c>
      <c r="D701" s="20" t="s">
        <v>58</v>
      </c>
      <c r="E701" s="16" t="s">
        <v>26</v>
      </c>
      <c r="F701" s="16" t="s">
        <v>825</v>
      </c>
      <c r="G701" s="17">
        <v>1929</v>
      </c>
      <c r="H701" s="17"/>
      <c r="I701" s="17"/>
      <c r="J701" s="17">
        <v>1929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1929</v>
      </c>
      <c r="M701" s="17">
        <f aca="false">IF($H701="","",$H701+$K701)</f>
        <v/>
      </c>
      <c r="N701" s="17">
        <f aca="false">IF($J701="","",$J701+$K701)</f>
        <v>1929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IF($T702="","",1+COUNTIF($W$15:$W$895,"&lt;"&amp;W702))</f>
        <v/>
      </c>
      <c r="B702" s="16" t="s">
        <v>12</v>
      </c>
      <c r="C702" s="16" t="s">
        <v>951</v>
      </c>
      <c r="D702" s="20" t="s">
        <v>72</v>
      </c>
      <c r="E702" s="16" t="s">
        <v>26</v>
      </c>
      <c r="F702" s="16" t="s">
        <v>952</v>
      </c>
      <c r="G702" s="17">
        <v>1929</v>
      </c>
      <c r="H702" s="17"/>
      <c r="I702" s="17"/>
      <c r="J702" s="17">
        <v>1929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1929</v>
      </c>
      <c r="M702" s="17">
        <f aca="false">IF($H702="","",$H702+$K702)</f>
        <v/>
      </c>
      <c r="N702" s="17">
        <f aca="false">IF($J702="","",$J702+$K702)</f>
        <v>1929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22" collapsed="false" customFormat="true" customHeight="true" hidden="false" ht="28.5" outlineLevel="0">
      <c r="A703" s="16">
        <f aca="false">IF($T703="","",1+COUNTIF($W$15:$W$895,"&lt;"&amp;W703))</f>
        <v/>
      </c>
      <c r="B703" s="16" t="s">
        <v>12</v>
      </c>
      <c r="C703" s="16" t="s">
        <v>1347</v>
      </c>
      <c r="D703" s="20" t="s">
        <v>72</v>
      </c>
      <c r="E703" s="16" t="s">
        <v>26</v>
      </c>
      <c r="F703" s="16" t="s">
        <v>1348</v>
      </c>
      <c r="G703" s="17">
        <v>1929</v>
      </c>
      <c r="H703" s="17"/>
      <c r="I703" s="17"/>
      <c r="J703" s="17">
        <v>1929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1929</v>
      </c>
      <c r="M703" s="17">
        <f aca="false">IF($H703="","",$H703+$K703)</f>
        <v/>
      </c>
      <c r="N703" s="17">
        <f aca="false">IF($J703="","",$J703+$K703)</f>
        <v>1929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 aca="false">IF($T704="","",1+COUNTIF($W$15:$W$895,"&lt;"&amp;W704))</f>
        <v/>
      </c>
      <c r="B704" s="16" t="s">
        <v>10</v>
      </c>
      <c r="C704" s="16" t="s">
        <v>1737</v>
      </c>
      <c r="D704" s="16" t="s">
        <v>45</v>
      </c>
      <c r="E704" s="16" t="s">
        <v>26</v>
      </c>
      <c r="F704" s="16" t="s">
        <v>1738</v>
      </c>
      <c r="G704" s="17">
        <v>1929</v>
      </c>
      <c r="H704" s="17"/>
      <c r="I704" s="17"/>
      <c r="J704" s="17">
        <v>1939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1929</v>
      </c>
      <c r="M704" s="17">
        <f aca="false">IF($H704="","",$H704+$K704)</f>
        <v/>
      </c>
      <c r="N704" s="17">
        <f aca="false">IF($J704="","",$J704+$K704)</f>
        <v>1939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C704" s="3"/>
    </row>
    <row r="705" s="6" collapsed="false" customFormat="true" customHeight="true" hidden="false" ht="28.5" outlineLevel="0">
      <c r="A705" s="16">
        <f aca="false">IF($T705="","",1+COUNTIF($W$15:$W$895,"&lt;"&amp;W705))</f>
        <v/>
      </c>
      <c r="B705" s="16" t="s">
        <v>14</v>
      </c>
      <c r="C705" s="16" t="s">
        <v>1687</v>
      </c>
      <c r="D705" s="16" t="s">
        <v>58</v>
      </c>
      <c r="E705" s="16" t="s">
        <v>26</v>
      </c>
      <c r="F705" s="16" t="s">
        <v>1688</v>
      </c>
      <c r="G705" s="17">
        <v>1929</v>
      </c>
      <c r="H705" s="17"/>
      <c r="I705" s="17"/>
      <c r="J705" s="17">
        <v>1959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1929</v>
      </c>
      <c r="M705" s="17">
        <f aca="false">IF($H705="","",$H705+$K705)</f>
        <v/>
      </c>
      <c r="N705" s="17">
        <f aca="false">IF($J705="","",$J705+$K705)</f>
        <v>1959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C705" s="3"/>
    </row>
    <row r="706" s="5" collapsed="false" customFormat="true" customHeight="true" hidden="false" ht="28.5" outlineLevel="0">
      <c r="A706" s="16">
        <f aca="false">IF($T706="","",1+COUNTIF($W$15:$W$895,"&lt;"&amp;W706))</f>
        <v/>
      </c>
      <c r="B706" s="16" t="s">
        <v>8</v>
      </c>
      <c r="C706" s="16" t="s">
        <v>969</v>
      </c>
      <c r="D706" s="16" t="s">
        <v>61</v>
      </c>
      <c r="E706" s="16" t="s">
        <v>26</v>
      </c>
      <c r="F706" s="16" t="s">
        <v>970</v>
      </c>
      <c r="G706" s="17">
        <v>1930</v>
      </c>
      <c r="H706" s="17"/>
      <c r="I706" s="17"/>
      <c r="J706" s="17">
        <v>1915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1930</v>
      </c>
      <c r="M706" s="17">
        <f aca="false">IF($H706="","",$H706+$K706)</f>
        <v/>
      </c>
      <c r="N706" s="17">
        <f aca="false">IF($J706="","",$J706+$K706)</f>
        <v>1915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22" collapsed="false" customFormat="true" customHeight="true" hidden="false" ht="28.5" outlineLevel="0">
      <c r="A707" s="16">
        <f aca="false">IF($T707="","",1+COUNTIF($W$15:$W$895,"&lt;"&amp;W707))</f>
        <v/>
      </c>
      <c r="B707" s="16" t="s">
        <v>12</v>
      </c>
      <c r="C707" s="16" t="s">
        <v>1451</v>
      </c>
      <c r="D707" s="20" t="s">
        <v>45</v>
      </c>
      <c r="E707" s="16" t="s">
        <v>62</v>
      </c>
      <c r="F707" s="16" t="s">
        <v>1452</v>
      </c>
      <c r="G707" s="17">
        <v>1930</v>
      </c>
      <c r="H707" s="17"/>
      <c r="I707" s="17"/>
      <c r="J707" s="17">
        <v>1920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1930</v>
      </c>
      <c r="M707" s="17">
        <f aca="false">IF($H707="","",$H707+$K707)</f>
        <v/>
      </c>
      <c r="N707" s="17">
        <f aca="false">IF($J707="","",$J707+$K707)</f>
        <v>1920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IF($T708="","",1+COUNTIF($W$15:$W$895,"&lt;"&amp;W708))</f>
        <v/>
      </c>
      <c r="B708" s="16" t="s">
        <v>18</v>
      </c>
      <c r="C708" s="16" t="s">
        <v>1275</v>
      </c>
      <c r="D708" s="16" t="s">
        <v>72</v>
      </c>
      <c r="E708" s="16" t="s">
        <v>62</v>
      </c>
      <c r="F708" s="16" t="s">
        <v>1276</v>
      </c>
      <c r="G708" s="17">
        <v>1930</v>
      </c>
      <c r="H708" s="17"/>
      <c r="I708" s="17"/>
      <c r="J708" s="17">
        <v>1970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1930</v>
      </c>
      <c r="M708" s="17">
        <f aca="false">IF($H708="","",$H708+$K708)</f>
        <v/>
      </c>
      <c r="N708" s="17">
        <f aca="false">IF($J708="","",$J708+$K708)</f>
        <v>1970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IF($T709="","",1+COUNTIF($W$15:$W$895,"&lt;"&amp;W709))</f>
        <v/>
      </c>
      <c r="B709" s="16" t="s">
        <v>18</v>
      </c>
      <c r="C709" s="16" t="s">
        <v>107</v>
      </c>
      <c r="D709" s="16" t="s">
        <v>58</v>
      </c>
      <c r="E709" s="16" t="s">
        <v>26</v>
      </c>
      <c r="F709" s="16" t="s">
        <v>108</v>
      </c>
      <c r="G709" s="17">
        <v>1932</v>
      </c>
      <c r="H709" s="17"/>
      <c r="I709" s="17"/>
      <c r="J709" s="17">
        <v>1892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1932</v>
      </c>
      <c r="M709" s="17">
        <f aca="false">IF($H709="","",$H709+$K709)</f>
        <v/>
      </c>
      <c r="N709" s="17">
        <f aca="false">IF($J709="","",$J709+$K709)</f>
        <v>1892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6" collapsed="false" customFormat="true" customHeight="true" hidden="false" ht="28.5" outlineLevel="0">
      <c r="A710" s="16">
        <f aca="false">IF($T710="","",1+COUNTIF($W$15:$W$895,"&lt;"&amp;W710))</f>
        <v/>
      </c>
      <c r="B710" s="16" t="s">
        <v>10</v>
      </c>
      <c r="C710" s="16" t="s">
        <v>1570</v>
      </c>
      <c r="D710" s="16" t="s">
        <v>45</v>
      </c>
      <c r="E710" s="16" t="s">
        <v>26</v>
      </c>
      <c r="F710" s="16" t="s">
        <v>1571</v>
      </c>
      <c r="G710" s="17">
        <v>1934</v>
      </c>
      <c r="H710" s="17"/>
      <c r="I710" s="17"/>
      <c r="J710" s="17">
        <v>1878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1934</v>
      </c>
      <c r="M710" s="17">
        <f aca="false">IF($H710="","",$H710+$K710)</f>
        <v/>
      </c>
      <c r="N710" s="17">
        <f aca="false">IF($J710="","",$J710+$K710)</f>
        <v>1878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C710" s="3"/>
    </row>
    <row r="711" s="6" collapsed="false" customFormat="true" customHeight="true" hidden="false" ht="28.5" outlineLevel="0">
      <c r="A711" s="16">
        <f aca="false">IF($T711="","",1+COUNTIF($W$15:$W$895,"&lt;"&amp;W711))</f>
        <v/>
      </c>
      <c r="B711" s="16" t="s">
        <v>18</v>
      </c>
      <c r="C711" s="16" t="s">
        <v>1624</v>
      </c>
      <c r="D711" s="16" t="s">
        <v>45</v>
      </c>
      <c r="E711" s="16" t="s">
        <v>26</v>
      </c>
      <c r="F711" s="16" t="s">
        <v>1625</v>
      </c>
      <c r="G711" s="17">
        <v>1934</v>
      </c>
      <c r="H711" s="17"/>
      <c r="I711" s="17"/>
      <c r="J711" s="17">
        <v>1914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1934</v>
      </c>
      <c r="M711" s="17">
        <f aca="false">IF($H711="","",$H711+$K711)</f>
        <v/>
      </c>
      <c r="N711" s="17">
        <f aca="false">IF($J711="","",$J711+$K711)</f>
        <v>1914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22" collapsed="false" customFormat="true" customHeight="true" hidden="false" ht="28.5" outlineLevel="0">
      <c r="A712" s="16">
        <f aca="false">IF($T712="","",1+COUNTIF($W$15:$W$895,"&lt;"&amp;W712))</f>
        <v/>
      </c>
      <c r="B712" s="16" t="s">
        <v>10</v>
      </c>
      <c r="C712" s="16" t="s">
        <v>1339</v>
      </c>
      <c r="D712" s="16" t="s">
        <v>45</v>
      </c>
      <c r="E712" s="16" t="s">
        <v>26</v>
      </c>
      <c r="F712" s="16" t="s">
        <v>1340</v>
      </c>
      <c r="G712" s="17">
        <v>1935</v>
      </c>
      <c r="H712" s="17"/>
      <c r="I712" s="17"/>
      <c r="J712" s="17">
        <v>1784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1935</v>
      </c>
      <c r="M712" s="17">
        <f aca="false">IF($H712="","",$H712+$K712)</f>
        <v/>
      </c>
      <c r="N712" s="17">
        <f aca="false">IF($J712="","",$J712+$K712)</f>
        <v>1784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6" collapsed="false" customFormat="true" customHeight="true" hidden="false" ht="28.5" outlineLevel="0">
      <c r="A713" s="16">
        <f aca="false">IF($T713="","",1+COUNTIF($W$15:$W$895,"&lt;"&amp;W713))</f>
        <v/>
      </c>
      <c r="B713" s="16" t="s">
        <v>10</v>
      </c>
      <c r="C713" s="16" t="s">
        <v>1572</v>
      </c>
      <c r="D713" s="16" t="s">
        <v>72</v>
      </c>
      <c r="E713" s="16" t="s">
        <v>26</v>
      </c>
      <c r="F713" s="16" t="s">
        <v>1573</v>
      </c>
      <c r="G713" s="17">
        <v>1935</v>
      </c>
      <c r="H713" s="17"/>
      <c r="I713" s="17"/>
      <c r="J713" s="17">
        <v>1924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1935</v>
      </c>
      <c r="M713" s="17">
        <f aca="false">IF($H713="","",$H713+$K713)</f>
        <v/>
      </c>
      <c r="N713" s="17">
        <f aca="false">IF($J713="","",$J713+$K713)</f>
        <v>1924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C713" s="3"/>
    </row>
    <row r="714" s="5" collapsed="false" customFormat="true" customHeight="true" hidden="false" ht="28.5" outlineLevel="0">
      <c r="A714" s="16">
        <f aca="false">IF($T714="","",1+COUNTIF($W$15:$W$895,"&lt;"&amp;W714))</f>
        <v/>
      </c>
      <c r="B714" s="16" t="s">
        <v>12</v>
      </c>
      <c r="C714" s="16" t="s">
        <v>753</v>
      </c>
      <c r="D714" s="20" t="s">
        <v>58</v>
      </c>
      <c r="E714" s="16" t="s">
        <v>26</v>
      </c>
      <c r="F714" s="16" t="s">
        <v>754</v>
      </c>
      <c r="G714" s="17">
        <v>1935</v>
      </c>
      <c r="H714" s="17"/>
      <c r="I714" s="17"/>
      <c r="J714" s="17">
        <v>1925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1935</v>
      </c>
      <c r="M714" s="17">
        <f aca="false">IF($H714="","",$H714+$K714)</f>
        <v/>
      </c>
      <c r="N714" s="17">
        <f aca="false">IF($J714="","",$J714+$K714)</f>
        <v>1925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IF($T715="","",1+COUNTIF($W$15:$W$895,"&lt;"&amp;W715))</f>
        <v/>
      </c>
      <c r="B715" s="16" t="s">
        <v>10</v>
      </c>
      <c r="C715" s="16" t="s">
        <v>848</v>
      </c>
      <c r="D715" s="21" t="s">
        <v>81</v>
      </c>
      <c r="E715" s="16" t="s">
        <v>62</v>
      </c>
      <c r="F715" s="16" t="s">
        <v>850</v>
      </c>
      <c r="G715" s="17">
        <v>1936</v>
      </c>
      <c r="H715" s="17"/>
      <c r="I715" s="17"/>
      <c r="J715" s="17">
        <v>1926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1936</v>
      </c>
      <c r="M715" s="17">
        <f aca="false">IF($H715="","",$H715+$K715)</f>
        <v/>
      </c>
      <c r="N715" s="17">
        <f aca="false">IF($J715="","",$J715+$K715)</f>
        <v>1926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IF($T716="","",1+COUNTIF($W$15:$W$895,"&lt;"&amp;W716))</f>
        <v/>
      </c>
      <c r="B716" s="16" t="s">
        <v>14</v>
      </c>
      <c r="C716" s="16" t="s">
        <v>89</v>
      </c>
      <c r="D716" s="21" t="s">
        <v>81</v>
      </c>
      <c r="E716" s="16" t="s">
        <v>62</v>
      </c>
      <c r="F716" s="16" t="s">
        <v>90</v>
      </c>
      <c r="G716" s="17">
        <v>1937</v>
      </c>
      <c r="H716" s="17"/>
      <c r="I716" s="17"/>
      <c r="J716" s="17">
        <v>1927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1937</v>
      </c>
      <c r="M716" s="17">
        <f aca="false">IF($H716="","",$H716+$K716)</f>
        <v/>
      </c>
      <c r="N716" s="17">
        <f aca="false">IF($J716="","",$J716+$K716)</f>
        <v>1927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IF($T717="","",1+COUNTIF($W$15:$W$895,"&lt;"&amp;W717))</f>
        <v/>
      </c>
      <c r="B717" s="16" t="s">
        <v>14</v>
      </c>
      <c r="C717" s="16" t="s">
        <v>717</v>
      </c>
      <c r="D717" s="16" t="s">
        <v>45</v>
      </c>
      <c r="E717" s="16" t="s">
        <v>26</v>
      </c>
      <c r="F717" s="16" t="s">
        <v>718</v>
      </c>
      <c r="G717" s="17">
        <v>1937</v>
      </c>
      <c r="H717" s="17"/>
      <c r="I717" s="17"/>
      <c r="J717" s="17">
        <v>1927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1937</v>
      </c>
      <c r="M717" s="17">
        <f aca="false">IF($H717="","",$H717+$K717)</f>
        <v/>
      </c>
      <c r="N717" s="17">
        <f aca="false">IF($J717="","",$J717+$K717)</f>
        <v>1927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IF($T718="","",1+COUNTIF($W$15:$W$895,"&lt;"&amp;W718))</f>
        <v/>
      </c>
      <c r="B718" s="16" t="s">
        <v>14</v>
      </c>
      <c r="C718" s="16" t="s">
        <v>719</v>
      </c>
      <c r="D718" s="16" t="s">
        <v>45</v>
      </c>
      <c r="E718" s="16" t="s">
        <v>26</v>
      </c>
      <c r="F718" s="16" t="s">
        <v>720</v>
      </c>
      <c r="G718" s="17">
        <v>1937</v>
      </c>
      <c r="H718" s="17"/>
      <c r="I718" s="17"/>
      <c r="J718" s="17">
        <v>1927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1937</v>
      </c>
      <c r="M718" s="17">
        <f aca="false">IF($H718="","",$H718+$K718)</f>
        <v/>
      </c>
      <c r="N718" s="17">
        <f aca="false">IF($J718="","",$J718+$K718)</f>
        <v>1927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IF($T719="","",1+COUNTIF($W$15:$W$895,"&lt;"&amp;W719))</f>
        <v/>
      </c>
      <c r="B719" s="16" t="s">
        <v>14</v>
      </c>
      <c r="C719" s="16" t="s">
        <v>1140</v>
      </c>
      <c r="D719" s="16" t="s">
        <v>61</v>
      </c>
      <c r="E719" s="16" t="s">
        <v>26</v>
      </c>
      <c r="F719" s="16" t="s">
        <v>1141</v>
      </c>
      <c r="G719" s="17">
        <v>1937</v>
      </c>
      <c r="H719" s="17"/>
      <c r="I719" s="17"/>
      <c r="J719" s="17">
        <v>1927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1937</v>
      </c>
      <c r="M719" s="17">
        <f aca="false">IF($H719="","",$H719+$K719)</f>
        <v/>
      </c>
      <c r="N719" s="17">
        <f aca="false">IF($J719="","",$J719+$K719)</f>
        <v>1927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IF($T720="","",1+COUNTIF($W$15:$W$895,"&lt;"&amp;W720))</f>
        <v/>
      </c>
      <c r="B720" s="16" t="s">
        <v>8</v>
      </c>
      <c r="C720" s="16" t="s">
        <v>973</v>
      </c>
      <c r="D720" s="16" t="s">
        <v>72</v>
      </c>
      <c r="E720" s="16" t="s">
        <v>26</v>
      </c>
      <c r="F720" s="16" t="s">
        <v>974</v>
      </c>
      <c r="G720" s="17">
        <v>1937</v>
      </c>
      <c r="H720" s="17"/>
      <c r="I720" s="17"/>
      <c r="J720" s="17">
        <v>1937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1937</v>
      </c>
      <c r="M720" s="17">
        <f aca="false">IF($H720="","",$H720+$K720)</f>
        <v/>
      </c>
      <c r="N720" s="17">
        <f aca="false">IF($J720="","",$J720+$K720)</f>
        <v>1937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IF($T721="","",1+COUNTIF($W$15:$W$895,"&lt;"&amp;W721))</f>
        <v/>
      </c>
      <c r="B721" s="16" t="s">
        <v>14</v>
      </c>
      <c r="C721" s="16" t="s">
        <v>122</v>
      </c>
      <c r="D721" s="21" t="s">
        <v>81</v>
      </c>
      <c r="E721" s="16" t="s">
        <v>26</v>
      </c>
      <c r="F721" s="16" t="s">
        <v>123</v>
      </c>
      <c r="G721" s="17">
        <v>1938</v>
      </c>
      <c r="H721" s="17"/>
      <c r="I721" s="17"/>
      <c r="J721" s="17">
        <v>1928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1938</v>
      </c>
      <c r="M721" s="17">
        <f aca="false">IF($H721="","",$H721+$K721)</f>
        <v/>
      </c>
      <c r="N721" s="17">
        <f aca="false">IF($J721="","",$J721+$K721)</f>
        <v>1928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IF($T722="","",1+COUNTIF($W$15:$W$895,"&lt;"&amp;W722))</f>
        <v/>
      </c>
      <c r="B722" s="16" t="s">
        <v>14</v>
      </c>
      <c r="C722" s="16" t="s">
        <v>1244</v>
      </c>
      <c r="D722" s="16" t="s">
        <v>72</v>
      </c>
      <c r="E722" s="16" t="s">
        <v>62</v>
      </c>
      <c r="F722" s="16" t="s">
        <v>1245</v>
      </c>
      <c r="G722" s="17">
        <v>1938</v>
      </c>
      <c r="H722" s="17"/>
      <c r="I722" s="17"/>
      <c r="J722" s="17">
        <v>1938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1938</v>
      </c>
      <c r="M722" s="17">
        <f aca="false">IF($H722="","",$H722+$K722)</f>
        <v/>
      </c>
      <c r="N722" s="17">
        <f aca="false">IF($J722="","",$J722+$K722)</f>
        <v>1938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IF($T723="","",1+COUNTIF($W$15:$W$895,"&lt;"&amp;W723))</f>
        <v/>
      </c>
      <c r="B723" s="16" t="s">
        <v>18</v>
      </c>
      <c r="C723" s="16" t="s">
        <v>1277</v>
      </c>
      <c r="D723" s="16" t="s">
        <v>45</v>
      </c>
      <c r="E723" s="16" t="s">
        <v>62</v>
      </c>
      <c r="F723" s="16" t="s">
        <v>1278</v>
      </c>
      <c r="G723" s="17">
        <v>1939</v>
      </c>
      <c r="H723" s="17"/>
      <c r="I723" s="17"/>
      <c r="J723" s="17">
        <v>1859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1939</v>
      </c>
      <c r="M723" s="17">
        <f aca="false">IF($H723="","",$H723+$K723)</f>
        <v/>
      </c>
      <c r="N723" s="17">
        <f aca="false">IF($J723="","",$J723+$K723)</f>
        <v>1859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IF($T724="","",1+COUNTIF($W$15:$W$895,"&lt;"&amp;W724))</f>
        <v/>
      </c>
      <c r="B724" s="16" t="s">
        <v>14</v>
      </c>
      <c r="C724" s="16" t="s">
        <v>1775</v>
      </c>
      <c r="D724" s="16" t="s">
        <v>45</v>
      </c>
      <c r="E724" s="16" t="s">
        <v>26</v>
      </c>
      <c r="F724" s="16" t="s">
        <v>1776</v>
      </c>
      <c r="G724" s="17">
        <v>1939</v>
      </c>
      <c r="H724" s="17"/>
      <c r="I724" s="17"/>
      <c r="J724" s="17">
        <v>1895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1939</v>
      </c>
      <c r="M724" s="17">
        <f aca="false">IF($H724="","",$H724+$K724)</f>
        <v/>
      </c>
      <c r="N724" s="17">
        <f aca="false">IF($J724="","",$J724+$K724)</f>
        <v>1895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IF($T725="","",1+COUNTIF($W$15:$W$895,"&lt;"&amp;W725))</f>
        <v/>
      </c>
      <c r="B725" s="16" t="s">
        <v>14</v>
      </c>
      <c r="C725" s="16" t="s">
        <v>639</v>
      </c>
      <c r="D725" s="16" t="s">
        <v>58</v>
      </c>
      <c r="E725" s="16" t="s">
        <v>26</v>
      </c>
      <c r="F725" s="16" t="s">
        <v>640</v>
      </c>
      <c r="G725" s="17">
        <v>1939</v>
      </c>
      <c r="H725" s="17"/>
      <c r="I725" s="17"/>
      <c r="J725" s="17">
        <v>1899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1939</v>
      </c>
      <c r="M725" s="17">
        <f aca="false">IF($H725="","",$H725+$K725)</f>
        <v/>
      </c>
      <c r="N725" s="17">
        <f aca="false">IF($J725="","",$J725+$K725)</f>
        <v>1899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IF($T726="","",1+COUNTIF($W$15:$W$895,"&lt;"&amp;W726))</f>
        <v/>
      </c>
      <c r="B726" s="16" t="s">
        <v>14</v>
      </c>
      <c r="C726" s="16" t="s">
        <v>350</v>
      </c>
      <c r="D726" s="16" t="s">
        <v>58</v>
      </c>
      <c r="E726" s="16" t="s">
        <v>26</v>
      </c>
      <c r="F726" s="16" t="s">
        <v>351</v>
      </c>
      <c r="G726" s="17">
        <v>1939</v>
      </c>
      <c r="H726" s="17"/>
      <c r="I726" s="17"/>
      <c r="J726" s="17">
        <v>1919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1939</v>
      </c>
      <c r="M726" s="17">
        <f aca="false">IF($H726="","",$H726+$K726)</f>
        <v/>
      </c>
      <c r="N726" s="17">
        <f aca="false">IF($J726="","",$J726+$K726)</f>
        <v>1919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IF($T727="","",1+COUNTIF($W$15:$W$895,"&lt;"&amp;W727))</f>
        <v/>
      </c>
      <c r="B727" s="16" t="s">
        <v>12</v>
      </c>
      <c r="C727" s="16" t="s">
        <v>1754</v>
      </c>
      <c r="D727" s="21" t="s">
        <v>81</v>
      </c>
      <c r="E727" s="16" t="s">
        <v>26</v>
      </c>
      <c r="F727" s="16" t="s">
        <v>1755</v>
      </c>
      <c r="G727" s="17">
        <v>1939</v>
      </c>
      <c r="H727" s="17"/>
      <c r="I727" s="17"/>
      <c r="J727" s="17">
        <v>1927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1939</v>
      </c>
      <c r="M727" s="17">
        <f aca="false">IF($H727="","",$H727+$K727)</f>
        <v/>
      </c>
      <c r="N727" s="17">
        <f aca="false">IF($J727="","",$J727+$K727)</f>
        <v>1927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C727" s="3"/>
    </row>
    <row r="728" s="5" collapsed="false" customFormat="true" customHeight="true" hidden="false" ht="28.5" outlineLevel="0">
      <c r="A728" s="16">
        <f aca="false">IF($T728="","",1+COUNTIF($W$15:$W$895,"&lt;"&amp;W728))</f>
        <v/>
      </c>
      <c r="B728" s="16" t="s">
        <v>14</v>
      </c>
      <c r="C728" s="16" t="s">
        <v>1198</v>
      </c>
      <c r="D728" s="16" t="s">
        <v>45</v>
      </c>
      <c r="E728" s="16" t="s">
        <v>26</v>
      </c>
      <c r="F728" s="16" t="s">
        <v>1199</v>
      </c>
      <c r="G728" s="17">
        <v>1939</v>
      </c>
      <c r="H728" s="17"/>
      <c r="I728" s="17"/>
      <c r="J728" s="17">
        <v>1929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1939</v>
      </c>
      <c r="M728" s="17">
        <f aca="false">IF($H728="","",$H728+$K728)</f>
        <v/>
      </c>
      <c r="N728" s="17">
        <f aca="false">IF($J728="","",$J728+$K728)</f>
        <v>1929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IF($T729="","",1+COUNTIF($W$15:$W$895,"&lt;"&amp;W729))</f>
        <v/>
      </c>
      <c r="B729" s="16" t="s">
        <v>12</v>
      </c>
      <c r="C729" s="16" t="s">
        <v>1540</v>
      </c>
      <c r="D729" s="20" t="s">
        <v>58</v>
      </c>
      <c r="E729" s="16" t="s">
        <v>26</v>
      </c>
      <c r="F729" s="16" t="s">
        <v>1541</v>
      </c>
      <c r="G729" s="17">
        <v>1939</v>
      </c>
      <c r="H729" s="17"/>
      <c r="I729" s="17"/>
      <c r="J729" s="17">
        <v>1939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1939</v>
      </c>
      <c r="M729" s="17">
        <f aca="false">IF($H729="","",$H729+$K729)</f>
        <v/>
      </c>
      <c r="N729" s="17">
        <f aca="false">IF($J729="","",$J729+$K729)</f>
        <v>1939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IF($T730="","",1+COUNTIF($W$15:$W$895,"&lt;"&amp;W730))</f>
        <v/>
      </c>
      <c r="B730" s="16" t="s">
        <v>14</v>
      </c>
      <c r="C730" s="16" t="s">
        <v>1015</v>
      </c>
      <c r="D730" s="16" t="s">
        <v>45</v>
      </c>
      <c r="E730" s="16" t="s">
        <v>26</v>
      </c>
      <c r="F730" s="16" t="s">
        <v>1016</v>
      </c>
      <c r="G730" s="17">
        <v>1939</v>
      </c>
      <c r="H730" s="17"/>
      <c r="I730" s="17"/>
      <c r="J730" s="17">
        <v>1949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1939</v>
      </c>
      <c r="M730" s="17">
        <f aca="false">IF($H730="","",$H730+$K730)</f>
        <v/>
      </c>
      <c r="N730" s="17">
        <f aca="false">IF($J730="","",$J730+$K730)</f>
        <v>1949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6" collapsed="false" customFormat="true" customHeight="true" hidden="false" ht="28.5" outlineLevel="0">
      <c r="A731" s="16">
        <f aca="false">IF($T731="","",1+COUNTIF($W$15:$W$895,"&lt;"&amp;W731))</f>
        <v/>
      </c>
      <c r="B731" s="16" t="s">
        <v>14</v>
      </c>
      <c r="C731" s="16" t="s">
        <v>1685</v>
      </c>
      <c r="D731" s="16" t="s">
        <v>58</v>
      </c>
      <c r="E731" s="16" t="s">
        <v>26</v>
      </c>
      <c r="F731" s="16" t="s">
        <v>1686</v>
      </c>
      <c r="G731" s="17">
        <v>1939</v>
      </c>
      <c r="H731" s="17"/>
      <c r="I731" s="17"/>
      <c r="J731" s="17">
        <v>1949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1939</v>
      </c>
      <c r="M731" s="17">
        <f aca="false">IF($H731="","",$H731+$K731)</f>
        <v/>
      </c>
      <c r="N731" s="17">
        <f aca="false">IF($J731="","",$J731+$K731)</f>
        <v>1949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IF($T732="","",1+COUNTIF($W$15:$W$895,"&lt;"&amp;W732))</f>
        <v/>
      </c>
      <c r="B732" s="16" t="s">
        <v>10</v>
      </c>
      <c r="C732" s="16" t="s">
        <v>917</v>
      </c>
      <c r="D732" s="16" t="s">
        <v>45</v>
      </c>
      <c r="E732" s="16" t="s">
        <v>62</v>
      </c>
      <c r="F732" s="16" t="s">
        <v>918</v>
      </c>
      <c r="G732" s="17">
        <v>1939</v>
      </c>
      <c r="H732" s="17"/>
      <c r="I732" s="17"/>
      <c r="J732" s="17">
        <v>1979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1939</v>
      </c>
      <c r="M732" s="17">
        <f aca="false">IF($H732="","",$H732+$K732)</f>
        <v/>
      </c>
      <c r="N732" s="17">
        <f aca="false">IF($J732="","",$J732+$K732)</f>
        <v>1979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22" collapsed="false" customFormat="true" customHeight="true" hidden="false" ht="28.5" outlineLevel="0">
      <c r="A733" s="16">
        <f aca="false">IF($T733="","",1+COUNTIF($W$15:$W$895,"&lt;"&amp;W733))</f>
        <v/>
      </c>
      <c r="B733" s="16" t="s">
        <v>16</v>
      </c>
      <c r="C733" s="16" t="s">
        <v>1402</v>
      </c>
      <c r="D733" s="16" t="s">
        <v>72</v>
      </c>
      <c r="E733" s="16" t="s">
        <v>26</v>
      </c>
      <c r="F733" s="16" t="s">
        <v>1403</v>
      </c>
      <c r="G733" s="17">
        <v>1940</v>
      </c>
      <c r="H733" s="17"/>
      <c r="I733" s="17"/>
      <c r="J733" s="17">
        <v>1920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1940</v>
      </c>
      <c r="M733" s="17">
        <f aca="false">IF($H733="","",$H733+$K733)</f>
        <v/>
      </c>
      <c r="N733" s="17">
        <f aca="false">IF($J733="","",$J733+$K733)</f>
        <v>1920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IF($T734="","",1+COUNTIF($W$15:$W$895,"&lt;"&amp;W734))</f>
        <v/>
      </c>
      <c r="B734" s="16" t="s">
        <v>8</v>
      </c>
      <c r="C734" s="16" t="s">
        <v>599</v>
      </c>
      <c r="D734" s="21" t="s">
        <v>81</v>
      </c>
      <c r="E734" s="16" t="s">
        <v>26</v>
      </c>
      <c r="F734" s="16" t="s">
        <v>600</v>
      </c>
      <c r="G734" s="17">
        <v>1942</v>
      </c>
      <c r="H734" s="17"/>
      <c r="I734" s="17"/>
      <c r="J734" s="17">
        <v>1935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1942</v>
      </c>
      <c r="M734" s="17">
        <f aca="false">IF($H734="","",$H734+$K734)</f>
        <v/>
      </c>
      <c r="N734" s="17">
        <f aca="false">IF($J734="","",$J734+$K734)</f>
        <v>1935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22" collapsed="false" customFormat="true" customHeight="true" hidden="false" ht="28.5" outlineLevel="0">
      <c r="A735" s="16">
        <f aca="false">IF($T735="","",1+COUNTIF($W$15:$W$895,"&lt;"&amp;W735))</f>
        <v/>
      </c>
      <c r="B735" s="16" t="s">
        <v>10</v>
      </c>
      <c r="C735" s="16" t="s">
        <v>1184</v>
      </c>
      <c r="D735" s="16" t="s">
        <v>45</v>
      </c>
      <c r="E735" s="16" t="s">
        <v>26</v>
      </c>
      <c r="F735" s="16" t="s">
        <v>1185</v>
      </c>
      <c r="G735" s="17">
        <v>1944</v>
      </c>
      <c r="H735" s="17"/>
      <c r="I735" s="17"/>
      <c r="J735" s="17">
        <v>1934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1944</v>
      </c>
      <c r="M735" s="17">
        <f aca="false">IF($H735="","",$H735+$K735)</f>
        <v/>
      </c>
      <c r="N735" s="17">
        <f aca="false">IF($J735="","",$J735+$K735)</f>
        <v>1934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IF($T736="","",1+COUNTIF($W$15:$W$895,"&lt;"&amp;W736))</f>
        <v/>
      </c>
      <c r="B736" s="16" t="s">
        <v>18</v>
      </c>
      <c r="C736" s="16" t="s">
        <v>995</v>
      </c>
      <c r="D736" s="16" t="s">
        <v>58</v>
      </c>
      <c r="E736" s="16" t="s">
        <v>62</v>
      </c>
      <c r="F736" s="16" t="s">
        <v>996</v>
      </c>
      <c r="G736" s="17">
        <v>1945</v>
      </c>
      <c r="H736" s="17"/>
      <c r="I736" s="17"/>
      <c r="J736" s="17">
        <v>1935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1945</v>
      </c>
      <c r="M736" s="17">
        <f aca="false">IF($H736="","",$H736+$K736)</f>
        <v/>
      </c>
      <c r="N736" s="17">
        <f aca="false">IF($J736="","",$J736+$K736)</f>
        <v>1935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IF($T737="","",1+COUNTIF($W$15:$W$895,"&lt;"&amp;W737))</f>
        <v/>
      </c>
      <c r="B737" s="16" t="s">
        <v>8</v>
      </c>
      <c r="C737" s="16" t="s">
        <v>971</v>
      </c>
      <c r="D737" s="16" t="s">
        <v>58</v>
      </c>
      <c r="E737" s="16" t="s">
        <v>26</v>
      </c>
      <c r="F737" s="16" t="s">
        <v>972</v>
      </c>
      <c r="G737" s="17">
        <v>1945</v>
      </c>
      <c r="H737" s="17"/>
      <c r="I737" s="17"/>
      <c r="J737" s="17">
        <v>1935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1945</v>
      </c>
      <c r="M737" s="17">
        <f aca="false">IF($H737="","",$H737+$K737)</f>
        <v/>
      </c>
      <c r="N737" s="17">
        <f aca="false">IF($J737="","",$J737+$K737)</f>
        <v>1935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IF($T738="","",1+COUNTIF($W$15:$W$895,"&lt;"&amp;W738))</f>
        <v/>
      </c>
      <c r="B738" s="16" t="s">
        <v>12</v>
      </c>
      <c r="C738" s="16" t="s">
        <v>1767</v>
      </c>
      <c r="D738" s="20" t="s">
        <v>45</v>
      </c>
      <c r="E738" s="16" t="s">
        <v>26</v>
      </c>
      <c r="F738" s="16" t="s">
        <v>1768</v>
      </c>
      <c r="G738" s="17">
        <v>1945</v>
      </c>
      <c r="H738" s="17"/>
      <c r="I738" s="17"/>
      <c r="J738" s="17">
        <v>1935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1945</v>
      </c>
      <c r="M738" s="17">
        <f aca="false">IF($H738="","",$H738+$K738)</f>
        <v/>
      </c>
      <c r="N738" s="17">
        <f aca="false">IF($J738="","",$J738+$K738)</f>
        <v>1935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C738" s="3"/>
    </row>
    <row r="739" s="5" collapsed="false" customFormat="true" customHeight="true" hidden="false" ht="28.5" outlineLevel="0">
      <c r="A739" s="16">
        <f aca="false">IF($T739="","",1+COUNTIF($W$15:$W$895,"&lt;"&amp;W739))</f>
        <v/>
      </c>
      <c r="B739" s="16" t="s">
        <v>16</v>
      </c>
      <c r="C739" s="16" t="s">
        <v>759</v>
      </c>
      <c r="D739" s="16" t="s">
        <v>96</v>
      </c>
      <c r="E739" s="16" t="s">
        <v>26</v>
      </c>
      <c r="F739" s="16" t="s">
        <v>760</v>
      </c>
      <c r="G739" s="17">
        <v>1945</v>
      </c>
      <c r="H739" s="17"/>
      <c r="I739" s="17"/>
      <c r="J739" s="17">
        <v>1940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1945</v>
      </c>
      <c r="M739" s="17">
        <f aca="false">IF($H739="","",$H739+$K739)</f>
        <v/>
      </c>
      <c r="N739" s="17">
        <f aca="false">IF($J739="","",$J739+$K739)</f>
        <v>1940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IF($T740="","",1+COUNTIF($W$15:$W$895,"&lt;"&amp;W740))</f>
        <v/>
      </c>
      <c r="B740" s="16" t="s">
        <v>14</v>
      </c>
      <c r="C740" s="16" t="s">
        <v>674</v>
      </c>
      <c r="D740" s="21" t="s">
        <v>81</v>
      </c>
      <c r="E740" s="16" t="s">
        <v>62</v>
      </c>
      <c r="F740" s="16" t="s">
        <v>675</v>
      </c>
      <c r="G740" s="17">
        <v>1945</v>
      </c>
      <c r="H740" s="17"/>
      <c r="I740" s="17"/>
      <c r="J740" s="17">
        <v>1945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1945</v>
      </c>
      <c r="M740" s="17">
        <f aca="false">IF($H740="","",$H740+$K740)</f>
        <v/>
      </c>
      <c r="N740" s="17">
        <f aca="false">IF($J740="","",$J740+$K740)</f>
        <v>1945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IF($T741="","",1+COUNTIF($W$15:$W$895,"&lt;"&amp;W741))</f>
        <v/>
      </c>
      <c r="B741" s="16" t="s">
        <v>10</v>
      </c>
      <c r="C741" s="16" t="s">
        <v>1739</v>
      </c>
      <c r="D741" s="16" t="s">
        <v>58</v>
      </c>
      <c r="E741" s="16" t="s">
        <v>62</v>
      </c>
      <c r="F741" s="16" t="s">
        <v>1740</v>
      </c>
      <c r="G741" s="17">
        <v>1945</v>
      </c>
      <c r="H741" s="17"/>
      <c r="I741" s="17"/>
      <c r="J741" s="17">
        <v>1945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1945</v>
      </c>
      <c r="M741" s="17">
        <f aca="false">IF($H741="","",$H741+$K741)</f>
        <v/>
      </c>
      <c r="N741" s="17">
        <f aca="false">IF($J741="","",$J741+$K741)</f>
        <v>1945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5" collapsed="false" customFormat="true" customHeight="true" hidden="false" ht="28.5" outlineLevel="0">
      <c r="A742" s="16">
        <f aca="false">IF($T742="","",1+COUNTIF($W$15:$W$895,"&lt;"&amp;W742))</f>
        <v/>
      </c>
      <c r="B742" s="16" t="s">
        <v>10</v>
      </c>
      <c r="C742" s="16" t="s">
        <v>1226</v>
      </c>
      <c r="D742" s="21" t="s">
        <v>81</v>
      </c>
      <c r="E742" s="16" t="s">
        <v>26</v>
      </c>
      <c r="F742" s="16" t="s">
        <v>1227</v>
      </c>
      <c r="G742" s="17">
        <v>1947</v>
      </c>
      <c r="H742" s="17"/>
      <c r="I742" s="17"/>
      <c r="J742" s="17">
        <v>1927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1947</v>
      </c>
      <c r="M742" s="17">
        <f aca="false">IF($H742="","",$H742+$K742)</f>
        <v/>
      </c>
      <c r="N742" s="17">
        <f aca="false">IF($J742="","",$J742+$K742)</f>
        <v>1927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IF($T743="","",1+COUNTIF($W$15:$W$895,"&lt;"&amp;W743))</f>
        <v/>
      </c>
      <c r="B743" s="16" t="s">
        <v>8</v>
      </c>
      <c r="C743" s="16" t="s">
        <v>965</v>
      </c>
      <c r="D743" s="16" t="s">
        <v>72</v>
      </c>
      <c r="E743" s="16" t="s">
        <v>26</v>
      </c>
      <c r="F743" s="16" t="s">
        <v>966</v>
      </c>
      <c r="G743" s="17">
        <v>1947</v>
      </c>
      <c r="H743" s="17"/>
      <c r="I743" s="17"/>
      <c r="J743" s="17">
        <v>1937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1947</v>
      </c>
      <c r="M743" s="17">
        <f aca="false">IF($H743="","",$H743+$K743)</f>
        <v/>
      </c>
      <c r="N743" s="17">
        <f aca="false">IF($J743="","",$J743+$K743)</f>
        <v>1937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IF($T744="","",1+COUNTIF($W$15:$W$895,"&lt;"&amp;W744))</f>
        <v/>
      </c>
      <c r="B744" s="16" t="s">
        <v>10</v>
      </c>
      <c r="C744" s="16" t="s">
        <v>474</v>
      </c>
      <c r="D744" s="21" t="s">
        <v>81</v>
      </c>
      <c r="E744" s="16" t="s">
        <v>26</v>
      </c>
      <c r="F744" s="16" t="s">
        <v>475</v>
      </c>
      <c r="G744" s="17">
        <v>1947</v>
      </c>
      <c r="H744" s="17"/>
      <c r="I744" s="17"/>
      <c r="J744" s="17">
        <v>1937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1947</v>
      </c>
      <c r="M744" s="17">
        <f aca="false">IF($H744="","",$H744+$K744)</f>
        <v/>
      </c>
      <c r="N744" s="17">
        <f aca="false">IF($J744="","",$J744+$K744)</f>
        <v>1937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IF($T745="","",1+COUNTIF($W$15:$W$895,"&lt;"&amp;W745))</f>
        <v/>
      </c>
      <c r="B745" s="16" t="s">
        <v>12</v>
      </c>
      <c r="C745" s="16" t="s">
        <v>396</v>
      </c>
      <c r="D745" s="21" t="s">
        <v>81</v>
      </c>
      <c r="E745" s="16" t="s">
        <v>62</v>
      </c>
      <c r="F745" s="16" t="s">
        <v>397</v>
      </c>
      <c r="G745" s="17">
        <v>1947</v>
      </c>
      <c r="H745" s="17"/>
      <c r="I745" s="17"/>
      <c r="J745" s="17">
        <v>1947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1947</v>
      </c>
      <c r="M745" s="17">
        <f aca="false">IF($H745="","",$H745+$K745)</f>
        <v/>
      </c>
      <c r="N745" s="17">
        <f aca="false">IF($J745="","",$J745+$K745)</f>
        <v>1947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22" collapsed="false" customFormat="true" customHeight="true" hidden="false" ht="28.5" outlineLevel="0">
      <c r="A746" s="16">
        <f aca="false">IF($T746="","",1+COUNTIF($W$15:$W$895,"&lt;"&amp;W746))</f>
        <v/>
      </c>
      <c r="B746" s="16" t="s">
        <v>14</v>
      </c>
      <c r="C746" s="16" t="s">
        <v>1580</v>
      </c>
      <c r="D746" s="16" t="s">
        <v>58</v>
      </c>
      <c r="E746" s="16" t="s">
        <v>26</v>
      </c>
      <c r="F746" s="16" t="s">
        <v>1581</v>
      </c>
      <c r="G746" s="17">
        <v>1948</v>
      </c>
      <c r="H746" s="17"/>
      <c r="I746" s="17"/>
      <c r="J746" s="17">
        <v>1898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1948</v>
      </c>
      <c r="M746" s="17">
        <f aca="false">IF($H746="","",$H746+$K746)</f>
        <v/>
      </c>
      <c r="N746" s="17">
        <f aca="false">IF($J746="","",$J746+$K746)</f>
        <v>1898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IF($T747="","",1+COUNTIF($W$15:$W$895,"&lt;"&amp;W747))</f>
        <v/>
      </c>
      <c r="B747" s="16" t="s">
        <v>10</v>
      </c>
      <c r="C747" s="16" t="s">
        <v>747</v>
      </c>
      <c r="D747" s="16" t="s">
        <v>61</v>
      </c>
      <c r="E747" s="16" t="s">
        <v>26</v>
      </c>
      <c r="F747" s="16" t="s">
        <v>748</v>
      </c>
      <c r="G747" s="17">
        <v>1948</v>
      </c>
      <c r="H747" s="17"/>
      <c r="I747" s="17"/>
      <c r="J747" s="17">
        <v>1938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1948</v>
      </c>
      <c r="M747" s="17">
        <f aca="false">IF($H747="","",$H747+$K747)</f>
        <v/>
      </c>
      <c r="N747" s="17">
        <f aca="false">IF($J747="","",$J747+$K747)</f>
        <v>1938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6" collapsed="false" customFormat="true" customHeight="true" hidden="false" ht="28.5" outlineLevel="0">
      <c r="A748" s="16">
        <f aca="false">IF($T748="","",1+COUNTIF($W$15:$W$895,"&lt;"&amp;W748))</f>
        <v/>
      </c>
      <c r="B748" s="16" t="s">
        <v>10</v>
      </c>
      <c r="C748" s="16" t="s">
        <v>1715</v>
      </c>
      <c r="D748" s="16" t="s">
        <v>45</v>
      </c>
      <c r="E748" s="16" t="s">
        <v>62</v>
      </c>
      <c r="F748" s="16" t="s">
        <v>1718</v>
      </c>
      <c r="G748" s="17">
        <v>1948</v>
      </c>
      <c r="H748" s="17"/>
      <c r="I748" s="17"/>
      <c r="J748" s="17">
        <v>1938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1948</v>
      </c>
      <c r="M748" s="17">
        <f aca="false">IF($H748="","",$H748+$K748)</f>
        <v/>
      </c>
      <c r="N748" s="17">
        <f aca="false">IF($J748="","",$J748+$K748)</f>
        <v>1938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C748" s="3"/>
    </row>
    <row r="749" s="6" collapsed="false" customFormat="true" customHeight="true" hidden="false" ht="28.5" outlineLevel="0">
      <c r="A749" s="16">
        <f aca="false">IF($T749="","",1+COUNTIF($W$15:$W$895,"&lt;"&amp;W749))</f>
        <v/>
      </c>
      <c r="B749" s="16" t="s">
        <v>6</v>
      </c>
      <c r="C749" s="16" t="s">
        <v>360</v>
      </c>
      <c r="D749" s="21" t="s">
        <v>81</v>
      </c>
      <c r="E749" s="16" t="s">
        <v>26</v>
      </c>
      <c r="F749" s="16" t="s">
        <v>361</v>
      </c>
      <c r="G749" s="17">
        <v>1948</v>
      </c>
      <c r="H749" s="17"/>
      <c r="I749" s="17"/>
      <c r="J749" s="17">
        <v>1948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1948</v>
      </c>
      <c r="M749" s="17">
        <f aca="false">IF($H749="","",$H749+$K749)</f>
        <v/>
      </c>
      <c r="N749" s="17">
        <f aca="false">IF($J749="","",$J749+$K749)</f>
        <v>1948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C749" s="3"/>
    </row>
    <row r="750" s="5" collapsed="false" customFormat="true" customHeight="true" hidden="false" ht="28.5" outlineLevel="0">
      <c r="A750" s="16">
        <f aca="false">IF($T750="","",1+COUNTIF($W$15:$W$895,"&lt;"&amp;W750))</f>
        <v/>
      </c>
      <c r="B750" s="16" t="s">
        <v>10</v>
      </c>
      <c r="C750" s="16" t="s">
        <v>1040</v>
      </c>
      <c r="D750" s="16" t="s">
        <v>58</v>
      </c>
      <c r="E750" s="16" t="s">
        <v>26</v>
      </c>
      <c r="F750" s="16" t="s">
        <v>1041</v>
      </c>
      <c r="G750" s="17">
        <v>1949</v>
      </c>
      <c r="H750" s="17"/>
      <c r="I750" s="17"/>
      <c r="J750" s="17">
        <v>1935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1949</v>
      </c>
      <c r="M750" s="17">
        <f aca="false">IF($H750="","",$H750+$K750)</f>
        <v/>
      </c>
      <c r="N750" s="17">
        <f aca="false">IF($J750="","",$J750+$K750)</f>
        <v>1935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IF($T751="","",1+COUNTIF($W$15:$W$895,"&lt;"&amp;W751))</f>
        <v/>
      </c>
      <c r="B751" s="16" t="s">
        <v>14</v>
      </c>
      <c r="C751" s="16" t="s">
        <v>507</v>
      </c>
      <c r="D751" s="16" t="s">
        <v>45</v>
      </c>
      <c r="E751" s="16" t="s">
        <v>26</v>
      </c>
      <c r="F751" s="16" t="s">
        <v>508</v>
      </c>
      <c r="G751" s="17">
        <v>1949</v>
      </c>
      <c r="H751" s="17"/>
      <c r="I751" s="17"/>
      <c r="J751" s="17">
        <v>1939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1949</v>
      </c>
      <c r="M751" s="17">
        <f aca="false">IF($H751="","",$H751+$K751)</f>
        <v/>
      </c>
      <c r="N751" s="17">
        <f aca="false">IF($J751="","",$J751+$K751)</f>
        <v>1939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IF($T752="","",1+COUNTIF($W$15:$W$895,"&lt;"&amp;W752))</f>
        <v/>
      </c>
      <c r="B752" s="16" t="s">
        <v>12</v>
      </c>
      <c r="C752" s="16" t="s">
        <v>1792</v>
      </c>
      <c r="D752" s="20" t="s">
        <v>45</v>
      </c>
      <c r="E752" s="16" t="s">
        <v>26</v>
      </c>
      <c r="F752" s="16" t="s">
        <v>665</v>
      </c>
      <c r="G752" s="17">
        <v>1949</v>
      </c>
      <c r="H752" s="17"/>
      <c r="I752" s="17"/>
      <c r="J752" s="17">
        <v>1947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1949</v>
      </c>
      <c r="M752" s="17">
        <f aca="false">IF($H752="","",$H752+$K752)</f>
        <v/>
      </c>
      <c r="N752" s="17">
        <f aca="false">IF($J752="","",$J752+$K752)</f>
        <v>1947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IF($T753="","",1+COUNTIF($W$15:$W$895,"&lt;"&amp;W753))</f>
        <v/>
      </c>
      <c r="B753" s="16" t="s">
        <v>16</v>
      </c>
      <c r="C753" s="16" t="s">
        <v>1051</v>
      </c>
      <c r="D753" s="16" t="s">
        <v>58</v>
      </c>
      <c r="E753" s="16" t="s">
        <v>62</v>
      </c>
      <c r="F753" s="16" t="s">
        <v>1052</v>
      </c>
      <c r="G753" s="17">
        <v>1949</v>
      </c>
      <c r="H753" s="17"/>
      <c r="I753" s="17"/>
      <c r="J753" s="17">
        <v>1949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1949</v>
      </c>
      <c r="M753" s="17">
        <f aca="false">IF($H753="","",$H753+$K753)</f>
        <v/>
      </c>
      <c r="N753" s="17">
        <f aca="false">IF($J753="","",$J753+$K753)</f>
        <v>1949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IF($T754="","",1+COUNTIF($W$15:$W$895,"&lt;"&amp;W754))</f>
        <v/>
      </c>
      <c r="B754" s="16" t="s">
        <v>8</v>
      </c>
      <c r="C754" s="16" t="s">
        <v>520</v>
      </c>
      <c r="D754" s="16" t="s">
        <v>45</v>
      </c>
      <c r="E754" s="16" t="s">
        <v>26</v>
      </c>
      <c r="F754" s="16" t="s">
        <v>521</v>
      </c>
      <c r="G754" s="17">
        <v>1949</v>
      </c>
      <c r="H754" s="17"/>
      <c r="I754" s="17"/>
      <c r="J754" s="17">
        <v>1949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1949</v>
      </c>
      <c r="M754" s="17">
        <f aca="false">IF($H754="","",$H754+$K754)</f>
        <v/>
      </c>
      <c r="N754" s="17">
        <f aca="false">IF($J754="","",$J754+$K754)</f>
        <v>1949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IF($T755="","",1+COUNTIF($W$15:$W$895,"&lt;"&amp;W755))</f>
        <v/>
      </c>
      <c r="B755" s="16" t="s">
        <v>8</v>
      </c>
      <c r="C755" s="16" t="s">
        <v>641</v>
      </c>
      <c r="D755" s="16" t="s">
        <v>48</v>
      </c>
      <c r="E755" s="16" t="s">
        <v>26</v>
      </c>
      <c r="F755" s="16" t="s">
        <v>642</v>
      </c>
      <c r="G755" s="17">
        <v>1949</v>
      </c>
      <c r="H755" s="17"/>
      <c r="I755" s="17"/>
      <c r="J755" s="17">
        <v>1949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1949</v>
      </c>
      <c r="M755" s="17">
        <f aca="false">IF($H755="","",$H755+$K755)</f>
        <v/>
      </c>
      <c r="N755" s="17">
        <f aca="false">IF($J755="","",$J755+$K755)</f>
        <v>1949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IF($T756="","",1+COUNTIF($W$15:$W$895,"&lt;"&amp;W756))</f>
        <v/>
      </c>
      <c r="B756" s="16" t="s">
        <v>8</v>
      </c>
      <c r="C756" s="16" t="s">
        <v>890</v>
      </c>
      <c r="D756" s="21" t="s">
        <v>81</v>
      </c>
      <c r="E756" s="16" t="s">
        <v>26</v>
      </c>
      <c r="F756" s="16" t="s">
        <v>891</v>
      </c>
      <c r="G756" s="17">
        <v>1949</v>
      </c>
      <c r="H756" s="17"/>
      <c r="I756" s="17"/>
      <c r="J756" s="17">
        <v>1949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1949</v>
      </c>
      <c r="M756" s="17">
        <f aca="false">IF($H756="","",$H756+$K756)</f>
        <v/>
      </c>
      <c r="N756" s="17">
        <f aca="false">IF($J756="","",$J756+$K756)</f>
        <v>1949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22" collapsed="false" customFormat="true" customHeight="true" hidden="false" ht="28.5" outlineLevel="0">
      <c r="A757" s="16">
        <f aca="false">IF($T757="","",1+COUNTIF($W$15:$W$895,"&lt;"&amp;W757))</f>
        <v/>
      </c>
      <c r="B757" s="16" t="s">
        <v>8</v>
      </c>
      <c r="C757" s="16" t="s">
        <v>1115</v>
      </c>
      <c r="D757" s="16" t="s">
        <v>58</v>
      </c>
      <c r="E757" s="16" t="s">
        <v>26</v>
      </c>
      <c r="F757" s="16" t="s">
        <v>1116</v>
      </c>
      <c r="G757" s="17">
        <v>1949</v>
      </c>
      <c r="H757" s="17"/>
      <c r="I757" s="17"/>
      <c r="J757" s="17">
        <v>1949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1949</v>
      </c>
      <c r="M757" s="17">
        <f aca="false">IF($H757="","",$H757+$K757)</f>
        <v/>
      </c>
      <c r="N757" s="17">
        <f aca="false">IF($J757="","",$J757+$K757)</f>
        <v>1949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6" collapsed="false" customFormat="true" customHeight="true" hidden="false" ht="28.5" outlineLevel="0">
      <c r="A758" s="16">
        <f aca="false">IF($T758="","",1+COUNTIF($W$15:$W$895,"&lt;"&amp;W758))</f>
        <v/>
      </c>
      <c r="B758" s="16" t="s">
        <v>8</v>
      </c>
      <c r="C758" s="16" t="s">
        <v>1158</v>
      </c>
      <c r="D758" s="16" t="s">
        <v>48</v>
      </c>
      <c r="E758" s="16" t="s">
        <v>26</v>
      </c>
      <c r="F758" s="16" t="s">
        <v>1159</v>
      </c>
      <c r="G758" s="17">
        <v>1949</v>
      </c>
      <c r="H758" s="17"/>
      <c r="I758" s="17"/>
      <c r="J758" s="17">
        <v>1949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1949</v>
      </c>
      <c r="M758" s="17">
        <f aca="false">IF($H758="","",$H758+$K758)</f>
        <v/>
      </c>
      <c r="N758" s="17">
        <f aca="false">IF($J758="","",$J758+$K758)</f>
        <v>1949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C758" s="3"/>
    </row>
    <row r="759" s="6" collapsed="false" customFormat="true" customHeight="true" hidden="false" ht="28.5" outlineLevel="0">
      <c r="A759" s="16">
        <f aca="false">IF($T759="","",1+COUNTIF($W$15:$W$895,"&lt;"&amp;W759))</f>
        <v/>
      </c>
      <c r="B759" s="16" t="s">
        <v>10</v>
      </c>
      <c r="C759" s="16" t="s">
        <v>1208</v>
      </c>
      <c r="D759" s="16" t="s">
        <v>61</v>
      </c>
      <c r="E759" s="16" t="s">
        <v>62</v>
      </c>
      <c r="F759" s="16" t="s">
        <v>1209</v>
      </c>
      <c r="G759" s="17">
        <v>1949</v>
      </c>
      <c r="H759" s="17"/>
      <c r="I759" s="17"/>
      <c r="J759" s="17">
        <v>1949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1949</v>
      </c>
      <c r="M759" s="17">
        <f aca="false">IF($H759="","",$H759+$K759)</f>
        <v/>
      </c>
      <c r="N759" s="17">
        <f aca="false">IF($J759="","",$J759+$K759)</f>
        <v>1949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C759" s="3"/>
    </row>
    <row r="760" s="22" collapsed="false" customFormat="true" customHeight="true" hidden="false" ht="28.5" outlineLevel="0">
      <c r="A760" s="16">
        <f aca="false">IF($T760="","",1+COUNTIF($W$15:$W$895,"&lt;"&amp;W760))</f>
        <v/>
      </c>
      <c r="B760" s="16" t="s">
        <v>16</v>
      </c>
      <c r="C760" s="16" t="s">
        <v>1285</v>
      </c>
      <c r="D760" s="16" t="s">
        <v>72</v>
      </c>
      <c r="E760" s="16" t="s">
        <v>62</v>
      </c>
      <c r="F760" s="16" t="s">
        <v>1286</v>
      </c>
      <c r="G760" s="17">
        <v>1950</v>
      </c>
      <c r="H760" s="17"/>
      <c r="I760" s="17"/>
      <c r="J760" s="17">
        <v>1900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1950</v>
      </c>
      <c r="M760" s="17">
        <f aca="false">IF($H760="","",$H760+$K760)</f>
        <v/>
      </c>
      <c r="N760" s="17">
        <f aca="false">IF($J760="","",$J760+$K760)</f>
        <v>1900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6" collapsed="false" customFormat="true" customHeight="true" hidden="false" ht="28.5" outlineLevel="0">
      <c r="A761" s="16">
        <f aca="false">IF($T761="","",1+COUNTIF($W$15:$W$895,"&lt;"&amp;W761))</f>
        <v/>
      </c>
      <c r="B761" s="16" t="s">
        <v>16</v>
      </c>
      <c r="C761" s="16" t="s">
        <v>1287</v>
      </c>
      <c r="D761" s="16" t="s">
        <v>72</v>
      </c>
      <c r="E761" s="16" t="s">
        <v>62</v>
      </c>
      <c r="F761" s="16" t="s">
        <v>1288</v>
      </c>
      <c r="G761" s="17">
        <v>1950</v>
      </c>
      <c r="H761" s="17"/>
      <c r="I761" s="17"/>
      <c r="J761" s="17">
        <v>1900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1950</v>
      </c>
      <c r="M761" s="17">
        <f aca="false">IF($H761="","",$H761+$K761)</f>
        <v/>
      </c>
      <c r="N761" s="17">
        <f aca="false">IF($J761="","",$J761+$K761)</f>
        <v>1900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C761" s="3"/>
    </row>
    <row r="762" s="22" collapsed="false" customFormat="true" customHeight="true" hidden="false" ht="28.5" outlineLevel="0">
      <c r="A762" s="16">
        <f aca="false">IF($T762="","",1+COUNTIF($W$15:$W$895,"&lt;"&amp;W762))</f>
        <v/>
      </c>
      <c r="B762" s="16" t="s">
        <v>18</v>
      </c>
      <c r="C762" s="16" t="s">
        <v>1238</v>
      </c>
      <c r="D762" s="20" t="s">
        <v>45</v>
      </c>
      <c r="E762" s="16" t="s">
        <v>26</v>
      </c>
      <c r="F762" s="16" t="s">
        <v>1239</v>
      </c>
      <c r="G762" s="17">
        <v>1950</v>
      </c>
      <c r="H762" s="17"/>
      <c r="I762" s="17"/>
      <c r="J762" s="17">
        <v>1950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1950</v>
      </c>
      <c r="M762" s="17">
        <f aca="false">IF($H762="","",$H762+$K762)</f>
        <v/>
      </c>
      <c r="N762" s="17">
        <f aca="false">IF($J762="","",$J762+$K762)</f>
        <v>1950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22" collapsed="false" customFormat="true" customHeight="true" hidden="false" ht="28.5" outlineLevel="0">
      <c r="A763" s="16">
        <f aca="false">IF($T763="","",1+COUNTIF($W$15:$W$895,"&lt;"&amp;W763))</f>
        <v/>
      </c>
      <c r="B763" s="16" t="s">
        <v>18</v>
      </c>
      <c r="C763" s="16" t="s">
        <v>1335</v>
      </c>
      <c r="D763" s="16" t="s">
        <v>72</v>
      </c>
      <c r="E763" s="16" t="s">
        <v>62</v>
      </c>
      <c r="F763" s="16" t="s">
        <v>1336</v>
      </c>
      <c r="G763" s="17">
        <v>1950</v>
      </c>
      <c r="H763" s="17"/>
      <c r="I763" s="17"/>
      <c r="J763" s="17">
        <v>1950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1950</v>
      </c>
      <c r="M763" s="17">
        <f aca="false">IF($H763="","",$H763+$K763)</f>
        <v/>
      </c>
      <c r="N763" s="17">
        <f aca="false">IF($J763="","",$J763+$K763)</f>
        <v>1950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22" collapsed="false" customFormat="true" customHeight="true" hidden="false" ht="28.5" outlineLevel="0">
      <c r="A764" s="16">
        <f aca="false">IF($T764="","",1+COUNTIF($W$15:$W$895,"&lt;"&amp;W764))</f>
        <v/>
      </c>
      <c r="B764" s="16" t="s">
        <v>18</v>
      </c>
      <c r="C764" s="16" t="s">
        <v>1662</v>
      </c>
      <c r="D764" s="16" t="s">
        <v>58</v>
      </c>
      <c r="E764" s="16" t="s">
        <v>26</v>
      </c>
      <c r="F764" s="16" t="s">
        <v>1664</v>
      </c>
      <c r="G764" s="17">
        <v>1952</v>
      </c>
      <c r="H764" s="17"/>
      <c r="I764" s="17"/>
      <c r="J764" s="17">
        <v>1857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1952</v>
      </c>
      <c r="M764" s="17">
        <f aca="false">IF($H764="","",$H764+$K764)</f>
        <v/>
      </c>
      <c r="N764" s="17">
        <f aca="false">IF($J764="","",$J764+$K764)</f>
        <v>1857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IF($T765="","",1+COUNTIF($W$15:$W$895,"&lt;"&amp;W765))</f>
        <v/>
      </c>
      <c r="B765" s="16" t="s">
        <v>18</v>
      </c>
      <c r="C765" s="16" t="s">
        <v>691</v>
      </c>
      <c r="D765" s="21" t="s">
        <v>81</v>
      </c>
      <c r="E765" s="16" t="s">
        <v>26</v>
      </c>
      <c r="F765" s="16" t="s">
        <v>692</v>
      </c>
      <c r="G765" s="17">
        <v>1955</v>
      </c>
      <c r="H765" s="17"/>
      <c r="I765" s="17"/>
      <c r="J765" s="17">
        <v>1955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1955</v>
      </c>
      <c r="M765" s="17">
        <f aca="false">IF($H765="","",$H765+$K765)</f>
        <v/>
      </c>
      <c r="N765" s="17">
        <f aca="false">IF($J765="","",$J765+$K765)</f>
        <v>1955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IF($T766="","",1+COUNTIF($W$15:$W$895,"&lt;"&amp;W766))</f>
        <v/>
      </c>
      <c r="B766" s="16" t="s">
        <v>12</v>
      </c>
      <c r="C766" s="16" t="s">
        <v>687</v>
      </c>
      <c r="D766" s="20" t="s">
        <v>72</v>
      </c>
      <c r="E766" s="16" t="s">
        <v>62</v>
      </c>
      <c r="F766" s="16" t="s">
        <v>688</v>
      </c>
      <c r="G766" s="17">
        <v>1956</v>
      </c>
      <c r="H766" s="17"/>
      <c r="I766" s="17"/>
      <c r="J766" s="17">
        <v>1935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1956</v>
      </c>
      <c r="M766" s="17">
        <f aca="false">IF($H766="","",$H766+$K766)</f>
        <v/>
      </c>
      <c r="N766" s="17">
        <f aca="false">IF($J766="","",$J766+$K766)</f>
        <v>1935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IF($T767="","",1+COUNTIF($W$15:$W$895,"&lt;"&amp;W767))</f>
        <v/>
      </c>
      <c r="B767" s="16" t="s">
        <v>14</v>
      </c>
      <c r="C767" s="16" t="s">
        <v>431</v>
      </c>
      <c r="D767" s="16" t="s">
        <v>45</v>
      </c>
      <c r="E767" s="16" t="s">
        <v>62</v>
      </c>
      <c r="F767" s="16" t="s">
        <v>432</v>
      </c>
      <c r="G767" s="17">
        <v>1956</v>
      </c>
      <c r="H767" s="17"/>
      <c r="I767" s="17"/>
      <c r="J767" s="17">
        <v>1986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1956</v>
      </c>
      <c r="M767" s="17">
        <f aca="false">IF($H767="","",$H767+$K767)</f>
        <v/>
      </c>
      <c r="N767" s="17">
        <f aca="false">IF($J767="","",$J767+$K767)</f>
        <v>1986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IF($T768="","",1+COUNTIF($W$15:$W$895,"&lt;"&amp;W768))</f>
        <v/>
      </c>
      <c r="B768" s="16" t="s">
        <v>18</v>
      </c>
      <c r="C768" s="16" t="s">
        <v>332</v>
      </c>
      <c r="D768" s="16" t="s">
        <v>45</v>
      </c>
      <c r="E768" s="16" t="s">
        <v>26</v>
      </c>
      <c r="F768" s="16" t="s">
        <v>333</v>
      </c>
      <c r="G768" s="17">
        <v>1957</v>
      </c>
      <c r="H768" s="17"/>
      <c r="I768" s="17"/>
      <c r="J768" s="17">
        <v>1878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1957</v>
      </c>
      <c r="M768" s="17">
        <f aca="false">IF($H768="","",$H768+$K768)</f>
        <v/>
      </c>
      <c r="N768" s="17">
        <f aca="false">IF($J768="","",$J768+$K768)</f>
        <v>1878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 aca="false">IF($T769="","",1+COUNTIF($W$15:$W$895,"&lt;"&amp;W769))</f>
        <v/>
      </c>
      <c r="B769" s="16" t="s">
        <v>14</v>
      </c>
      <c r="C769" s="16" t="s">
        <v>1046</v>
      </c>
      <c r="D769" s="16" t="s">
        <v>58</v>
      </c>
      <c r="E769" s="16" t="s">
        <v>62</v>
      </c>
      <c r="F769" s="16" t="s">
        <v>1048</v>
      </c>
      <c r="G769" s="17">
        <v>1957</v>
      </c>
      <c r="H769" s="17"/>
      <c r="I769" s="17"/>
      <c r="J769" s="17">
        <v>1947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1957</v>
      </c>
      <c r="M769" s="17">
        <f aca="false">IF($H769="","",$H769+$K769)</f>
        <v/>
      </c>
      <c r="N769" s="17">
        <f aca="false">IF($J769="","",$J769+$K769)</f>
        <v>1947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IF($T770="","",1+COUNTIF($W$15:$W$895,"&lt;"&amp;W770))</f>
        <v/>
      </c>
      <c r="B770" s="16" t="s">
        <v>8</v>
      </c>
      <c r="C770" s="16" t="s">
        <v>1513</v>
      </c>
      <c r="D770" s="16" t="s">
        <v>45</v>
      </c>
      <c r="E770" s="16" t="s">
        <v>26</v>
      </c>
      <c r="F770" s="16" t="s">
        <v>1514</v>
      </c>
      <c r="G770" s="17">
        <v>1957</v>
      </c>
      <c r="H770" s="17"/>
      <c r="I770" s="17"/>
      <c r="J770" s="17">
        <v>1957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1957</v>
      </c>
      <c r="M770" s="17">
        <f aca="false">IF($H770="","",$H770+$K770)</f>
        <v/>
      </c>
      <c r="N770" s="17">
        <f aca="false">IF($J770="","",$J770+$K770)</f>
        <v>1957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2" collapsed="false" customFormat="true" customHeight="true" hidden="false" ht="28.5" outlineLevel="0">
      <c r="A771" s="16">
        <f aca="false">IF($T771="","",1+COUNTIF($W$15:$W$895,"&lt;"&amp;W771))</f>
        <v/>
      </c>
      <c r="B771" s="16" t="s">
        <v>12</v>
      </c>
      <c r="C771" s="16" t="s">
        <v>1410</v>
      </c>
      <c r="D771" s="20" t="s">
        <v>61</v>
      </c>
      <c r="E771" s="16" t="s">
        <v>62</v>
      </c>
      <c r="F771" s="16" t="s">
        <v>1411</v>
      </c>
      <c r="G771" s="17">
        <v>1957</v>
      </c>
      <c r="H771" s="17"/>
      <c r="I771" s="17"/>
      <c r="J771" s="17">
        <v>1997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1957</v>
      </c>
      <c r="M771" s="17">
        <f aca="false">IF($H771="","",$H771+$K771)</f>
        <v/>
      </c>
      <c r="N771" s="17">
        <f aca="false">IF($J771="","",$J771+$K771)</f>
        <v>1997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IF($T772="","",1+COUNTIF($W$15:$W$895,"&lt;"&amp;W772))</f>
        <v/>
      </c>
      <c r="B772" s="16" t="s">
        <v>10</v>
      </c>
      <c r="C772" s="16" t="s">
        <v>476</v>
      </c>
      <c r="D772" s="21" t="s">
        <v>81</v>
      </c>
      <c r="E772" s="16" t="s">
        <v>62</v>
      </c>
      <c r="F772" s="16" t="s">
        <v>477</v>
      </c>
      <c r="G772" s="17">
        <v>1958</v>
      </c>
      <c r="H772" s="17"/>
      <c r="I772" s="17"/>
      <c r="J772" s="17">
        <v>1883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1958</v>
      </c>
      <c r="M772" s="17">
        <f aca="false">IF($H772="","",$H772+$K772)</f>
        <v/>
      </c>
      <c r="N772" s="17">
        <f aca="false">IF($J772="","",$J772+$K772)</f>
        <v>1883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22" collapsed="false" customFormat="true" customHeight="true" hidden="false" ht="28.5" outlineLevel="0">
      <c r="A773" s="16">
        <f aca="false">IF($T773="","",1+COUNTIF($W$15:$W$895,"&lt;"&amp;W773))</f>
        <v/>
      </c>
      <c r="B773" s="16" t="s">
        <v>12</v>
      </c>
      <c r="C773" s="16" t="s">
        <v>1507</v>
      </c>
      <c r="D773" s="20" t="s">
        <v>72</v>
      </c>
      <c r="E773" s="16" t="s">
        <v>26</v>
      </c>
      <c r="F773" s="16" t="s">
        <v>1508</v>
      </c>
      <c r="G773" s="17">
        <v>1958</v>
      </c>
      <c r="H773" s="17"/>
      <c r="I773" s="17"/>
      <c r="J773" s="17">
        <v>1938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1958</v>
      </c>
      <c r="M773" s="17">
        <f aca="false">IF($H773="","",$H773+$K773)</f>
        <v/>
      </c>
      <c r="N773" s="17">
        <f aca="false">IF($J773="","",$J773+$K773)</f>
        <v>1938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IF($T774="","",1+COUNTIF($W$15:$W$895,"&lt;"&amp;W774))</f>
        <v/>
      </c>
      <c r="B774" s="16" t="s">
        <v>10</v>
      </c>
      <c r="C774" s="16" t="s">
        <v>1242</v>
      </c>
      <c r="D774" s="16" t="s">
        <v>48</v>
      </c>
      <c r="E774" s="16" t="s">
        <v>26</v>
      </c>
      <c r="F774" s="16" t="s">
        <v>1243</v>
      </c>
      <c r="G774" s="17">
        <v>1958</v>
      </c>
      <c r="H774" s="17"/>
      <c r="I774" s="17"/>
      <c r="J774" s="17">
        <v>1948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1958</v>
      </c>
      <c r="M774" s="17">
        <f aca="false">IF($H774="","",$H774+$K774)</f>
        <v/>
      </c>
      <c r="N774" s="17">
        <f aca="false">IF($J774="","",$J774+$K774)</f>
        <v>1948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IF($T775="","",1+COUNTIF($W$15:$W$895,"&lt;"&amp;W775))</f>
        <v/>
      </c>
      <c r="B775" s="16" t="s">
        <v>10</v>
      </c>
      <c r="C775" s="16" t="s">
        <v>556</v>
      </c>
      <c r="D775" s="16" t="s">
        <v>45</v>
      </c>
      <c r="E775" s="16" t="s">
        <v>26</v>
      </c>
      <c r="F775" s="16" t="s">
        <v>557</v>
      </c>
      <c r="G775" s="17">
        <v>1958</v>
      </c>
      <c r="H775" s="17"/>
      <c r="I775" s="17"/>
      <c r="J775" s="17">
        <v>1958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1958</v>
      </c>
      <c r="M775" s="17">
        <f aca="false">IF($H775="","",$H775+$K775)</f>
        <v/>
      </c>
      <c r="N775" s="17">
        <f aca="false">IF($J775="","",$J775+$K775)</f>
        <v>1958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IF($T776="","",1+COUNTIF($W$15:$W$895,"&lt;"&amp;W776))</f>
        <v/>
      </c>
      <c r="B776" s="16" t="s">
        <v>10</v>
      </c>
      <c r="C776" s="16" t="s">
        <v>782</v>
      </c>
      <c r="D776" s="16" t="s">
        <v>61</v>
      </c>
      <c r="E776" s="16" t="s">
        <v>26</v>
      </c>
      <c r="F776" s="16" t="s">
        <v>783</v>
      </c>
      <c r="G776" s="17">
        <v>1958</v>
      </c>
      <c r="H776" s="17"/>
      <c r="I776" s="17"/>
      <c r="J776" s="17">
        <v>1958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1958</v>
      </c>
      <c r="M776" s="17">
        <f aca="false">IF($H776="","",$H776+$K776)</f>
        <v/>
      </c>
      <c r="N776" s="17">
        <f aca="false">IF($J776="","",$J776+$K776)</f>
        <v>1958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IF($T777="","",1+COUNTIF($W$15:$W$895,"&lt;"&amp;W777))</f>
        <v/>
      </c>
      <c r="B777" s="16" t="s">
        <v>10</v>
      </c>
      <c r="C777" s="16" t="s">
        <v>939</v>
      </c>
      <c r="D777" s="21" t="s">
        <v>81</v>
      </c>
      <c r="E777" s="16" t="s">
        <v>26</v>
      </c>
      <c r="F777" s="16" t="s">
        <v>940</v>
      </c>
      <c r="G777" s="17">
        <v>1958</v>
      </c>
      <c r="H777" s="17"/>
      <c r="I777" s="17"/>
      <c r="J777" s="17">
        <v>1958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1958</v>
      </c>
      <c r="M777" s="17">
        <f aca="false">IF($H777="","",$H777+$K777)</f>
        <v/>
      </c>
      <c r="N777" s="17">
        <f aca="false">IF($J777="","",$J777+$K777)</f>
        <v>1958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IF($T778="","",1+COUNTIF($W$15:$W$895,"&lt;"&amp;W778))</f>
        <v/>
      </c>
      <c r="B778" s="16" t="s">
        <v>10</v>
      </c>
      <c r="C778" s="16" t="s">
        <v>1009</v>
      </c>
      <c r="D778" s="16" t="s">
        <v>45</v>
      </c>
      <c r="E778" s="16" t="s">
        <v>26</v>
      </c>
      <c r="F778" s="16" t="s">
        <v>1010</v>
      </c>
      <c r="G778" s="17">
        <v>1959</v>
      </c>
      <c r="H778" s="17"/>
      <c r="I778" s="17"/>
      <c r="J778" s="17">
        <v>1899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1959</v>
      </c>
      <c r="M778" s="17">
        <f aca="false">IF($H778="","",$H778+$K778)</f>
        <v/>
      </c>
      <c r="N778" s="17">
        <f aca="false">IF($J778="","",$J778+$K778)</f>
        <v>1899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22" collapsed="false" customFormat="true" customHeight="true" hidden="false" ht="28.5" outlineLevel="0">
      <c r="A779" s="16">
        <f aca="false">IF($T779="","",1+COUNTIF($W$15:$W$895,"&lt;"&amp;W779))</f>
        <v/>
      </c>
      <c r="B779" s="16" t="s">
        <v>10</v>
      </c>
      <c r="C779" s="16" t="s">
        <v>1216</v>
      </c>
      <c r="D779" s="16" t="s">
        <v>58</v>
      </c>
      <c r="E779" s="16" t="s">
        <v>26</v>
      </c>
      <c r="F779" s="16" t="s">
        <v>1217</v>
      </c>
      <c r="G779" s="17">
        <v>1959</v>
      </c>
      <c r="H779" s="17"/>
      <c r="I779" s="17"/>
      <c r="J779" s="17">
        <v>1899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1959</v>
      </c>
      <c r="M779" s="17">
        <f aca="false">IF($H779="","",$H779+$K779)</f>
        <v/>
      </c>
      <c r="N779" s="17">
        <f aca="false">IF($J779="","",$J779+$K779)</f>
        <v>1899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IF($T780="","",1+COUNTIF($W$15:$W$895,"&lt;"&amp;W780))</f>
        <v/>
      </c>
      <c r="B780" s="16" t="s">
        <v>14</v>
      </c>
      <c r="C780" s="16" t="s">
        <v>880</v>
      </c>
      <c r="D780" s="16" t="s">
        <v>45</v>
      </c>
      <c r="E780" s="16" t="s">
        <v>62</v>
      </c>
      <c r="F780" s="16" t="s">
        <v>881</v>
      </c>
      <c r="G780" s="17">
        <v>1959</v>
      </c>
      <c r="H780" s="17"/>
      <c r="I780" s="17"/>
      <c r="J780" s="17">
        <v>1949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1959</v>
      </c>
      <c r="M780" s="17">
        <f aca="false">IF($H780="","",$H780+$K780)</f>
        <v/>
      </c>
      <c r="N780" s="17">
        <f aca="false">IF($J780="","",$J780+$K780)</f>
        <v>1949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22" collapsed="false" customFormat="true" customHeight="true" hidden="false" ht="28.5" outlineLevel="0">
      <c r="A781" s="16">
        <f aca="false">IF($T781="","",1+COUNTIF($W$15:$W$895,"&lt;"&amp;W781))</f>
        <v/>
      </c>
      <c r="B781" s="16" t="s">
        <v>14</v>
      </c>
      <c r="C781" s="16" t="s">
        <v>1357</v>
      </c>
      <c r="D781" s="16" t="s">
        <v>61</v>
      </c>
      <c r="E781" s="16" t="s">
        <v>26</v>
      </c>
      <c r="F781" s="16" t="s">
        <v>1358</v>
      </c>
      <c r="G781" s="17">
        <v>1959</v>
      </c>
      <c r="H781" s="17"/>
      <c r="I781" s="17"/>
      <c r="J781" s="17">
        <v>1959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1959</v>
      </c>
      <c r="M781" s="17">
        <f aca="false">IF($H781="","",$H781+$K781)</f>
        <v/>
      </c>
      <c r="N781" s="17">
        <f aca="false">IF($J781="","",$J781+$K781)</f>
        <v>1959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IF($T782="","",1+COUNTIF($W$15:$W$895,"&lt;"&amp;W782))</f>
        <v/>
      </c>
      <c r="B782" s="16" t="s">
        <v>12</v>
      </c>
      <c r="C782" s="16" t="s">
        <v>1049</v>
      </c>
      <c r="D782" s="20" t="s">
        <v>45</v>
      </c>
      <c r="E782" s="16" t="s">
        <v>62</v>
      </c>
      <c r="F782" s="16" t="s">
        <v>1050</v>
      </c>
      <c r="G782" s="17">
        <v>1959</v>
      </c>
      <c r="H782" s="17"/>
      <c r="I782" s="17"/>
      <c r="J782" s="17">
        <v>1959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1959</v>
      </c>
      <c r="M782" s="17">
        <f aca="false">IF($H782="","",$H782+$K782)</f>
        <v/>
      </c>
      <c r="N782" s="17">
        <f aca="false">IF($J782="","",$J782+$K782)</f>
        <v>1959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6" collapsed="false" customFormat="true" customHeight="true" hidden="false" ht="28.5" outlineLevel="0">
      <c r="A783" s="16">
        <f aca="false">IF($T783="","",1+COUNTIF($W$15:$W$895,"&lt;"&amp;W783))</f>
        <v/>
      </c>
      <c r="B783" s="16" t="s">
        <v>12</v>
      </c>
      <c r="C783" s="16" t="s">
        <v>1731</v>
      </c>
      <c r="D783" s="20" t="s">
        <v>45</v>
      </c>
      <c r="E783" s="16" t="s">
        <v>62</v>
      </c>
      <c r="F783" s="16" t="s">
        <v>1732</v>
      </c>
      <c r="G783" s="17">
        <v>1959</v>
      </c>
      <c r="H783" s="17"/>
      <c r="I783" s="17"/>
      <c r="J783" s="17">
        <v>1959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1959</v>
      </c>
      <c r="M783" s="17">
        <f aca="false">IF($H783="","",$H783+$K783)</f>
        <v/>
      </c>
      <c r="N783" s="17">
        <f aca="false">IF($J783="","",$J783+$K783)</f>
        <v>1959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C783" s="3"/>
    </row>
    <row r="784" s="22" collapsed="false" customFormat="true" customHeight="true" hidden="false" ht="28.5" outlineLevel="0">
      <c r="A784" s="16">
        <f aca="false">IF($T784="","",1+COUNTIF($W$15:$W$895,"&lt;"&amp;W784))</f>
        <v/>
      </c>
      <c r="B784" s="16" t="s">
        <v>14</v>
      </c>
      <c r="C784" s="16" t="s">
        <v>1186</v>
      </c>
      <c r="D784" s="16" t="s">
        <v>72</v>
      </c>
      <c r="E784" s="16" t="s">
        <v>26</v>
      </c>
      <c r="F784" s="16" t="s">
        <v>1187</v>
      </c>
      <c r="G784" s="17">
        <v>1959</v>
      </c>
      <c r="H784" s="17"/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1959</v>
      </c>
      <c r="M784" s="17">
        <f aca="false">IF($H784="","",$H784+$K784)</f>
        <v/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IF($T785="","",1+COUNTIF($W$15:$W$895,"&lt;"&amp;W785))</f>
        <v/>
      </c>
      <c r="B785" s="16" t="s">
        <v>8</v>
      </c>
      <c r="C785" s="16" t="s">
        <v>1180</v>
      </c>
      <c r="D785" s="16" t="s">
        <v>61</v>
      </c>
      <c r="E785" s="16" t="s">
        <v>62</v>
      </c>
      <c r="F785" s="16" t="s">
        <v>1181</v>
      </c>
      <c r="G785" s="17">
        <v>1960</v>
      </c>
      <c r="H785" s="17"/>
      <c r="I785" s="17"/>
      <c r="J785" s="17">
        <v>1940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1960</v>
      </c>
      <c r="M785" s="17">
        <f aca="false">IF($H785="","",$H785+$K785)</f>
        <v/>
      </c>
      <c r="N785" s="17">
        <f aca="false">IF($J785="","",$J785+$K785)</f>
        <v>1940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IF($T786="","",1+COUNTIF($W$15:$W$895,"&lt;"&amp;W786))</f>
        <v/>
      </c>
      <c r="B786" s="16" t="s">
        <v>12</v>
      </c>
      <c r="C786" s="16" t="s">
        <v>1701</v>
      </c>
      <c r="D786" s="20" t="s">
        <v>58</v>
      </c>
      <c r="E786" s="16" t="s">
        <v>26</v>
      </c>
      <c r="F786" s="16" t="s">
        <v>1702</v>
      </c>
      <c r="G786" s="17">
        <v>1964</v>
      </c>
      <c r="H786" s="17"/>
      <c r="I786" s="17"/>
      <c r="J786" s="17">
        <v>1954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1964</v>
      </c>
      <c r="M786" s="17">
        <f aca="false">IF($H786="","",$H786+$K786)</f>
        <v/>
      </c>
      <c r="N786" s="17">
        <f aca="false">IF($J786="","",$J786+$K786)</f>
        <v>1954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5" collapsed="false" customFormat="true" customHeight="true" hidden="false" ht="28.5" outlineLevel="0">
      <c r="A787" s="16">
        <f aca="false">IF($T787="","",1+COUNTIF($W$15:$W$895,"&lt;"&amp;W787))</f>
        <v/>
      </c>
      <c r="B787" s="16" t="s">
        <v>14</v>
      </c>
      <c r="C787" s="16" t="s">
        <v>1099</v>
      </c>
      <c r="D787" s="16" t="s">
        <v>58</v>
      </c>
      <c r="E787" s="16" t="s">
        <v>26</v>
      </c>
      <c r="F787" s="16" t="s">
        <v>1100</v>
      </c>
      <c r="G787" s="17">
        <v>1965</v>
      </c>
      <c r="H787" s="17"/>
      <c r="I787" s="17"/>
      <c r="J787" s="17">
        <v>1965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1965</v>
      </c>
      <c r="M787" s="17">
        <f aca="false">IF($H787="","",$H787+$K787)</f>
        <v/>
      </c>
      <c r="N787" s="17">
        <f aca="false">IF($J787="","",$J787+$K787)</f>
        <v>1965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IF($T788="","",1+COUNTIF($W$15:$W$895,"&lt;"&amp;W788))</f>
        <v/>
      </c>
      <c r="B788" s="16" t="s">
        <v>14</v>
      </c>
      <c r="C788" s="16" t="s">
        <v>1299</v>
      </c>
      <c r="D788" s="16" t="s">
        <v>61</v>
      </c>
      <c r="E788" s="16" t="s">
        <v>26</v>
      </c>
      <c r="F788" s="16" t="s">
        <v>1300</v>
      </c>
      <c r="G788" s="17">
        <v>1968</v>
      </c>
      <c r="H788" s="17"/>
      <c r="I788" s="17"/>
      <c r="J788" s="17">
        <v>1927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1968</v>
      </c>
      <c r="M788" s="17">
        <f aca="false">IF($H788="","",$H788+$K788)</f>
        <v/>
      </c>
      <c r="N788" s="17">
        <f aca="false">IF($J788="","",$J788+$K788)</f>
        <v>1927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IF($T789="","",1+COUNTIF($W$15:$W$895,"&lt;"&amp;W789))</f>
        <v/>
      </c>
      <c r="B789" s="16" t="s">
        <v>12</v>
      </c>
      <c r="C789" s="16" t="s">
        <v>1160</v>
      </c>
      <c r="D789" s="20" t="s">
        <v>45</v>
      </c>
      <c r="E789" s="16" t="s">
        <v>26</v>
      </c>
      <c r="F789" s="16" t="s">
        <v>1161</v>
      </c>
      <c r="G789" s="17">
        <v>1968</v>
      </c>
      <c r="H789" s="17"/>
      <c r="I789" s="17"/>
      <c r="J789" s="17">
        <v>1957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1968</v>
      </c>
      <c r="M789" s="17">
        <f aca="false">IF($H789="","",$H789+$K789)</f>
        <v/>
      </c>
      <c r="N789" s="17">
        <f aca="false">IF($J789="","",$J789+$K789)</f>
        <v>1957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5" collapsed="false" customFormat="true" customHeight="true" hidden="false" ht="28.5" outlineLevel="0">
      <c r="A790" s="16">
        <f aca="false">IF($T790="","",1+COUNTIF($W$15:$W$895,"&lt;"&amp;W790))</f>
        <v/>
      </c>
      <c r="B790" s="16" t="s">
        <v>12</v>
      </c>
      <c r="C790" s="16" t="s">
        <v>1011</v>
      </c>
      <c r="D790" s="20" t="s">
        <v>45</v>
      </c>
      <c r="E790" s="16" t="s">
        <v>62</v>
      </c>
      <c r="F790" s="16" t="s">
        <v>1012</v>
      </c>
      <c r="G790" s="17">
        <v>1968</v>
      </c>
      <c r="H790" s="17"/>
      <c r="I790" s="17"/>
      <c r="J790" s="17">
        <v>1988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1968</v>
      </c>
      <c r="M790" s="17">
        <f aca="false">IF($H790="","",$H790+$K790)</f>
        <v/>
      </c>
      <c r="N790" s="17">
        <f aca="false">IF($J790="","",$J790+$K790)</f>
        <v>1988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IF($T791="","",1+COUNTIF($W$15:$W$895,"&lt;"&amp;W791))</f>
        <v/>
      </c>
      <c r="B791" s="16" t="s">
        <v>12</v>
      </c>
      <c r="C791" s="16" t="s">
        <v>76</v>
      </c>
      <c r="D791" s="20" t="s">
        <v>61</v>
      </c>
      <c r="E791" s="16" t="s">
        <v>26</v>
      </c>
      <c r="F791" s="16" t="s">
        <v>77</v>
      </c>
      <c r="G791" s="17">
        <v>1969</v>
      </c>
      <c r="H791" s="17"/>
      <c r="I791" s="17"/>
      <c r="J791" s="17">
        <v>1959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1969</v>
      </c>
      <c r="M791" s="17">
        <f aca="false">IF($H791="","",$H791+$K791)</f>
        <v/>
      </c>
      <c r="N791" s="17">
        <f aca="false">IF($J791="","",$J791+$K791)</f>
        <v>1959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IF($T792="","",1+COUNTIF($W$15:$W$895,"&lt;"&amp;W792))</f>
        <v/>
      </c>
      <c r="B792" s="16" t="s">
        <v>10</v>
      </c>
      <c r="C792" s="16" t="s">
        <v>176</v>
      </c>
      <c r="D792" s="16" t="s">
        <v>61</v>
      </c>
      <c r="E792" s="16" t="s">
        <v>26</v>
      </c>
      <c r="F792" s="16" t="s">
        <v>177</v>
      </c>
      <c r="G792" s="17">
        <v>1969</v>
      </c>
      <c r="H792" s="17"/>
      <c r="I792" s="17"/>
      <c r="J792" s="17">
        <v>1959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1969</v>
      </c>
      <c r="M792" s="17">
        <f aca="false">IF($H792="","",$H792+$K792)</f>
        <v/>
      </c>
      <c r="N792" s="17">
        <f aca="false">IF($J792="","",$J792+$K792)</f>
        <v>1959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IF($T793="","",1+COUNTIF($W$15:$W$895,"&lt;"&amp;W793))</f>
        <v/>
      </c>
      <c r="B793" s="16" t="s">
        <v>18</v>
      </c>
      <c r="C793" s="16" t="s">
        <v>372</v>
      </c>
      <c r="D793" s="16" t="s">
        <v>58</v>
      </c>
      <c r="E793" s="16" t="s">
        <v>26</v>
      </c>
      <c r="F793" s="16" t="s">
        <v>373</v>
      </c>
      <c r="G793" s="17">
        <v>1969</v>
      </c>
      <c r="H793" s="17"/>
      <c r="I793" s="17"/>
      <c r="J793" s="17">
        <v>1964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1969</v>
      </c>
      <c r="M793" s="17">
        <f aca="false">IF($H793="","",$H793+$K793)</f>
        <v/>
      </c>
      <c r="N793" s="17">
        <f aca="false">IF($J793="","",$J793+$K793)</f>
        <v>1964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IF($T794="","",1+COUNTIF($W$15:$W$895,"&lt;"&amp;W794))</f>
        <v/>
      </c>
      <c r="B794" s="16" t="s">
        <v>18</v>
      </c>
      <c r="C794" s="16" t="s">
        <v>376</v>
      </c>
      <c r="D794" s="16" t="s">
        <v>58</v>
      </c>
      <c r="E794" s="16" t="s">
        <v>26</v>
      </c>
      <c r="F794" s="16" t="s">
        <v>377</v>
      </c>
      <c r="G794" s="17">
        <v>1969</v>
      </c>
      <c r="H794" s="17"/>
      <c r="I794" s="17"/>
      <c r="J794" s="17">
        <v>1964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1969</v>
      </c>
      <c r="M794" s="17">
        <f aca="false">IF($H794="","",$H794+$K794)</f>
        <v/>
      </c>
      <c r="N794" s="17">
        <f aca="false">IF($J794="","",$J794+$K794)</f>
        <v>1964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C794" s="3"/>
    </row>
    <row r="795" s="5" collapsed="false" customFormat="true" customHeight="true" hidden="false" ht="28.5" outlineLevel="0">
      <c r="A795" s="16">
        <f aca="false">IF($T795="","",1+COUNTIF($W$15:$W$895,"&lt;"&amp;W795))</f>
        <v/>
      </c>
      <c r="B795" s="16" t="s">
        <v>14</v>
      </c>
      <c r="C795" s="16" t="s">
        <v>1642</v>
      </c>
      <c r="D795" s="16" t="s">
        <v>61</v>
      </c>
      <c r="E795" s="16" t="s">
        <v>26</v>
      </c>
      <c r="F795" s="16" t="s">
        <v>1643</v>
      </c>
      <c r="G795" s="17">
        <v>1969</v>
      </c>
      <c r="H795" s="17"/>
      <c r="I795" s="17"/>
      <c r="J795" s="17">
        <v>1969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1969</v>
      </c>
      <c r="M795" s="17">
        <f aca="false">IF($H795="","",$H795+$K795)</f>
        <v/>
      </c>
      <c r="N795" s="17">
        <f aca="false">IF($J795="","",$J795+$K795)</f>
        <v>1969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6" collapsed="false" customFormat="true" customHeight="true" hidden="false" ht="28.5" outlineLevel="0">
      <c r="A796" s="16">
        <f aca="false">IF($T796="","",1+COUNTIF($W$15:$W$895,"&lt;"&amp;W796))</f>
        <v/>
      </c>
      <c r="B796" s="16" t="s">
        <v>14</v>
      </c>
      <c r="C796" s="16" t="s">
        <v>1709</v>
      </c>
      <c r="D796" s="21" t="s">
        <v>81</v>
      </c>
      <c r="E796" s="16" t="s">
        <v>26</v>
      </c>
      <c r="F796" s="16" t="s">
        <v>1710</v>
      </c>
      <c r="G796" s="17">
        <v>1969</v>
      </c>
      <c r="H796" s="17"/>
      <c r="I796" s="17"/>
      <c r="J796" s="17">
        <v>1969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1969</v>
      </c>
      <c r="M796" s="17">
        <f aca="false">IF($H796="","",$H796+$K796)</f>
        <v/>
      </c>
      <c r="N796" s="17">
        <f aca="false">IF($J796="","",$J796+$K796)</f>
        <v>1969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C796" s="3"/>
    </row>
    <row r="797" s="5" collapsed="false" customFormat="true" customHeight="true" hidden="false" ht="28.5" outlineLevel="0">
      <c r="A797" s="16">
        <f aca="false">IF($T797="","",1+COUNTIF($W$15:$W$895,"&lt;"&amp;W797))</f>
        <v/>
      </c>
      <c r="B797" s="16" t="s">
        <v>12</v>
      </c>
      <c r="C797" s="16" t="s">
        <v>1042</v>
      </c>
      <c r="D797" s="20" t="s">
        <v>45</v>
      </c>
      <c r="E797" s="16" t="s">
        <v>26</v>
      </c>
      <c r="F797" s="16" t="s">
        <v>1043</v>
      </c>
      <c r="G797" s="17">
        <v>1969</v>
      </c>
      <c r="H797" s="17"/>
      <c r="I797" s="17"/>
      <c r="J797" s="17">
        <v>1969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1969</v>
      </c>
      <c r="M797" s="17">
        <f aca="false">IF($H797="","",$H797+$K797)</f>
        <v/>
      </c>
      <c r="N797" s="17">
        <f aca="false">IF($J797="","",$J797+$K797)</f>
        <v>1969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IF($T798="","",1+COUNTIF($W$15:$W$895,"&lt;"&amp;W798))</f>
        <v/>
      </c>
      <c r="B798" s="16" t="s">
        <v>14</v>
      </c>
      <c r="C798" s="16" t="s">
        <v>861</v>
      </c>
      <c r="D798" s="16" t="s">
        <v>58</v>
      </c>
      <c r="E798" s="16" t="s">
        <v>26</v>
      </c>
      <c r="F798" s="16" t="s">
        <v>862</v>
      </c>
      <c r="G798" s="17">
        <v>1969</v>
      </c>
      <c r="H798" s="17"/>
      <c r="I798" s="17"/>
      <c r="J798" s="17">
        <v>1989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1969</v>
      </c>
      <c r="M798" s="17">
        <f aca="false">IF($H798="","",$H798+$K798)</f>
        <v/>
      </c>
      <c r="N798" s="17">
        <f aca="false">IF($J798="","",$J798+$K798)</f>
        <v>1989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IF($T799="","",1+COUNTIF($W$15:$W$895,"&lt;"&amp;W799))</f>
        <v/>
      </c>
      <c r="B799" s="16" t="s">
        <v>12</v>
      </c>
      <c r="C799" s="16" t="s">
        <v>1546</v>
      </c>
      <c r="D799" s="20" t="s">
        <v>58</v>
      </c>
      <c r="E799" s="16" t="s">
        <v>26</v>
      </c>
      <c r="F799" s="16" t="s">
        <v>1547</v>
      </c>
      <c r="G799" s="17">
        <v>1970</v>
      </c>
      <c r="H799" s="17"/>
      <c r="I799" s="17"/>
      <c r="J799" s="17">
        <v>1980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1970</v>
      </c>
      <c r="M799" s="17">
        <f aca="false">IF($H799="","",$H799+$K799)</f>
        <v/>
      </c>
      <c r="N799" s="17">
        <f aca="false">IF($J799="","",$J799+$K799)</f>
        <v>1980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C799" s="3"/>
    </row>
    <row r="800" s="6" collapsed="false" customFormat="true" customHeight="true" hidden="false" ht="28.5" outlineLevel="0">
      <c r="A800" s="16">
        <f aca="false">IF($T800="","",1+COUNTIF($W$15:$W$895,"&lt;"&amp;W800))</f>
        <v/>
      </c>
      <c r="B800" s="16" t="s">
        <v>10</v>
      </c>
      <c r="C800" s="16" t="s">
        <v>1256</v>
      </c>
      <c r="D800" s="16" t="s">
        <v>48</v>
      </c>
      <c r="E800" s="16" t="s">
        <v>62</v>
      </c>
      <c r="F800" s="16" t="s">
        <v>1257</v>
      </c>
      <c r="G800" s="17">
        <v>1974</v>
      </c>
      <c r="H800" s="17"/>
      <c r="I800" s="17"/>
      <c r="J800" s="17">
        <v>1874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1974</v>
      </c>
      <c r="M800" s="17">
        <f aca="false">IF($H800="","",$H800+$K800)</f>
        <v/>
      </c>
      <c r="N800" s="17">
        <f aca="false">IF($J800="","",$J800+$K800)</f>
        <v>1874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6" collapsed="false" customFormat="true" customHeight="true" hidden="false" ht="28.5" outlineLevel="0">
      <c r="A801" s="16">
        <f aca="false">IF($T801="","",1+COUNTIF($W$15:$W$895,"&lt;"&amp;W801))</f>
        <v/>
      </c>
      <c r="B801" s="16" t="s">
        <v>10</v>
      </c>
      <c r="C801" s="16" t="s">
        <v>1636</v>
      </c>
      <c r="D801" s="21" t="s">
        <v>81</v>
      </c>
      <c r="E801" s="16" t="s">
        <v>62</v>
      </c>
      <c r="F801" s="16" t="s">
        <v>1637</v>
      </c>
      <c r="G801" s="17">
        <v>1975</v>
      </c>
      <c r="H801" s="17"/>
      <c r="I801" s="17"/>
      <c r="J801" s="17">
        <v>1865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1975</v>
      </c>
      <c r="M801" s="17">
        <f aca="false">IF($H801="","",$H801+$K801)</f>
        <v/>
      </c>
      <c r="N801" s="17">
        <f aca="false">IF($J801="","",$J801+$K801)</f>
        <v>1865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C801" s="3"/>
    </row>
    <row r="802" s="5" collapsed="false" customFormat="true" customHeight="true" hidden="false" ht="28.5" outlineLevel="0">
      <c r="A802" s="16">
        <f aca="false">IF($T802="","",1+COUNTIF($W$15:$W$895,"&lt;"&amp;W802))</f>
        <v/>
      </c>
      <c r="B802" s="16" t="s">
        <v>10</v>
      </c>
      <c r="C802" s="16" t="s">
        <v>406</v>
      </c>
      <c r="D802" s="16" t="s">
        <v>72</v>
      </c>
      <c r="E802" s="16" t="s">
        <v>26</v>
      </c>
      <c r="F802" s="16" t="s">
        <v>407</v>
      </c>
      <c r="G802" s="17">
        <v>1975</v>
      </c>
      <c r="H802" s="17"/>
      <c r="I802" s="17"/>
      <c r="J802" s="17">
        <v>1899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1975</v>
      </c>
      <c r="M802" s="17">
        <f aca="false">IF($H802="","",$H802+$K802)</f>
        <v/>
      </c>
      <c r="N802" s="17">
        <f aca="false">IF($J802="","",$J802+$K802)</f>
        <v>1899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IF($T803="","",1+COUNTIF($W$15:$W$895,"&lt;"&amp;W803))</f>
        <v/>
      </c>
      <c r="B803" s="16" t="s">
        <v>12</v>
      </c>
      <c r="C803" s="16" t="s">
        <v>74</v>
      </c>
      <c r="D803" s="20" t="s">
        <v>61</v>
      </c>
      <c r="E803" s="16" t="s">
        <v>26</v>
      </c>
      <c r="F803" s="16" t="s">
        <v>75</v>
      </c>
      <c r="G803" s="17">
        <v>1975</v>
      </c>
      <c r="H803" s="17"/>
      <c r="I803" s="17"/>
      <c r="J803" s="17">
        <v>1955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1975</v>
      </c>
      <c r="M803" s="17">
        <f aca="false">IF($H803="","",$H803+$K803)</f>
        <v/>
      </c>
      <c r="N803" s="17">
        <f aca="false">IF($J803="","",$J803+$K803)</f>
        <v>1955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IF($T804="","",1+COUNTIF($W$15:$W$895,"&lt;"&amp;W804))</f>
        <v/>
      </c>
      <c r="B804" s="16" t="s">
        <v>12</v>
      </c>
      <c r="C804" s="16" t="s">
        <v>809</v>
      </c>
      <c r="D804" s="20" t="s">
        <v>45</v>
      </c>
      <c r="E804" s="16" t="s">
        <v>62</v>
      </c>
      <c r="F804" s="16" t="s">
        <v>810</v>
      </c>
      <c r="G804" s="17">
        <v>1975</v>
      </c>
      <c r="H804" s="17"/>
      <c r="I804" s="17"/>
      <c r="J804" s="17">
        <v>1955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1975</v>
      </c>
      <c r="M804" s="17">
        <f aca="false">IF($H804="","",$H804+$K804)</f>
        <v/>
      </c>
      <c r="N804" s="17">
        <f aca="false">IF($J804="","",$J804+$K804)</f>
        <v>1955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IF($T805="","",1+COUNTIF($W$15:$W$895,"&lt;"&amp;W805))</f>
        <v/>
      </c>
      <c r="B805" s="16" t="s">
        <v>12</v>
      </c>
      <c r="C805" s="16" t="s">
        <v>678</v>
      </c>
      <c r="D805" s="21" t="s">
        <v>81</v>
      </c>
      <c r="E805" s="16" t="s">
        <v>26</v>
      </c>
      <c r="F805" s="16" t="s">
        <v>679</v>
      </c>
      <c r="G805" s="17">
        <v>1975</v>
      </c>
      <c r="H805" s="17"/>
      <c r="I805" s="17"/>
      <c r="J805" s="17">
        <v>1957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1975</v>
      </c>
      <c r="M805" s="17">
        <f aca="false">IF($H805="","",$H805+$K805)</f>
        <v/>
      </c>
      <c r="N805" s="17">
        <f aca="false">IF($J805="","",$J805+$K805)</f>
        <v>1957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IF($T806="","",1+COUNTIF($W$15:$W$895,"&lt;"&amp;W806))</f>
        <v/>
      </c>
      <c r="B806" s="16" t="s">
        <v>18</v>
      </c>
      <c r="C806" s="16" t="s">
        <v>796</v>
      </c>
      <c r="D806" s="16" t="s">
        <v>45</v>
      </c>
      <c r="E806" s="16" t="s">
        <v>62</v>
      </c>
      <c r="F806" s="16" t="s">
        <v>797</v>
      </c>
      <c r="G806" s="17">
        <v>1975</v>
      </c>
      <c r="H806" s="17"/>
      <c r="I806" s="17"/>
      <c r="J806" s="17">
        <v>1965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1975</v>
      </c>
      <c r="M806" s="17">
        <f aca="false">IF($H806="","",$H806+$K806)</f>
        <v/>
      </c>
      <c r="N806" s="17">
        <f aca="false">IF($J806="","",$J806+$K806)</f>
        <v>1965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22" collapsed="false" customFormat="true" customHeight="true" hidden="false" ht="28.5" outlineLevel="0">
      <c r="A807" s="16">
        <f aca="false">IF($T807="","",1+COUNTIF($W$15:$W$895,"&lt;"&amp;W807))</f>
        <v/>
      </c>
      <c r="B807" s="16" t="s">
        <v>12</v>
      </c>
      <c r="C807" s="16" t="s">
        <v>1359</v>
      </c>
      <c r="D807" s="20" t="s">
        <v>61</v>
      </c>
      <c r="E807" s="16" t="s">
        <v>26</v>
      </c>
      <c r="F807" s="16" t="s">
        <v>1360</v>
      </c>
      <c r="G807" s="17">
        <v>1975</v>
      </c>
      <c r="H807" s="17"/>
      <c r="I807" s="17"/>
      <c r="J807" s="17">
        <v>1977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1975</v>
      </c>
      <c r="M807" s="17">
        <f aca="false">IF($H807="","",$H807+$K807)</f>
        <v/>
      </c>
      <c r="N807" s="17">
        <f aca="false">IF($J807="","",$J807+$K807)</f>
        <v>1977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22" collapsed="false" customFormat="true" customHeight="true" hidden="false" ht="28.5" outlineLevel="0">
      <c r="A808" s="16">
        <f aca="false">IF($T808="","",1+COUNTIF($W$15:$W$895,"&lt;"&amp;W808))</f>
        <v/>
      </c>
      <c r="B808" s="16" t="s">
        <v>14</v>
      </c>
      <c r="C808" s="16" t="s">
        <v>1377</v>
      </c>
      <c r="D808" s="16" t="s">
        <v>58</v>
      </c>
      <c r="E808" s="16" t="s">
        <v>26</v>
      </c>
      <c r="F808" s="16" t="s">
        <v>1378</v>
      </c>
      <c r="G808" s="17">
        <v>1978</v>
      </c>
      <c r="H808" s="17"/>
      <c r="I808" s="17"/>
      <c r="J808" s="17">
        <v>1958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1978</v>
      </c>
      <c r="M808" s="17">
        <f aca="false">IF($H808="","",$H808+$K808)</f>
        <v/>
      </c>
      <c r="N808" s="17">
        <f aca="false">IF($J808="","",$J808+$K808)</f>
        <v>1958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IF($T809="","",1+COUNTIF($W$15:$W$895,"&lt;"&amp;W809))</f>
        <v/>
      </c>
      <c r="B809" s="16" t="s">
        <v>12</v>
      </c>
      <c r="C809" s="16" t="s">
        <v>588</v>
      </c>
      <c r="D809" s="20" t="s">
        <v>61</v>
      </c>
      <c r="E809" s="16" t="s">
        <v>62</v>
      </c>
      <c r="F809" s="16" t="s">
        <v>592</v>
      </c>
      <c r="G809" s="17">
        <v>1978</v>
      </c>
      <c r="H809" s="17"/>
      <c r="I809" s="17"/>
      <c r="J809" s="17">
        <v>1978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1978</v>
      </c>
      <c r="M809" s="17">
        <f aca="false">IF($H809="","",$H809+$K809)</f>
        <v/>
      </c>
      <c r="N809" s="17">
        <f aca="false">IF($J809="","",$J809+$K809)</f>
        <v>1978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 aca="false">IF($T810="","",1+COUNTIF($W$15:$W$895,"&lt;"&amp;W810))</f>
        <v/>
      </c>
      <c r="B810" s="16" t="s">
        <v>10</v>
      </c>
      <c r="C810" s="16" t="s">
        <v>1266</v>
      </c>
      <c r="D810" s="16" t="s">
        <v>45</v>
      </c>
      <c r="E810" s="16" t="s">
        <v>26</v>
      </c>
      <c r="F810" s="16" t="s">
        <v>1267</v>
      </c>
      <c r="G810" s="17">
        <v>1978</v>
      </c>
      <c r="H810" s="17"/>
      <c r="I810" s="17"/>
      <c r="J810" s="17">
        <v>1988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1978</v>
      </c>
      <c r="M810" s="17">
        <f aca="false">IF($H810="","",$H810+$K810)</f>
        <v/>
      </c>
      <c r="N810" s="17">
        <f aca="false">IF($J810="","",$J810+$K810)</f>
        <v>1988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 aca="false">IF($T811="","",1+COUNTIF($W$15:$W$895,"&lt;"&amp;W811))</f>
        <v/>
      </c>
      <c r="B811" s="16" t="s">
        <v>14</v>
      </c>
      <c r="C811" s="16" t="s">
        <v>853</v>
      </c>
      <c r="D811" s="21" t="s">
        <v>81</v>
      </c>
      <c r="E811" s="16" t="s">
        <v>26</v>
      </c>
      <c r="F811" s="16" t="s">
        <v>854</v>
      </c>
      <c r="G811" s="17">
        <v>1979</v>
      </c>
      <c r="H811" s="17"/>
      <c r="I811" s="17"/>
      <c r="J811" s="17">
        <v>1855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1979</v>
      </c>
      <c r="M811" s="17">
        <f aca="false">IF($H811="","",$H811+$K811)</f>
        <v/>
      </c>
      <c r="N811" s="17">
        <f aca="false">IF($J811="","",$J811+$K811)</f>
        <v>1855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IF($T812="","",1+COUNTIF($W$15:$W$895,"&lt;"&amp;W812))</f>
        <v/>
      </c>
      <c r="B812" s="16" t="s">
        <v>12</v>
      </c>
      <c r="C812" s="16" t="s">
        <v>552</v>
      </c>
      <c r="D812" s="20" t="s">
        <v>45</v>
      </c>
      <c r="E812" s="16" t="s">
        <v>26</v>
      </c>
      <c r="F812" s="16" t="s">
        <v>553</v>
      </c>
      <c r="G812" s="17">
        <v>1979</v>
      </c>
      <c r="H812" s="17"/>
      <c r="I812" s="17"/>
      <c r="J812" s="17">
        <v>1873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1979</v>
      </c>
      <c r="M812" s="17">
        <f aca="false">IF($H812="","",$H812+$K812)</f>
        <v/>
      </c>
      <c r="N812" s="17">
        <f aca="false">IF($J812="","",$J812+$K812)</f>
        <v>1873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IF($T813="","",1+COUNTIF($W$15:$W$895,"&lt;"&amp;W813))</f>
        <v/>
      </c>
      <c r="B813" s="16" t="s">
        <v>10</v>
      </c>
      <c r="C813" s="16" t="s">
        <v>420</v>
      </c>
      <c r="D813" s="16" t="s">
        <v>48</v>
      </c>
      <c r="E813" s="16" t="s">
        <v>26</v>
      </c>
      <c r="F813" s="16" t="s">
        <v>422</v>
      </c>
      <c r="G813" s="17">
        <v>1979</v>
      </c>
      <c r="H813" s="17"/>
      <c r="I813" s="17"/>
      <c r="J813" s="17">
        <v>1893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1979</v>
      </c>
      <c r="M813" s="17">
        <f aca="false">IF($H813="","",$H813+$K813)</f>
        <v/>
      </c>
      <c r="N813" s="17">
        <f aca="false">IF($J813="","",$J813+$K813)</f>
        <v>1893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IF($T814="","",1+COUNTIF($W$15:$W$895,"&lt;"&amp;W814))</f>
        <v/>
      </c>
      <c r="B814" s="16" t="s">
        <v>14</v>
      </c>
      <c r="C814" s="16" t="s">
        <v>1132</v>
      </c>
      <c r="D814" s="16" t="s">
        <v>45</v>
      </c>
      <c r="E814" s="16" t="s">
        <v>26</v>
      </c>
      <c r="F814" s="16" t="s">
        <v>1133</v>
      </c>
      <c r="G814" s="17">
        <v>1979</v>
      </c>
      <c r="H814" s="17"/>
      <c r="I814" s="17"/>
      <c r="J814" s="17">
        <v>1899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1979</v>
      </c>
      <c r="M814" s="17">
        <f aca="false">IF($H814="","",$H814+$K814)</f>
        <v/>
      </c>
      <c r="N814" s="17">
        <f aca="false">IF($J814="","",$J814+$K814)</f>
        <v>1899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IF($T815="","",1+COUNTIF($W$15:$W$895,"&lt;"&amp;W815))</f>
        <v/>
      </c>
      <c r="B815" s="16" t="s">
        <v>10</v>
      </c>
      <c r="C815" s="16" t="s">
        <v>1773</v>
      </c>
      <c r="D815" s="16" t="s">
        <v>45</v>
      </c>
      <c r="E815" s="16" t="s">
        <v>62</v>
      </c>
      <c r="F815" s="16" t="s">
        <v>1774</v>
      </c>
      <c r="G815" s="17">
        <v>1979</v>
      </c>
      <c r="H815" s="17"/>
      <c r="I815" s="17"/>
      <c r="J815" s="17">
        <v>1899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1979</v>
      </c>
      <c r="M815" s="17">
        <f aca="false">IF($H815="","",$H815+$K815)</f>
        <v/>
      </c>
      <c r="N815" s="17">
        <f aca="false">IF($J815="","",$J815+$K815)</f>
        <v>1899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 aca="false">IF($T816="","",1+COUNTIF($W$15:$W$895,"&lt;"&amp;W816))</f>
        <v/>
      </c>
      <c r="B816" s="16" t="s">
        <v>12</v>
      </c>
      <c r="C816" s="16" t="s">
        <v>586</v>
      </c>
      <c r="D816" s="20" t="s">
        <v>45</v>
      </c>
      <c r="E816" s="16" t="s">
        <v>26</v>
      </c>
      <c r="F816" s="16" t="s">
        <v>587</v>
      </c>
      <c r="G816" s="17">
        <v>1979</v>
      </c>
      <c r="H816" s="17"/>
      <c r="I816" s="17"/>
      <c r="J816" s="17">
        <v>1919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1979</v>
      </c>
      <c r="M816" s="17">
        <f aca="false">IF($H816="","",$H816+$K816)</f>
        <v/>
      </c>
      <c r="N816" s="17">
        <f aca="false">IF($J816="","",$J816+$K816)</f>
        <v>1919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IF($T817="","",1+COUNTIF($W$15:$W$895,"&lt;"&amp;W817))</f>
        <v/>
      </c>
      <c r="B817" s="16" t="s">
        <v>14</v>
      </c>
      <c r="C817" s="16" t="s">
        <v>790</v>
      </c>
      <c r="D817" s="16" t="s">
        <v>72</v>
      </c>
      <c r="E817" s="16" t="s">
        <v>26</v>
      </c>
      <c r="F817" s="16" t="s">
        <v>791</v>
      </c>
      <c r="G817" s="17">
        <v>1979</v>
      </c>
      <c r="H817" s="17"/>
      <c r="I817" s="17"/>
      <c r="J817" s="17">
        <v>1959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1979</v>
      </c>
      <c r="M817" s="17">
        <f aca="false">IF($H817="","",$H817+$K817)</f>
        <v/>
      </c>
      <c r="N817" s="17">
        <f aca="false">IF($J817="","",$J817+$K817)</f>
        <v>1959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IF($T818="","",1+COUNTIF($W$15:$W$895,"&lt;"&amp;W818))</f>
        <v/>
      </c>
      <c r="B818" s="16" t="s">
        <v>14</v>
      </c>
      <c r="C818" s="16" t="s">
        <v>1134</v>
      </c>
      <c r="D818" s="21" t="s">
        <v>81</v>
      </c>
      <c r="E818" s="16" t="s">
        <v>26</v>
      </c>
      <c r="F818" s="16" t="s">
        <v>1135</v>
      </c>
      <c r="G818" s="17">
        <v>1979</v>
      </c>
      <c r="H818" s="17"/>
      <c r="I818" s="17"/>
      <c r="J818" s="17">
        <v>1969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1979</v>
      </c>
      <c r="M818" s="17">
        <f aca="false">IF($H818="","",$H818+$K818)</f>
        <v/>
      </c>
      <c r="N818" s="17">
        <f aca="false">IF($J818="","",$J818+$K818)</f>
        <v>1969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22" collapsed="false" customFormat="true" customHeight="true" hidden="false" ht="28.5" outlineLevel="0">
      <c r="A819" s="16">
        <f aca="false">IF($T819="","",1+COUNTIF($W$15:$W$895,"&lt;"&amp;W819))</f>
        <v/>
      </c>
      <c r="B819" s="16" t="s">
        <v>14</v>
      </c>
      <c r="C819" s="16" t="s">
        <v>366</v>
      </c>
      <c r="D819" s="16" t="s">
        <v>61</v>
      </c>
      <c r="E819" s="16" t="s">
        <v>26</v>
      </c>
      <c r="F819" s="16" t="s">
        <v>367</v>
      </c>
      <c r="G819" s="17">
        <v>1979</v>
      </c>
      <c r="H819" s="17"/>
      <c r="I819" s="17"/>
      <c r="J819" s="17">
        <v>1979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1979</v>
      </c>
      <c r="M819" s="17">
        <f aca="false">IF($H819="","",$H819+$K819)</f>
        <v/>
      </c>
      <c r="N819" s="17">
        <f aca="false">IF($J819="","",$J819+$K819)</f>
        <v>1979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IF($T820="","",1+COUNTIF($W$15:$W$895,"&lt;"&amp;W820))</f>
        <v/>
      </c>
      <c r="B820" s="16" t="s">
        <v>14</v>
      </c>
      <c r="C820" s="16" t="s">
        <v>912</v>
      </c>
      <c r="D820" s="16" t="s">
        <v>45</v>
      </c>
      <c r="E820" s="16" t="s">
        <v>26</v>
      </c>
      <c r="F820" s="16" t="s">
        <v>914</v>
      </c>
      <c r="G820" s="17">
        <v>1979</v>
      </c>
      <c r="H820" s="17"/>
      <c r="I820" s="17"/>
      <c r="J820" s="17">
        <v>1979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1979</v>
      </c>
      <c r="M820" s="17">
        <f aca="false">IF($H820="","",$H820+$K820)</f>
        <v/>
      </c>
      <c r="N820" s="17">
        <f aca="false">IF($J820="","",$J820+$K820)</f>
        <v>1979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IF($T821="","",1+COUNTIF($W$15:$W$895,"&lt;"&amp;W821))</f>
        <v/>
      </c>
      <c r="B821" s="16" t="s">
        <v>14</v>
      </c>
      <c r="C821" s="16" t="s">
        <v>800</v>
      </c>
      <c r="D821" s="16" t="s">
        <v>45</v>
      </c>
      <c r="E821" s="16" t="s">
        <v>62</v>
      </c>
      <c r="F821" s="16" t="s">
        <v>801</v>
      </c>
      <c r="G821" s="17">
        <v>1979</v>
      </c>
      <c r="H821" s="17"/>
      <c r="I821" s="17"/>
      <c r="J821" s="17">
        <v>1999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1979</v>
      </c>
      <c r="M821" s="17">
        <f aca="false">IF($H821="","",$H821+$K821)</f>
        <v/>
      </c>
      <c r="N821" s="17">
        <f aca="false">IF($J821="","",$J821+$K821)</f>
        <v>1999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IF($T822="","",1+COUNTIF($W$15:$W$895,"&lt;"&amp;W822))</f>
        <v/>
      </c>
      <c r="B822" s="16" t="s">
        <v>14</v>
      </c>
      <c r="C822" s="16" t="s">
        <v>1144</v>
      </c>
      <c r="D822" s="16" t="s">
        <v>45</v>
      </c>
      <c r="E822" s="16" t="s">
        <v>26</v>
      </c>
      <c r="F822" s="16" t="s">
        <v>1145</v>
      </c>
      <c r="G822" s="17">
        <v>1979</v>
      </c>
      <c r="H822" s="17"/>
      <c r="I822" s="17"/>
      <c r="J822" s="17">
        <v>1999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1979</v>
      </c>
      <c r="M822" s="17">
        <f aca="false">IF($H822="","",$H822+$K822)</f>
        <v/>
      </c>
      <c r="N822" s="17">
        <f aca="false">IF($J822="","",$J822+$K822)</f>
        <v>1999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IF($T823="","",1+COUNTIF($W$15:$W$895,"&lt;"&amp;W823))</f>
        <v/>
      </c>
      <c r="B823" s="16" t="s">
        <v>6</v>
      </c>
      <c r="C823" s="16" t="s">
        <v>798</v>
      </c>
      <c r="D823" s="21" t="s">
        <v>81</v>
      </c>
      <c r="E823" s="16" t="s">
        <v>26</v>
      </c>
      <c r="F823" s="16" t="s">
        <v>799</v>
      </c>
      <c r="G823" s="17">
        <v>2199</v>
      </c>
      <c r="H823" s="17"/>
      <c r="I823" s="17"/>
      <c r="J823" s="17">
        <v>2199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2199</v>
      </c>
      <c r="M823" s="17">
        <f aca="false">IF($H823="","",$H823+$K823)</f>
        <v/>
      </c>
      <c r="N823" s="17">
        <f aca="false">IF($J823="","",$J823+$K823)</f>
        <v>2199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 t="s">
        <v>54</v>
      </c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IF($T824="","",1+COUNTIF($W$15:$W$895,"&lt;"&amp;W824))</f>
        <v/>
      </c>
      <c r="B824" s="16" t="s">
        <v>10</v>
      </c>
      <c r="C824" s="16" t="s">
        <v>1620</v>
      </c>
      <c r="D824" s="16" t="s">
        <v>61</v>
      </c>
      <c r="E824" s="16" t="s">
        <v>62</v>
      </c>
      <c r="F824" s="16" t="s">
        <v>1623</v>
      </c>
      <c r="G824" s="17">
        <v>1980</v>
      </c>
      <c r="H824" s="17"/>
      <c r="I824" s="17"/>
      <c r="J824" s="17">
        <v>1990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1980</v>
      </c>
      <c r="M824" s="17">
        <f aca="false">IF($H824="","",$H824+$K824)</f>
        <v/>
      </c>
      <c r="N824" s="17">
        <f aca="false">IF($J824="","",$J824+$K824)</f>
        <v>1990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C824" s="3"/>
    </row>
    <row r="825" s="5" collapsed="false" customFormat="true" customHeight="true" hidden="false" ht="28.5" outlineLevel="0">
      <c r="A825" s="16">
        <f aca="false">IF($T825="","",1+COUNTIF($W$15:$W$895,"&lt;"&amp;W825))</f>
        <v/>
      </c>
      <c r="B825" s="16" t="s">
        <v>10</v>
      </c>
      <c r="C825" s="16" t="s">
        <v>548</v>
      </c>
      <c r="D825" s="21" t="s">
        <v>81</v>
      </c>
      <c r="E825" s="16" t="s">
        <v>62</v>
      </c>
      <c r="F825" s="16" t="s">
        <v>549</v>
      </c>
      <c r="G825" s="17">
        <v>1984</v>
      </c>
      <c r="H825" s="17"/>
      <c r="I825" s="17"/>
      <c r="J825" s="17">
        <v>1972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1984</v>
      </c>
      <c r="M825" s="17">
        <f aca="false">IF($H825="","",$H825+$K825)</f>
        <v/>
      </c>
      <c r="N825" s="17">
        <f aca="false">IF($J825="","",$J825+$K825)</f>
        <v>1972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6" collapsed="false" customFormat="true" customHeight="true" hidden="false" ht="28.5" outlineLevel="0">
      <c r="A826" s="16">
        <f aca="false">IF($T826="","",1+COUNTIF($W$15:$W$895,"&lt;"&amp;W826))</f>
        <v/>
      </c>
      <c r="B826" s="16" t="s">
        <v>14</v>
      </c>
      <c r="C826" s="16" t="s">
        <v>1371</v>
      </c>
      <c r="D826" s="16" t="s">
        <v>45</v>
      </c>
      <c r="E826" s="16" t="s">
        <v>62</v>
      </c>
      <c r="F826" s="16" t="s">
        <v>1372</v>
      </c>
      <c r="G826" s="17">
        <v>1984</v>
      </c>
      <c r="H826" s="17"/>
      <c r="I826" s="17"/>
      <c r="J826" s="17">
        <v>1973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1984</v>
      </c>
      <c r="M826" s="17">
        <f aca="false">IF($H826="","",$H826+$K826)</f>
        <v/>
      </c>
      <c r="N826" s="17">
        <f aca="false">IF($J826="","",$J826+$K826)</f>
        <v>1973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C826" s="3"/>
    </row>
    <row r="827" s="5" collapsed="false" customFormat="true" customHeight="true" hidden="false" ht="28.5" outlineLevel="0">
      <c r="A827" s="16">
        <f aca="false">IF($T827="","",1+COUNTIF($W$15:$W$895,"&lt;"&amp;W827))</f>
        <v/>
      </c>
      <c r="B827" s="16" t="s">
        <v>10</v>
      </c>
      <c r="C827" s="16" t="s">
        <v>941</v>
      </c>
      <c r="D827" s="21" t="s">
        <v>81</v>
      </c>
      <c r="E827" s="16" t="s">
        <v>26</v>
      </c>
      <c r="F827" s="16" t="s">
        <v>942</v>
      </c>
      <c r="G827" s="17">
        <v>1985</v>
      </c>
      <c r="H827" s="17"/>
      <c r="I827" s="17"/>
      <c r="J827" s="17">
        <v>1895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1985</v>
      </c>
      <c r="M827" s="17">
        <f aca="false">IF($H827="","",$H827+$K827)</f>
        <v/>
      </c>
      <c r="N827" s="17">
        <f aca="false">IF($J827="","",$J827+$K827)</f>
        <v>1895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22" collapsed="false" customFormat="true" customHeight="true" hidden="false" ht="28.5" outlineLevel="0">
      <c r="A828" s="16">
        <f aca="false">IF($T828="","",1+COUNTIF($W$15:$W$895,"&lt;"&amp;W828))</f>
        <v/>
      </c>
      <c r="B828" s="16" t="s">
        <v>18</v>
      </c>
      <c r="C828" s="16" t="s">
        <v>1665</v>
      </c>
      <c r="D828" s="16" t="s">
        <v>110</v>
      </c>
      <c r="E828" s="16" t="s">
        <v>26</v>
      </c>
      <c r="F828" s="16" t="s">
        <v>1666</v>
      </c>
      <c r="G828" s="17">
        <v>1985</v>
      </c>
      <c r="H828" s="17"/>
      <c r="I828" s="17"/>
      <c r="J828" s="17">
        <v>1975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1985</v>
      </c>
      <c r="M828" s="17">
        <f aca="false">IF($H828="","",$H828+$K828)</f>
        <v/>
      </c>
      <c r="N828" s="17">
        <f aca="false">IF($J828="","",$J828+$K828)</f>
        <v>1975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IF($T829="","",1+COUNTIF($W$15:$W$895,"&lt;"&amp;W829))</f>
        <v/>
      </c>
      <c r="B829" s="16" t="s">
        <v>18</v>
      </c>
      <c r="C829" s="16" t="s">
        <v>1667</v>
      </c>
      <c r="D829" s="16" t="s">
        <v>110</v>
      </c>
      <c r="E829" s="16" t="s">
        <v>26</v>
      </c>
      <c r="F829" s="16" t="s">
        <v>1668</v>
      </c>
      <c r="G829" s="17">
        <v>1985</v>
      </c>
      <c r="H829" s="17"/>
      <c r="I829" s="17"/>
      <c r="J829" s="17">
        <v>1975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1985</v>
      </c>
      <c r="M829" s="17">
        <f aca="false">IF($H829="","",$H829+$K829)</f>
        <v/>
      </c>
      <c r="N829" s="17">
        <f aca="false">IF($J829="","",$J829+$K829)</f>
        <v>1975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22" collapsed="false" customFormat="true" customHeight="true" hidden="false" ht="28.5" outlineLevel="0">
      <c r="A830" s="16">
        <f aca="false">IF($T830="","",1+COUNTIF($W$15:$W$895,"&lt;"&amp;W830))</f>
        <v/>
      </c>
      <c r="B830" s="16" t="s">
        <v>10</v>
      </c>
      <c r="C830" s="16" t="s">
        <v>1434</v>
      </c>
      <c r="D830" s="16" t="s">
        <v>110</v>
      </c>
      <c r="E830" s="16" t="s">
        <v>26</v>
      </c>
      <c r="F830" s="16" t="s">
        <v>1435</v>
      </c>
      <c r="G830" s="17">
        <v>1985</v>
      </c>
      <c r="H830" s="17"/>
      <c r="I830" s="17"/>
      <c r="J830" s="17">
        <v>1977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1985</v>
      </c>
      <c r="M830" s="17">
        <f aca="false">IF($H830="","",$H830+$K830)</f>
        <v/>
      </c>
      <c r="N830" s="17">
        <f aca="false">IF($J830="","",$J830+$K830)</f>
        <v>1977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22" collapsed="false" customFormat="true" customHeight="true" hidden="false" ht="28.5" outlineLevel="0">
      <c r="A831" s="16">
        <f aca="false">IF($T831="","",1+COUNTIF($W$15:$W$895,"&lt;"&amp;W831))</f>
        <v/>
      </c>
      <c r="B831" s="16" t="s">
        <v>14</v>
      </c>
      <c r="C831" s="16" t="s">
        <v>1353</v>
      </c>
      <c r="D831" s="16" t="s">
        <v>45</v>
      </c>
      <c r="E831" s="16" t="s">
        <v>26</v>
      </c>
      <c r="F831" s="16" t="s">
        <v>1354</v>
      </c>
      <c r="G831" s="17">
        <v>1985</v>
      </c>
      <c r="H831" s="17"/>
      <c r="I831" s="17"/>
      <c r="J831" s="17">
        <v>1985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1985</v>
      </c>
      <c r="M831" s="17">
        <f aca="false">IF($H831="","",$H831+$K831)</f>
        <v/>
      </c>
      <c r="N831" s="17">
        <f aca="false">IF($J831="","",$J831+$K831)</f>
        <v>1985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IF($T832="","",1+COUNTIF($W$15:$W$895,"&lt;"&amp;W832))</f>
        <v/>
      </c>
      <c r="B832" s="16" t="s">
        <v>10</v>
      </c>
      <c r="C832" s="16" t="s">
        <v>699</v>
      </c>
      <c r="D832" s="16" t="s">
        <v>110</v>
      </c>
      <c r="E832" s="16" t="s">
        <v>26</v>
      </c>
      <c r="F832" s="16" t="s">
        <v>700</v>
      </c>
      <c r="G832" s="17">
        <v>1985</v>
      </c>
      <c r="H832" s="17"/>
      <c r="I832" s="17"/>
      <c r="J832" s="17">
        <v>1985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1985</v>
      </c>
      <c r="M832" s="17">
        <f aca="false">IF($H832="","",$H832+$K832)</f>
        <v/>
      </c>
      <c r="N832" s="17">
        <f aca="false">IF($J832="","",$J832+$K832)</f>
        <v>1985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IF($T833="","",1+COUNTIF($W$15:$W$895,"&lt;"&amp;W833))</f>
        <v/>
      </c>
      <c r="B833" s="16" t="s">
        <v>10</v>
      </c>
      <c r="C833" s="16" t="s">
        <v>701</v>
      </c>
      <c r="D833" s="16" t="s">
        <v>110</v>
      </c>
      <c r="E833" s="16" t="s">
        <v>26</v>
      </c>
      <c r="F833" s="16" t="s">
        <v>702</v>
      </c>
      <c r="G833" s="17">
        <v>1985</v>
      </c>
      <c r="H833" s="17"/>
      <c r="I833" s="17"/>
      <c r="J833" s="17">
        <v>1985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1985</v>
      </c>
      <c r="M833" s="17">
        <f aca="false">IF($H833="","",$H833+$K833)</f>
        <v/>
      </c>
      <c r="N833" s="17">
        <f aca="false">IF($J833="","",$J833+$K833)</f>
        <v>1985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IF($T834="","",1+COUNTIF($W$15:$W$895,"&lt;"&amp;W834))</f>
        <v/>
      </c>
      <c r="B834" s="16" t="s">
        <v>18</v>
      </c>
      <c r="C834" s="16" t="s">
        <v>1246</v>
      </c>
      <c r="D834" s="16" t="s">
        <v>45</v>
      </c>
      <c r="E834" s="16" t="s">
        <v>26</v>
      </c>
      <c r="F834" s="16" t="s">
        <v>1247</v>
      </c>
      <c r="G834" s="17">
        <v>1987</v>
      </c>
      <c r="H834" s="17"/>
      <c r="I834" s="17"/>
      <c r="J834" s="17">
        <v>1867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1987</v>
      </c>
      <c r="M834" s="17">
        <f aca="false">IF($H834="","",$H834+$K834)</f>
        <v/>
      </c>
      <c r="N834" s="17">
        <f aca="false">IF($J834="","",$J834+$K834)</f>
        <v>1867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IF($T835="","",1+COUNTIF($W$15:$W$895,"&lt;"&amp;W835))</f>
        <v/>
      </c>
      <c r="B835" s="16" t="s">
        <v>12</v>
      </c>
      <c r="C835" s="16" t="s">
        <v>865</v>
      </c>
      <c r="D835" s="20" t="s">
        <v>45</v>
      </c>
      <c r="E835" s="16" t="s">
        <v>62</v>
      </c>
      <c r="F835" s="16" t="s">
        <v>866</v>
      </c>
      <c r="G835" s="17">
        <v>1988</v>
      </c>
      <c r="H835" s="17"/>
      <c r="I835" s="17"/>
      <c r="J835" s="17">
        <v>1978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1988</v>
      </c>
      <c r="M835" s="17">
        <f aca="false">IF($H835="","",$H835+$K835)</f>
        <v/>
      </c>
      <c r="N835" s="17">
        <f aca="false">IF($J835="","",$J835+$K835)</f>
        <v>1978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IF($T836="","",1+COUNTIF($W$15:$W$895,"&lt;"&amp;W836))</f>
        <v/>
      </c>
      <c r="B836" s="16" t="s">
        <v>14</v>
      </c>
      <c r="C836" s="16" t="s">
        <v>636</v>
      </c>
      <c r="D836" s="21" t="s">
        <v>81</v>
      </c>
      <c r="E836" s="16" t="s">
        <v>26</v>
      </c>
      <c r="F836" s="16" t="s">
        <v>638</v>
      </c>
      <c r="G836" s="17">
        <v>1988</v>
      </c>
      <c r="H836" s="17"/>
      <c r="I836" s="17"/>
      <c r="J836" s="17">
        <v>1998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1988</v>
      </c>
      <c r="M836" s="17">
        <f aca="false">IF($H836="","",$H836+$K836)</f>
        <v/>
      </c>
      <c r="N836" s="17">
        <f aca="false">IF($J836="","",$J836+$K836)</f>
        <v>1998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IF($T837="","",1+COUNTIF($W$15:$W$895,"&lt;"&amp;W837))</f>
        <v/>
      </c>
      <c r="B837" s="16" t="s">
        <v>10</v>
      </c>
      <c r="C837" s="16" t="s">
        <v>892</v>
      </c>
      <c r="D837" s="16" t="s">
        <v>58</v>
      </c>
      <c r="E837" s="16" t="s">
        <v>26</v>
      </c>
      <c r="F837" s="16" t="s">
        <v>893</v>
      </c>
      <c r="G837" s="17">
        <v>1989</v>
      </c>
      <c r="H837" s="17"/>
      <c r="I837" s="17"/>
      <c r="J837" s="17">
        <v>1889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1989</v>
      </c>
      <c r="M837" s="17">
        <f aca="false">IF($H837="","",$H837+$K837)</f>
        <v/>
      </c>
      <c r="N837" s="17">
        <f aca="false">IF($J837="","",$J837+$K837)</f>
        <v>1889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IF($T838="","",1+COUNTIF($W$15:$W$895,"&lt;"&amp;W838))</f>
        <v/>
      </c>
      <c r="B838" s="16" t="s">
        <v>6</v>
      </c>
      <c r="C838" s="16" t="s">
        <v>69</v>
      </c>
      <c r="D838" s="16" t="s">
        <v>58</v>
      </c>
      <c r="E838" s="16" t="s">
        <v>26</v>
      </c>
      <c r="F838" s="16" t="s">
        <v>70</v>
      </c>
      <c r="G838" s="17">
        <v>1989</v>
      </c>
      <c r="H838" s="17"/>
      <c r="I838" s="17"/>
      <c r="J838" s="17">
        <v>1900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1989</v>
      </c>
      <c r="M838" s="17">
        <f aca="false">IF($H838="","",$H838+$K838)</f>
        <v/>
      </c>
      <c r="N838" s="17">
        <f aca="false">IF($J838="","",$J838+$K838)</f>
        <v>1900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6" collapsed="false" customFormat="true" customHeight="true" hidden="false" ht="28.5" outlineLevel="0">
      <c r="A839" s="16">
        <f aca="false">IF($T839="","",1+COUNTIF($W$15:$W$895,"&lt;"&amp;W839))</f>
        <v/>
      </c>
      <c r="B839" s="16" t="s">
        <v>14</v>
      </c>
      <c r="C839" s="16" t="s">
        <v>1697</v>
      </c>
      <c r="D839" s="16" t="s">
        <v>45</v>
      </c>
      <c r="E839" s="16" t="s">
        <v>62</v>
      </c>
      <c r="F839" s="16" t="s">
        <v>1698</v>
      </c>
      <c r="G839" s="17">
        <v>1989</v>
      </c>
      <c r="H839" s="17"/>
      <c r="I839" s="17"/>
      <c r="J839" s="17">
        <v>1969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1989</v>
      </c>
      <c r="M839" s="17">
        <f aca="false">IF($H839="","",$H839+$K839)</f>
        <v/>
      </c>
      <c r="N839" s="17">
        <f aca="false">IF($J839="","",$J839+$K839)</f>
        <v>1969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C839" s="3"/>
    </row>
    <row r="840" s="5" collapsed="false" customFormat="true" customHeight="true" hidden="false" ht="28.5" outlineLevel="0">
      <c r="A840" s="16">
        <f aca="false">IF($T840="","",1+COUNTIF($W$15:$W$895,"&lt;"&amp;W840))</f>
        <v/>
      </c>
      <c r="B840" s="16" t="s">
        <v>12</v>
      </c>
      <c r="C840" s="16" t="s">
        <v>660</v>
      </c>
      <c r="D840" s="20" t="s">
        <v>61</v>
      </c>
      <c r="E840" s="16" t="s">
        <v>62</v>
      </c>
      <c r="F840" s="16" t="s">
        <v>661</v>
      </c>
      <c r="G840" s="17">
        <v>1989</v>
      </c>
      <c r="H840" s="17"/>
      <c r="I840" s="17"/>
      <c r="J840" s="17">
        <v>1979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1989</v>
      </c>
      <c r="M840" s="17">
        <f aca="false">IF($H840="","",$H840+$K840)</f>
        <v/>
      </c>
      <c r="N840" s="17">
        <f aca="false">IF($J840="","",$J840+$K840)</f>
        <v>1979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IF($T841="","",1+COUNTIF($W$15:$W$895,"&lt;"&amp;W841))</f>
        <v/>
      </c>
      <c r="B841" s="16" t="s">
        <v>10</v>
      </c>
      <c r="C841" s="16" t="s">
        <v>109</v>
      </c>
      <c r="D841" s="16" t="s">
        <v>110</v>
      </c>
      <c r="E841" s="16" t="s">
        <v>26</v>
      </c>
      <c r="F841" s="16" t="s">
        <v>111</v>
      </c>
      <c r="G841" s="17">
        <v>1989</v>
      </c>
      <c r="H841" s="17"/>
      <c r="I841" s="17"/>
      <c r="J841" s="17">
        <v>1988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1989</v>
      </c>
      <c r="M841" s="17">
        <f aca="false">IF($H841="","",$H841+$K841)</f>
        <v/>
      </c>
      <c r="N841" s="17">
        <f aca="false">IF($J841="","",$J841+$K841)</f>
        <v>1988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6" collapsed="false" customFormat="true" customHeight="true" hidden="false" ht="28.5" outlineLevel="0">
      <c r="A842" s="16">
        <f aca="false">IF($T842="","",1+COUNTIF($W$15:$W$895,"&lt;"&amp;W842))</f>
        <v/>
      </c>
      <c r="B842" s="16" t="s">
        <v>10</v>
      </c>
      <c r="C842" s="16" t="s">
        <v>1222</v>
      </c>
      <c r="D842" s="16" t="s">
        <v>110</v>
      </c>
      <c r="E842" s="16" t="s">
        <v>26</v>
      </c>
      <c r="F842" s="16" t="s">
        <v>1223</v>
      </c>
      <c r="G842" s="17">
        <v>1989</v>
      </c>
      <c r="H842" s="17"/>
      <c r="I842" s="17"/>
      <c r="J842" s="17">
        <v>1988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1989</v>
      </c>
      <c r="M842" s="17">
        <f aca="false">IF($H842="","",$H842+$K842)</f>
        <v/>
      </c>
      <c r="N842" s="17">
        <f aca="false">IF($J842="","",$J842+$K842)</f>
        <v>1988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C842" s="3"/>
    </row>
    <row r="843" s="5" collapsed="false" customFormat="true" customHeight="true" hidden="false" ht="28.5" outlineLevel="0">
      <c r="A843" s="16">
        <f aca="false">IF($T843="","",1+COUNTIF($W$15:$W$895,"&lt;"&amp;W843))</f>
        <v/>
      </c>
      <c r="B843" s="16" t="s">
        <v>10</v>
      </c>
      <c r="C843" s="16" t="s">
        <v>536</v>
      </c>
      <c r="D843" s="21" t="s">
        <v>81</v>
      </c>
      <c r="E843" s="16" t="s">
        <v>62</v>
      </c>
      <c r="F843" s="16" t="s">
        <v>537</v>
      </c>
      <c r="G843" s="17">
        <v>1990</v>
      </c>
      <c r="H843" s="17"/>
      <c r="I843" s="17"/>
      <c r="J843" s="17">
        <v>1990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1990</v>
      </c>
      <c r="M843" s="17">
        <f aca="false">IF($H843="","",$H843+$K843)</f>
        <v/>
      </c>
      <c r="N843" s="17">
        <f aca="false">IF($J843="","",$J843+$K843)</f>
        <v>1990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IF($T844="","",1+COUNTIF($W$15:$W$895,"&lt;"&amp;W844))</f>
        <v/>
      </c>
      <c r="B844" s="16" t="s">
        <v>18</v>
      </c>
      <c r="C844" s="16" t="s">
        <v>408</v>
      </c>
      <c r="D844" s="16" t="s">
        <v>61</v>
      </c>
      <c r="E844" s="16" t="s">
        <v>26</v>
      </c>
      <c r="F844" s="16" t="s">
        <v>409</v>
      </c>
      <c r="G844" s="17">
        <v>1992</v>
      </c>
      <c r="H844" s="17"/>
      <c r="I844" s="17"/>
      <c r="J844" s="17">
        <v>1852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1992</v>
      </c>
      <c r="M844" s="17">
        <f aca="false">IF($H844="","",$H844+$K844)</f>
        <v/>
      </c>
      <c r="N844" s="17">
        <f aca="false">IF($J844="","",$J844+$K844)</f>
        <v>1852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6" collapsed="false" customFormat="true" customHeight="true" hidden="false" ht="28.5" outlineLevel="0">
      <c r="A845" s="16">
        <f aca="false">IF($T845="","",1+COUNTIF($W$15:$W$895,"&lt;"&amp;W845))</f>
        <v/>
      </c>
      <c r="B845" s="16" t="s">
        <v>18</v>
      </c>
      <c r="C845" s="16" t="s">
        <v>1391</v>
      </c>
      <c r="D845" s="16" t="s">
        <v>58</v>
      </c>
      <c r="E845" s="16" t="s">
        <v>26</v>
      </c>
      <c r="F845" s="16" t="s">
        <v>1392</v>
      </c>
      <c r="G845" s="17">
        <v>1992</v>
      </c>
      <c r="H845" s="17"/>
      <c r="I845" s="17"/>
      <c r="J845" s="17">
        <v>1970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1992</v>
      </c>
      <c r="M845" s="17">
        <f aca="false">IF($H845="","",$H845+$K845)</f>
        <v/>
      </c>
      <c r="N845" s="17">
        <f aca="false">IF($J845="","",$J845+$K845)</f>
        <v>1970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C845" s="3"/>
    </row>
    <row r="846" s="5" collapsed="false" customFormat="true" customHeight="true" hidden="false" ht="28.5" outlineLevel="0">
      <c r="A846" s="16">
        <f aca="false">IF($T846="","",1+COUNTIF($W$15:$W$895,"&lt;"&amp;W846))</f>
        <v/>
      </c>
      <c r="B846" s="16" t="s">
        <v>18</v>
      </c>
      <c r="C846" s="16" t="s">
        <v>118</v>
      </c>
      <c r="D846" s="16" t="s">
        <v>58</v>
      </c>
      <c r="E846" s="16" t="s">
        <v>26</v>
      </c>
      <c r="F846" s="16" t="s">
        <v>119</v>
      </c>
      <c r="G846" s="17">
        <v>1992</v>
      </c>
      <c r="H846" s="17"/>
      <c r="I846" s="17"/>
      <c r="J846" s="17">
        <v>1982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1992</v>
      </c>
      <c r="M846" s="17">
        <f aca="false">IF($H846="","",$H846+$K846)</f>
        <v/>
      </c>
      <c r="N846" s="17">
        <f aca="false">IF($J846="","",$J846+$K846)</f>
        <v>1982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IF($T847="","",1+COUNTIF($W$15:$W$895,"&lt;"&amp;W847))</f>
        <v/>
      </c>
      <c r="B847" s="16" t="s">
        <v>10</v>
      </c>
      <c r="C847" s="16" t="s">
        <v>290</v>
      </c>
      <c r="D847" s="16" t="s">
        <v>110</v>
      </c>
      <c r="E847" s="16" t="s">
        <v>26</v>
      </c>
      <c r="F847" s="16" t="s">
        <v>291</v>
      </c>
      <c r="G847" s="17">
        <v>1994</v>
      </c>
      <c r="H847" s="17"/>
      <c r="I847" s="17"/>
      <c r="J847" s="17">
        <v>1983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1994</v>
      </c>
      <c r="M847" s="17">
        <f aca="false">IF($H847="","",$H847+$K847)</f>
        <v/>
      </c>
      <c r="N847" s="17">
        <f aca="false">IF($J847="","",$J847+$K847)</f>
        <v>1983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IF($T848="","",1+COUNTIF($W$15:$W$895,"&lt;"&amp;W848))</f>
        <v/>
      </c>
      <c r="B848" s="16" t="s">
        <v>10</v>
      </c>
      <c r="C848" s="16" t="s">
        <v>292</v>
      </c>
      <c r="D848" s="16" t="s">
        <v>110</v>
      </c>
      <c r="E848" s="16" t="s">
        <v>26</v>
      </c>
      <c r="F848" s="16" t="s">
        <v>293</v>
      </c>
      <c r="G848" s="17">
        <v>1994</v>
      </c>
      <c r="H848" s="17"/>
      <c r="I848" s="17"/>
      <c r="J848" s="17">
        <v>1983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1994</v>
      </c>
      <c r="M848" s="17">
        <f aca="false">IF($H848="","",$H848+$K848)</f>
        <v/>
      </c>
      <c r="N848" s="17">
        <f aca="false">IF($J848="","",$J848+$K848)</f>
        <v>1983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6" collapsed="false" customFormat="true" customHeight="true" hidden="false" ht="28.5" outlineLevel="0">
      <c r="A849" s="16">
        <f aca="false">IF($T849="","",1+COUNTIF($W$15:$W$895,"&lt;"&amp;W849))</f>
        <v/>
      </c>
      <c r="B849" s="16" t="s">
        <v>12</v>
      </c>
      <c r="C849" s="16" t="s">
        <v>1066</v>
      </c>
      <c r="D849" s="20" t="s">
        <v>45</v>
      </c>
      <c r="E849" s="16" t="s">
        <v>26</v>
      </c>
      <c r="F849" s="16" t="s">
        <v>1067</v>
      </c>
      <c r="G849" s="17">
        <v>1994</v>
      </c>
      <c r="H849" s="17"/>
      <c r="I849" s="17"/>
      <c r="J849" s="17">
        <v>1984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1994</v>
      </c>
      <c r="M849" s="17">
        <f aca="false">IF($H849="","",$H849+$K849)</f>
        <v/>
      </c>
      <c r="N849" s="17">
        <f aca="false">IF($J849="","",$J849+$K849)</f>
        <v>1984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C849" s="3"/>
    </row>
    <row r="850" s="6" collapsed="false" customFormat="true" customHeight="true" hidden="false" ht="28.5" outlineLevel="0">
      <c r="A850" s="16">
        <f aca="false">IF($T850="","",1+COUNTIF($W$15:$W$895,"&lt;"&amp;W850))</f>
        <v/>
      </c>
      <c r="B850" s="16" t="s">
        <v>12</v>
      </c>
      <c r="C850" s="16" t="s">
        <v>308</v>
      </c>
      <c r="D850" s="16" t="s">
        <v>110</v>
      </c>
      <c r="E850" s="16" t="s">
        <v>26</v>
      </c>
      <c r="F850" s="16" t="s">
        <v>309</v>
      </c>
      <c r="G850" s="17">
        <v>1994</v>
      </c>
      <c r="H850" s="17"/>
      <c r="I850" s="17"/>
      <c r="J850" s="17">
        <v>1987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1994</v>
      </c>
      <c r="M850" s="17">
        <f aca="false">IF($H850="","",$H850+$K850)</f>
        <v/>
      </c>
      <c r="N850" s="17">
        <f aca="false">IF($J850="","",$J850+$K850)</f>
        <v>1987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IF($T851="","",1+COUNTIF($W$15:$W$895,"&lt;"&amp;W851))</f>
        <v/>
      </c>
      <c r="B851" s="16" t="s">
        <v>14</v>
      </c>
      <c r="C851" s="16" t="s">
        <v>1331</v>
      </c>
      <c r="D851" s="16" t="s">
        <v>45</v>
      </c>
      <c r="E851" s="16" t="s">
        <v>26</v>
      </c>
      <c r="F851" s="16" t="s">
        <v>1332</v>
      </c>
      <c r="G851" s="17">
        <v>1995</v>
      </c>
      <c r="H851" s="17"/>
      <c r="I851" s="17"/>
      <c r="J851" s="17">
        <v>1879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1995</v>
      </c>
      <c r="M851" s="17">
        <f aca="false">IF($H851="","",$H851+$K851)</f>
        <v/>
      </c>
      <c r="N851" s="17">
        <f aca="false">IF($J851="","",$J851+$K851)</f>
        <v>1879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IF($T852="","",1+COUNTIF($W$15:$W$895,"&lt;"&amp;W852))</f>
        <v/>
      </c>
      <c r="B852" s="16" t="s">
        <v>10</v>
      </c>
      <c r="C852" s="16" t="s">
        <v>804</v>
      </c>
      <c r="D852" s="16" t="s">
        <v>45</v>
      </c>
      <c r="E852" s="16" t="s">
        <v>26</v>
      </c>
      <c r="F852" s="16" t="s">
        <v>805</v>
      </c>
      <c r="G852" s="17">
        <v>1995</v>
      </c>
      <c r="H852" s="17"/>
      <c r="I852" s="17"/>
      <c r="J852" s="17">
        <v>1897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1995</v>
      </c>
      <c r="M852" s="17">
        <f aca="false">IF($H852="","",$H852+$K852)</f>
        <v/>
      </c>
      <c r="N852" s="17">
        <f aca="false">IF($J852="","",$J852+$K852)</f>
        <v>1897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22" collapsed="false" customFormat="true" customHeight="true" hidden="false" ht="28.5" outlineLevel="0">
      <c r="A853" s="16">
        <f aca="false">IF($T853="","",1+COUNTIF($W$15:$W$895,"&lt;"&amp;W853))</f>
        <v/>
      </c>
      <c r="B853" s="16" t="s">
        <v>10</v>
      </c>
      <c r="C853" s="16" t="s">
        <v>1355</v>
      </c>
      <c r="D853" s="16" t="s">
        <v>48</v>
      </c>
      <c r="E853" s="16" t="s">
        <v>26</v>
      </c>
      <c r="F853" s="16" t="s">
        <v>1356</v>
      </c>
      <c r="G853" s="17">
        <v>1995</v>
      </c>
      <c r="H853" s="17"/>
      <c r="I853" s="17"/>
      <c r="J853" s="17">
        <v>1960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1995</v>
      </c>
      <c r="M853" s="17">
        <f aca="false">IF($H853="","",$H853+$K853)</f>
        <v/>
      </c>
      <c r="N853" s="17">
        <f aca="false">IF($J853="","",$J853+$K853)</f>
        <v>1960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IF($T854="","",1+COUNTIF($W$15:$W$895,"&lt;"&amp;W854))</f>
        <v/>
      </c>
      <c r="B854" s="16" t="s">
        <v>12</v>
      </c>
      <c r="C854" s="16" t="s">
        <v>374</v>
      </c>
      <c r="D854" s="16" t="s">
        <v>110</v>
      </c>
      <c r="E854" s="16" t="s">
        <v>26</v>
      </c>
      <c r="F854" s="16" t="s">
        <v>375</v>
      </c>
      <c r="G854" s="17">
        <v>1995</v>
      </c>
      <c r="H854" s="17"/>
      <c r="I854" s="17"/>
      <c r="J854" s="17">
        <v>1985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1995</v>
      </c>
      <c r="M854" s="17">
        <f aca="false">IF($H854="","",$H854+$K854)</f>
        <v/>
      </c>
      <c r="N854" s="17">
        <f aca="false">IF($J854="","",$J854+$K854)</f>
        <v>1985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IF($T855="","",1+COUNTIF($W$15:$W$895,"&lt;"&amp;W855))</f>
        <v/>
      </c>
      <c r="B855" s="16" t="s">
        <v>10</v>
      </c>
      <c r="C855" s="16" t="s">
        <v>1224</v>
      </c>
      <c r="D855" s="16" t="s">
        <v>110</v>
      </c>
      <c r="E855" s="16" t="s">
        <v>26</v>
      </c>
      <c r="F855" s="16" t="s">
        <v>1225</v>
      </c>
      <c r="G855" s="17">
        <v>1995</v>
      </c>
      <c r="H855" s="17"/>
      <c r="I855" s="17"/>
      <c r="J855" s="17">
        <v>1989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1995</v>
      </c>
      <c r="M855" s="17">
        <f aca="false">IF($H855="","",$H855+$K855)</f>
        <v/>
      </c>
      <c r="N855" s="17">
        <f aca="false">IF($J855="","",$J855+$K855)</f>
        <v>1989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IF($T856="","",1+COUNTIF($W$15:$W$895,"&lt;"&amp;W856))</f>
        <v/>
      </c>
      <c r="B856" s="16" t="s">
        <v>14</v>
      </c>
      <c r="C856" s="16" t="s">
        <v>682</v>
      </c>
      <c r="D856" s="16" t="s">
        <v>61</v>
      </c>
      <c r="E856" s="16" t="s">
        <v>62</v>
      </c>
      <c r="F856" s="16" t="s">
        <v>684</v>
      </c>
      <c r="G856" s="17">
        <v>1995</v>
      </c>
      <c r="H856" s="17"/>
      <c r="I856" s="17"/>
      <c r="J856" s="17">
        <v>1995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1995</v>
      </c>
      <c r="M856" s="17">
        <f aca="false">IF($H856="","",$H856+$K856)</f>
        <v/>
      </c>
      <c r="N856" s="17">
        <f aca="false">IF($J856="","",$J856+$K856)</f>
        <v>1995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IF($T857="","",1+COUNTIF($W$15:$W$895,"&lt;"&amp;W857))</f>
        <v/>
      </c>
      <c r="B857" s="16" t="s">
        <v>12</v>
      </c>
      <c r="C857" s="16" t="s">
        <v>1113</v>
      </c>
      <c r="D857" s="20" t="s">
        <v>58</v>
      </c>
      <c r="E857" s="16" t="s">
        <v>62</v>
      </c>
      <c r="F857" s="16" t="s">
        <v>1114</v>
      </c>
      <c r="G857" s="17">
        <v>1995</v>
      </c>
      <c r="H857" s="17"/>
      <c r="I857" s="17"/>
      <c r="J857" s="17">
        <v>1995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1995</v>
      </c>
      <c r="M857" s="17">
        <f aca="false">IF($H857="","",$H857+$K857)</f>
        <v/>
      </c>
      <c r="N857" s="17">
        <f aca="false">IF($J857="","",$J857+$K857)</f>
        <v>1995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IF($T858="","",1+COUNTIF($W$15:$W$895,"&lt;"&amp;W858))</f>
        <v/>
      </c>
      <c r="B858" s="16" t="s">
        <v>12</v>
      </c>
      <c r="C858" s="16" t="s">
        <v>1150</v>
      </c>
      <c r="D858" s="20" t="s">
        <v>72</v>
      </c>
      <c r="E858" s="16" t="s">
        <v>62</v>
      </c>
      <c r="F858" s="16" t="s">
        <v>1151</v>
      </c>
      <c r="G858" s="17">
        <v>1995</v>
      </c>
      <c r="H858" s="17"/>
      <c r="I858" s="17"/>
      <c r="J858" s="17">
        <v>1995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1995</v>
      </c>
      <c r="M858" s="17">
        <f aca="false">IF($H858="","",$H858+$K858)</f>
        <v/>
      </c>
      <c r="N858" s="17">
        <f aca="false">IF($J858="","",$J858+$K858)</f>
        <v>1995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IF($T859="","",1+COUNTIF($W$15:$W$895,"&lt;"&amp;W859))</f>
        <v/>
      </c>
      <c r="B859" s="16" t="s">
        <v>12</v>
      </c>
      <c r="C859" s="16" t="s">
        <v>1152</v>
      </c>
      <c r="D859" s="20" t="s">
        <v>72</v>
      </c>
      <c r="E859" s="16" t="s">
        <v>62</v>
      </c>
      <c r="F859" s="16" t="s">
        <v>1153</v>
      </c>
      <c r="G859" s="17">
        <v>1995</v>
      </c>
      <c r="H859" s="17"/>
      <c r="I859" s="17"/>
      <c r="J859" s="17">
        <v>1995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1995</v>
      </c>
      <c r="M859" s="17">
        <f aca="false">IF($H859="","",$H859+$K859)</f>
        <v/>
      </c>
      <c r="N859" s="17">
        <f aca="false">IF($J859="","",$J859+$K859)</f>
        <v>1995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6" collapsed="false" customFormat="true" customHeight="true" hidden="false" ht="28.5" outlineLevel="0">
      <c r="A860" s="16">
        <f aca="false">IF($T860="","",1+COUNTIF($W$15:$W$895,"&lt;"&amp;W860))</f>
        <v/>
      </c>
      <c r="B860" s="16" t="s">
        <v>12</v>
      </c>
      <c r="C860" s="16" t="s">
        <v>1154</v>
      </c>
      <c r="D860" s="20" t="s">
        <v>72</v>
      </c>
      <c r="E860" s="16" t="s">
        <v>26</v>
      </c>
      <c r="F860" s="16" t="s">
        <v>1155</v>
      </c>
      <c r="G860" s="17">
        <v>1995</v>
      </c>
      <c r="H860" s="17"/>
      <c r="I860" s="17"/>
      <c r="J860" s="17">
        <v>1995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1995</v>
      </c>
      <c r="M860" s="17">
        <f aca="false">IF($H860="","",$H860+$K860)</f>
        <v/>
      </c>
      <c r="N860" s="17">
        <f aca="false">IF($J860="","",$J860+$K860)</f>
        <v>1995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C860" s="3"/>
    </row>
    <row r="861" s="22" collapsed="false" customFormat="true" customHeight="true" hidden="false" ht="28.5" outlineLevel="0">
      <c r="A861" s="16">
        <f aca="false">IF($T861="","",1+COUNTIF($W$15:$W$895,"&lt;"&amp;W861))</f>
        <v/>
      </c>
      <c r="B861" s="16" t="s">
        <v>12</v>
      </c>
      <c r="C861" s="16" t="s">
        <v>105</v>
      </c>
      <c r="D861" s="20" t="s">
        <v>58</v>
      </c>
      <c r="E861" s="16" t="s">
        <v>26</v>
      </c>
      <c r="F861" s="16" t="s">
        <v>106</v>
      </c>
      <c r="G861" s="17">
        <v>1995</v>
      </c>
      <c r="H861" s="17"/>
      <c r="I861" s="17"/>
      <c r="J861" s="17">
        <v>2150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1995</v>
      </c>
      <c r="M861" s="17">
        <f aca="false">IF($H861="","",$H861+$K861)</f>
        <v/>
      </c>
      <c r="N861" s="17">
        <f aca="false">IF($J861="","",$J861+$K861)</f>
        <v>2150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IF($T862="","",1+COUNTIF($W$15:$W$895,"&lt;"&amp;W862))</f>
        <v/>
      </c>
      <c r="B862" s="16" t="s">
        <v>18</v>
      </c>
      <c r="C862" s="16" t="s">
        <v>558</v>
      </c>
      <c r="D862" s="16" t="s">
        <v>45</v>
      </c>
      <c r="E862" s="16" t="s">
        <v>26</v>
      </c>
      <c r="F862" s="16" t="s">
        <v>559</v>
      </c>
      <c r="G862" s="17">
        <v>1996</v>
      </c>
      <c r="H862" s="17"/>
      <c r="I862" s="17"/>
      <c r="J862" s="17">
        <v>1996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1996</v>
      </c>
      <c r="M862" s="17">
        <f aca="false">IF($H862="","",$H862+$K862)</f>
        <v/>
      </c>
      <c r="N862" s="17">
        <f aca="false">IF($J862="","",$J862+$K862)</f>
        <v>1996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IF($T863="","",1+COUNTIF($W$15:$W$895,"&lt;"&amp;W863))</f>
        <v/>
      </c>
      <c r="B863" s="16" t="s">
        <v>14</v>
      </c>
      <c r="C863" s="16" t="s">
        <v>138</v>
      </c>
      <c r="D863" s="21" t="s">
        <v>81</v>
      </c>
      <c r="E863" s="16" t="s">
        <v>26</v>
      </c>
      <c r="F863" s="16" t="s">
        <v>139</v>
      </c>
      <c r="G863" s="17">
        <v>1997</v>
      </c>
      <c r="H863" s="17"/>
      <c r="I863" s="17"/>
      <c r="J863" s="17">
        <v>1847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1997</v>
      </c>
      <c r="M863" s="17">
        <f aca="false">IF($H863="","",$H863+$K863)</f>
        <v/>
      </c>
      <c r="N863" s="17">
        <f aca="false">IF($J863="","",$J863+$K863)</f>
        <v>1847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 aca="false">IF($T864="","",1+COUNTIF($W$15:$W$895,"&lt;"&amp;W864))</f>
        <v/>
      </c>
      <c r="B864" s="16" t="s">
        <v>14</v>
      </c>
      <c r="C864" s="16" t="s">
        <v>418</v>
      </c>
      <c r="D864" s="16" t="s">
        <v>58</v>
      </c>
      <c r="E864" s="16" t="s">
        <v>26</v>
      </c>
      <c r="F864" s="16" t="s">
        <v>419</v>
      </c>
      <c r="G864" s="17">
        <v>1997</v>
      </c>
      <c r="H864" s="17"/>
      <c r="I864" s="17"/>
      <c r="J864" s="17">
        <v>1878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1997</v>
      </c>
      <c r="M864" s="17">
        <f aca="false">IF($H864="","",$H864+$K864)</f>
        <v/>
      </c>
      <c r="N864" s="17">
        <f aca="false">IF($J864="","",$J864+$K864)</f>
        <v>1878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22" collapsed="false" customFormat="true" customHeight="true" hidden="false" ht="28.5" outlineLevel="0">
      <c r="A865" s="16">
        <f aca="false">IF($T865="","",1+COUNTIF($W$15:$W$895,"&lt;"&amp;W865))</f>
        <v/>
      </c>
      <c r="B865" s="16" t="s">
        <v>12</v>
      </c>
      <c r="C865" s="16" t="s">
        <v>1656</v>
      </c>
      <c r="D865" s="20" t="s">
        <v>45</v>
      </c>
      <c r="E865" s="16" t="s">
        <v>26</v>
      </c>
      <c r="F865" s="16" t="s">
        <v>1657</v>
      </c>
      <c r="G865" s="17">
        <v>1997</v>
      </c>
      <c r="H865" s="17"/>
      <c r="I865" s="17"/>
      <c r="J865" s="17">
        <v>1927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1997</v>
      </c>
      <c r="M865" s="17">
        <f aca="false">IF($H865="","",$H865+$K865)</f>
        <v/>
      </c>
      <c r="N865" s="17">
        <f aca="false">IF($J865="","",$J865+$K865)</f>
        <v>1927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IF($T866="","",1+COUNTIF($W$15:$W$895,"&lt;"&amp;W866))</f>
        <v/>
      </c>
      <c r="B866" s="16" t="s">
        <v>14</v>
      </c>
      <c r="C866" s="16" t="s">
        <v>844</v>
      </c>
      <c r="D866" s="16" t="s">
        <v>61</v>
      </c>
      <c r="E866" s="16" t="s">
        <v>26</v>
      </c>
      <c r="F866" s="16" t="s">
        <v>845</v>
      </c>
      <c r="G866" s="17">
        <v>1998</v>
      </c>
      <c r="H866" s="17"/>
      <c r="I866" s="17"/>
      <c r="J866" s="17">
        <v>1868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1998</v>
      </c>
      <c r="M866" s="17">
        <f aca="false">IF($H866="","",$H866+$K866)</f>
        <v/>
      </c>
      <c r="N866" s="17">
        <f aca="false">IF($J866="","",$J866+$K866)</f>
        <v>1868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IF($T867="","",1+COUNTIF($W$15:$W$895,"&lt;"&amp;W867))</f>
        <v/>
      </c>
      <c r="B867" s="16" t="s">
        <v>10</v>
      </c>
      <c r="C867" s="16" t="s">
        <v>1574</v>
      </c>
      <c r="D867" s="16" t="s">
        <v>72</v>
      </c>
      <c r="E867" s="16" t="s">
        <v>62</v>
      </c>
      <c r="F867" s="16" t="s">
        <v>1575</v>
      </c>
      <c r="G867" s="17">
        <v>1998</v>
      </c>
      <c r="H867" s="17"/>
      <c r="I867" s="17"/>
      <c r="J867" s="17">
        <v>1924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1998</v>
      </c>
      <c r="M867" s="17">
        <f aca="false">IF($H867="","",$H867+$K867)</f>
        <v/>
      </c>
      <c r="N867" s="17">
        <f aca="false">IF($J867="","",$J867+$K867)</f>
        <v>1924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6" collapsed="false" customFormat="true" customHeight="true" hidden="false" ht="28.5" outlineLevel="0">
      <c r="A868" s="16">
        <f aca="false">IF($T868="","",1+COUNTIF($W$15:$W$895,"&lt;"&amp;W868))</f>
        <v/>
      </c>
      <c r="B868" s="16" t="s">
        <v>14</v>
      </c>
      <c r="C868" s="16" t="s">
        <v>1136</v>
      </c>
      <c r="D868" s="16" t="s">
        <v>58</v>
      </c>
      <c r="E868" s="16" t="s">
        <v>26</v>
      </c>
      <c r="F868" s="16" t="s">
        <v>1137</v>
      </c>
      <c r="G868" s="17">
        <v>1998</v>
      </c>
      <c r="H868" s="17"/>
      <c r="I868" s="17"/>
      <c r="J868" s="17">
        <v>1988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1998</v>
      </c>
      <c r="M868" s="17">
        <f aca="false">IF($H868="","",$H868+$K868)</f>
        <v/>
      </c>
      <c r="N868" s="17">
        <f aca="false">IF($J868="","",$J868+$K868)</f>
        <v>1988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6" collapsed="false" customFormat="true" customHeight="true" hidden="false" ht="28.5" outlineLevel="0">
      <c r="A869" s="16">
        <f aca="false">IF($T869="","",1+COUNTIF($W$15:$W$895,"&lt;"&amp;W869))</f>
        <v/>
      </c>
      <c r="B869" s="16" t="s">
        <v>12</v>
      </c>
      <c r="C869" s="16" t="s">
        <v>1679</v>
      </c>
      <c r="D869" s="20" t="s">
        <v>45</v>
      </c>
      <c r="E869" s="16" t="s">
        <v>26</v>
      </c>
      <c r="F869" s="16" t="s">
        <v>1680</v>
      </c>
      <c r="G869" s="17">
        <v>1998</v>
      </c>
      <c r="H869" s="17"/>
      <c r="I869" s="17"/>
      <c r="J869" s="17">
        <v>1988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1998</v>
      </c>
      <c r="M869" s="17">
        <f aca="false">IF($H869="","",$H869+$K869)</f>
        <v/>
      </c>
      <c r="N869" s="17">
        <f aca="false">IF($J869="","",$J869+$K869)</f>
        <v>1988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C869" s="3"/>
    </row>
    <row r="870" s="5" collapsed="false" customFormat="true" customHeight="true" hidden="false" ht="28.5" outlineLevel="0">
      <c r="A870" s="16">
        <f aca="false">IF($T870="","",1+COUNTIF($W$15:$W$895,"&lt;"&amp;W870))</f>
        <v/>
      </c>
      <c r="B870" s="16" t="s">
        <v>14</v>
      </c>
      <c r="C870" s="16" t="s">
        <v>863</v>
      </c>
      <c r="D870" s="16" t="s">
        <v>61</v>
      </c>
      <c r="E870" s="16" t="s">
        <v>26</v>
      </c>
      <c r="F870" s="16" t="s">
        <v>864</v>
      </c>
      <c r="G870" s="17">
        <v>1998</v>
      </c>
      <c r="H870" s="17"/>
      <c r="I870" s="17"/>
      <c r="J870" s="17">
        <v>1998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1998</v>
      </c>
      <c r="M870" s="17">
        <f aca="false">IF($H870="","",$H870+$K870)</f>
        <v/>
      </c>
      <c r="N870" s="17">
        <f aca="false">IF($J870="","",$J870+$K870)</f>
        <v>1998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IF($T871="","",1+COUNTIF($W$15:$W$895,"&lt;"&amp;W871))</f>
        <v/>
      </c>
      <c r="B871" s="16" t="s">
        <v>14</v>
      </c>
      <c r="C871" s="16" t="s">
        <v>869</v>
      </c>
      <c r="D871" s="21" t="s">
        <v>81</v>
      </c>
      <c r="E871" s="16" t="s">
        <v>26</v>
      </c>
      <c r="F871" s="16" t="s">
        <v>870</v>
      </c>
      <c r="G871" s="17">
        <v>1998</v>
      </c>
      <c r="H871" s="17"/>
      <c r="I871" s="17"/>
      <c r="J871" s="17">
        <v>1998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1998</v>
      </c>
      <c r="M871" s="17">
        <f aca="false">IF($H871="","",$H871+$K871)</f>
        <v/>
      </c>
      <c r="N871" s="17">
        <f aca="false">IF($J871="","",$J871+$K871)</f>
        <v>1998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IF($T872="","",1+COUNTIF($W$15:$W$895,"&lt;"&amp;W872))</f>
        <v/>
      </c>
      <c r="B872" s="16" t="s">
        <v>12</v>
      </c>
      <c r="C872" s="16" t="s">
        <v>751</v>
      </c>
      <c r="D872" s="20" t="s">
        <v>61</v>
      </c>
      <c r="E872" s="16" t="s">
        <v>62</v>
      </c>
      <c r="F872" s="16" t="s">
        <v>752</v>
      </c>
      <c r="G872" s="17">
        <v>1998</v>
      </c>
      <c r="H872" s="17"/>
      <c r="I872" s="17"/>
      <c r="J872" s="17">
        <v>1998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1998</v>
      </c>
      <c r="M872" s="17">
        <f aca="false">IF($H872="","",$H872+$K872)</f>
        <v/>
      </c>
      <c r="N872" s="17">
        <f aca="false">IF($J872="","",$J872+$K872)</f>
        <v>1998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IF($T873="","",1+COUNTIF($W$15:$W$895,"&lt;"&amp;W873))</f>
        <v/>
      </c>
      <c r="B873" s="16" t="s">
        <v>12</v>
      </c>
      <c r="C873" s="16" t="s">
        <v>1289</v>
      </c>
      <c r="D873" s="20" t="s">
        <v>61</v>
      </c>
      <c r="E873" s="16" t="s">
        <v>26</v>
      </c>
      <c r="F873" s="16" t="s">
        <v>1290</v>
      </c>
      <c r="G873" s="17">
        <v>1998</v>
      </c>
      <c r="H873" s="17"/>
      <c r="I873" s="17"/>
      <c r="J873" s="17">
        <v>1998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1998</v>
      </c>
      <c r="M873" s="17">
        <f aca="false">IF($H873="","",$H873+$K873)</f>
        <v/>
      </c>
      <c r="N873" s="17">
        <f aca="false">IF($J873="","",$J873+$K873)</f>
        <v>1998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IF($T874="","",1+COUNTIF($W$15:$W$895,"&lt;"&amp;W874))</f>
        <v/>
      </c>
      <c r="B874" s="16" t="s">
        <v>10</v>
      </c>
      <c r="C874" s="16" t="s">
        <v>1681</v>
      </c>
      <c r="D874" s="21" t="s">
        <v>81</v>
      </c>
      <c r="E874" s="16" t="s">
        <v>62</v>
      </c>
      <c r="F874" s="16" t="s">
        <v>1682</v>
      </c>
      <c r="G874" s="17">
        <v>1998</v>
      </c>
      <c r="H874" s="17"/>
      <c r="I874" s="17"/>
      <c r="J874" s="17">
        <v>1998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1998</v>
      </c>
      <c r="M874" s="17">
        <f aca="false">IF($H874="","",$H874+$K874)</f>
        <v/>
      </c>
      <c r="N874" s="17">
        <f aca="false">IF($J874="","",$J874+$K874)</f>
        <v>1998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IF($T875="","",1+COUNTIF($W$15:$W$895,"&lt;"&amp;W875))</f>
        <v/>
      </c>
      <c r="B875" s="16" t="s">
        <v>10</v>
      </c>
      <c r="C875" s="16" t="s">
        <v>384</v>
      </c>
      <c r="D875" s="16" t="s">
        <v>45</v>
      </c>
      <c r="E875" s="16" t="s">
        <v>26</v>
      </c>
      <c r="F875" s="16" t="s">
        <v>385</v>
      </c>
      <c r="G875" s="17">
        <v>1999</v>
      </c>
      <c r="H875" s="17"/>
      <c r="I875" s="17"/>
      <c r="J875" s="17">
        <v>1887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1999</v>
      </c>
      <c r="M875" s="17">
        <f aca="false">IF($H875="","",$H875+$K875)</f>
        <v/>
      </c>
      <c r="N875" s="17">
        <f aca="false">IF($J875="","",$J875+$K875)</f>
        <v>1887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IF($T876="","",1+COUNTIF($W$15:$W$895,"&lt;"&amp;W876))</f>
        <v/>
      </c>
      <c r="B876" s="16" t="s">
        <v>18</v>
      </c>
      <c r="C876" s="16" t="s">
        <v>546</v>
      </c>
      <c r="D876" s="16" t="s">
        <v>72</v>
      </c>
      <c r="E876" s="16" t="s">
        <v>26</v>
      </c>
      <c r="F876" s="16" t="s">
        <v>547</v>
      </c>
      <c r="G876" s="17">
        <v>1999</v>
      </c>
      <c r="H876" s="17"/>
      <c r="I876" s="17"/>
      <c r="J876" s="17">
        <v>1959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1959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IF($T877="","",1+COUNTIF($W$15:$W$895,"&lt;"&amp;W877))</f>
        <v/>
      </c>
      <c r="B877" s="16" t="s">
        <v>14</v>
      </c>
      <c r="C877" s="16" t="s">
        <v>388</v>
      </c>
      <c r="D877" s="16" t="s">
        <v>58</v>
      </c>
      <c r="E877" s="16" t="s">
        <v>62</v>
      </c>
      <c r="F877" s="16" t="s">
        <v>389</v>
      </c>
      <c r="G877" s="17">
        <v>1999</v>
      </c>
      <c r="H877" s="17"/>
      <c r="I877" s="17"/>
      <c r="J877" s="17">
        <v>1959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1959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IF($T878="","",1+COUNTIF($W$15:$W$895,"&lt;"&amp;W878))</f>
        <v/>
      </c>
      <c r="B878" s="16" t="s">
        <v>14</v>
      </c>
      <c r="C878" s="16" t="s">
        <v>707</v>
      </c>
      <c r="D878" s="16" t="s">
        <v>72</v>
      </c>
      <c r="E878" s="16" t="s">
        <v>62</v>
      </c>
      <c r="F878" s="16" t="s">
        <v>708</v>
      </c>
      <c r="G878" s="17">
        <v>1999</v>
      </c>
      <c r="H878" s="17"/>
      <c r="I878" s="17"/>
      <c r="J878" s="17">
        <v>1989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1999</v>
      </c>
      <c r="M878" s="17">
        <f aca="false">IF($H878="","",$H878+$K878)</f>
        <v/>
      </c>
      <c r="N878" s="17">
        <f aca="false">IF($J878="","",$J878+$K878)</f>
        <v>1989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IF($T879="","",1+COUNTIF($W$15:$W$895,"&lt;"&amp;W879))</f>
        <v/>
      </c>
      <c r="B879" s="16" t="s">
        <v>18</v>
      </c>
      <c r="C879" s="16" t="s">
        <v>1614</v>
      </c>
      <c r="D879" s="16" t="s">
        <v>72</v>
      </c>
      <c r="E879" s="16" t="s">
        <v>62</v>
      </c>
      <c r="F879" s="16" t="s">
        <v>1615</v>
      </c>
      <c r="G879" s="17">
        <v>1999</v>
      </c>
      <c r="H879" s="17"/>
      <c r="I879" s="17"/>
      <c r="J879" s="17">
        <v>1999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1999</v>
      </c>
      <c r="M879" s="17">
        <f aca="false">IF($H879="","",$H879+$K879)</f>
        <v/>
      </c>
      <c r="N879" s="17">
        <f aca="false">IF($J879="","",$J879+$K879)</f>
        <v>1999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C879" s="3"/>
    </row>
    <row r="880" s="5" collapsed="false" customFormat="true" customHeight="true" hidden="false" ht="28.5" outlineLevel="0">
      <c r="A880" s="16">
        <f aca="false">IF($T880="","",1+COUNTIF($W$15:$W$895,"&lt;"&amp;W880))</f>
        <v/>
      </c>
      <c r="B880" s="16" t="s">
        <v>8</v>
      </c>
      <c r="C880" s="16" t="s">
        <v>666</v>
      </c>
      <c r="D880" s="16" t="s">
        <v>72</v>
      </c>
      <c r="E880" s="16" t="s">
        <v>62</v>
      </c>
      <c r="F880" s="16" t="s">
        <v>667</v>
      </c>
      <c r="G880" s="17">
        <v>1999</v>
      </c>
      <c r="H880" s="17"/>
      <c r="I880" s="17"/>
      <c r="J880" s="17">
        <v>1999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1999</v>
      </c>
      <c r="M880" s="17">
        <f aca="false">IF($H880="","",$H880+$K880)</f>
        <v/>
      </c>
      <c r="N880" s="17">
        <f aca="false">IF($J880="","",$J880+$K880)</f>
        <v>1999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IF($T881="","",1+COUNTIF($W$15:$W$895,"&lt;"&amp;W881))</f>
        <v/>
      </c>
      <c r="B881" s="16" t="s">
        <v>14</v>
      </c>
      <c r="C881" s="16" t="s">
        <v>925</v>
      </c>
      <c r="D881" s="16" t="s">
        <v>72</v>
      </c>
      <c r="E881" s="16" t="s">
        <v>62</v>
      </c>
      <c r="F881" s="16" t="s">
        <v>926</v>
      </c>
      <c r="G881" s="17">
        <v>1999</v>
      </c>
      <c r="H881" s="17"/>
      <c r="I881" s="17"/>
      <c r="J881" s="17">
        <v>1999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1999</v>
      </c>
      <c r="M881" s="17">
        <f aca="false">IF($H881="","",$H881+$K881)</f>
        <v/>
      </c>
      <c r="N881" s="17">
        <f aca="false">IF($J881="","",$J881+$K881)</f>
        <v>1999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IF($T882="","",1+COUNTIF($W$15:$W$895,"&lt;"&amp;W882))</f>
        <v/>
      </c>
      <c r="B882" s="16" t="s">
        <v>12</v>
      </c>
      <c r="C882" s="16" t="s">
        <v>634</v>
      </c>
      <c r="D882" s="20" t="s">
        <v>58</v>
      </c>
      <c r="E882" s="16" t="s">
        <v>62</v>
      </c>
      <c r="F882" s="16" t="s">
        <v>635</v>
      </c>
      <c r="G882" s="17">
        <v>1999</v>
      </c>
      <c r="H882" s="17"/>
      <c r="I882" s="17"/>
      <c r="J882" s="17">
        <v>1999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1999</v>
      </c>
      <c r="M882" s="17">
        <f aca="false">IF($H882="","",$H882+$K882)</f>
        <v/>
      </c>
      <c r="N882" s="17">
        <f aca="false">IF($J882="","",$J882+$K882)</f>
        <v>1999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IF($T883="","",1+COUNTIF($W$15:$W$895,"&lt;"&amp;W883))</f>
        <v/>
      </c>
      <c r="B883" s="16" t="s">
        <v>10</v>
      </c>
      <c r="C883" s="16" t="s">
        <v>538</v>
      </c>
      <c r="D883" s="16" t="s">
        <v>61</v>
      </c>
      <c r="E883" s="16" t="s">
        <v>62</v>
      </c>
      <c r="F883" s="16" t="s">
        <v>539</v>
      </c>
      <c r="G883" s="17">
        <v>1999</v>
      </c>
      <c r="H883" s="17"/>
      <c r="I883" s="17"/>
      <c r="J883" s="17">
        <v>1999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1999</v>
      </c>
      <c r="M883" s="17">
        <f aca="false">IF($H883="","",$H883+$K883)</f>
        <v/>
      </c>
      <c r="N883" s="17">
        <f aca="false">IF($J883="","",$J883+$K883)</f>
        <v>1999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IF($T884="","",1+COUNTIF($W$15:$W$895,"&lt;"&amp;W884))</f>
        <v/>
      </c>
      <c r="B884" s="16" t="s">
        <v>18</v>
      </c>
      <c r="C884" s="16" t="s">
        <v>425</v>
      </c>
      <c r="D884" s="16" t="s">
        <v>72</v>
      </c>
      <c r="E884" s="16" t="s">
        <v>62</v>
      </c>
      <c r="F884" s="16" t="s">
        <v>426</v>
      </c>
      <c r="G884" s="17">
        <v>2029</v>
      </c>
      <c r="H884" s="17"/>
      <c r="I884" s="17"/>
      <c r="J884" s="17">
        <v>2029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2029</v>
      </c>
      <c r="M884" s="17">
        <f aca="false">IF($H884="","",$H884+$K884)</f>
        <v/>
      </c>
      <c r="N884" s="17">
        <f aca="false">IF($J884="","",$J884+$K884)</f>
        <v>2029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IF($T885="","",1+COUNTIF($W$15:$W$895,"&lt;"&amp;W885))</f>
        <v/>
      </c>
      <c r="B885" s="16" t="s">
        <v>18</v>
      </c>
      <c r="C885" s="16" t="s">
        <v>1381</v>
      </c>
      <c r="D885" s="16" t="s">
        <v>58</v>
      </c>
      <c r="E885" s="16" t="s">
        <v>26</v>
      </c>
      <c r="F885" s="16" t="s">
        <v>1382</v>
      </c>
      <c r="G885" s="17">
        <v>2030</v>
      </c>
      <c r="H885" s="17"/>
      <c r="I885" s="17"/>
      <c r="J885" s="17">
        <v>2020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2030</v>
      </c>
      <c r="M885" s="17">
        <f aca="false">IF($H885="","",$H885+$K885)</f>
        <v/>
      </c>
      <c r="N885" s="17">
        <f aca="false">IF($J885="","",$J885+$K885)</f>
        <v>2020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IF($T886="","",1+COUNTIF($W$15:$W$895,"&lt;"&amp;W886))</f>
        <v/>
      </c>
      <c r="B886" s="16" t="s">
        <v>12</v>
      </c>
      <c r="C886" s="16" t="s">
        <v>1262</v>
      </c>
      <c r="D886" s="20" t="s">
        <v>58</v>
      </c>
      <c r="E886" s="16" t="s">
        <v>62</v>
      </c>
      <c r="F886" s="16" t="s">
        <v>1263</v>
      </c>
      <c r="G886" s="17">
        <v>2038</v>
      </c>
      <c r="H886" s="17"/>
      <c r="I886" s="17"/>
      <c r="J886" s="17">
        <v>2028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>2038</v>
      </c>
      <c r="M886" s="17">
        <f aca="false">IF($H886="","",$H886+$K886)</f>
        <v/>
      </c>
      <c r="N886" s="17">
        <f aca="false">IF($J886="","",$J886+$K886)</f>
        <v>2028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5" collapsed="false" customFormat="true" customHeight="true" hidden="false" ht="28.5" outlineLevel="0">
      <c r="A887" s="16">
        <f aca="false">IF($T887="","",1+COUNTIF($W$15:$W$895,"&lt;"&amp;W887))</f>
        <v/>
      </c>
      <c r="B887" s="16" t="s">
        <v>14</v>
      </c>
      <c r="C887" s="16" t="s">
        <v>562</v>
      </c>
      <c r="D887" s="16" t="s">
        <v>45</v>
      </c>
      <c r="E887" s="16" t="s">
        <v>26</v>
      </c>
      <c r="F887" s="16" t="s">
        <v>564</v>
      </c>
      <c r="G887" s="17">
        <v>2039</v>
      </c>
      <c r="H887" s="17"/>
      <c r="I887" s="17"/>
      <c r="J887" s="17"/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>2039</v>
      </c>
      <c r="M887" s="17">
        <f aca="false">IF($H887="","",$H887+$K887)</f>
        <v/>
      </c>
      <c r="N887" s="17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22" collapsed="false" customFormat="true" customHeight="true" hidden="false" ht="28.5" outlineLevel="0">
      <c r="A888" s="16">
        <f aca="false">IF($T888="","",1+COUNTIF($W$15:$W$895,"&lt;"&amp;W888))</f>
        <v/>
      </c>
      <c r="B888" s="16" t="s">
        <v>18</v>
      </c>
      <c r="C888" s="16" t="s">
        <v>1383</v>
      </c>
      <c r="D888" s="16" t="s">
        <v>58</v>
      </c>
      <c r="E888" s="16" t="s">
        <v>62</v>
      </c>
      <c r="F888" s="16" t="s">
        <v>1384</v>
      </c>
      <c r="G888" s="17">
        <v>2060</v>
      </c>
      <c r="H888" s="17"/>
      <c r="I888" s="17"/>
      <c r="J888" s="17">
        <v>2050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>2060</v>
      </c>
      <c r="M888" s="17">
        <f aca="false">IF($H888="","",$H888+$K888)</f>
        <v/>
      </c>
      <c r="N888" s="17">
        <f aca="false">IF($J888="","",$J888+$K888)</f>
        <v>2050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/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22" collapsed="false" customFormat="true" customHeight="true" hidden="false" ht="28.5" outlineLevel="0">
      <c r="A889" s="16">
        <f aca="false">IF($T889="","",1+COUNTIF($W$15:$W$895,"&lt;"&amp;W889))</f>
        <v/>
      </c>
      <c r="B889" s="16" t="s">
        <v>12</v>
      </c>
      <c r="C889" s="16" t="s">
        <v>1628</v>
      </c>
      <c r="D889" s="20" t="s">
        <v>61</v>
      </c>
      <c r="E889" s="16" t="s">
        <v>62</v>
      </c>
      <c r="F889" s="16" t="s">
        <v>1629</v>
      </c>
      <c r="G889" s="17">
        <v>2078</v>
      </c>
      <c r="H889" s="17"/>
      <c r="I889" s="17"/>
      <c r="J889" s="17">
        <v>2095</v>
      </c>
      <c r="K889" s="17">
        <f aca="false">IF(AND(IFERROR(SEARCH("현대오일뱅크",$C889),0)&gt;0,IFERROR(SEARCH("직영",$C889),0)&gt;0),$B$13,0)</f>
        <v>0</v>
      </c>
      <c r="L889" s="17">
        <f aca="false">IF($G889="","",$G889+$K889)</f>
        <v>2078</v>
      </c>
      <c r="M889" s="17">
        <f aca="false">IF($H889="","",$H889+$K889)</f>
        <v/>
      </c>
      <c r="N889" s="17">
        <f aca="false">IF($J889="","",$J889+$K889)</f>
        <v>2095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>
        <f aca="false">IF($B$10=0,"",IFERROR(IF($B$4&gt;0,IF($L889="",1/0,$L889*$B$4),0)+IF($B$5&gt;0,IF($M889="",1/0,$M889*$B$5),0)+IF($B$6&gt;0,IF($N889="",1/0,$N889*$B$6),0),""))</f>
        <v/>
      </c>
      <c r="Q889" s="17"/>
      <c r="R889" s="18">
        <f aca="false">IF($P889="","",IF($Q889="Y",IFERROR(VLOOKUP($B889,$C$4:$D$13,2,FALSE()),0),0))</f>
        <v/>
      </c>
      <c r="S889" s="17">
        <f aca="false">IF($P889="","",ROUNDDOWN($P889*$R889,0))</f>
        <v/>
      </c>
      <c r="T889" s="17">
        <f aca="false">IF($P889="","",$P889-$S889)</f>
        <v/>
      </c>
      <c r="U889" s="17">
        <f aca="false">IF($T889="","",IF($B$10=0,"",$T889/$B$10))</f>
        <v/>
      </c>
      <c r="V889" s="17">
        <f aca="false">IF($P889="","",IF($B$10=0,"",$P889/$B$10))</f>
        <v/>
      </c>
      <c r="W889" s="19">
        <f aca="false">IF($T889="",1000000000000000,$T889)</f>
        <v>1000000000000000</v>
      </c>
      <c r="XFB889" s="6"/>
      <c r="XFC889" s="3"/>
    </row>
    <row r="890" s="6" collapsed="false" customFormat="true" customHeight="true" hidden="false" ht="28.5" outlineLevel="0">
      <c r="A890" s="16">
        <f aca="false">IF($T890="","",1+COUNTIF($W$15:$W$895,"&lt;"&amp;W890))</f>
        <v/>
      </c>
      <c r="B890" s="16" t="s">
        <v>10</v>
      </c>
      <c r="C890" s="16" t="s">
        <v>296</v>
      </c>
      <c r="D890" s="16" t="s">
        <v>45</v>
      </c>
      <c r="E890" s="16" t="s">
        <v>26</v>
      </c>
      <c r="F890" s="16" t="s">
        <v>297</v>
      </c>
      <c r="G890" s="17">
        <v>2080</v>
      </c>
      <c r="H890" s="17"/>
      <c r="I890" s="17"/>
      <c r="J890" s="17">
        <v>1898</v>
      </c>
      <c r="K890" s="17">
        <f aca="false">IF(AND(IFERROR(SEARCH("현대오일뱅크",$C890),0)&gt;0,IFERROR(SEARCH("직영",$C890),0)&gt;0),$B$13,0)</f>
        <v>0</v>
      </c>
      <c r="L890" s="17">
        <f aca="false">IF($G890="","",$G890+$K890)</f>
        <v>2080</v>
      </c>
      <c r="M890" s="17">
        <f aca="false">IF($H890="","",$H890+$K890)</f>
        <v/>
      </c>
      <c r="N890" s="17">
        <f aca="false">IF($J890="","",$J890+$K890)</f>
        <v>1898</v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>
        <f aca="false">IF($B$10=0,"",IFERROR(IF($B$4&gt;0,IF($L890="",1/0,$L890*$B$4),0)+IF($B$5&gt;0,IF($M890="",1/0,$M890*$B$5),0)+IF($B$6&gt;0,IF($N890="",1/0,$N890*$B$6),0),""))</f>
        <v/>
      </c>
      <c r="Q890" s="17"/>
      <c r="R890" s="18">
        <f aca="false">IF($P890="","",IF($Q890="Y",IFERROR(VLOOKUP($B890,$C$4:$D$13,2,FALSE()),0),0))</f>
        <v/>
      </c>
      <c r="S890" s="17">
        <f aca="false">IF($P890="","",ROUNDDOWN($P890*$R890,0))</f>
        <v/>
      </c>
      <c r="T890" s="17">
        <f aca="false">IF($P890="","",$P890-$S890)</f>
        <v/>
      </c>
      <c r="U890" s="17">
        <f aca="false">IF($T890="","",IF($B$10=0,"",$T890/$B$10))</f>
        <v/>
      </c>
      <c r="V890" s="17">
        <f aca="false">IF($P890="","",IF($B$10=0,"",$P890/$B$10))</f>
        <v/>
      </c>
      <c r="W890" s="19">
        <f aca="false">IF($T890="",1000000000000000,$T890)</f>
        <v>1000000000000000</v>
      </c>
      <c r="XFC890" s="3"/>
    </row>
    <row r="891" s="6" collapsed="false" customFormat="true" customHeight="true" hidden="false" ht="28.5" outlineLevel="0">
      <c r="A891" s="16">
        <f aca="false">IF($T891="","",1+COUNTIF($W$15:$W$895,"&lt;"&amp;W891))</f>
        <v/>
      </c>
      <c r="B891" s="16" t="s">
        <v>10</v>
      </c>
      <c r="C891" s="16" t="s">
        <v>300</v>
      </c>
      <c r="D891" s="21" t="s">
        <v>81</v>
      </c>
      <c r="E891" s="16" t="s">
        <v>26</v>
      </c>
      <c r="F891" s="16" t="s">
        <v>301</v>
      </c>
      <c r="G891" s="17">
        <v>2095</v>
      </c>
      <c r="H891" s="17"/>
      <c r="I891" s="17"/>
      <c r="J891" s="17">
        <v>2090</v>
      </c>
      <c r="K891" s="17">
        <f aca="false">IF(AND(IFERROR(SEARCH("현대오일뱅크",$C891),0)&gt;0,IFERROR(SEARCH("직영",$C891),0)&gt;0),$B$13,0)</f>
        <v>0</v>
      </c>
      <c r="L891" s="17">
        <f aca="false">IF($G891="","",$G891+$K891)</f>
        <v>2095</v>
      </c>
      <c r="M891" s="17">
        <f aca="false">IF($H891="","",$H891+$K891)</f>
        <v/>
      </c>
      <c r="N891" s="17">
        <f aca="false">IF($J891="","",$J891+$K891)</f>
        <v>2090</v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>
        <f aca="false">IF($B$10=0,"",IFERROR(IF($B$4&gt;0,IF($L891="",1/0,$L891*$B$4),0)+IF($B$5&gt;0,IF($M891="",1/0,$M891*$B$5),0)+IF($B$6&gt;0,IF($N891="",1/0,$N891*$B$6),0),""))</f>
        <v/>
      </c>
      <c r="Q891" s="17"/>
      <c r="R891" s="18">
        <f aca="false">IF($P891="","",IF($Q891="Y",IFERROR(VLOOKUP($B891,$C$4:$D$13,2,FALSE()),0),0))</f>
        <v/>
      </c>
      <c r="S891" s="17">
        <f aca="false">IF($P891="","",ROUNDDOWN($P891*$R891,0))</f>
        <v/>
      </c>
      <c r="T891" s="17">
        <f aca="false">IF($P891="","",$P891-$S891)</f>
        <v/>
      </c>
      <c r="U891" s="17">
        <f aca="false">IF($T891="","",IF($B$10=0,"",$T891/$B$10))</f>
        <v/>
      </c>
      <c r="V891" s="17">
        <f aca="false">IF($P891="","",IF($B$10=0,"",$P891/$B$10))</f>
        <v/>
      </c>
      <c r="W891" s="19">
        <f aca="false">IF($T891="",1000000000000000,$T891)</f>
        <v>1000000000000000</v>
      </c>
      <c r="XFC891" s="3"/>
    </row>
    <row r="892" s="5" collapsed="false" customFormat="true" customHeight="true" hidden="false" ht="28.5" outlineLevel="0">
      <c r="A892" s="16">
        <f aca="false">IF($T892="","",1+COUNTIF($W$15:$W$895,"&lt;"&amp;W892))</f>
        <v/>
      </c>
      <c r="B892" s="16" t="s">
        <v>14</v>
      </c>
      <c r="C892" s="16" t="s">
        <v>154</v>
      </c>
      <c r="D892" s="16" t="s">
        <v>58</v>
      </c>
      <c r="E892" s="16" t="s">
        <v>62</v>
      </c>
      <c r="F892" s="16" t="s">
        <v>155</v>
      </c>
      <c r="G892" s="17"/>
      <c r="H892" s="17">
        <v>2189</v>
      </c>
      <c r="I892" s="17"/>
      <c r="J892" s="17">
        <v>2014</v>
      </c>
      <c r="K892" s="17">
        <f aca="false">IF(AND(IFERROR(SEARCH("현대오일뱅크",$C892),0)&gt;0,IFERROR(SEARCH("직영",$C892),0)&gt;0),$B$13,0)</f>
        <v>0</v>
      </c>
      <c r="L892" s="17">
        <f aca="false">IF($G892="","",$G892+$K892)</f>
        <v/>
      </c>
      <c r="M892" s="17">
        <f aca="false">IF($H892="","",$H892+$K892)</f>
        <v>2189</v>
      </c>
      <c r="N892" s="17">
        <f aca="false">IF($J892="","",$J892+$K892)</f>
        <v>2014</v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>
        <f aca="false">IF($B$10=0,"",IFERROR(IF($B$4&gt;0,IF($L892="",1/0,$L892*$B$4),0)+IF($B$5&gt;0,IF($M892="",1/0,$M892*$B$5),0)+IF($B$6&gt;0,IF($N892="",1/0,$N892*$B$6),0),""))</f>
        <v/>
      </c>
      <c r="Q892" s="17" t="s">
        <v>54</v>
      </c>
      <c r="R892" s="18">
        <f aca="false">IF($P892="","",IF($Q892="Y",IFERROR(VLOOKUP($B892,$C$4:$D$13,2,FALSE()),0),0))</f>
        <v/>
      </c>
      <c r="S892" s="17">
        <f aca="false">IF($P892="","",ROUNDDOWN($P892*$R892,0))</f>
        <v/>
      </c>
      <c r="T892" s="17">
        <f aca="false">IF($P892="","",$P892-$S892)</f>
        <v/>
      </c>
      <c r="U892" s="17">
        <f aca="false">IF($T892="","",IF($B$10=0,"",$T892/$B$10))</f>
        <v/>
      </c>
      <c r="V892" s="17">
        <f aca="false">IF($P892="","",IF($B$10=0,"",$P892/$B$10))</f>
        <v/>
      </c>
      <c r="W892" s="19">
        <f aca="false">IF($T892="",1000000000000000,$T892)</f>
        <v>1000000000000000</v>
      </c>
      <c r="XFB892" s="6"/>
      <c r="XFC892" s="3"/>
    </row>
    <row r="893" s="5" collapsed="false" customFormat="true" customHeight="true" hidden="false" ht="28.5" outlineLevel="0">
      <c r="A893" s="16">
        <f aca="false">IF($T893="","",1+COUNTIF($W$15:$W$895,"&lt;"&amp;W893))</f>
        <v/>
      </c>
      <c r="B893" s="16" t="s">
        <v>10</v>
      </c>
      <c r="C893" s="16" t="s">
        <v>170</v>
      </c>
      <c r="D893" s="16" t="s">
        <v>61</v>
      </c>
      <c r="E893" s="16" t="s">
        <v>26</v>
      </c>
      <c r="F893" s="16" t="s">
        <v>171</v>
      </c>
      <c r="G893" s="17"/>
      <c r="H893" s="17">
        <v>2159</v>
      </c>
      <c r="I893" s="17"/>
      <c r="J893" s="17">
        <v>1879</v>
      </c>
      <c r="K893" s="17">
        <f aca="false">IF(AND(IFERROR(SEARCH("현대오일뱅크",$C893),0)&gt;0,IFERROR(SEARCH("직영",$C893),0)&gt;0),$B$13,0)</f>
        <v>0</v>
      </c>
      <c r="L893" s="17">
        <f aca="false">IF($G893="","",$G893+$K893)</f>
        <v/>
      </c>
      <c r="M893" s="17">
        <f aca="false">IF($H893="","",$H893+$K893)</f>
        <v>2159</v>
      </c>
      <c r="N893" s="17">
        <f aca="false">IF($J893="","",$J893+$K893)</f>
        <v>1879</v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>
        <f aca="false">IF($B$10=0,"",IFERROR(IF($B$4&gt;0,IF($L893="",1/0,$L893*$B$4),0)+IF($B$5&gt;0,IF($M893="",1/0,$M893*$B$5),0)+IF($B$6&gt;0,IF($N893="",1/0,$N893*$B$6),0),""))</f>
        <v/>
      </c>
      <c r="Q893" s="17"/>
      <c r="R893" s="18">
        <f aca="false">IF($P893="","",IF($Q893="Y",IFERROR(VLOOKUP($B893,$C$4:$D$13,2,FALSE()),0),0))</f>
        <v/>
      </c>
      <c r="S893" s="17">
        <f aca="false">IF($P893="","",ROUNDDOWN($P893*$R893,0))</f>
        <v/>
      </c>
      <c r="T893" s="17">
        <f aca="false">IF($P893="","",$P893-$S893)</f>
        <v/>
      </c>
      <c r="U893" s="17">
        <f aca="false">IF($T893="","",IF($B$10=0,"",$T893/$B$10))</f>
        <v/>
      </c>
      <c r="V893" s="17">
        <f aca="false">IF($P893="","",IF($B$10=0,"",$P893/$B$10))</f>
        <v/>
      </c>
      <c r="W893" s="19">
        <f aca="false">IF($T893="",1000000000000000,$T893)</f>
        <v>1000000000000000</v>
      </c>
      <c r="XFB893" s="6"/>
      <c r="XFC893" s="3"/>
    </row>
    <row r="894" s="5" collapsed="false" customFormat="true" customHeight="true" hidden="false" ht="28.5" outlineLevel="0">
      <c r="A894" s="16">
        <f aca="false">IF($T894="","",1+COUNTIF($W$15:$W$895,"&lt;"&amp;W894))</f>
        <v/>
      </c>
      <c r="B894" s="16" t="s">
        <v>10</v>
      </c>
      <c r="C894" s="16" t="s">
        <v>95</v>
      </c>
      <c r="D894" s="16" t="s">
        <v>96</v>
      </c>
      <c r="E894" s="16" t="s">
        <v>62</v>
      </c>
      <c r="F894" s="16" t="s">
        <v>97</v>
      </c>
      <c r="G894" s="17"/>
      <c r="H894" s="17"/>
      <c r="I894" s="17"/>
      <c r="J894" s="17">
        <v>1998</v>
      </c>
      <c r="K894" s="17">
        <f aca="false">IF(AND(IFERROR(SEARCH("현대오일뱅크",$C894),0)&gt;0,IFERROR(SEARCH("직영",$C894),0)&gt;0),$B$13,0)</f>
        <v>0</v>
      </c>
      <c r="L894" s="17">
        <f aca="false">IF($G894="","",$G894+$K894)</f>
        <v/>
      </c>
      <c r="M894" s="17">
        <f aca="false">IF($H894="","",$H894+$K894)</f>
        <v/>
      </c>
      <c r="N894" s="17">
        <f aca="false">IF($J894="","",$J894+$K894)</f>
        <v>1998</v>
      </c>
      <c r="O894" s="17" t="str">
        <f aca="false">IF($B$10=0,"",IFERROR(IF($B$4&gt;0,"휘발유 "&amp;TEXT(IF($L894="",1/0,$L894*$B$4),"#,##0")&amp;"원","")&amp;IF($B$5&gt;0,IF($B$4&gt;0," / ","")&amp;"고급유 "&amp;TEXT(IF($M894="",1/0,$M894*$B$5),"#,##0")&amp;"원","")&amp;IF($B$6&gt;0,IF(OR($B$4&gt;0,$B$5&gt;0)," / ","")&amp;"경유 "&amp;TEXT(IF($N894="",1/0,$N894*$B$6),"#,##0")&amp;"원",""),""))</f>
        <v/>
      </c>
      <c r="P894" s="17">
        <f aca="false">IF($B$10=0,"",IFERROR(IF($B$4&gt;0,IF($L894="",1/0,$L894*$B$4),0)+IF($B$5&gt;0,IF($M894="",1/0,$M894*$B$5),0)+IF($B$6&gt;0,IF($N894="",1/0,$N894*$B$6),0),""))</f>
        <v/>
      </c>
      <c r="Q894" s="17"/>
      <c r="R894" s="18">
        <f aca="false">IF($P894="","",IF($Q894="Y",IFERROR(VLOOKUP($B894,$C$4:$D$13,2,FALSE()),0),0))</f>
        <v/>
      </c>
      <c r="S894" s="17">
        <f aca="false">IF($P894="","",ROUNDDOWN($P894*$R894,0))</f>
        <v/>
      </c>
      <c r="T894" s="17">
        <f aca="false">IF($P894="","",$P894-$S894)</f>
        <v/>
      </c>
      <c r="U894" s="17">
        <f aca="false">IF($T894="","",IF($B$10=0,"",$T894/$B$10))</f>
        <v/>
      </c>
      <c r="V894" s="17">
        <f aca="false">IF($P894="","",IF($B$10=0,"",$P894/$B$10))</f>
        <v/>
      </c>
      <c r="W894" s="19">
        <f aca="false">IF($T894="",1000000000000000,$T894)</f>
        <v>1000000000000000</v>
      </c>
      <c r="XFB894" s="6"/>
      <c r="XFC894" s="3"/>
    </row>
    <row r="895" s="5" collapsed="false" customFormat="true" customHeight="true" hidden="false" ht="28.5" outlineLevel="0">
      <c r="A895" s="16">
        <f aca="false">IF($T895="","",1+COUNTIF($W$15:$W$895,"&lt;"&amp;W895))</f>
        <v/>
      </c>
      <c r="B895" s="16" t="s">
        <v>12</v>
      </c>
      <c r="C895" s="16" t="s">
        <v>270</v>
      </c>
      <c r="D895" s="21" t="s">
        <v>81</v>
      </c>
      <c r="E895" s="16" t="s">
        <v>26</v>
      </c>
      <c r="F895" s="16" t="s">
        <v>271</v>
      </c>
      <c r="G895" s="17"/>
      <c r="H895" s="17"/>
      <c r="I895" s="17"/>
      <c r="J895" s="17"/>
      <c r="K895" s="17">
        <f aca="false">IF(AND(IFERROR(SEARCH("현대오일뱅크",$C895),0)&gt;0,IFERROR(SEARCH("직영",$C895),0)&gt;0),$B$13,0)</f>
        <v>0</v>
      </c>
      <c r="L895" s="17">
        <f aca="false">IF($G895="","",$G895+$K895)</f>
        <v/>
      </c>
      <c r="M895" s="17">
        <f aca="false">IF($H895="","",$H895+$K895)</f>
        <v/>
      </c>
      <c r="N895" s="17">
        <f aca="false">IF($J895="","",$J895+$K895)</f>
        <v/>
      </c>
      <c r="O895" s="17" t="str">
        <f aca="false">IF($B$10=0,"",IFERROR(IF($B$4&gt;0,"휘발유 "&amp;TEXT(IF($L895="",1/0,$L895*$B$4),"#,##0")&amp;"원","")&amp;IF($B$5&gt;0,IF($B$4&gt;0," / ","")&amp;"고급유 "&amp;TEXT(IF($M895="",1/0,$M895*$B$5),"#,##0")&amp;"원","")&amp;IF($B$6&gt;0,IF(OR($B$4&gt;0,$B$5&gt;0)," / ","")&amp;"경유 "&amp;TEXT(IF($N895="",1/0,$N895*$B$6),"#,##0")&amp;"원",""),""))</f>
        <v/>
      </c>
      <c r="P895" s="17">
        <f aca="false">IF($B$10=0,"",IFERROR(IF($B$4&gt;0,IF($L895="",1/0,$L895*$B$4),0)+IF($B$5&gt;0,IF($M895="",1/0,$M895*$B$5),0)+IF($B$6&gt;0,IF($N895="",1/0,$N895*$B$6),0),""))</f>
        <v/>
      </c>
      <c r="Q895" s="17"/>
      <c r="R895" s="18">
        <f aca="false">IF($P895="","",IF($Q895="Y",IFERROR(VLOOKUP($B895,$C$4:$D$13,2,FALSE()),0),0))</f>
        <v/>
      </c>
      <c r="S895" s="17">
        <f aca="false">IF($P895="","",ROUNDDOWN($P895*$R895,0))</f>
        <v/>
      </c>
      <c r="T895" s="17">
        <f aca="false">IF($P895="","",$P895-$S895)</f>
        <v/>
      </c>
      <c r="U895" s="17">
        <f aca="false">IF($T895="","",IF($B$10=0,"",$T895/$B$10))</f>
        <v/>
      </c>
      <c r="V895" s="17">
        <f aca="false">IF($P895="","",IF($B$10=0,"",$P895/$B$10))</f>
        <v/>
      </c>
      <c r="W895" s="19">
        <f aca="false">IF($T895="",1000000000000000,$T895)</f>
        <v>1000000000000000</v>
      </c>
      <c r="XFB895" s="6"/>
      <c r="XFC895" s="3"/>
    </row>
    <row r="896" s="6" collapsed="false" customFormat="true" customHeight="true" hidden="false" ht="13.5" outlineLevel="0">
      <c r="F896" s="22"/>
      <c r="XFC896" s="3"/>
    </row>
    <row r="897" s="6" collapsed="false" customFormat="true" customHeight="true" hidden="false" ht="13.5" outlineLevel="0">
      <c r="F897" s="22"/>
      <c r="XFC897" s="3"/>
    </row>
  </sheetData>
  <autoFilter ref="A14:W895">
    <sortState ref="A15:W896">
      <sortCondition ref="C15:C89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1777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1791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1779</v>
      </c>
      <c r="E3" s="9" t="s">
        <v>1780</v>
      </c>
      <c r="F3" s="9" t="s">
        <v>1781</v>
      </c>
      <c r="G3" s="9" t="s">
        <v>1782</v>
      </c>
      <c r="H3" s="9" t="s">
        <v>1783</v>
      </c>
      <c r="I3" s="9" t="s">
        <v>1784</v>
      </c>
      <c r="J3" s="9" t="s">
        <v>1785</v>
      </c>
      <c r="K3" s="9" t="s">
        <v>1786</v>
      </c>
      <c r="L3" s="9" t="s">
        <v>1787</v>
      </c>
      <c r="M3" s="9" t="s">
        <v>1788</v>
      </c>
    </row>
    <row r="4" s="22" collapsed="false" customFormat="true" customHeight="true" hidden="false" ht="25.5" outlineLevel="0">
      <c r="A4" s="26" t="s">
        <v>6</v>
      </c>
      <c r="B4" s="27" t="s">
        <v>588</v>
      </c>
      <c r="C4" s="27" t="s">
        <v>589</v>
      </c>
      <c r="D4" s="27" t="s">
        <v>1789</v>
      </c>
      <c r="E4" s="28">
        <v>1849</v>
      </c>
      <c r="F4" s="28">
        <v>1849</v>
      </c>
      <c r="G4" s="28">
        <f>IF(OR(E4="",F4=""),"",F4-E4)</f>
        <v/>
      </c>
      <c r="H4" s="28">
        <v>2000</v>
      </c>
      <c r="I4" s="28"/>
      <c r="J4" s="28">
        <f>IF(OR(H4="",I4=""),"",I4-H4)</f>
        <v/>
      </c>
      <c r="K4" s="28">
        <v>1889</v>
      </c>
      <c r="L4" s="28">
        <v>1889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16</v>
      </c>
      <c r="B5" s="27" t="s">
        <v>662</v>
      </c>
      <c r="C5" s="27" t="s">
        <v>663</v>
      </c>
      <c r="D5" s="27" t="s">
        <v>1789</v>
      </c>
      <c r="E5" s="28">
        <v>1875</v>
      </c>
      <c r="F5" s="28">
        <v>1899</v>
      </c>
      <c r="G5" s="28">
        <f>IF(OR(E5="",F5=""),"",F5-E5)</f>
        <v/>
      </c>
      <c r="H5" s="28">
        <v>2100</v>
      </c>
      <c r="I5" s="28">
        <v>2130</v>
      </c>
      <c r="J5" s="28">
        <f>IF(OR(H5="",I5=""),"",I5-H5)</f>
        <v/>
      </c>
      <c r="K5" s="28">
        <v>1885</v>
      </c>
      <c r="L5" s="28">
        <v>1899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6</v>
      </c>
      <c r="B6" s="27" t="s">
        <v>218</v>
      </c>
      <c r="C6" s="27" t="s">
        <v>219</v>
      </c>
      <c r="D6" s="27" t="s">
        <v>1789</v>
      </c>
      <c r="E6" s="28">
        <v>1784</v>
      </c>
      <c r="F6" s="28">
        <v>1784</v>
      </c>
      <c r="G6" s="28">
        <f>IF(OR(E6="",F6=""),"",F6-E6)</f>
        <v/>
      </c>
      <c r="H6" s="28">
        <v>2138</v>
      </c>
      <c r="I6" s="28">
        <v>2237</v>
      </c>
      <c r="J6" s="28">
        <f>IF(OR(H6="",I6=""),"",I6-H6)</f>
        <v/>
      </c>
      <c r="K6" s="28">
        <v>1749</v>
      </c>
      <c r="L6" s="28">
        <v>1749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6</v>
      </c>
      <c r="B7" s="27" t="s">
        <v>198</v>
      </c>
      <c r="C7" s="27" t="s">
        <v>199</v>
      </c>
      <c r="D7" s="27" t="s">
        <v>1789</v>
      </c>
      <c r="E7" s="28">
        <v>1784</v>
      </c>
      <c r="F7" s="28">
        <v>1784</v>
      </c>
      <c r="G7" s="28">
        <f>IF(OR(E7="",F7=""),"",F7-E7)</f>
        <v/>
      </c>
      <c r="H7" s="28">
        <v>2148</v>
      </c>
      <c r="I7" s="28">
        <v>2247</v>
      </c>
      <c r="J7" s="28">
        <f>IF(OR(H7="",I7=""),"",I7-H7)</f>
        <v/>
      </c>
      <c r="K7" s="28">
        <v>1749</v>
      </c>
      <c r="L7" s="28">
        <v>1749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6</v>
      </c>
      <c r="B8" s="27" t="s">
        <v>236</v>
      </c>
      <c r="C8" s="27" t="s">
        <v>237</v>
      </c>
      <c r="D8" s="27" t="s">
        <v>1789</v>
      </c>
      <c r="E8" s="28">
        <v>1780</v>
      </c>
      <c r="F8" s="28">
        <v>1780</v>
      </c>
      <c r="G8" s="28">
        <f>IF(OR(E8="",F8=""),"",F8-E8)</f>
        <v/>
      </c>
      <c r="H8" s="28">
        <v>2174</v>
      </c>
      <c r="I8" s="28">
        <v>2271</v>
      </c>
      <c r="J8" s="28">
        <f>IF(OR(H8="",I8=""),"",I8-H8)</f>
        <v/>
      </c>
      <c r="K8" s="28">
        <v>1759</v>
      </c>
      <c r="L8" s="28">
        <v>1759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6</v>
      </c>
      <c r="B9" s="27" t="s">
        <v>888</v>
      </c>
      <c r="C9" s="27" t="s">
        <v>889</v>
      </c>
      <c r="D9" s="27" t="s">
        <v>1789</v>
      </c>
      <c r="E9" s="28">
        <v>1849</v>
      </c>
      <c r="F9" s="28">
        <v>1965</v>
      </c>
      <c r="G9" s="28">
        <f>IF(OR(E9="",F9=""),"",F9-E9)</f>
        <v/>
      </c>
      <c r="H9" s="28">
        <v>2079</v>
      </c>
      <c r="I9" s="28">
        <v>2079</v>
      </c>
      <c r="J9" s="28">
        <f>IF(OR(H9="",I9=""),"",I9-H9)</f>
        <v/>
      </c>
      <c r="K9" s="28">
        <v>1824</v>
      </c>
      <c r="L9" s="28">
        <v>1844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6</v>
      </c>
      <c r="B10" s="27" t="s">
        <v>250</v>
      </c>
      <c r="C10" s="27" t="s">
        <v>251</v>
      </c>
      <c r="D10" s="27" t="s">
        <v>1789</v>
      </c>
      <c r="E10" s="28">
        <v>1895</v>
      </c>
      <c r="F10" s="28">
        <v>1895</v>
      </c>
      <c r="G10" s="28">
        <f>IF(OR(E10="",F10=""),"",F10-E10)</f>
        <v/>
      </c>
      <c r="H10" s="28">
        <v>2050</v>
      </c>
      <c r="I10" s="28">
        <v>2050</v>
      </c>
      <c r="J10" s="28">
        <f>IF(OR(H10="",I10=""),"",I10-H10)</f>
        <v/>
      </c>
      <c r="K10" s="28">
        <v>1875</v>
      </c>
      <c r="L10" s="28">
        <v>1895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6</v>
      </c>
      <c r="B11" s="27" t="s">
        <v>613</v>
      </c>
      <c r="C11" s="27" t="s">
        <v>614</v>
      </c>
      <c r="D11" s="27" t="s">
        <v>1789</v>
      </c>
      <c r="E11" s="28">
        <v>1875</v>
      </c>
      <c r="F11" s="28">
        <v>1875</v>
      </c>
      <c r="G11" s="28">
        <f>IF(OR(E11="",F11=""),"",F11-E11)</f>
        <v/>
      </c>
      <c r="H11" s="28">
        <v>2089</v>
      </c>
      <c r="I11" s="28">
        <v>2149</v>
      </c>
      <c r="J11" s="28">
        <f>IF(OR(H11="",I11=""),"",I11-H11)</f>
        <v/>
      </c>
      <c r="K11" s="28">
        <v>1874</v>
      </c>
      <c r="L11" s="28">
        <v>1874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12</v>
      </c>
      <c r="B12" s="27" t="s">
        <v>252</v>
      </c>
      <c r="C12" s="27" t="s">
        <v>253</v>
      </c>
      <c r="D12" s="27" t="s">
        <v>1789</v>
      </c>
      <c r="E12" s="28">
        <v>1895</v>
      </c>
      <c r="F12" s="28">
        <v>1895</v>
      </c>
      <c r="G12" s="28">
        <f>IF(OR(E12="",F12=""),"",F12-E12)</f>
        <v/>
      </c>
      <c r="H12" s="28">
        <v>2095</v>
      </c>
      <c r="I12" s="28">
        <v>2145</v>
      </c>
      <c r="J12" s="28">
        <f>IF(OR(H12="",I12=""),"",I12-H12)</f>
        <v/>
      </c>
      <c r="K12" s="28">
        <v>1875</v>
      </c>
      <c r="L12" s="28">
        <v>1895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12</v>
      </c>
      <c r="B13" s="27" t="s">
        <v>254</v>
      </c>
      <c r="C13" s="27" t="s">
        <v>255</v>
      </c>
      <c r="D13" s="27" t="s">
        <v>1789</v>
      </c>
      <c r="E13" s="28">
        <v>1895</v>
      </c>
      <c r="F13" s="28">
        <v>1895</v>
      </c>
      <c r="G13" s="28">
        <f>IF(OR(E13="",F13=""),"",F13-E13)</f>
        <v/>
      </c>
      <c r="H13" s="28">
        <v>2095</v>
      </c>
      <c r="I13" s="28">
        <v>2145</v>
      </c>
      <c r="J13" s="28">
        <f>IF(OR(H13="",I13=""),"",I13-H13)</f>
        <v/>
      </c>
      <c r="K13" s="28">
        <v>1875</v>
      </c>
      <c r="L13" s="28">
        <v>1895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6</v>
      </c>
      <c r="B14" s="27" t="s">
        <v>601</v>
      </c>
      <c r="C14" s="27" t="s">
        <v>602</v>
      </c>
      <c r="D14" s="27" t="s">
        <v>1789</v>
      </c>
      <c r="E14" s="28">
        <v>1889</v>
      </c>
      <c r="F14" s="28">
        <v>1937</v>
      </c>
      <c r="G14" s="28">
        <f>IF(OR(E14="",F14=""),"",F14-E14)</f>
        <v/>
      </c>
      <c r="H14" s="28">
        <v>2109</v>
      </c>
      <c r="I14" s="28">
        <v>2109</v>
      </c>
      <c r="J14" s="28">
        <f>IF(OR(H14="",I14=""),"",I14-H14)</f>
        <v/>
      </c>
      <c r="K14" s="28">
        <v>1879</v>
      </c>
      <c r="L14" s="28">
        <v>1927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14</v>
      </c>
      <c r="B15" s="27" t="s">
        <v>328</v>
      </c>
      <c r="C15" s="27" t="s">
        <v>329</v>
      </c>
      <c r="D15" s="27" t="s">
        <v>1789</v>
      </c>
      <c r="E15" s="28">
        <v>1897</v>
      </c>
      <c r="F15" s="28">
        <v>1927</v>
      </c>
      <c r="G15" s="28">
        <f>IF(OR(E15="",F15=""),"",F15-E15)</f>
        <v/>
      </c>
      <c r="H15" s="28">
        <v>2164</v>
      </c>
      <c r="I15" s="28">
        <v>2164</v>
      </c>
      <c r="J15" s="28">
        <f>IF(OR(H15="",I15=""),"",I15-H15)</f>
        <v/>
      </c>
      <c r="K15" s="28">
        <v>1875</v>
      </c>
      <c r="L15" s="28">
        <v>1875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18</v>
      </c>
      <c r="B16" s="27" t="s">
        <v>1036</v>
      </c>
      <c r="C16" s="27" t="s">
        <v>1037</v>
      </c>
      <c r="D16" s="27" t="s">
        <v>1789</v>
      </c>
      <c r="E16" s="28">
        <v>1995</v>
      </c>
      <c r="F16" s="28">
        <v>1995</v>
      </c>
      <c r="G16" s="28">
        <f>IF(OR(E16="",F16=""),"",F16-E16)</f>
        <v/>
      </c>
      <c r="H16" s="28">
        <v>2295</v>
      </c>
      <c r="I16" s="28">
        <v>2335</v>
      </c>
      <c r="J16" s="28">
        <f>IF(OR(H16="",I16=""),"",I16-H16)</f>
        <v/>
      </c>
      <c r="K16" s="28">
        <v>1995</v>
      </c>
      <c r="L16" s="28">
        <v>1995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6</v>
      </c>
      <c r="B17" s="27" t="s">
        <v>114</v>
      </c>
      <c r="C17" s="27" t="s">
        <v>115</v>
      </c>
      <c r="D17" s="27" t="s">
        <v>1789</v>
      </c>
      <c r="E17" s="28">
        <v>1889</v>
      </c>
      <c r="F17" s="28">
        <v>1929</v>
      </c>
      <c r="G17" s="28">
        <f>IF(OR(E17="",F17=""),"",F17-E17)</f>
        <v/>
      </c>
      <c r="H17" s="28">
        <v>2189</v>
      </c>
      <c r="I17" s="28">
        <v>2189</v>
      </c>
      <c r="J17" s="28">
        <f>IF(OR(H17="",I17=""),"",I17-H17)</f>
        <v/>
      </c>
      <c r="K17" s="28">
        <v>1879</v>
      </c>
      <c r="L17" s="28">
        <v>1899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6</v>
      </c>
      <c r="B18" s="27" t="s">
        <v>597</v>
      </c>
      <c r="C18" s="27" t="s">
        <v>598</v>
      </c>
      <c r="D18" s="27" t="s">
        <v>1789</v>
      </c>
      <c r="E18" s="28">
        <v>1893</v>
      </c>
      <c r="F18" s="28">
        <v>1924</v>
      </c>
      <c r="G18" s="28">
        <f>IF(OR(E18="",F18=""),"",F18-E18)</f>
        <v/>
      </c>
      <c r="H18" s="28">
        <v>2189</v>
      </c>
      <c r="I18" s="28">
        <v>2189</v>
      </c>
      <c r="J18" s="28">
        <f>IF(OR(H18="",I18=""),"",I18-H18)</f>
        <v/>
      </c>
      <c r="K18" s="28">
        <v>1883</v>
      </c>
      <c r="L18" s="28">
        <v>1924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14</v>
      </c>
      <c r="B19" s="27" t="s">
        <v>1017</v>
      </c>
      <c r="C19" s="27" t="s">
        <v>1018</v>
      </c>
      <c r="D19" s="27" t="s">
        <v>1789</v>
      </c>
      <c r="E19" s="28">
        <v>1899</v>
      </c>
      <c r="F19" s="28">
        <v>1959</v>
      </c>
      <c r="G19" s="28">
        <f>IF(OR(E19="",F19=""),"",F19-E19)</f>
        <v/>
      </c>
      <c r="H19" s="28">
        <v>2255</v>
      </c>
      <c r="I19" s="28">
        <v>2255</v>
      </c>
      <c r="J19" s="28">
        <f>IF(OR(H19="",I19=""),"",I19-H19)</f>
        <v/>
      </c>
      <c r="K19" s="28">
        <v>1899</v>
      </c>
      <c r="L19" s="28">
        <v>1959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6</v>
      </c>
      <c r="B20" s="27" t="s">
        <v>242</v>
      </c>
      <c r="C20" s="27" t="s">
        <v>243</v>
      </c>
      <c r="D20" s="27" t="s">
        <v>1789</v>
      </c>
      <c r="E20" s="28">
        <v>1968</v>
      </c>
      <c r="F20" s="28">
        <v>1968</v>
      </c>
      <c r="G20" s="28">
        <f>IF(OR(E20="",F20=""),"",F20-E20)</f>
        <v/>
      </c>
      <c r="H20" s="28">
        <v>2159</v>
      </c>
      <c r="I20" s="28">
        <v>2159</v>
      </c>
      <c r="J20" s="28">
        <f>IF(OR(H20="",I20=""),"",I20-H20)</f>
        <v/>
      </c>
      <c r="K20" s="28">
        <v>1885</v>
      </c>
      <c r="L20" s="28">
        <v>1925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14</v>
      </c>
      <c r="B21" s="27" t="s">
        <v>1254</v>
      </c>
      <c r="C21" s="27" t="s">
        <v>1255</v>
      </c>
      <c r="D21" s="27" t="s">
        <v>1789</v>
      </c>
      <c r="E21" s="28">
        <v>1955</v>
      </c>
      <c r="F21" s="28">
        <v>1955</v>
      </c>
      <c r="G21" s="28">
        <f>IF(OR(E21="",F21=""),"",F21-E21)</f>
        <v/>
      </c>
      <c r="H21" s="28">
        <v>2239</v>
      </c>
      <c r="I21" s="28">
        <v>2239</v>
      </c>
      <c r="J21" s="28">
        <f>IF(OR(H21="",I21=""),"",I21-H21)</f>
        <v/>
      </c>
      <c r="K21" s="28">
        <v>1940</v>
      </c>
      <c r="L21" s="28">
        <v>1955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6</v>
      </c>
      <c r="B22" s="27" t="s">
        <v>52</v>
      </c>
      <c r="C22" s="27" t="s">
        <v>53</v>
      </c>
      <c r="D22" s="27" t="s">
        <v>1789</v>
      </c>
      <c r="E22" s="28">
        <v>1994</v>
      </c>
      <c r="F22" s="28">
        <v>1994</v>
      </c>
      <c r="G22" s="28">
        <f>IF(OR(E22="",F22=""),"",F22-E22)</f>
        <v/>
      </c>
      <c r="H22" s="28">
        <v>2139</v>
      </c>
      <c r="I22" s="28">
        <v>2187</v>
      </c>
      <c r="J22" s="28">
        <f>IF(OR(H22="",I22=""),"",I22-H22)</f>
        <v/>
      </c>
      <c r="K22" s="28">
        <v>1944</v>
      </c>
      <c r="L22" s="28">
        <v>1944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6</v>
      </c>
      <c r="B23" s="27" t="s">
        <v>1677</v>
      </c>
      <c r="C23" s="27" t="s">
        <v>1678</v>
      </c>
      <c r="D23" s="27" t="s">
        <v>1789</v>
      </c>
      <c r="E23" s="28">
        <v>1909</v>
      </c>
      <c r="F23" s="28">
        <v>1919</v>
      </c>
      <c r="G23" s="28">
        <f>IF(OR(E23="",F23=""),"",F23-E23)</f>
        <v/>
      </c>
      <c r="H23" s="28">
        <v>2249</v>
      </c>
      <c r="I23" s="28">
        <v>2299</v>
      </c>
      <c r="J23" s="28">
        <f>IF(OR(H23="",I23=""),"",I23-H23)</f>
        <v/>
      </c>
      <c r="K23" s="28">
        <v>1909</v>
      </c>
      <c r="L23" s="28">
        <v>1919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6</v>
      </c>
      <c r="B24" s="27" t="s">
        <v>1644</v>
      </c>
      <c r="C24" s="27" t="s">
        <v>1645</v>
      </c>
      <c r="D24" s="27" t="s">
        <v>1789</v>
      </c>
      <c r="E24" s="28">
        <v>1892</v>
      </c>
      <c r="F24" s="28">
        <v>1922</v>
      </c>
      <c r="G24" s="28">
        <f>IF(OR(E24="",F24=""),"",F24-E24)</f>
        <v/>
      </c>
      <c r="H24" s="28">
        <v>2292</v>
      </c>
      <c r="I24" s="28">
        <v>2292</v>
      </c>
      <c r="J24" s="28">
        <f>IF(OR(H24="",I24=""),"",I24-H24)</f>
        <v/>
      </c>
      <c r="K24" s="28">
        <v>1882</v>
      </c>
      <c r="L24" s="28">
        <v>1892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12</v>
      </c>
      <c r="B25" s="27" t="s">
        <v>1323</v>
      </c>
      <c r="C25" s="27" t="s">
        <v>1324</v>
      </c>
      <c r="D25" s="27" t="s">
        <v>1789</v>
      </c>
      <c r="E25" s="28">
        <v>1885</v>
      </c>
      <c r="F25" s="28">
        <v>1915</v>
      </c>
      <c r="G25" s="28">
        <f>IF(OR(E25="",F25=""),"",F25-E25)</f>
        <v/>
      </c>
      <c r="H25" s="28">
        <v>2319</v>
      </c>
      <c r="I25" s="28">
        <v>2319</v>
      </c>
      <c r="J25" s="28">
        <f>IF(OR(H25="",I25=""),"",I25-H25)</f>
        <v/>
      </c>
      <c r="K25" s="28">
        <v>1885</v>
      </c>
      <c r="L25" s="28">
        <v>1915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8</v>
      </c>
      <c r="B26" s="27" t="s">
        <v>491</v>
      </c>
      <c r="C26" s="27" t="s">
        <v>492</v>
      </c>
      <c r="D26" s="27" t="s">
        <v>1789</v>
      </c>
      <c r="E26" s="28">
        <v>1890</v>
      </c>
      <c r="F26" s="28">
        <v>1910</v>
      </c>
      <c r="G26" s="28">
        <f>IF(OR(E26="",F26=""),"",F26-E26)</f>
        <v/>
      </c>
      <c r="H26" s="28">
        <v>2320</v>
      </c>
      <c r="I26" s="28">
        <v>2320</v>
      </c>
      <c r="J26" s="28">
        <f>IF(OR(H26="",I26=""),"",I26-H26)</f>
        <v/>
      </c>
      <c r="K26" s="28">
        <v>1820</v>
      </c>
      <c r="L26" s="28">
        <v>1860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6</v>
      </c>
      <c r="B27" s="27" t="s">
        <v>306</v>
      </c>
      <c r="C27" s="27" t="s">
        <v>307</v>
      </c>
      <c r="D27" s="27" t="s">
        <v>1789</v>
      </c>
      <c r="E27" s="28">
        <v>1989</v>
      </c>
      <c r="F27" s="28">
        <v>1989</v>
      </c>
      <c r="G27" s="28">
        <f>IF(OR(E27="",F27=""),"",F27-E27)</f>
        <v/>
      </c>
      <c r="H27" s="28">
        <v>2249</v>
      </c>
      <c r="I27" s="28">
        <v>2271</v>
      </c>
      <c r="J27" s="28">
        <f>IF(OR(H27="",I27=""),"",I27-H27)</f>
        <v/>
      </c>
      <c r="K27" s="28">
        <v>1879</v>
      </c>
      <c r="L27" s="28">
        <v>1879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6</v>
      </c>
      <c r="B28" s="27" t="s">
        <v>1030</v>
      </c>
      <c r="C28" s="27" t="s">
        <v>1031</v>
      </c>
      <c r="D28" s="27" t="s">
        <v>1789</v>
      </c>
      <c r="E28" s="28">
        <v>1968</v>
      </c>
      <c r="F28" s="28">
        <v>1968</v>
      </c>
      <c r="G28" s="28">
        <f>IF(OR(E28="",F28=""),"",F28-E28)</f>
        <v/>
      </c>
      <c r="H28" s="28">
        <v>2357</v>
      </c>
      <c r="I28" s="28">
        <v>2357</v>
      </c>
      <c r="J28" s="28">
        <f>IF(OR(H28="",I28=""),"",I28-H28)</f>
        <v/>
      </c>
      <c r="K28" s="28">
        <v>1908</v>
      </c>
      <c r="L28" s="28">
        <v>1978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6</v>
      </c>
      <c r="B29" s="27" t="s">
        <v>214</v>
      </c>
      <c r="C29" s="27" t="s">
        <v>215</v>
      </c>
      <c r="D29" s="27" t="s">
        <v>1789</v>
      </c>
      <c r="E29" s="28">
        <v>1780</v>
      </c>
      <c r="F29" s="28">
        <v>1780</v>
      </c>
      <c r="G29" s="28">
        <f>IF(OR(E29="",F29=""),"",F29-E29)</f>
        <v/>
      </c>
      <c r="H29" s="28">
        <v>2138</v>
      </c>
      <c r="I29" s="28">
        <v>2237</v>
      </c>
      <c r="J29" s="28">
        <f>IF(OR(H29="",I29=""),"",I29-H29)</f>
        <v/>
      </c>
      <c r="K29" s="28">
        <v>1750</v>
      </c>
      <c r="L29" s="28">
        <v>1750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10</v>
      </c>
      <c r="B30" s="27" t="s">
        <v>210</v>
      </c>
      <c r="C30" s="27" t="s">
        <v>211</v>
      </c>
      <c r="D30" s="27" t="s">
        <v>1789</v>
      </c>
      <c r="E30" s="28">
        <v>1784</v>
      </c>
      <c r="F30" s="28">
        <v>1784</v>
      </c>
      <c r="G30" s="28">
        <f>IF(OR(E30="",F30=""),"",F30-E30)</f>
        <v/>
      </c>
      <c r="H30" s="28">
        <v>2134</v>
      </c>
      <c r="I30" s="28">
        <v>2233</v>
      </c>
      <c r="J30" s="28">
        <f>IF(OR(H30="",I30=""),"",I30-H30)</f>
        <v/>
      </c>
      <c r="K30" s="28">
        <v>1749</v>
      </c>
      <c r="L30" s="28">
        <v>1749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8</v>
      </c>
      <c r="B31" s="27" t="s">
        <v>200</v>
      </c>
      <c r="C31" s="27" t="s">
        <v>201</v>
      </c>
      <c r="D31" s="27" t="s">
        <v>1789</v>
      </c>
      <c r="E31" s="28">
        <v>1768</v>
      </c>
      <c r="F31" s="28">
        <v>1768</v>
      </c>
      <c r="G31" s="28">
        <f>IF(OR(E31="",F31=""),"",F31-E31)</f>
        <v/>
      </c>
      <c r="H31" s="28">
        <v>2165</v>
      </c>
      <c r="I31" s="28">
        <v>2264</v>
      </c>
      <c r="J31" s="28">
        <f>IF(OR(H31="",I31=""),"",I31-H31)</f>
        <v/>
      </c>
      <c r="K31" s="28">
        <v>1759</v>
      </c>
      <c r="L31" s="28">
        <v>1759</v>
      </c>
      <c r="M31" s="28">
        <f>IF(OR(K31="",L31=""),"",L31-K31)</f>
        <v/>
      </c>
    </row>
    <row r="32" s="22" collapsed="false" customFormat="true" customHeight="true" hidden="false" ht="25.5" outlineLevel="0">
      <c r="A32" s="26" t="s">
        <v>8</v>
      </c>
      <c r="B32" s="27" t="s">
        <v>230</v>
      </c>
      <c r="C32" s="27" t="s">
        <v>231</v>
      </c>
      <c r="D32" s="27" t="s">
        <v>1789</v>
      </c>
      <c r="E32" s="28">
        <v>1782</v>
      </c>
      <c r="F32" s="28">
        <v>1782</v>
      </c>
      <c r="G32" s="28">
        <f>IF(OR(E32="",F32=""),"",F32-E32)</f>
        <v/>
      </c>
      <c r="H32" s="28">
        <v>2164</v>
      </c>
      <c r="I32" s="28">
        <v>2261</v>
      </c>
      <c r="J32" s="28">
        <f>IF(OR(H32="",I32=""),"",I32-H32)</f>
        <v/>
      </c>
      <c r="K32" s="28">
        <v>1758</v>
      </c>
      <c r="L32" s="28">
        <v>1758</v>
      </c>
      <c r="M32" s="28">
        <f>IF(OR(K32="",L32=""),"",L32-K32)</f>
        <v/>
      </c>
    </row>
    <row r="33" s="22" collapsed="false" customFormat="true" customHeight="true" hidden="false" ht="25.5" outlineLevel="0">
      <c r="A33" s="26" t="s">
        <v>14</v>
      </c>
      <c r="B33" s="27" t="s">
        <v>1501</v>
      </c>
      <c r="C33" s="27" t="s">
        <v>1502</v>
      </c>
      <c r="D33" s="27" t="s">
        <v>1789</v>
      </c>
      <c r="E33" s="28">
        <v>1776</v>
      </c>
      <c r="F33" s="28">
        <v>1826</v>
      </c>
      <c r="G33" s="28">
        <f>IF(OR(E33="",F33=""),"",F33-E33)</f>
        <v/>
      </c>
      <c r="H33" s="28">
        <v>2150</v>
      </c>
      <c r="I33" s="28">
        <v>2150</v>
      </c>
      <c r="J33" s="28">
        <f>IF(OR(H33="",I33=""),"",I33-H33)</f>
        <v/>
      </c>
      <c r="K33" s="28">
        <v>1746</v>
      </c>
      <c r="L33" s="28">
        <v>1746</v>
      </c>
      <c r="M33" s="28">
        <f>IF(OR(K33="",L33=""),"",L33-K33)</f>
        <v/>
      </c>
    </row>
    <row r="34" s="22" collapsed="false" customFormat="true" customHeight="true" hidden="false" ht="25.5" outlineLevel="0">
      <c r="A34" s="26" t="s">
        <v>6</v>
      </c>
      <c r="B34" s="27" t="s">
        <v>427</v>
      </c>
      <c r="C34" s="27" t="s">
        <v>428</v>
      </c>
      <c r="D34" s="27" t="s">
        <v>1789</v>
      </c>
      <c r="E34" s="28">
        <v>1899</v>
      </c>
      <c r="F34" s="28">
        <v>1998</v>
      </c>
      <c r="G34" s="28">
        <f>IF(OR(E34="",F34=""),"",F34-E34)</f>
        <v/>
      </c>
      <c r="H34" s="28">
        <v>2489</v>
      </c>
      <c r="I34" s="28">
        <v>2489</v>
      </c>
      <c r="J34" s="28">
        <f>IF(OR(H34="",I34=""),"",I34-H34)</f>
        <v/>
      </c>
      <c r="K34" s="28">
        <v>1899</v>
      </c>
      <c r="L34" s="28">
        <v>1899</v>
      </c>
      <c r="M34" s="28">
        <f>IF(OR(K34="",L34=""),"",L34-K34)</f>
        <v/>
      </c>
    </row>
    <row r="35" s="22" collapsed="false" customFormat="true" customHeight="true" hidden="false" ht="25.5" outlineLevel="0">
      <c r="A35" s="26" t="s">
        <v>10</v>
      </c>
      <c r="B35" s="27" t="s">
        <v>348</v>
      </c>
      <c r="C35" s="27" t="s">
        <v>349</v>
      </c>
      <c r="D35" s="27" t="s">
        <v>1789</v>
      </c>
      <c r="E35" s="28">
        <v>1799</v>
      </c>
      <c r="F35" s="28">
        <v>1799</v>
      </c>
      <c r="G35" s="28">
        <f>IF(OR(E35="",F35=""),"",F35-E35)</f>
        <v/>
      </c>
      <c r="H35" s="28">
        <v>2129</v>
      </c>
      <c r="I35" s="28">
        <v>2169</v>
      </c>
      <c r="J35" s="28">
        <f>IF(OR(H35="",I35=""),"",I35-H35)</f>
        <v/>
      </c>
      <c r="K35" s="28">
        <v>1799</v>
      </c>
      <c r="L35" s="28">
        <v>1799</v>
      </c>
      <c r="M35" s="28">
        <f>IF(OR(K35="",L35=""),"",L35-K35)</f>
        <v/>
      </c>
    </row>
    <row r="36" s="22" collapsed="false" customFormat="true" customHeight="true" hidden="false" ht="25.5" outlineLevel="0">
      <c r="A36" s="26" t="s">
        <v>10</v>
      </c>
      <c r="B36" s="27" t="s">
        <v>234</v>
      </c>
      <c r="C36" s="27" t="s">
        <v>235</v>
      </c>
      <c r="D36" s="27" t="s">
        <v>1789</v>
      </c>
      <c r="E36" s="28">
        <v>1794</v>
      </c>
      <c r="F36" s="28">
        <v>1794</v>
      </c>
      <c r="G36" s="28">
        <f>IF(OR(E36="",F36=""),"",F36-E36)</f>
        <v/>
      </c>
      <c r="H36" s="28">
        <v>2174</v>
      </c>
      <c r="I36" s="28">
        <v>2271</v>
      </c>
      <c r="J36" s="28">
        <f>IF(OR(H36="",I36=""),"",I36-H36)</f>
        <v/>
      </c>
      <c r="K36" s="28">
        <v>1764</v>
      </c>
      <c r="L36" s="28">
        <v>1764</v>
      </c>
      <c r="M36" s="28">
        <f>IF(OR(K36="",L36=""),"",L36-K36)</f>
        <v/>
      </c>
    </row>
    <row r="37" s="22" collapsed="false" customFormat="true" customHeight="true" hidden="false" ht="25.5" outlineLevel="0">
      <c r="A37" s="26" t="s">
        <v>10</v>
      </c>
      <c r="B37" s="27" t="s">
        <v>1586</v>
      </c>
      <c r="C37" s="27" t="s">
        <v>1587</v>
      </c>
      <c r="D37" s="27" t="s">
        <v>1789</v>
      </c>
      <c r="E37" s="28">
        <v>1835</v>
      </c>
      <c r="F37" s="28">
        <v>1885</v>
      </c>
      <c r="G37" s="28">
        <f>IF(OR(E37="",F37=""),"",F37-E37)</f>
        <v/>
      </c>
      <c r="H37" s="28">
        <v>2129</v>
      </c>
      <c r="I37" s="28">
        <v>2350</v>
      </c>
      <c r="J37" s="28">
        <f>IF(OR(H37="",I37=""),"",I37-H37)</f>
        <v/>
      </c>
      <c r="K37" s="28">
        <v>1835</v>
      </c>
      <c r="L37" s="28">
        <v>1885</v>
      </c>
      <c r="M37" s="28">
        <f>IF(OR(K37="",L37=""),"",L37-K37)</f>
        <v/>
      </c>
    </row>
    <row r="38" s="22" collapsed="false" customFormat="true" customHeight="true" hidden="false" ht="25.5" outlineLevel="0">
      <c r="A38" s="26" t="s">
        <v>10</v>
      </c>
      <c r="B38" s="27" t="s">
        <v>196</v>
      </c>
      <c r="C38" s="27" t="s">
        <v>197</v>
      </c>
      <c r="D38" s="27" t="s">
        <v>1789</v>
      </c>
      <c r="E38" s="28">
        <v>1784</v>
      </c>
      <c r="F38" s="28">
        <v>1784</v>
      </c>
      <c r="G38" s="28">
        <f>IF(OR(E38="",F38=""),"",F38-E38)</f>
        <v/>
      </c>
      <c r="H38" s="28">
        <v>2219</v>
      </c>
      <c r="I38" s="28">
        <v>2316</v>
      </c>
      <c r="J38" s="28">
        <f>IF(OR(H38="",I38=""),"",I38-H38)</f>
        <v/>
      </c>
      <c r="K38" s="28">
        <v>1765</v>
      </c>
      <c r="L38" s="28">
        <v>1765</v>
      </c>
      <c r="M38" s="28">
        <f>IF(OR(K38="",L38=""),"",L38-K38)</f>
        <v/>
      </c>
    </row>
    <row r="39" s="22" collapsed="false" customFormat="true" customHeight="true" hidden="false" ht="25.5" outlineLevel="0">
      <c r="A39" s="26" t="s">
        <v>10</v>
      </c>
      <c r="B39" s="27" t="s">
        <v>47</v>
      </c>
      <c r="C39" s="27" t="s">
        <v>49</v>
      </c>
      <c r="D39" s="27" t="s">
        <v>1789</v>
      </c>
      <c r="E39" s="28">
        <v>1829</v>
      </c>
      <c r="F39" s="28">
        <v>1849</v>
      </c>
      <c r="G39" s="28">
        <f>IF(OR(E39="",F39=""),"",F39-E39)</f>
        <v/>
      </c>
      <c r="H39" s="28">
        <v>2169</v>
      </c>
      <c r="I39" s="28">
        <v>2169</v>
      </c>
      <c r="J39" s="28">
        <f>IF(OR(H39="",I39=""),"",I39-H39)</f>
        <v/>
      </c>
      <c r="K39" s="28">
        <v>1829</v>
      </c>
      <c r="L39" s="28">
        <v>1849</v>
      </c>
      <c r="M39" s="28">
        <f>IF(OR(K39="",L39=""),"",L39-K39)</f>
        <v/>
      </c>
    </row>
    <row r="40" s="22" collapsed="false" customFormat="true" customHeight="true" hidden="false" ht="25.5" outlineLevel="0">
      <c r="A40" s="26" t="s">
        <v>10</v>
      </c>
      <c r="B40" s="27" t="s">
        <v>134</v>
      </c>
      <c r="C40" s="27" t="s">
        <v>135</v>
      </c>
      <c r="D40" s="27" t="s">
        <v>1789</v>
      </c>
      <c r="E40" s="28">
        <v>1861</v>
      </c>
      <c r="F40" s="28">
        <v>1878</v>
      </c>
      <c r="G40" s="28">
        <f>IF(OR(E40="",F40=""),"",F40-E40)</f>
        <v/>
      </c>
      <c r="H40" s="28">
        <v>2148</v>
      </c>
      <c r="I40" s="28">
        <v>2148</v>
      </c>
      <c r="J40" s="28">
        <f>IF(OR(H40="",I40=""),"",I40-H40)</f>
        <v/>
      </c>
      <c r="K40" s="28">
        <v>1847</v>
      </c>
      <c r="L40" s="28">
        <v>1862</v>
      </c>
      <c r="M40" s="28">
        <f>IF(OR(K40="",L40=""),"",L40-K40)</f>
        <v/>
      </c>
    </row>
    <row r="41" s="22" collapsed="false" customFormat="true" customHeight="true" hidden="false" ht="25.5" outlineLevel="0">
      <c r="A41" s="26" t="s">
        <v>12</v>
      </c>
      <c r="B41" s="27" t="s">
        <v>1252</v>
      </c>
      <c r="C41" s="27" t="s">
        <v>1253</v>
      </c>
      <c r="D41" s="27" t="s">
        <v>1789</v>
      </c>
      <c r="E41" s="28">
        <v>1868</v>
      </c>
      <c r="F41" s="28">
        <v>1893</v>
      </c>
      <c r="G41" s="28">
        <f>IF(OR(E41="",F41=""),"",F41-E41)</f>
        <v/>
      </c>
      <c r="H41" s="28">
        <v>2149</v>
      </c>
      <c r="I41" s="28">
        <v>2194</v>
      </c>
      <c r="J41" s="28">
        <f>IF(OR(H41="",I41=""),"",I41-H41)</f>
        <v/>
      </c>
      <c r="K41" s="28">
        <v>1889</v>
      </c>
      <c r="L41" s="28">
        <v>1899</v>
      </c>
      <c r="M41" s="28">
        <f>IF(OR(K41="",L41=""),"",L41-K41)</f>
        <v/>
      </c>
    </row>
    <row r="42" s="22" collapsed="false" customFormat="true" customHeight="true" hidden="false" ht="25.5" outlineLevel="0">
      <c r="A42" s="26" t="s">
        <v>16</v>
      </c>
      <c r="B42" s="27" t="s">
        <v>162</v>
      </c>
      <c r="C42" s="27" t="s">
        <v>163</v>
      </c>
      <c r="D42" s="27" t="s">
        <v>1789</v>
      </c>
      <c r="E42" s="28">
        <v>1890</v>
      </c>
      <c r="F42" s="28">
        <v>1900</v>
      </c>
      <c r="G42" s="28">
        <f>IF(OR(E42="",F42=""),"",F42-E42)</f>
        <v/>
      </c>
      <c r="H42" s="28">
        <v>2130</v>
      </c>
      <c r="I42" s="28">
        <v>2150</v>
      </c>
      <c r="J42" s="28">
        <f>IF(OR(H42="",I42=""),"",I42-H42)</f>
        <v/>
      </c>
      <c r="K42" s="28">
        <v>1890</v>
      </c>
      <c r="L42" s="28">
        <v>1900</v>
      </c>
      <c r="M42" s="28">
        <f>IF(OR(K42="",L42=""),"",L42-K42)</f>
        <v/>
      </c>
    </row>
    <row r="43" s="22" collapsed="false" customFormat="true" customHeight="true" hidden="false" ht="25.5" outlineLevel="0">
      <c r="A43" s="26" t="s">
        <v>10</v>
      </c>
      <c r="B43" s="27" t="s">
        <v>1524</v>
      </c>
      <c r="C43" s="27" t="s">
        <v>1525</v>
      </c>
      <c r="D43" s="27" t="s">
        <v>1789</v>
      </c>
      <c r="E43" s="28">
        <v>1840</v>
      </c>
      <c r="F43" s="28">
        <v>1859</v>
      </c>
      <c r="G43" s="28">
        <f>IF(OR(E43="",F43=""),"",F43-E43)</f>
        <v/>
      </c>
      <c r="H43" s="28">
        <v>2199</v>
      </c>
      <c r="I43" s="28">
        <v>2199</v>
      </c>
      <c r="J43" s="28">
        <f>IF(OR(H43="",I43=""),"",I43-H43)</f>
        <v/>
      </c>
      <c r="K43" s="28">
        <v>1799</v>
      </c>
      <c r="L43" s="28">
        <v>1839</v>
      </c>
      <c r="M43" s="28">
        <f>IF(OR(K43="",L43=""),"",L43-K43)</f>
        <v/>
      </c>
    </row>
    <row r="44" s="22" collapsed="false" customFormat="true" customHeight="true" hidden="false" ht="25.5" outlineLevel="0">
      <c r="A44" s="26" t="s">
        <v>10</v>
      </c>
      <c r="B44" s="27" t="s">
        <v>910</v>
      </c>
      <c r="C44" s="27" t="s">
        <v>911</v>
      </c>
      <c r="D44" s="27" t="s">
        <v>1789</v>
      </c>
      <c r="E44" s="28">
        <v>1889</v>
      </c>
      <c r="F44" s="28">
        <v>1899</v>
      </c>
      <c r="G44" s="28">
        <f>IF(OR(E44="",F44=""),"",F44-E44)</f>
        <v/>
      </c>
      <c r="H44" s="28">
        <v>2159</v>
      </c>
      <c r="I44" s="28">
        <v>2159</v>
      </c>
      <c r="J44" s="28">
        <f>IF(OR(H44="",I44=""),"",I44-H44)</f>
        <v/>
      </c>
      <c r="K44" s="28">
        <v>1879</v>
      </c>
      <c r="L44" s="28">
        <v>1889</v>
      </c>
      <c r="M44" s="28">
        <f>IF(OR(K44="",L44=""),"",L44-K44)</f>
        <v/>
      </c>
    </row>
    <row r="45" s="22" collapsed="false" customFormat="true" customHeight="true" hidden="false" ht="25.5" outlineLevel="0">
      <c r="A45" s="26" t="s">
        <v>6</v>
      </c>
      <c r="B45" s="27" t="s">
        <v>855</v>
      </c>
      <c r="C45" s="27" t="s">
        <v>856</v>
      </c>
      <c r="D45" s="27" t="s">
        <v>1789</v>
      </c>
      <c r="E45" s="28">
        <v>1899</v>
      </c>
      <c r="F45" s="28">
        <v>1925</v>
      </c>
      <c r="G45" s="28">
        <f>IF(OR(E45="",F45=""),"",F45-E45)</f>
        <v/>
      </c>
      <c r="H45" s="28">
        <v>2156</v>
      </c>
      <c r="I45" s="28">
        <v>2156</v>
      </c>
      <c r="J45" s="28">
        <f>IF(OR(H45="",I45=""),"",I45-H45)</f>
        <v/>
      </c>
      <c r="K45" s="28">
        <v>1889</v>
      </c>
      <c r="L45" s="28">
        <v>1895</v>
      </c>
      <c r="M45" s="28">
        <f>IF(OR(K45="",L45=""),"",L45-K45)</f>
        <v/>
      </c>
    </row>
    <row r="46" s="22" collapsed="false" customFormat="true" customHeight="true" hidden="false" ht="25.5" outlineLevel="0">
      <c r="A46" s="26" t="s">
        <v>10</v>
      </c>
      <c r="B46" s="27" t="s">
        <v>1594</v>
      </c>
      <c r="C46" s="27" t="s">
        <v>1595</v>
      </c>
      <c r="D46" s="27" t="s">
        <v>1789</v>
      </c>
      <c r="E46" s="28">
        <v>1835</v>
      </c>
      <c r="F46" s="28">
        <v>1885</v>
      </c>
      <c r="G46" s="28">
        <f>IF(OR(E46="",F46=""),"",F46-E46)</f>
        <v/>
      </c>
      <c r="H46" s="28">
        <v>2250</v>
      </c>
      <c r="I46" s="28">
        <v>2350</v>
      </c>
      <c r="J46" s="28">
        <f>IF(OR(H46="",I46=""),"",I46-H46)</f>
        <v/>
      </c>
      <c r="K46" s="28">
        <v>1835</v>
      </c>
      <c r="L46" s="28">
        <v>1885</v>
      </c>
      <c r="M46" s="28">
        <f>IF(OR(K46="",L46=""),"",L46-K46)</f>
        <v/>
      </c>
    </row>
    <row r="47" s="22" collapsed="false" customFormat="true" customHeight="true" hidden="false" ht="25.5" outlineLevel="0">
      <c r="A47" s="26" t="s">
        <v>10</v>
      </c>
      <c r="B47" s="27" t="s">
        <v>582</v>
      </c>
      <c r="C47" s="27" t="s">
        <v>583</v>
      </c>
      <c r="D47" s="27" t="s">
        <v>1789</v>
      </c>
      <c r="E47" s="28">
        <v>1929</v>
      </c>
      <c r="F47" s="28">
        <v>1937</v>
      </c>
      <c r="G47" s="28">
        <f>IF(OR(E47="",F47=""),"",F47-E47)</f>
        <v/>
      </c>
      <c r="H47" s="28">
        <v>2145</v>
      </c>
      <c r="I47" s="28">
        <v>2145</v>
      </c>
      <c r="J47" s="28">
        <f>IF(OR(H47="",I47=""),"",I47-H47)</f>
        <v/>
      </c>
      <c r="K47" s="28">
        <v>1929</v>
      </c>
      <c r="L47" s="28">
        <v>1929</v>
      </c>
      <c r="M47" s="28">
        <f>IF(OR(K47="",L47=""),"",L47-K47)</f>
        <v/>
      </c>
    </row>
    <row r="48" s="22" collapsed="false" customFormat="true" customHeight="true" hidden="false" ht="25.5" outlineLevel="0">
      <c r="A48" s="26" t="s">
        <v>8</v>
      </c>
      <c r="B48" s="27" t="s">
        <v>593</v>
      </c>
      <c r="C48" s="27" t="s">
        <v>594</v>
      </c>
      <c r="D48" s="27" t="s">
        <v>1789</v>
      </c>
      <c r="E48" s="28">
        <v>1946</v>
      </c>
      <c r="F48" s="28">
        <v>1946</v>
      </c>
      <c r="G48" s="28">
        <f>IF(OR(E48="",F48=""),"",F48-E48)</f>
        <v/>
      </c>
      <c r="H48" s="28">
        <v>2199</v>
      </c>
      <c r="I48" s="28">
        <v>2241</v>
      </c>
      <c r="J48" s="28">
        <f>IF(OR(H48="",I48=""),"",I48-H48)</f>
        <v/>
      </c>
      <c r="K48" s="28">
        <v>1946</v>
      </c>
      <c r="L48" s="28">
        <v>1946</v>
      </c>
      <c r="M48" s="28">
        <f>IF(OR(K48="",L48=""),"",L48-K48)</f>
        <v/>
      </c>
    </row>
    <row r="49" s="22" collapsed="false" customFormat="true" customHeight="true" hidden="false" ht="25.5" outlineLevel="0">
      <c r="A49" s="26" t="s">
        <v>14</v>
      </c>
      <c r="B49" s="27" t="s">
        <v>1748</v>
      </c>
      <c r="C49" s="27" t="s">
        <v>1749</v>
      </c>
      <c r="D49" s="27" t="s">
        <v>1789</v>
      </c>
      <c r="E49" s="28">
        <v>1979</v>
      </c>
      <c r="F49" s="28">
        <v>1999</v>
      </c>
      <c r="G49" s="28">
        <f>IF(OR(E49="",F49=""),"",F49-E49)</f>
        <v/>
      </c>
      <c r="H49" s="28">
        <v>2159</v>
      </c>
      <c r="I49" s="28">
        <v>2239</v>
      </c>
      <c r="J49" s="28">
        <f>IF(OR(H49="",I49=""),"",I49-H49)</f>
        <v/>
      </c>
      <c r="K49" s="28">
        <v>1969</v>
      </c>
      <c r="L49" s="28">
        <v>1999</v>
      </c>
      <c r="M49" s="28">
        <f>IF(OR(K49="",L49=""),"",L49-K49)</f>
        <v/>
      </c>
    </row>
    <row r="50" s="22" collapsed="false" customFormat="true" customHeight="true" hidden="false" ht="25.5" outlineLevel="0">
      <c r="A50" s="26" t="s">
        <v>8</v>
      </c>
      <c r="B50" s="27" t="s">
        <v>826</v>
      </c>
      <c r="C50" s="27" t="s">
        <v>827</v>
      </c>
      <c r="D50" s="27" t="s">
        <v>1789</v>
      </c>
      <c r="E50" s="28">
        <v>1869</v>
      </c>
      <c r="F50" s="28">
        <v>1899</v>
      </c>
      <c r="G50" s="28">
        <f>IF(OR(E50="",F50=""),"",F50-E50)</f>
        <v/>
      </c>
      <c r="H50" s="28">
        <v>2299</v>
      </c>
      <c r="I50" s="28">
        <v>2299</v>
      </c>
      <c r="J50" s="28">
        <f>IF(OR(H50="",I50=""),"",I50-H50)</f>
        <v/>
      </c>
      <c r="K50" s="28">
        <v>1849</v>
      </c>
      <c r="L50" s="28">
        <v>1879</v>
      </c>
      <c r="M50" s="28">
        <f>IF(OR(K50="",L50=""),"",L50-K50)</f>
        <v/>
      </c>
    </row>
    <row r="51" s="22" collapsed="false" customFormat="true" customHeight="true" hidden="false" ht="25.5" outlineLevel="0">
      <c r="A51" s="26" t="s">
        <v>10</v>
      </c>
      <c r="B51" s="27" t="s">
        <v>160</v>
      </c>
      <c r="C51" s="27" t="s">
        <v>161</v>
      </c>
      <c r="D51" s="27" t="s">
        <v>1789</v>
      </c>
      <c r="E51" s="28">
        <v>1959</v>
      </c>
      <c r="F51" s="28">
        <v>1959</v>
      </c>
      <c r="G51" s="28">
        <f>IF(OR(E51="",F51=""),"",F51-E51)</f>
        <v/>
      </c>
      <c r="H51" s="28">
        <v>2269</v>
      </c>
      <c r="I51" s="28">
        <v>2450</v>
      </c>
      <c r="J51" s="28">
        <f>IF(OR(H51="",I51=""),"",I51-H51)</f>
        <v/>
      </c>
      <c r="K51" s="28">
        <v>1929</v>
      </c>
      <c r="L51" s="28">
        <v>1929</v>
      </c>
      <c r="M51" s="28">
        <f>IF(OR(K51="",L51=""),"",L51-K51)</f>
        <v/>
      </c>
    </row>
    <row r="52" s="22" collapsed="false" customFormat="true" customHeight="true" hidden="false" ht="25.5" outlineLevel="0">
      <c r="A52" s="26" t="s">
        <v>10</v>
      </c>
      <c r="B52" s="27" t="s">
        <v>442</v>
      </c>
      <c r="C52" s="27" t="s">
        <v>443</v>
      </c>
      <c r="D52" s="27" t="s">
        <v>1789</v>
      </c>
      <c r="E52" s="28">
        <v>2049</v>
      </c>
      <c r="F52" s="28">
        <v>1999</v>
      </c>
      <c r="G52" s="28">
        <f>IF(OR(E52="",F52=""),"",F52-E52)</f>
        <v/>
      </c>
      <c r="H52" s="28">
        <v>2223</v>
      </c>
      <c r="I52" s="28">
        <v>2223</v>
      </c>
      <c r="J52" s="28">
        <f>IF(OR(H52="",I52=""),"",I52-H52)</f>
        <v/>
      </c>
      <c r="K52" s="28">
        <v>2039</v>
      </c>
      <c r="L52" s="28">
        <v>1999</v>
      </c>
      <c r="M52" s="28">
        <f>IF(OR(K52="",L52=""),"",L52-K52)</f>
        <v/>
      </c>
    </row>
    <row r="53" s="22" collapsed="false" customFormat="true" customHeight="true" hidden="false" ht="25.5" outlineLevel="0">
      <c r="A53" s="26" t="s">
        <v>18</v>
      </c>
      <c r="B53" s="27" t="s">
        <v>1053</v>
      </c>
      <c r="C53" s="27" t="s">
        <v>1054</v>
      </c>
      <c r="D53" s="27" t="s">
        <v>1789</v>
      </c>
      <c r="E53" s="28">
        <v>1895</v>
      </c>
      <c r="F53" s="28">
        <v>1945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1895</v>
      </c>
      <c r="L53" s="28">
        <v>1935</v>
      </c>
      <c r="M53" s="28">
        <f>IF(OR(K53="",L53=""),"",L53-K53)</f>
        <v/>
      </c>
    </row>
    <row r="54" s="22" collapsed="false" customFormat="true" customHeight="true" hidden="false" ht="25.5" outlineLevel="0">
      <c r="A54" s="26" t="s">
        <v>18</v>
      </c>
      <c r="B54" s="27" t="s">
        <v>1307</v>
      </c>
      <c r="C54" s="27" t="s">
        <v>1308</v>
      </c>
      <c r="D54" s="27" t="s">
        <v>1789</v>
      </c>
      <c r="E54" s="28">
        <v>1895</v>
      </c>
      <c r="F54" s="28">
        <v>1935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1895</v>
      </c>
      <c r="L54" s="28">
        <v>1925</v>
      </c>
      <c r="M54" s="28">
        <f>IF(OR(K54="",L54=""),"",L54-K54)</f>
        <v/>
      </c>
    </row>
    <row r="55" s="22" collapsed="false" customFormat="true" customHeight="true" hidden="false" ht="25.5" outlineLevel="0">
      <c r="A55" s="26" t="s">
        <v>18</v>
      </c>
      <c r="B55" s="27" t="s">
        <v>1174</v>
      </c>
      <c r="C55" s="27" t="s">
        <v>1175</v>
      </c>
      <c r="D55" s="27" t="s">
        <v>1789</v>
      </c>
      <c r="E55" s="28">
        <v>1899</v>
      </c>
      <c r="F55" s="28">
        <v>1919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1889</v>
      </c>
      <c r="L55" s="28">
        <v>1919</v>
      </c>
      <c r="M55" s="28">
        <f>IF(OR(K55="",L55=""),"",L55-K55)</f>
        <v/>
      </c>
    </row>
    <row r="56" s="22" collapsed="false" customFormat="true" customHeight="true" hidden="false" ht="25.5" outlineLevel="0">
      <c r="A56" s="26" t="s">
        <v>18</v>
      </c>
      <c r="B56" s="27" t="s">
        <v>433</v>
      </c>
      <c r="C56" s="27" t="s">
        <v>434</v>
      </c>
      <c r="D56" s="27" t="s">
        <v>1789</v>
      </c>
      <c r="E56" s="28">
        <v>1902</v>
      </c>
      <c r="F56" s="28">
        <v>1902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1882</v>
      </c>
      <c r="L56" s="28">
        <v>1910</v>
      </c>
      <c r="M56" s="28">
        <f>IF(OR(K56="",L56=""),"",L56-K56)</f>
        <v/>
      </c>
    </row>
    <row r="57" s="22" collapsed="false" customFormat="true" customHeight="true" hidden="false" ht="25.5" outlineLevel="0">
      <c r="A57" s="26" t="s">
        <v>16</v>
      </c>
      <c r="B57" s="27" t="s">
        <v>607</v>
      </c>
      <c r="C57" s="27" t="s">
        <v>608</v>
      </c>
      <c r="D57" s="27" t="s">
        <v>1789</v>
      </c>
      <c r="E57" s="28">
        <v>1859</v>
      </c>
      <c r="F57" s="28">
        <v>1899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1889</v>
      </c>
      <c r="L57" s="28">
        <v>1929</v>
      </c>
      <c r="M57" s="28">
        <f>IF(OR(K57="",L57=""),"",L57-K57)</f>
        <v/>
      </c>
    </row>
    <row r="58" s="22" collapsed="false" customFormat="true" customHeight="true" hidden="false" ht="25.5" outlineLevel="0">
      <c r="A58" s="26" t="s">
        <v>18</v>
      </c>
      <c r="B58" s="27" t="s">
        <v>1337</v>
      </c>
      <c r="C58" s="27" t="s">
        <v>1338</v>
      </c>
      <c r="D58" s="27" t="s">
        <v>1789</v>
      </c>
      <c r="E58" s="28">
        <v>1925</v>
      </c>
      <c r="F58" s="28">
        <v>1965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1915</v>
      </c>
      <c r="L58" s="28">
        <v>1965</v>
      </c>
      <c r="M58" s="28">
        <f>IF(OR(K58="",L58=""),"",L58-K58)</f>
        <v/>
      </c>
    </row>
    <row r="59" s="22" collapsed="false" customFormat="true" customHeight="true" hidden="false" ht="25.5" outlineLevel="0">
      <c r="A59" s="26" t="s">
        <v>18</v>
      </c>
      <c r="B59" s="27" t="s">
        <v>878</v>
      </c>
      <c r="C59" s="27" t="s">
        <v>879</v>
      </c>
      <c r="D59" s="27" t="s">
        <v>1789</v>
      </c>
      <c r="E59" s="28">
        <v>1929</v>
      </c>
      <c r="F59" s="28">
        <v>1929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1895</v>
      </c>
      <c r="L59" s="28">
        <v>1919</v>
      </c>
      <c r="M59" s="28">
        <f>IF(OR(K59="",L59=""),"",L59-K59)</f>
        <v/>
      </c>
    </row>
    <row r="60" s="22" collapsed="false" customFormat="true" customHeight="true" hidden="false" ht="25.5" outlineLevel="0">
      <c r="A60" s="26" t="s">
        <v>18</v>
      </c>
      <c r="B60" s="27" t="s">
        <v>1683</v>
      </c>
      <c r="C60" s="27" t="s">
        <v>1684</v>
      </c>
      <c r="D60" s="27" t="s">
        <v>1789</v>
      </c>
      <c r="E60" s="28">
        <v>1935</v>
      </c>
      <c r="F60" s="28">
        <v>1965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1935</v>
      </c>
      <c r="L60" s="28">
        <v>1965</v>
      </c>
      <c r="M60" s="28">
        <f>IF(OR(K60="",L60=""),"",L60-K60)</f>
        <v/>
      </c>
    </row>
    <row r="61" s="22" collapsed="false" customFormat="true" customHeight="true" hidden="false" ht="25.5" outlineLevel="0">
      <c r="A61" s="26" t="s">
        <v>6</v>
      </c>
      <c r="B61" s="27" t="s">
        <v>158</v>
      </c>
      <c r="C61" s="27" t="s">
        <v>159</v>
      </c>
      <c r="D61" s="27" t="s">
        <v>1789</v>
      </c>
      <c r="E61" s="28">
        <v>1828</v>
      </c>
      <c r="F61" s="28">
        <v>1857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1837</v>
      </c>
      <c r="L61" s="28">
        <v>1847</v>
      </c>
      <c r="M61" s="28">
        <f>IF(OR(K61="",L61=""),"",L61-K61)</f>
        <v/>
      </c>
    </row>
    <row r="62" s="22" collapsed="false" customFormat="true" customHeight="true" hidden="false" ht="25.5" outlineLevel="0">
      <c r="A62" s="26" t="s">
        <v>18</v>
      </c>
      <c r="B62" s="27" t="s">
        <v>1297</v>
      </c>
      <c r="C62" s="27" t="s">
        <v>1298</v>
      </c>
      <c r="D62" s="27" t="s">
        <v>1789</v>
      </c>
      <c r="E62" s="28">
        <v>1945</v>
      </c>
      <c r="F62" s="28">
        <v>1945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1945</v>
      </c>
      <c r="L62" s="28">
        <v>1965</v>
      </c>
      <c r="M62" s="28">
        <f>IF(OR(K62="",L62=""),"",L62-K62)</f>
        <v/>
      </c>
    </row>
    <row r="63" s="22" collapsed="false" customFormat="true" customHeight="true" hidden="false" ht="25.5" outlineLevel="0">
      <c r="A63" s="26" t="s">
        <v>16</v>
      </c>
      <c r="B63" s="27" t="s">
        <v>912</v>
      </c>
      <c r="C63" s="27" t="s">
        <v>913</v>
      </c>
      <c r="D63" s="27" t="s">
        <v>1789</v>
      </c>
      <c r="E63" s="28">
        <v>1879</v>
      </c>
      <c r="F63" s="28">
        <v>1899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1879</v>
      </c>
      <c r="L63" s="28">
        <v>1899</v>
      </c>
      <c r="M63" s="28">
        <f>IF(OR(K63="",L63=""),"",L63-K63)</f>
        <v/>
      </c>
    </row>
    <row r="64" s="22" collapsed="false" customFormat="true" customHeight="true" hidden="false" ht="25.5" outlineLevel="0">
      <c r="A64" s="26" t="s">
        <v>8</v>
      </c>
      <c r="B64" s="27" t="s">
        <v>1715</v>
      </c>
      <c r="C64" s="27" t="s">
        <v>1717</v>
      </c>
      <c r="D64" s="27" t="s">
        <v>1789</v>
      </c>
      <c r="E64" s="28">
        <v>1839</v>
      </c>
      <c r="F64" s="28">
        <v>1879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1859</v>
      </c>
      <c r="L64" s="28">
        <v>1899</v>
      </c>
      <c r="M64" s="28">
        <f>IF(OR(K64="",L64=""),"",L64-K64)</f>
        <v/>
      </c>
    </row>
    <row r="65" s="22" collapsed="false" customFormat="true" customHeight="true" hidden="false" ht="25.5" outlineLevel="0">
      <c r="A65" s="26" t="s">
        <v>18</v>
      </c>
      <c r="B65" s="27" t="s">
        <v>689</v>
      </c>
      <c r="C65" s="27" t="s">
        <v>690</v>
      </c>
      <c r="D65" s="27" t="s">
        <v>1789</v>
      </c>
      <c r="E65" s="28">
        <v>1948</v>
      </c>
      <c r="F65" s="28">
        <v>1948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1918</v>
      </c>
      <c r="L65" s="28">
        <v>1948</v>
      </c>
      <c r="M65" s="28">
        <f>IF(OR(K65="",L65=""),"",L65-K65)</f>
        <v/>
      </c>
    </row>
    <row r="66" s="22" collapsed="false" customFormat="true" customHeight="true" hidden="false" ht="25.5" outlineLevel="0">
      <c r="A66" s="26" t="s">
        <v>10</v>
      </c>
      <c r="B66" s="27" t="s">
        <v>981</v>
      </c>
      <c r="C66" s="27" t="s">
        <v>983</v>
      </c>
      <c r="D66" s="27" t="s">
        <v>1789</v>
      </c>
      <c r="E66" s="28">
        <v>1849</v>
      </c>
      <c r="F66" s="28">
        <v>1879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1839</v>
      </c>
      <c r="L66" s="28">
        <v>1859</v>
      </c>
      <c r="M66" s="28">
        <f>IF(OR(K66="",L66=""),"",L66-K66)</f>
        <v/>
      </c>
    </row>
    <row r="67" s="22" collapsed="false" customFormat="true" customHeight="true" hidden="false" ht="25.5" outlineLevel="0">
      <c r="A67" s="26" t="s">
        <v>16</v>
      </c>
      <c r="B67" s="27" t="s">
        <v>733</v>
      </c>
      <c r="C67" s="27" t="s">
        <v>734</v>
      </c>
      <c r="D67" s="27" t="s">
        <v>1789</v>
      </c>
      <c r="E67" s="28">
        <v>1898</v>
      </c>
      <c r="F67" s="28">
        <v>1948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1898</v>
      </c>
      <c r="L67" s="28">
        <v>1938</v>
      </c>
      <c r="M67" s="28">
        <f>IF(OR(K67="",L67=""),"",L67-K67)</f>
        <v/>
      </c>
    </row>
    <row r="68" s="22" collapsed="false" customFormat="true" customHeight="true" hidden="false" ht="25.5" outlineLevel="0">
      <c r="A68" s="26" t="s">
        <v>16</v>
      </c>
      <c r="B68" s="27" t="s">
        <v>636</v>
      </c>
      <c r="C68" s="27" t="s">
        <v>637</v>
      </c>
      <c r="D68" s="27" t="s">
        <v>1789</v>
      </c>
      <c r="E68" s="28">
        <v>1899</v>
      </c>
      <c r="F68" s="28">
        <v>1949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1899</v>
      </c>
      <c r="L68" s="28">
        <v>1949</v>
      </c>
      <c r="M68" s="28">
        <f>IF(OR(K68="",L68=""),"",L68-K68)</f>
        <v/>
      </c>
    </row>
    <row r="69" s="22" collapsed="false" customFormat="true" customHeight="true" hidden="false" ht="25.5" outlineLevel="0">
      <c r="A69" s="26" t="s">
        <v>16</v>
      </c>
      <c r="B69" s="27" t="s">
        <v>1695</v>
      </c>
      <c r="C69" s="27" t="s">
        <v>1696</v>
      </c>
      <c r="D69" s="27" t="s">
        <v>1789</v>
      </c>
      <c r="E69" s="28">
        <v>1899</v>
      </c>
      <c r="F69" s="28">
        <v>1919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1899</v>
      </c>
      <c r="L69" s="28">
        <v>1929</v>
      </c>
      <c r="M69" s="28">
        <f>IF(OR(K69="",L69=""),"",L69-K69)</f>
        <v/>
      </c>
    </row>
    <row r="70" s="22" collapsed="false" customFormat="true" customHeight="true" hidden="false" ht="25.5" outlineLevel="0">
      <c r="A70" s="26" t="s">
        <v>6</v>
      </c>
      <c r="B70" s="27" t="s">
        <v>1111</v>
      </c>
      <c r="C70" s="27" t="s">
        <v>1112</v>
      </c>
      <c r="D70" s="27" t="s">
        <v>1789</v>
      </c>
      <c r="E70" s="28">
        <v>1859</v>
      </c>
      <c r="F70" s="28">
        <v>1889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1849</v>
      </c>
      <c r="L70" s="28">
        <v>1879</v>
      </c>
      <c r="M70" s="28">
        <f>IF(OR(K70="",L70=""),"",L70-K70)</f>
        <v/>
      </c>
    </row>
    <row r="71" s="22" collapsed="false" customFormat="true" customHeight="true" hidden="false" ht="25.5" outlineLevel="0">
      <c r="A71" s="26" t="s">
        <v>10</v>
      </c>
      <c r="B71" s="27" t="s">
        <v>1019</v>
      </c>
      <c r="C71" s="27" t="s">
        <v>1021</v>
      </c>
      <c r="D71" s="27" t="s">
        <v>1789</v>
      </c>
      <c r="E71" s="28">
        <v>1864</v>
      </c>
      <c r="F71" s="28">
        <v>1998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1854</v>
      </c>
      <c r="L71" s="28">
        <v>1988</v>
      </c>
      <c r="M71" s="28">
        <f>IF(OR(K71="",L71=""),"",L71-K71)</f>
        <v/>
      </c>
    </row>
    <row r="72" s="22" collapsed="false" customFormat="true" customHeight="true" hidden="false" ht="25.5" outlineLevel="0">
      <c r="A72" s="26" t="s">
        <v>6</v>
      </c>
      <c r="B72" s="27" t="s">
        <v>647</v>
      </c>
      <c r="C72" s="27" t="s">
        <v>648</v>
      </c>
      <c r="D72" s="27" t="s">
        <v>1789</v>
      </c>
      <c r="E72" s="28">
        <v>1864</v>
      </c>
      <c r="F72" s="28">
        <v>1892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1864</v>
      </c>
      <c r="L72" s="28">
        <v>1885</v>
      </c>
      <c r="M72" s="28">
        <f>IF(OR(K72="",L72=""),"",L72-K72)</f>
        <v/>
      </c>
    </row>
    <row r="73" s="22" collapsed="false" customFormat="true" customHeight="true" hidden="false" ht="25.5" outlineLevel="0">
      <c r="A73" s="26" t="s">
        <v>6</v>
      </c>
      <c r="B73" s="27" t="s">
        <v>562</v>
      </c>
      <c r="C73" s="27" t="s">
        <v>563</v>
      </c>
      <c r="D73" s="27" t="s">
        <v>1789</v>
      </c>
      <c r="E73" s="28">
        <v>1869</v>
      </c>
      <c r="F73" s="28">
        <v>1879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1869</v>
      </c>
      <c r="L73" s="28">
        <v>1889</v>
      </c>
      <c r="M73" s="28">
        <f>IF(OR(K73="",L73=""),"",L73-K73)</f>
        <v/>
      </c>
    </row>
    <row r="74" s="22" collapsed="false" customFormat="true" customHeight="true" hidden="false" ht="25.5" outlineLevel="0">
      <c r="A74" s="26" t="s">
        <v>10</v>
      </c>
      <c r="B74" s="27" t="s">
        <v>532</v>
      </c>
      <c r="C74" s="27" t="s">
        <v>533</v>
      </c>
      <c r="D74" s="27" t="s">
        <v>1789</v>
      </c>
      <c r="E74" s="28">
        <v>1870</v>
      </c>
      <c r="F74" s="28">
        <v>1880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1865</v>
      </c>
      <c r="L74" s="28">
        <v>1865</v>
      </c>
      <c r="M74" s="28">
        <f>IF(OR(K74="",L74=""),"",L74-K74)</f>
        <v/>
      </c>
    </row>
    <row r="75" s="22" collapsed="false" customFormat="true" customHeight="true" hidden="false" ht="25.5" outlineLevel="0">
      <c r="A75" s="26" t="s">
        <v>14</v>
      </c>
      <c r="B75" s="27" t="s">
        <v>468</v>
      </c>
      <c r="C75" s="27" t="s">
        <v>469</v>
      </c>
      <c r="D75" s="27" t="s">
        <v>1789</v>
      </c>
      <c r="E75" s="28">
        <v>1899</v>
      </c>
      <c r="F75" s="28">
        <v>1929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1879</v>
      </c>
      <c r="L75" s="28">
        <v>1899</v>
      </c>
      <c r="M75" s="28">
        <f>IF(OR(K75="",L75=""),"",L75-K75)</f>
        <v/>
      </c>
    </row>
    <row r="76" s="22" collapsed="false" customFormat="true" customHeight="true" hidden="false" ht="25.5" outlineLevel="0">
      <c r="A76" s="26" t="s">
        <v>14</v>
      </c>
      <c r="B76" s="27" t="s">
        <v>509</v>
      </c>
      <c r="C76" s="27" t="s">
        <v>510</v>
      </c>
      <c r="D76" s="27" t="s">
        <v>1789</v>
      </c>
      <c r="E76" s="28">
        <v>1899</v>
      </c>
      <c r="F76" s="28">
        <v>1939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1899</v>
      </c>
      <c r="L76" s="28">
        <v>1899</v>
      </c>
      <c r="M76" s="28">
        <f>IF(OR(K76="",L76=""),"",L76-K76)</f>
        <v/>
      </c>
    </row>
    <row r="77" s="22" collapsed="false" customFormat="true" customHeight="true" hidden="false" ht="25.5" outlineLevel="0">
      <c r="A77" s="26" t="s">
        <v>6</v>
      </c>
      <c r="B77" s="27" t="s">
        <v>1457</v>
      </c>
      <c r="C77" s="27" t="s">
        <v>1458</v>
      </c>
      <c r="D77" s="27" t="s">
        <v>1789</v>
      </c>
      <c r="E77" s="28">
        <v>1879</v>
      </c>
      <c r="F77" s="28">
        <v>1932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1849</v>
      </c>
      <c r="L77" s="28">
        <v>1849</v>
      </c>
      <c r="M77" s="28">
        <f>IF(OR(K77="",L77=""),"",L77-K77)</f>
        <v/>
      </c>
    </row>
    <row r="78" s="22" collapsed="false" customFormat="true" customHeight="true" hidden="false" ht="25.5" outlineLevel="0">
      <c r="A78" s="26" t="s">
        <v>10</v>
      </c>
      <c r="B78" s="27" t="s">
        <v>933</v>
      </c>
      <c r="C78" s="27" t="s">
        <v>934</v>
      </c>
      <c r="D78" s="27" t="s">
        <v>1789</v>
      </c>
      <c r="E78" s="28">
        <v>1879</v>
      </c>
      <c r="F78" s="28">
        <v>1897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1896</v>
      </c>
      <c r="L78" s="28">
        <v>1896</v>
      </c>
      <c r="M78" s="28">
        <f>IF(OR(K78="",L78=""),"",L78-K78)</f>
        <v/>
      </c>
    </row>
    <row r="79" s="22" collapsed="false" customFormat="true" customHeight="true" hidden="false" ht="25.5" outlineLevel="0">
      <c r="A79" s="26" t="s">
        <v>6</v>
      </c>
      <c r="B79" s="27" t="s">
        <v>540</v>
      </c>
      <c r="C79" s="27" t="s">
        <v>541</v>
      </c>
      <c r="D79" s="27" t="s">
        <v>1789</v>
      </c>
      <c r="E79" s="28">
        <v>1879</v>
      </c>
      <c r="F79" s="28">
        <v>1899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1899</v>
      </c>
      <c r="L79" s="28">
        <v>1919</v>
      </c>
      <c r="M79" s="28">
        <f>IF(OR(K79="",L79=""),"",L79-K79)</f>
        <v/>
      </c>
    </row>
    <row r="80" s="22" collapsed="false" customFormat="true" customHeight="true" hidden="false" ht="25.5" outlineLevel="0">
      <c r="A80" s="26" t="s">
        <v>6</v>
      </c>
      <c r="B80" s="27" t="s">
        <v>1092</v>
      </c>
      <c r="C80" s="27" t="s">
        <v>1093</v>
      </c>
      <c r="D80" s="27" t="s">
        <v>1789</v>
      </c>
      <c r="E80" s="28">
        <v>1885</v>
      </c>
      <c r="F80" s="28">
        <v>1885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1848</v>
      </c>
      <c r="L80" s="28">
        <v>1865</v>
      </c>
      <c r="M80" s="28">
        <f>IF(OR(K80="",L80=""),"",L80-K80)</f>
        <v/>
      </c>
    </row>
    <row r="81" s="22" collapsed="false" customFormat="true" customHeight="true" hidden="false" ht="25.5" outlineLevel="0">
      <c r="A81" s="26" t="s">
        <v>6</v>
      </c>
      <c r="B81" s="27" t="s">
        <v>140</v>
      </c>
      <c r="C81" s="27" t="s">
        <v>141</v>
      </c>
      <c r="D81" s="27" t="s">
        <v>1789</v>
      </c>
      <c r="E81" s="28">
        <v>1887</v>
      </c>
      <c r="F81" s="28">
        <v>1914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1874</v>
      </c>
      <c r="L81" s="28">
        <v>1894</v>
      </c>
      <c r="M81" s="28">
        <f>IF(OR(K81="",L81=""),"",L81-K81)</f>
        <v/>
      </c>
    </row>
    <row r="82" s="22" collapsed="false" customFormat="true" customHeight="true" hidden="false" ht="25.5" outlineLevel="0">
      <c r="A82" s="26" t="s">
        <v>6</v>
      </c>
      <c r="B82" s="27" t="s">
        <v>792</v>
      </c>
      <c r="C82" s="27" t="s">
        <v>793</v>
      </c>
      <c r="D82" s="27" t="s">
        <v>1789</v>
      </c>
      <c r="E82" s="28">
        <v>1887</v>
      </c>
      <c r="F82" s="28">
        <v>1897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1887</v>
      </c>
      <c r="L82" s="28">
        <v>1897</v>
      </c>
      <c r="M82" s="28">
        <f>IF(OR(K82="",L82=""),"",L82-K82)</f>
        <v/>
      </c>
    </row>
    <row r="83" s="22" collapsed="false" customFormat="true" customHeight="true" hidden="false" ht="25.5" outlineLevel="0">
      <c r="A83" s="26" t="s">
        <v>6</v>
      </c>
      <c r="B83" s="27" t="s">
        <v>1373</v>
      </c>
      <c r="C83" s="27" t="s">
        <v>1374</v>
      </c>
      <c r="D83" s="27" t="s">
        <v>1789</v>
      </c>
      <c r="E83" s="28">
        <v>1888</v>
      </c>
      <c r="F83" s="28">
        <v>1988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1888</v>
      </c>
      <c r="L83" s="28">
        <v>1988</v>
      </c>
      <c r="M83" s="28">
        <f>IF(OR(K83="",L83=""),"",L83-K83)</f>
        <v/>
      </c>
    </row>
    <row r="84" s="22" collapsed="false" customFormat="true" customHeight="true" hidden="false" ht="25.5" outlineLevel="0">
      <c r="A84" s="26" t="s">
        <v>12</v>
      </c>
      <c r="B84" s="27" t="s">
        <v>1349</v>
      </c>
      <c r="C84" s="27" t="s">
        <v>1350</v>
      </c>
      <c r="D84" s="27" t="s">
        <v>1789</v>
      </c>
      <c r="E84" s="28">
        <v>1889</v>
      </c>
      <c r="F84" s="28">
        <v>1889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1879</v>
      </c>
      <c r="L84" s="28">
        <v>1899</v>
      </c>
      <c r="M84" s="28">
        <f>IF(OR(K84="",L84=""),"",L84-K84)</f>
        <v/>
      </c>
    </row>
    <row r="85" s="22" collapsed="false" customFormat="true" customHeight="true" hidden="false" ht="25.5" outlineLevel="0">
      <c r="A85" s="26" t="s">
        <v>12</v>
      </c>
      <c r="B85" s="27" t="s">
        <v>1190</v>
      </c>
      <c r="C85" s="27" t="s">
        <v>1191</v>
      </c>
      <c r="D85" s="27" t="s">
        <v>1789</v>
      </c>
      <c r="E85" s="28">
        <v>1894</v>
      </c>
      <c r="F85" s="28">
        <v>1923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1874</v>
      </c>
      <c r="L85" s="28">
        <v>1913</v>
      </c>
      <c r="M85" s="28">
        <f>IF(OR(K85="",L85=""),"",L85-K85)</f>
        <v/>
      </c>
    </row>
    <row r="86" s="22" collapsed="false" customFormat="true" customHeight="true" hidden="false" ht="25.5" outlineLevel="0">
      <c r="A86" s="26" t="s">
        <v>6</v>
      </c>
      <c r="B86" s="27" t="s">
        <v>567</v>
      </c>
      <c r="C86" s="27" t="s">
        <v>568</v>
      </c>
      <c r="D86" s="27" t="s">
        <v>1789</v>
      </c>
      <c r="E86" s="28">
        <v>1895</v>
      </c>
      <c r="F86" s="28">
        <v>1935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1895</v>
      </c>
      <c r="L86" s="28">
        <v>1925</v>
      </c>
      <c r="M86" s="28">
        <f>IF(OR(K86="",L86=""),"",L86-K86)</f>
        <v/>
      </c>
    </row>
    <row r="87" s="22" collapsed="false" customFormat="true" customHeight="true" hidden="false" ht="25.5" outlineLevel="0">
      <c r="A87" s="26" t="s">
        <v>10</v>
      </c>
      <c r="B87" s="27" t="s">
        <v>1721</v>
      </c>
      <c r="C87" s="27" t="s">
        <v>1722</v>
      </c>
      <c r="D87" s="27" t="s">
        <v>1789</v>
      </c>
      <c r="E87" s="28">
        <v>1895</v>
      </c>
      <c r="F87" s="28">
        <v>1955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1895</v>
      </c>
      <c r="L87" s="28">
        <v>1955</v>
      </c>
      <c r="M87" s="28">
        <f>IF(OR(K87="",L87=""),"",L87-K87)</f>
        <v/>
      </c>
    </row>
    <row r="88" s="22" collapsed="false" customFormat="true" customHeight="true" hidden="false" ht="25.5" outlineLevel="0">
      <c r="A88" s="26" t="s">
        <v>6</v>
      </c>
      <c r="B88" s="27" t="s">
        <v>420</v>
      </c>
      <c r="C88" s="27" t="s">
        <v>421</v>
      </c>
      <c r="D88" s="27" t="s">
        <v>1789</v>
      </c>
      <c r="E88" s="28">
        <v>1897</v>
      </c>
      <c r="F88" s="28">
        <v>1918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1918</v>
      </c>
      <c r="L88" s="28">
        <v>1918</v>
      </c>
      <c r="M88" s="28">
        <f>IF(OR(K88="",L88=""),"",L88-K88)</f>
        <v/>
      </c>
    </row>
    <row r="89" s="22" collapsed="false" customFormat="true" customHeight="true" hidden="false" ht="25.5" outlineLevel="0">
      <c r="A89" s="26" t="s">
        <v>10</v>
      </c>
      <c r="B89" s="27" t="s">
        <v>1248</v>
      </c>
      <c r="C89" s="27" t="s">
        <v>1249</v>
      </c>
      <c r="D89" s="27" t="s">
        <v>1789</v>
      </c>
      <c r="E89" s="28">
        <v>1898</v>
      </c>
      <c r="F89" s="28">
        <v>1998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1868</v>
      </c>
      <c r="L89" s="28">
        <v>1998</v>
      </c>
      <c r="M89" s="28">
        <f>IF(OR(K89="",L89=""),"",L89-K89)</f>
        <v/>
      </c>
    </row>
    <row r="90" s="22" collapsed="false" customFormat="true" customHeight="true" hidden="false" ht="25.5" outlineLevel="0">
      <c r="A90" s="26" t="s">
        <v>6</v>
      </c>
      <c r="B90" s="27" t="s">
        <v>1442</v>
      </c>
      <c r="C90" s="27" t="s">
        <v>1443</v>
      </c>
      <c r="D90" s="27" t="s">
        <v>1789</v>
      </c>
      <c r="E90" s="28">
        <v>1898</v>
      </c>
      <c r="F90" s="28">
        <v>1915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1892</v>
      </c>
      <c r="L90" s="28">
        <v>1908</v>
      </c>
      <c r="M90" s="28">
        <f>IF(OR(K90="",L90=""),"",L90-K90)</f>
        <v/>
      </c>
    </row>
    <row r="91" s="22" collapsed="false" customFormat="true" customHeight="true" hidden="false" ht="25.5" outlineLevel="0">
      <c r="A91" s="26" t="s">
        <v>6</v>
      </c>
      <c r="B91" s="27" t="s">
        <v>146</v>
      </c>
      <c r="C91" s="27" t="s">
        <v>147</v>
      </c>
      <c r="D91" s="27" t="s">
        <v>1789</v>
      </c>
      <c r="E91" s="28">
        <v>1898</v>
      </c>
      <c r="F91" s="28">
        <v>1935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1898</v>
      </c>
      <c r="L91" s="28">
        <v>1935</v>
      </c>
      <c r="M91" s="28">
        <f>IF(OR(K91="",L91=""),"",L91-K91)</f>
        <v/>
      </c>
    </row>
    <row r="92" s="22" collapsed="false" customFormat="true" customHeight="true" hidden="false" ht="25.5" outlineLevel="0">
      <c r="A92" s="26" t="s">
        <v>6</v>
      </c>
      <c r="B92" s="27" t="s">
        <v>148</v>
      </c>
      <c r="C92" s="27" t="s">
        <v>149</v>
      </c>
      <c r="D92" s="27" t="s">
        <v>1789</v>
      </c>
      <c r="E92" s="28">
        <v>1898</v>
      </c>
      <c r="F92" s="28">
        <v>1945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1898</v>
      </c>
      <c r="L92" s="28">
        <v>1945</v>
      </c>
      <c r="M92" s="28">
        <f>IF(OR(K92="",L92=""),"",L92-K92)</f>
        <v/>
      </c>
    </row>
    <row r="93" s="22" collapsed="false" customFormat="true" customHeight="true" hidden="false" ht="25.5" outlineLevel="0">
      <c r="A93" s="26" t="s">
        <v>6</v>
      </c>
      <c r="B93" s="27" t="s">
        <v>398</v>
      </c>
      <c r="C93" s="27" t="s">
        <v>399</v>
      </c>
      <c r="D93" s="27" t="s">
        <v>1789</v>
      </c>
      <c r="E93" s="28">
        <v>1898</v>
      </c>
      <c r="F93" s="28">
        <v>1938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1898</v>
      </c>
      <c r="L93" s="28">
        <v>1938</v>
      </c>
      <c r="M93" s="28">
        <f>IF(OR(K93="",L93=""),"",L93-K93)</f>
        <v/>
      </c>
    </row>
    <row r="94" s="22" collapsed="false" customFormat="true" customHeight="true" hidden="false" ht="25.5" outlineLevel="0">
      <c r="A94" s="26" t="s">
        <v>14</v>
      </c>
      <c r="B94" s="27" t="s">
        <v>957</v>
      </c>
      <c r="C94" s="27" t="s">
        <v>958</v>
      </c>
      <c r="D94" s="27" t="s">
        <v>1789</v>
      </c>
      <c r="E94" s="28">
        <v>1920</v>
      </c>
      <c r="F94" s="28">
        <v>1940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1920</v>
      </c>
      <c r="L94" s="28">
        <v>1940</v>
      </c>
      <c r="M94" s="28">
        <f>IF(OR(K94="",L94=""),"",L94-K94)</f>
        <v/>
      </c>
    </row>
    <row r="95" s="22" collapsed="false" customFormat="true" customHeight="true" hidden="false" ht="25.5" outlineLevel="0">
      <c r="A95" s="26" t="s">
        <v>6</v>
      </c>
      <c r="B95" s="27" t="s">
        <v>142</v>
      </c>
      <c r="C95" s="27" t="s">
        <v>143</v>
      </c>
      <c r="D95" s="27" t="s">
        <v>1789</v>
      </c>
      <c r="E95" s="28">
        <v>1899</v>
      </c>
      <c r="F95" s="28">
        <v>1889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1889</v>
      </c>
      <c r="L95" s="28">
        <v>1889</v>
      </c>
      <c r="M95" s="28">
        <f>IF(OR(K95="",L95=""),"",L95-K95)</f>
        <v/>
      </c>
    </row>
    <row r="96" s="22" collapsed="false" customFormat="true" customHeight="true" hidden="false" ht="25.5" outlineLevel="0">
      <c r="A96" s="26" t="s">
        <v>12</v>
      </c>
      <c r="B96" s="27" t="s">
        <v>882</v>
      </c>
      <c r="C96" s="27" t="s">
        <v>883</v>
      </c>
      <c r="D96" s="27" t="s">
        <v>1789</v>
      </c>
      <c r="E96" s="28">
        <v>1899</v>
      </c>
      <c r="F96" s="28">
        <v>1959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1889</v>
      </c>
      <c r="L96" s="28">
        <v>1959</v>
      </c>
      <c r="M96" s="28">
        <f>IF(OR(K96="",L96=""),"",L96-K96)</f>
        <v/>
      </c>
    </row>
    <row r="97" s="22" collapsed="false" customFormat="true" customHeight="true" hidden="false" ht="25.5" outlineLevel="0">
      <c r="A97" s="26" t="s">
        <v>6</v>
      </c>
      <c r="B97" s="27" t="s">
        <v>1311</v>
      </c>
      <c r="C97" s="27" t="s">
        <v>1312</v>
      </c>
      <c r="D97" s="27" t="s">
        <v>1789</v>
      </c>
      <c r="E97" s="28">
        <v>1899</v>
      </c>
      <c r="F97" s="28">
        <v>1969</v>
      </c>
      <c r="G97" s="28">
        <f>IF(OR(E97="",F97=""),"",F97-E97)</f>
        <v/>
      </c>
      <c r="H97" s="28"/>
      <c r="I97" s="28"/>
      <c r="J97" s="28">
        <f>IF(OR(H97="",I97=""),"",I97-H97)</f>
        <v/>
      </c>
      <c r="K97" s="28">
        <v>1895</v>
      </c>
      <c r="L97" s="28">
        <v>1895</v>
      </c>
      <c r="M97" s="28">
        <f>IF(OR(K97="",L97=""),"",L97-K97)</f>
        <v/>
      </c>
    </row>
    <row r="98" s="22" collapsed="false" customFormat="true" customHeight="true" hidden="false" ht="25.5" outlineLevel="0">
      <c r="A98" s="26" t="s">
        <v>6</v>
      </c>
      <c r="B98" s="27" t="s">
        <v>437</v>
      </c>
      <c r="C98" s="27" t="s">
        <v>438</v>
      </c>
      <c r="D98" s="27" t="s">
        <v>1789</v>
      </c>
      <c r="E98" s="28">
        <v>1899</v>
      </c>
      <c r="F98" s="28">
        <v>1929</v>
      </c>
      <c r="G98" s="28">
        <f>IF(OR(E98="",F98=""),"",F98-E98)</f>
        <v/>
      </c>
      <c r="H98" s="28"/>
      <c r="I98" s="28"/>
      <c r="J98" s="28">
        <f>IF(OR(H98="",I98=""),"",I98-H98)</f>
        <v/>
      </c>
      <c r="K98" s="28">
        <v>1899</v>
      </c>
      <c r="L98" s="28">
        <v>1929</v>
      </c>
      <c r="M98" s="28">
        <f>IF(OR(K98="",L98=""),"",L98-K98)</f>
        <v/>
      </c>
    </row>
    <row r="99" s="22" collapsed="false" customFormat="true" customHeight="true" hidden="false" ht="25.5" outlineLevel="0">
      <c r="A99" s="26" t="s">
        <v>6</v>
      </c>
      <c r="B99" s="27" t="s">
        <v>645</v>
      </c>
      <c r="C99" s="27" t="s">
        <v>646</v>
      </c>
      <c r="D99" s="27" t="s">
        <v>1789</v>
      </c>
      <c r="E99" s="28">
        <v>1899</v>
      </c>
      <c r="F99" s="28">
        <v>1929</v>
      </c>
      <c r="G99" s="28">
        <f>IF(OR(E99="",F99=""),"",F99-E99)</f>
        <v/>
      </c>
      <c r="H99" s="28"/>
      <c r="I99" s="28"/>
      <c r="J99" s="28">
        <f>IF(OR(H99="",I99=""),"",I99-H99)</f>
        <v/>
      </c>
      <c r="K99" s="28">
        <v>1899</v>
      </c>
      <c r="L99" s="28">
        <v>1929</v>
      </c>
      <c r="M99" s="28">
        <f>IF(OR(K99="",L99=""),"",L99-K99)</f>
        <v/>
      </c>
    </row>
    <row r="100" s="22" collapsed="false" customFormat="true" customHeight="true" hidden="false" ht="25.5" outlineLevel="0">
      <c r="A100" s="26" t="s">
        <v>6</v>
      </c>
      <c r="B100" s="27" t="s">
        <v>1341</v>
      </c>
      <c r="C100" s="27" t="s">
        <v>1342</v>
      </c>
      <c r="D100" s="27" t="s">
        <v>1789</v>
      </c>
      <c r="E100" s="28">
        <v>1899</v>
      </c>
      <c r="F100" s="28">
        <v>1929</v>
      </c>
      <c r="G100" s="28">
        <f>IF(OR(E100="",F100=""),"",F100-E100)</f>
        <v/>
      </c>
      <c r="H100" s="28"/>
      <c r="I100" s="28"/>
      <c r="J100" s="28">
        <f>IF(OR(H100="",I100=""),"",I100-H100)</f>
        <v/>
      </c>
      <c r="K100" s="28">
        <v>1899</v>
      </c>
      <c r="L100" s="28">
        <v>1929</v>
      </c>
      <c r="M100" s="28">
        <f>IF(OR(K100="",L100=""),"",L100-K100)</f>
        <v/>
      </c>
    </row>
    <row r="101" s="22" collapsed="false" customFormat="true" customHeight="true" hidden="false" ht="25.5" outlineLevel="0">
      <c r="A101" s="26" t="s">
        <v>12</v>
      </c>
      <c r="B101" s="27" t="s">
        <v>164</v>
      </c>
      <c r="C101" s="27" t="s">
        <v>165</v>
      </c>
      <c r="D101" s="27" t="s">
        <v>1789</v>
      </c>
      <c r="E101" s="28">
        <v>1899</v>
      </c>
      <c r="F101" s="28">
        <v>1929</v>
      </c>
      <c r="G101" s="28">
        <f>IF(OR(E101="",F101=""),"",F101-E101)</f>
        <v/>
      </c>
      <c r="H101" s="28"/>
      <c r="I101" s="28"/>
      <c r="J101" s="28">
        <f>IF(OR(H101="",I101=""),"",I101-H101)</f>
        <v/>
      </c>
      <c r="K101" s="28">
        <v>1899</v>
      </c>
      <c r="L101" s="28">
        <v>1929</v>
      </c>
      <c r="M101" s="28">
        <f>IF(OR(K101="",L101=""),"",L101-K101)</f>
        <v/>
      </c>
    </row>
    <row r="102" s="22" collapsed="false" customFormat="true" customHeight="true" hidden="false" ht="25.5" outlineLevel="0">
      <c r="A102" s="26" t="s">
        <v>10</v>
      </c>
      <c r="B102" s="27" t="s">
        <v>1240</v>
      </c>
      <c r="C102" s="27" t="s">
        <v>1241</v>
      </c>
      <c r="D102" s="27" t="s">
        <v>1789</v>
      </c>
      <c r="E102" s="28">
        <v>1905</v>
      </c>
      <c r="F102" s="28">
        <v>1910</v>
      </c>
      <c r="G102" s="28">
        <f>IF(OR(E102="",F102=""),"",F102-E102)</f>
        <v/>
      </c>
      <c r="H102" s="28"/>
      <c r="I102" s="28"/>
      <c r="J102" s="28">
        <f>IF(OR(H102="",I102=""),"",I102-H102)</f>
        <v/>
      </c>
      <c r="K102" s="28">
        <v>1902</v>
      </c>
      <c r="L102" s="28">
        <v>1902</v>
      </c>
      <c r="M102" s="28">
        <f>IF(OR(K102="",L102=""),"",L102-K102)</f>
        <v/>
      </c>
    </row>
    <row r="103" s="22" collapsed="false" customFormat="true" customHeight="true" hidden="false" ht="25.5" outlineLevel="0">
      <c r="A103" s="26" t="s">
        <v>8</v>
      </c>
      <c r="B103" s="27" t="s">
        <v>1752</v>
      </c>
      <c r="C103" s="27" t="s">
        <v>1753</v>
      </c>
      <c r="D103" s="27" t="s">
        <v>1789</v>
      </c>
      <c r="E103" s="28">
        <v>1905</v>
      </c>
      <c r="F103" s="28">
        <v>1925</v>
      </c>
      <c r="G103" s="28">
        <f>IF(OR(E103="",F103=""),"",F103-E103)</f>
        <v/>
      </c>
      <c r="H103" s="28"/>
      <c r="I103" s="28"/>
      <c r="J103" s="28">
        <f>IF(OR(H103="",I103=""),"",I103-H103)</f>
        <v/>
      </c>
      <c r="K103" s="28">
        <v>1905</v>
      </c>
      <c r="L103" s="28">
        <v>1905</v>
      </c>
      <c r="M103" s="28">
        <f>IF(OR(K103="",L103=""),"",L103-K103)</f>
        <v/>
      </c>
    </row>
    <row r="104" s="22" collapsed="false" customFormat="true" customHeight="true" hidden="false" ht="25.5" outlineLevel="0">
      <c r="A104" s="26" t="s">
        <v>18</v>
      </c>
      <c r="B104" s="27" t="s">
        <v>1727</v>
      </c>
      <c r="C104" s="27" t="s">
        <v>1728</v>
      </c>
      <c r="D104" s="27" t="s">
        <v>1789</v>
      </c>
      <c r="E104" s="28">
        <v>2020</v>
      </c>
      <c r="F104" s="28">
        <v>2020</v>
      </c>
      <c r="G104" s="28">
        <f>IF(OR(E104="",F104=""),"",F104-E104)</f>
        <v/>
      </c>
      <c r="H104" s="28"/>
      <c r="I104" s="28"/>
      <c r="J104" s="28">
        <f>IF(OR(H104="",I104=""),"",I104-H104)</f>
        <v/>
      </c>
      <c r="K104" s="28">
        <v>1810</v>
      </c>
      <c r="L104" s="28">
        <v>2010</v>
      </c>
      <c r="M104" s="28">
        <f>IF(OR(K104="",L104=""),"",L104-K104)</f>
        <v/>
      </c>
    </row>
    <row r="105" s="22" collapsed="false" customFormat="true" customHeight="true" hidden="false" ht="25.5" outlineLevel="0">
      <c r="A105" s="26" t="s">
        <v>12</v>
      </c>
      <c r="B105" s="27" t="s">
        <v>953</v>
      </c>
      <c r="C105" s="27" t="s">
        <v>954</v>
      </c>
      <c r="D105" s="27" t="s">
        <v>1789</v>
      </c>
      <c r="E105" s="28">
        <v>1917</v>
      </c>
      <c r="F105" s="28">
        <v>1937</v>
      </c>
      <c r="G105" s="28">
        <f>IF(OR(E105="",F105=""),"",F105-E105)</f>
        <v/>
      </c>
      <c r="H105" s="28"/>
      <c r="I105" s="28"/>
      <c r="J105" s="28">
        <f>IF(OR(H105="",I105=""),"",I105-H105)</f>
        <v/>
      </c>
      <c r="K105" s="28">
        <v>1872</v>
      </c>
      <c r="L105" s="28">
        <v>1907</v>
      </c>
      <c r="M105" s="28">
        <f>IF(OR(K105="",L105=""),"",L105-K105)</f>
        <v/>
      </c>
    </row>
    <row r="106" s="22" collapsed="false" customFormat="true" customHeight="true" hidden="false" ht="25.5" outlineLevel="0">
      <c r="A106" s="26" t="s">
        <v>6</v>
      </c>
      <c r="B106" s="27" t="s">
        <v>246</v>
      </c>
      <c r="C106" s="27" t="s">
        <v>247</v>
      </c>
      <c r="D106" s="27" t="s">
        <v>1789</v>
      </c>
      <c r="E106" s="28">
        <v>1925</v>
      </c>
      <c r="F106" s="28">
        <v>1955</v>
      </c>
      <c r="G106" s="28">
        <f>IF(OR(E106="",F106=""),"",F106-E106)</f>
        <v/>
      </c>
      <c r="H106" s="28"/>
      <c r="I106" s="28"/>
      <c r="J106" s="28">
        <f>IF(OR(H106="",I106=""),"",I106-H106)</f>
        <v/>
      </c>
      <c r="K106" s="28">
        <v>1885</v>
      </c>
      <c r="L106" s="28">
        <v>1925</v>
      </c>
      <c r="M106" s="28">
        <f>IF(OR(K106="",L106=""),"",L106-K106)</f>
        <v/>
      </c>
    </row>
    <row r="107" s="22" collapsed="false" customFormat="true" customHeight="true" hidden="false" ht="25.5" outlineLevel="0">
      <c r="A107" s="26" t="s">
        <v>10</v>
      </c>
      <c r="B107" s="27" t="s">
        <v>744</v>
      </c>
      <c r="C107" s="27" t="s">
        <v>746</v>
      </c>
      <c r="D107" s="27" t="s">
        <v>1789</v>
      </c>
      <c r="E107" s="28">
        <v>1929</v>
      </c>
      <c r="F107" s="28">
        <v>1929</v>
      </c>
      <c r="G107" s="28">
        <f>IF(OR(E107="",F107=""),"",F107-E107)</f>
        <v/>
      </c>
      <c r="H107" s="28"/>
      <c r="I107" s="28"/>
      <c r="J107" s="28">
        <f>IF(OR(H107="",I107=""),"",I107-H107)</f>
        <v/>
      </c>
      <c r="K107" s="28">
        <v>1864</v>
      </c>
      <c r="L107" s="28">
        <v>1919</v>
      </c>
      <c r="M107" s="28">
        <f>IF(OR(K107="",L107=""),"",L107-K107)</f>
        <v/>
      </c>
    </row>
    <row r="108" s="22" collapsed="false" customFormat="true" customHeight="true" hidden="false" ht="25.5" outlineLevel="0">
      <c r="A108" s="26" t="s">
        <v>6</v>
      </c>
      <c r="B108" s="27" t="s">
        <v>1517</v>
      </c>
      <c r="C108" s="27" t="s">
        <v>1518</v>
      </c>
      <c r="D108" s="27" t="s">
        <v>1789</v>
      </c>
      <c r="E108" s="28">
        <v>1935</v>
      </c>
      <c r="F108" s="28">
        <v>1935</v>
      </c>
      <c r="G108" s="28">
        <f>IF(OR(E108="",F108=""),"",F108-E108)</f>
        <v/>
      </c>
      <c r="H108" s="28"/>
      <c r="I108" s="28"/>
      <c r="J108" s="28">
        <f>IF(OR(H108="",I108=""),"",I108-H108)</f>
        <v/>
      </c>
      <c r="K108" s="28">
        <v>1913</v>
      </c>
      <c r="L108" s="28">
        <v>1933</v>
      </c>
      <c r="M108" s="28">
        <f>IF(OR(K108="",L108=""),"",L108-K108)</f>
        <v/>
      </c>
    </row>
    <row r="109" s="22" collapsed="false" customFormat="true" customHeight="true" hidden="false" ht="25.5" outlineLevel="0">
      <c r="A109" s="26" t="s">
        <v>14</v>
      </c>
      <c r="B109" s="27" t="s">
        <v>1343</v>
      </c>
      <c r="C109" s="27" t="s">
        <v>1344</v>
      </c>
      <c r="D109" s="27" t="s">
        <v>1789</v>
      </c>
      <c r="E109" s="28">
        <v>1958</v>
      </c>
      <c r="F109" s="28">
        <v>1958</v>
      </c>
      <c r="G109" s="28">
        <f>IF(OR(E109="",F109=""),"",F109-E109)</f>
        <v/>
      </c>
      <c r="H109" s="28"/>
      <c r="I109" s="28"/>
      <c r="J109" s="28">
        <f>IF(OR(H109="",I109=""),"",I109-H109)</f>
        <v/>
      </c>
      <c r="K109" s="28">
        <v>1927</v>
      </c>
      <c r="L109" s="28">
        <v>1937</v>
      </c>
      <c r="M109" s="28">
        <f>IF(OR(K109="",L109=""),"",L109-K109)</f>
        <v/>
      </c>
    </row>
    <row r="110" s="22" collapsed="false" customFormat="true" customHeight="true" hidden="false" ht="25.5" outlineLevel="0">
      <c r="A110" s="26" t="s">
        <v>6</v>
      </c>
      <c r="B110" s="27" t="s">
        <v>248</v>
      </c>
      <c r="C110" s="27" t="s">
        <v>249</v>
      </c>
      <c r="D110" s="27" t="s">
        <v>1789</v>
      </c>
      <c r="E110" s="28">
        <v>1938</v>
      </c>
      <c r="F110" s="28">
        <v>1948</v>
      </c>
      <c r="G110" s="28">
        <f>IF(OR(E110="",F110=""),"",F110-E110)</f>
        <v/>
      </c>
      <c r="H110" s="28"/>
      <c r="I110" s="28"/>
      <c r="J110" s="28">
        <f>IF(OR(H110="",I110=""),"",I110-H110)</f>
        <v/>
      </c>
      <c r="K110" s="28">
        <v>1928</v>
      </c>
      <c r="L110" s="28">
        <v>1948</v>
      </c>
      <c r="M110" s="28">
        <f>IF(OR(K110="",L110=""),"",L110-K110)</f>
        <v/>
      </c>
    </row>
    <row r="111" s="22" collapsed="false" customFormat="true" customHeight="true" hidden="false" ht="25.5" outlineLevel="0">
      <c r="A111" s="26" t="s">
        <v>6</v>
      </c>
      <c r="B111" s="27" t="s">
        <v>900</v>
      </c>
      <c r="C111" s="27" t="s">
        <v>901</v>
      </c>
      <c r="D111" s="27" t="s">
        <v>1789</v>
      </c>
      <c r="E111" s="28">
        <v>1944</v>
      </c>
      <c r="F111" s="28">
        <v>1889</v>
      </c>
      <c r="G111" s="28">
        <f>IF(OR(E111="",F111=""),"",F111-E111)</f>
        <v/>
      </c>
      <c r="H111" s="28"/>
      <c r="I111" s="28"/>
      <c r="J111" s="28">
        <f>IF(OR(H111="",I111=""),"",I111-H111)</f>
        <v/>
      </c>
      <c r="K111" s="28">
        <v>1784</v>
      </c>
      <c r="L111" s="28">
        <v>1879</v>
      </c>
      <c r="M111" s="28">
        <f>IF(OR(K111="",L111=""),"",L111-K111)</f>
        <v/>
      </c>
    </row>
    <row r="112" s="22" collapsed="false" customFormat="true" customHeight="true" hidden="false" ht="25.5" outlineLevel="0">
      <c r="A112" s="26" t="s">
        <v>6</v>
      </c>
      <c r="B112" s="27" t="s">
        <v>873</v>
      </c>
      <c r="C112" s="27" t="s">
        <v>874</v>
      </c>
      <c r="D112" s="27" t="s">
        <v>1789</v>
      </c>
      <c r="E112" s="28">
        <v>1945</v>
      </c>
      <c r="F112" s="28">
        <v>1995</v>
      </c>
      <c r="G112" s="28">
        <f>IF(OR(E112="",F112=""),"",F112-E112)</f>
        <v/>
      </c>
      <c r="H112" s="28"/>
      <c r="I112" s="28"/>
      <c r="J112" s="28">
        <f>IF(OR(H112="",I112=""),"",I112-H112)</f>
        <v/>
      </c>
      <c r="K112" s="28">
        <v>1895</v>
      </c>
      <c r="L112" s="28">
        <v>1975</v>
      </c>
      <c r="M112" s="28">
        <f>IF(OR(K112="",L112=""),"",L112-K112)</f>
        <v/>
      </c>
    </row>
    <row r="113" s="22" collapsed="false" customFormat="true" customHeight="true" hidden="false" ht="25.5" outlineLevel="0">
      <c r="A113" s="26" t="s">
        <v>10</v>
      </c>
      <c r="B113" s="27" t="s">
        <v>1379</v>
      </c>
      <c r="C113" s="27" t="s">
        <v>1380</v>
      </c>
      <c r="D113" s="27" t="s">
        <v>1789</v>
      </c>
      <c r="E113" s="28">
        <v>1945</v>
      </c>
      <c r="F113" s="28">
        <v>1945</v>
      </c>
      <c r="G113" s="28">
        <f>IF(OR(E113="",F113=""),"",F113-E113)</f>
        <v/>
      </c>
      <c r="H113" s="28"/>
      <c r="I113" s="28"/>
      <c r="J113" s="28">
        <f>IF(OR(H113="",I113=""),"",I113-H113)</f>
        <v/>
      </c>
      <c r="K113" s="28">
        <v>1895</v>
      </c>
      <c r="L113" s="28">
        <v>1935</v>
      </c>
      <c r="M113" s="28">
        <f>IF(OR(K113="",L113=""),"",L113-K113)</f>
        <v/>
      </c>
    </row>
    <row r="114" s="22" collapsed="false" customFormat="true" customHeight="true" hidden="false" ht="25.5" outlineLevel="0">
      <c r="A114" s="26" t="s">
        <v>12</v>
      </c>
      <c r="B114" s="27" t="s">
        <v>188</v>
      </c>
      <c r="C114" s="27" t="s">
        <v>189</v>
      </c>
      <c r="D114" s="27" t="s">
        <v>1789</v>
      </c>
      <c r="E114" s="28">
        <v>1947</v>
      </c>
      <c r="F114" s="28">
        <v>1967</v>
      </c>
      <c r="G114" s="28">
        <f>IF(OR(E114="",F114=""),"",F114-E114)</f>
        <v/>
      </c>
      <c r="H114" s="28"/>
      <c r="I114" s="28"/>
      <c r="J114" s="28">
        <f>IF(OR(H114="",I114=""),"",I114-H114)</f>
        <v/>
      </c>
      <c r="K114" s="28">
        <v>1917</v>
      </c>
      <c r="L114" s="28">
        <v>1937</v>
      </c>
      <c r="M114" s="28">
        <f>IF(OR(K114="",L114=""),"",L114-K114)</f>
        <v/>
      </c>
    </row>
    <row r="115" s="22" collapsed="false" customFormat="true" customHeight="true" hidden="false" ht="25.5" outlineLevel="0">
      <c r="A115" s="26" t="s">
        <v>14</v>
      </c>
      <c r="B115" s="27" t="s">
        <v>848</v>
      </c>
      <c r="C115" s="27" t="s">
        <v>849</v>
      </c>
      <c r="D115" s="27" t="s">
        <v>1789</v>
      </c>
      <c r="E115" s="28">
        <v>1969</v>
      </c>
      <c r="F115" s="28">
        <v>1989</v>
      </c>
      <c r="G115" s="28">
        <f>IF(OR(E115="",F115=""),"",F115-E115)</f>
        <v/>
      </c>
      <c r="H115" s="28"/>
      <c r="I115" s="28"/>
      <c r="J115" s="28">
        <f>IF(OR(H115="",I115=""),"",I115-H115)</f>
        <v/>
      </c>
      <c r="K115" s="28">
        <v>1989</v>
      </c>
      <c r="L115" s="28">
        <v>1989</v>
      </c>
      <c r="M115" s="28">
        <f>IF(OR(K115="",L115=""),"",L115-K115)</f>
        <v/>
      </c>
    </row>
    <row r="116" s="22" collapsed="false" customFormat="true" customHeight="true" hidden="false" ht="25.5" outlineLevel="0">
      <c r="A116" s="26" t="s">
        <v>12</v>
      </c>
      <c r="B116" s="27" t="s">
        <v>605</v>
      </c>
      <c r="C116" s="27" t="s">
        <v>606</v>
      </c>
      <c r="D116" s="27" t="s">
        <v>1789</v>
      </c>
      <c r="E116" s="28">
        <v>1948</v>
      </c>
      <c r="F116" s="28">
        <v>1948</v>
      </c>
      <c r="G116" s="28">
        <f>IF(OR(E116="",F116=""),"",F116-E116)</f>
        <v/>
      </c>
      <c r="H116" s="28"/>
      <c r="I116" s="28"/>
      <c r="J116" s="28">
        <f>IF(OR(H116="",I116=""),"",I116-H116)</f>
        <v/>
      </c>
      <c r="K116" s="28">
        <v>1919</v>
      </c>
      <c r="L116" s="28">
        <v>1929</v>
      </c>
      <c r="M116" s="28">
        <f>IF(OR(K116="",L116=""),"",L116-K116)</f>
        <v/>
      </c>
    </row>
    <row r="117" s="22" collapsed="false" customFormat="true" customHeight="true" hidden="false" ht="25.5" outlineLevel="0">
      <c r="A117" s="26" t="s">
        <v>12</v>
      </c>
      <c r="B117" s="27" t="s">
        <v>765</v>
      </c>
      <c r="C117" s="27" t="s">
        <v>766</v>
      </c>
      <c r="D117" s="27" t="s">
        <v>1789</v>
      </c>
      <c r="E117" s="28">
        <v>1948</v>
      </c>
      <c r="F117" s="28">
        <v>1998</v>
      </c>
      <c r="G117" s="28">
        <f>IF(OR(E117="",F117=""),"",F117-E117)</f>
        <v/>
      </c>
      <c r="H117" s="28"/>
      <c r="I117" s="28"/>
      <c r="J117" s="28">
        <f>IF(OR(H117="",I117=""),"",I117-H117)</f>
        <v/>
      </c>
      <c r="K117" s="28">
        <v>1998</v>
      </c>
      <c r="L117" s="28">
        <v>1998</v>
      </c>
      <c r="M117" s="28">
        <f>IF(OR(K117="",L117=""),"",L117-K117)</f>
        <v/>
      </c>
    </row>
    <row r="118" s="22" collapsed="false" customFormat="true" customHeight="true" hidden="false" ht="25.5" outlineLevel="0">
      <c r="A118" s="26" t="s">
        <v>12</v>
      </c>
      <c r="B118" s="27" t="s">
        <v>192</v>
      </c>
      <c r="C118" s="27" t="s">
        <v>193</v>
      </c>
      <c r="D118" s="27" t="s">
        <v>1789</v>
      </c>
      <c r="E118" s="28">
        <v>1949</v>
      </c>
      <c r="F118" s="28">
        <v>1959</v>
      </c>
      <c r="G118" s="28">
        <f>IF(OR(E118="",F118=""),"",F118-E118)</f>
        <v/>
      </c>
      <c r="H118" s="28"/>
      <c r="I118" s="28"/>
      <c r="J118" s="28">
        <f>IF(OR(H118="",I118=""),"",I118-H118)</f>
        <v/>
      </c>
      <c r="K118" s="28">
        <v>1939</v>
      </c>
      <c r="L118" s="28">
        <v>1939</v>
      </c>
      <c r="M118" s="28">
        <f>IF(OR(K118="",L118=""),"",L118-K118)</f>
        <v/>
      </c>
    </row>
    <row r="119" s="22" collapsed="false" customFormat="true" customHeight="true" hidden="false" ht="25.5" outlineLevel="0">
      <c r="A119" s="26" t="s">
        <v>10</v>
      </c>
      <c r="B119" s="27" t="s">
        <v>1769</v>
      </c>
      <c r="C119" s="27" t="s">
        <v>1770</v>
      </c>
      <c r="D119" s="27" t="s">
        <v>1789</v>
      </c>
      <c r="E119" s="28">
        <v>1950</v>
      </c>
      <c r="F119" s="28">
        <v>1990</v>
      </c>
      <c r="G119" s="28">
        <f>IF(OR(E119="",F119=""),"",F119-E119)</f>
        <v/>
      </c>
      <c r="H119" s="28"/>
      <c r="I119" s="28"/>
      <c r="J119" s="28">
        <f>IF(OR(H119="",I119=""),"",I119-H119)</f>
        <v/>
      </c>
      <c r="K119" s="28">
        <v>1920</v>
      </c>
      <c r="L119" s="28">
        <v>1920</v>
      </c>
      <c r="M119" s="28">
        <f>IF(OR(K119="",L119=""),"",L119-K119)</f>
        <v/>
      </c>
    </row>
    <row r="120" s="22" collapsed="false" customFormat="true" customHeight="true" hidden="false" ht="25.5" outlineLevel="0">
      <c r="A120" s="26" t="s">
        <v>8</v>
      </c>
      <c r="B120" s="27" t="s">
        <v>1763</v>
      </c>
      <c r="C120" s="27" t="s">
        <v>1764</v>
      </c>
      <c r="D120" s="27" t="s">
        <v>1789</v>
      </c>
      <c r="E120" s="28">
        <v>1965</v>
      </c>
      <c r="F120" s="28">
        <v>1965</v>
      </c>
      <c r="G120" s="28">
        <f>IF(OR(E120="",F120=""),"",F120-E120)</f>
        <v/>
      </c>
      <c r="H120" s="28"/>
      <c r="I120" s="28"/>
      <c r="J120" s="28">
        <f>IF(OR(H120="",I120=""),"",I120-H120)</f>
        <v/>
      </c>
      <c r="K120" s="28">
        <v>1935</v>
      </c>
      <c r="L120" s="28">
        <v>1955</v>
      </c>
      <c r="M120" s="28">
        <f>IF(OR(K120="",L120=""),"",L120-K120)</f>
        <v/>
      </c>
    </row>
    <row r="121" s="22" collapsed="false" customFormat="true" customHeight="true" hidden="false" ht="25.5" outlineLevel="0">
      <c r="A121" s="26" t="s">
        <v>12</v>
      </c>
      <c r="B121" s="27" t="s">
        <v>815</v>
      </c>
      <c r="C121" s="27" t="s">
        <v>816</v>
      </c>
      <c r="D121" s="27" t="s">
        <v>1789</v>
      </c>
      <c r="E121" s="28">
        <v>1974</v>
      </c>
      <c r="F121" s="28">
        <v>1974</v>
      </c>
      <c r="G121" s="28">
        <f>IF(OR(E121="",F121=""),"",F121-E121)</f>
        <v/>
      </c>
      <c r="H121" s="28"/>
      <c r="I121" s="28"/>
      <c r="J121" s="28">
        <f>IF(OR(H121="",I121=""),"",I121-H121)</f>
        <v/>
      </c>
      <c r="K121" s="28">
        <v>1998</v>
      </c>
      <c r="L121" s="28">
        <v>1959</v>
      </c>
      <c r="M121" s="28">
        <f>IF(OR(K121="",L121=""),"",L121-K121)</f>
        <v/>
      </c>
    </row>
    <row r="122" s="22" collapsed="false" customFormat="true" customHeight="true" hidden="false" ht="25.5" outlineLevel="0">
      <c r="A122" s="26" t="s">
        <v>12</v>
      </c>
      <c r="B122" s="27" t="s">
        <v>1542</v>
      </c>
      <c r="C122" s="27" t="s">
        <v>1543</v>
      </c>
      <c r="D122" s="27" t="s">
        <v>1789</v>
      </c>
      <c r="E122" s="28">
        <v>1985</v>
      </c>
      <c r="F122" s="28">
        <v>1999</v>
      </c>
      <c r="G122" s="28">
        <f>IF(OR(E122="",F122=""),"",F122-E122)</f>
        <v/>
      </c>
      <c r="H122" s="28"/>
      <c r="I122" s="28"/>
      <c r="J122" s="28">
        <f>IF(OR(H122="",I122=""),"",I122-H122)</f>
        <v/>
      </c>
      <c r="K122" s="28">
        <v>1999</v>
      </c>
      <c r="L122" s="28">
        <v>1999</v>
      </c>
      <c r="M122" s="28">
        <f>IF(OR(K122="",L122=""),"",L122-K122)</f>
        <v/>
      </c>
    </row>
    <row r="123" s="22" collapsed="false" customFormat="true" customHeight="true" hidden="false" ht="25.5" outlineLevel="0">
      <c r="A123" s="26" t="s">
        <v>6</v>
      </c>
      <c r="B123" s="27" t="s">
        <v>1013</v>
      </c>
      <c r="C123" s="27" t="s">
        <v>1014</v>
      </c>
      <c r="D123" s="27" t="s">
        <v>1789</v>
      </c>
      <c r="E123" s="28">
        <v>1995</v>
      </c>
      <c r="F123" s="28">
        <v>1995</v>
      </c>
      <c r="G123" s="28">
        <f>IF(OR(E123="",F123=""),"",F123-E123)</f>
        <v/>
      </c>
      <c r="H123" s="28"/>
      <c r="I123" s="28"/>
      <c r="J123" s="28">
        <f>IF(OR(H123="",I123=""),"",I123-H123)</f>
        <v/>
      </c>
      <c r="K123" s="28">
        <v>1875</v>
      </c>
      <c r="L123" s="28">
        <v>1885</v>
      </c>
      <c r="M123" s="28">
        <f>IF(OR(K123="",L123=""),"",L123-K123)</f>
        <v/>
      </c>
    </row>
    <row r="124" s="22" collapsed="false" customFormat="true" customHeight="true" hidden="false" ht="25.5" outlineLevel="0">
      <c r="A124" s="26" t="s">
        <v>12</v>
      </c>
      <c r="B124" s="27" t="s">
        <v>270</v>
      </c>
      <c r="C124" s="27" t="s">
        <v>271</v>
      </c>
      <c r="D124" s="27" t="s">
        <v>1789</v>
      </c>
      <c r="E124" s="28">
        <v>1798</v>
      </c>
      <c r="F124" s="28"/>
      <c r="G124" s="28">
        <f>IF(OR(E124="",F124=""),"",F124-E124)</f>
        <v/>
      </c>
      <c r="H124" s="28"/>
      <c r="I124" s="28"/>
      <c r="J124" s="28">
        <f>IF(OR(H124="",I124=""),"",I124-H124)</f>
        <v/>
      </c>
      <c r="K124" s="28">
        <v>1748</v>
      </c>
      <c r="L124" s="28"/>
      <c r="M124" s="28">
        <f>IF(OR(K124="",L124=""),"",L124-K124)</f>
        <v/>
      </c>
    </row>
    <row r="125" s="22" collapsed="false" customFormat="true" customHeight="true" hidden="false" ht="25.5" outlineLevel="0">
      <c r="A125" s="26" t="s">
        <v>6</v>
      </c>
      <c r="B125" s="27" t="s">
        <v>444</v>
      </c>
      <c r="C125" s="27" t="s">
        <v>447</v>
      </c>
      <c r="D125" s="27" t="s">
        <v>1789</v>
      </c>
      <c r="E125" s="28">
        <v>1999</v>
      </c>
      <c r="F125" s="28">
        <v>1999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1929</v>
      </c>
      <c r="L125" s="28">
        <v>1989</v>
      </c>
      <c r="M125" s="28">
        <f>IF(OR(K125="",L125=""),"",L125-K125)</f>
        <v/>
      </c>
    </row>
    <row r="126" s="22" collapsed="false" customFormat="true" customHeight="true" hidden="false" ht="25.5" outlineLevel="0">
      <c r="A126" s="26" t="s">
        <v>16</v>
      </c>
      <c r="B126" s="27" t="s">
        <v>1526</v>
      </c>
      <c r="C126" s="27" t="s">
        <v>1527</v>
      </c>
      <c r="D126" s="27" t="s">
        <v>1789</v>
      </c>
      <c r="E126" s="28">
        <v>1820</v>
      </c>
      <c r="F126" s="28">
        <v>1840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1880</v>
      </c>
      <c r="L126" s="28">
        <v>1880</v>
      </c>
      <c r="M126" s="28">
        <f>IF(OR(K126="",L126=""),"",L126-K126)</f>
        <v/>
      </c>
    </row>
    <row r="127" s="22" collapsed="false" customFormat="true" customHeight="true" hidden="false" ht="25.5" outlineLevel="0">
      <c r="A127" s="26" t="s">
        <v>10</v>
      </c>
      <c r="B127" s="27" t="s">
        <v>1367</v>
      </c>
      <c r="C127" s="27" t="s">
        <v>1368</v>
      </c>
      <c r="D127" s="27" t="s">
        <v>1789</v>
      </c>
      <c r="E127" s="28">
        <v>1827</v>
      </c>
      <c r="F127" s="28">
        <v>1847</v>
      </c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1827</v>
      </c>
      <c r="L127" s="28">
        <v>1847</v>
      </c>
      <c r="M127" s="28">
        <f>IF(OR(K127="",L127=""),"",L127-K127)</f>
        <v/>
      </c>
    </row>
    <row r="128" s="22" collapsed="false" customFormat="true" customHeight="true" hidden="false" ht="25.5" outlineLevel="0">
      <c r="A128" s="26" t="s">
        <v>10</v>
      </c>
      <c r="B128" s="27" t="s">
        <v>354</v>
      </c>
      <c r="C128" s="27" t="s">
        <v>355</v>
      </c>
      <c r="D128" s="27" t="s">
        <v>1789</v>
      </c>
      <c r="E128" s="28">
        <v>1829</v>
      </c>
      <c r="F128" s="28">
        <v>1885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>
        <v>1829</v>
      </c>
      <c r="L128" s="28">
        <v>1885</v>
      </c>
      <c r="M128" s="28">
        <f>IF(OR(K128="",L128=""),"",L128-K128)</f>
        <v/>
      </c>
    </row>
    <row r="129" s="22" collapsed="false" customFormat="true" customHeight="true" hidden="false" ht="25.5" outlineLevel="0">
      <c r="A129" s="26" t="s">
        <v>10</v>
      </c>
      <c r="B129" s="27" t="s">
        <v>727</v>
      </c>
      <c r="C129" s="27" t="s">
        <v>728</v>
      </c>
      <c r="D129" s="27" t="s">
        <v>1789</v>
      </c>
      <c r="E129" s="28">
        <v>1835</v>
      </c>
      <c r="F129" s="28">
        <v>1885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>
        <v>1835</v>
      </c>
      <c r="L129" s="28">
        <v>1885</v>
      </c>
      <c r="M129" s="28">
        <f>IF(OR(K129="",L129=""),"",L129-K129)</f>
        <v/>
      </c>
    </row>
    <row r="130" s="22" collapsed="false" customFormat="true" customHeight="true" hidden="false" ht="25.5" outlineLevel="0">
      <c r="A130" s="26" t="s">
        <v>10</v>
      </c>
      <c r="B130" s="27" t="s">
        <v>1588</v>
      </c>
      <c r="C130" s="27" t="s">
        <v>1589</v>
      </c>
      <c r="D130" s="27" t="s">
        <v>1789</v>
      </c>
      <c r="E130" s="28">
        <v>1835</v>
      </c>
      <c r="F130" s="28">
        <v>1885</v>
      </c>
      <c r="G130" s="28">
        <f>IF(OR(E130="",F130=""),"",F130-E130)</f>
        <v/>
      </c>
      <c r="H130" s="28"/>
      <c r="I130" s="28"/>
      <c r="J130" s="28">
        <f>IF(OR(H130="",I130=""),"",I130-H130)</f>
        <v/>
      </c>
      <c r="K130" s="28">
        <v>1835</v>
      </c>
      <c r="L130" s="28">
        <v>1885</v>
      </c>
      <c r="M130" s="28">
        <f>IF(OR(K130="",L130=""),"",L130-K130)</f>
        <v/>
      </c>
    </row>
    <row r="131" s="22" collapsed="false" customFormat="true" customHeight="true" hidden="false" ht="25.5" outlineLevel="0">
      <c r="A131" s="26" t="s">
        <v>10</v>
      </c>
      <c r="B131" s="27" t="s">
        <v>1590</v>
      </c>
      <c r="C131" s="27" t="s">
        <v>1591</v>
      </c>
      <c r="D131" s="27" t="s">
        <v>1789</v>
      </c>
      <c r="E131" s="28">
        <v>1835</v>
      </c>
      <c r="F131" s="28">
        <v>1895</v>
      </c>
      <c r="G131" s="28">
        <f>IF(OR(E131="",F131=""),"",F131-E131)</f>
        <v/>
      </c>
      <c r="H131" s="28"/>
      <c r="I131" s="28"/>
      <c r="J131" s="28">
        <f>IF(OR(H131="",I131=""),"",I131-H131)</f>
        <v/>
      </c>
      <c r="K131" s="28">
        <v>1835</v>
      </c>
      <c r="L131" s="28">
        <v>1885</v>
      </c>
      <c r="M131" s="28">
        <f>IF(OR(K131="",L131=""),"",L131-K131)</f>
        <v/>
      </c>
    </row>
    <row r="132" s="22" collapsed="false" customFormat="true" customHeight="true" hidden="false" ht="25.5" outlineLevel="0">
      <c r="A132" s="26" t="s">
        <v>10</v>
      </c>
      <c r="B132" s="27" t="s">
        <v>1592</v>
      </c>
      <c r="C132" s="27" t="s">
        <v>1593</v>
      </c>
      <c r="D132" s="27" t="s">
        <v>1789</v>
      </c>
      <c r="E132" s="28">
        <v>1835</v>
      </c>
      <c r="F132" s="28">
        <v>1885</v>
      </c>
      <c r="G132" s="28">
        <f>IF(OR(E132="",F132=""),"",F132-E132)</f>
        <v/>
      </c>
      <c r="H132" s="28"/>
      <c r="I132" s="28"/>
      <c r="J132" s="28">
        <f>IF(OR(H132="",I132=""),"",I132-H132)</f>
        <v/>
      </c>
      <c r="K132" s="28">
        <v>1835</v>
      </c>
      <c r="L132" s="28">
        <v>1885</v>
      </c>
      <c r="M132" s="28">
        <f>IF(OR(K132="",L132=""),"",L132-K132)</f>
        <v/>
      </c>
    </row>
    <row r="133" s="22" collapsed="false" customFormat="true" customHeight="true" hidden="false" ht="25.5" outlineLevel="0">
      <c r="A133" s="26" t="s">
        <v>6</v>
      </c>
      <c r="B133" s="27" t="s">
        <v>172</v>
      </c>
      <c r="C133" s="27" t="s">
        <v>173</v>
      </c>
      <c r="D133" s="27" t="s">
        <v>1789</v>
      </c>
      <c r="E133" s="28">
        <v>1845</v>
      </c>
      <c r="F133" s="28">
        <v>1895</v>
      </c>
      <c r="G133" s="28">
        <f>IF(OR(E133="",F133=""),"",F133-E133)</f>
        <v/>
      </c>
      <c r="H133" s="28"/>
      <c r="I133" s="28"/>
      <c r="J133" s="28">
        <f>IF(OR(H133="",I133=""),"",I133-H133)</f>
        <v/>
      </c>
      <c r="K133" s="28">
        <v>1845</v>
      </c>
      <c r="L133" s="28">
        <v>1895</v>
      </c>
      <c r="M133" s="28">
        <f>IF(OR(K133="",L133=""),"",L133-K133)</f>
        <v/>
      </c>
    </row>
    <row r="134" s="22" collapsed="false" customFormat="true" customHeight="true" hidden="false" ht="25.5" outlineLevel="0">
      <c r="A134" s="26" t="s">
        <v>10</v>
      </c>
      <c r="B134" s="27" t="s">
        <v>344</v>
      </c>
      <c r="C134" s="27" t="s">
        <v>345</v>
      </c>
      <c r="D134" s="27" t="s">
        <v>1789</v>
      </c>
      <c r="E134" s="28">
        <v>1849</v>
      </c>
      <c r="F134" s="28">
        <v>1861</v>
      </c>
      <c r="G134" s="28">
        <f>IF(OR(E134="",F134=""),"",F134-E134)</f>
        <v/>
      </c>
      <c r="H134" s="28"/>
      <c r="I134" s="28"/>
      <c r="J134" s="28">
        <f>IF(OR(H134="",I134=""),"",I134-H134)</f>
        <v/>
      </c>
      <c r="K134" s="28">
        <v>1847</v>
      </c>
      <c r="L134" s="28">
        <v>1847</v>
      </c>
      <c r="M134" s="28">
        <f>IF(OR(K134="",L134=""),"",L134-K134)</f>
        <v/>
      </c>
    </row>
    <row r="135" s="22" collapsed="false" customFormat="true" customHeight="true" hidden="false" ht="25.5" outlineLevel="0">
      <c r="A135" s="26" t="s">
        <v>10</v>
      </c>
      <c r="B135" s="27" t="s">
        <v>524</v>
      </c>
      <c r="C135" s="27" t="s">
        <v>525</v>
      </c>
      <c r="D135" s="27" t="s">
        <v>1789</v>
      </c>
      <c r="E135" s="28">
        <v>1859</v>
      </c>
      <c r="F135" s="28">
        <v>1869</v>
      </c>
      <c r="G135" s="28">
        <f>IF(OR(E135="",F135=""),"",F135-E135)</f>
        <v/>
      </c>
      <c r="H135" s="28"/>
      <c r="I135" s="28"/>
      <c r="J135" s="28">
        <f>IF(OR(H135="",I135=""),"",I135-H135)</f>
        <v/>
      </c>
      <c r="K135" s="28">
        <v>1848</v>
      </c>
      <c r="L135" s="28">
        <v>1858</v>
      </c>
      <c r="M135" s="28">
        <f>IF(OR(K135="",L135=""),"",L135-K135)</f>
        <v/>
      </c>
    </row>
    <row r="136" s="22" collapsed="false" customFormat="true" customHeight="true" hidden="false" ht="25.5" outlineLevel="0">
      <c r="A136" s="26" t="s">
        <v>18</v>
      </c>
      <c r="B136" s="27" t="s">
        <v>842</v>
      </c>
      <c r="C136" s="27" t="s">
        <v>843</v>
      </c>
      <c r="D136" s="27" t="s">
        <v>1789</v>
      </c>
      <c r="E136" s="28">
        <v>1860</v>
      </c>
      <c r="F136" s="28">
        <v>1880</v>
      </c>
      <c r="G136" s="28">
        <f>IF(OR(E136="",F136=""),"",F136-E136)</f>
        <v/>
      </c>
      <c r="H136" s="28"/>
      <c r="I136" s="28"/>
      <c r="J136" s="28">
        <f>IF(OR(H136="",I136=""),"",I136-H136)</f>
        <v/>
      </c>
      <c r="K136" s="28">
        <v>1920</v>
      </c>
      <c r="L136" s="28">
        <v>1920</v>
      </c>
      <c r="M136" s="28">
        <f>IF(OR(K136="",L136=""),"",L136-K136)</f>
        <v/>
      </c>
    </row>
    <row r="137" s="22" collapsed="false" customFormat="true" customHeight="true" hidden="false" ht="25.5" outlineLevel="0">
      <c r="A137" s="26" t="s">
        <v>12</v>
      </c>
      <c r="B137" s="27" t="s">
        <v>1359</v>
      </c>
      <c r="C137" s="27" t="s">
        <v>1360</v>
      </c>
      <c r="D137" s="27" t="s">
        <v>1789</v>
      </c>
      <c r="E137" s="28">
        <v>1864</v>
      </c>
      <c r="F137" s="28">
        <v>1975</v>
      </c>
      <c r="G137" s="28">
        <f>IF(OR(E137="",F137=""),"",F137-E137)</f>
        <v/>
      </c>
      <c r="H137" s="28"/>
      <c r="I137" s="28"/>
      <c r="J137" s="28">
        <f>IF(OR(H137="",I137=""),"",I137-H137)</f>
        <v/>
      </c>
      <c r="K137" s="28">
        <v>1870</v>
      </c>
      <c r="L137" s="28">
        <v>1977</v>
      </c>
      <c r="M137" s="28">
        <f>IF(OR(K137="",L137=""),"",L137-K137)</f>
        <v/>
      </c>
    </row>
    <row r="138" s="22" collapsed="false" customFormat="true" customHeight="true" hidden="false" ht="25.5" outlineLevel="0">
      <c r="A138" s="26" t="s">
        <v>12</v>
      </c>
      <c r="B138" s="27" t="s">
        <v>168</v>
      </c>
      <c r="C138" s="27" t="s">
        <v>169</v>
      </c>
      <c r="D138" s="27" t="s">
        <v>1789</v>
      </c>
      <c r="E138" s="28">
        <v>1865</v>
      </c>
      <c r="F138" s="28">
        <v>1895</v>
      </c>
      <c r="G138" s="28">
        <f>IF(OR(E138="",F138=""),"",F138-E138)</f>
        <v/>
      </c>
      <c r="H138" s="28"/>
      <c r="I138" s="28"/>
      <c r="J138" s="28">
        <f>IF(OR(H138="",I138=""),"",I138-H138)</f>
        <v/>
      </c>
      <c r="K138" s="28">
        <v>1865</v>
      </c>
      <c r="L138" s="28">
        <v>1895</v>
      </c>
      <c r="M138" s="28">
        <f>IF(OR(K138="",L138=""),"",L138-K138)</f>
        <v/>
      </c>
    </row>
    <row r="139" s="22" collapsed="false" customFormat="true" customHeight="true" hidden="false" ht="25.5" outlineLevel="0">
      <c r="A139" s="26" t="s">
        <v>14</v>
      </c>
      <c r="B139" s="27" t="s">
        <v>786</v>
      </c>
      <c r="C139" s="27" t="s">
        <v>787</v>
      </c>
      <c r="D139" s="27" t="s">
        <v>1789</v>
      </c>
      <c r="E139" s="28">
        <v>2100</v>
      </c>
      <c r="F139" s="28">
        <v>2050</v>
      </c>
      <c r="G139" s="28">
        <f>IF(OR(E139="",F139=""),"",F139-E139)</f>
        <v/>
      </c>
      <c r="H139" s="28"/>
      <c r="I139" s="28"/>
      <c r="J139" s="28">
        <f>IF(OR(H139="",I139=""),"",I139-H139)</f>
        <v/>
      </c>
      <c r="K139" s="28">
        <v>1950</v>
      </c>
      <c r="L139" s="28">
        <v>1990</v>
      </c>
      <c r="M139" s="28">
        <f>IF(OR(K139="",L139=""),"",L139-K139)</f>
        <v/>
      </c>
    </row>
    <row r="140" s="22" collapsed="false" customFormat="true" customHeight="true" hidden="false" ht="25.5" outlineLevel="0">
      <c r="A140" s="26" t="s">
        <v>12</v>
      </c>
      <c r="B140" s="27" t="s">
        <v>470</v>
      </c>
      <c r="C140" s="27" t="s">
        <v>473</v>
      </c>
      <c r="D140" s="27" t="s">
        <v>1789</v>
      </c>
      <c r="E140" s="28">
        <v>1869</v>
      </c>
      <c r="F140" s="28">
        <v>1894</v>
      </c>
      <c r="G140" s="28">
        <f>IF(OR(E140="",F140=""),"",F140-E140)</f>
        <v/>
      </c>
      <c r="H140" s="28"/>
      <c r="I140" s="28"/>
      <c r="J140" s="28">
        <f>IF(OR(H140="",I140=""),"",I140-H140)</f>
        <v/>
      </c>
      <c r="K140" s="28">
        <v>1869</v>
      </c>
      <c r="L140" s="28">
        <v>1894</v>
      </c>
      <c r="M140" s="28">
        <f>IF(OR(K140="",L140=""),"",L140-K140)</f>
        <v/>
      </c>
    </row>
    <row r="141" s="22" collapsed="false" customFormat="true" customHeight="true" hidden="false" ht="25.5" outlineLevel="0">
      <c r="A141" s="26" t="s">
        <v>12</v>
      </c>
      <c r="B141" s="27" t="s">
        <v>929</v>
      </c>
      <c r="C141" s="27" t="s">
        <v>930</v>
      </c>
      <c r="D141" s="27" t="s">
        <v>1789</v>
      </c>
      <c r="E141" s="28">
        <v>1869</v>
      </c>
      <c r="F141" s="28">
        <v>1889</v>
      </c>
      <c r="G141" s="28">
        <f>IF(OR(E141="",F141=""),"",F141-E141)</f>
        <v/>
      </c>
      <c r="H141" s="28"/>
      <c r="I141" s="28"/>
      <c r="J141" s="28">
        <f>IF(OR(H141="",I141=""),"",I141-H141)</f>
        <v/>
      </c>
      <c r="K141" s="28">
        <v>1869</v>
      </c>
      <c r="L141" s="28">
        <v>1889</v>
      </c>
      <c r="M141" s="28">
        <f>IF(OR(K141="",L141=""),"",L141-K141)</f>
        <v/>
      </c>
    </row>
    <row r="142" s="22" collapsed="false" customFormat="true" customHeight="true" hidden="false" ht="25.5" outlineLevel="0">
      <c r="A142" s="26" t="s">
        <v>12</v>
      </c>
      <c r="B142" s="27" t="s">
        <v>1632</v>
      </c>
      <c r="C142" s="27" t="s">
        <v>1633</v>
      </c>
      <c r="D142" s="27" t="s">
        <v>1789</v>
      </c>
      <c r="E142" s="28">
        <v>1874</v>
      </c>
      <c r="F142" s="28">
        <v>1894</v>
      </c>
      <c r="G142" s="28">
        <f>IF(OR(E142="",F142=""),"",F142-E142)</f>
        <v/>
      </c>
      <c r="H142" s="28"/>
      <c r="I142" s="28"/>
      <c r="J142" s="28">
        <f>IF(OR(H142="",I142=""),"",I142-H142)</f>
        <v/>
      </c>
      <c r="K142" s="28">
        <v>1874</v>
      </c>
      <c r="L142" s="28">
        <v>1894</v>
      </c>
      <c r="M142" s="28">
        <f>IF(OR(K142="",L142=""),"",L142-K142)</f>
        <v/>
      </c>
    </row>
    <row r="143" s="22" collapsed="false" customFormat="true" customHeight="true" hidden="false" ht="25.5" outlineLevel="0">
      <c r="A143" s="26" t="s">
        <v>10</v>
      </c>
      <c r="B143" s="27" t="s">
        <v>530</v>
      </c>
      <c r="C143" s="27" t="s">
        <v>531</v>
      </c>
      <c r="D143" s="27" t="s">
        <v>1789</v>
      </c>
      <c r="E143" s="28">
        <v>1878</v>
      </c>
      <c r="F143" s="28">
        <v>1878</v>
      </c>
      <c r="G143" s="28">
        <f>IF(OR(E143="",F143=""),"",F143-E143)</f>
        <v/>
      </c>
      <c r="H143" s="28"/>
      <c r="I143" s="28"/>
      <c r="J143" s="28">
        <f>IF(OR(H143="",I143=""),"",I143-H143)</f>
        <v/>
      </c>
      <c r="K143" s="28">
        <v>1941</v>
      </c>
      <c r="L143" s="28">
        <v>1899</v>
      </c>
      <c r="M143" s="28">
        <f>IF(OR(K143="",L143=""),"",L143-K143)</f>
        <v/>
      </c>
    </row>
    <row r="144" s="22" collapsed="false" customFormat="true" customHeight="true" hidden="false" ht="25.5" outlineLevel="0">
      <c r="A144" s="26" t="s">
        <v>10</v>
      </c>
      <c r="B144" s="27" t="s">
        <v>176</v>
      </c>
      <c r="C144" s="27" t="s">
        <v>177</v>
      </c>
      <c r="D144" s="27" t="s">
        <v>1789</v>
      </c>
      <c r="E144" s="28">
        <v>1879</v>
      </c>
      <c r="F144" s="28">
        <v>1969</v>
      </c>
      <c r="G144" s="28">
        <f>IF(OR(E144="",F144=""),"",F144-E144)</f>
        <v/>
      </c>
      <c r="H144" s="28"/>
      <c r="I144" s="28"/>
      <c r="J144" s="28">
        <f>IF(OR(H144="",I144=""),"",I144-H144)</f>
        <v/>
      </c>
      <c r="K144" s="28">
        <v>1879</v>
      </c>
      <c r="L144" s="28">
        <v>1959</v>
      </c>
      <c r="M144" s="28">
        <f>IF(OR(K144="",L144=""),"",L144-K144)</f>
        <v/>
      </c>
    </row>
    <row r="145" s="22" collapsed="false" customFormat="true" customHeight="true" hidden="false" ht="25.5" outlineLevel="0">
      <c r="A145" s="26" t="s">
        <v>10</v>
      </c>
      <c r="B145" s="27" t="s">
        <v>1387</v>
      </c>
      <c r="C145" s="27" t="s">
        <v>1388</v>
      </c>
      <c r="D145" s="27" t="s">
        <v>1789</v>
      </c>
      <c r="E145" s="28">
        <v>1879</v>
      </c>
      <c r="F145" s="28">
        <v>1897</v>
      </c>
      <c r="G145" s="28">
        <f>IF(OR(E145="",F145=""),"",F145-E145)</f>
        <v/>
      </c>
      <c r="H145" s="28"/>
      <c r="I145" s="28"/>
      <c r="J145" s="28">
        <f>IF(OR(H145="",I145=""),"",I145-H145)</f>
        <v/>
      </c>
      <c r="K145" s="28">
        <v>1879</v>
      </c>
      <c r="L145" s="28">
        <v>1897</v>
      </c>
      <c r="M145" s="28">
        <f>IF(OR(K145="",L145=""),"",L145-K145)</f>
        <v/>
      </c>
    </row>
    <row r="146" s="22" collapsed="false" customFormat="true" customHeight="true" hidden="false" ht="25.5" outlineLevel="0">
      <c r="A146" s="26" t="s">
        <v>16</v>
      </c>
      <c r="B146" s="27" t="s">
        <v>759</v>
      </c>
      <c r="C146" s="27" t="s">
        <v>760</v>
      </c>
      <c r="D146" s="27" t="s">
        <v>1789</v>
      </c>
      <c r="E146" s="28">
        <v>1880</v>
      </c>
      <c r="F146" s="28">
        <v>1945</v>
      </c>
      <c r="G146" s="28">
        <f>IF(OR(E146="",F146=""),"",F146-E146)</f>
        <v/>
      </c>
      <c r="H146" s="28"/>
      <c r="I146" s="28"/>
      <c r="J146" s="28">
        <f>IF(OR(H146="",I146=""),"",I146-H146)</f>
        <v/>
      </c>
      <c r="K146" s="28">
        <v>1880</v>
      </c>
      <c r="L146" s="28">
        <v>1940</v>
      </c>
      <c r="M146" s="28">
        <f>IF(OR(K146="",L146=""),"",L146-K146)</f>
        <v/>
      </c>
    </row>
    <row r="147" s="22" collapsed="false" customFormat="true" customHeight="true" hidden="false" ht="25.5" outlineLevel="0">
      <c r="A147" s="26" t="s">
        <v>14</v>
      </c>
      <c r="B147" s="27" t="s">
        <v>122</v>
      </c>
      <c r="C147" s="27" t="s">
        <v>123</v>
      </c>
      <c r="D147" s="27" t="s">
        <v>1789</v>
      </c>
      <c r="E147" s="28">
        <v>1888</v>
      </c>
      <c r="F147" s="28">
        <v>1938</v>
      </c>
      <c r="G147" s="28">
        <f>IF(OR(E147="",F147=""),"",F147-E147)</f>
        <v/>
      </c>
      <c r="H147" s="28"/>
      <c r="I147" s="28"/>
      <c r="J147" s="28">
        <f>IF(OR(H147="",I147=""),"",I147-H147)</f>
        <v/>
      </c>
      <c r="K147" s="28">
        <v>1878</v>
      </c>
      <c r="L147" s="28">
        <v>1928</v>
      </c>
      <c r="M147" s="28">
        <f>IF(OR(K147="",L147=""),"",L147-K147)</f>
        <v/>
      </c>
    </row>
    <row r="148" s="22" collapsed="false" customFormat="true" customHeight="true" hidden="false" ht="25.5" outlineLevel="0">
      <c r="A148" s="26" t="s">
        <v>18</v>
      </c>
      <c r="B148" s="27" t="s">
        <v>1385</v>
      </c>
      <c r="C148" s="27" t="s">
        <v>1386</v>
      </c>
      <c r="D148" s="27" t="s">
        <v>1789</v>
      </c>
      <c r="E148" s="28">
        <v>1889</v>
      </c>
      <c r="F148" s="28">
        <v>1929</v>
      </c>
      <c r="G148" s="28">
        <f>IF(OR(E148="",F148=""),"",F148-E148)</f>
        <v/>
      </c>
      <c r="H148" s="28"/>
      <c r="I148" s="28"/>
      <c r="J148" s="28">
        <f>IF(OR(H148="",I148=""),"",I148-H148)</f>
        <v/>
      </c>
      <c r="K148" s="28">
        <v>1889</v>
      </c>
      <c r="L148" s="28">
        <v>1889</v>
      </c>
      <c r="M148" s="28">
        <f>IF(OR(K148="",L148=""),"",L148-K148)</f>
        <v/>
      </c>
    </row>
    <row r="149" s="22" collapsed="false" customFormat="true" customHeight="true" hidden="false" ht="25.5" outlineLevel="0">
      <c r="A149" s="26" t="s">
        <v>12</v>
      </c>
      <c r="B149" s="27" t="s">
        <v>1703</v>
      </c>
      <c r="C149" s="27" t="s">
        <v>1704</v>
      </c>
      <c r="D149" s="27" t="s">
        <v>1789</v>
      </c>
      <c r="E149" s="28">
        <v>1893</v>
      </c>
      <c r="F149" s="28">
        <v>1893</v>
      </c>
      <c r="G149" s="28">
        <f>IF(OR(E149="",F149=""),"",F149-E149)</f>
        <v/>
      </c>
      <c r="H149" s="28"/>
      <c r="I149" s="28"/>
      <c r="J149" s="28">
        <f>IF(OR(H149="",I149=""),"",I149-H149)</f>
        <v/>
      </c>
      <c r="K149" s="28">
        <v>1873</v>
      </c>
      <c r="L149" s="28">
        <v>1912</v>
      </c>
      <c r="M149" s="28">
        <f>IF(OR(K149="",L149=""),"",L149-K149)</f>
        <v/>
      </c>
    </row>
    <row r="150" s="22" collapsed="false" customFormat="true" customHeight="true" hidden="false" ht="25.5" outlineLevel="0">
      <c r="A150" s="26" t="s">
        <v>6</v>
      </c>
      <c r="B150" s="27" t="s">
        <v>144</v>
      </c>
      <c r="C150" s="27" t="s">
        <v>145</v>
      </c>
      <c r="D150" s="27" t="s">
        <v>1789</v>
      </c>
      <c r="E150" s="28">
        <v>1893</v>
      </c>
      <c r="F150" s="28">
        <v>1923</v>
      </c>
      <c r="G150" s="28">
        <f>IF(OR(E150="",F150=""),"",F150-E150)</f>
        <v/>
      </c>
      <c r="H150" s="28"/>
      <c r="I150" s="28"/>
      <c r="J150" s="28">
        <f>IF(OR(H150="",I150=""),"",I150-H150)</f>
        <v/>
      </c>
      <c r="K150" s="28">
        <v>1893</v>
      </c>
      <c r="L150" s="28">
        <v>1923</v>
      </c>
      <c r="M150" s="28">
        <f>IF(OR(K150="",L150=""),"",L150-K150)</f>
        <v/>
      </c>
    </row>
    <row r="151" s="22" collapsed="false" customFormat="true" customHeight="true" hidden="false" ht="25.5" outlineLevel="0">
      <c r="A151" s="26" t="s">
        <v>14</v>
      </c>
      <c r="B151" s="27" t="s">
        <v>1602</v>
      </c>
      <c r="C151" s="27" t="s">
        <v>1603</v>
      </c>
      <c r="D151" s="27" t="s">
        <v>1789</v>
      </c>
      <c r="E151" s="28">
        <v>1894</v>
      </c>
      <c r="F151" s="28">
        <v>1894</v>
      </c>
      <c r="G151" s="28">
        <f>IF(OR(E151="",F151=""),"",F151-E151)</f>
        <v/>
      </c>
      <c r="H151" s="28"/>
      <c r="I151" s="28"/>
      <c r="J151" s="28">
        <f>IF(OR(H151="",I151=""),"",I151-H151)</f>
        <v/>
      </c>
      <c r="K151" s="28">
        <v>1877</v>
      </c>
      <c r="L151" s="28">
        <v>1892</v>
      </c>
      <c r="M151" s="28">
        <f>IF(OR(K151="",L151=""),"",L151-K151)</f>
        <v/>
      </c>
    </row>
    <row r="152" s="22" collapsed="false" customFormat="true" customHeight="true" hidden="false" ht="25.5" outlineLevel="0">
      <c r="A152" s="26" t="s">
        <v>12</v>
      </c>
      <c r="B152" s="27" t="s">
        <v>324</v>
      </c>
      <c r="C152" s="27" t="s">
        <v>325</v>
      </c>
      <c r="D152" s="27" t="s">
        <v>1789</v>
      </c>
      <c r="E152" s="28">
        <v>1894</v>
      </c>
      <c r="F152" s="28">
        <v>1923</v>
      </c>
      <c r="G152" s="28">
        <f>IF(OR(E152="",F152=""),"",F152-E152)</f>
        <v/>
      </c>
      <c r="H152" s="28"/>
      <c r="I152" s="28"/>
      <c r="J152" s="28">
        <f>IF(OR(H152="",I152=""),"",I152-H152)</f>
        <v/>
      </c>
      <c r="K152" s="28">
        <v>1883</v>
      </c>
      <c r="L152" s="28">
        <v>1923</v>
      </c>
      <c r="M152" s="28">
        <f>IF(OR(K152="",L152=""),"",L152-K152)</f>
        <v/>
      </c>
    </row>
    <row r="153" s="22" collapsed="false" customFormat="true" customHeight="true" hidden="false" ht="25.5" outlineLevel="0">
      <c r="A153" s="26" t="s">
        <v>18</v>
      </c>
      <c r="B153" s="27" t="s">
        <v>691</v>
      </c>
      <c r="C153" s="27" t="s">
        <v>692</v>
      </c>
      <c r="D153" s="27" t="s">
        <v>1789</v>
      </c>
      <c r="E153" s="28">
        <v>1895</v>
      </c>
      <c r="F153" s="28">
        <v>1955</v>
      </c>
      <c r="G153" s="28">
        <f>IF(OR(E153="",F153=""),"",F153-E153)</f>
        <v/>
      </c>
      <c r="H153" s="28"/>
      <c r="I153" s="28"/>
      <c r="J153" s="28">
        <f>IF(OR(H153="",I153=""),"",I153-H153)</f>
        <v/>
      </c>
      <c r="K153" s="28">
        <v>1895</v>
      </c>
      <c r="L153" s="28">
        <v>1955</v>
      </c>
      <c r="M153" s="28">
        <f>IF(OR(K153="",L153=""),"",L153-K153)</f>
        <v/>
      </c>
    </row>
    <row r="154" s="22" collapsed="false" customFormat="true" customHeight="true" hidden="false" ht="25.5" outlineLevel="0">
      <c r="A154" s="26" t="s">
        <v>14</v>
      </c>
      <c r="B154" s="27" t="s">
        <v>1146</v>
      </c>
      <c r="C154" s="27" t="s">
        <v>1147</v>
      </c>
      <c r="D154" s="27" t="s">
        <v>1789</v>
      </c>
      <c r="E154" s="28">
        <v>1895</v>
      </c>
      <c r="F154" s="28">
        <v>1929</v>
      </c>
      <c r="G154" s="28">
        <f>IF(OR(E154="",F154=""),"",F154-E154)</f>
        <v/>
      </c>
      <c r="H154" s="28"/>
      <c r="I154" s="28"/>
      <c r="J154" s="28">
        <f>IF(OR(H154="",I154=""),"",I154-H154)</f>
        <v/>
      </c>
      <c r="K154" s="28">
        <v>1929</v>
      </c>
      <c r="L154" s="28">
        <v>1929</v>
      </c>
      <c r="M154" s="28">
        <f>IF(OR(K154="",L154=""),"",L154-K154)</f>
        <v/>
      </c>
    </row>
    <row r="155" s="22" collapsed="false" customFormat="true" customHeight="true" hidden="false" ht="25.5" outlineLevel="0">
      <c r="A155" s="26" t="s">
        <v>12</v>
      </c>
      <c r="B155" s="27" t="s">
        <v>824</v>
      </c>
      <c r="C155" s="27" t="s">
        <v>825</v>
      </c>
      <c r="D155" s="27" t="s">
        <v>1789</v>
      </c>
      <c r="E155" s="28">
        <v>1897</v>
      </c>
      <c r="F155" s="28">
        <v>1929</v>
      </c>
      <c r="G155" s="28">
        <f>IF(OR(E155="",F155=""),"",F155-E155)</f>
        <v/>
      </c>
      <c r="H155" s="28"/>
      <c r="I155" s="28"/>
      <c r="J155" s="28">
        <f>IF(OR(H155="",I155=""),"",I155-H155)</f>
        <v/>
      </c>
      <c r="K155" s="28">
        <v>1897</v>
      </c>
      <c r="L155" s="28">
        <v>1929</v>
      </c>
      <c r="M155" s="28">
        <f>IF(OR(K155="",L155=""),"",L155-K155)</f>
        <v/>
      </c>
    </row>
    <row r="156" s="22" collapsed="false" customFormat="true" customHeight="true" hidden="false" ht="25.5" outlineLevel="0">
      <c r="A156" s="26" t="s">
        <v>18</v>
      </c>
      <c r="B156" s="27" t="s">
        <v>304</v>
      </c>
      <c r="C156" s="27" t="s">
        <v>305</v>
      </c>
      <c r="D156" s="27" t="s">
        <v>1789</v>
      </c>
      <c r="E156" s="28">
        <v>1898</v>
      </c>
      <c r="F156" s="28">
        <v>1898</v>
      </c>
      <c r="G156" s="28">
        <f>IF(OR(E156="",F156=""),"",F156-E156)</f>
        <v/>
      </c>
      <c r="H156" s="28"/>
      <c r="I156" s="28"/>
      <c r="J156" s="28">
        <f>IF(OR(H156="",I156=""),"",I156-H156)</f>
        <v/>
      </c>
      <c r="K156" s="28">
        <v>1868</v>
      </c>
      <c r="L156" s="28">
        <v>1878</v>
      </c>
      <c r="M156" s="28">
        <f>IF(OR(K156="",L156=""),"",L156-K156)</f>
        <v/>
      </c>
    </row>
    <row r="157" s="22" collapsed="false" customFormat="true" customHeight="true" hidden="false" ht="25.5" outlineLevel="0">
      <c r="A157" s="26" t="s">
        <v>16</v>
      </c>
      <c r="B157" s="27" t="s">
        <v>1051</v>
      </c>
      <c r="C157" s="27" t="s">
        <v>1052</v>
      </c>
      <c r="D157" s="27" t="s">
        <v>1789</v>
      </c>
      <c r="E157" s="28">
        <v>1899</v>
      </c>
      <c r="F157" s="28">
        <v>1949</v>
      </c>
      <c r="G157" s="28">
        <f>IF(OR(E157="",F157=""),"",F157-E157)</f>
        <v/>
      </c>
      <c r="H157" s="28"/>
      <c r="I157" s="28"/>
      <c r="J157" s="28">
        <f>IF(OR(H157="",I157=""),"",I157-H157)</f>
        <v/>
      </c>
      <c r="K157" s="28">
        <v>1899</v>
      </c>
      <c r="L157" s="28">
        <v>1949</v>
      </c>
      <c r="M157" s="28">
        <f>IF(OR(K157="",L157=""),"",L157-K157)</f>
        <v/>
      </c>
    </row>
    <row r="158" s="22" collapsed="false" customFormat="true" customHeight="true" hidden="false" ht="25.5" outlineLevel="0">
      <c r="A158" s="26" t="s">
        <v>14</v>
      </c>
      <c r="B158" s="27" t="s">
        <v>100</v>
      </c>
      <c r="C158" s="27" t="s">
        <v>101</v>
      </c>
      <c r="D158" s="27" t="s">
        <v>1789</v>
      </c>
      <c r="E158" s="28">
        <v>1899</v>
      </c>
      <c r="F158" s="28">
        <v>1927</v>
      </c>
      <c r="G158" s="28">
        <f>IF(OR(E158="",F158=""),"",F158-E158)</f>
        <v/>
      </c>
      <c r="H158" s="28"/>
      <c r="I158" s="28"/>
      <c r="J158" s="28">
        <f>IF(OR(H158="",I158=""),"",I158-H158)</f>
        <v/>
      </c>
      <c r="K158" s="28">
        <v>1899</v>
      </c>
      <c r="L158" s="28">
        <v>1917</v>
      </c>
      <c r="M158" s="28">
        <f>IF(OR(K158="",L158=""),"",L158-K158)</f>
        <v/>
      </c>
    </row>
    <row r="159" s="22" collapsed="false" customFormat="true" customHeight="true" hidden="false" ht="25.5" outlineLevel="0">
      <c r="A159" s="26" t="s">
        <v>14</v>
      </c>
      <c r="B159" s="27" t="s">
        <v>1132</v>
      </c>
      <c r="C159" s="27" t="s">
        <v>1133</v>
      </c>
      <c r="D159" s="27" t="s">
        <v>1789</v>
      </c>
      <c r="E159" s="28">
        <v>1899</v>
      </c>
      <c r="F159" s="28">
        <v>1979</v>
      </c>
      <c r="G159" s="28">
        <f>IF(OR(E159="",F159=""),"",F159-E159)</f>
        <v/>
      </c>
      <c r="H159" s="28"/>
      <c r="I159" s="28"/>
      <c r="J159" s="28">
        <f>IF(OR(H159="",I159=""),"",I159-H159)</f>
        <v/>
      </c>
      <c r="K159" s="28">
        <v>1899</v>
      </c>
      <c r="L159" s="28">
        <v>1899</v>
      </c>
      <c r="M159" s="28">
        <f>IF(OR(K159="",L159=""),"",L159-K159)</f>
        <v/>
      </c>
    </row>
    <row r="160" s="22" collapsed="false" customFormat="true" customHeight="true" hidden="false" ht="25.5" outlineLevel="0">
      <c r="A160" s="26" t="s">
        <v>18</v>
      </c>
      <c r="B160" s="27" t="s">
        <v>995</v>
      </c>
      <c r="C160" s="27" t="s">
        <v>996</v>
      </c>
      <c r="D160" s="27" t="s">
        <v>1789</v>
      </c>
      <c r="E160" s="28">
        <v>1905</v>
      </c>
      <c r="F160" s="28">
        <v>1945</v>
      </c>
      <c r="G160" s="28">
        <f>IF(OR(E160="",F160=""),"",F160-E160)</f>
        <v/>
      </c>
      <c r="H160" s="28"/>
      <c r="I160" s="28"/>
      <c r="J160" s="28">
        <f>IF(OR(H160="",I160=""),"",I160-H160)</f>
        <v/>
      </c>
      <c r="K160" s="28">
        <v>1935</v>
      </c>
      <c r="L160" s="28">
        <v>1935</v>
      </c>
      <c r="M160" s="28">
        <f>IF(OR(K160="",L160=""),"",L160-K160)</f>
        <v/>
      </c>
    </row>
    <row r="161" s="22" collapsed="false" customFormat="true" customHeight="true" hidden="false" ht="25.5" outlineLevel="0">
      <c r="A161" s="26" t="s">
        <v>18</v>
      </c>
      <c r="B161" s="27" t="s">
        <v>1624</v>
      </c>
      <c r="C161" s="27" t="s">
        <v>1625</v>
      </c>
      <c r="D161" s="27" t="s">
        <v>1789</v>
      </c>
      <c r="E161" s="28">
        <v>1914</v>
      </c>
      <c r="F161" s="28">
        <v>1934</v>
      </c>
      <c r="G161" s="28">
        <f>IF(OR(E161="",F161=""),"",F161-E161)</f>
        <v/>
      </c>
      <c r="H161" s="28"/>
      <c r="I161" s="28"/>
      <c r="J161" s="28">
        <f>IF(OR(H161="",I161=""),"",I161-H161)</f>
        <v/>
      </c>
      <c r="K161" s="28">
        <v>1894</v>
      </c>
      <c r="L161" s="28">
        <v>1914</v>
      </c>
      <c r="M161" s="28">
        <f>IF(OR(K161="",L161=""),"",L161-K161)</f>
        <v/>
      </c>
    </row>
    <row r="162" s="22" collapsed="false" customFormat="true" customHeight="true" hidden="false" ht="25.5" outlineLevel="0">
      <c r="A162" s="26" t="s">
        <v>14</v>
      </c>
      <c r="B162" s="27" t="s">
        <v>1026</v>
      </c>
      <c r="C162" s="27" t="s">
        <v>1027</v>
      </c>
      <c r="D162" s="27" t="s">
        <v>1789</v>
      </c>
      <c r="E162" s="28">
        <v>1919</v>
      </c>
      <c r="F162" s="28">
        <v>1919</v>
      </c>
      <c r="G162" s="28">
        <f>IF(OR(E162="",F162=""),"",F162-E162)</f>
        <v/>
      </c>
      <c r="H162" s="28"/>
      <c r="I162" s="28"/>
      <c r="J162" s="28">
        <f>IF(OR(H162="",I162=""),"",I162-H162)</f>
        <v/>
      </c>
      <c r="K162" s="28">
        <v>1874</v>
      </c>
      <c r="L162" s="28">
        <v>1924</v>
      </c>
      <c r="M162" s="28">
        <f>IF(OR(K162="",L162=""),"",L162-K162)</f>
        <v/>
      </c>
    </row>
    <row r="163" s="22" collapsed="false" customFormat="true" customHeight="true" hidden="false" ht="25.5" outlineLevel="0">
      <c r="A163" s="26" t="s">
        <v>10</v>
      </c>
      <c r="B163" s="27" t="s">
        <v>352</v>
      </c>
      <c r="C163" s="27" t="s">
        <v>353</v>
      </c>
      <c r="D163" s="27" t="s">
        <v>1789</v>
      </c>
      <c r="E163" s="28">
        <v>1919</v>
      </c>
      <c r="F163" s="28">
        <v>1919</v>
      </c>
      <c r="G163" s="28">
        <f>IF(OR(E163="",F163=""),"",F163-E163)</f>
        <v/>
      </c>
      <c r="H163" s="28"/>
      <c r="I163" s="28"/>
      <c r="J163" s="28">
        <f>IF(OR(H163="",I163=""),"",I163-H163)</f>
        <v/>
      </c>
      <c r="K163" s="28">
        <v>1884</v>
      </c>
      <c r="L163" s="28">
        <v>1920</v>
      </c>
      <c r="M163" s="28">
        <f>IF(OR(K163="",L163=""),"",L163-K163)</f>
        <v/>
      </c>
    </row>
    <row r="164" s="22" collapsed="false" customFormat="true" customHeight="true" hidden="false" ht="25.5" outlineLevel="0">
      <c r="A164" s="26" t="s">
        <v>18</v>
      </c>
      <c r="B164" s="27" t="s">
        <v>565</v>
      </c>
      <c r="C164" s="27" t="s">
        <v>566</v>
      </c>
      <c r="D164" s="27" t="s">
        <v>1789</v>
      </c>
      <c r="E164" s="28">
        <v>1920</v>
      </c>
      <c r="F164" s="28">
        <v>1929</v>
      </c>
      <c r="G164" s="28">
        <f>IF(OR(E164="",F164=""),"",F164-E164)</f>
        <v/>
      </c>
      <c r="H164" s="28"/>
      <c r="I164" s="28"/>
      <c r="J164" s="28">
        <f>IF(OR(H164="",I164=""),"",I164-H164)</f>
        <v/>
      </c>
      <c r="K164" s="28">
        <v>1889</v>
      </c>
      <c r="L164" s="28">
        <v>1899</v>
      </c>
      <c r="M164" s="28">
        <f>IF(OR(K164="",L164=""),"",L164-K164)</f>
        <v/>
      </c>
    </row>
    <row r="165" s="22" collapsed="false" customFormat="true" customHeight="true" hidden="false" ht="25.5" outlineLevel="0">
      <c r="A165" s="26" t="s">
        <v>12</v>
      </c>
      <c r="B165" s="27" t="s">
        <v>687</v>
      </c>
      <c r="C165" s="27" t="s">
        <v>688</v>
      </c>
      <c r="D165" s="27" t="s">
        <v>1789</v>
      </c>
      <c r="E165" s="28">
        <v>1921</v>
      </c>
      <c r="F165" s="28">
        <v>1956</v>
      </c>
      <c r="G165" s="28">
        <f>IF(OR(E165="",F165=""),"",F165-E165)</f>
        <v/>
      </c>
      <c r="H165" s="28"/>
      <c r="I165" s="28"/>
      <c r="J165" s="28">
        <f>IF(OR(H165="",I165=""),"",I165-H165)</f>
        <v/>
      </c>
      <c r="K165" s="28">
        <v>1935</v>
      </c>
      <c r="L165" s="28">
        <v>1935</v>
      </c>
      <c r="M165" s="28">
        <f>IF(OR(K165="",L165=""),"",L165-K165)</f>
        <v/>
      </c>
    </row>
    <row r="166" s="22" collapsed="false" customFormat="true" customHeight="true" hidden="false" ht="25.5" outlineLevel="0">
      <c r="A166" s="26" t="s">
        <v>10</v>
      </c>
      <c r="B166" s="27" t="s">
        <v>1339</v>
      </c>
      <c r="C166" s="27" t="s">
        <v>1340</v>
      </c>
      <c r="D166" s="27" t="s">
        <v>1789</v>
      </c>
      <c r="E166" s="28">
        <v>1925</v>
      </c>
      <c r="F166" s="28">
        <v>1935</v>
      </c>
      <c r="G166" s="28">
        <f>IF(OR(E166="",F166=""),"",F166-E166)</f>
        <v/>
      </c>
      <c r="H166" s="28"/>
      <c r="I166" s="28"/>
      <c r="J166" s="28">
        <f>IF(OR(H166="",I166=""),"",I166-H166)</f>
        <v/>
      </c>
      <c r="K166" s="28">
        <v>1784</v>
      </c>
      <c r="L166" s="28">
        <v>1784</v>
      </c>
      <c r="M166" s="28">
        <f>IF(OR(K166="",L166=""),"",L166-K166)</f>
        <v/>
      </c>
    </row>
    <row r="167" s="22" collapsed="false" customFormat="true" customHeight="true" hidden="false" ht="25.5" outlineLevel="0">
      <c r="A167" s="26" t="s">
        <v>18</v>
      </c>
      <c r="B167" s="27" t="s">
        <v>332</v>
      </c>
      <c r="C167" s="27" t="s">
        <v>333</v>
      </c>
      <c r="D167" s="27" t="s">
        <v>1789</v>
      </c>
      <c r="E167" s="28">
        <v>1927</v>
      </c>
      <c r="F167" s="28">
        <v>1957</v>
      </c>
      <c r="G167" s="28">
        <f>IF(OR(E167="",F167=""),"",F167-E167)</f>
        <v/>
      </c>
      <c r="H167" s="28"/>
      <c r="I167" s="28"/>
      <c r="J167" s="28">
        <f>IF(OR(H167="",I167=""),"",I167-H167)</f>
        <v/>
      </c>
      <c r="K167" s="28">
        <v>1868</v>
      </c>
      <c r="L167" s="28">
        <v>1878</v>
      </c>
      <c r="M167" s="28">
        <f>IF(OR(K167="",L167=""),"",L167-K167)</f>
        <v/>
      </c>
    </row>
    <row r="168" s="22" collapsed="false" customFormat="true" customHeight="true" hidden="false" ht="25.5" outlineLevel="0">
      <c r="A168" s="26" t="s">
        <v>14</v>
      </c>
      <c r="B168" s="27" t="s">
        <v>89</v>
      </c>
      <c r="C168" s="27" t="s">
        <v>90</v>
      </c>
      <c r="D168" s="27" t="s">
        <v>1789</v>
      </c>
      <c r="E168" s="28">
        <v>1927</v>
      </c>
      <c r="F168" s="28">
        <v>1937</v>
      </c>
      <c r="G168" s="28">
        <f>IF(OR(E168="",F168=""),"",F168-E168)</f>
        <v/>
      </c>
      <c r="H168" s="28"/>
      <c r="I168" s="28"/>
      <c r="J168" s="28">
        <f>IF(OR(H168="",I168=""),"",I168-H168)</f>
        <v/>
      </c>
      <c r="K168" s="28">
        <v>1917</v>
      </c>
      <c r="L168" s="28">
        <v>1927</v>
      </c>
      <c r="M168" s="28">
        <f>IF(OR(K168="",L168=""),"",L168-K168)</f>
        <v/>
      </c>
    </row>
    <row r="169" s="22" collapsed="false" customFormat="true" customHeight="true" hidden="false" ht="25.5" outlineLevel="0">
      <c r="A169" s="26" t="s">
        <v>14</v>
      </c>
      <c r="B169" s="27" t="s">
        <v>717</v>
      </c>
      <c r="C169" s="27" t="s">
        <v>718</v>
      </c>
      <c r="D169" s="27" t="s">
        <v>1789</v>
      </c>
      <c r="E169" s="28">
        <v>1927</v>
      </c>
      <c r="F169" s="28">
        <v>1937</v>
      </c>
      <c r="G169" s="28">
        <f>IF(OR(E169="",F169=""),"",F169-E169)</f>
        <v/>
      </c>
      <c r="H169" s="28"/>
      <c r="I169" s="28"/>
      <c r="J169" s="28">
        <f>IF(OR(H169="",I169=""),"",I169-H169)</f>
        <v/>
      </c>
      <c r="K169" s="28">
        <v>1917</v>
      </c>
      <c r="L169" s="28">
        <v>1927</v>
      </c>
      <c r="M169" s="28">
        <f>IF(OR(K169="",L169=""),"",L169-K169)</f>
        <v/>
      </c>
    </row>
    <row r="170" s="22" collapsed="false" customFormat="true" customHeight="true" hidden="false" ht="25.5" outlineLevel="0">
      <c r="A170" s="26" t="s">
        <v>14</v>
      </c>
      <c r="B170" s="27" t="s">
        <v>719</v>
      </c>
      <c r="C170" s="27" t="s">
        <v>720</v>
      </c>
      <c r="D170" s="27" t="s">
        <v>1789</v>
      </c>
      <c r="E170" s="28">
        <v>1927</v>
      </c>
      <c r="F170" s="28">
        <v>1937</v>
      </c>
      <c r="G170" s="28">
        <f>IF(OR(E170="",F170=""),"",F170-E170)</f>
        <v/>
      </c>
      <c r="H170" s="28"/>
      <c r="I170" s="28"/>
      <c r="J170" s="28">
        <f>IF(OR(H170="",I170=""),"",I170-H170)</f>
        <v/>
      </c>
      <c r="K170" s="28">
        <v>1917</v>
      </c>
      <c r="L170" s="28">
        <v>1927</v>
      </c>
      <c r="M170" s="28">
        <f>IF(OR(K170="",L170=""),"",L170-K170)</f>
        <v/>
      </c>
    </row>
    <row r="171" s="22" collapsed="false" customFormat="true" customHeight="true" hidden="false" ht="25.5" outlineLevel="0">
      <c r="A171" s="26" t="s">
        <v>12</v>
      </c>
      <c r="B171" s="27" t="s">
        <v>1507</v>
      </c>
      <c r="C171" s="27" t="s">
        <v>1508</v>
      </c>
      <c r="D171" s="27" t="s">
        <v>1789</v>
      </c>
      <c r="E171" s="28">
        <v>1928</v>
      </c>
      <c r="F171" s="28">
        <v>1958</v>
      </c>
      <c r="G171" s="28">
        <f>IF(OR(E171="",F171=""),"",F171-E171)</f>
        <v/>
      </c>
      <c r="H171" s="28"/>
      <c r="I171" s="28"/>
      <c r="J171" s="28">
        <f>IF(OR(H171="",I171=""),"",I171-H171)</f>
        <v/>
      </c>
      <c r="K171" s="28">
        <v>1908</v>
      </c>
      <c r="L171" s="28">
        <v>1938</v>
      </c>
      <c r="M171" s="28">
        <f>IF(OR(K171="",L171=""),"",L171-K171)</f>
        <v/>
      </c>
    </row>
    <row r="172" s="22" collapsed="false" customFormat="true" customHeight="true" hidden="false" ht="25.5" outlineLevel="0">
      <c r="A172" s="26" t="s">
        <v>14</v>
      </c>
      <c r="B172" s="27" t="s">
        <v>1198</v>
      </c>
      <c r="C172" s="27" t="s">
        <v>1199</v>
      </c>
      <c r="D172" s="27" t="s">
        <v>1789</v>
      </c>
      <c r="E172" s="28">
        <v>1929</v>
      </c>
      <c r="F172" s="28">
        <v>1939</v>
      </c>
      <c r="G172" s="28">
        <f>IF(OR(E172="",F172=""),"",F172-E172)</f>
        <v/>
      </c>
      <c r="H172" s="28"/>
      <c r="I172" s="28"/>
      <c r="J172" s="28">
        <f>IF(OR(H172="",I172=""),"",I172-H172)</f>
        <v/>
      </c>
      <c r="K172" s="28">
        <v>1919</v>
      </c>
      <c r="L172" s="28">
        <v>1929</v>
      </c>
      <c r="M172" s="28">
        <f>IF(OR(K172="",L172=""),"",L172-K172)</f>
        <v/>
      </c>
    </row>
    <row r="173" s="22" collapsed="false" customFormat="true" customHeight="true" hidden="false" ht="25.5" outlineLevel="0">
      <c r="A173" s="26" t="s">
        <v>14</v>
      </c>
      <c r="B173" s="27" t="s">
        <v>366</v>
      </c>
      <c r="C173" s="27" t="s">
        <v>367</v>
      </c>
      <c r="D173" s="27" t="s">
        <v>1789</v>
      </c>
      <c r="E173" s="28">
        <v>1929</v>
      </c>
      <c r="F173" s="28">
        <v>1979</v>
      </c>
      <c r="G173" s="28">
        <f>IF(OR(E173="",F173=""),"",F173-E173)</f>
        <v/>
      </c>
      <c r="H173" s="28"/>
      <c r="I173" s="28"/>
      <c r="J173" s="28">
        <f>IF(OR(H173="",I173=""),"",I173-H173)</f>
        <v/>
      </c>
      <c r="K173" s="28">
        <v>1929</v>
      </c>
      <c r="L173" s="28">
        <v>1979</v>
      </c>
      <c r="M173" s="28">
        <f>IF(OR(K173="",L173=""),"",L173-K173)</f>
        <v/>
      </c>
    </row>
    <row r="174" s="22" collapsed="false" customFormat="true" customHeight="true" hidden="false" ht="25.5" outlineLevel="0">
      <c r="A174" s="26" t="s">
        <v>10</v>
      </c>
      <c r="B174" s="27" t="s">
        <v>1570</v>
      </c>
      <c r="C174" s="27" t="s">
        <v>1571</v>
      </c>
      <c r="D174" s="27" t="s">
        <v>1789</v>
      </c>
      <c r="E174" s="28">
        <v>1934</v>
      </c>
      <c r="F174" s="28">
        <v>1934</v>
      </c>
      <c r="G174" s="28">
        <f>IF(OR(E174="",F174=""),"",F174-E174)</f>
        <v/>
      </c>
      <c r="H174" s="28"/>
      <c r="I174" s="28"/>
      <c r="J174" s="28">
        <f>IF(OR(H174="",I174=""),"",I174-H174)</f>
        <v/>
      </c>
      <c r="K174" s="28">
        <v>1859</v>
      </c>
      <c r="L174" s="28">
        <v>1878</v>
      </c>
      <c r="M174" s="28">
        <f>IF(OR(K174="",L174=""),"",L174-K174)</f>
        <v/>
      </c>
    </row>
    <row r="175" s="22" collapsed="false" customFormat="true" customHeight="true" hidden="false" ht="25.5" outlineLevel="0">
      <c r="A175" s="26" t="s">
        <v>14</v>
      </c>
      <c r="B175" s="27" t="s">
        <v>1377</v>
      </c>
      <c r="C175" s="27" t="s">
        <v>1378</v>
      </c>
      <c r="D175" s="27" t="s">
        <v>1789</v>
      </c>
      <c r="E175" s="28">
        <v>1938</v>
      </c>
      <c r="F175" s="28">
        <v>1978</v>
      </c>
      <c r="G175" s="28">
        <f>IF(OR(E175="",F175=""),"",F175-E175)</f>
        <v/>
      </c>
      <c r="H175" s="28"/>
      <c r="I175" s="28"/>
      <c r="J175" s="28">
        <f>IF(OR(H175="",I175=""),"",I175-H175)</f>
        <v/>
      </c>
      <c r="K175" s="28">
        <v>1938</v>
      </c>
      <c r="L175" s="28">
        <v>1958</v>
      </c>
      <c r="M175" s="28">
        <f>IF(OR(K175="",L175=""),"",L175-K175)</f>
        <v/>
      </c>
    </row>
    <row r="176" s="22" collapsed="false" customFormat="true" customHeight="true" hidden="false" ht="25.5" outlineLevel="0">
      <c r="A176" s="26" t="s">
        <v>14</v>
      </c>
      <c r="B176" s="27" t="s">
        <v>636</v>
      </c>
      <c r="C176" s="27" t="s">
        <v>638</v>
      </c>
      <c r="D176" s="27" t="s">
        <v>1789</v>
      </c>
      <c r="E176" s="28">
        <v>1938</v>
      </c>
      <c r="F176" s="28">
        <v>1988</v>
      </c>
      <c r="G176" s="28">
        <f>IF(OR(E176="",F176=""),"",F176-E176)</f>
        <v/>
      </c>
      <c r="H176" s="28"/>
      <c r="I176" s="28"/>
      <c r="J176" s="28">
        <f>IF(OR(H176="",I176=""),"",I176-H176)</f>
        <v/>
      </c>
      <c r="K176" s="28">
        <v>1986</v>
      </c>
      <c r="L176" s="28">
        <v>1998</v>
      </c>
      <c r="M176" s="28">
        <f>IF(OR(K176="",L176=""),"",L176-K176)</f>
        <v/>
      </c>
    </row>
    <row r="177" s="22" collapsed="false" customFormat="true" customHeight="true" hidden="false" ht="25.5" outlineLevel="0">
      <c r="A177" s="26" t="s">
        <v>10</v>
      </c>
      <c r="B177" s="27" t="s">
        <v>476</v>
      </c>
      <c r="C177" s="27" t="s">
        <v>477</v>
      </c>
      <c r="D177" s="27" t="s">
        <v>1789</v>
      </c>
      <c r="E177" s="28">
        <v>1958</v>
      </c>
      <c r="F177" s="28">
        <v>1958</v>
      </c>
      <c r="G177" s="28">
        <f>IF(OR(E177="",F177=""),"",F177-E177)</f>
        <v/>
      </c>
      <c r="H177" s="28"/>
      <c r="I177" s="28"/>
      <c r="J177" s="28">
        <f>IF(OR(H177="",I177=""),"",I177-H177)</f>
        <v/>
      </c>
      <c r="K177" s="28">
        <v>1898</v>
      </c>
      <c r="L177" s="28">
        <v>1883</v>
      </c>
      <c r="M177" s="28">
        <f>IF(OR(K177="",L177=""),"",L177-K177)</f>
        <v/>
      </c>
    </row>
    <row r="178" s="22" collapsed="false" customFormat="true" customHeight="true" hidden="false" ht="25.5" outlineLevel="0">
      <c r="A178" s="26" t="s">
        <v>12</v>
      </c>
      <c r="B178" s="27" t="s">
        <v>586</v>
      </c>
      <c r="C178" s="27" t="s">
        <v>587</v>
      </c>
      <c r="D178" s="27" t="s">
        <v>1789</v>
      </c>
      <c r="E178" s="28">
        <v>1959</v>
      </c>
      <c r="F178" s="28">
        <v>1979</v>
      </c>
      <c r="G178" s="28">
        <f>IF(OR(E178="",F178=""),"",F178-E178)</f>
        <v/>
      </c>
      <c r="H178" s="28"/>
      <c r="I178" s="28"/>
      <c r="J178" s="28">
        <f>IF(OR(H178="",I178=""),"",I178-H178)</f>
        <v/>
      </c>
      <c r="K178" s="28">
        <v>1895</v>
      </c>
      <c r="L178" s="28">
        <v>1919</v>
      </c>
      <c r="M178" s="28">
        <f>IF(OR(K178="",L178=""),"",L178-K178)</f>
        <v/>
      </c>
    </row>
    <row r="179" s="22" collapsed="false" customFormat="true" customHeight="true" hidden="false" ht="25.5" outlineLevel="0">
      <c r="A179" s="26" t="s">
        <v>14</v>
      </c>
      <c r="B179" s="27" t="s">
        <v>1299</v>
      </c>
      <c r="C179" s="27" t="s">
        <v>1300</v>
      </c>
      <c r="D179" s="27" t="s">
        <v>1789</v>
      </c>
      <c r="E179" s="28">
        <v>1968</v>
      </c>
      <c r="F179" s="28">
        <v>1968</v>
      </c>
      <c r="G179" s="28">
        <f>IF(OR(E179="",F179=""),"",F179-E179)</f>
        <v/>
      </c>
      <c r="H179" s="28"/>
      <c r="I179" s="28"/>
      <c r="J179" s="28">
        <f>IF(OR(H179="",I179=""),"",I179-H179)</f>
        <v/>
      </c>
      <c r="K179" s="28">
        <v>1917</v>
      </c>
      <c r="L179" s="28">
        <v>1927</v>
      </c>
      <c r="M179" s="28">
        <f>IF(OR(K179="",L179=""),"",L179-K179)</f>
        <v/>
      </c>
    </row>
    <row r="180" s="22" collapsed="false" customFormat="true" customHeight="true" hidden="false" ht="25.5" outlineLevel="0">
      <c r="A180" s="26" t="s">
        <v>12</v>
      </c>
      <c r="B180" s="27" t="s">
        <v>1011</v>
      </c>
      <c r="C180" s="27" t="s">
        <v>1012</v>
      </c>
      <c r="D180" s="27" t="s">
        <v>1789</v>
      </c>
      <c r="E180" s="28">
        <v>1968</v>
      </c>
      <c r="F180" s="28">
        <v>1968</v>
      </c>
      <c r="G180" s="28">
        <f>IF(OR(E180="",F180=""),"",F180-E180)</f>
        <v/>
      </c>
      <c r="H180" s="28"/>
      <c r="I180" s="28"/>
      <c r="J180" s="28">
        <f>IF(OR(H180="",I180=""),"",I180-H180)</f>
        <v/>
      </c>
      <c r="K180" s="28">
        <v>1948</v>
      </c>
      <c r="L180" s="28">
        <v>1988</v>
      </c>
      <c r="M180" s="28">
        <f>IF(OR(K180="",L180=""),"",L180-K180)</f>
        <v/>
      </c>
    </row>
    <row r="181" s="22" collapsed="false" customFormat="true" customHeight="true" hidden="false" ht="25.5" outlineLevel="0">
      <c r="A181" s="26" t="s">
        <v>10</v>
      </c>
      <c r="B181" s="27" t="s">
        <v>406</v>
      </c>
      <c r="C181" s="27" t="s">
        <v>407</v>
      </c>
      <c r="D181" s="27" t="s">
        <v>1789</v>
      </c>
      <c r="E181" s="28">
        <v>1975</v>
      </c>
      <c r="F181" s="28">
        <v>1975</v>
      </c>
      <c r="G181" s="28">
        <f>IF(OR(E181="",F181=""),"",F181-E181)</f>
        <v/>
      </c>
      <c r="H181" s="28"/>
      <c r="I181" s="28"/>
      <c r="J181" s="28">
        <f>IF(OR(H181="",I181=""),"",I181-H181)</f>
        <v/>
      </c>
      <c r="K181" s="28">
        <v>1810</v>
      </c>
      <c r="L181" s="28">
        <v>1899</v>
      </c>
      <c r="M181" s="28">
        <f>IF(OR(K181="",L181=""),"",L181-K181)</f>
        <v/>
      </c>
    </row>
    <row r="182" s="22" collapsed="false" customFormat="true" customHeight="true" hidden="false" ht="25.5" outlineLevel="0">
      <c r="A182" s="26" t="s">
        <v>10</v>
      </c>
      <c r="B182" s="27" t="s">
        <v>1681</v>
      </c>
      <c r="C182" s="27" t="s">
        <v>1682</v>
      </c>
      <c r="D182" s="27" t="s">
        <v>1789</v>
      </c>
      <c r="E182" s="28">
        <v>1978</v>
      </c>
      <c r="F182" s="28">
        <v>1998</v>
      </c>
      <c r="G182" s="28">
        <f>IF(OR(E182="",F182=""),"",F182-E182)</f>
        <v/>
      </c>
      <c r="H182" s="28"/>
      <c r="I182" s="28"/>
      <c r="J182" s="28">
        <f>IF(OR(H182="",I182=""),"",I182-H182)</f>
        <v/>
      </c>
      <c r="K182" s="28">
        <v>1998</v>
      </c>
      <c r="L182" s="28">
        <v>1998</v>
      </c>
      <c r="M182" s="28">
        <f>IF(OR(K182="",L182=""),"",L182-K182)</f>
        <v/>
      </c>
    </row>
    <row r="183" s="22" collapsed="false" customFormat="true" customHeight="true" hidden="false" ht="25.5" outlineLevel="0">
      <c r="A183" s="26" t="s">
        <v>14</v>
      </c>
      <c r="B183" s="27" t="s">
        <v>1144</v>
      </c>
      <c r="C183" s="27" t="s">
        <v>1145</v>
      </c>
      <c r="D183" s="27" t="s">
        <v>1789</v>
      </c>
      <c r="E183" s="28">
        <v>1979</v>
      </c>
      <c r="F183" s="28">
        <v>1979</v>
      </c>
      <c r="G183" s="28">
        <f>IF(OR(E183="",F183=""),"",F183-E183)</f>
        <v/>
      </c>
      <c r="H183" s="28"/>
      <c r="I183" s="28"/>
      <c r="J183" s="28">
        <f>IF(OR(H183="",I183=""),"",I183-H183)</f>
        <v/>
      </c>
      <c r="K183" s="28">
        <v>1979</v>
      </c>
      <c r="L183" s="28">
        <v>1999</v>
      </c>
      <c r="M183" s="28">
        <f>IF(OR(K183="",L183=""),"",L183-K183)</f>
        <v/>
      </c>
    </row>
    <row r="184" s="22" collapsed="false" customFormat="true" customHeight="true" hidden="false" ht="25.5" outlineLevel="0">
      <c r="A184" s="26" t="s">
        <v>12</v>
      </c>
      <c r="B184" s="27" t="s">
        <v>678</v>
      </c>
      <c r="C184" s="27" t="s">
        <v>679</v>
      </c>
      <c r="D184" s="27" t="s">
        <v>1789</v>
      </c>
      <c r="E184" s="28">
        <v>1985</v>
      </c>
      <c r="F184" s="28">
        <v>1975</v>
      </c>
      <c r="G184" s="28">
        <f>IF(OR(E184="",F184=""),"",F184-E184)</f>
        <v/>
      </c>
      <c r="H184" s="28"/>
      <c r="I184" s="28"/>
      <c r="J184" s="28">
        <f>IF(OR(H184="",I184=""),"",I184-H184)</f>
        <v/>
      </c>
      <c r="K184" s="28">
        <v>1957</v>
      </c>
      <c r="L184" s="28">
        <v>1957</v>
      </c>
      <c r="M184" s="28">
        <f>IF(OR(K184="",L184=""),"",L184-K184)</f>
        <v/>
      </c>
    </row>
    <row r="185" s="22" collapsed="false" customFormat="true" customHeight="true" hidden="false" ht="25.5" outlineLevel="0">
      <c r="A185" s="26" t="s">
        <v>12</v>
      </c>
      <c r="B185" s="27" t="s">
        <v>865</v>
      </c>
      <c r="C185" s="27" t="s">
        <v>866</v>
      </c>
      <c r="D185" s="27" t="s">
        <v>1789</v>
      </c>
      <c r="E185" s="28">
        <v>1988</v>
      </c>
      <c r="F185" s="28">
        <v>1988</v>
      </c>
      <c r="G185" s="28">
        <f>IF(OR(E185="",F185=""),"",F185-E185)</f>
        <v/>
      </c>
      <c r="H185" s="28"/>
      <c r="I185" s="28"/>
      <c r="J185" s="28">
        <f>IF(OR(H185="",I185=""),"",I185-H185)</f>
        <v/>
      </c>
      <c r="K185" s="28">
        <v>1963</v>
      </c>
      <c r="L185" s="28">
        <v>1978</v>
      </c>
      <c r="M185" s="28">
        <f>IF(OR(K185="",L185=""),"",L185-K185)</f>
        <v/>
      </c>
    </row>
    <row r="186" s="22" collapsed="false" customFormat="true" customHeight="true" hidden="false" ht="25.5" outlineLevel="0">
      <c r="A186" s="26" t="s">
        <v>18</v>
      </c>
      <c r="B186" s="27" t="s">
        <v>1391</v>
      </c>
      <c r="C186" s="27" t="s">
        <v>1392</v>
      </c>
      <c r="D186" s="27" t="s">
        <v>1789</v>
      </c>
      <c r="E186" s="28">
        <v>1992</v>
      </c>
      <c r="F186" s="28">
        <v>1992</v>
      </c>
      <c r="G186" s="28">
        <f>IF(OR(E186="",F186=""),"",F186-E186)</f>
        <v/>
      </c>
      <c r="H186" s="28"/>
      <c r="I186" s="28"/>
      <c r="J186" s="28">
        <f>IF(OR(H186="",I186=""),"",I186-H186)</f>
        <v/>
      </c>
      <c r="K186" s="28">
        <v>1952</v>
      </c>
      <c r="L186" s="28">
        <v>1970</v>
      </c>
      <c r="M186" s="28">
        <f>IF(OR(K186="",L186=""),"",L186-K186)</f>
        <v/>
      </c>
    </row>
    <row r="187" s="22" collapsed="false" customFormat="true" customHeight="true" hidden="false" ht="25.5" outlineLevel="0">
      <c r="A187" s="26" t="s">
        <v>10</v>
      </c>
      <c r="B187" s="27" t="s">
        <v>1355</v>
      </c>
      <c r="C187" s="27" t="s">
        <v>1356</v>
      </c>
      <c r="D187" s="27" t="s">
        <v>1789</v>
      </c>
      <c r="E187" s="28">
        <v>1995</v>
      </c>
      <c r="F187" s="28">
        <v>1995</v>
      </c>
      <c r="G187" s="28">
        <f>IF(OR(E187="",F187=""),"",F187-E187)</f>
        <v/>
      </c>
      <c r="H187" s="28"/>
      <c r="I187" s="28"/>
      <c r="J187" s="28">
        <f>IF(OR(H187="",I187=""),"",I187-H187)</f>
        <v/>
      </c>
      <c r="K187" s="28">
        <v>1920</v>
      </c>
      <c r="L187" s="28">
        <v>1960</v>
      </c>
      <c r="M187" s="28">
        <f>IF(OR(K187="",L187=""),"",L187-K187)</f>
        <v/>
      </c>
    </row>
    <row r="188" s="22" collapsed="false" customFormat="true" customHeight="true" hidden="false" ht="25.5" outlineLevel="0">
      <c r="A188" s="26" t="s">
        <v>14</v>
      </c>
      <c r="B188" s="27" t="s">
        <v>863</v>
      </c>
      <c r="C188" s="27" t="s">
        <v>864</v>
      </c>
      <c r="D188" s="27" t="s">
        <v>1789</v>
      </c>
      <c r="E188" s="28">
        <v>1998</v>
      </c>
      <c r="F188" s="28">
        <v>1998</v>
      </c>
      <c r="G188" s="28">
        <f>IF(OR(E188="",F188=""),"",F188-E188)</f>
        <v/>
      </c>
      <c r="H188" s="28"/>
      <c r="I188" s="28"/>
      <c r="J188" s="28">
        <f>IF(OR(H188="",I188=""),"",I188-H188)</f>
        <v/>
      </c>
      <c r="K188" s="28">
        <v>1968</v>
      </c>
      <c r="L188" s="28">
        <v>1998</v>
      </c>
      <c r="M188" s="28">
        <f>IF(OR(K188="",L188=""),"",L188-K188)</f>
        <v/>
      </c>
    </row>
    <row r="189" s="22" collapsed="false" customFormat="true" customHeight="true" hidden="false" ht="25.5" outlineLevel="0">
      <c r="A189" s="26" t="s">
        <v>14</v>
      </c>
      <c r="B189" s="27" t="s">
        <v>154</v>
      </c>
      <c r="C189" s="27" t="s">
        <v>155</v>
      </c>
      <c r="D189" s="27" t="s">
        <v>1789</v>
      </c>
      <c r="E189" s="28"/>
      <c r="F189" s="28"/>
      <c r="G189" s="28">
        <f>IF(OR(E189="",F189=""),"",F189-E189)</f>
        <v/>
      </c>
      <c r="H189" s="28">
        <v>2189</v>
      </c>
      <c r="I189" s="28">
        <v>2189</v>
      </c>
      <c r="J189" s="28">
        <f>IF(OR(H189="",I189=""),"",I189-H189)</f>
        <v/>
      </c>
      <c r="K189" s="28">
        <v>1938</v>
      </c>
      <c r="L189" s="28">
        <v>2014</v>
      </c>
      <c r="M189" s="28">
        <f>IF(OR(K189="",L189=""),"",L189-K189)</f>
        <v/>
      </c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2026-03-26T13:50:15Z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