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유류비!$A$14:$X$894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<sst xmlns="http://schemas.openxmlformats.org/spreadsheetml/2006/main" count="5810" uniqueCount="2663">
  <si>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</si>
  <si>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</si>
  <si>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</si>
  <si>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</si>
  <si>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</si>
  <si>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</si>
  <si>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</si>
  <si>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</si>
  <si>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</si>
  <si>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</si>
  <si>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</si>
  <si>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</si>
  <si>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</si>
  <si>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</si>
  <si>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</si>
  <si>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</si>
  <si>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</si>
  <si>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</si>
  <si>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</si>
  <si>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</si>
  <si>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</si>
  <si>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</si>
  <si>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</si>
  <si>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</si>
  <si>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</si>
  <si>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</si>
  <si>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</si>
  <si>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</si>
  <si>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</si>
  <si>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</si>
  <si>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</si>
  <si>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</si>
  <si>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</si>
  <si>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</si>
  <si>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</si>
  <si>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</si>
  <si>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</si>
  <si>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</si>
  <si>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</si>
  <si>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</si>
  <si>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</si>
  <si>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</si>
  <si>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</si>
  <si>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</si>
  <si>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</si>
  <si>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유한회사 우진에너지</t>
  </si>
  <si>
    <t xml:space="preserve">알뜰주유소</t>
  </si>
  <si>
    <t xml:space="preserve">Y</t>
  </si>
  <si>
    <t xml:space="preserve">충남 보령시 대해로 294</t>
  </si>
  <si>
    <t xml:space="preserve">010-4772-5189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</si>
  <si>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</si>
  <si>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</si>
  <si>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</si>
  <si>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042-861-7766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</si>
  <si>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</si>
  <si>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</si>
  <si>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</si>
  <si>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HD현대오일뱅크㈜직영 동원주유소</t>
  </si>
  <si>
    <t xml:space="preserve">HD현대오일뱅크</t>
  </si>
  <si>
    <t xml:space="preserve">N</t>
  </si>
  <si>
    <t xml:space="preserve">대전 동구 옥천로 355-3</t>
  </si>
  <si>
    <t xml:space="preserve">042-282-5155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</si>
  <si>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</si>
  <si>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</si>
  <si>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</si>
  <si>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</si>
  <si>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</si>
  <si>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</si>
  <si>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지에스칼텍스(주)대덕밸리주유소</t>
  </si>
  <si>
    <t xml:space="preserve">대전 유성구 대덕대로 938</t>
  </si>
  <si>
    <t xml:space="preserve">042-863-0020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</si>
  <si>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</si>
  <si>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</si>
  <si>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</si>
  <si>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지에스칼텍스㈜구봉산셀프주유소</t>
  </si>
  <si>
    <t xml:space="preserve">대전 서구 구봉로 208</t>
  </si>
  <si>
    <t xml:space="preserve">042-256-8333</t>
  </si>
  <si>
    <t xml:space="preserve">㈜다모아주유소</t>
  </si>
  <si>
    <t xml:space="preserve">충남 공주시 금벽로 809</t>
  </si>
  <si>
    <t xml:space="preserve">041-853-5289</t>
  </si>
  <si>
    <t xml:space="preserve">HD현대오일뱅크㈜직영 충무주유소</t>
  </si>
  <si>
    <t xml:space="preserve">대전 중구 충무로 141 (부사동)</t>
  </si>
  <si>
    <t xml:space="preserve">042-222-8788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</si>
  <si>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</si>
  <si>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</si>
  <si>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</si>
  <si>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주산주유소</t>
  </si>
  <si>
    <t xml:space="preserve">충남 보령시 주산면 충서로 616</t>
  </si>
  <si>
    <t xml:space="preserve">041-933-3601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</si>
  <si>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</si>
  <si>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</si>
  <si>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</si>
  <si>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</si>
  <si>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</si>
  <si>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</si>
  <si>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</si>
  <si>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</si>
  <si>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</si>
  <si>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</si>
  <si>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</si>
  <si>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</si>
  <si>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</si>
  <si>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</si>
  <si>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</si>
  <si>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㈜삼화에너지 아산</t>
  </si>
  <si>
    <t xml:space="preserve">충남 아산시 온천대로 1169</t>
  </si>
  <si>
    <t xml:space="preserve">041-549-5189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</si>
  <si>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</si>
  <si>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</si>
  <si>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</si>
  <si>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042-863-6692</t>
  </si>
  <si>
    <t xml:space="preserve">동부주유소</t>
  </si>
  <si>
    <t xml:space="preserve">S-OIL</t>
  </si>
  <si>
    <t xml:space="preserve">충남 보령시 대천방조제로 42</t>
  </si>
  <si>
    <t xml:space="preserve">041-932-9994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</si>
  <si>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</si>
  <si>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</si>
  <si>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</si>
  <si>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</si>
  <si>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</si>
  <si>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</si>
  <si>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신관주유소</t>
  </si>
  <si>
    <t xml:space="preserve">충남 공주시 관골1길 34-1</t>
  </si>
  <si>
    <t xml:space="preserve">041-856-5181</t>
  </si>
  <si>
    <t xml:space="preserve">㈜남강 중앙로셀프주유소</t>
  </si>
  <si>
    <t xml:space="preserve">대전 중구 중앙로 64</t>
  </si>
  <si>
    <t xml:space="preserve">042-256-0238</t>
  </si>
  <si>
    <t xml:space="preserve">㈜연정 농수산주유소</t>
  </si>
  <si>
    <t xml:space="preserve">대전 대덕구 한밭대로 1014</t>
  </si>
  <si>
    <t xml:space="preserve">042-635-1587</t>
  </si>
  <si>
    <t xml:space="preserve">중도석유(주)오정동주유소</t>
  </si>
  <si>
    <t xml:space="preserve">대전 대덕구 대전로 1144 (오정동)</t>
  </si>
  <si>
    <t xml:space="preserve">042-672-4843</t>
  </si>
  <si>
    <t xml:space="preserve">주식회사대동현대셀프</t>
  </si>
  <si>
    <t xml:space="preserve">대전 동구 계족로 126</t>
  </si>
  <si>
    <t xml:space="preserve">010-4672-2452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</si>
  <si>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</si>
  <si>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</si>
  <si>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</si>
  <si>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</si>
  <si>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</si>
  <si>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</si>
  <si>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첨단셀프주유소</t>
  </si>
  <si>
    <t xml:space="preserve">대전 유성구 가정로 27</t>
  </si>
  <si>
    <t xml:space="preserve">010-9523-2452</t>
  </si>
  <si>
    <t xml:space="preserve">㈜서대전 IC self 주유소</t>
  </si>
  <si>
    <t xml:space="preserve">대전 유성구 계백로 476 (방동)</t>
  </si>
  <si>
    <t xml:space="preserve">042-544-8811</t>
  </si>
  <si>
    <t xml:space="preserve">서남부주유소</t>
  </si>
  <si>
    <t xml:space="preserve">대전 유성구 유성대로 44 (원내동)</t>
  </si>
  <si>
    <t xml:space="preserve">042-542-5189</t>
  </si>
  <si>
    <t xml:space="preserve">서원경주유소</t>
  </si>
  <si>
    <t xml:space="preserve">충북 청주시 흥덕구 직지대로 579 (봉명동)</t>
  </si>
  <si>
    <t xml:space="preserve">043-274-2505</t>
  </si>
  <si>
    <t xml:space="preserve">상서현대셀프</t>
  </si>
  <si>
    <t xml:space="preserve">대전 대덕구 신탄진로 519 (상서동)</t>
  </si>
  <si>
    <t xml:space="preserve">042-931-8097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</si>
  <si>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</si>
  <si>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</si>
  <si>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</si>
  <si>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그린주유소</t>
  </si>
  <si>
    <t xml:space="preserve">세종 조치원읍 세종로 2706</t>
  </si>
  <si>
    <t xml:space="preserve">044-866-5142</t>
  </si>
  <si>
    <t xml:space="preserve">화암동셀프주유소</t>
  </si>
  <si>
    <t xml:space="preserve">대전 유성구 대덕대로 804 (화암동)</t>
  </si>
  <si>
    <t xml:space="preserve">042-863-6643</t>
  </si>
  <si>
    <t xml:space="preserve">구도일태전주유소</t>
  </si>
  <si>
    <t xml:space="preserve">대전 유성구 엑스포로 259 (원촌동)</t>
  </si>
  <si>
    <t xml:space="preserve">042-863-5104</t>
  </si>
  <si>
    <t xml:space="preserve">KH에너지㈜직영 둔산주유소</t>
  </si>
  <si>
    <t xml:space="preserve">대전 서구 둔산로 139</t>
  </si>
  <si>
    <t xml:space="preserve">042-484-5531</t>
  </si>
  <si>
    <t xml:space="preserve">신일주유소</t>
  </si>
  <si>
    <t xml:space="preserve">대전 대덕구 산업단지로 112</t>
  </si>
  <si>
    <t xml:space="preserve">042-936-5145</t>
  </si>
  <si>
    <t xml:space="preserve">신흥주유소</t>
  </si>
  <si>
    <t xml:space="preserve">충북 청주시 청원구 2순환로 96 (율량동)</t>
  </si>
  <si>
    <t xml:space="preserve">043-241-5182</t>
  </si>
  <si>
    <t xml:space="preserve">아원주유소</t>
  </si>
  <si>
    <t xml:space="preserve">대전 동구 계족로 326</t>
  </si>
  <si>
    <t xml:space="preserve">042-625-2928</t>
  </si>
  <si>
    <t xml:space="preserve">미라클에너지㈜</t>
  </si>
  <si>
    <t xml:space="preserve">충남 아산시 음봉면 아산온천로 240</t>
  </si>
  <si>
    <t xml:space="preserve">041-549-6778</t>
  </si>
  <si>
    <t xml:space="preserve">진영주유가스충전소</t>
  </si>
  <si>
    <t xml:space="preserve">충북 청주시 상당구 미천고은로 152</t>
  </si>
  <si>
    <t xml:space="preserve">043-291-0542</t>
  </si>
  <si>
    <t xml:space="preserve">오월드주유소</t>
  </si>
  <si>
    <t xml:space="preserve">대전 중구 대둔산로 359 (사정동)</t>
  </si>
  <si>
    <t xml:space="preserve">042-583-5151</t>
  </si>
  <si>
    <t xml:space="preserve">하나로주유소</t>
  </si>
  <si>
    <t xml:space="preserve">대전 중구 대둔산로 211 (안영동)</t>
  </si>
  <si>
    <t xml:space="preserve">042-581-5189</t>
  </si>
  <si>
    <t xml:space="preserve">외암로셀프주유소</t>
  </si>
  <si>
    <t xml:space="preserve">충청남도 아산시 외암로 1279 (장존동)</t>
  </si>
  <si>
    <t xml:space="preserve">041-425-1411</t>
  </si>
  <si>
    <t xml:space="preserve">(주)문의IC주유소</t>
  </si>
  <si>
    <t xml:space="preserve">충북 청주시 상당구 문의면 미천고은로 63</t>
  </si>
  <si>
    <t xml:space="preserve">043-295-3733</t>
  </si>
  <si>
    <t xml:space="preserve">㈜진성 가람Self주유소</t>
  </si>
  <si>
    <t xml:space="preserve">세종특별자치시 금송로 589</t>
  </si>
  <si>
    <t xml:space="preserve">044-868-5117</t>
  </si>
  <si>
    <t xml:space="preserve">대평주유소</t>
  </si>
  <si>
    <t xml:space="preserve">세종특별자치시 금남면 용포로 109</t>
  </si>
  <si>
    <t xml:space="preserve">044-866-7061</t>
  </si>
  <si>
    <t xml:space="preserve">호원셀프주유소</t>
  </si>
  <si>
    <t xml:space="preserve">대전 동구 한밭대로 1315 (용전동)</t>
  </si>
  <si>
    <t xml:space="preserve">042-672-2954</t>
  </si>
  <si>
    <t xml:space="preserve">대양석유㈜ 덕성셀프주유소</t>
  </si>
  <si>
    <t xml:space="preserve">대전 동구 대전로 287</t>
  </si>
  <si>
    <t xml:space="preserve">042-286-5151</t>
  </si>
  <si>
    <t xml:space="preserve">금빛주유소</t>
  </si>
  <si>
    <t xml:space="preserve">세종특별자치시 조치원읍 새내로 182</t>
  </si>
  <si>
    <t xml:space="preserve">044-865-2251</t>
  </si>
  <si>
    <t xml:space="preserve">대전북부새마을금고주유소</t>
  </si>
  <si>
    <t xml:space="preserve">대전 대덕구 신탄진로 792</t>
  </si>
  <si>
    <t xml:space="preserve">042-933-5182</t>
  </si>
  <si>
    <t xml:space="preserve">푸른주유소</t>
  </si>
  <si>
    <t xml:space="preserve">충남 아산시 아산로 82 (온천동)</t>
  </si>
  <si>
    <t xml:space="preserve">041-549-2497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</si>
  <si>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</si>
  <si>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</si>
  <si>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</si>
  <si>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스마일오일뱅크</t>
  </si>
  <si>
    <t xml:space="preserve">충남 아산시 외암로 1379</t>
  </si>
  <si>
    <t xml:space="preserve">041-532-5188</t>
  </si>
  <si>
    <t xml:space="preserve">햇빛주유소</t>
  </si>
  <si>
    <t xml:space="preserve">대전 유성구 계백로 87 (송정동)</t>
  </si>
  <si>
    <t xml:space="preserve">042-825-6266</t>
  </si>
  <si>
    <t xml:space="preserve">판암하늘셀프주유소</t>
  </si>
  <si>
    <t xml:space="preserve">대전 동구 옥천로 77</t>
  </si>
  <si>
    <t xml:space="preserve">042-286-5189</t>
  </si>
  <si>
    <t xml:space="preserve">(유)용명에너지 신대전셀프주유소</t>
  </si>
  <si>
    <t xml:space="preserve">대전 서구 도산로 213</t>
  </si>
  <si>
    <t xml:space="preserve">042-533-6045</t>
  </si>
  <si>
    <t xml:space="preserve">KK㈜ 대전중앙주유소</t>
  </si>
  <si>
    <t xml:space="preserve">대전 유성구 유성대로 1647</t>
  </si>
  <si>
    <t xml:space="preserve">042-862-2631</t>
  </si>
  <si>
    <t xml:space="preserve">KK㈜ 천안중앙1주유소</t>
  </si>
  <si>
    <t xml:space="preserve">충남 천안시 서북구 서부대로 422</t>
  </si>
  <si>
    <t xml:space="preserve">041-571-3389</t>
  </si>
  <si>
    <t xml:space="preserve">KK㈜ 천안중앙2주유소</t>
  </si>
  <si>
    <t xml:space="preserve">충남 천안시 서북구 쌍용대로 215 (성정동)</t>
  </si>
  <si>
    <t xml:space="preserve">041-575-4228</t>
  </si>
  <si>
    <t xml:space="preserve">대성셀프주유소</t>
  </si>
  <si>
    <t xml:space="preserve">대전 동구 대전로 292 (대성동)</t>
  </si>
  <si>
    <t xml:space="preserve">042-286-9505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</si>
  <si>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</si>
  <si>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</si>
  <si>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</si>
  <si>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041-622-5189</t>
  </si>
  <si>
    <t xml:space="preserve">용전셀프주유소</t>
  </si>
  <si>
    <t xml:space="preserve">대전 동구 동서대로 1627(홍도동)</t>
  </si>
  <si>
    <t xml:space="preserve">042-637-8838</t>
  </si>
  <si>
    <t xml:space="preserve">(주)에너비즈 명품주유소</t>
  </si>
  <si>
    <t xml:space="preserve">대전 서구 배재로 218 (도마동)</t>
  </si>
  <si>
    <t xml:space="preserve">042-521-0051</t>
  </si>
  <si>
    <t xml:space="preserve">골든벨주유소</t>
  </si>
  <si>
    <t xml:space="preserve">충북 청주시 상당구 용담동 산성로183</t>
  </si>
  <si>
    <t xml:space="preserve">043-287-5149</t>
  </si>
  <si>
    <t xml:space="preserve">은성주유소</t>
  </si>
  <si>
    <t xml:space="preserve">충남 천안시 서북구 성거읍 망향로 819</t>
  </si>
  <si>
    <t xml:space="preserve">041-522-1886</t>
  </si>
  <si>
    <t xml:space="preserve">죽림주유소</t>
  </si>
  <si>
    <t xml:space="preserve">충북 청주시 서원구 대림로 451 (죽림동)</t>
  </si>
  <si>
    <t xml:space="preserve">043-239-5151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</si>
  <si>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</si>
  <si>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</si>
  <si>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</si>
  <si>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장모님셀프주유소</t>
  </si>
  <si>
    <t xml:space="preserve">충남 천안시 동남구 서부대로 69</t>
  </si>
  <si>
    <t xml:space="preserve">041-573-2277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</si>
  <si>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</si>
  <si>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</si>
  <si>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</si>
  <si>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지에스칼텍스(주)21세기주유소</t>
  </si>
  <si>
    <t xml:space="preserve">대전 유성구 유성대로 845</t>
  </si>
  <si>
    <t xml:space="preserve">042-825-2800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</si>
  <si>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</si>
  <si>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</si>
  <si>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</si>
  <si>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신가오주유소</t>
  </si>
  <si>
    <t xml:space="preserve">대전 동구 은어송로 38 (가오동)</t>
  </si>
  <si>
    <t xml:space="preserve">042-272-7171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</si>
  <si>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</si>
  <si>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</si>
  <si>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</si>
  <si>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</si>
  <si>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</si>
  <si>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</si>
  <si>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</si>
  <si>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</si>
  <si>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</si>
  <si>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</si>
  <si>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</si>
  <si>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</si>
  <si>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041-554-5182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</si>
  <si>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</si>
  <si>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</si>
  <si>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</si>
  <si>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㈜서부탑주유소</t>
  </si>
  <si>
    <t xml:space="preserve">충남 천안시 서북구 서부대로 596</t>
  </si>
  <si>
    <t xml:space="preserve">041-577-8951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</si>
  <si>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</si>
  <si>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</si>
  <si>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</si>
  <si>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</si>
  <si>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</si>
  <si>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</si>
  <si>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SK에너지(주) 소담self주유소</t>
  </si>
  <si>
    <t xml:space="preserve">세종특별자치시 소담로 40</t>
  </si>
  <si>
    <t xml:space="preserve">044-864-5145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</si>
  <si>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</si>
  <si>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</si>
  <si>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</si>
  <si>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</si>
  <si>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</si>
  <si>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</si>
  <si>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</si>
  <si>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</si>
  <si>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</si>
  <si>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</si>
  <si>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</si>
  <si>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</si>
  <si>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</si>
  <si>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</si>
  <si>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</si>
  <si>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</si>
  <si>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</si>
  <si>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</si>
  <si>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지에스칼텍스㈜ KTX주유소(아산)</t>
  </si>
  <si>
    <t xml:space="preserve">충남 아산시 배방읍 이순신대로 832</t>
  </si>
  <si>
    <t xml:space="preserve">041-547-5139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</si>
  <si>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</si>
  <si>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</si>
  <si>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</si>
  <si>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지에스칼텍스㈜직영GS아산스타주유소</t>
  </si>
  <si>
    <t xml:space="preserve">충남 아산시 온천대로 1282</t>
  </si>
  <si>
    <t xml:space="preserve">041-546-5185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</si>
  <si>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</si>
  <si>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</si>
  <si>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</si>
  <si>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(유)그린 주유소</t>
  </si>
  <si>
    <t xml:space="preserve">충북 청주시 서원구 서부로 1409 (개신동)</t>
  </si>
  <si>
    <t xml:space="preserve">043-264-5151</t>
  </si>
  <si>
    <t xml:space="preserve">HD현대오일뱅크㈜직영 교대셀프주유소</t>
  </si>
  <si>
    <t xml:space="preserve">충북 청주시 서원구 청남로 2005번길 2</t>
  </si>
  <si>
    <t xml:space="preserve">043-284-7001</t>
  </si>
  <si>
    <t xml:space="preserve">SK에너지㈜ 예성주유소</t>
  </si>
  <si>
    <t xml:space="preserve">대전 유성구 도안동로 488</t>
  </si>
  <si>
    <t xml:space="preserve">042-822-6556</t>
  </si>
  <si>
    <t xml:space="preserve">코리아에너지(주)</t>
  </si>
  <si>
    <t xml:space="preserve">충북 청주시 청원구 공항로 235</t>
  </si>
  <si>
    <t xml:space="preserve">043-241-5145</t>
  </si>
  <si>
    <t xml:space="preserve">SK에너지㈜ 훼미리주유소</t>
  </si>
  <si>
    <t xml:space="preserve">충남 천안시 서북구 망향로 244</t>
  </si>
  <si>
    <t xml:space="preserve">041-564-5158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</si>
  <si>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</si>
  <si>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</si>
  <si>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</si>
  <si>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명품주유소</t>
  </si>
  <si>
    <t xml:space="preserve">충북 청주시 서원구 산미로 39 (미평동)</t>
  </si>
  <si>
    <t xml:space="preserve">043-223-7000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</si>
  <si>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</si>
  <si>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</si>
  <si>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</si>
  <si>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</si>
  <si>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</si>
  <si>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</si>
  <si>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</si>
  <si>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</si>
  <si>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</si>
  <si>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</si>
  <si>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</si>
  <si>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</si>
  <si>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(주)청주관문주유소</t>
  </si>
  <si>
    <t xml:space="preserve">충북 청주시 서원구 청남로 1894</t>
  </si>
  <si>
    <t xml:space="preserve">043-292-1710</t>
  </si>
  <si>
    <t xml:space="preserve">창현주유소</t>
  </si>
  <si>
    <t xml:space="preserve">충북 청주시 흥덕구 강내면 가로수로 567-9</t>
  </si>
  <si>
    <t xml:space="preserve">043-234-5331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</si>
  <si>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</si>
  <si>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</si>
  <si>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</si>
  <si>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성진주유소</t>
  </si>
  <si>
    <t xml:space="preserve">충북 청주시 서원구 남이면 대림로 325</t>
  </si>
  <si>
    <t xml:space="preserve">043-234-5185</t>
  </si>
  <si>
    <t xml:space="preserve">HD현대오일뱅크㈜직영 동부주유소</t>
  </si>
  <si>
    <t xml:space="preserve">충남 아산시 문화로 317 (모종동)</t>
  </si>
  <si>
    <t xml:space="preserve">041-546-8080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</si>
  <si>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</si>
  <si>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</si>
  <si>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</si>
  <si>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영보주유소</t>
  </si>
  <si>
    <t xml:space="preserve">충남 보령시 대천로 97,  (대천동)</t>
  </si>
  <si>
    <t xml:space="preserve">041-936-0671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</si>
  <si>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</si>
  <si>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</si>
  <si>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</si>
  <si>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</si>
  <si>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</si>
  <si>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</si>
  <si>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041-557-6161</t>
  </si>
  <si>
    <t xml:space="preserve">천안삼거리(서울방향)주유소/충전소 ㈜광동석유</t>
  </si>
  <si>
    <t xml:space="preserve">충남 천안시 동남구 쉼1길 40</t>
  </si>
  <si>
    <t xml:space="preserve">041-555-3001</t>
  </si>
  <si>
    <t xml:space="preserve">서청주주유소</t>
  </si>
  <si>
    <t xml:space="preserve">충북 청주시 흥덕구 1순환로 572 (봉명동)</t>
  </si>
  <si>
    <t xml:space="preserve">043-268-5151</t>
  </si>
  <si>
    <t xml:space="preserve">대성</t>
  </si>
  <si>
    <t xml:space="preserve">충북 청주시 상당구 용담로 101</t>
  </si>
  <si>
    <t xml:space="preserve">043-222-0999</t>
  </si>
  <si>
    <t xml:space="preserve">신성주유소</t>
  </si>
  <si>
    <t xml:space="preserve">대전 유성구 가정북로 163</t>
  </si>
  <si>
    <t xml:space="preserve">042-861-0896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</si>
  <si>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</si>
  <si>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</si>
  <si>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</si>
  <si>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강서행복주유소</t>
  </si>
  <si>
    <t xml:space="preserve">충북 청주시 흥덕구 서현로 16 (가경동)</t>
  </si>
  <si>
    <t xml:space="preserve">043-238-0051</t>
  </si>
  <si>
    <t xml:space="preserve">Sh수협주유소</t>
  </si>
  <si>
    <t xml:space="preserve">충남 보령시 신평로 22 (대천3동)</t>
  </si>
  <si>
    <t xml:space="preserve">041-931-5130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</si>
  <si>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</si>
  <si>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</si>
  <si>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</si>
  <si>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주식회사 가수원주유소</t>
  </si>
  <si>
    <t xml:space="preserve">대전 서구 계백로 1176 (가수원동)</t>
  </si>
  <si>
    <t xml:space="preserve">042-543-5189</t>
  </si>
  <si>
    <t xml:space="preserve">승덕주유소</t>
  </si>
  <si>
    <t xml:space="preserve">세종특별자치시 소정면 세종로 4317</t>
  </si>
  <si>
    <t xml:space="preserve">044-566-8351</t>
  </si>
  <si>
    <t xml:space="preserve">CJ대한통운㈜ 제스에너지</t>
  </si>
  <si>
    <t xml:space="preserve">충남 아산시 탕정면 새아산로 356</t>
  </si>
  <si>
    <t xml:space="preserve">041-531-5104</t>
  </si>
  <si>
    <t xml:space="preserve">계룡주유소</t>
  </si>
  <si>
    <t xml:space="preserve">대전 유성구 현충원로 177</t>
  </si>
  <si>
    <t xml:space="preserve">042-822-5111</t>
  </si>
  <si>
    <t xml:space="preserve">강남셀프주유소</t>
  </si>
  <si>
    <t xml:space="preserve">충남 공주시 우금티로 745 (옥룡동)</t>
  </si>
  <si>
    <t xml:space="preserve">041-856-1250</t>
  </si>
  <si>
    <t xml:space="preserve">중도석유(주)중도행복주유소</t>
  </si>
  <si>
    <t xml:space="preserve">충남 아산시 배방읍 고속철대로 171</t>
  </si>
  <si>
    <t xml:space="preserve">070-7711-3763</t>
  </si>
  <si>
    <t xml:space="preserve">고운self주유소</t>
  </si>
  <si>
    <t xml:space="preserve">세종특별자치시 마음안로 136  (고운동)</t>
  </si>
  <si>
    <t xml:space="preserve">044-867-5188</t>
  </si>
  <si>
    <t xml:space="preserve">24시 대천주유소</t>
  </si>
  <si>
    <t xml:space="preserve">충남 보령시 중앙로 172 (대천동)</t>
  </si>
  <si>
    <t xml:space="preserve">041-934-4277</t>
  </si>
  <si>
    <t xml:space="preserve">㈜바이미 아름셀프주유소</t>
  </si>
  <si>
    <t xml:space="preserve">세종특별자치시 세종로 1328</t>
  </si>
  <si>
    <t xml:space="preserve">044-864-5184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</si>
  <si>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</si>
  <si>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</si>
  <si>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</si>
  <si>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대천서부수협주유소</t>
  </si>
  <si>
    <t xml:space="preserve">충남 보령시 대해로 791 (신흑동)</t>
  </si>
  <si>
    <t xml:space="preserve">041-934-2611</t>
  </si>
  <si>
    <t xml:space="preserve">장암주유소</t>
  </si>
  <si>
    <t xml:space="preserve">충남 공주시 금벽로 1083</t>
  </si>
  <si>
    <t xml:space="preserve">041-856-5189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</si>
  <si>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</si>
  <si>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</si>
  <si>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</si>
  <si>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행복주유소</t>
  </si>
  <si>
    <t xml:space="preserve">충북 청주시 흥덕구 엘지로 11</t>
  </si>
  <si>
    <t xml:space="preserve">043-272-7779</t>
  </si>
  <si>
    <t xml:space="preserve">KK㈜ 청주중앙1주유소</t>
  </si>
  <si>
    <t xml:space="preserve">충북 청주시 상당구 중고개로 295</t>
  </si>
  <si>
    <t xml:space="preserve">043-252-0334</t>
  </si>
  <si>
    <t xml:space="preserve">(주)행복주유소</t>
  </si>
  <si>
    <t xml:space="preserve">충북 청주시 청원구 충청대로 258</t>
  </si>
  <si>
    <t xml:space="preserve">043-218-5140</t>
  </si>
  <si>
    <t xml:space="preserve">양궁장주유소</t>
  </si>
  <si>
    <t xml:space="preserve">충북 청주시 상당구 1순환로 1500 (용정동)</t>
  </si>
  <si>
    <t xml:space="preserve">043-287-5151</t>
  </si>
  <si>
    <t xml:space="preserve">신광명주유소</t>
  </si>
  <si>
    <t xml:space="preserve">충남 천안시 동남구 천안대로 220 (삼룡동)</t>
  </si>
  <si>
    <t xml:space="preserve">041-555-5149</t>
  </si>
  <si>
    <t xml:space="preserve">만수르기름창고㈜</t>
  </si>
  <si>
    <t xml:space="preserve">충남 아산시 음봉면 음봉로 315</t>
  </si>
  <si>
    <t xml:space="preserve">070-4616-5151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</si>
  <si>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</si>
  <si>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</si>
  <si>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</si>
  <si>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</si>
  <si>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</si>
  <si>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</si>
  <si>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극동유화(주) 만수르주유소</t>
  </si>
  <si>
    <t xml:space="preserve">충남 아산시 배방읍 이순신대로 817</t>
  </si>
  <si>
    <t xml:space="preserve">041-546-5183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</si>
  <si>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</si>
  <si>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</si>
  <si>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</si>
  <si>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</si>
  <si>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</si>
  <si>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</si>
  <si>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</si>
  <si>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</si>
  <si>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</si>
  <si>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대양셀프주유소</t>
  </si>
  <si>
    <t xml:space="preserve">충남 천안시 서북구 충무로 166 (쌍용동)</t>
  </si>
  <si>
    <t xml:space="preserve">041-572-4905</t>
  </si>
  <si>
    <t xml:space="preserve">동신셀프주유소</t>
  </si>
  <si>
    <t xml:space="preserve">충남 천안시 동남구 풍세로 907 (다가동)</t>
  </si>
  <si>
    <t xml:space="preserve">041-554-8848</t>
  </si>
  <si>
    <t xml:space="preserve">(주)동인청사 구도일주유소 세종</t>
  </si>
  <si>
    <t xml:space="preserve">세종 시청대로 669</t>
  </si>
  <si>
    <t xml:space="preserve">044-864-5182</t>
  </si>
  <si>
    <t xml:space="preserve">㈜해우 동세종주유소</t>
  </si>
  <si>
    <t xml:space="preserve">세종 부강면 세종청주로 205</t>
  </si>
  <si>
    <t xml:space="preserve">044-867-3447</t>
  </si>
  <si>
    <t xml:space="preserve">쌍용셀프주유소</t>
  </si>
  <si>
    <t xml:space="preserve">충남 천안시 서북구 불당대로 294</t>
  </si>
  <si>
    <t xml:space="preserve">041-577-5185</t>
  </si>
  <si>
    <t xml:space="preserve">드림Self주유소</t>
  </si>
  <si>
    <t xml:space="preserve">충남 공주시 정안면 차령로 3600</t>
  </si>
  <si>
    <t xml:space="preserve">041-858-5104</t>
  </si>
  <si>
    <t xml:space="preserve">호서대주유소</t>
  </si>
  <si>
    <t xml:space="preserve">충남 아산시 배방읍 온천대로 2236</t>
  </si>
  <si>
    <t xml:space="preserve">041-532-5189</t>
  </si>
  <si>
    <t xml:space="preserve">왕대박셀프주유소</t>
  </si>
  <si>
    <t xml:space="preserve">충남 천안시 서북구 성정9길 23-29 (성정동)</t>
  </si>
  <si>
    <t xml:space="preserve">041-553-5149</t>
  </si>
  <si>
    <t xml:space="preserve">서천안 ㈜오일컴퍼니</t>
  </si>
  <si>
    <t xml:space="preserve">충남 천안시 동남구 풍세로 689</t>
  </si>
  <si>
    <t xml:space="preserve">041-574-5188</t>
  </si>
  <si>
    <t xml:space="preserve">두정탑주유소</t>
  </si>
  <si>
    <t xml:space="preserve">충남 천안시 서북구 동서대로 61</t>
  </si>
  <si>
    <t xml:space="preserve">041-588-5189</t>
  </si>
  <si>
    <t xml:space="preserve">우리주유소</t>
  </si>
  <si>
    <t xml:space="preserve">충남 아산시 온천대로 1793</t>
  </si>
  <si>
    <t xml:space="preserve">041-533-9934</t>
  </si>
  <si>
    <t xml:space="preserve">맘모스주유소</t>
  </si>
  <si>
    <t xml:space="preserve">충남 천안시 동남구 만남로 126 (신부동)</t>
  </si>
  <si>
    <t xml:space="preserve">041-563-7001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</si>
  <si>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</si>
  <si>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</si>
  <si>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</si>
  <si>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</si>
  <si>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</si>
  <si>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</si>
  <si>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</si>
  <si>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</si>
  <si>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</si>
  <si>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현대신원주유소</t>
  </si>
  <si>
    <t xml:space="preserve">충남 공주시 계룡면 영규대사로 143</t>
  </si>
  <si>
    <t xml:space="preserve">041-854-5111</t>
  </si>
  <si>
    <t xml:space="preserve">솔티주유소</t>
  </si>
  <si>
    <t xml:space="preserve">충남 공주시 충의로 2092</t>
  </si>
  <si>
    <t xml:space="preserve">041-841-3666</t>
  </si>
  <si>
    <t xml:space="preserve">신풍주유소</t>
  </si>
  <si>
    <t xml:space="preserve">충남 공주시 신풍면 차동로 2144</t>
  </si>
  <si>
    <t xml:space="preserve">041-841-5551</t>
  </si>
  <si>
    <t xml:space="preserve">신영주유소</t>
  </si>
  <si>
    <t xml:space="preserve">충남 공주시 유구읍 금계산로 424</t>
  </si>
  <si>
    <t xml:space="preserve">041-841-5553</t>
  </si>
  <si>
    <t xml:space="preserve">청기와주유소</t>
  </si>
  <si>
    <t xml:space="preserve">충남 공주시 신기안길 142</t>
  </si>
  <si>
    <t xml:space="preserve">041-857-7400</t>
  </si>
  <si>
    <t xml:space="preserve">청송주유소</t>
  </si>
  <si>
    <t xml:space="preserve">충남 공주시 신풍면 충의로 2317</t>
  </si>
  <si>
    <t xml:space="preserve">041-841-5766</t>
  </si>
  <si>
    <t xml:space="preserve">신사주유소</t>
  </si>
  <si>
    <t xml:space="preserve">충남 공주시 사곡면 차동로 1431</t>
  </si>
  <si>
    <t xml:space="preserve">041-841-4422</t>
  </si>
  <si>
    <t xml:space="preserve">월미공단주유소</t>
  </si>
  <si>
    <t xml:space="preserve">충남 공주시 차동로 239</t>
  </si>
  <si>
    <t xml:space="preserve">041-854-6276</t>
  </si>
  <si>
    <t xml:space="preserve">자연주유소</t>
  </si>
  <si>
    <t xml:space="preserve">충남 공주시 계룡면 차령로 1064</t>
  </si>
  <si>
    <t xml:space="preserve">041-858-5151</t>
  </si>
  <si>
    <t xml:space="preserve">고마셀프주유소</t>
  </si>
  <si>
    <t xml:space="preserve">충남 공주시 우금티로 327 (주미동)</t>
  </si>
  <si>
    <t xml:space="preserve">041-852-7009</t>
  </si>
  <si>
    <t xml:space="preserve">송선셀프주유소</t>
  </si>
  <si>
    <t xml:space="preserve">충남 공주시 송선농공단지길 6 (송선동)</t>
  </si>
  <si>
    <t xml:space="preserve">041-852-5177</t>
  </si>
  <si>
    <t xml:space="preserve">금정주유소</t>
  </si>
  <si>
    <t xml:space="preserve">충남 보령시 성주면 성주산로 667</t>
  </si>
  <si>
    <t xml:space="preserve">041-932-6070</t>
  </si>
  <si>
    <t xml:space="preserve">한옥마을주유소</t>
  </si>
  <si>
    <t xml:space="preserve">충남 공주시 전진배길 283</t>
  </si>
  <si>
    <t xml:space="preserve">041-855-3332</t>
  </si>
  <si>
    <t xml:space="preserve">오성주유소</t>
  </si>
  <si>
    <t xml:space="preserve">충남 공주시 우금티로 424 (금학동)</t>
  </si>
  <si>
    <t xml:space="preserve">041-856-0058</t>
  </si>
  <si>
    <t xml:space="preserve">이인주유소</t>
  </si>
  <si>
    <t xml:space="preserve">충남 공주시 이인면 검바위로 205</t>
  </si>
  <si>
    <t xml:space="preserve">041-857-0118</t>
  </si>
  <si>
    <t xml:space="preserve">신탄진(상)주유소/충전소</t>
  </si>
  <si>
    <t xml:space="preserve">대전 대덕구 산업단지로 27</t>
  </si>
  <si>
    <t xml:space="preserve">042-934-2445</t>
  </si>
  <si>
    <t xml:space="preserve">동천주유소</t>
  </si>
  <si>
    <t xml:space="preserve">충남 공주시 정안면 차령로 2948</t>
  </si>
  <si>
    <t xml:space="preserve">041-858-8138</t>
  </si>
  <si>
    <t xml:space="preserve">여로주유소</t>
  </si>
  <si>
    <t xml:space="preserve">충남 공주시  전진배길 413 (소학동)</t>
  </si>
  <si>
    <t xml:space="preserve">041-855-3999</t>
  </si>
  <si>
    <t xml:space="preserve">중부제3셀프주유소</t>
  </si>
  <si>
    <t xml:space="preserve">충남 공주시 무령로 466 (신관동)</t>
  </si>
  <si>
    <t xml:space="preserve">041-881-8851</t>
  </si>
  <si>
    <t xml:space="preserve">동건셀프주유소</t>
  </si>
  <si>
    <t xml:space="preserve">충남 공주시 무령로 492</t>
  </si>
  <si>
    <t xml:space="preserve">041-854-0347</t>
  </si>
  <si>
    <t xml:space="preserve">송정주유소</t>
  </si>
  <si>
    <t xml:space="preserve">충청남도 천안시 동남구 병천면 매봉로 244</t>
  </si>
  <si>
    <t xml:space="preserve">041-561-9540</t>
  </si>
  <si>
    <t xml:space="preserve">삼진self주유소</t>
  </si>
  <si>
    <t xml:space="preserve">충남 공주시 의당면 의당로 287</t>
  </si>
  <si>
    <t xml:space="preserve">041-857-5189</t>
  </si>
  <si>
    <t xml:space="preserve">유구셀프주유소</t>
  </si>
  <si>
    <t xml:space="preserve">충남 공주시 유구읍 중앙1길 66</t>
  </si>
  <si>
    <t xml:space="preserve">041-841-5151</t>
  </si>
  <si>
    <t xml:space="preserve">영광Self주유소</t>
  </si>
  <si>
    <t xml:space="preserve">충남 공주시 정안면 정안중앙길 198</t>
  </si>
  <si>
    <t xml:space="preserve">041-858-6509</t>
  </si>
  <si>
    <t xml:space="preserve">중부주유소</t>
  </si>
  <si>
    <t xml:space="preserve">충남 공주시 우성면 우성길 112</t>
  </si>
  <si>
    <t xml:space="preserve">041-852-5536</t>
  </si>
  <si>
    <t xml:space="preserve">대창주유소</t>
  </si>
  <si>
    <t xml:space="preserve">충남 보령시 웅천읍 장터중앙길 69</t>
  </si>
  <si>
    <t xml:space="preserve">041-933-8889</t>
  </si>
  <si>
    <t xml:space="preserve">효성주유소</t>
  </si>
  <si>
    <t xml:space="preserve">충남 보령시 오천면 도미항로 375</t>
  </si>
  <si>
    <t xml:space="preserve">041-933-8279</t>
  </si>
  <si>
    <t xml:space="preserve">(주)농협대전유통 하나로주유소</t>
  </si>
  <si>
    <t xml:space="preserve">NH-OIL</t>
  </si>
  <si>
    <t xml:space="preserve">대전 중구 대둔산로199번길 43</t>
  </si>
  <si>
    <t xml:space="preserve">042-580-5083</t>
  </si>
  <si>
    <t xml:space="preserve">대성주유소</t>
  </si>
  <si>
    <t xml:space="preserve">충북 청주시 흥덕구 강내면 태성탑연로 68</t>
  </si>
  <si>
    <t xml:space="preserve">043-234-6565</t>
  </si>
  <si>
    <t xml:space="preserve">우리셋주유소</t>
  </si>
  <si>
    <t xml:space="preserve">대전 중구 대둔산로 150</t>
  </si>
  <si>
    <t xml:space="preserve">042-581-0678</t>
  </si>
  <si>
    <t xml:space="preserve">녹천주유소</t>
  </si>
  <si>
    <t xml:space="preserve">충남 공주시 유구읍 유구외곽로 34</t>
  </si>
  <si>
    <t xml:space="preserve">041-841-0555</t>
  </si>
  <si>
    <t xml:space="preserve">금영주유소</t>
  </si>
  <si>
    <t xml:space="preserve">충남 공주시 소학동길 125</t>
  </si>
  <si>
    <t xml:space="preserve">041-856-4290</t>
  </si>
  <si>
    <t xml:space="preserve">현대보령셀프주유소</t>
  </si>
  <si>
    <t xml:space="preserve">충남 보령시 대해로 176 (내항동)</t>
  </si>
  <si>
    <t xml:space="preserve">041-936-3615</t>
  </si>
  <si>
    <t xml:space="preserve">동대주유소</t>
  </si>
  <si>
    <t xml:space="preserve">충남 보령시 대청로 142 (동대동)</t>
  </si>
  <si>
    <t xml:space="preserve">041-936-8600</t>
  </si>
  <si>
    <t xml:space="preserve">행운주유소</t>
  </si>
  <si>
    <t xml:space="preserve">충북 청주시 상당구 낭성면 단재로 1778</t>
  </si>
  <si>
    <t xml:space="preserve">043-297-0611</t>
  </si>
  <si>
    <t xml:space="preserve">학봉주유소</t>
  </si>
  <si>
    <t xml:space="preserve">충남 공주시 반포면 동학사1로 105</t>
  </si>
  <si>
    <t xml:space="preserve">042-825-8989</t>
  </si>
  <si>
    <t xml:space="preserve">덕원주유소</t>
  </si>
  <si>
    <t xml:space="preserve">충남 보령시 청소면 충서로 4063</t>
  </si>
  <si>
    <t xml:space="preserve">041-933-5149</t>
  </si>
  <si>
    <t xml:space="preserve">서해안주유소</t>
  </si>
  <si>
    <t xml:space="preserve">충남 보령시 청소면 청소큰길 22</t>
  </si>
  <si>
    <t xml:space="preserve">041-933-7561</t>
  </si>
  <si>
    <t xml:space="preserve">성주주유소</t>
  </si>
  <si>
    <t xml:space="preserve">충남 보령시 성주면 성주산로 420</t>
  </si>
  <si>
    <t xml:space="preserve">041-933-5211</t>
  </si>
  <si>
    <t xml:space="preserve">옻샘주유소</t>
  </si>
  <si>
    <t xml:space="preserve">충북 청주시 상당구 미원면 남부로 6864</t>
  </si>
  <si>
    <t xml:space="preserve">043-297-0779</t>
  </si>
  <si>
    <t xml:space="preserve">대지주유소</t>
  </si>
  <si>
    <t xml:space="preserve">충남 아산시 신창면 온천대로 953</t>
  </si>
  <si>
    <t xml:space="preserve">041-534-2352</t>
  </si>
  <si>
    <t xml:space="preserve">가덕주유소</t>
  </si>
  <si>
    <t xml:space="preserve">충북 청주시 상당구 가덕면 상장인차로 570</t>
  </si>
  <si>
    <t xml:space="preserve">043-288-6777</t>
  </si>
  <si>
    <t xml:space="preserve">다복주유소</t>
  </si>
  <si>
    <t xml:space="preserve">충북 청주시 서원구 현도면 시목부강로 199</t>
  </si>
  <si>
    <t xml:space="preserve">043-262-5145</t>
  </si>
  <si>
    <t xml:space="preserve">등고개주유소</t>
  </si>
  <si>
    <t xml:space="preserve">충북 청주시 상당구 남일면 교육원로 9</t>
  </si>
  <si>
    <t xml:space="preserve">043-298-5145</t>
  </si>
  <si>
    <t xml:space="preserve">서대전농협주유소</t>
  </si>
  <si>
    <t xml:space="preserve">대전 중구 계백로 1555 (유천동)</t>
  </si>
  <si>
    <t xml:space="preserve">042-535-9251</t>
  </si>
  <si>
    <t xml:space="preserve">약수주유소</t>
  </si>
  <si>
    <t xml:space="preserve">충북 청주시 상당구 미원면 단재로 2864</t>
  </si>
  <si>
    <t xml:space="preserve">043-223-7575</t>
  </si>
  <si>
    <t xml:space="preserve">조이오토주유소</t>
  </si>
  <si>
    <t xml:space="preserve">충남 공주시  우금티로 157 (태봉동)</t>
  </si>
  <si>
    <t xml:space="preserve">041-854-0477</t>
  </si>
  <si>
    <t xml:space="preserve">선명주유소</t>
  </si>
  <si>
    <t xml:space="preserve">충북 청주시 상당구 미원면 단재로 2670</t>
  </si>
  <si>
    <t xml:space="preserve">043-297-0144</t>
  </si>
  <si>
    <t xml:space="preserve">공단주유소</t>
  </si>
  <si>
    <t xml:space="preserve">충남 아산시 인주면 아산만로 1368</t>
  </si>
  <si>
    <t xml:space="preserve">041-533-2024</t>
  </si>
  <si>
    <t xml:space="preserve">기령주유소</t>
  </si>
  <si>
    <t xml:space="preserve">충북 청주시 상당구 남일면 단재로 1009</t>
  </si>
  <si>
    <t xml:space="preserve">043-291-2990</t>
  </si>
  <si>
    <t xml:space="preserve">형제복지주유소</t>
  </si>
  <si>
    <t xml:space="preserve">충청남도 공주시 이인면 백제큰길 1178</t>
  </si>
  <si>
    <t xml:space="preserve">041-856-8951</t>
  </si>
  <si>
    <t xml:space="preserve">설성주유소</t>
  </si>
  <si>
    <t xml:space="preserve">충남 공주시 탄천면 통산로 137</t>
  </si>
  <si>
    <t xml:space="preserve">041-853-6787</t>
  </si>
  <si>
    <t xml:space="preserve">갑사주유소</t>
  </si>
  <si>
    <t xml:space="preserve">충남 공주시 계룡면 영규대사로 585</t>
  </si>
  <si>
    <t xml:space="preserve">041-857-5542</t>
  </si>
  <si>
    <t xml:space="preserve">공주VIP주유소</t>
  </si>
  <si>
    <t xml:space="preserve">자가상표</t>
  </si>
  <si>
    <t xml:space="preserve">충남 공주시 소학동길 179</t>
  </si>
  <si>
    <t xml:space="preserve">041-961-9300</t>
  </si>
  <si>
    <t xml:space="preserve">차사랑주유소</t>
  </si>
  <si>
    <t xml:space="preserve">충남 공주시 정안면 차령로 3133</t>
  </si>
  <si>
    <t xml:space="preserve">041-858-5444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</si>
  <si>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</si>
  <si>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</si>
  <si>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</si>
  <si>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천지주유소</t>
  </si>
  <si>
    <t xml:space="preserve">충남 공주시 정안면 차령로 3270</t>
  </si>
  <si>
    <t xml:space="preserve">041-858-2324</t>
  </si>
  <si>
    <t xml:space="preserve">가산주유소</t>
  </si>
  <si>
    <t xml:space="preserve">충남 아산시 선장면 아산만로 971</t>
  </si>
  <si>
    <t xml:space="preserve">041-541-5621</t>
  </si>
  <si>
    <t xml:space="preserve">두현주유소</t>
  </si>
  <si>
    <t xml:space="preserve">충남 아산시 송악면 외암로 239</t>
  </si>
  <si>
    <t xml:space="preserve">041-541-3822</t>
  </si>
  <si>
    <t xml:space="preserve">충남 아산시 도고면 온천대로 102</t>
  </si>
  <si>
    <t xml:space="preserve">041-534-3612</t>
  </si>
  <si>
    <t xml:space="preserve">음봉농협주유소</t>
  </si>
  <si>
    <t xml:space="preserve">충남 아산시 음봉면 연암율금로 78</t>
  </si>
  <si>
    <t xml:space="preserve">041-534-9332</t>
  </si>
  <si>
    <t xml:space="preserve">행복한주유소</t>
  </si>
  <si>
    <t xml:space="preserve">충남 아산시 신창면 서부북로 331</t>
  </si>
  <si>
    <t xml:space="preserve">041-533-5182</t>
  </si>
  <si>
    <t xml:space="preserve">성환주유소</t>
  </si>
  <si>
    <t xml:space="preserve">충남 천안시 서북구 성환읍 연암율금로 103</t>
  </si>
  <si>
    <t xml:space="preserve">041-581-9768</t>
  </si>
  <si>
    <t xml:space="preserve">아리랑주유소</t>
  </si>
  <si>
    <t xml:space="preserve">충남 공주시 우금티로 475 (금학동)</t>
  </si>
  <si>
    <t xml:space="preserve">041-855-0051</t>
  </si>
  <si>
    <t xml:space="preserve">아성주유소</t>
  </si>
  <si>
    <t xml:space="preserve">충남 공주시 무령로 424 (신관동)</t>
  </si>
  <si>
    <t xml:space="preserve">041-856-5179</t>
  </si>
  <si>
    <t xml:space="preserve">남일주유소</t>
  </si>
  <si>
    <t xml:space="preserve">충북 청주시 상당구 남일면 단재로 828</t>
  </si>
  <si>
    <t xml:space="preserve">043-298-7700</t>
  </si>
  <si>
    <t xml:space="preserve">세종예운주유소</t>
  </si>
  <si>
    <t xml:space="preserve">세종 부강면 부강외천로 301</t>
  </si>
  <si>
    <t xml:space="preserve">044-275-5150</t>
  </si>
  <si>
    <t xml:space="preserve">형제주유소</t>
  </si>
  <si>
    <t xml:space="preserve">충북 청주시 서원구 직지대로 738 (사직동)</t>
  </si>
  <si>
    <t xml:space="preserve">043-272-5189</t>
  </si>
  <si>
    <t xml:space="preserve">서공주IC주유소</t>
  </si>
  <si>
    <t xml:space="preserve">충청남도 공주시 우성면 공수원로 251</t>
  </si>
  <si>
    <t xml:space="preserve">041-852-5144</t>
  </si>
  <si>
    <t xml:space="preserve">현대셀프주유소</t>
  </si>
  <si>
    <t xml:space="preserve">대전 서구 변동로 114 (변동)</t>
  </si>
  <si>
    <t xml:space="preserve">042-535-0885</t>
  </si>
  <si>
    <t xml:space="preserve">구성주유소</t>
  </si>
  <si>
    <t xml:space="preserve">충남 아산시 영인면 아산호로 496</t>
  </si>
  <si>
    <t xml:space="preserve">041-542-4581</t>
  </si>
  <si>
    <t xml:space="preserve">세종주유소</t>
  </si>
  <si>
    <t xml:space="preserve">충북 청주시 흥덕구 강내면 저산태성로 289-4</t>
  </si>
  <si>
    <t xml:space="preserve">043-237-6280</t>
  </si>
  <si>
    <t xml:space="preserve">에이스주유소</t>
  </si>
  <si>
    <t xml:space="preserve">대전 동구 동대전로 253</t>
  </si>
  <si>
    <t xml:space="preserve">042-632-5289</t>
  </si>
  <si>
    <t xml:space="preserve">신탄진알뜰주유소</t>
  </si>
  <si>
    <t xml:space="preserve">대전 대덕구 대덕대로1527번길 374</t>
  </si>
  <si>
    <t xml:space="preserve">042-932-3000</t>
  </si>
  <si>
    <t xml:space="preserve">세종시 부강면 시목부강로 423</t>
  </si>
  <si>
    <t xml:space="preserve">044-863-5187</t>
  </si>
  <si>
    <t xml:space="preserve">보령머드주유소</t>
  </si>
  <si>
    <t xml:space="preserve">충남 보령시 대청로 379 (화산동)</t>
  </si>
  <si>
    <t xml:space="preserve">041-934-7311</t>
  </si>
  <si>
    <t xml:space="preserve">(주)이선 광장셀프주유소</t>
  </si>
  <si>
    <t xml:space="preserve">대전 동구 계족로 305</t>
  </si>
  <si>
    <t xml:space="preserve">042-623-2368</t>
  </si>
  <si>
    <t xml:space="preserve">우리하나셀프주유소</t>
  </si>
  <si>
    <t xml:space="preserve">대전 서구 동서대로 1120</t>
  </si>
  <si>
    <t xml:space="preserve">042-522-5179</t>
  </si>
  <si>
    <t xml:space="preserve">(주)혜천셀프주유소</t>
  </si>
  <si>
    <t xml:space="preserve">대전 서구 혜천로 28</t>
  </si>
  <si>
    <t xml:space="preserve">042-587-5189</t>
  </si>
  <si>
    <t xml:space="preserve">충북 청주시 흥덕구 가로수로 1315</t>
  </si>
  <si>
    <t xml:space="preserve">043-233-5028</t>
  </si>
  <si>
    <t xml:space="preserve">대전 서구 동서대로 953</t>
  </si>
  <si>
    <t xml:space="preserve">042-534-5301</t>
  </si>
  <si>
    <t xml:space="preserve">쌍용주유소 선인에너지</t>
  </si>
  <si>
    <t xml:space="preserve">대전 대덕구 신탄진로 83 (연축동)</t>
  </si>
  <si>
    <t xml:space="preserve">042-628-0088</t>
  </si>
  <si>
    <t xml:space="preserve">운암주유소</t>
  </si>
  <si>
    <t xml:space="preserve">충북 청주시 상당구 미원면 남부로 6605</t>
  </si>
  <si>
    <t xml:space="preserve">043-298-8211</t>
  </si>
  <si>
    <t xml:space="preserve">장기주유소</t>
  </si>
  <si>
    <t xml:space="preserve">세종특별자치시 장군면 장척로 408-7</t>
  </si>
  <si>
    <t xml:space="preserve">044-857-3334</t>
  </si>
  <si>
    <t xml:space="preserve">정림주유소</t>
  </si>
  <si>
    <t xml:space="preserve">충북 청주시 청원구 북이면 충청대로 1517</t>
  </si>
  <si>
    <t xml:space="preserve">043-214-5106</t>
  </si>
  <si>
    <t xml:space="preserve">홍대셀프주유소</t>
  </si>
  <si>
    <t xml:space="preserve">세종특별자치시 조치원읍 세종로 2654</t>
  </si>
  <si>
    <t xml:space="preserve">044-865-9966</t>
  </si>
  <si>
    <t xml:space="preserve">동일주유소</t>
  </si>
  <si>
    <t xml:space="preserve">충남 보령시 보령남로 100</t>
  </si>
  <si>
    <t xml:space="preserve">041-933-7666</t>
  </si>
  <si>
    <t xml:space="preserve">삼거리주유소</t>
  </si>
  <si>
    <t xml:space="preserve">충남 아산시 음봉면 아산온천로 528-8</t>
  </si>
  <si>
    <t xml:space="preserve">041-541-0465</t>
  </si>
  <si>
    <t xml:space="preserve">충북 청주시 상당구 낭성면 단재로 2079</t>
  </si>
  <si>
    <t xml:space="preserve">043-297-1578</t>
  </si>
  <si>
    <t xml:space="preserve">탑주유소</t>
  </si>
  <si>
    <t xml:space="preserve">충북 청주시 상당구 대성로 169-1</t>
  </si>
  <si>
    <t xml:space="preserve">043-223-4335</t>
  </si>
  <si>
    <t xml:space="preserve">태성주유소</t>
  </si>
  <si>
    <t xml:space="preserve">충북 청주시 상당구 미원면 구방5길 2</t>
  </si>
  <si>
    <t xml:space="preserve">043-223-0479</t>
  </si>
  <si>
    <t xml:space="preserve">호반주유소</t>
  </si>
  <si>
    <t xml:space="preserve">충북 청주시 상당구 가덕면 미천고은로 118</t>
  </si>
  <si>
    <t xml:space="preserve">043-297-3668</t>
  </si>
  <si>
    <t xml:space="preserve">㈜동림에너지 동명주유소</t>
  </si>
  <si>
    <t xml:space="preserve">충북 청주시 흥덕구 1순환로 514</t>
  </si>
  <si>
    <t xml:space="preserve">043-274-5771</t>
  </si>
  <si>
    <t xml:space="preserve">매봉주유소</t>
  </si>
  <si>
    <t xml:space="preserve">충북 청주시 서원구 현도면 청남로 193</t>
  </si>
  <si>
    <t xml:space="preserve">043-260-8878</t>
  </si>
  <si>
    <t xml:space="preserve">미래주유소</t>
  </si>
  <si>
    <t xml:space="preserve">충북 청주시 서원구 성봉로 234-2</t>
  </si>
  <si>
    <t xml:space="preserve">043-276-0073</t>
  </si>
  <si>
    <t xml:space="preserve">성일주유소</t>
  </si>
  <si>
    <t xml:space="preserve">충북 청주시 서원구 남이면 청남로 871</t>
  </si>
  <si>
    <t xml:space="preserve">043-904-9641</t>
  </si>
  <si>
    <t xml:space="preserve">안영IC주유소</t>
  </si>
  <si>
    <t xml:space="preserve">대전 중구 대둔산로 188 (안영동)</t>
  </si>
  <si>
    <t xml:space="preserve">042-584-5145</t>
  </si>
  <si>
    <t xml:space="preserve">탄방주유소</t>
  </si>
  <si>
    <t xml:space="preserve">대전 서구 유등로 659</t>
  </si>
  <si>
    <t xml:space="preserve">042-487-9005</t>
  </si>
  <si>
    <t xml:space="preserve">태산주유소</t>
  </si>
  <si>
    <t xml:space="preserve">세종특별자치시 소정면 세종로 4274</t>
  </si>
  <si>
    <t xml:space="preserve">044-523-6565</t>
  </si>
  <si>
    <t xml:space="preserve">옥녀봉주유소</t>
  </si>
  <si>
    <t xml:space="preserve">충북 청주시 청원구 북이면 충청대로 1376</t>
  </si>
  <si>
    <t xml:space="preserve">043-212-8787</t>
  </si>
  <si>
    <t xml:space="preserve">합동주유소</t>
  </si>
  <si>
    <t xml:space="preserve">충남 보령시 주교면 울개길 490</t>
  </si>
  <si>
    <t xml:space="preserve">041-933-0333</t>
  </si>
  <si>
    <t xml:space="preserve">광명주유소</t>
  </si>
  <si>
    <t xml:space="preserve">충남 보령시 웅천읍 장터중앙길 164</t>
  </si>
  <si>
    <t xml:space="preserve">041-933-2024</t>
  </si>
  <si>
    <t xml:space="preserve">명진주유소</t>
  </si>
  <si>
    <t xml:space="preserve">충남 보령시 미산면 만수로 1124</t>
  </si>
  <si>
    <t xml:space="preserve">041-933-4201</t>
  </si>
  <si>
    <t xml:space="preserve">제일주유소</t>
  </si>
  <si>
    <t xml:space="preserve">충남 보령시 흑포1길 4 (신흑동)</t>
  </si>
  <si>
    <t xml:space="preserve">041-931-5189</t>
  </si>
  <si>
    <t xml:space="preserve">무지개주유소</t>
  </si>
  <si>
    <t xml:space="preserve">충남 아산시 염치읍 충무로 381</t>
  </si>
  <si>
    <t xml:space="preserve">041-541-4443</t>
  </si>
  <si>
    <t xml:space="preserve">괴정주유소</t>
  </si>
  <si>
    <t xml:space="preserve">대전 서구 괴정로 113</t>
  </si>
  <si>
    <t xml:space="preserve">042-525-1551</t>
  </si>
  <si>
    <t xml:space="preserve">선인에너지㈜강변주유소</t>
  </si>
  <si>
    <t xml:space="preserve">대전 유성구 엑스포로 293</t>
  </si>
  <si>
    <t xml:space="preserve">042-862-5778</t>
  </si>
  <si>
    <t xml:space="preserve">송학주유소</t>
  </si>
  <si>
    <t xml:space="preserve">세종특별자치시 장군면 의당전의로 677</t>
  </si>
  <si>
    <t xml:space="preserve">044-854-1835</t>
  </si>
  <si>
    <t xml:space="preserve">황금주유소</t>
  </si>
  <si>
    <t xml:space="preserve">충북 청주시 상당구 대성로 92</t>
  </si>
  <si>
    <t xml:space="preserve">043-225-5189</t>
  </si>
  <si>
    <t xml:space="preserve">대전IC주유소 ㈜동서로</t>
  </si>
  <si>
    <t xml:space="preserve">대전 대덕구 동서대로 1787</t>
  </si>
  <si>
    <t xml:space="preserve">042-628-5185</t>
  </si>
  <si>
    <t xml:space="preserve">신탄진농협주유소</t>
  </si>
  <si>
    <t xml:space="preserve">대전 대덕구 덕암로 164</t>
  </si>
  <si>
    <t xml:space="preserve">042-932-5736</t>
  </si>
  <si>
    <t xml:space="preserve">㈜광장 대천톨게이트주유소</t>
  </si>
  <si>
    <t xml:space="preserve">충남 보령시 대해로 216 (내항동)</t>
  </si>
  <si>
    <t xml:space="preserve">041-933-6677</t>
  </si>
  <si>
    <t xml:space="preserve">대월주유소</t>
  </si>
  <si>
    <t xml:space="preserve">충남 보령시 남포면 남포방조제로 677</t>
  </si>
  <si>
    <t xml:space="preserve">041-934-8607</t>
  </si>
  <si>
    <t xml:space="preserve">서해주유소</t>
  </si>
  <si>
    <t xml:space="preserve">충남 보령시 미산면 만수로 957</t>
  </si>
  <si>
    <t xml:space="preserve">041-934-5208</t>
  </si>
  <si>
    <t xml:space="preserve">대림주유소</t>
  </si>
  <si>
    <t xml:space="preserve">대전 서구 계백로 1290 (정림동)</t>
  </si>
  <si>
    <t xml:space="preserve">042-586-5102</t>
  </si>
  <si>
    <t xml:space="preserve">대전 유성구 아리랑로 12</t>
  </si>
  <si>
    <t xml:space="preserve">042-864-5155</t>
  </si>
  <si>
    <t xml:space="preserve">남산주유소</t>
  </si>
  <si>
    <t xml:space="preserve">충남 아산시 시민로221 (용화동)</t>
  </si>
  <si>
    <t xml:space="preserve">041-542-3345</t>
  </si>
  <si>
    <t xml:space="preserve">인주셀프주유소</t>
  </si>
  <si>
    <t xml:space="preserve">충남 아산시 아산만로 1504</t>
  </si>
  <si>
    <t xml:space="preserve">041-547-5145</t>
  </si>
  <si>
    <t xml:space="preserve">㈜연정 에스에스주유소</t>
  </si>
  <si>
    <t xml:space="preserve">대전 대덕구 한밭대로 1020</t>
  </si>
  <si>
    <t xml:space="preserve">042-627-8575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</si>
  <si>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</si>
  <si>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</si>
  <si>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</si>
  <si>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삼정주유소</t>
  </si>
  <si>
    <t xml:space="preserve">세종 조치원읍 충현로 53</t>
  </si>
  <si>
    <t xml:space="preserve">044-865-2472</t>
  </si>
  <si>
    <t xml:space="preserve">세일주유소</t>
  </si>
  <si>
    <t xml:space="preserve">충남 천안시 서북구 천안대로 1201</t>
  </si>
  <si>
    <t xml:space="preserve">041-522-5149</t>
  </si>
  <si>
    <t xml:space="preserve">주홍셀프</t>
  </si>
  <si>
    <t xml:space="preserve">대전 서구 도산로 475 (탄방동)</t>
  </si>
  <si>
    <t xml:space="preserve">042-485-8363</t>
  </si>
  <si>
    <t xml:space="preserve">내판주유소</t>
  </si>
  <si>
    <t xml:space="preserve">세종특별자치시 연동면 청연로 639</t>
  </si>
  <si>
    <t xml:space="preserve">044-864-9229</t>
  </si>
  <si>
    <t xml:space="preserve">세종특별자치시 부강면 청연로 71</t>
  </si>
  <si>
    <t xml:space="preserve">044-275-5522</t>
  </si>
  <si>
    <t xml:space="preserve">중동주유소</t>
  </si>
  <si>
    <t xml:space="preserve">대전 서구 계룡로 344 (갈마동)</t>
  </si>
  <si>
    <t xml:space="preserve">042-533-7088</t>
  </si>
  <si>
    <t xml:space="preserve">(주)소나무 음봉주유소(Self)</t>
  </si>
  <si>
    <t xml:space="preserve">충남 아산시 음봉면 음봉로 655</t>
  </si>
  <si>
    <t xml:space="preserve">041-544-7551</t>
  </si>
  <si>
    <t xml:space="preserve">남동주유소</t>
  </si>
  <si>
    <t xml:space="preserve">충남 아산시 순천향로 1035 (남동)</t>
  </si>
  <si>
    <t xml:space="preserve">041-533-5185</t>
  </si>
  <si>
    <t xml:space="preserve">㈜행복가득셀프</t>
  </si>
  <si>
    <t xml:space="preserve">대전 유성구 대덕대로 887  (화암동)</t>
  </si>
  <si>
    <t xml:space="preserve">010-4683-2452</t>
  </si>
  <si>
    <t xml:space="preserve">세종감성셀프주유소</t>
  </si>
  <si>
    <t xml:space="preserve">세종특별자치시 금남면 안금로 581</t>
  </si>
  <si>
    <t xml:space="preserve">044-862-3980</t>
  </si>
  <si>
    <t xml:space="preserve">우진주유소</t>
  </si>
  <si>
    <t xml:space="preserve">대전 유성구 유성대로654번길 1</t>
  </si>
  <si>
    <t xml:space="preserve">042-823-9606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</si>
  <si>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</si>
  <si>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</si>
  <si>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</si>
  <si>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중촌셀프주유소</t>
  </si>
  <si>
    <t xml:space="preserve">대전 중구 동서대로 1434 (선화동)</t>
  </si>
  <si>
    <t xml:space="preserve">010-4102-7649</t>
  </si>
  <si>
    <t xml:space="preserve">흥진셀프주유소</t>
  </si>
  <si>
    <t xml:space="preserve">세종시 조치원읍 세종로 2563</t>
  </si>
  <si>
    <t xml:space="preserve">044-866-5104</t>
  </si>
  <si>
    <t xml:space="preserve">SK자운셀프주유소</t>
  </si>
  <si>
    <t xml:space="preserve">대전 유성구 자운로157번길 122</t>
  </si>
  <si>
    <t xml:space="preserve">042-867-5189</t>
  </si>
  <si>
    <t xml:space="preserve">천지인주유소</t>
  </si>
  <si>
    <t xml:space="preserve">대전 중구 대종로 44</t>
  </si>
  <si>
    <t xml:space="preserve">042-272-6100</t>
  </si>
  <si>
    <t xml:space="preserve">송남주유소</t>
  </si>
  <si>
    <t xml:space="preserve">충남 아산시 외암로 641</t>
  </si>
  <si>
    <t xml:space="preserve">041-542-8190</t>
  </si>
  <si>
    <t xml:space="preserve">갈마주유소</t>
  </si>
  <si>
    <t xml:space="preserve">대전 서구 신갈마로 130</t>
  </si>
  <si>
    <t xml:space="preserve">042-526-0890</t>
  </si>
  <si>
    <t xml:space="preserve">주성주유소</t>
  </si>
  <si>
    <t xml:space="preserve">충북 청주시 청원구 충청대로 295</t>
  </si>
  <si>
    <t xml:space="preserve">043-212-1288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</si>
  <si>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</si>
  <si>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</si>
  <si>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</si>
  <si>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(주)대성주유소</t>
  </si>
  <si>
    <t xml:space="preserve">충남 천안시 서북구 성거읍 망향로 697</t>
  </si>
  <si>
    <t xml:space="preserve">041-523-2244</t>
  </si>
  <si>
    <t xml:space="preserve">㈜제트에너지서대전주유소</t>
  </si>
  <si>
    <t xml:space="preserve">대전 유성구 계백로 212(방동)</t>
  </si>
  <si>
    <t xml:space="preserve">042-825-5123</t>
  </si>
  <si>
    <t xml:space="preserve">라자로주유소</t>
  </si>
  <si>
    <t xml:space="preserve">대전 대덕구 대전로 1390</t>
  </si>
  <si>
    <t xml:space="preserve">042-632-5151</t>
  </si>
  <si>
    <t xml:space="preserve">대전 대덕구 동서대로 1756</t>
  </si>
  <si>
    <t xml:space="preserve">042-636-5151</t>
  </si>
  <si>
    <t xml:space="preserve">명화제일주유소</t>
  </si>
  <si>
    <t xml:space="preserve">세종특별자치시 전동면 운주산로 224</t>
  </si>
  <si>
    <t xml:space="preserve">044-862-6233</t>
  </si>
  <si>
    <t xml:space="preserve">보성주유소</t>
  </si>
  <si>
    <t xml:space="preserve">충북 청주시 흥덕구 사운로 392-2 (신봉동)</t>
  </si>
  <si>
    <t xml:space="preserve">043-272-2468</t>
  </si>
  <si>
    <t xml:space="preserve">세종 소정면 세종로 4313</t>
  </si>
  <si>
    <t xml:space="preserve">044-552-5185</t>
  </si>
  <si>
    <t xml:space="preserve">영당주유소</t>
  </si>
  <si>
    <t xml:space="preserve">세종 전의면 의당전의로 718</t>
  </si>
  <si>
    <t xml:space="preserve">044-867-3066</t>
  </si>
  <si>
    <t xml:space="preserve">주식회사 방동주유소</t>
  </si>
  <si>
    <t xml:space="preserve">대전 유성구 계백로 139</t>
  </si>
  <si>
    <t xml:space="preserve">042-825-5007</t>
  </si>
  <si>
    <t xml:space="preserve">초정주유소</t>
  </si>
  <si>
    <t xml:space="preserve">충북 청주시 청원구 내수읍 청암로 457</t>
  </si>
  <si>
    <t xml:space="preserve">043-213-6683</t>
  </si>
  <si>
    <t xml:space="preserve">테크노주유소</t>
  </si>
  <si>
    <t xml:space="preserve">충북 청주시 흥덕구 옥산면 중부로 532</t>
  </si>
  <si>
    <t xml:space="preserve">043-217-5130</t>
  </si>
  <si>
    <t xml:space="preserve">강변셀프주유소</t>
  </si>
  <si>
    <t xml:space="preserve">충남 아산시 곡교천로 288</t>
  </si>
  <si>
    <t xml:space="preserve">041-546-5189</t>
  </si>
  <si>
    <t xml:space="preserve">아산주유소</t>
  </si>
  <si>
    <t xml:space="preserve">충남 아산시 염치읍 서원길 14</t>
  </si>
  <si>
    <t xml:space="preserve">041-544-9514</t>
  </si>
  <si>
    <t xml:space="preserve">위성주유소</t>
  </si>
  <si>
    <t xml:space="preserve">대전 유성구 현충원로 489</t>
  </si>
  <si>
    <t xml:space="preserve">042-825-5145</t>
  </si>
  <si>
    <t xml:space="preserve">㈜대성바이오</t>
  </si>
  <si>
    <t xml:space="preserve">대전 대덕구 한밭대로 1180</t>
  </si>
  <si>
    <t xml:space="preserve">(주)석교주유소</t>
  </si>
  <si>
    <t xml:space="preserve">대전 중구 대종로 207 (석교동)</t>
  </si>
  <si>
    <t xml:space="preserve">042-273-7755</t>
  </si>
  <si>
    <t xml:space="preserve">내트럭(주)남대전사업소</t>
  </si>
  <si>
    <t xml:space="preserve">대전 동구 대전로 15</t>
  </si>
  <si>
    <t xml:space="preserve">042-271-5673</t>
  </si>
  <si>
    <t xml:space="preserve">유원주유소</t>
  </si>
  <si>
    <t xml:space="preserve">대전 동구 계족로 513 ``</t>
  </si>
  <si>
    <t xml:space="preserve">042-672-3613</t>
  </si>
  <si>
    <t xml:space="preserve">신창주유소</t>
  </si>
  <si>
    <t xml:space="preserve">충남 아산시 신창면 온천대로 725</t>
  </si>
  <si>
    <t xml:space="preserve">041-541-5199</t>
  </si>
  <si>
    <t xml:space="preserve">원에너지주유소</t>
  </si>
  <si>
    <t xml:space="preserve">충남 아산시 둔포면 충무로 1213</t>
  </si>
  <si>
    <t xml:space="preserve">041-531-7351</t>
  </si>
  <si>
    <t xml:space="preserve">중암주유소</t>
  </si>
  <si>
    <t xml:space="preserve">충남 아산시 둔포면 충무로 1222-1</t>
  </si>
  <si>
    <t xml:space="preserve">041-532-5154</t>
  </si>
  <si>
    <t xml:space="preserve">매봉셀프주유소</t>
  </si>
  <si>
    <t xml:space="preserve">충남 천안시 동남구 병천면 충절로 1532</t>
  </si>
  <si>
    <t xml:space="preserve">041-523-3367</t>
  </si>
  <si>
    <t xml:space="preserve">삼보주유소</t>
  </si>
  <si>
    <t xml:space="preserve">충북 청주시 청원구 북이면 충청대로 1524</t>
  </si>
  <si>
    <t xml:space="preserve">043-211-0033</t>
  </si>
  <si>
    <t xml:space="preserve">연일주유소</t>
  </si>
  <si>
    <t xml:space="preserve">충북 청주시 상당구 남일면 단재로 515</t>
  </si>
  <si>
    <t xml:space="preserve">043-298-5337</t>
  </si>
  <si>
    <t xml:space="preserve">중앙주유소</t>
  </si>
  <si>
    <t xml:space="preserve">세종 조치원읍 새내로 201</t>
  </si>
  <si>
    <t xml:space="preserve">044-865-7789</t>
  </si>
  <si>
    <t xml:space="preserve">㈜용운주유소</t>
  </si>
  <si>
    <t xml:space="preserve">대전 동구 백룡로 77 (용운동)</t>
  </si>
  <si>
    <t xml:space="preserve">042-471-6699</t>
  </si>
  <si>
    <t xml:space="preserve">남양주유소</t>
  </si>
  <si>
    <t xml:space="preserve">충남 천안시 동남구 광덕면 광풍로 987</t>
  </si>
  <si>
    <t xml:space="preserve">041-558-5185</t>
  </si>
  <si>
    <t xml:space="preserve">SK오창주유소</t>
  </si>
  <si>
    <t xml:space="preserve">충북 청주시 청원구 오창읍 팔결로 579</t>
  </si>
  <si>
    <t xml:space="preserve">043-217-6060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</si>
  <si>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</si>
  <si>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</si>
  <si>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</si>
  <si>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동물원주유소</t>
  </si>
  <si>
    <t xml:space="preserve">대전 중구 대둔산로 270 (사정동)</t>
  </si>
  <si>
    <t xml:space="preserve">042-587-5151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</si>
  <si>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</si>
  <si>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</si>
  <si>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</si>
  <si>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유성IC메가허브점</t>
  </si>
  <si>
    <t xml:space="preserve">대전 유성구 현충원로 545</t>
  </si>
  <si>
    <t xml:space="preserve">042-825-3351</t>
  </si>
  <si>
    <t xml:space="preserve">KH에너지㈜직영 하이웨이주유소</t>
  </si>
  <si>
    <t xml:space="preserve">대전 유성구 현충원로 531</t>
  </si>
  <si>
    <t xml:space="preserve">042-822-5100</t>
  </si>
  <si>
    <t xml:space="preserve">고향주유소</t>
  </si>
  <si>
    <t xml:space="preserve">충북 청주시 청원구 오창읍 두릉유리로 1129</t>
  </si>
  <si>
    <t xml:space="preserve">043-217-1159</t>
  </si>
  <si>
    <t xml:space="preserve">대도주유소</t>
  </si>
  <si>
    <t xml:space="preserve">대전 대덕구 신탄진로756번길 2 (신탄진동)</t>
  </si>
  <si>
    <t xml:space="preserve">042-931-7600</t>
  </si>
  <si>
    <t xml:space="preserve">석화주유소</t>
  </si>
  <si>
    <t xml:space="preserve">충북 청주시 청원구 내수읍 충청대로 849-5</t>
  </si>
  <si>
    <t xml:space="preserve">043-213-0541</t>
  </si>
  <si>
    <t xml:space="preserve">신나라주유소</t>
  </si>
  <si>
    <t xml:space="preserve">충북 청주시 청원구 새터로 53 (내덕동)</t>
  </si>
  <si>
    <t xml:space="preserve">043-222-8959</t>
  </si>
  <si>
    <t xml:space="preserve">(주)구암상사주유소</t>
  </si>
  <si>
    <t xml:space="preserve">대전 유성구 유성대로654번길 32</t>
  </si>
  <si>
    <t xml:space="preserve">042-825-6162</t>
  </si>
  <si>
    <t xml:space="preserve">대박주유소</t>
  </si>
  <si>
    <t xml:space="preserve">충북 청주시 상당구  쇠내로 133 (금천동)</t>
  </si>
  <si>
    <t xml:space="preserve">043-223-3845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</si>
  <si>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</si>
  <si>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</si>
  <si>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</si>
  <si>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</si>
  <si>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</si>
  <si>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</si>
  <si>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</si>
  <si>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</si>
  <si>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일등주유소</t>
  </si>
  <si>
    <t xml:space="preserve">대전 대덕구 신탄진로 636 (평촌동)</t>
  </si>
  <si>
    <t xml:space="preserve">042-933-1346</t>
  </si>
  <si>
    <t xml:space="preserve">한밭대로주유소</t>
  </si>
  <si>
    <t xml:space="preserve">대전 유성구 한밭대로 305 (장대동)</t>
  </si>
  <si>
    <t xml:space="preserve">042-823-5152</t>
  </si>
  <si>
    <t xml:space="preserve">관저주유소</t>
  </si>
  <si>
    <t xml:space="preserve">대전 유성구 계백로 975  (원내동)</t>
  </si>
  <si>
    <t xml:space="preserve">042-541-4202</t>
  </si>
  <si>
    <t xml:space="preserve">굿모닝주유소</t>
  </si>
  <si>
    <t xml:space="preserve">대전 서구 계백로 1376</t>
  </si>
  <si>
    <t xml:space="preserve">042-583-5182</t>
  </si>
  <si>
    <t xml:space="preserve">금강주유소</t>
  </si>
  <si>
    <t xml:space="preserve">대전 대덕구 신탄진로 536</t>
  </si>
  <si>
    <t xml:space="preserve">042-931-6633</t>
  </si>
  <si>
    <t xml:space="preserve">남선석유㈜ 계백셀프주유소</t>
  </si>
  <si>
    <t xml:space="preserve">대전 서구 계백로 1327</t>
  </si>
  <si>
    <t xml:space="preserve">042-523-5184</t>
  </si>
  <si>
    <t xml:space="preserve">대덕주유소</t>
  </si>
  <si>
    <t xml:space="preserve">대전 대덕구 동서대로 1811</t>
  </si>
  <si>
    <t xml:space="preserve">042-627-5632</t>
  </si>
  <si>
    <t xml:space="preserve">도마진실주유소</t>
  </si>
  <si>
    <t xml:space="preserve">대전 서구 도산로 123</t>
  </si>
  <si>
    <t xml:space="preserve">042-522-3764</t>
  </si>
  <si>
    <t xml:space="preserve">대전 동구 우암로 247 (가양동)</t>
  </si>
  <si>
    <t xml:space="preserve">042-636-6086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</si>
  <si>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</si>
  <si>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</si>
  <si>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</si>
  <si>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삼육주유소</t>
  </si>
  <si>
    <t xml:space="preserve">대전 중구 대전천서로 757</t>
  </si>
  <si>
    <t xml:space="preserve">042-257-3636</t>
  </si>
  <si>
    <t xml:space="preserve">성찬셀프주유소</t>
  </si>
  <si>
    <t xml:space="preserve">대전 대덕구 신탄진로 764 (신탄진동)</t>
  </si>
  <si>
    <t xml:space="preserve">042-346-1208</t>
  </si>
  <si>
    <t xml:space="preserve">세종Self주유소</t>
  </si>
  <si>
    <t xml:space="preserve">대전 대덕구 대덕대로 1494 (목상동)</t>
  </si>
  <si>
    <t xml:space="preserve">042-934-5189</t>
  </si>
  <si>
    <t xml:space="preserve">스마일주유소</t>
  </si>
  <si>
    <t xml:space="preserve">대전 대덕구 신탄진로 622 (상서동)</t>
  </si>
  <si>
    <t xml:space="preserve">042-934-5188</t>
  </si>
  <si>
    <t xml:space="preserve">신탄진IC주유소</t>
  </si>
  <si>
    <t xml:space="preserve">대전 대덕구 신탄진로 665</t>
  </si>
  <si>
    <t xml:space="preserve">042-932-7888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</si>
  <si>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</si>
  <si>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</si>
  <si>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</si>
  <si>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씨앤에스유통㈜도안신도시주유소</t>
  </si>
  <si>
    <t xml:space="preserve">대전 서구 도안동로 277</t>
  </si>
  <si>
    <t xml:space="preserve">042-545-2227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</si>
  <si>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</si>
  <si>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</si>
  <si>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</si>
  <si>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용은주유소</t>
  </si>
  <si>
    <t xml:space="preserve">대전 대덕구 신탄진로 559 (상서동)</t>
  </si>
  <si>
    <t xml:space="preserve">042-936-0068</t>
  </si>
  <si>
    <t xml:space="preserve">우리원셀프주유소</t>
  </si>
  <si>
    <t xml:space="preserve">대전 대덕구 신탄진로 383</t>
  </si>
  <si>
    <t xml:space="preserve">042-621-5185</t>
  </si>
  <si>
    <t xml:space="preserve">원촌주유소</t>
  </si>
  <si>
    <t xml:space="preserve">대전 대덕구 아리랑로 55 (읍내동)</t>
  </si>
  <si>
    <t xml:space="preserve">042-633-6330</t>
  </si>
  <si>
    <t xml:space="preserve">은빛주유소</t>
  </si>
  <si>
    <t xml:space="preserve">대전 대덕구 아리랑로 70 (읍내동)</t>
  </si>
  <si>
    <t xml:space="preserve">042-631-5104</t>
  </si>
  <si>
    <t xml:space="preserve">중리셀프주유소</t>
  </si>
  <si>
    <t xml:space="preserve">대전 대덕구 한밭대로 1186</t>
  </si>
  <si>
    <t xml:space="preserve">042-627-1020</t>
  </si>
  <si>
    <t xml:space="preserve">행복가득주유소</t>
  </si>
  <si>
    <t xml:space="preserve">대전광역시 중구 보문산로 86</t>
  </si>
  <si>
    <t xml:space="preserve">042-586-5188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</si>
  <si>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</si>
  <si>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</si>
  <si>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</si>
  <si>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동일석유㈜대전주유소</t>
  </si>
  <si>
    <t xml:space="preserve">대전 동구 계족로 436 (용전동)</t>
  </si>
  <si>
    <t xml:space="preserve">042-673-8880</t>
  </si>
  <si>
    <t xml:space="preserve">배재주유소</t>
  </si>
  <si>
    <t xml:space="preserve">대전 서구 도솔로 57 (도마동)</t>
  </si>
  <si>
    <t xml:space="preserve">042-532-5700</t>
  </si>
  <si>
    <t xml:space="preserve">조은기름주유소</t>
  </si>
  <si>
    <t xml:space="preserve">충남 천안시 서북구 입장면 망향로 1237</t>
  </si>
  <si>
    <t xml:space="preserve">041-581-5199</t>
  </si>
  <si>
    <t xml:space="preserve">대전 서구 동서대로 1081</t>
  </si>
  <si>
    <t xml:space="preserve">042-533-2838</t>
  </si>
  <si>
    <t xml:space="preserve">베스트주유소</t>
  </si>
  <si>
    <t xml:space="preserve">충남 아산시 선장면 아산만로 582</t>
  </si>
  <si>
    <t xml:space="preserve">041-533-5149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</si>
  <si>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</si>
  <si>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</si>
  <si>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</si>
  <si>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갑천주유소</t>
  </si>
  <si>
    <t xml:space="preserve">대전 대덕구 아리랑로55번길 189 (신대동)</t>
  </si>
  <si>
    <t xml:space="preserve">042-635-4062</t>
  </si>
  <si>
    <t xml:space="preserve">금성주유소</t>
  </si>
  <si>
    <t xml:space="preserve">대전 중구 동서대로 1183 (태평동)</t>
  </si>
  <si>
    <t xml:space="preserve">042-525-1183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</si>
  <si>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</si>
  <si>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</si>
  <si>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</si>
  <si>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안영셀프주유소</t>
  </si>
  <si>
    <t xml:space="preserve">대전 중구 대둔산로 241 (안영동)</t>
  </si>
  <si>
    <t xml:space="preserve">042-585-6001</t>
  </si>
  <si>
    <t xml:space="preserve">이화주유소</t>
  </si>
  <si>
    <t xml:space="preserve">대전 중구 대종로 166</t>
  </si>
  <si>
    <t xml:space="preserve">042-274-5189</t>
  </si>
  <si>
    <t xml:space="preserve">충남주유소</t>
  </si>
  <si>
    <t xml:space="preserve">대전 중구 대흥로 80 (대흥동)</t>
  </si>
  <si>
    <t xml:space="preserve">042-256-0101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</si>
  <si>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</si>
  <si>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</si>
  <si>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</si>
  <si>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(주)제트 동서로주유소</t>
  </si>
  <si>
    <t xml:space="preserve">대전 중구 동서대로 1293</t>
  </si>
  <si>
    <t xml:space="preserve">042-532-5050</t>
  </si>
  <si>
    <t xml:space="preserve">(주)하나주유소</t>
  </si>
  <si>
    <t xml:space="preserve">대전 유성구 유성대로 1127 (하기동)</t>
  </si>
  <si>
    <t xml:space="preserve">042-867-5151</t>
  </si>
  <si>
    <t xml:space="preserve">두두림주유소</t>
  </si>
  <si>
    <t xml:space="preserve">충남 천안시 서북구 번영로 525</t>
  </si>
  <si>
    <t xml:space="preserve">041-522-5188</t>
  </si>
  <si>
    <t xml:space="preserve">비전운수(주)산업단지주유소</t>
  </si>
  <si>
    <t xml:space="preserve">대전 대덕구 산업단지로 107</t>
  </si>
  <si>
    <t xml:space="preserve">042-935-5111</t>
  </si>
  <si>
    <t xml:space="preserve">신촌주유소</t>
  </si>
  <si>
    <t xml:space="preserve">충북 청주시 흥덕구 옥산면 오송가락로 545</t>
  </si>
  <si>
    <t xml:space="preserve">043-260-0183</t>
  </si>
  <si>
    <t xml:space="preserve">대전 중구 동서대로 1459 (중촌동)</t>
  </si>
  <si>
    <t xml:space="preserve">042-252-5189</t>
  </si>
  <si>
    <t xml:space="preserve">흥인주유소</t>
  </si>
  <si>
    <t xml:space="preserve">충북 청주시 청원구 오창읍 두릉유리로 755</t>
  </si>
  <si>
    <t xml:space="preserve">043-211-7633</t>
  </si>
  <si>
    <t xml:space="preserve">sk대동주유소</t>
  </si>
  <si>
    <t xml:space="preserve">대전 동구 계족로140번길 73 (용운동)</t>
  </si>
  <si>
    <t xml:space="preserve">042-283-5333</t>
  </si>
  <si>
    <t xml:space="preserve">만세보령주유소</t>
  </si>
  <si>
    <t xml:space="preserve">충남 보령시 보령남로 140</t>
  </si>
  <si>
    <t xml:space="preserve">041-931-5405</t>
  </si>
  <si>
    <t xml:space="preserve">대전 중구 문화로 97</t>
  </si>
  <si>
    <t xml:space="preserve">01023136643</t>
  </si>
  <si>
    <t xml:space="preserve">(주)동건에너지 만년교셀프주유소</t>
  </si>
  <si>
    <t xml:space="preserve">대전 서구 계룡로 202</t>
  </si>
  <si>
    <t xml:space="preserve">042-525-6643</t>
  </si>
  <si>
    <t xml:space="preserve">(주)퍼스트오일</t>
  </si>
  <si>
    <t xml:space="preserve">대전 유성구 현충원로 213 (갑동)</t>
  </si>
  <si>
    <t xml:space="preserve">042-823-2146</t>
  </si>
  <si>
    <t xml:space="preserve">계림주유소</t>
  </si>
  <si>
    <t xml:space="preserve">대전 유성구 현충원로 201 (갑동)</t>
  </si>
  <si>
    <t xml:space="preserve">042-822-0525</t>
  </si>
  <si>
    <t xml:space="preserve">충남 천안시 동남구 천안천공원3길 27-10</t>
  </si>
  <si>
    <t xml:space="preserve">041-563-0068</t>
  </si>
  <si>
    <t xml:space="preserve">도서관셀프주유소</t>
  </si>
  <si>
    <t xml:space="preserve">대전 광역시 중구 보문산로 353</t>
  </si>
  <si>
    <t xml:space="preserve">042-581-2148</t>
  </si>
  <si>
    <t xml:space="preserve">북대전주유소</t>
  </si>
  <si>
    <t xml:space="preserve">대전 유성구 유성대로 1495</t>
  </si>
  <si>
    <t xml:space="preserve">042-864-2207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</si>
  <si>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</si>
  <si>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</si>
  <si>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</si>
  <si>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소망주유소</t>
  </si>
  <si>
    <t xml:space="preserve">대전 중구 보문산로 307 (문화동)</t>
  </si>
  <si>
    <t xml:space="preserve">042-584-0413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</si>
  <si>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</si>
  <si>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</si>
  <si>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</si>
  <si>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진우11주유소</t>
  </si>
  <si>
    <t xml:space="preserve">충남 천안시 동남구 쌍용대로 175</t>
  </si>
  <si>
    <t xml:space="preserve">041-578-9918</t>
  </si>
  <si>
    <t xml:space="preserve">한밭대앞Self주유소</t>
  </si>
  <si>
    <t xml:space="preserve">대전 유성구 학하서로 111 (덕명동)</t>
  </si>
  <si>
    <t xml:space="preserve">042-525-5151</t>
  </si>
  <si>
    <t xml:space="preserve">(주)학하 삼성셀프주유소</t>
  </si>
  <si>
    <t xml:space="preserve">대전 동구 대전로 908 (삼성동)</t>
  </si>
  <si>
    <t xml:space="preserve">042-637-5566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</si>
  <si>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</si>
  <si>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</si>
  <si>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</si>
  <si>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(주)황제주유소</t>
  </si>
  <si>
    <t xml:space="preserve">대전 유성구 대덕대로 934 (화암동)</t>
  </si>
  <si>
    <t xml:space="preserve">042-861-5558</t>
  </si>
  <si>
    <t xml:space="preserve">가양셀프주유소</t>
  </si>
  <si>
    <t xml:space="preserve">대전 동구 우암로 365 (가양동)</t>
  </si>
  <si>
    <t xml:space="preserve">042-632-3838</t>
  </si>
  <si>
    <t xml:space="preserve">대전알찬주유소</t>
  </si>
  <si>
    <t xml:space="preserve">대전 동구 우암로 316 (가양동)</t>
  </si>
  <si>
    <t xml:space="preserve">042-633-7975</t>
  </si>
  <si>
    <t xml:space="preserve">산내제일주유소</t>
  </si>
  <si>
    <t xml:space="preserve">대전 동구 대전로 269 (대성동)</t>
  </si>
  <si>
    <t xml:space="preserve">042-282-5189</t>
  </si>
  <si>
    <t xml:space="preserve">서천안IC주유소</t>
  </si>
  <si>
    <t xml:space="preserve">충남 천안시 동남구 광풍로 1687</t>
  </si>
  <si>
    <t xml:space="preserve">041-567-5105</t>
  </si>
  <si>
    <t xml:space="preserve">소태산주유소</t>
  </si>
  <si>
    <t xml:space="preserve">대전 대덕구 신탄진로 163 (신대동)</t>
  </si>
  <si>
    <t xml:space="preserve">042-636-4438</t>
  </si>
  <si>
    <t xml:space="preserve">청룡셀프주유소</t>
  </si>
  <si>
    <t xml:space="preserve">충남 천안시 동남구 대흥로 22</t>
  </si>
  <si>
    <t xml:space="preserve">010-9757-5020</t>
  </si>
  <si>
    <t xml:space="preserve">황용주유소</t>
  </si>
  <si>
    <t xml:space="preserve">세종 금남면 황용1길 40</t>
  </si>
  <si>
    <t xml:space="preserve">044-867-8554</t>
  </si>
  <si>
    <t xml:space="preserve">상록주유소</t>
  </si>
  <si>
    <t xml:space="preserve">충남 천안시 동남구 수신면 수신로 642</t>
  </si>
  <si>
    <t xml:space="preserve">041-622-9199</t>
  </si>
  <si>
    <t xml:space="preserve">스마트주유소</t>
  </si>
  <si>
    <t xml:space="preserve">충북 청주시 흥덕구 청주역로 563</t>
  </si>
  <si>
    <t xml:space="preserve">043-267-7350</t>
  </si>
  <si>
    <t xml:space="preserve">신계주유소</t>
  </si>
  <si>
    <t xml:space="preserve">충남 천안시 동남구 목천읍 충절로 833</t>
  </si>
  <si>
    <t xml:space="preserve">041-556-5151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</si>
  <si>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</si>
  <si>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</si>
  <si>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</si>
  <si>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거북이주유소</t>
  </si>
  <si>
    <t xml:space="preserve">대전 중구 문화로 35</t>
  </si>
  <si>
    <t xml:space="preserve">042-584-8251</t>
  </si>
  <si>
    <t xml:space="preserve">공원주유소</t>
  </si>
  <si>
    <t xml:space="preserve">충남 천안시 동남구 광덕면 광덕로 225</t>
  </si>
  <si>
    <t xml:space="preserve">041-567-2298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</si>
  <si>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</si>
  <si>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</si>
  <si>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</si>
  <si>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미평주유소</t>
  </si>
  <si>
    <t xml:space="preserve">충북 청주시 서원구 청남로 1911</t>
  </si>
  <si>
    <t xml:space="preserve">043-292-5150</t>
  </si>
  <si>
    <t xml:space="preserve">충북 청주시 흥덕구 월명로48번길 3</t>
  </si>
  <si>
    <t xml:space="preserve">043-260-3923</t>
  </si>
  <si>
    <t xml:space="preserve">아산만 오일뱅크</t>
  </si>
  <si>
    <t xml:space="preserve">충남 아산시 영인면 아산호로 772</t>
  </si>
  <si>
    <t xml:space="preserve">041-541-5551</t>
  </si>
  <si>
    <t xml:space="preserve">2공단주유소</t>
  </si>
  <si>
    <t xml:space="preserve">충남 천안시 서북구  2공단4로 34</t>
  </si>
  <si>
    <t xml:space="preserve">041-567-5151</t>
  </si>
  <si>
    <t xml:space="preserve">5공단셀프주유소</t>
  </si>
  <si>
    <t xml:space="preserve">충남 천안시 동남구 수신면 5산단로 196</t>
  </si>
  <si>
    <t xml:space="preserve">041-565-5189</t>
  </si>
  <si>
    <t xml:space="preserve">대광주유소</t>
  </si>
  <si>
    <t xml:space="preserve">대전 유성구 금남구즉로 1355 (봉산동)</t>
  </si>
  <si>
    <t xml:space="preserve">042-935-6667</t>
  </si>
  <si>
    <t xml:space="preserve">대율주유소</t>
  </si>
  <si>
    <t xml:space="preserve">충북 청주시 청원구 북이면 신대석성로 163</t>
  </si>
  <si>
    <t xml:space="preserve">043-214-7060</t>
  </si>
  <si>
    <t xml:space="preserve">동광장주유소</t>
  </si>
  <si>
    <t xml:space="preserve">대전 동구 중앙로 280</t>
  </si>
  <si>
    <t xml:space="preserve">000-0000-0000</t>
  </si>
  <si>
    <t xml:space="preserve">동아주유소</t>
  </si>
  <si>
    <t xml:space="preserve">대전 동구 동대전로 118 (대동)</t>
  </si>
  <si>
    <t xml:space="preserve">042-626-3333</t>
  </si>
  <si>
    <t xml:space="preserve">동유주유소</t>
  </si>
  <si>
    <t xml:space="preserve">세종시 조치원읍 새내로 142</t>
  </si>
  <si>
    <t xml:space="preserve">044-865-2961</t>
  </si>
  <si>
    <t xml:space="preserve">마스터셀프주유소</t>
  </si>
  <si>
    <t xml:space="preserve">충남 천안시 서북구 성거읍 망향로 251</t>
  </si>
  <si>
    <t xml:space="preserve">041-553-7701</t>
  </si>
  <si>
    <t xml:space="preserve">미니주유소</t>
  </si>
  <si>
    <t xml:space="preserve">충남 천안시 동남구 다가7길 18 (다가동)</t>
  </si>
  <si>
    <t xml:space="preserve">041-573-1402</t>
  </si>
  <si>
    <t xml:space="preserve">방동제일주유소</t>
  </si>
  <si>
    <t xml:space="preserve">대전 유성구 계백로 324</t>
  </si>
  <si>
    <t xml:space="preserve">042-825-0020</t>
  </si>
  <si>
    <t xml:space="preserve">보람self주유소</t>
  </si>
  <si>
    <t xml:space="preserve">세종시 금남구즉로 19 (대평동)</t>
  </si>
  <si>
    <t xml:space="preserve">044-868-7250</t>
  </si>
  <si>
    <t xml:space="preserve">보산원주유소</t>
  </si>
  <si>
    <t xml:space="preserve">충남 천안시 동남구 광덕면 보산원로 55</t>
  </si>
  <si>
    <t xml:space="preserve">041-567-0373</t>
  </si>
  <si>
    <t xml:space="preserve">순우리주유소</t>
  </si>
  <si>
    <t xml:space="preserve">대전 대덕구 신탄진로 533 (상서동)</t>
  </si>
  <si>
    <t xml:space="preserve">042-931-5182</t>
  </si>
  <si>
    <t xml:space="preserve">오대주유소</t>
  </si>
  <si>
    <t xml:space="preserve">충북 청주시 청원구 내수읍 초정약수로 813</t>
  </si>
  <si>
    <t xml:space="preserve">043-212-4000</t>
  </si>
  <si>
    <t xml:space="preserve">원성깨비셀프</t>
  </si>
  <si>
    <t xml:space="preserve">충남 천안시 동남구 천안대로 653</t>
  </si>
  <si>
    <t xml:space="preserve">041-567-7983</t>
  </si>
  <si>
    <t xml:space="preserve">유진주유소</t>
  </si>
  <si>
    <t xml:space="preserve">충북 청주시 서원구 남이면 남석로 402</t>
  </si>
  <si>
    <t xml:space="preserve">043-237-8884</t>
  </si>
  <si>
    <t xml:space="preserve">입장주유소</t>
  </si>
  <si>
    <t xml:space="preserve">충남 천안시 서북구 입장면 망향로 1082</t>
  </si>
  <si>
    <t xml:space="preserve">041-584-5189</t>
  </si>
  <si>
    <t xml:space="preserve">전동주유소</t>
  </si>
  <si>
    <t xml:space="preserve">세종특별자치시 전동면 운주산로 355</t>
  </si>
  <si>
    <t xml:space="preserve">044-863-1300</t>
  </si>
  <si>
    <t xml:space="preserve">팔봉주유소</t>
  </si>
  <si>
    <t xml:space="preserve">충북 청주시 서원구 남이면 남석로 239</t>
  </si>
  <si>
    <t xml:space="preserve">043-274-6677</t>
  </si>
  <si>
    <t xml:space="preserve">평산주유소</t>
  </si>
  <si>
    <t xml:space="preserve">세종특별자치시 조치원읍 허만석로 84</t>
  </si>
  <si>
    <t xml:space="preserve">044-867-5189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</si>
  <si>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</si>
  <si>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</si>
  <si>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</si>
  <si>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대전이데아주유소</t>
  </si>
  <si>
    <t xml:space="preserve">대전 대덕구 한밭대로 1145 (중리동)</t>
  </si>
  <si>
    <t xml:space="preserve">042-633-7186</t>
  </si>
  <si>
    <t xml:space="preserve">오정동SM셀프주유소</t>
  </si>
  <si>
    <t xml:space="preserve">대전 대덕구 오정로 123 (오정동)</t>
  </si>
  <si>
    <t xml:space="preserve">042-621-2997</t>
  </si>
  <si>
    <t xml:space="preserve">기산주유소</t>
  </si>
  <si>
    <t xml:space="preserve">충남 아산시 순천향로 408</t>
  </si>
  <si>
    <t xml:space="preserve">041-546-8282</t>
  </si>
  <si>
    <t xml:space="preserve">화랑주유소</t>
  </si>
  <si>
    <t xml:space="preserve">충남 아산시 외암로 1568 (풍기동)</t>
  </si>
  <si>
    <t xml:space="preserve">041-545-2764</t>
  </si>
  <si>
    <t xml:space="preserve">북천안IC주유소</t>
  </si>
  <si>
    <t xml:space="preserve">충남 천안시 서북구 직산읍 직산로 214</t>
  </si>
  <si>
    <t xml:space="preserve">041-583-0051</t>
  </si>
  <si>
    <t xml:space="preserve">(주)에너비즈 삼성주유소</t>
  </si>
  <si>
    <t xml:space="preserve">대전 중구 계룡로 778 (오류동)</t>
  </si>
  <si>
    <t xml:space="preserve">042-537-5189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</si>
  <si>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</si>
  <si>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</si>
  <si>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</si>
  <si>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진터벌주유소</t>
  </si>
  <si>
    <t xml:space="preserve">대전 유성구 유성대로654번길 168 (봉명동)</t>
  </si>
  <si>
    <t xml:space="preserve">042-825-0444</t>
  </si>
  <si>
    <t xml:space="preserve">청정주유소</t>
  </si>
  <si>
    <t xml:space="preserve">대전 중구 오류로 120 (오류동)</t>
  </si>
  <si>
    <t xml:space="preserve">042-536-5151</t>
  </si>
  <si>
    <t xml:space="preserve">태호건설㈜ 천안지점</t>
  </si>
  <si>
    <t xml:space="preserve">충남 천안시 서북구 천안대로 1685</t>
  </si>
  <si>
    <t xml:space="preserve">041-582-2375</t>
  </si>
  <si>
    <t xml:space="preserve">경민주유소</t>
  </si>
  <si>
    <t xml:space="preserve">충남 아산시 선장면 아산만로 697</t>
  </si>
  <si>
    <t xml:space="preserve">041-541-5181</t>
  </si>
  <si>
    <t xml:space="preserve">신인주유소</t>
  </si>
  <si>
    <t xml:space="preserve">충남 아산시 순천향로 530</t>
  </si>
  <si>
    <t xml:space="preserve">041-546-3305</t>
  </si>
  <si>
    <t xml:space="preserve">은광주유소</t>
  </si>
  <si>
    <t xml:space="preserve">충남 천안시 동남구 풍세면 풍세로 477</t>
  </si>
  <si>
    <t xml:space="preserve">041-574-1868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</si>
  <si>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</si>
  <si>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</si>
  <si>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</si>
  <si>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</si>
  <si>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</si>
  <si>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</si>
  <si>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당산주유소</t>
  </si>
  <si>
    <t xml:space="preserve">대전 대덕구 아리랑로 135 (읍내동)</t>
  </si>
  <si>
    <t xml:space="preserve">042-622-2133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</si>
  <si>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</si>
  <si>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</si>
  <si>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</si>
  <si>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㈜강청셀프주유소</t>
  </si>
  <si>
    <t xml:space="preserve">충남 아산시 염치읍 현대로 340</t>
  </si>
  <si>
    <t xml:space="preserve">041-543-8891</t>
  </si>
  <si>
    <t xml:space="preserve">삼성테크노주유소</t>
  </si>
  <si>
    <t xml:space="preserve">충남 아산시 탕정면 삼성로 350</t>
  </si>
  <si>
    <t xml:space="preserve">041-541-5159</t>
  </si>
  <si>
    <t xml:space="preserve">세원주유소</t>
  </si>
  <si>
    <t xml:space="preserve">충남 아산시 송악면 송악로 243</t>
  </si>
  <si>
    <t xml:space="preserve">041-544-0626</t>
  </si>
  <si>
    <t xml:space="preserve">송악주유소</t>
  </si>
  <si>
    <t xml:space="preserve">충남 아산시 송악면 송악로 832</t>
  </si>
  <si>
    <t xml:space="preserve">041-541-5188</t>
  </si>
  <si>
    <t xml:space="preserve">아름셀프주유소</t>
  </si>
  <si>
    <t xml:space="preserve">충남 아산시 온천대로 1616</t>
  </si>
  <si>
    <t xml:space="preserve">041-533-7637</t>
  </si>
  <si>
    <t xml:space="preserve">좋은차주유소</t>
  </si>
  <si>
    <t xml:space="preserve">충남 아산시 염치읍 현대로 152</t>
  </si>
  <si>
    <t xml:space="preserve">041-543-9951</t>
  </si>
  <si>
    <t xml:space="preserve">진양주유소</t>
  </si>
  <si>
    <t xml:space="preserve">충남 아산시 온천대로 1735 (모종동)</t>
  </si>
  <si>
    <t xml:space="preserve">041-545-3727</t>
  </si>
  <si>
    <t xml:space="preserve">신화주유소</t>
  </si>
  <si>
    <t xml:space="preserve">충북 청주시 청원구 오창읍 호죽성재로 284</t>
  </si>
  <si>
    <t xml:space="preserve">043-225-3500</t>
  </si>
  <si>
    <t xml:space="preserve">민들레주유소</t>
  </si>
  <si>
    <t xml:space="preserve">충남 아산시 염치읍 은행나무길 183</t>
  </si>
  <si>
    <t xml:space="preserve">041-541-5252</t>
  </si>
  <si>
    <t xml:space="preserve">천북농협주유소</t>
  </si>
  <si>
    <t xml:space="preserve">충남 보령시 천북면 홍보로 670</t>
  </si>
  <si>
    <t xml:space="preserve">041-641-5151</t>
  </si>
  <si>
    <t xml:space="preserve">천북농협클린(신덕점)주유소</t>
  </si>
  <si>
    <t xml:space="preserve">충남 보령시 천북면 천광로 557</t>
  </si>
  <si>
    <t xml:space="preserve">041-641-5416</t>
  </si>
  <si>
    <t xml:space="preserve">(주)광명주유소</t>
  </si>
  <si>
    <t xml:space="preserve">충남 천안시 동남구 충절로 451</t>
  </si>
  <si>
    <t xml:space="preserve">041-567-6066</t>
  </si>
  <si>
    <t xml:space="preserve">충남 천안시 동남구 목천읍 충절로 779</t>
  </si>
  <si>
    <t xml:space="preserve">041-557-6004</t>
  </si>
  <si>
    <t xml:space="preserve">두바이주유소 도안씨티㈜</t>
  </si>
  <si>
    <t xml:space="preserve">대전 중구 보문로 117</t>
  </si>
  <si>
    <t xml:space="preserve">042-242-5250</t>
  </si>
  <si>
    <t xml:space="preserve">대전 서구 대덕대로 384 (만년동)</t>
  </si>
  <si>
    <t xml:space="preserve">042-488-3326</t>
  </si>
  <si>
    <t xml:space="preserve">으뜸회덕주유소</t>
  </si>
  <si>
    <t xml:space="preserve">대전 대덕구 신탄진로 222</t>
  </si>
  <si>
    <t xml:space="preserve">042-628-1496</t>
  </si>
  <si>
    <t xml:space="preserve">청솔주유소</t>
  </si>
  <si>
    <t xml:space="preserve">충남 천안시 동남구 성남면 성남로 413</t>
  </si>
  <si>
    <t xml:space="preserve">041-553-8132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</si>
  <si>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</si>
  <si>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</si>
  <si>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</si>
  <si>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극동유화(주) 한밭주유소</t>
  </si>
  <si>
    <t xml:space="preserve">대전 서구 문정로 3 (둔산2동)</t>
  </si>
  <si>
    <t xml:space="preserve">042-471-5189</t>
  </si>
  <si>
    <t xml:space="preserve">대원주유소</t>
  </si>
  <si>
    <t xml:space="preserve">충남 천안시 동남구 충절로 261 (구성동)</t>
  </si>
  <si>
    <t xml:space="preserve">041-563-0052</t>
  </si>
  <si>
    <t xml:space="preserve">GS목천IC주유소</t>
  </si>
  <si>
    <t xml:space="preserve">충남 천안시 동남구 목천읍 남부대로 983</t>
  </si>
  <si>
    <t xml:space="preserve">041-555-5185</t>
  </si>
  <si>
    <t xml:space="preserve">충남 천안시 서북구 성거읍 성진로 588</t>
  </si>
  <si>
    <t xml:space="preserve">041-584-8363</t>
  </si>
  <si>
    <t xml:space="preserve">코끼리셀프주유소</t>
  </si>
  <si>
    <t xml:space="preserve">대전 서구 도산로 446 (용문동)</t>
  </si>
  <si>
    <t xml:space="preserve">042-522-3240</t>
  </si>
  <si>
    <t xml:space="preserve">㈜뉴월드에너지</t>
  </si>
  <si>
    <t xml:space="preserve">대전 서구 배재로 205</t>
  </si>
  <si>
    <t xml:space="preserve">042-526-3840</t>
  </si>
  <si>
    <t xml:space="preserve">동찬주유소</t>
  </si>
  <si>
    <t xml:space="preserve">충북 청주시 흥덕구 오송읍 서평길 22-1</t>
  </si>
  <si>
    <t xml:space="preserve">043-238-8808</t>
  </si>
  <si>
    <t xml:space="preserve">디에스주유소</t>
  </si>
  <si>
    <t xml:space="preserve">대전 서구 배재로 210 (도마동)</t>
  </si>
  <si>
    <t xml:space="preserve">042-535-3841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</si>
  <si>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</si>
  <si>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</si>
  <si>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</si>
  <si>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태양주유소</t>
  </si>
  <si>
    <t xml:space="preserve">충북 청주시 청원구 오창읍 중부로 1559</t>
  </si>
  <si>
    <t xml:space="preserve">043-217-9346</t>
  </si>
  <si>
    <t xml:space="preserve">(주)에너비즈 둔산주유소</t>
  </si>
  <si>
    <t xml:space="preserve">대전 서구 유등로 667 (탄방동)</t>
  </si>
  <si>
    <t xml:space="preserve">042-487-7090</t>
  </si>
  <si>
    <t xml:space="preserve">대전 대덕구 대전로 1285 (대화동)</t>
  </si>
  <si>
    <t xml:space="preserve">042-634-0225</t>
  </si>
  <si>
    <t xml:space="preserve">천안동남주유소</t>
  </si>
  <si>
    <t xml:space="preserve">충남 천안시 동남구 동면 충절로 2720</t>
  </si>
  <si>
    <t xml:space="preserve">041-523-5151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</si>
  <si>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</si>
  <si>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</si>
  <si>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</si>
  <si>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개나리주유소오일뱅크</t>
  </si>
  <si>
    <t xml:space="preserve">대전 대덕구 오정로 53 (오정동)</t>
  </si>
  <si>
    <t xml:space="preserve">042-631-4466</t>
  </si>
  <si>
    <t xml:space="preserve">대전 대덕구 신탄진로 470</t>
  </si>
  <si>
    <t xml:space="preserve">042-936-9934</t>
  </si>
  <si>
    <t xml:space="preserve">GS4공단주유소</t>
  </si>
  <si>
    <t xml:space="preserve">충남 천안시 서북구 직산읍 4산단3로 69</t>
  </si>
  <si>
    <t xml:space="preserve">041-587-5189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</si>
  <si>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</si>
  <si>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</si>
  <si>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</si>
  <si>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</si>
  <si>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</si>
  <si>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</si>
  <si>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대전 동구 산내로 562</t>
  </si>
  <si>
    <t xml:space="preserve">042-273-1998</t>
  </si>
  <si>
    <t xml:space="preserve">광덕셀프주유소</t>
  </si>
  <si>
    <t xml:space="preserve">충남 천안시 동남구 광덕면 광풍로 240</t>
  </si>
  <si>
    <t xml:space="preserve">041-553-7732</t>
  </si>
  <si>
    <t xml:space="preserve">삼흥주유소</t>
  </si>
  <si>
    <t xml:space="preserve">충남 천안시 동남구 충절로 395 (삼룡동)</t>
  </si>
  <si>
    <t xml:space="preserve">041-564-5100</t>
  </si>
  <si>
    <t xml:space="preserve">아람주유소</t>
  </si>
  <si>
    <t xml:space="preserve">충남 천안시 동남구 풍세면 풍세로 161</t>
  </si>
  <si>
    <t xml:space="preserve">041-553-1377</t>
  </si>
  <si>
    <t xml:space="preserve">우정주유소</t>
  </si>
  <si>
    <t xml:space="preserve">대전 동구 옥천로 418 (삼정동)</t>
  </si>
  <si>
    <t xml:space="preserve">042-284-0235</t>
  </si>
  <si>
    <t xml:space="preserve">친절한주유소</t>
  </si>
  <si>
    <t xml:space="preserve">충남 천안시 동남구 중앙로 289</t>
  </si>
  <si>
    <t xml:space="preserve">041-562-5151</t>
  </si>
  <si>
    <t xml:space="preserve">강내농협주유소</t>
  </si>
  <si>
    <t xml:space="preserve">충북 청주시 흥덕구 강내면 가로수로 570</t>
  </si>
  <si>
    <t xml:space="preserve">043-238-9250</t>
  </si>
  <si>
    <t xml:space="preserve">푸디스트㈜대천(상)주유소</t>
  </si>
  <si>
    <t xml:space="preserve">충남 보령시 주교면 서해안고속도로 200-1</t>
  </si>
  <si>
    <t xml:space="preserve">041-931-5371</t>
  </si>
  <si>
    <t xml:space="preserve">푸디스트㈜대천(하)주유소</t>
  </si>
  <si>
    <t xml:space="preserve">충남 보령시 주교면 서해안고속도로 199-1</t>
  </si>
  <si>
    <t xml:space="preserve">041-931-5871</t>
  </si>
  <si>
    <t xml:space="preserve">대명주유소</t>
  </si>
  <si>
    <t xml:space="preserve">충북 청주시 흥덕구 직지대로 674</t>
  </si>
  <si>
    <t xml:space="preserve">043-264-9988</t>
  </si>
  <si>
    <t xml:space="preserve">백제주유소</t>
  </si>
  <si>
    <t xml:space="preserve">세종 소정면 차령고개로 1087</t>
  </si>
  <si>
    <t xml:space="preserve">삼원주유소</t>
  </si>
  <si>
    <t xml:space="preserve">충남 천안시 서북구 4산단로 217</t>
  </si>
  <si>
    <t xml:space="preserve">041-555-3151</t>
  </si>
  <si>
    <t xml:space="preserve">재하주유소</t>
  </si>
  <si>
    <t xml:space="preserve">대전 동구 동서대로 1664 (성남동)</t>
  </si>
  <si>
    <t xml:space="preserve">042-626-6626</t>
  </si>
  <si>
    <t xml:space="preserve">지산주유소</t>
  </si>
  <si>
    <t xml:space="preserve">충북 청주시 상당구 낭성면 산성로 1143</t>
  </si>
  <si>
    <t xml:space="preserve">043-225-6554</t>
  </si>
  <si>
    <t xml:space="preserve">평강주유소</t>
  </si>
  <si>
    <t xml:space="preserve">충북 청주시 서원구 사운로145번길 4 (사직동)</t>
  </si>
  <si>
    <t xml:space="preserve">043-266-5155</t>
  </si>
  <si>
    <t xml:space="preserve">(유)대성주유소</t>
  </si>
  <si>
    <t xml:space="preserve">충남 보령시 대천로 254 (죽정동)</t>
  </si>
  <si>
    <t xml:space="preserve">041-936-5189</t>
  </si>
  <si>
    <t xml:space="preserve">오천농협원산도지점주유소</t>
  </si>
  <si>
    <t xml:space="preserve">충남 보령시 오천면 원산도3길 66</t>
  </si>
  <si>
    <t xml:space="preserve">041-936-6055</t>
  </si>
  <si>
    <t xml:space="preserve">주산농협주유소</t>
  </si>
  <si>
    <t xml:space="preserve">충남 보령시 주산면 충서로 430</t>
  </si>
  <si>
    <t xml:space="preserve">041-933-6363</t>
  </si>
  <si>
    <t xml:space="preserve">천북주유소</t>
  </si>
  <si>
    <t xml:space="preserve">충남 보령시 천북면 홍보로 437</t>
  </si>
  <si>
    <t xml:space="preserve">041-641-5450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</si>
  <si>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</si>
  <si>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</si>
  <si>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</si>
  <si>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동현주유소</t>
  </si>
  <si>
    <t xml:space="preserve">충남 공주시 장기면 차령로 1851</t>
  </si>
  <si>
    <t xml:space="preserve">041-858-5188</t>
  </si>
  <si>
    <t xml:space="preserve">세종전의농협주유소</t>
  </si>
  <si>
    <t xml:space="preserve">세종 전의면 매실로 6</t>
  </si>
  <si>
    <t xml:space="preserve">044-863-6521</t>
  </si>
  <si>
    <t xml:space="preserve">웅천농협(내평지점)주유소</t>
  </si>
  <si>
    <t xml:space="preserve">충남 보령시 미산면 내평봉성길 4</t>
  </si>
  <si>
    <t xml:space="preserve">041-933-4563</t>
  </si>
  <si>
    <t xml:space="preserve">웅천농협주유소</t>
  </si>
  <si>
    <t xml:space="preserve">충남 보령시 웅천읍 독산로 10</t>
  </si>
  <si>
    <t xml:space="preserve">041-931-8005</t>
  </si>
  <si>
    <t xml:space="preserve">신고개주유소</t>
  </si>
  <si>
    <t xml:space="preserve">대전 동구 새울로 38 (용운동)</t>
  </si>
  <si>
    <t xml:space="preserve">042-285-6700</t>
  </si>
  <si>
    <t xml:space="preserve">세종로주유소</t>
  </si>
  <si>
    <t xml:space="preserve">세종 전의면 세종로 3880</t>
  </si>
  <si>
    <t xml:space="preserve">044-863-4508</t>
  </si>
  <si>
    <t xml:space="preserve">도림주유소</t>
  </si>
  <si>
    <t xml:space="preserve">충남 천안시 서북구 입장면 성진로 1123</t>
  </si>
  <si>
    <t xml:space="preserve">041-584-4300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</si>
  <si>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</si>
  <si>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</si>
  <si>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</si>
  <si>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</si>
  <si>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</si>
  <si>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</si>
  <si>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충청에너지주유소</t>
  </si>
  <si>
    <t xml:space="preserve">세종특별자치시 전의면 세종로 3894</t>
  </si>
  <si>
    <t xml:space="preserve">044-862-5133</t>
  </si>
  <si>
    <t xml:space="preserve">천안IC주유소</t>
  </si>
  <si>
    <t xml:space="preserve">충남 천안시 동남구 만남로 150 (신부동)</t>
  </si>
  <si>
    <t xml:space="preserve">041-622-3377</t>
  </si>
  <si>
    <t xml:space="preserve">㈜상일주유소</t>
  </si>
  <si>
    <t xml:space="preserve">충청북도 청주시 서원구 남이면 청남로 1164</t>
  </si>
  <si>
    <t xml:space="preserve">043-269-3383</t>
  </si>
  <si>
    <t xml:space="preserve">태조산주유소</t>
  </si>
  <si>
    <t xml:space="preserve">충남 천안시 동남구 각원사길 111 (안서동)</t>
  </si>
  <si>
    <t xml:space="preserve">041-567-0052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</si>
  <si>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</si>
  <si>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</si>
  <si>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</si>
  <si>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남청주농협주유소</t>
  </si>
  <si>
    <t xml:space="preserve">충북 청주시 서원구 남이면 청남로 1228</t>
  </si>
  <si>
    <t xml:space="preserve">043-260-6003</t>
  </si>
  <si>
    <t xml:space="preserve">충북 청주시 흥덕구 1순환로 582 (봉명동)</t>
  </si>
  <si>
    <t xml:space="preserve">043-266-5150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</si>
  <si>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</si>
  <si>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</si>
  <si>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</si>
  <si>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유구농협주유소/충전소</t>
  </si>
  <si>
    <t xml:space="preserve">충남 공주시 유구읍 금계산로 477</t>
  </si>
  <si>
    <t xml:space="preserve">041-841-9533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</si>
  <si>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</si>
  <si>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</si>
  <si>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</si>
  <si>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</si>
  <si>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</si>
  <si>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</si>
  <si>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</si>
  <si>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</si>
  <si>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</si>
  <si>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</si>
  <si>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</si>
  <si>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</si>
  <si>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</si>
  <si>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</si>
  <si>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</si>
  <si>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</si>
  <si>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</si>
  <si>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</si>
  <si>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</si>
  <si>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</si>
  <si>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</si>
  <si>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</si>
  <si>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</si>
  <si>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</si>
  <si>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</si>
  <si>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</si>
  <si>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</si>
  <si>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</si>
  <si>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</si>
  <si>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</si>
  <si>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장성주유소</t>
  </si>
  <si>
    <t xml:space="preserve">충북 청주시 서원구 남이면 양촌4길 3</t>
  </si>
  <si>
    <t xml:space="preserve">043-286-5189</t>
  </si>
  <si>
    <t xml:space="preserve">충북 청주시 청원구 북이면 팔결신대로 517</t>
  </si>
  <si>
    <t xml:space="preserve">043-215-8112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</si>
  <si>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</si>
  <si>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</si>
  <si>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</si>
  <si>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</si>
  <si>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</si>
  <si>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</si>
  <si>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</si>
  <si>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</si>
  <si>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</si>
  <si>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</si>
  <si>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</si>
  <si>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</si>
  <si>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</si>
  <si>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</si>
  <si>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</si>
  <si>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</si>
  <si>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</si>
  <si>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</si>
  <si>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</si>
  <si>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</si>
  <si>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</si>
  <si>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중도석유(주)금성주유소</t>
  </si>
  <si>
    <t xml:space="preserve">충북 청주시 흥덕구 직지대로 650</t>
  </si>
  <si>
    <t xml:space="preserve">043-263-8526</t>
  </si>
  <si>
    <t xml:space="preserve">단비주유소</t>
  </si>
  <si>
    <t xml:space="preserve">충북 청주시 청원구 상당로 281 (내덕동)</t>
  </si>
  <si>
    <t xml:space="preserve">043-221-5189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</si>
  <si>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</si>
  <si>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</si>
  <si>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</si>
  <si>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㈜굿에너지</t>
  </si>
  <si>
    <t xml:space="preserve">충북 청주시 청원구 오창읍 두릉유리로 18</t>
  </si>
  <si>
    <t xml:space="preserve">043-212-5182</t>
  </si>
  <si>
    <t xml:space="preserve">기성농협주유소</t>
  </si>
  <si>
    <t xml:space="preserve">대전 서구 세점길 7</t>
  </si>
  <si>
    <t xml:space="preserve">042-581-4615</t>
  </si>
  <si>
    <t xml:space="preserve">부자주유소</t>
  </si>
  <si>
    <t xml:space="preserve">충북 청주시 흥덕구 1순환로 391</t>
  </si>
  <si>
    <t xml:space="preserve">043-277-5198</t>
  </si>
  <si>
    <t xml:space="preserve">선녀주유소</t>
  </si>
  <si>
    <t xml:space="preserve">충남 천안시 서북구 천안대로 1394 (신당동)</t>
  </si>
  <si>
    <t xml:space="preserve">041-581-0979</t>
  </si>
  <si>
    <t xml:space="preserve">세종중앙농협주유소</t>
  </si>
  <si>
    <t xml:space="preserve">세종특별자치시 연기면 잣띠길 4</t>
  </si>
  <si>
    <t xml:space="preserve">044-867-9036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</si>
  <si>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</si>
  <si>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</si>
  <si>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</si>
  <si>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</si>
  <si>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</si>
  <si>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</si>
  <si>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청주농협북부주유소</t>
  </si>
  <si>
    <t xml:space="preserve">충북 청주시 청원구 공항로 97</t>
  </si>
  <si>
    <t xml:space="preserve">043-211-7560</t>
  </si>
  <si>
    <t xml:space="preserve">청주주유소</t>
  </si>
  <si>
    <t xml:space="preserve">충북 청주시 청원구 직지대로 830</t>
  </si>
  <si>
    <t xml:space="preserve">043-223-3323</t>
  </si>
  <si>
    <t xml:space="preserve">청주IC주유소</t>
  </si>
  <si>
    <t xml:space="preserve">충북 청주시 흥덕구 강내면 가로수로 668</t>
  </si>
  <si>
    <t xml:space="preserve">043-233-0017</t>
  </si>
  <si>
    <t xml:space="preserve">평양주유소</t>
  </si>
  <si>
    <t xml:space="preserve">충북 청주시 서원구  사운로 69 (사직동)</t>
  </si>
  <si>
    <t xml:space="preserve">043-263-8287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</si>
  <si>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</si>
  <si>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</si>
  <si>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</si>
  <si>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탄천농협주유소</t>
  </si>
  <si>
    <t xml:space="preserve">충남 공주시 탄천면 통산로 232</t>
  </si>
  <si>
    <t xml:space="preserve">041-852-1862</t>
  </si>
  <si>
    <t xml:space="preserve">오창농협주유소</t>
  </si>
  <si>
    <t xml:space="preserve">충북 청주시 청원구 오창읍 중부로 1022</t>
  </si>
  <si>
    <t xml:space="preserve">043-217-5133</t>
  </si>
  <si>
    <t xml:space="preserve">용문주유소</t>
  </si>
  <si>
    <t xml:space="preserve">충북 청주시 서원구 현도면 청남로 457</t>
  </si>
  <si>
    <t xml:space="preserve">043-269-0949</t>
  </si>
  <si>
    <t xml:space="preserve">강산주유소</t>
  </si>
  <si>
    <t xml:space="preserve">충북 청주시 상당구 가덕면 단재로 1377</t>
  </si>
  <si>
    <t xml:space="preserve">043-291-5185</t>
  </si>
  <si>
    <t xml:space="preserve">미원주유소</t>
  </si>
  <si>
    <t xml:space="preserve">충북 청주시 상당구 미원면 단재로 2360</t>
  </si>
  <si>
    <t xml:space="preserve">043-297-0273</t>
  </si>
  <si>
    <t xml:space="preserve">옥화대주유소</t>
  </si>
  <si>
    <t xml:space="preserve">충북 청주시 상당구 미원면 남부로 6705</t>
  </si>
  <si>
    <t xml:space="preserve">043-298-1230</t>
  </si>
  <si>
    <t xml:space="preserve">충북석유(주) 새터주유소</t>
  </si>
  <si>
    <t xml:space="preserve">충북 청주시 청원구 새터로 203</t>
  </si>
  <si>
    <t xml:space="preserve">043-218-5145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</si>
  <si>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</si>
  <si>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</si>
  <si>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</si>
  <si>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</si>
  <si>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</si>
  <si>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</si>
  <si>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유계주유소</t>
  </si>
  <si>
    <t xml:space="preserve">충남 공주시 의당면 의당전의로 467</t>
  </si>
  <si>
    <t xml:space="preserve">041-853-4546</t>
  </si>
  <si>
    <t xml:space="preserve">실광주유소</t>
  </si>
  <si>
    <t xml:space="preserve">세종특별자치시 연기면 당산로 239</t>
  </si>
  <si>
    <t xml:space="preserve">044-863-7000</t>
  </si>
  <si>
    <t xml:space="preserve">복대동주유소</t>
  </si>
  <si>
    <t xml:space="preserve">충북 청주시 흥덕구 복대로 206</t>
  </si>
  <si>
    <t xml:space="preserve">043-237-6213</t>
  </si>
  <si>
    <t xml:space="preserve">흥진주유소</t>
  </si>
  <si>
    <t xml:space="preserve">충북 청주시 청원구 북이면 충청대로 1293</t>
  </si>
  <si>
    <t xml:space="preserve">043-211-5554</t>
  </si>
  <si>
    <t xml:space="preserve">명해로주유소</t>
  </si>
  <si>
    <t xml:space="preserve">충남 보령시 명해로 111 (궁촌동)</t>
  </si>
  <si>
    <t xml:space="preserve">041-934-5143</t>
  </si>
  <si>
    <t xml:space="preserve">의당농협주유소</t>
  </si>
  <si>
    <t xml:space="preserve">충남 공주시 의당면 의당전의로 9</t>
  </si>
  <si>
    <t xml:space="preserve">041-852-7890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</si>
  <si>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</si>
  <si>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</si>
  <si>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</si>
  <si>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</si>
  <si>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</si>
  <si>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</si>
  <si>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</si>
  <si>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</si>
  <si>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</si>
  <si>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</si>
  <si>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</si>
  <si>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</si>
  <si>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판정주유소</t>
  </si>
  <si>
    <t xml:space="preserve">충남 천안시 서북구 직산읍 성진로 328</t>
  </si>
  <si>
    <t xml:space="preserve">041-581-1836</t>
  </si>
  <si>
    <t xml:space="preserve">현대에너지</t>
  </si>
  <si>
    <t xml:space="preserve">충남 아산시 음봉면 음봉면로 192</t>
  </si>
  <si>
    <t xml:space="preserve">041-532-5009</t>
  </si>
  <si>
    <t xml:space="preserve">충남 천안시 동남구 성황로 93 (원성동)</t>
  </si>
  <si>
    <t xml:space="preserve">041-522-5141</t>
  </si>
  <si>
    <t xml:space="preserve">세종특별자치시 조치원읍 세종로 2712</t>
  </si>
  <si>
    <t xml:space="preserve">044-862-7712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</si>
  <si>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</si>
  <si>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</si>
  <si>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</si>
  <si>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새청주주유소</t>
  </si>
  <si>
    <t xml:space="preserve">충북 청주시 흥덕구 사운로 302(신봉동)</t>
  </si>
  <si>
    <t xml:space="preserve">043-271-4473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</si>
  <si>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</si>
  <si>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</si>
  <si>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</si>
  <si>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</si>
  <si>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</si>
  <si>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</si>
  <si>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사곡농협주유소</t>
  </si>
  <si>
    <t xml:space="preserve">충남 공주시 사곡면 마곡사로 89</t>
  </si>
  <si>
    <t xml:space="preserve">041-841-7022</t>
  </si>
  <si>
    <t xml:space="preserve">소양주유소</t>
  </si>
  <si>
    <t xml:space="preserve">충남 보령시 청라면 대청로 1100</t>
  </si>
  <si>
    <t xml:space="preserve">041-931-1155</t>
  </si>
  <si>
    <t xml:space="preserve">우성농협주유소</t>
  </si>
  <si>
    <t xml:space="preserve">충남 공주시 우성면 차동로 471</t>
  </si>
  <si>
    <t xml:space="preserve">041-855-6003</t>
  </si>
  <si>
    <t xml:space="preserve">이루다셀프주유소</t>
  </si>
  <si>
    <t xml:space="preserve">충남 아산시 온천대로 1291 (방축동)</t>
  </si>
  <si>
    <t xml:space="preserve">041-548-5188</t>
  </si>
  <si>
    <t xml:space="preserve">정현2주유소</t>
  </si>
  <si>
    <t xml:space="preserve">충북 청주시 청원구 1순환로 350</t>
  </si>
  <si>
    <t xml:space="preserve">043-221-1950</t>
  </si>
  <si>
    <t xml:space="preserve">북면주유소</t>
  </si>
  <si>
    <t xml:space="preserve">충청남도 천안시 동남구 북면 위례성로 715</t>
  </si>
  <si>
    <t xml:space="preserve">041-554-8060</t>
  </si>
  <si>
    <t xml:space="preserve">사랑셀프주유소</t>
  </si>
  <si>
    <t xml:space="preserve">충남 아산시 충무로 152</t>
  </si>
  <si>
    <t xml:space="preserve">041-544-9960</t>
  </si>
  <si>
    <t xml:space="preserve">창성주유소</t>
  </si>
  <si>
    <t xml:space="preserve">충남 천안시 서북구 성환읍 성환1로 201</t>
  </si>
  <si>
    <t xml:space="preserve">041-581-5151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</si>
  <si>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</si>
  <si>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</si>
  <si>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</si>
  <si>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계룡농협주유소</t>
  </si>
  <si>
    <t xml:space="preserve">충남 공주시 계룡면 영규대사로 365</t>
  </si>
  <si>
    <t xml:space="preserve">041-857-3432</t>
  </si>
  <si>
    <t xml:space="preserve">농협하나로 주유소</t>
  </si>
  <si>
    <t xml:space="preserve">충남 공주시 미나리2길 4 (금성동)</t>
  </si>
  <si>
    <t xml:space="preserve">041-854-7890</t>
  </si>
  <si>
    <t xml:space="preserve">염치농협주유소</t>
  </si>
  <si>
    <t xml:space="preserve">충남 아산시 염치읍 아산로 321</t>
  </si>
  <si>
    <t xml:space="preserve">041-547-1351</t>
  </si>
  <si>
    <t xml:space="preserve">정안농협주유소</t>
  </si>
  <si>
    <t xml:space="preserve">충남 공주시 정안면 활원길 48-10</t>
  </si>
  <si>
    <t xml:space="preserve">041-858-8324</t>
  </si>
  <si>
    <t xml:space="preserve">OK주유소</t>
  </si>
  <si>
    <t xml:space="preserve">대전 대덕구 대전로 1312 (읍내동)</t>
  </si>
  <si>
    <t xml:space="preserve">042-633-8757</t>
  </si>
  <si>
    <t xml:space="preserve">동세종농협주유소</t>
  </si>
  <si>
    <t xml:space="preserve">세종특별자치시 연동면 청연로 490</t>
  </si>
  <si>
    <t xml:space="preserve">044-864-0701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</si>
  <si>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</si>
  <si>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</si>
  <si>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</si>
  <si>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봉암주유소</t>
  </si>
  <si>
    <t xml:space="preserve">세종시 연서면 세종로 1899</t>
  </si>
  <si>
    <t xml:space="preserve">044-868-5153</t>
  </si>
  <si>
    <t xml:space="preserve">명성self주유소</t>
  </si>
  <si>
    <t xml:space="preserve">세종 조치원읍 세종로 2210</t>
  </si>
  <si>
    <t xml:space="preserve">044-863-3885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</si>
  <si>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</si>
  <si>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</si>
  <si>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</si>
  <si>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</si>
  <si>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</si>
  <si>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</si>
  <si>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초원주유소</t>
  </si>
  <si>
    <t xml:space="preserve">충남 아산시 실옥로 67</t>
  </si>
  <si>
    <t xml:space="preserve">041-549-0622</t>
  </si>
  <si>
    <t xml:space="preserve">나인투㈜ 아산지점</t>
  </si>
  <si>
    <t xml:space="preserve">충남 아산시 아산로 146 (온천동)</t>
  </si>
  <si>
    <t xml:space="preserve">041-532-9542</t>
  </si>
  <si>
    <t xml:space="preserve">동성주유소</t>
  </si>
  <si>
    <t xml:space="preserve">충남 천안시 서북구 차돌로 14</t>
  </si>
  <si>
    <t xml:space="preserve">041-572-8730</t>
  </si>
  <si>
    <t xml:space="preserve">세종 조치원읍 세종로 2749</t>
  </si>
  <si>
    <t xml:space="preserve">044-863-5145</t>
  </si>
  <si>
    <t xml:space="preserve">상봉주유소</t>
  </si>
  <si>
    <t xml:space="preserve">충북 청주시 흥덕구 오송읍 세종로 2880</t>
  </si>
  <si>
    <t xml:space="preserve">043-239-5188</t>
  </si>
  <si>
    <t xml:space="preserve">선경셀프주유소</t>
  </si>
  <si>
    <t xml:space="preserve">충북 청주시 흥덕구 강내면 서부로 106</t>
  </si>
  <si>
    <t xml:space="preserve">043-232-5189</t>
  </si>
  <si>
    <t xml:space="preserve">선영셀프주유소</t>
  </si>
  <si>
    <t xml:space="preserve">충남 천안시 서북구 백석로 248</t>
  </si>
  <si>
    <t xml:space="preserve">041-577-5533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</si>
  <si>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</si>
  <si>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</si>
  <si>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</si>
  <si>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신원self주유소</t>
  </si>
  <si>
    <t xml:space="preserve">세종특별자치시 조치원읍 세종로 2562</t>
  </si>
  <si>
    <t xml:space="preserve">044-868-5101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</si>
  <si>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</si>
  <si>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</si>
  <si>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</si>
  <si>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우성주유소</t>
  </si>
  <si>
    <t xml:space="preserve">충남 공주시 우성면 동대리길 93</t>
  </si>
  <si>
    <t xml:space="preserve">041-853-6025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</si>
  <si>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</si>
  <si>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</si>
  <si>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</si>
  <si>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충북 청주시 흥덕구 강내면 서부로 344</t>
  </si>
  <si>
    <t xml:space="preserve">043-231-8383</t>
  </si>
  <si>
    <t xml:space="preserve">토지주유소</t>
  </si>
  <si>
    <t xml:space="preserve">대전 동구 계족로 249</t>
  </si>
  <si>
    <t xml:space="preserve">행복셀프주유소</t>
  </si>
  <si>
    <t xml:space="preserve">충남 보령시 대청로 209</t>
  </si>
  <si>
    <t xml:space="preserve">041-932-1747</t>
  </si>
  <si>
    <t xml:space="preserve">현암주유소</t>
  </si>
  <si>
    <t xml:space="preserve">충북 청주시 흥덕구 서부로 767 (현암동)</t>
  </si>
  <si>
    <t xml:space="preserve">043-232-0248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</si>
  <si>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</si>
  <si>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</si>
  <si>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</si>
  <si>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㈜노랑오일 아산IC주유소</t>
  </si>
  <si>
    <t xml:space="preserve">충남 아산시 영인면 아산로 854-2</t>
  </si>
  <si>
    <t xml:space="preserve">041-533-5150</t>
  </si>
  <si>
    <t xml:space="preserve">세종대왕주유소</t>
  </si>
  <si>
    <t xml:space="preserve">세종 전의면 세종로 3907</t>
  </si>
  <si>
    <t xml:space="preserve">044-272-0906</t>
  </si>
  <si>
    <t xml:space="preserve">아산테크노주유소</t>
  </si>
  <si>
    <t xml:space="preserve">충남 아산시 영인면 아산로 1338</t>
  </si>
  <si>
    <t xml:space="preserve">041-547-5181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</si>
  <si>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</si>
  <si>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</si>
  <si>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</si>
  <si>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</si>
  <si>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</si>
  <si>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</si>
  <si>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남부주유소</t>
  </si>
  <si>
    <t xml:space="preserve">충남 천안시 동남구 남부대로 84 (신방동)</t>
  </si>
  <si>
    <t xml:space="preserve">041-577-7900</t>
  </si>
  <si>
    <t xml:space="preserve">무궁화주유소</t>
  </si>
  <si>
    <t xml:space="preserve">충북 청주시 흥덕구 가로수로 1372 (복대동)</t>
  </si>
  <si>
    <t xml:space="preserve">043-234-5189</t>
  </si>
  <si>
    <t xml:space="preserve">성남주유소</t>
  </si>
  <si>
    <t xml:space="preserve">충북 청주시 상당구 문의면 미천고은로 153</t>
  </si>
  <si>
    <t xml:space="preserve">043-297-5151</t>
  </si>
  <si>
    <t xml:space="preserve">입장농협주유소</t>
  </si>
  <si>
    <t xml:space="preserve">충남 천안시 서북구 입장면 입장로 113</t>
  </si>
  <si>
    <t xml:space="preserve">041-585-8368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</si>
  <si>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</si>
  <si>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</si>
  <si>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</si>
  <si>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</si>
  <si>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</si>
  <si>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</si>
  <si>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</si>
  <si>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</si>
  <si>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</si>
  <si>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</si>
  <si>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</si>
  <si>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</si>
  <si>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</si>
  <si>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</si>
  <si>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</si>
  <si>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</si>
  <si>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</si>
  <si>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</si>
  <si>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㈜아산구도일</t>
  </si>
  <si>
    <t xml:space="preserve">충남 아산시 영인면 장영실로 714</t>
  </si>
  <si>
    <t xml:space="preserve">041-547-5148</t>
  </si>
  <si>
    <t xml:space="preserve">가경주유소</t>
  </si>
  <si>
    <t xml:space="preserve">충북 청주시 서원구 서부로 1355</t>
  </si>
  <si>
    <t xml:space="preserve">043-236-7517</t>
  </si>
  <si>
    <t xml:space="preserve">남청주 양지주유소</t>
  </si>
  <si>
    <t xml:space="preserve">충북 청주시 서원구 현도면 청남로 80</t>
  </si>
  <si>
    <t xml:space="preserve">042-932-2000</t>
  </si>
  <si>
    <t xml:space="preserve">동광에너지</t>
  </si>
  <si>
    <t xml:space="preserve">충북 청주시 흥덕구 직지대로 52 (지동동)</t>
  </si>
  <si>
    <t xml:space="preserve">043-232-8222</t>
  </si>
  <si>
    <t xml:space="preserve">럭키셀프주유소</t>
  </si>
  <si>
    <t xml:space="preserve">충남 천안시 서북구 성환읍 천안대로 1846</t>
  </si>
  <si>
    <t xml:space="preserve">041-582-6500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</si>
  <si>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</si>
  <si>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</si>
  <si>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</si>
  <si>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모충주유소</t>
  </si>
  <si>
    <t xml:space="preserve">충북 청주시 서원구 모충로 112 (모충동)</t>
  </si>
  <si>
    <t xml:space="preserve">043-269-2001</t>
  </si>
  <si>
    <t xml:space="preserve">번개셀프2주유소</t>
  </si>
  <si>
    <t xml:space="preserve">충북 청주시 상당구 단재로 391 (지북동)</t>
  </si>
  <si>
    <t xml:space="preserve">043-297-6874</t>
  </si>
  <si>
    <t xml:space="preserve">새빛주유소</t>
  </si>
  <si>
    <t xml:space="preserve">충북 청주시 상당구 남일면 단재로 466-5</t>
  </si>
  <si>
    <t xml:space="preserve">043-293-3078</t>
  </si>
  <si>
    <t xml:space="preserve">신달주유소</t>
  </si>
  <si>
    <t xml:space="preserve">충남 공주시 유구읍 금계산로 687</t>
  </si>
  <si>
    <t xml:space="preserve">041-841-6607</t>
  </si>
  <si>
    <t xml:space="preserve">신보령주유소</t>
  </si>
  <si>
    <t xml:space="preserve">충남 보령시 청소면 충서로 3610</t>
  </si>
  <si>
    <t xml:space="preserve">041-936-8588</t>
  </si>
  <si>
    <t xml:space="preserve">신정현주유소</t>
  </si>
  <si>
    <t xml:space="preserve">충북 청주시 서원구 사운로 118</t>
  </si>
  <si>
    <t xml:space="preserve">043-266-5180</t>
  </si>
  <si>
    <t xml:space="preserve">여천주유소</t>
  </si>
  <si>
    <t xml:space="preserve">충북 청주시 청원구 오창읍 여천3길 257</t>
  </si>
  <si>
    <t xml:space="preserve">043-218-5189</t>
  </si>
  <si>
    <t xml:space="preserve">이수에너지</t>
  </si>
  <si>
    <t xml:space="preserve">충남 보령시 주교면 보령북로 469</t>
  </si>
  <si>
    <t xml:space="preserve">041-931-1942</t>
  </si>
  <si>
    <t xml:space="preserve">주식회사 지우스타에너지</t>
  </si>
  <si>
    <t xml:space="preserve">충남 아산시 염치읍 아산로 807</t>
  </si>
  <si>
    <t xml:space="preserve">041-532-5866</t>
  </si>
  <si>
    <t xml:space="preserve">청주농협주유소</t>
  </si>
  <si>
    <t xml:space="preserve">충북 청주시 상당구 월평로184번길 136</t>
  </si>
  <si>
    <t xml:space="preserve">043-294-1117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</si>
  <si>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</si>
  <si>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</si>
  <si>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</si>
  <si>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현도주유소</t>
  </si>
  <si>
    <t xml:space="preserve">충북 청주시 서원구 현도면 청남로 264</t>
  </si>
  <si>
    <t xml:space="preserve">043-268-7773</t>
  </si>
  <si>
    <t xml:space="preserve">CJ대한통운㈜ 아산탕정주유소</t>
  </si>
  <si>
    <t xml:space="preserve">충남 아산시 탕정면 새아산로 354</t>
  </si>
  <si>
    <t xml:space="preserve">041-531-5106</t>
  </si>
  <si>
    <t xml:space="preserve">CJ대한통운㈜ 호산주유소</t>
  </si>
  <si>
    <t xml:space="preserve">충남 아산시 탕정면 새아산로 352</t>
  </si>
  <si>
    <t xml:space="preserve">041-531-5107</t>
  </si>
  <si>
    <t xml:space="preserve">남포농협주유소</t>
  </si>
  <si>
    <t xml:space="preserve">충남 보령시 남포면 월전로 9</t>
  </si>
  <si>
    <t xml:space="preserve">041-931-0090</t>
  </si>
  <si>
    <t xml:space="preserve">내수농업협동조합</t>
  </si>
  <si>
    <t xml:space="preserve">충북 청주시 청원구 내수읍 내수로 751</t>
  </si>
  <si>
    <t xml:space="preserve">043-214-7043</t>
  </si>
  <si>
    <t xml:space="preserve">대천농협주유소</t>
  </si>
  <si>
    <t xml:space="preserve">충남 보령시 대천방조제로 84  (대천동)</t>
  </si>
  <si>
    <t xml:space="preserve">041-933-0142</t>
  </si>
  <si>
    <t xml:space="preserve">세종연서농협주유소</t>
  </si>
  <si>
    <t xml:space="preserve">세종 연서면 함박로 122</t>
  </si>
  <si>
    <t xml:space="preserve">044-867-2124</t>
  </si>
  <si>
    <t xml:space="preserve">오천농협주유소</t>
  </si>
  <si>
    <t xml:space="preserve">충남 보령시 오천면 충청수영로 564-5</t>
  </si>
  <si>
    <t xml:space="preserve">041-931-4051</t>
  </si>
  <si>
    <t xml:space="preserve">청소농협협동조합</t>
  </si>
  <si>
    <t xml:space="preserve">충남 보령시 청소면 청소큰길 192</t>
  </si>
  <si>
    <t xml:space="preserve">041-933-6886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</si>
  <si>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</si>
  <si>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</si>
  <si>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</si>
  <si>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송절주유소</t>
  </si>
  <si>
    <t xml:space="preserve">충북 청주시 흥덕구 월명로 278</t>
  </si>
  <si>
    <t xml:space="preserve">043-278-5188</t>
  </si>
  <si>
    <t xml:space="preserve">신안주유소</t>
  </si>
  <si>
    <t xml:space="preserve">세종특별자치시 조치원읍 세종로 2678</t>
  </si>
  <si>
    <t xml:space="preserve">044-865-2321</t>
  </si>
  <si>
    <t xml:space="preserve">(주)오일마스터아산지점 송촌주유소</t>
  </si>
  <si>
    <t xml:space="preserve">충남 아산시 음봉면 음봉로 336</t>
  </si>
  <si>
    <t xml:space="preserve">041-545-5189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</si>
  <si>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</si>
  <si>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</si>
  <si>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</si>
  <si>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루트40주유소</t>
  </si>
  <si>
    <t xml:space="preserve">충남 공주시 이인면 잣골길 52-11 (이인면)</t>
  </si>
  <si>
    <t xml:space="preserve">041-855-0040</t>
  </si>
  <si>
    <t xml:space="preserve">오창공단IC주유소</t>
  </si>
  <si>
    <t xml:space="preserve">충북 청주시 청원구 오창읍 농소길 6-3</t>
  </si>
  <si>
    <t xml:space="preserve">043-218-3032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</si>
  <si>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</si>
  <si>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</si>
  <si>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</si>
  <si>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주식회사 만수르에너지</t>
  </si>
  <si>
    <t xml:space="preserve">충남 아산시 음봉면 음봉로 319</t>
  </si>
  <si>
    <t xml:space="preserve">070-4617-5182</t>
  </si>
  <si>
    <t xml:space="preserve">대길주유소</t>
  </si>
  <si>
    <t xml:space="preserve">충남 공주시 백제큰길 1384 (검상동)</t>
  </si>
  <si>
    <t xml:space="preserve">041-853-4541</t>
  </si>
  <si>
    <t xml:space="preserve">거북선에너지</t>
  </si>
  <si>
    <t xml:space="preserve">충남 아산시 염치읍 이순신대로 210-2</t>
  </si>
  <si>
    <t xml:space="preserve">041-547-5183</t>
  </si>
  <si>
    <t xml:space="preserve">평온주유소</t>
  </si>
  <si>
    <t xml:space="preserve">충남 천안시 서북구 성환18길 11-124</t>
  </si>
  <si>
    <t xml:space="preserve">041-585-7075</t>
  </si>
  <si>
    <t xml:space="preserve">도담알뜰주유소</t>
  </si>
  <si>
    <t xml:space="preserve">세종 갈매로 596</t>
  </si>
  <si>
    <t xml:space="preserve">044-863-6631</t>
  </si>
  <si>
    <t xml:space="preserve">둔포주유소</t>
  </si>
  <si>
    <t xml:space="preserve">충남 아산시 둔포면 아산호로 1004</t>
  </si>
  <si>
    <t xml:space="preserve">041-532-4668</t>
  </si>
  <si>
    <t xml:space="preserve">새롬주유소</t>
  </si>
  <si>
    <t xml:space="preserve">세종시 어울로 77 (새롬동)</t>
  </si>
  <si>
    <t xml:space="preserve">044-864-5188</t>
  </si>
  <si>
    <t xml:space="preserve">쌍암주유소</t>
  </si>
  <si>
    <t xml:space="preserve">충남 아산시 음봉면 연암율금로 555</t>
  </si>
  <si>
    <t xml:space="preserve">041-546-8675</t>
  </si>
  <si>
    <t xml:space="preserve">아주알뜰주유소 ㈜아주</t>
  </si>
  <si>
    <t xml:space="preserve">세종특별자치시 다정북로 40</t>
  </si>
  <si>
    <t xml:space="preserve">044-862-0935</t>
  </si>
  <si>
    <t xml:space="preserve">세종 부강면 부강외천로 271</t>
  </si>
  <si>
    <t xml:space="preserve">044-277-5179</t>
  </si>
  <si>
    <t xml:space="preserve">터미널주유소</t>
  </si>
  <si>
    <t xml:space="preserve">충북 청주시 흥덕구 가로수로1086번길 1</t>
  </si>
  <si>
    <t xml:space="preserve">043-232-4257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</si>
  <si>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</si>
  <si>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</si>
  <si>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</si>
  <si>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(주)충무공에너지</t>
  </si>
  <si>
    <t xml:space="preserve">충남 아산시 염치읍 이순신대로 206</t>
  </si>
  <si>
    <t xml:space="preserve">041-532-5152</t>
  </si>
  <si>
    <t xml:space="preserve">대성제5주유소</t>
  </si>
  <si>
    <t xml:space="preserve">충남 천안시 동남구 청수로 135</t>
  </si>
  <si>
    <t xml:space="preserve">041-555-5660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</si>
  <si>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</si>
  <si>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</si>
  <si>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</si>
  <si>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배방농협주유소</t>
  </si>
  <si>
    <t xml:space="preserve">충남 아산시 배방읍 호서로 429</t>
  </si>
  <si>
    <t xml:space="preserve">041-537-0555</t>
  </si>
  <si>
    <t xml:space="preserve">석곡주유소</t>
  </si>
  <si>
    <t xml:space="preserve">충북 청주시 흥덕구 남석로 615</t>
  </si>
  <si>
    <t xml:space="preserve">043-233-7800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</si>
  <si>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</si>
  <si>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</si>
  <si>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</si>
  <si>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스타홀딩스㈜ 아산선녀주유소</t>
  </si>
  <si>
    <t xml:space="preserve">충남 아산시 염치읍 아산로 625</t>
  </si>
  <si>
    <t xml:space="preserve">041-541-9224</t>
  </si>
  <si>
    <t xml:space="preserve">아산호서대주유소</t>
  </si>
  <si>
    <t xml:space="preserve">충남 아산시 배방읍 호서로 254</t>
  </si>
  <si>
    <t xml:space="preserve">041-541-5559</t>
  </si>
  <si>
    <t xml:space="preserve">오창주유소</t>
  </si>
  <si>
    <t xml:space="preserve">충북 청주시 청원구 오창읍 두릉유리로 974</t>
  </si>
  <si>
    <t xml:space="preserve">043-217-5245</t>
  </si>
  <si>
    <t xml:space="preserve">해암주유소</t>
  </si>
  <si>
    <t xml:space="preserve">충남 아산시 인주면 현대로 855</t>
  </si>
  <si>
    <t xml:space="preserve">041-533-7701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</si>
  <si>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</si>
  <si>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</si>
  <si>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</si>
  <si>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</si>
  <si>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</si>
  <si>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</si>
  <si>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</si>
  <si>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</si>
  <si>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</si>
  <si>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</si>
  <si>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</si>
  <si>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</si>
  <si>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</si>
  <si>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</si>
  <si>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</si>
  <si>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</si>
  <si>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</si>
  <si>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</si>
  <si>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엔젤주유소</t>
  </si>
  <si>
    <t xml:space="preserve">충남 공주시 무령로 345  (옥룡동)</t>
  </si>
  <si>
    <t xml:space="preserve">041-853-2222</t>
  </si>
  <si>
    <t xml:space="preserve">신원주유소</t>
  </si>
  <si>
    <t xml:space="preserve">충남 천안시 동남구 충무로 60 (신방동)</t>
  </si>
  <si>
    <t xml:space="preserve">041-573-2011</t>
  </si>
  <si>
    <t xml:space="preserve">충남 천안시 동남구 풍세로 895 (다가동)</t>
  </si>
  <si>
    <t xml:space="preserve">041-523-5100</t>
  </si>
  <si>
    <t xml:space="preserve">옥계주유소</t>
  </si>
  <si>
    <t xml:space="preserve">대전 중구 대종로 103</t>
  </si>
  <si>
    <t xml:space="preserve">042-285-1297</t>
  </si>
  <si>
    <t xml:space="preserve">그린이에스</t>
  </si>
  <si>
    <t xml:space="preserve">충북 청주시 흥덕구 청주역로 284 (정봉동)</t>
  </si>
  <si>
    <t xml:space="preserve">043-237-2000</t>
  </si>
  <si>
    <t xml:space="preserve">대련주유소</t>
  </si>
  <si>
    <t xml:space="preserve">충북 청주시 서원구 남이면 대림로 148</t>
  </si>
  <si>
    <t xml:space="preserve">043-260-2433</t>
  </si>
  <si>
    <t xml:space="preserve">서청주IC주유소</t>
  </si>
  <si>
    <t xml:space="preserve">충북 청주시 흥덕구 직지대로 183</t>
  </si>
  <si>
    <t xml:space="preserve">043-234-5151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</si>
  <si>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</si>
  <si>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</si>
  <si>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</si>
  <si>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</si>
  <si>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</si>
  <si>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</si>
  <si>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가로수주유소</t>
  </si>
  <si>
    <t xml:space="preserve">충북 청주시 흥덕구 가로수로 797 (석소동)</t>
  </si>
  <si>
    <t xml:space="preserve">043-232-4466</t>
  </si>
  <si>
    <t xml:space="preserve">김여사주유소</t>
  </si>
  <si>
    <t xml:space="preserve">충남 천안시 서북구 성거읍 봉주로 202</t>
  </si>
  <si>
    <t xml:space="preserve">041-585-5155</t>
  </si>
  <si>
    <t xml:space="preserve">대현주유소</t>
  </si>
  <si>
    <t xml:space="preserve">충북 청주시 청원구 오창읍 농소길 17-1</t>
  </si>
  <si>
    <t xml:space="preserve">043-241-5566</t>
  </si>
  <si>
    <t xml:space="preserve">만남주유소</t>
  </si>
  <si>
    <t xml:space="preserve">충북 청주시 흥덕구 직지대로 126 (지동동)</t>
  </si>
  <si>
    <t xml:space="preserve">043-232-5140</t>
  </si>
  <si>
    <t xml:space="preserve">명진에너지</t>
  </si>
  <si>
    <t xml:space="preserve">충남 천안시 동남구 망향로 52 (신부동)</t>
  </si>
  <si>
    <t xml:space="preserve">041-555-5188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</si>
  <si>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</si>
  <si>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</si>
  <si>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</si>
  <si>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신광주유소</t>
  </si>
  <si>
    <t xml:space="preserve">충남 천안시 동남구 망향로 42</t>
  </si>
  <si>
    <t xml:space="preserve">041-553-0407</t>
  </si>
  <si>
    <t xml:space="preserve">오산리주유소</t>
  </si>
  <si>
    <t xml:space="preserve">충북 청주시 흥덕구 옥산면 오송가락로 759</t>
  </si>
  <si>
    <t xml:space="preserve">043-260-3123</t>
  </si>
  <si>
    <t xml:space="preserve">자이언트에너지</t>
  </si>
  <si>
    <t xml:space="preserve">충남 천안시 서북구 성거읍 망향로 904</t>
  </si>
  <si>
    <t xml:space="preserve">041-417-3006</t>
  </si>
  <si>
    <t xml:space="preserve">제일셀프주유소</t>
  </si>
  <si>
    <t xml:space="preserve">대전 대덕구  동서대로 1750 (비래동)</t>
  </si>
  <si>
    <t xml:space="preserve">042-638-4255</t>
  </si>
  <si>
    <t xml:space="preserve">주식회사 월드홀딩스</t>
  </si>
  <si>
    <t xml:space="preserve">충남 천안시 서북구 서부대로 421</t>
  </si>
  <si>
    <t xml:space="preserve">041-900-5151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</si>
  <si>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</si>
  <si>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</si>
  <si>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</si>
  <si>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</si>
  <si>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</si>
  <si>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</si>
  <si>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㈜제스 현대조은주유소</t>
  </si>
  <si>
    <t xml:space="preserve">충남 아산시 인주면 현대로 1088</t>
  </si>
  <si>
    <t xml:space="preserve">041-533-8591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</si>
  <si>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</si>
  <si>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</si>
  <si>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</si>
  <si>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진영주유소</t>
  </si>
  <si>
    <t xml:space="preserve">세종 소정면 세종로 4732</t>
  </si>
  <si>
    <t xml:space="preserve">044-866-0220</t>
  </si>
  <si>
    <t xml:space="preserve">충남 천안시 동남구 풍세면 광풍로 1333</t>
  </si>
  <si>
    <t xml:space="preserve">041-561-5133</t>
  </si>
  <si>
    <t xml:space="preserve">(주)차세대주유소</t>
  </si>
  <si>
    <t xml:space="preserve">대전광역시 대덕구  아리랑로 73</t>
  </si>
  <si>
    <t xml:space="preserve">042-626-5051</t>
  </si>
  <si>
    <t xml:space="preserve">(주)소모 아산둔포주유소</t>
  </si>
  <si>
    <t xml:space="preserve">충남 아산시 둔포면 장영실로 1292</t>
  </si>
  <si>
    <t xml:space="preserve">041-541-1610</t>
  </si>
  <si>
    <t xml:space="preserve">성원에너지</t>
  </si>
  <si>
    <t xml:space="preserve">충북 청주시 서원구 남이면 연청로 1288-7</t>
  </si>
  <si>
    <t xml:space="preserve">043-272-5149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</si>
  <si>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</si>
  <si>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</si>
  <si>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</si>
  <si>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</si>
  <si>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</si>
  <si>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</si>
  <si>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아우내농협주유소</t>
  </si>
  <si>
    <t xml:space="preserve">충남 천안시 동남구 병천면 병천1로 76</t>
  </si>
  <si>
    <t xml:space="preserve">041-564-0636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</si>
  <si>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</si>
  <si>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</si>
  <si>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</si>
  <si>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</si>
  <si>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</si>
  <si>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</si>
  <si>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정다운주유소</t>
  </si>
  <si>
    <t xml:space="preserve">충남 아산시 영인면 아산호로 191</t>
  </si>
  <si>
    <t xml:space="preserve">041-542-8928</t>
  </si>
  <si>
    <t xml:space="preserve">(주)디오티디 아산꿀꿀이주유소</t>
  </si>
  <si>
    <t xml:space="preserve">충남 아산시 영인면 장영실로 684</t>
  </si>
  <si>
    <t xml:space="preserve">041-545-5185</t>
  </si>
  <si>
    <t xml:space="preserve">그랜드주유소</t>
  </si>
  <si>
    <t xml:space="preserve">충북 청주시 청원구 오창읍 꽃화산1길 126-33</t>
  </si>
  <si>
    <t xml:space="preserve">043-218-7755</t>
  </si>
  <si>
    <t xml:space="preserve">다온주유소</t>
  </si>
  <si>
    <t xml:space="preserve">충남 천안시 동남구 풍세로 930</t>
  </si>
  <si>
    <t xml:space="preserve">041-553-5189</t>
  </si>
  <si>
    <t xml:space="preserve">둔포농협주유소</t>
  </si>
  <si>
    <t xml:space="preserve">충남 아산시 둔포면 충무로 1759</t>
  </si>
  <si>
    <t xml:space="preserve">041-531-7128</t>
  </si>
  <si>
    <t xml:space="preserve">디오티디 아산부엉이주유소 (주)다휘</t>
  </si>
  <si>
    <t xml:space="preserve">충남 아산시 영인면 장영실로 430</t>
  </si>
  <si>
    <t xml:space="preserve">041-424-5115</t>
  </si>
  <si>
    <t xml:space="preserve">디오티디아산멍멍이주유소</t>
  </si>
  <si>
    <t xml:space="preserve">충남 아산시 인주면 서해로 525</t>
  </si>
  <si>
    <t xml:space="preserve">041-533-5184</t>
  </si>
  <si>
    <t xml:space="preserve">삼성GOOD주유소</t>
  </si>
  <si>
    <t xml:space="preserve">충청남도 아산시 탕정면 436-2</t>
  </si>
  <si>
    <t xml:space="preserve">041-546-1300</t>
  </si>
  <si>
    <t xml:space="preserve">선도농협주유소</t>
  </si>
  <si>
    <t xml:space="preserve">충남 아산시 선장면 아산만로 603</t>
  </si>
  <si>
    <t xml:space="preserve">041-543-4820</t>
  </si>
  <si>
    <t xml:space="preserve">신방주유소</t>
  </si>
  <si>
    <t xml:space="preserve">충남 천안시 서북구 성환읍 신방로 41</t>
  </si>
  <si>
    <t xml:space="preserve">041-581-1474</t>
  </si>
  <si>
    <t xml:space="preserve">온양농협주유소</t>
  </si>
  <si>
    <t xml:space="preserve">충남 아산시 신창면 서부북로 906</t>
  </si>
  <si>
    <t xml:space="preserve">041-542-2584</t>
  </si>
  <si>
    <t xml:space="preserve">희망찬주유소</t>
  </si>
  <si>
    <t xml:space="preserve">충남 아산시 도고면 온천대로 476</t>
  </si>
  <si>
    <t xml:space="preserve">041-542-0135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</si>
  <si>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</si>
  <si>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</si>
  <si>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</si>
  <si>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㈜구룡에너지</t>
  </si>
  <si>
    <t xml:space="preserve">충북 청주시 청원구 오창읍 오창대로 149</t>
  </si>
  <si>
    <t xml:space="preserve">043-216-9263</t>
  </si>
  <si>
    <t xml:space="preserve">(주)에스엘 반포주유소</t>
  </si>
  <si>
    <t xml:space="preserve">충남 공주시 반포면 금벽로 1330</t>
  </si>
  <si>
    <t xml:space="preserve">041-855-2470</t>
  </si>
  <si>
    <t xml:space="preserve">충남 공주시 반포면 금벽로 1749</t>
  </si>
  <si>
    <t xml:space="preserve">041-881-0088</t>
  </si>
  <si>
    <t xml:space="preserve">달산주유소</t>
  </si>
  <si>
    <t xml:space="preserve">충남 공주시 이인면 검바위로 71</t>
  </si>
  <si>
    <t xml:space="preserve">041-852-3566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</si>
  <si>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</si>
  <si>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</si>
  <si>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</si>
  <si>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순천향셀프주유소</t>
  </si>
  <si>
    <t xml:space="preserve">충남 아산시 신창면 온천대로 846</t>
  </si>
  <si>
    <t xml:space="preserve">041-544-5474</t>
  </si>
  <si>
    <t xml:space="preserve">신천안스테이션</t>
  </si>
  <si>
    <t xml:space="preserve">충남 천안시 동남구 목천읍 삼성4길 43</t>
  </si>
  <si>
    <t xml:space="preserve">000-000-0000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</si>
  <si>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</si>
  <si>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</si>
  <si>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</si>
  <si>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온천주유소</t>
  </si>
  <si>
    <t xml:space="preserve">충남 공주시 반포면 온천사기소길 17</t>
  </si>
  <si>
    <t xml:space="preserve">041-857-8638</t>
  </si>
  <si>
    <t xml:space="preserve">충남 아산시 영인면 장영실로 687</t>
  </si>
  <si>
    <t xml:space="preserve">041-544-5147</t>
  </si>
  <si>
    <t xml:space="preserve">카카오스테이션 ㈜오일컴퍼니</t>
  </si>
  <si>
    <t xml:space="preserve">충남 아산시 인주면 서해로 492</t>
  </si>
  <si>
    <t xml:space="preserve">041-543-5199</t>
  </si>
  <si>
    <t xml:space="preserve">프렌즈스테이션㈜제이에이치에스</t>
  </si>
  <si>
    <t xml:space="preserve">대전 서구 계백로 838</t>
  </si>
  <si>
    <t xml:space="preserve">042-544-5185</t>
  </si>
  <si>
    <t xml:space="preserve">충남 천안시 서북구 봉정로 246</t>
  </si>
  <si>
    <t xml:space="preserve">041-571-5159</t>
  </si>
  <si>
    <t xml:space="preserve">남양대영주유소</t>
  </si>
  <si>
    <t xml:space="preserve">세종시 장군면 장기로 842</t>
  </si>
  <si>
    <t xml:space="preserve">044-856-5175</t>
  </si>
  <si>
    <t xml:space="preserve">메이저주유소</t>
  </si>
  <si>
    <t xml:space="preserve">충북 청주시 청원구 오창읍 두릉유리로 207</t>
  </si>
  <si>
    <t xml:space="preserve">043-212-7898</t>
  </si>
  <si>
    <t xml:space="preserve">부성에너지</t>
  </si>
  <si>
    <t xml:space="preserve">충남 천안시 서북구 업성2길 21 (업성동)</t>
  </si>
  <si>
    <t xml:space="preserve">041-562-5155</t>
  </si>
  <si>
    <t xml:space="preserve">아산미그린주식회사</t>
  </si>
  <si>
    <t xml:space="preserve">충남 아산시 탕정면 이순신대로 695-5</t>
  </si>
  <si>
    <t xml:space="preserve">041-533-2297</t>
  </si>
  <si>
    <t xml:space="preserve">아산호주유소</t>
  </si>
  <si>
    <t xml:space="preserve">충남 아산시 염치읍 아산로 770</t>
  </si>
  <si>
    <t xml:space="preserve">041-543-2115</t>
  </si>
  <si>
    <t xml:space="preserve">햇님주유소</t>
  </si>
  <si>
    <t xml:space="preserve">충남 천안시 동남구 충절로 461</t>
  </si>
  <si>
    <t xml:space="preserve">041-551-0051</t>
  </si>
  <si>
    <t xml:space="preserve">충북 청주시 청원구 오창읍 두릉유리로 204</t>
  </si>
  <si>
    <t xml:space="preserve">043-215-5125</t>
  </si>
  <si>
    <t xml:space="preserve">(주)김여사네 대전지점</t>
  </si>
  <si>
    <t xml:space="preserve">대전 중구 대종로 558 (선화동)</t>
  </si>
  <si>
    <t xml:space="preserve">042-254-5189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</si>
  <si>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</si>
  <si>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</si>
  <si>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</si>
  <si>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(주)한유에너지 중부주유소</t>
  </si>
  <si>
    <t xml:space="preserve">세종시 조치원읍 세종로 2167</t>
  </si>
  <si>
    <t xml:space="preserve">044-866-5151</t>
  </si>
  <si>
    <t xml:space="preserve">가람주유소</t>
  </si>
  <si>
    <t xml:space="preserve">충남 아산시 인주면 인주산단로 23-2</t>
  </si>
  <si>
    <t xml:space="preserve">041-532-5132</t>
  </si>
  <si>
    <t xml:space="preserve">광신2주유소</t>
  </si>
  <si>
    <t xml:space="preserve">충남 보령시 보령북로 250 (대천동)</t>
  </si>
  <si>
    <t xml:space="preserve">041-932-5886</t>
  </si>
  <si>
    <t xml:space="preserve">내수주유소</t>
  </si>
  <si>
    <t xml:space="preserve">충북 청주시 청원구 내수읍 충청대로 934</t>
  </si>
  <si>
    <t xml:space="preserve">043-213-8287</t>
  </si>
  <si>
    <t xml:space="preserve">도고온천주유소</t>
  </si>
  <si>
    <t xml:space="preserve">충남 아산시 도고면 온천대로 342</t>
  </si>
  <si>
    <t xml:space="preserve">041-533-5189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</si>
  <si>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</si>
  <si>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</si>
  <si>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</si>
  <si>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봉명셀프주유소</t>
  </si>
  <si>
    <t xml:space="preserve">충남 천안시 동남구 차돌로 97</t>
  </si>
  <si>
    <t xml:space="preserve">041-575-1151</t>
  </si>
  <si>
    <t xml:space="preserve">아평주유소</t>
  </si>
  <si>
    <t xml:space="preserve">충남 천안시 동남구 천안대로 784</t>
  </si>
  <si>
    <t xml:space="preserve">041-000-0000</t>
  </si>
  <si>
    <t xml:space="preserve">역전주유소</t>
  </si>
  <si>
    <t xml:space="preserve">충남 보령시 대해로 141 (내항동)</t>
  </si>
  <si>
    <t xml:space="preserve">041-935-5508</t>
  </si>
  <si>
    <t xml:space="preserve">이포에너지㈜ 금강주유소</t>
  </si>
  <si>
    <t xml:space="preserve">충북 청주시 서원구 청남로 2145</t>
  </si>
  <si>
    <t xml:space="preserve">043-297-5189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</si>
  <si>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</si>
  <si>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</si>
  <si>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</si>
  <si>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천안대로셀프</t>
  </si>
  <si>
    <t xml:space="preserve">충남 천안시 동남구 천안대로 727</t>
  </si>
  <si>
    <t xml:space="preserve">041-569-1191</t>
  </si>
  <si>
    <t xml:space="preserve">행복날개주유소</t>
  </si>
  <si>
    <t xml:space="preserve">충남 아산시 배방읍 온천대로 1829</t>
  </si>
  <si>
    <t xml:space="preserve">041-534-5199</t>
  </si>
  <si>
    <t xml:space="preserve">구도일주유소 대해로</t>
  </si>
  <si>
    <t xml:space="preserve">충남 보령시 대해로 297</t>
  </si>
  <si>
    <t xml:space="preserve">041-934-9997</t>
  </si>
  <si>
    <t xml:space="preserve">이인농협주유소</t>
  </si>
  <si>
    <t xml:space="preserve">충남 공주시 이인면 검바위로 434</t>
  </si>
  <si>
    <t xml:space="preserve">041-857-6095</t>
  </si>
  <si>
    <t xml:space="preserve">장원주유소</t>
  </si>
  <si>
    <t xml:space="preserve">충남 아산시 음봉면 음봉로 195</t>
  </si>
  <si>
    <t xml:space="preserve">041-544-8888</t>
  </si>
  <si>
    <t xml:space="preserve">충남 공주시 미나리1길 18-10 (금성동)</t>
  </si>
  <si>
    <t xml:space="preserve">041-855-4222</t>
  </si>
  <si>
    <t xml:space="preserve">(주)하늘셀프주유소</t>
  </si>
  <si>
    <t xml:space="preserve">대전 동구 대전로 549</t>
  </si>
  <si>
    <t xml:space="preserve">042-283-5151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</si>
  <si>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</si>
  <si>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</si>
  <si>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</si>
  <si>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㈜비타민셀프주유소</t>
  </si>
  <si>
    <t xml:space="preserve">충남 천안시 동남구 망향로 53</t>
  </si>
  <si>
    <t xml:space="preserve">041-622-1175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</si>
  <si>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</si>
  <si>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</si>
  <si>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</si>
  <si>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</si>
  <si>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041-852-5180</t>
  </si>
  <si>
    <t xml:space="preserve">청룡휴게주유소</t>
  </si>
  <si>
    <t xml:space="preserve">충남 공주시 의당면 차령로 2218</t>
  </si>
  <si>
    <t xml:space="preserve">041-853-5189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</si>
  <si>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</si>
  <si>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</si>
  <si>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</si>
  <si>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</si>
  <si>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</si>
  <si>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</si>
  <si>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충남 천안시 서북구 성환읍 천안대로 2021</t>
  </si>
  <si>
    <t xml:space="preserve">041-581-2418</t>
  </si>
  <si>
    <t xml:space="preserve">신화상사(주)성원주유소</t>
  </si>
  <si>
    <t xml:space="preserve">충남 아산시 순천향로 998 (좌부동)</t>
  </si>
  <si>
    <t xml:space="preserve">041-548-2122</t>
  </si>
  <si>
    <t xml:space="preserve">자유주유소</t>
  </si>
  <si>
    <t xml:space="preserve">충남 아산시 외암로 1380</t>
  </si>
  <si>
    <t xml:space="preserve">041-544-5105</t>
  </si>
  <si>
    <t xml:space="preserve">흑성주유소</t>
  </si>
  <si>
    <t xml:space="preserve">충남 천안시 동남구 목천읍 충절로 1175</t>
  </si>
  <si>
    <t xml:space="preserve">041-557-3000</t>
  </si>
  <si>
    <t xml:space="preserve">가은주유소</t>
  </si>
  <si>
    <t xml:space="preserve">충남 천안시 서북구 성환읍 천안대로 1899</t>
  </si>
  <si>
    <t xml:space="preserve">041-583-1228</t>
  </si>
  <si>
    <t xml:space="preserve">단재 셀프주유소</t>
  </si>
  <si>
    <t xml:space="preserve">충북 청주시 상당구 영운로 71 (영운동)</t>
  </si>
  <si>
    <t xml:space="preserve">043-000-0000</t>
  </si>
  <si>
    <t xml:space="preserve">대천IC셀프주유소</t>
  </si>
  <si>
    <t xml:space="preserve">충남 보령시 대해로 423</t>
  </si>
  <si>
    <t xml:space="preserve">041-933-5135</t>
  </si>
  <si>
    <t xml:space="preserve">하나주유소</t>
  </si>
  <si>
    <t xml:space="preserve">충남 천안시 동남구 성남면 성남로 260</t>
  </si>
  <si>
    <t xml:space="preserve">041-554-8090</t>
  </si>
  <si>
    <t xml:space="preserve">하이웨이주유소</t>
  </si>
  <si>
    <t xml:space="preserve">충북 청주시 서원구 남이면 청남로 1775</t>
  </si>
  <si>
    <t xml:space="preserve">043-295-0001</t>
  </si>
  <si>
    <t xml:space="preserve">(주)대륙주유소</t>
  </si>
  <si>
    <t xml:space="preserve">충남 천안시 동남구 천안대로 782</t>
  </si>
  <si>
    <t xml:space="preserve">041-522-5156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</si>
  <si>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</si>
  <si>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</si>
  <si>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</si>
  <si>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</si>
  <si>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</si>
  <si>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</si>
  <si>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동방주유소</t>
  </si>
  <si>
    <t xml:space="preserve">충남 천안시 동남구 성남면 5산단로 236</t>
  </si>
  <si>
    <t xml:space="preserve">041-553-6542</t>
  </si>
  <si>
    <t xml:space="preserve">백석주유소</t>
  </si>
  <si>
    <t xml:space="preserve">충남 아산시 영인면 아산호로 318</t>
  </si>
  <si>
    <t xml:space="preserve">041-544-5598</t>
  </si>
  <si>
    <t xml:space="preserve">삼화1주유소</t>
  </si>
  <si>
    <t xml:space="preserve">충남 아산시 둔포면 충무로 1576</t>
  </si>
  <si>
    <t xml:space="preserve">041-531-5189</t>
  </si>
  <si>
    <t xml:space="preserve">세종반곡주유소</t>
  </si>
  <si>
    <t xml:space="preserve">세종특별자치시 국책연구원3로 9</t>
  </si>
  <si>
    <t xml:space="preserve">044-868-6013</t>
  </si>
  <si>
    <t xml:space="preserve">충남 아산시 신창면 서부북로 691</t>
  </si>
  <si>
    <t xml:space="preserve">041-541-6667</t>
  </si>
  <si>
    <t xml:space="preserve">영인산주유소</t>
  </si>
  <si>
    <t xml:space="preserve">충남 아산시 영인면 아산로 987</t>
  </si>
  <si>
    <t xml:space="preserve">041-549-8822</t>
  </si>
  <si>
    <t xml:space="preserve">통일에너지(주)</t>
  </si>
  <si>
    <t xml:space="preserve">충남 아산시 온천대로 1705 (모종동)</t>
  </si>
  <si>
    <t xml:space="preserve">041-534-5189</t>
  </si>
  <si>
    <t xml:space="preserve">학성주유소</t>
  </si>
  <si>
    <t xml:space="preserve">충남 아산시 신창면 온천대로 798</t>
  </si>
  <si>
    <t xml:space="preserve">041-541-2800</t>
  </si>
  <si>
    <t xml:space="preserve">한마음주유소</t>
  </si>
  <si>
    <t xml:space="preserve">충청남도 아산시 염치읍 아산로 602</t>
  </si>
  <si>
    <t xml:space="preserve">041-532-5149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</si>
  <si>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</si>
  <si>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</si>
  <si>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</si>
  <si>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DH천안주유소</t>
  </si>
  <si>
    <t xml:space="preserve">충남 천안시 서북구 천안대로 1166</t>
  </si>
  <si>
    <t xml:space="preserve">041-557-5179</t>
  </si>
  <si>
    <t xml:space="preserve">은포주유소</t>
  </si>
  <si>
    <t xml:space="preserve">충남 보령시 주교면 토정로 690</t>
  </si>
  <si>
    <t xml:space="preserve">041-933-2634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</si>
  <si>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</si>
  <si>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</si>
  <si>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</si>
  <si>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강녕주유소</t>
  </si>
  <si>
    <t xml:space="preserve">충남 공주시 금벽로 1004-49</t>
  </si>
  <si>
    <t xml:space="preserve">041-854-2157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</si>
  <si>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</si>
  <si>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</si>
  <si>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</si>
  <si>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병천주유소</t>
  </si>
  <si>
    <t xml:space="preserve">충남 천안시 동남구 목천읍 충절로 1758</t>
  </si>
  <si>
    <t xml:space="preserve">041-564-1105</t>
  </si>
  <si>
    <t xml:space="preserve">우리에너지</t>
  </si>
  <si>
    <t xml:space="preserve">충북 청주시 청원구 오창읍 중부로 1642</t>
  </si>
  <si>
    <t xml:space="preserve">043-241-3377</t>
  </si>
  <si>
    <t xml:space="preserve">워터파크주유소</t>
  </si>
  <si>
    <t xml:space="preserve">충남 천안시 동남구 목천읍 충절로 1140</t>
  </si>
  <si>
    <t xml:space="preserve">041-568-5152</t>
  </si>
  <si>
    <t xml:space="preserve">충북 청주시 흥덕구 오송읍 오송가락로 422</t>
  </si>
  <si>
    <t xml:space="preserve">043-239-5757</t>
  </si>
  <si>
    <t xml:space="preserve">연흥2주유소</t>
  </si>
  <si>
    <t xml:space="preserve">충북 청주시 청원구 내수읍 내수로 293</t>
  </si>
  <si>
    <t xml:space="preserve">043-216-5189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</si>
  <si>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</si>
  <si>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</si>
  <si>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</si>
  <si>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동학사주유소</t>
  </si>
  <si>
    <t xml:space="preserve">충남 공주시 반포면 금벽로 1963</t>
  </si>
  <si>
    <t xml:space="preserve">041-857-0809</t>
  </si>
  <si>
    <t xml:space="preserve">송곡주유소</t>
  </si>
  <si>
    <t xml:space="preserve">충남 공주시 반포면 송곡로 217</t>
  </si>
  <si>
    <t xml:space="preserve">041-857-9333</t>
  </si>
  <si>
    <t xml:space="preserve">신은성주유소</t>
  </si>
  <si>
    <t xml:space="preserve">충남 천안시 동남구 병천면 매봉로 243</t>
  </si>
  <si>
    <t xml:space="preserve">041-556-4951</t>
  </si>
  <si>
    <t xml:space="preserve">백룡주유소</t>
  </si>
  <si>
    <t xml:space="preserve">충남 공주시 신풍면 차동로 1789</t>
  </si>
  <si>
    <t xml:space="preserve">041-841-8246</t>
  </si>
  <si>
    <t xml:space="preserve">와동셀프주유소</t>
  </si>
  <si>
    <t xml:space="preserve">대전 대덕구 신탄진로 386 (와동)</t>
  </si>
  <si>
    <t xml:space="preserve">042-721-0607</t>
  </si>
  <si>
    <t xml:space="preserve">태양셀프주유소</t>
  </si>
  <si>
    <t xml:space="preserve">충남 공주시 정안면 차령로 3737</t>
  </si>
  <si>
    <t xml:space="preserve">041-881-2855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</si>
  <si>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</si>
  <si>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</si>
  <si>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</si>
  <si>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</si>
  <si>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</si>
  <si>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</si>
  <si>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영호주유소</t>
  </si>
  <si>
    <t xml:space="preserve">충남 천안시 동남구 풍세로 857 (용곡동)</t>
  </si>
  <si>
    <t xml:space="preserve">041-555-2931</t>
  </si>
  <si>
    <t xml:space="preserve">충남 아산시 도고면 온천대로 55</t>
  </si>
  <si>
    <t xml:space="preserve">041-541-7408</t>
  </si>
  <si>
    <t xml:space="preserve">삼미상사(주)탕정셀프주유소</t>
  </si>
  <si>
    <t xml:space="preserve">충남 아산시 탕정면 이순신대로 612</t>
  </si>
  <si>
    <t xml:space="preserve">041-549-6718</t>
  </si>
  <si>
    <t xml:space="preserve">아산신도시주유소</t>
  </si>
  <si>
    <t xml:space="preserve">충남 아산시 배방읍 새아산로 20-2</t>
  </si>
  <si>
    <t xml:space="preserve">041-531-5551</t>
  </si>
  <si>
    <t xml:space="preserve">아산영인주유소</t>
  </si>
  <si>
    <t xml:space="preserve">충남 아산시 영인면 영인로 160</t>
  </si>
  <si>
    <t xml:space="preserve">041-534-5151</t>
  </si>
  <si>
    <t xml:space="preserve">동인석유 주식회사</t>
  </si>
  <si>
    <t xml:space="preserve">충남 아산시 순천향로 738 (장존동)</t>
  </si>
  <si>
    <t xml:space="preserve">041-534-5145</t>
  </si>
  <si>
    <t xml:space="preserve">백두산주유소</t>
  </si>
  <si>
    <t xml:space="preserve">충남 보령시 대해로 498 (요암동)</t>
  </si>
  <si>
    <t xml:space="preserve">041-931-0011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</si>
  <si>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</si>
  <si>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</si>
  <si>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</si>
  <si>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해양주유소</t>
  </si>
  <si>
    <t xml:space="preserve">충남 보령시 대해로 386</t>
  </si>
  <si>
    <t xml:space="preserve">041-933-5145</t>
  </si>
  <si>
    <t xml:space="preserve">대홍주유소</t>
  </si>
  <si>
    <t xml:space="preserve">충남 천안시 서북구 성환읍 천안대로 2356</t>
  </si>
  <si>
    <t xml:space="preserve">041-581-7052</t>
  </si>
  <si>
    <t xml:space="preserve">삼성그린주유소</t>
  </si>
  <si>
    <t xml:space="preserve">충남 아산시 음봉면 음봉로 648</t>
  </si>
  <si>
    <t xml:space="preserve">041-546-5151</t>
  </si>
  <si>
    <t xml:space="preserve">자원주유소</t>
  </si>
  <si>
    <t xml:space="preserve">충남 아산시 둔포면 장영실로 1101</t>
  </si>
  <si>
    <t xml:space="preserve">041-533-6376</t>
  </si>
  <si>
    <t xml:space="preserve">충남 아산시 문화로 363</t>
  </si>
  <si>
    <t xml:space="preserve">041-546-2298</t>
  </si>
  <si>
    <t xml:space="preserve">연기주유소</t>
  </si>
  <si>
    <t xml:space="preserve">세종특별자치시 연기면 당산로 116</t>
  </si>
  <si>
    <t xml:space="preserve">044-863-7600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</si>
  <si>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</si>
  <si>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</si>
  <si>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</si>
  <si>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고룡산주유소</t>
  </si>
  <si>
    <t xml:space="preserve">충남 아산시 영인면 장영실로 619</t>
  </si>
  <si>
    <t xml:space="preserve">041-534-6604</t>
  </si>
  <si>
    <t xml:space="preserve">삼원소재㈜대풍주유소</t>
  </si>
  <si>
    <t xml:space="preserve">충남 아산시 도고면 도고면로 2</t>
  </si>
  <si>
    <t xml:space="preserve">041-541-6161</t>
  </si>
  <si>
    <t xml:space="preserve">우리나라주유소</t>
  </si>
  <si>
    <t xml:space="preserve">충남 천안시 동남구 북면 충절로 1284</t>
  </si>
  <si>
    <t xml:space="preserve">041-522-2051</t>
  </si>
  <si>
    <t xml:space="preserve">홍익주유소</t>
  </si>
  <si>
    <t xml:space="preserve">충남 천안시 서북구 직산읍 상덕로 155</t>
  </si>
  <si>
    <t xml:space="preserve">041-584-5151</t>
  </si>
  <si>
    <t xml:space="preserve">월선주유소</t>
  </si>
  <si>
    <t xml:space="preserve">충남 아산시 영인면 월선길 82</t>
  </si>
  <si>
    <t xml:space="preserve">041-541-1162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</si>
  <si>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</si>
  <si>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</si>
  <si>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</si>
  <si>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충남 아산시 곡교천로 151 (온천동)</t>
  </si>
  <si>
    <t xml:space="preserve">041-543-9999</t>
  </si>
  <si>
    <t xml:space="preserve">명성주유소</t>
  </si>
  <si>
    <t xml:space="preserve">충남 천안시 서북구 직산읍 상덕로 174</t>
  </si>
  <si>
    <t xml:space="preserve">041-583-7078</t>
  </si>
  <si>
    <t xml:space="preserve">다락골주유소</t>
  </si>
  <si>
    <t xml:space="preserve">충북 청주시 상당구 미원면 단재로 2814</t>
  </si>
  <si>
    <t xml:space="preserve">043-285-5823</t>
  </si>
  <si>
    <t xml:space="preserve">백산주유소</t>
  </si>
  <si>
    <t xml:space="preserve">대전 서구 동서대로 1068 (변동)</t>
  </si>
  <si>
    <t xml:space="preserve">042-534-4678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</si>
  <si>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</si>
  <si>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</si>
  <si>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</si>
  <si>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태양주유소/충전소</t>
  </si>
  <si>
    <t xml:space="preserve">충남 천안시 서북구 번영로 613</t>
  </si>
  <si>
    <t xml:space="preserve">041-621-5185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</si>
  <si>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</si>
  <si>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</si>
  <si>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</si>
  <si>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(주)현충사에너지</t>
  </si>
  <si>
    <t xml:space="preserve">충남 아산시 염치읍 이순신대로 210-1</t>
  </si>
  <si>
    <t xml:space="preserve">041-547-5182</t>
  </si>
  <si>
    <t xml:space="preserve">충북 청주시 서원구 사운로180번길 32</t>
  </si>
  <si>
    <t xml:space="preserve">043-255-8020</t>
  </si>
  <si>
    <t xml:space="preserve">아산현대주유소</t>
  </si>
  <si>
    <t xml:space="preserve">충남 아산시 둔포면 충무로 1408</t>
  </si>
  <si>
    <t xml:space="preserve">041-532-5185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</si>
  <si>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</si>
  <si>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</si>
  <si>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</si>
  <si>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주유소 가격 현행화 변경내역</t>
  </si>
  <si>
    <t xml:space="preserve">현행화 일자: 2026-03-10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</si>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</sst>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34"/>
    <col collapsed="false" customWidth="true" hidden="false" outlineLevel="0" max="17" min="17" style="1" width="12.58"/>
    <col collapsed="false" customWidth="true" hidden="false" outlineLevel="0" max="18" min="18" style="1" width="10.45"/>
    <col collapsed="false" customWidth="true" hidden="false" outlineLevel="0" max="19" min="19" style="1" width="11.22"/>
    <col collapsed="false" customWidth="true" hidden="false" outlineLevel="0" max="20" min="20" style="1" width="12.37"/>
    <col collapsed="false" customWidth="true" hidden="false" outlineLevel="0" max="21" min="21" style="2" width="11.61"/>
    <col collapsed="false" customWidth="true" hidden="false" outlineLevel="0" max="22" min="22" style="1" width="11.72"/>
    <col collapsed="false" customWidth="true" hidden="false" outlineLevel="0" max="23" min="23" style="1" width="12.58"/>
    <col collapsed="false" customWidth="true" hidden="false" outlineLevel="0" max="24" min="24" style="1" width="10.58"/>
    <col collapsed="false" customWidth="false" hidden="false" outlineLevel="0" max="16382" min="25" style="1" width="13.15"/>
    <col collapsed="false" customWidth="true" hidden="false" outlineLevel="0" max="16383" min="16383" style="3" width="11.58"/>
    <col collapsed="false" customWidth="true" hidden="false" outlineLevel="0" max="16384" min="16384" style="1" width="11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X1" s="2"/>
      <c r="XFC1" s="6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W2" s="8"/>
      <c r="X2" s="2"/>
      <c r="XFC2" s="6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X3" s="2"/>
      <c r="XFC3" s="6"/>
    </row>
    <row r="4" s="5" customFormat="true" ht="27" hidden="false" customHeight="true" outlineLevel="0" collapsed="false">
      <c r="A4" s="10" t="s">
        <v>5</v>
      </c>
      <c r="B4" s="11" t="n">
        <v>14</v>
      </c>
      <c r="C4" s="11" t="s">
        <v>6</v>
      </c>
      <c r="D4" s="12" t="n">
        <v>0.1</v>
      </c>
      <c r="X4" s="2"/>
      <c r="XFC4" s="6"/>
    </row>
    <row r="5" s="5" customFormat="true" ht="27" hidden="false" customHeight="true" outlineLevel="0" collapsed="false">
      <c r="A5" s="10" t="s">
        <v>7</v>
      </c>
      <c r="B5" s="11" t="n">
        <v>11.2</v>
      </c>
      <c r="C5" s="11" t="s">
        <v>8</v>
      </c>
      <c r="D5" s="12" t="n">
        <v>0.1</v>
      </c>
      <c r="X5" s="2"/>
      <c r="XFC5" s="6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X6" s="2"/>
      <c r="XFC6" s="6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X7" s="2"/>
      <c r="XFC7" s="6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X8" s="6"/>
      <c r="XFC8" s="6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X9" s="6"/>
      <c r="XFC9" s="6"/>
    </row>
    <row r="10" s="5" customFormat="true" ht="27" hidden="false" customHeight="true" outlineLevel="0" collapsed="false">
      <c r="A10" s="10" t="s">
        <v>17</v>
      </c>
      <c r="B10" s="11" t="n">
        <f aca="false">B4+B5+B6</f>
        <v>25.2</v>
      </c>
      <c r="C10" s="11" t="s">
        <v>18</v>
      </c>
      <c r="D10" s="12" t="n">
        <v>0.15</v>
      </c>
      <c r="X10" s="2"/>
      <c r="XFC10" s="6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95</v>
      </c>
      <c r="C11" s="11"/>
      <c r="D11" s="12"/>
      <c r="X11" s="2"/>
      <c r="XFC11" s="6"/>
    </row>
    <row r="12" s="5" customFormat="true" ht="27" hidden="false" customHeight="true" outlineLevel="0" collapsed="false">
      <c r="A12" s="10" t="s">
        <v>20</v>
      </c>
      <c r="B12" s="13" t="n">
        <f aca="false">IF(B5+B6=0,"",(B4*B7+B5*B9)/(B4+B5))</f>
        <v>95.8888888888889</v>
      </c>
      <c r="C12" s="11"/>
      <c r="D12" s="12"/>
      <c r="X12" s="2"/>
      <c r="XFC12" s="6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X13" s="2"/>
      <c r="XFC13" s="6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9" t="s">
        <v>30</v>
      </c>
      <c r="J14" s="14" t="s">
        <v>31</v>
      </c>
      <c r="K14" s="9" t="s">
        <v>32</v>
      </c>
      <c r="L14" s="9" t="s">
        <v>21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9" t="s">
        <v>42</v>
      </c>
      <c r="W14" s="14" t="s">
        <v>43</v>
      </c>
      <c r="X14" s="15" t="s">
        <v>44</v>
      </c>
      <c r="XFC14" s="6"/>
    </row>
    <row r="15" s="5" customFormat="true" ht="28.5" hidden="false" customHeight="true" outlineLevel="0" collapsed="false">
      <c r="A15" s="16" t="n">
        <f aca="false">IF($U15="","",1+COUNTIF($X$15:$X$728,"&lt;"&amp;X15))</f>
        <v>1</v>
      </c>
      <c r="B15" s="16" t="s">
        <v>16</v>
      </c>
      <c r="C15" s="16" t="s">
        <v>45</v>
      </c>
      <c r="D15" s="16" t="s">
        <v>46</v>
      </c>
      <c r="E15" s="16" t="s">
        <v>47</v>
      </c>
      <c r="F15" s="16" t="s">
        <v>48</v>
      </c>
      <c r="G15" s="16" t="s">
        <v>49</v>
      </c>
      <c r="H15" s="17" t="n">
        <v>1800</v>
      </c>
      <c r="I15" s="17" t="n">
        <v>1950</v>
      </c>
      <c r="J15" s="17"/>
      <c r="K15" s="17" t="n">
        <v>1830</v>
      </c>
      <c r="L15" s="17" t="n">
        <f aca="false">IF(AND(IFERROR(SEARCH("현대오일뱅크",$C15),0)&gt;0,IFERROR(SEARCH("직영",$C15),0)&gt;0),$B$13,0)</f>
        <v>0</v>
      </c>
      <c r="M15" s="17" t="n">
        <f aca="false">IF($H15="","",$H15+$L15)</f>
        <v>1800</v>
      </c>
      <c r="N15" s="17" t="n">
        <f aca="false">IF($I15="","",$I15+$L15)</f>
        <v>1950</v>
      </c>
      <c r="O15" s="17" t="n">
        <f aca="false">IF($K15="","",$K15+$L15)</f>
        <v>1830</v>
      </c>
      <c r="P15" s="17" t="str">
        <f aca="false">IF($B$10=0,"",IFERROR(IF($B$4&gt;0,"휘발유 "&amp;TEXT(IF($M15="",1/0,$M15*$B$4),"#,##0")&amp;"원","")&amp;IF($B$5&gt;0,IF($B$4&gt;0," / ","")&amp;"고급유 "&amp;TEXT(IF($N15="",1/0,$N15*$B$5),"#,##0")&amp;"원","")&amp;IF($B$6&gt;0,IF(OR($B$4&gt;0,$B$5&gt;0)," / ","")&amp;"경유 "&amp;TEXT(IF($O15="",1/0,$O15*$B$6),"#,##0")&amp;"원",""),""))</f>
        <v>휘발유 25,200원 / 고급유 21,840원</v>
      </c>
      <c r="Q15" s="17" t="n">
        <f aca="false">IF($B$10=0,"",IFERROR(IF($B$4&gt;0,IF($M15="",1/0,$M15*$B$4),0)+IF($B$5&gt;0,IF($N15="",1/0,$N15*$B$5),0)+IF($B$6&gt;0,IF($O15="",1/0,$O15*$B$6),0),""))</f>
        <v>47040</v>
      </c>
      <c r="R15" s="17" t="s">
        <v>47</v>
      </c>
      <c r="S15" s="18" t="n">
        <f aca="false">IF($Q15="","",IF($R15="Y",IFERROR(VLOOKUP($B15,$C$4:$D$13,2,FALSE()),0),0))</f>
        <v>0.12</v>
      </c>
      <c r="T15" s="17" t="n">
        <f aca="false">IF($Q15="","",ROUNDDOWN($Q15*$S15,0))</f>
        <v>5644</v>
      </c>
      <c r="U15" s="17" t="n">
        <f aca="false">IF($Q15="","",$Q15-$T15)</f>
        <v>41396</v>
      </c>
      <c r="V15" s="17" t="n">
        <f aca="false">IF($U15="","",IF($B$10=0,"",$U15/$B$10))</f>
        <v>1642.69841269841</v>
      </c>
      <c r="W15" s="17" t="n">
        <f aca="false">IF($Q15="","",IF($B$10=0,"",$Q15/$B$10))</f>
        <v>1866.66666666667</v>
      </c>
      <c r="X15" s="19" t="n">
        <f aca="false">IF($U15="",1000000000000000,$U15)</f>
        <v>41396</v>
      </c>
      <c r="XFC15" s="6"/>
    </row>
    <row r="16" s="5" customFormat="true" ht="28.5" hidden="false" customHeight="true" outlineLevel="0" collapsed="false">
      <c r="A16" s="16" t="n">
        <f aca="false">IF($U16="","",1+COUNTIF($X$15:$X$728,"&lt;"&amp;X16))</f>
        <v>2</v>
      </c>
      <c r="B16" s="16" t="s">
        <v>6</v>
      </c>
      <c r="C16" s="16" t="s">
        <v>50</v>
      </c>
      <c r="D16" s="16" t="s">
        <v>51</v>
      </c>
      <c r="E16" s="16" t="s">
        <v>47</v>
      </c>
      <c r="F16" s="16" t="s">
        <v>52</v>
      </c>
      <c r="G16" s="16" t="s">
        <v>53</v>
      </c>
      <c r="H16" s="17" t="n">
        <v>1759</v>
      </c>
      <c r="I16" s="17" t="n">
        <v>1939</v>
      </c>
      <c r="J16" s="17"/>
      <c r="K16" s="17" t="n">
        <v>1744</v>
      </c>
      <c r="L16" s="17" t="n">
        <f aca="false">IF(AND(IFERROR(SEARCH("현대오일뱅크",$C16),0)&gt;0,IFERROR(SEARCH("직영",$C16),0)&gt;0),$B$13,0)</f>
        <v>0</v>
      </c>
      <c r="M16" s="17" t="n">
        <f aca="false">IF($H16="","",$H16+$L16)</f>
        <v>1759</v>
      </c>
      <c r="N16" s="17" t="n">
        <f aca="false">IF($I16="","",$I16+$L16)</f>
        <v>1939</v>
      </c>
      <c r="O16" s="17" t="n">
        <f aca="false">IF($K16="","",$K16+$L16)</f>
        <v>1744</v>
      </c>
      <c r="P16" s="17" t="str">
        <f aca="false">IF($B$10=0,"",IFERROR(IF($B$4&gt;0,"휘발유 "&amp;TEXT(IF($M16="",1/0,$M16*$B$4),"#,##0")&amp;"원","")&amp;IF($B$5&gt;0,IF($B$4&gt;0," / ","")&amp;"고급유 "&amp;TEXT(IF($N16="",1/0,$N16*$B$5),"#,##0")&amp;"원","")&amp;IF($B$6&gt;0,IF(OR($B$4&gt;0,$B$5&gt;0)," / ","")&amp;"경유 "&amp;TEXT(IF($O16="",1/0,$O16*$B$6),"#,##0")&amp;"원",""),""))</f>
        <v>휘발유 24,626원 / 고급유 21,717원</v>
      </c>
      <c r="Q16" s="17" t="n">
        <f aca="false">IF($B$10=0,"",IFERROR(IF($B$4&gt;0,IF($M16="",1/0,$M16*$B$4),0)+IF($B$5&gt;0,IF($N16="",1/0,$N16*$B$5),0)+IF($B$6&gt;0,IF($O16="",1/0,$O16*$B$6),0),""))</f>
        <v>46342.8</v>
      </c>
      <c r="R16" s="17" t="s">
        <v>47</v>
      </c>
      <c r="S16" s="18" t="n">
        <f aca="false">IF($Q16="","",IF($R16="Y",IFERROR(VLOOKUP($B16,$C$4:$D$13,2,FALSE()),0),0))</f>
        <v>0.1</v>
      </c>
      <c r="T16" s="17" t="n">
        <f aca="false">IF($Q16="","",ROUNDDOWN($Q16*$S16,0))</f>
        <v>4634</v>
      </c>
      <c r="U16" s="17" t="n">
        <f aca="false">IF($Q16="","",$Q16-$T16)</f>
        <v>41708.8</v>
      </c>
      <c r="V16" s="17" t="n">
        <f aca="false">IF($U16="","",IF($B$10=0,"",$U16/$B$10))</f>
        <v>1655.11111111111</v>
      </c>
      <c r="W16" s="17" t="n">
        <f aca="false">IF($Q16="","",IF($B$10=0,"",$Q16/$B$10))</f>
        <v>1839</v>
      </c>
      <c r="X16" s="19" t="n">
        <f aca="false">IF($U16="",1000000000000000,$U16)</f>
        <v>41708.8</v>
      </c>
      <c r="XFC16" s="6"/>
    </row>
    <row r="17" s="5" customFormat="true" ht="28.5" hidden="false" customHeight="true" outlineLevel="0" collapsed="false">
      <c r="A17" s="16" t="n">
        <f aca="false">IF($U17="","",1+COUNTIF($X$15:$X$728,"&lt;"&amp;X17))</f>
        <v>3</v>
      </c>
      <c r="B17" s="16" t="s">
        <v>6</v>
      </c>
      <c r="C17" s="16" t="s">
        <v>54</v>
      </c>
      <c r="D17" s="16" t="s">
        <v>51</v>
      </c>
      <c r="E17" s="16" t="s">
        <v>47</v>
      </c>
      <c r="F17" s="16" t="s">
        <v>55</v>
      </c>
      <c r="G17" s="16" t="s">
        <v>56</v>
      </c>
      <c r="H17" s="17" t="n">
        <v>1764</v>
      </c>
      <c r="I17" s="17" t="n">
        <v>1944</v>
      </c>
      <c r="J17" s="17"/>
      <c r="K17" s="17" t="n">
        <v>1733</v>
      </c>
      <c r="L17" s="17" t="n">
        <f aca="false">IF(AND(IFERROR(SEARCH("현대오일뱅크",$C17),0)&gt;0,IFERROR(SEARCH("직영",$C17),0)&gt;0),$B$13,0)</f>
        <v>0</v>
      </c>
      <c r="M17" s="17" t="n">
        <f aca="false">IF($H17="","",$H17+$L17)</f>
        <v>1764</v>
      </c>
      <c r="N17" s="17" t="n">
        <f aca="false">IF($I17="","",$I17+$L17)</f>
        <v>1944</v>
      </c>
      <c r="O17" s="17" t="n">
        <f aca="false">IF($K17="","",$K17+$L17)</f>
        <v>1733</v>
      </c>
      <c r="P17" s="17" t="str">
        <f aca="false">IF($B$10=0,"",IFERROR(IF($B$4&gt;0,"휘발유 "&amp;TEXT(IF($M17="",1/0,$M17*$B$4),"#,##0")&amp;"원","")&amp;IF($B$5&gt;0,IF($B$4&gt;0," / ","")&amp;"고급유 "&amp;TEXT(IF($N17="",1/0,$N17*$B$5),"#,##0")&amp;"원","")&amp;IF($B$6&gt;0,IF(OR($B$4&gt;0,$B$5&gt;0)," / ","")&amp;"경유 "&amp;TEXT(IF($O17="",1/0,$O17*$B$6),"#,##0")&amp;"원",""),""))</f>
        <v>휘발유 24,696원 / 고급유 21,773원</v>
      </c>
      <c r="Q17" s="17" t="n">
        <f aca="false">IF($B$10=0,"",IFERROR(IF($B$4&gt;0,IF($M17="",1/0,$M17*$B$4),0)+IF($B$5&gt;0,IF($N17="",1/0,$N17*$B$5),0)+IF($B$6&gt;0,IF($O17="",1/0,$O17*$B$6),0),""))</f>
        <v>46468.8</v>
      </c>
      <c r="R17" s="17" t="s">
        <v>47</v>
      </c>
      <c r="S17" s="18" t="n">
        <f aca="false">IF($Q17="","",IF($R17="Y",IFERROR(VLOOKUP($B17,$C$4:$D$13,2,FALSE()),0),0))</f>
        <v>0.1</v>
      </c>
      <c r="T17" s="17" t="n">
        <f aca="false">IF($Q17="","",ROUNDDOWN($Q17*$S17,0))</f>
        <v>4646</v>
      </c>
      <c r="U17" s="17" t="n">
        <f aca="false">IF($Q17="","",$Q17-$T17)</f>
        <v>41822.8</v>
      </c>
      <c r="V17" s="17" t="n">
        <f aca="false">IF($U17="","",IF($B$10=0,"",$U17/$B$10))</f>
        <v>1659.63492063492</v>
      </c>
      <c r="W17" s="17" t="n">
        <f aca="false">IF($Q17="","",IF($B$10=0,"",$Q17/$B$10))</f>
        <v>1844</v>
      </c>
      <c r="X17" s="19" t="n">
        <f aca="false">IF($U17="",1000000000000000,$U17)</f>
        <v>41822.8</v>
      </c>
      <c r="XFC17" s="6"/>
    </row>
    <row r="18" s="5" customFormat="true" ht="28.5" hidden="false" customHeight="true" outlineLevel="0" collapsed="false">
      <c r="A18" s="16" t="n">
        <f aca="false">IF($U18="","",1+COUNTIF($X$15:$X$728,"&lt;"&amp;X18))</f>
        <v>4</v>
      </c>
      <c r="B18" s="16" t="s">
        <v>6</v>
      </c>
      <c r="C18" s="16" t="s">
        <v>57</v>
      </c>
      <c r="D18" s="16" t="s">
        <v>58</v>
      </c>
      <c r="E18" s="16" t="s">
        <v>59</v>
      </c>
      <c r="F18" s="16" t="s">
        <v>60</v>
      </c>
      <c r="G18" s="16" t="s">
        <v>61</v>
      </c>
      <c r="H18" s="17" t="n">
        <v>1734</v>
      </c>
      <c r="I18" s="17" t="n">
        <v>2009</v>
      </c>
      <c r="J18" s="17"/>
      <c r="K18" s="17" t="n">
        <v>1705</v>
      </c>
      <c r="L18" s="17" t="n">
        <f aca="false">IF(AND(IFERROR(SEARCH("현대오일뱅크",$C18),0)&gt;0,IFERROR(SEARCH("직영",$C18),0)&gt;0),$B$13,0)</f>
        <v>-10</v>
      </c>
      <c r="M18" s="17" t="n">
        <f aca="false">IF($H18="","",$H18+$L18)</f>
        <v>1724</v>
      </c>
      <c r="N18" s="17" t="n">
        <f aca="false">IF($I18="","",$I18+$L18)</f>
        <v>1999</v>
      </c>
      <c r="O18" s="17" t="n">
        <f aca="false">IF($K18="","",$K18+$L18)</f>
        <v>1695</v>
      </c>
      <c r="P18" s="17" t="str">
        <f aca="false">IF($B$10=0,"",IFERROR(IF($B$4&gt;0,"휘발유 "&amp;TEXT(IF($M18="",1/0,$M18*$B$4),"#,##0")&amp;"원","")&amp;IF($B$5&gt;0,IF($B$4&gt;0," / ","")&amp;"고급유 "&amp;TEXT(IF($N18="",1/0,$N18*$B$5),"#,##0")&amp;"원","")&amp;IF($B$6&gt;0,IF(OR($B$4&gt;0,$B$5&gt;0)," / ","")&amp;"경유 "&amp;TEXT(IF($O18="",1/0,$O18*$B$6),"#,##0")&amp;"원",""),""))</f>
        <v>휘발유 24,136원 / 고급유 22,389원</v>
      </c>
      <c r="Q18" s="17" t="n">
        <f aca="false">IF($B$10=0,"",IFERROR(IF($B$4&gt;0,IF($M18="",1/0,$M18*$B$4),0)+IF($B$5&gt;0,IF($N18="",1/0,$N18*$B$5),0)+IF($B$6&gt;0,IF($O18="",1/0,$O18*$B$6),0),""))</f>
        <v>46524.8</v>
      </c>
      <c r="R18" s="17" t="s">
        <v>47</v>
      </c>
      <c r="S18" s="18" t="n">
        <f aca="false">IF($Q18="","",IF($R18="Y",IFERROR(VLOOKUP($B18,$C$4:$D$13,2,FALSE()),0),0))</f>
        <v>0.1</v>
      </c>
      <c r="T18" s="17" t="n">
        <f aca="false">IF($Q18="","",ROUNDDOWN($Q18*$S18,0))</f>
        <v>4652</v>
      </c>
      <c r="U18" s="17" t="n">
        <f aca="false">IF($Q18="","",$Q18-$T18)</f>
        <v>41872.8</v>
      </c>
      <c r="V18" s="17" t="n">
        <f aca="false">IF($U18="","",IF($B$10=0,"",$U18/$B$10))</f>
        <v>1661.61904761905</v>
      </c>
      <c r="W18" s="17" t="n">
        <f aca="false">IF($Q18="","",IF($B$10=0,"",$Q18/$B$10))</f>
        <v>1846.22222222222</v>
      </c>
      <c r="X18" s="19" t="n">
        <f aca="false">IF($U18="",1000000000000000,$U18)</f>
        <v>41872.8</v>
      </c>
      <c r="XFC18" s="6"/>
    </row>
    <row r="19" s="5" customFormat="true" ht="28.5" hidden="false" customHeight="true" outlineLevel="0" collapsed="false">
      <c r="A19" s="16" t="n">
        <f aca="false">IF($U19="","",1+COUNTIF($X$15:$X$728,"&lt;"&amp;X19))</f>
        <v>5</v>
      </c>
      <c r="B19" s="16" t="s">
        <v>6</v>
      </c>
      <c r="C19" s="16" t="s">
        <v>62</v>
      </c>
      <c r="D19" s="16" t="s">
        <v>51</v>
      </c>
      <c r="E19" s="16" t="s">
        <v>47</v>
      </c>
      <c r="F19" s="16" t="s">
        <v>63</v>
      </c>
      <c r="G19" s="16" t="s">
        <v>64</v>
      </c>
      <c r="H19" s="17" t="n">
        <v>1762</v>
      </c>
      <c r="I19" s="17" t="n">
        <v>1962</v>
      </c>
      <c r="J19" s="17"/>
      <c r="K19" s="17" t="n">
        <v>1760</v>
      </c>
      <c r="L19" s="17" t="n">
        <f aca="false">IF(AND(IFERROR(SEARCH("현대오일뱅크",$C19),0)&gt;0,IFERROR(SEARCH("직영",$C19),0)&gt;0),$B$13,0)</f>
        <v>0</v>
      </c>
      <c r="M19" s="17" t="n">
        <f aca="false">IF($H19="","",$H19+$L19)</f>
        <v>1762</v>
      </c>
      <c r="N19" s="17" t="n">
        <f aca="false">IF($I19="","",$I19+$L19)</f>
        <v>1962</v>
      </c>
      <c r="O19" s="17" t="n">
        <f aca="false">IF($K19="","",$K19+$L19)</f>
        <v>1760</v>
      </c>
      <c r="P19" s="17" t="str">
        <f aca="false">IF($B$10=0,"",IFERROR(IF($B$4&gt;0,"휘발유 "&amp;TEXT(IF($M19="",1/0,$M19*$B$4),"#,##0")&amp;"원","")&amp;IF($B$5&gt;0,IF($B$4&gt;0," / ","")&amp;"고급유 "&amp;TEXT(IF($N19="",1/0,$N19*$B$5),"#,##0")&amp;"원","")&amp;IF($B$6&gt;0,IF(OR($B$4&gt;0,$B$5&gt;0)," / ","")&amp;"경유 "&amp;TEXT(IF($O19="",1/0,$O19*$B$6),"#,##0")&amp;"원",""),""))</f>
        <v>휘발유 24,668원 / 고급유 21,974원</v>
      </c>
      <c r="Q19" s="17" t="n">
        <f aca="false">IF($B$10=0,"",IFERROR(IF($B$4&gt;0,IF($M19="",1/0,$M19*$B$4),0)+IF($B$5&gt;0,IF($N19="",1/0,$N19*$B$5),0)+IF($B$6&gt;0,IF($O19="",1/0,$O19*$B$6),0),""))</f>
        <v>46642.4</v>
      </c>
      <c r="R19" s="17" t="s">
        <v>47</v>
      </c>
      <c r="S19" s="18" t="n">
        <f aca="false">IF($Q19="","",IF($R19="Y",IFERROR(VLOOKUP($B19,$C$4:$D$13,2,FALSE()),0),0))</f>
        <v>0.1</v>
      </c>
      <c r="T19" s="17" t="n">
        <f aca="false">IF($Q19="","",ROUNDDOWN($Q19*$S19,0))</f>
        <v>4664</v>
      </c>
      <c r="U19" s="17" t="n">
        <f aca="false">IF($Q19="","",$Q19-$T19)</f>
        <v>41978.4</v>
      </c>
      <c r="V19" s="17" t="n">
        <f aca="false">IF($U19="","",IF($B$10=0,"",$U19/$B$10))</f>
        <v>1665.80952380952</v>
      </c>
      <c r="W19" s="17" t="n">
        <f aca="false">IF($Q19="","",IF($B$10=0,"",$Q19/$B$10))</f>
        <v>1850.88888888889</v>
      </c>
      <c r="X19" s="19" t="n">
        <f aca="false">IF($U19="",1000000000000000,$U19)</f>
        <v>41978.4</v>
      </c>
      <c r="XFC19" s="6"/>
    </row>
    <row r="20" s="5" customFormat="true" ht="28.5" hidden="false" customHeight="true" outlineLevel="0" collapsed="false">
      <c r="A20" s="16" t="n">
        <f aca="false">IF($U20="","",1+COUNTIF($X$15:$X$728,"&lt;"&amp;X20))</f>
        <v>6</v>
      </c>
      <c r="B20" s="16" t="s">
        <v>6</v>
      </c>
      <c r="C20" s="16" t="s">
        <v>65</v>
      </c>
      <c r="D20" s="16" t="s">
        <v>51</v>
      </c>
      <c r="E20" s="16" t="s">
        <v>47</v>
      </c>
      <c r="F20" s="16" t="s">
        <v>66</v>
      </c>
      <c r="G20" s="16" t="s">
        <v>67</v>
      </c>
      <c r="H20" s="17" t="n">
        <v>1759</v>
      </c>
      <c r="I20" s="17" t="n">
        <v>1966</v>
      </c>
      <c r="J20" s="17"/>
      <c r="K20" s="17" t="n">
        <v>1730</v>
      </c>
      <c r="L20" s="17" t="n">
        <f aca="false">IF(AND(IFERROR(SEARCH("현대오일뱅크",$C20),0)&gt;0,IFERROR(SEARCH("직영",$C20),0)&gt;0),$B$13,0)</f>
        <v>0</v>
      </c>
      <c r="M20" s="17" t="n">
        <f aca="false">IF($H20="","",$H20+$L20)</f>
        <v>1759</v>
      </c>
      <c r="N20" s="17" t="n">
        <f aca="false">IF($I20="","",$I20+$L20)</f>
        <v>1966</v>
      </c>
      <c r="O20" s="17" t="n">
        <f aca="false">IF($K20="","",$K20+$L20)</f>
        <v>1730</v>
      </c>
      <c r="P20" s="17" t="str">
        <f aca="false">IF($B$10=0,"",IFERROR(IF($B$4&gt;0,"휘발유 "&amp;TEXT(IF($M20="",1/0,$M20*$B$4),"#,##0")&amp;"원","")&amp;IF($B$5&gt;0,IF($B$4&gt;0," / ","")&amp;"고급유 "&amp;TEXT(IF($N20="",1/0,$N20*$B$5),"#,##0")&amp;"원","")&amp;IF($B$6&gt;0,IF(OR($B$4&gt;0,$B$5&gt;0)," / ","")&amp;"경유 "&amp;TEXT(IF($O20="",1/0,$O20*$B$6),"#,##0")&amp;"원",""),""))</f>
        <v>휘발유 24,626원 / 고급유 22,019원</v>
      </c>
      <c r="Q20" s="17" t="n">
        <f aca="false">IF($B$10=0,"",IFERROR(IF($B$4&gt;0,IF($M20="",1/0,$M20*$B$4),0)+IF($B$5&gt;0,IF($N20="",1/0,$N20*$B$5),0)+IF($B$6&gt;0,IF($O20="",1/0,$O20*$B$6),0),""))</f>
        <v>46645.2</v>
      </c>
      <c r="R20" s="17" t="s">
        <v>47</v>
      </c>
      <c r="S20" s="18" t="n">
        <f aca="false">IF($Q20="","",IF($R20="Y",IFERROR(VLOOKUP($B20,$C$4:$D$13,2,FALSE()),0),0))</f>
        <v>0.1</v>
      </c>
      <c r="T20" s="17" t="n">
        <f aca="false">IF($Q20="","",ROUNDDOWN($Q20*$S20,0))</f>
        <v>4664</v>
      </c>
      <c r="U20" s="17" t="n">
        <f aca="false">IF($Q20="","",$Q20-$T20)</f>
        <v>41981.2</v>
      </c>
      <c r="V20" s="17" t="n">
        <f aca="false">IF($U20="","",IF($B$10=0,"",$U20/$B$10))</f>
        <v>1665.92063492064</v>
      </c>
      <c r="W20" s="17" t="n">
        <f aca="false">IF($Q20="","",IF($B$10=0,"",$Q20/$B$10))</f>
        <v>1851</v>
      </c>
      <c r="X20" s="19" t="n">
        <f aca="false">IF($U20="",1000000000000000,$U20)</f>
        <v>41981.2</v>
      </c>
      <c r="XFC20" s="6"/>
    </row>
    <row r="21" s="5" customFormat="true" ht="28.5" hidden="false" customHeight="true" outlineLevel="0" collapsed="false">
      <c r="A21" s="16" t="n">
        <f aca="false">IF($U21="","",1+COUNTIF($X$15:$X$728,"&lt;"&amp;X21))</f>
        <v>7</v>
      </c>
      <c r="B21" s="16" t="s">
        <v>6</v>
      </c>
      <c r="C21" s="16" t="s">
        <v>68</v>
      </c>
      <c r="D21" s="16" t="s">
        <v>51</v>
      </c>
      <c r="E21" s="16" t="s">
        <v>59</v>
      </c>
      <c r="F21" s="16" t="s">
        <v>69</v>
      </c>
      <c r="G21" s="16" t="s">
        <v>70</v>
      </c>
      <c r="H21" s="17" t="n">
        <v>1778</v>
      </c>
      <c r="I21" s="17" t="n">
        <v>1958</v>
      </c>
      <c r="J21" s="17"/>
      <c r="K21" s="17" t="n">
        <v>1785</v>
      </c>
      <c r="L21" s="17" t="n">
        <f aca="false">IF(AND(IFERROR(SEARCH("현대오일뱅크",$C21),0)&gt;0,IFERROR(SEARCH("직영",$C21),0)&gt;0),$B$13,0)</f>
        <v>0</v>
      </c>
      <c r="M21" s="17" t="n">
        <f aca="false">IF($H21="","",$H21+$L21)</f>
        <v>1778</v>
      </c>
      <c r="N21" s="17" t="n">
        <f aca="false">IF($I21="","",$I21+$L21)</f>
        <v>1958</v>
      </c>
      <c r="O21" s="17" t="n">
        <f aca="false">IF($K21="","",$K21+$L21)</f>
        <v>1785</v>
      </c>
      <c r="P21" s="17" t="str">
        <f aca="false">IF($B$10=0,"",IFERROR(IF($B$4&gt;0,"휘발유 "&amp;TEXT(IF($M21="",1/0,$M21*$B$4),"#,##0")&amp;"원","")&amp;IF($B$5&gt;0,IF($B$4&gt;0," / ","")&amp;"고급유 "&amp;TEXT(IF($N21="",1/0,$N21*$B$5),"#,##0")&amp;"원","")&amp;IF($B$6&gt;0,IF(OR($B$4&gt;0,$B$5&gt;0)," / ","")&amp;"경유 "&amp;TEXT(IF($O21="",1/0,$O21*$B$6),"#,##0")&amp;"원",""),""))</f>
        <v>휘발유 24,892원 / 고급유 21,930원</v>
      </c>
      <c r="Q21" s="17" t="n">
        <f aca="false">IF($B$10=0,"",IFERROR(IF($B$4&gt;0,IF($M21="",1/0,$M21*$B$4),0)+IF($B$5&gt;0,IF($N21="",1/0,$N21*$B$5),0)+IF($B$6&gt;0,IF($O21="",1/0,$O21*$B$6),0),""))</f>
        <v>46821.6</v>
      </c>
      <c r="R21" s="17" t="s">
        <v>47</v>
      </c>
      <c r="S21" s="18" t="n">
        <f aca="false">IF($Q21="","",IF($R21="Y",IFERROR(VLOOKUP($B21,$C$4:$D$13,2,FALSE()),0),0))</f>
        <v>0.1</v>
      </c>
      <c r="T21" s="17" t="n">
        <f aca="false">IF($Q21="","",ROUNDDOWN($Q21*$S21,0))</f>
        <v>4682</v>
      </c>
      <c r="U21" s="17" t="n">
        <f aca="false">IF($Q21="","",$Q21-$T21)</f>
        <v>42139.6</v>
      </c>
      <c r="V21" s="17" t="n">
        <f aca="false">IF($U21="","",IF($B$10=0,"",$U21/$B$10))</f>
        <v>1672.20634920635</v>
      </c>
      <c r="W21" s="17" t="n">
        <f aca="false">IF($Q21="","",IF($B$10=0,"",$Q21/$B$10))</f>
        <v>1858</v>
      </c>
      <c r="X21" s="19" t="n">
        <f aca="false">IF($U21="",1000000000000000,$U21)</f>
        <v>42139.6</v>
      </c>
      <c r="XFC21" s="6"/>
    </row>
    <row r="22" s="5" customFormat="true" ht="28.5" hidden="false" customHeight="true" outlineLevel="0" collapsed="false">
      <c r="A22" s="16" t="n">
        <f aca="false">IF($U22="","",1+COUNTIF($X$15:$X$728,"&lt;"&amp;X22))</f>
        <v>8</v>
      </c>
      <c r="B22" s="16" t="s">
        <v>6</v>
      </c>
      <c r="C22" s="16" t="s">
        <v>71</v>
      </c>
      <c r="D22" s="16" t="s">
        <v>51</v>
      </c>
      <c r="E22" s="16" t="s">
        <v>47</v>
      </c>
      <c r="F22" s="16" t="s">
        <v>72</v>
      </c>
      <c r="G22" s="16" t="s">
        <v>73</v>
      </c>
      <c r="H22" s="17" t="n">
        <v>1783</v>
      </c>
      <c r="I22" s="17" t="n">
        <v>1963</v>
      </c>
      <c r="J22" s="17"/>
      <c r="K22" s="17" t="n">
        <v>1759</v>
      </c>
      <c r="L22" s="17" t="n">
        <f aca="false">IF(AND(IFERROR(SEARCH("현대오일뱅크",$C22),0)&gt;0,IFERROR(SEARCH("직영",$C22),0)&gt;0),$B$13,0)</f>
        <v>0</v>
      </c>
      <c r="M22" s="17" t="n">
        <f aca="false">IF($H22="","",$H22+$L22)</f>
        <v>1783</v>
      </c>
      <c r="N22" s="17" t="n">
        <f aca="false">IF($I22="","",$I22+$L22)</f>
        <v>1963</v>
      </c>
      <c r="O22" s="17" t="n">
        <f aca="false">IF($K22="","",$K22+$L22)</f>
        <v>1759</v>
      </c>
      <c r="P22" s="17" t="str">
        <f aca="false">IF($B$10=0,"",IFERROR(IF($B$4&gt;0,"휘발유 "&amp;TEXT(IF($M22="",1/0,$M22*$B$4),"#,##0")&amp;"원","")&amp;IF($B$5&gt;0,IF($B$4&gt;0," / ","")&amp;"고급유 "&amp;TEXT(IF($N22="",1/0,$N22*$B$5),"#,##0")&amp;"원","")&amp;IF($B$6&gt;0,IF(OR($B$4&gt;0,$B$5&gt;0)," / ","")&amp;"경유 "&amp;TEXT(IF($O22="",1/0,$O22*$B$6),"#,##0")&amp;"원",""),""))</f>
        <v>휘발유 24,962원 / 고급유 21,986원</v>
      </c>
      <c r="Q22" s="17" t="n">
        <f aca="false">IF($B$10=0,"",IFERROR(IF($B$4&gt;0,IF($M22="",1/0,$M22*$B$4),0)+IF($B$5&gt;0,IF($N22="",1/0,$N22*$B$5),0)+IF($B$6&gt;0,IF($O22="",1/0,$O22*$B$6),0),""))</f>
        <v>46947.6</v>
      </c>
      <c r="R22" s="17" t="s">
        <v>47</v>
      </c>
      <c r="S22" s="18" t="n">
        <f aca="false">IF($Q22="","",IF($R22="Y",IFERROR(VLOOKUP($B22,$C$4:$D$13,2,FALSE()),0),0))</f>
        <v>0.1</v>
      </c>
      <c r="T22" s="17" t="n">
        <f aca="false">IF($Q22="","",ROUNDDOWN($Q22*$S22,0))</f>
        <v>4694</v>
      </c>
      <c r="U22" s="17" t="n">
        <f aca="false">IF($Q22="","",$Q22-$T22)</f>
        <v>42253.6</v>
      </c>
      <c r="V22" s="17" t="n">
        <f aca="false">IF($U22="","",IF($B$10=0,"",$U22/$B$10))</f>
        <v>1676.73015873016</v>
      </c>
      <c r="W22" s="17" t="n">
        <f aca="false">IF($Q22="","",IF($B$10=0,"",$Q22/$B$10))</f>
        <v>1863</v>
      </c>
      <c r="X22" s="19" t="n">
        <f aca="false">IF($U22="",1000000000000000,$U22)</f>
        <v>42253.6</v>
      </c>
      <c r="XFC22" s="6"/>
    </row>
    <row r="23" s="5" customFormat="true" ht="28.5" hidden="false" customHeight="true" outlineLevel="0" collapsed="false">
      <c r="A23" s="16" t="n">
        <f aca="false">IF($U23="","",1+COUNTIF($X$15:$X$728,"&lt;"&amp;X23))</f>
        <v>9</v>
      </c>
      <c r="B23" s="16" t="s">
        <v>6</v>
      </c>
      <c r="C23" s="16" t="s">
        <v>74</v>
      </c>
      <c r="D23" s="16" t="s">
        <v>51</v>
      </c>
      <c r="E23" s="16" t="s">
        <v>47</v>
      </c>
      <c r="F23" s="16" t="s">
        <v>75</v>
      </c>
      <c r="G23" s="16" t="s">
        <v>76</v>
      </c>
      <c r="H23" s="17" t="n">
        <v>1804</v>
      </c>
      <c r="I23" s="17" t="n">
        <v>1949</v>
      </c>
      <c r="J23" s="17"/>
      <c r="K23" s="17" t="n">
        <v>1774</v>
      </c>
      <c r="L23" s="17" t="n">
        <f aca="false">IF(AND(IFERROR(SEARCH("현대오일뱅크",$C23),0)&gt;0,IFERROR(SEARCH("직영",$C23),0)&gt;0),$B$13,0)</f>
        <v>0</v>
      </c>
      <c r="M23" s="17" t="n">
        <f aca="false">IF($H23="","",$H23+$L23)</f>
        <v>1804</v>
      </c>
      <c r="N23" s="17" t="n">
        <f aca="false">IF($I23="","",$I23+$L23)</f>
        <v>1949</v>
      </c>
      <c r="O23" s="17" t="n">
        <f aca="false">IF($K23="","",$K23+$L23)</f>
        <v>1774</v>
      </c>
      <c r="P23" s="17" t="str">
        <f aca="false">IF($B$10=0,"",IFERROR(IF($B$4&gt;0,"휘발유 "&amp;TEXT(IF($M23="",1/0,$M23*$B$4),"#,##0")&amp;"원","")&amp;IF($B$5&gt;0,IF($B$4&gt;0," / ","")&amp;"고급유 "&amp;TEXT(IF($N23="",1/0,$N23*$B$5),"#,##0")&amp;"원","")&amp;IF($B$6&gt;0,IF(OR($B$4&gt;0,$B$5&gt;0)," / ","")&amp;"경유 "&amp;TEXT(IF($O23="",1/0,$O23*$B$6),"#,##0")&amp;"원",""),""))</f>
        <v>휘발유 25,256원 / 고급유 21,829원</v>
      </c>
      <c r="Q23" s="17" t="n">
        <f aca="false">IF($B$10=0,"",IFERROR(IF($B$4&gt;0,IF($M23="",1/0,$M23*$B$4),0)+IF($B$5&gt;0,IF($N23="",1/0,$N23*$B$5),0)+IF($B$6&gt;0,IF($O23="",1/0,$O23*$B$6),0),""))</f>
        <v>47084.8</v>
      </c>
      <c r="R23" s="17" t="s">
        <v>47</v>
      </c>
      <c r="S23" s="18" t="n">
        <f aca="false">IF($Q23="","",IF($R23="Y",IFERROR(VLOOKUP($B23,$C$4:$D$13,2,FALSE()),0),0))</f>
        <v>0.1</v>
      </c>
      <c r="T23" s="17" t="n">
        <f aca="false">IF($Q23="","",ROUNDDOWN($Q23*$S23,0))</f>
        <v>4708</v>
      </c>
      <c r="U23" s="17" t="n">
        <f aca="false">IF($Q23="","",$Q23-$T23)</f>
        <v>42376.8</v>
      </c>
      <c r="V23" s="17" t="n">
        <f aca="false">IF($U23="","",IF($B$10=0,"",$U23/$B$10))</f>
        <v>1681.61904761905</v>
      </c>
      <c r="W23" s="17" t="n">
        <f aca="false">IF($Q23="","",IF($B$10=0,"",$Q23/$B$10))</f>
        <v>1868.44444444444</v>
      </c>
      <c r="X23" s="19" t="n">
        <f aca="false">IF($U23="",1000000000000000,$U23)</f>
        <v>42376.8</v>
      </c>
      <c r="XFC23" s="6"/>
    </row>
    <row r="24" s="5" customFormat="true" ht="28.5" hidden="false" customHeight="true" outlineLevel="0" collapsed="false">
      <c r="A24" s="16" t="n">
        <f aca="false">IF($U24="","",1+COUNTIF($X$15:$X$728,"&lt;"&amp;X24))</f>
        <v>10</v>
      </c>
      <c r="B24" s="16" t="s">
        <v>18</v>
      </c>
      <c r="C24" s="16" t="s">
        <v>77</v>
      </c>
      <c r="D24" s="16" t="s">
        <v>58</v>
      </c>
      <c r="E24" s="16" t="s">
        <v>47</v>
      </c>
      <c r="F24" s="16" t="s">
        <v>78</v>
      </c>
      <c r="G24" s="16" t="s">
        <v>79</v>
      </c>
      <c r="H24" s="17" t="n">
        <v>1922</v>
      </c>
      <c r="I24" s="17" t="n">
        <v>2049</v>
      </c>
      <c r="J24" s="17"/>
      <c r="K24" s="17" t="n">
        <v>1992</v>
      </c>
      <c r="L24" s="17" t="n">
        <f aca="false">IF(AND(IFERROR(SEARCH("현대오일뱅크",$C24),0)&gt;0,IFERROR(SEARCH("직영",$C24),0)&gt;0),$B$13,0)</f>
        <v>0</v>
      </c>
      <c r="M24" s="17" t="n">
        <f aca="false">IF($H24="","",$H24+$L24)</f>
        <v>1922</v>
      </c>
      <c r="N24" s="17" t="n">
        <f aca="false">IF($I24="","",$I24+$L24)</f>
        <v>2049</v>
      </c>
      <c r="O24" s="17" t="n">
        <f aca="false">IF($K24="","",$K24+$L24)</f>
        <v>1992</v>
      </c>
      <c r="P24" s="17" t="str">
        <f aca="false">IF($B$10=0,"",IFERROR(IF($B$4&gt;0,"휘발유 "&amp;TEXT(IF($M24="",1/0,$M24*$B$4),"#,##0")&amp;"원","")&amp;IF($B$5&gt;0,IF($B$4&gt;0," / ","")&amp;"고급유 "&amp;TEXT(IF($N24="",1/0,$N24*$B$5),"#,##0")&amp;"원","")&amp;IF($B$6&gt;0,IF(OR($B$4&gt;0,$B$5&gt;0)," / ","")&amp;"경유 "&amp;TEXT(IF($O24="",1/0,$O24*$B$6),"#,##0")&amp;"원",""),""))</f>
        <v>휘발유 26,908원 / 고급유 22,949원</v>
      </c>
      <c r="Q24" s="17" t="n">
        <f aca="false">IF($B$10=0,"",IFERROR(IF($B$4&gt;0,IF($M24="",1/0,$M24*$B$4),0)+IF($B$5&gt;0,IF($N24="",1/0,$N24*$B$5),0)+IF($B$6&gt;0,IF($O24="",1/0,$O24*$B$6),0),""))</f>
        <v>49856.8</v>
      </c>
      <c r="R24" s="17" t="s">
        <v>47</v>
      </c>
      <c r="S24" s="18" t="n">
        <f aca="false">IF($Q24="","",IF($R24="Y",IFERROR(VLOOKUP($B24,$C$4:$D$13,2,FALSE()),0),0))</f>
        <v>0.15</v>
      </c>
      <c r="T24" s="17" t="n">
        <f aca="false">IF($Q24="","",ROUNDDOWN($Q24*$S24,0))</f>
        <v>7478</v>
      </c>
      <c r="U24" s="17" t="n">
        <f aca="false">IF($Q24="","",$Q24-$T24)</f>
        <v>42378.8</v>
      </c>
      <c r="V24" s="17" t="n">
        <f aca="false">IF($U24="","",IF($B$10=0,"",$U24/$B$10))</f>
        <v>1681.69841269841</v>
      </c>
      <c r="W24" s="17" t="n">
        <f aca="false">IF($Q24="","",IF($B$10=0,"",$Q24/$B$10))</f>
        <v>1978.44444444444</v>
      </c>
      <c r="X24" s="19" t="n">
        <f aca="false">IF($U24="",1000000000000000,$U24)</f>
        <v>42378.8</v>
      </c>
      <c r="XFC24" s="6"/>
    </row>
    <row r="25" s="5" customFormat="true" ht="28.5" hidden="false" customHeight="true" outlineLevel="0" collapsed="false">
      <c r="A25" s="16" t="n">
        <f aca="false">IF($U25="","",1+COUNTIF($X$15:$X$728,"&lt;"&amp;X25))</f>
        <v>11</v>
      </c>
      <c r="B25" s="16" t="s">
        <v>6</v>
      </c>
      <c r="C25" s="16" t="s">
        <v>80</v>
      </c>
      <c r="D25" s="16" t="s">
        <v>58</v>
      </c>
      <c r="E25" s="16" t="s">
        <v>59</v>
      </c>
      <c r="F25" s="16" t="s">
        <v>81</v>
      </c>
      <c r="G25" s="16" t="s">
        <v>82</v>
      </c>
      <c r="H25" s="17" t="n">
        <v>1784</v>
      </c>
      <c r="I25" s="17" t="n">
        <v>2004</v>
      </c>
      <c r="J25" s="17"/>
      <c r="K25" s="17" t="n">
        <v>1779</v>
      </c>
      <c r="L25" s="17" t="n">
        <f aca="false">IF(AND(IFERROR(SEARCH("현대오일뱅크",$C25),0)&gt;0,IFERROR(SEARCH("직영",$C25),0)&gt;0),$B$13,0)</f>
        <v>-10</v>
      </c>
      <c r="M25" s="17" t="n">
        <f aca="false">IF($H25="","",$H25+$L25)</f>
        <v>1774</v>
      </c>
      <c r="N25" s="17" t="n">
        <f aca="false">IF($I25="","",$I25+$L25)</f>
        <v>1994</v>
      </c>
      <c r="O25" s="17" t="n">
        <f aca="false">IF($K25="","",$K25+$L25)</f>
        <v>1769</v>
      </c>
      <c r="P25" s="17" t="str">
        <f aca="false">IF($B$10=0,"",IFERROR(IF($B$4&gt;0,"휘발유 "&amp;TEXT(IF($M25="",1/0,$M25*$B$4),"#,##0")&amp;"원","")&amp;IF($B$5&gt;0,IF($B$4&gt;0," / ","")&amp;"고급유 "&amp;TEXT(IF($N25="",1/0,$N25*$B$5),"#,##0")&amp;"원","")&amp;IF($B$6&gt;0,IF(OR($B$4&gt;0,$B$5&gt;0)," / ","")&amp;"경유 "&amp;TEXT(IF($O25="",1/0,$O25*$B$6),"#,##0")&amp;"원",""),""))</f>
        <v>휘발유 24,836원 / 고급유 22,333원</v>
      </c>
      <c r="Q25" s="17" t="n">
        <f aca="false">IF($B$10=0,"",IFERROR(IF($B$4&gt;0,IF($M25="",1/0,$M25*$B$4),0)+IF($B$5&gt;0,IF($N25="",1/0,$N25*$B$5),0)+IF($B$6&gt;0,IF($O25="",1/0,$O25*$B$6),0),""))</f>
        <v>47168.8</v>
      </c>
      <c r="R25" s="17" t="s">
        <v>47</v>
      </c>
      <c r="S25" s="18" t="n">
        <f aca="false">IF($Q25="","",IF($R25="Y",IFERROR(VLOOKUP($B25,$C$4:$D$13,2,FALSE()),0),0))</f>
        <v>0.1</v>
      </c>
      <c r="T25" s="17" t="n">
        <f aca="false">IF($Q25="","",ROUNDDOWN($Q25*$S25,0))</f>
        <v>4716</v>
      </c>
      <c r="U25" s="17" t="n">
        <f aca="false">IF($Q25="","",$Q25-$T25)</f>
        <v>42452.8</v>
      </c>
      <c r="V25" s="17" t="n">
        <f aca="false">IF($U25="","",IF($B$10=0,"",$U25/$B$10))</f>
        <v>1684.63492063492</v>
      </c>
      <c r="W25" s="17" t="n">
        <f aca="false">IF($Q25="","",IF($B$10=0,"",$Q25/$B$10))</f>
        <v>1871.77777777778</v>
      </c>
      <c r="X25" s="19" t="n">
        <f aca="false">IF($U25="",1000000000000000,$U25)</f>
        <v>42452.8</v>
      </c>
      <c r="XFC25" s="6"/>
    </row>
    <row r="26" s="5" customFormat="true" ht="28.5" hidden="false" customHeight="true" outlineLevel="0" collapsed="false">
      <c r="A26" s="16" t="n">
        <f aca="false">IF($U26="","",1+COUNTIF($X$15:$X$728,"&lt;"&amp;X26))</f>
        <v>12</v>
      </c>
      <c r="B26" s="16" t="s">
        <v>6</v>
      </c>
      <c r="C26" s="16" t="s">
        <v>83</v>
      </c>
      <c r="D26" s="16" t="s">
        <v>58</v>
      </c>
      <c r="E26" s="16" t="s">
        <v>59</v>
      </c>
      <c r="F26" s="16" t="s">
        <v>84</v>
      </c>
      <c r="G26" s="16" t="s">
        <v>85</v>
      </c>
      <c r="H26" s="17" t="n">
        <v>1774</v>
      </c>
      <c r="I26" s="17" t="n">
        <v>2030</v>
      </c>
      <c r="J26" s="17"/>
      <c r="K26" s="17" t="n">
        <v>1734</v>
      </c>
      <c r="L26" s="17" t="n">
        <f aca="false">IF(AND(IFERROR(SEARCH("현대오일뱅크",$C26),0)&gt;0,IFERROR(SEARCH("직영",$C26),0)&gt;0),$B$13,0)</f>
        <v>-10</v>
      </c>
      <c r="M26" s="17" t="n">
        <f aca="false">IF($H26="","",$H26+$L26)</f>
        <v>1764</v>
      </c>
      <c r="N26" s="17" t="n">
        <f aca="false">IF($I26="","",$I26+$L26)</f>
        <v>2020</v>
      </c>
      <c r="O26" s="17" t="n">
        <f aca="false">IF($K26="","",$K26+$L26)</f>
        <v>1724</v>
      </c>
      <c r="P26" s="17" t="str">
        <f aca="false">IF($B$10=0,"",IFERROR(IF($B$4&gt;0,"휘발유 "&amp;TEXT(IF($M26="",1/0,$M26*$B$4),"#,##0")&amp;"원","")&amp;IF($B$5&gt;0,IF($B$4&gt;0," / ","")&amp;"고급유 "&amp;TEXT(IF($N26="",1/0,$N26*$B$5),"#,##0")&amp;"원","")&amp;IF($B$6&gt;0,IF(OR($B$4&gt;0,$B$5&gt;0)," / ","")&amp;"경유 "&amp;TEXT(IF($O26="",1/0,$O26*$B$6),"#,##0")&amp;"원",""),""))</f>
        <v>휘발유 24,696원 / 고급유 22,624원</v>
      </c>
      <c r="Q26" s="17" t="n">
        <f aca="false">IF($B$10=0,"",IFERROR(IF($B$4&gt;0,IF($M26="",1/0,$M26*$B$4),0)+IF($B$5&gt;0,IF($N26="",1/0,$N26*$B$5),0)+IF($B$6&gt;0,IF($O26="",1/0,$O26*$B$6),0),""))</f>
        <v>47320</v>
      </c>
      <c r="R26" s="17" t="s">
        <v>47</v>
      </c>
      <c r="S26" s="18" t="n">
        <f aca="false">IF($Q26="","",IF($R26="Y",IFERROR(VLOOKUP($B26,$C$4:$D$13,2,FALSE()),0),0))</f>
        <v>0.1</v>
      </c>
      <c r="T26" s="17" t="n">
        <f aca="false">IF($Q26="","",ROUNDDOWN($Q26*$S26,0))</f>
        <v>4732</v>
      </c>
      <c r="U26" s="17" t="n">
        <f aca="false">IF($Q26="","",$Q26-$T26)</f>
        <v>42588</v>
      </c>
      <c r="V26" s="17" t="n">
        <f aca="false">IF($U26="","",IF($B$10=0,"",$U26/$B$10))</f>
        <v>1690</v>
      </c>
      <c r="W26" s="17" t="n">
        <f aca="false">IF($Q26="","",IF($B$10=0,"",$Q26/$B$10))</f>
        <v>1877.77777777778</v>
      </c>
      <c r="X26" s="19" t="n">
        <f aca="false">IF($U26="",1000000000000000,$U26)</f>
        <v>42588</v>
      </c>
      <c r="XFC26" s="6"/>
    </row>
    <row r="27" s="5" customFormat="true" ht="28.5" hidden="false" customHeight="true" outlineLevel="0" collapsed="false">
      <c r="A27" s="16" t="n">
        <f aca="false">IF($U27="","",1+COUNTIF($X$15:$X$728,"&lt;"&amp;X27))</f>
        <v>13</v>
      </c>
      <c r="B27" s="16" t="s">
        <v>16</v>
      </c>
      <c r="C27" s="16" t="s">
        <v>86</v>
      </c>
      <c r="D27" s="16" t="s">
        <v>51</v>
      </c>
      <c r="E27" s="16" t="s">
        <v>47</v>
      </c>
      <c r="F27" s="16" t="s">
        <v>87</v>
      </c>
      <c r="G27" s="16" t="s">
        <v>88</v>
      </c>
      <c r="H27" s="17" t="n">
        <v>1830</v>
      </c>
      <c r="I27" s="17" t="n">
        <v>2070</v>
      </c>
      <c r="J27" s="17"/>
      <c r="K27" s="17" t="n">
        <v>1900</v>
      </c>
      <c r="L27" s="17" t="n">
        <f aca="false">IF(AND(IFERROR(SEARCH("현대오일뱅크",$C27),0)&gt;0,IFERROR(SEARCH("직영",$C27),0)&gt;0),$B$13,0)</f>
        <v>0</v>
      </c>
      <c r="M27" s="17" t="n">
        <f aca="false">IF($H27="","",$H27+$L27)</f>
        <v>1830</v>
      </c>
      <c r="N27" s="17" t="n">
        <f aca="false">IF($I27="","",$I27+$L27)</f>
        <v>2070</v>
      </c>
      <c r="O27" s="17" t="n">
        <f aca="false">IF($K27="","",$K27+$L27)</f>
        <v>1900</v>
      </c>
      <c r="P27" s="17" t="str">
        <f aca="false">IF($B$10=0,"",IFERROR(IF($B$4&gt;0,"휘발유 "&amp;TEXT(IF($M27="",1/0,$M27*$B$4),"#,##0")&amp;"원","")&amp;IF($B$5&gt;0,IF($B$4&gt;0," / ","")&amp;"고급유 "&amp;TEXT(IF($N27="",1/0,$N27*$B$5),"#,##0")&amp;"원","")&amp;IF($B$6&gt;0,IF(OR($B$4&gt;0,$B$5&gt;0)," / ","")&amp;"경유 "&amp;TEXT(IF($O27="",1/0,$O27*$B$6),"#,##0")&amp;"원",""),""))</f>
        <v>휘발유 25,620원 / 고급유 23,184원</v>
      </c>
      <c r="Q27" s="17" t="n">
        <f aca="false">IF($B$10=0,"",IFERROR(IF($B$4&gt;0,IF($M27="",1/0,$M27*$B$4),0)+IF($B$5&gt;0,IF($N27="",1/0,$N27*$B$5),0)+IF($B$6&gt;0,IF($O27="",1/0,$O27*$B$6),0),""))</f>
        <v>48804</v>
      </c>
      <c r="R27" s="17" t="s">
        <v>47</v>
      </c>
      <c r="S27" s="18" t="n">
        <f aca="false">IF($Q27="","",IF($R27="Y",IFERROR(VLOOKUP($B27,$C$4:$D$13,2,FALSE()),0),0))</f>
        <v>0.12</v>
      </c>
      <c r="T27" s="17" t="n">
        <f aca="false">IF($Q27="","",ROUNDDOWN($Q27*$S27,0))</f>
        <v>5856</v>
      </c>
      <c r="U27" s="17" t="n">
        <f aca="false">IF($Q27="","",$Q27-$T27)</f>
        <v>42948</v>
      </c>
      <c r="V27" s="17" t="n">
        <f aca="false">IF($U27="","",IF($B$10=0,"",$U27/$B$10))</f>
        <v>1704.28571428571</v>
      </c>
      <c r="W27" s="17" t="n">
        <f aca="false">IF($Q27="","",IF($B$10=0,"",$Q27/$B$10))</f>
        <v>1936.66666666667</v>
      </c>
      <c r="X27" s="19" t="n">
        <f aca="false">IF($U27="",1000000000000000,$U27)</f>
        <v>42948</v>
      </c>
      <c r="XFC27" s="6"/>
    </row>
    <row r="28" s="5" customFormat="true" ht="28.5" hidden="false" customHeight="true" outlineLevel="0" collapsed="false">
      <c r="A28" s="16" t="n">
        <f aca="false">IF($U28="","",1+COUNTIF($X$15:$X$728,"&lt;"&amp;X28))</f>
        <v>14</v>
      </c>
      <c r="B28" s="16" t="s">
        <v>6</v>
      </c>
      <c r="C28" s="16" t="s">
        <v>89</v>
      </c>
      <c r="D28" s="16" t="s">
        <v>58</v>
      </c>
      <c r="E28" s="16" t="s">
        <v>47</v>
      </c>
      <c r="F28" s="16" t="s">
        <v>90</v>
      </c>
      <c r="G28" s="16" t="s">
        <v>91</v>
      </c>
      <c r="H28" s="17" t="n">
        <v>1799</v>
      </c>
      <c r="I28" s="17" t="n">
        <v>2039</v>
      </c>
      <c r="J28" s="17" t="s">
        <v>47</v>
      </c>
      <c r="K28" s="17" t="n">
        <v>1769</v>
      </c>
      <c r="L28" s="17" t="n">
        <f aca="false">IF(AND(IFERROR(SEARCH("현대오일뱅크",$C28),0)&gt;0,IFERROR(SEARCH("직영",$C28),0)&gt;0),$B$13,0)</f>
        <v>-10</v>
      </c>
      <c r="M28" s="17" t="n">
        <f aca="false">IF($H28="","",$H28+$L28)</f>
        <v>1789</v>
      </c>
      <c r="N28" s="17" t="n">
        <f aca="false">IF($I28="","",$I28+$L28)</f>
        <v>2029</v>
      </c>
      <c r="O28" s="17" t="n">
        <f aca="false">IF($K28="","",$K28+$L28)</f>
        <v>1759</v>
      </c>
      <c r="P28" s="17" t="str">
        <f aca="false">IF($B$10=0,"",IFERROR(IF($B$4&gt;0,"휘발유 "&amp;TEXT(IF($M28="",1/0,$M28*$B$4),"#,##0")&amp;"원","")&amp;IF($B$5&gt;0,IF($B$4&gt;0," / ","")&amp;"고급유 "&amp;TEXT(IF($N28="",1/0,$N28*$B$5),"#,##0")&amp;"원","")&amp;IF($B$6&gt;0,IF(OR($B$4&gt;0,$B$5&gt;0)," / ","")&amp;"경유 "&amp;TEXT(IF($O28="",1/0,$O28*$B$6),"#,##0")&amp;"원",""),""))</f>
        <v>휘발유 25,046원 / 고급유 22,725원</v>
      </c>
      <c r="Q28" s="17" t="n">
        <f aca="false">IF($B$10=0,"",IFERROR(IF($B$4&gt;0,IF($M28="",1/0,$M28*$B$4),0)+IF($B$5&gt;0,IF($N28="",1/0,$N28*$B$5),0)+IF($B$6&gt;0,IF($O28="",1/0,$O28*$B$6),0),""))</f>
        <v>47770.8</v>
      </c>
      <c r="R28" s="17" t="s">
        <v>47</v>
      </c>
      <c r="S28" s="18" t="n">
        <f aca="false">IF($Q28="","",IF($R28="Y",IFERROR(VLOOKUP($B28,$C$4:$D$13,2,FALSE()),0),0))</f>
        <v>0.1</v>
      </c>
      <c r="T28" s="17" t="n">
        <f aca="false">IF($Q28="","",ROUNDDOWN($Q28*$S28,0))</f>
        <v>4777</v>
      </c>
      <c r="U28" s="17" t="n">
        <f aca="false">IF($Q28="","",$Q28-$T28)</f>
        <v>42993.8</v>
      </c>
      <c r="V28" s="17" t="n">
        <f aca="false">IF($U28="","",IF($B$10=0,"",$U28/$B$10))</f>
        <v>1706.10317460317</v>
      </c>
      <c r="W28" s="17" t="n">
        <f aca="false">IF($Q28="","",IF($B$10=0,"",$Q28/$B$10))</f>
        <v>1895.66666666667</v>
      </c>
      <c r="X28" s="19" t="n">
        <f aca="false">IF($U28="",1000000000000000,$U28)</f>
        <v>42993.8</v>
      </c>
      <c r="XFC28" s="6"/>
    </row>
    <row r="29" s="5" customFormat="true" ht="28.5" hidden="false" customHeight="true" outlineLevel="0" collapsed="false">
      <c r="A29" s="16" t="n">
        <f aca="false">IF($U29="","",1+COUNTIF($X$15:$X$728,"&lt;"&amp;X29))</f>
        <v>15</v>
      </c>
      <c r="B29" s="16" t="s">
        <v>6</v>
      </c>
      <c r="C29" s="16" t="s">
        <v>92</v>
      </c>
      <c r="D29" s="16" t="s">
        <v>58</v>
      </c>
      <c r="E29" s="16" t="s">
        <v>59</v>
      </c>
      <c r="F29" s="16" t="s">
        <v>93</v>
      </c>
      <c r="G29" s="16" t="s">
        <v>94</v>
      </c>
      <c r="H29" s="17" t="n">
        <v>1804</v>
      </c>
      <c r="I29" s="17" t="n">
        <v>2038</v>
      </c>
      <c r="J29" s="17" t="s">
        <v>47</v>
      </c>
      <c r="K29" s="17" t="n">
        <v>1769</v>
      </c>
      <c r="L29" s="17" t="n">
        <f aca="false">IF(AND(IFERROR(SEARCH("현대오일뱅크",$C29),0)&gt;0,IFERROR(SEARCH("직영",$C29),0)&gt;0),$B$13,0)</f>
        <v>-10</v>
      </c>
      <c r="M29" s="17" t="n">
        <f aca="false">IF($H29="","",$H29+$L29)</f>
        <v>1794</v>
      </c>
      <c r="N29" s="17" t="n">
        <f aca="false">IF($I29="","",$I29+$L29)</f>
        <v>2028</v>
      </c>
      <c r="O29" s="17" t="n">
        <f aca="false">IF($K29="","",$K29+$L29)</f>
        <v>1759</v>
      </c>
      <c r="P29" s="17" t="str">
        <f aca="false">IF($B$10=0,"",IFERROR(IF($B$4&gt;0,"휘발유 "&amp;TEXT(IF($M29="",1/0,$M29*$B$4),"#,##0")&amp;"원","")&amp;IF($B$5&gt;0,IF($B$4&gt;0," / ","")&amp;"고급유 "&amp;TEXT(IF($N29="",1/0,$N29*$B$5),"#,##0")&amp;"원","")&amp;IF($B$6&gt;0,IF(OR($B$4&gt;0,$B$5&gt;0)," / ","")&amp;"경유 "&amp;TEXT(IF($O29="",1/0,$O29*$B$6),"#,##0")&amp;"원",""),""))</f>
        <v>휘발유 25,116원 / 고급유 22,714원</v>
      </c>
      <c r="Q29" s="17" t="n">
        <f aca="false">IF($B$10=0,"",IFERROR(IF($B$4&gt;0,IF($M29="",1/0,$M29*$B$4),0)+IF($B$5&gt;0,IF($N29="",1/0,$N29*$B$5),0)+IF($B$6&gt;0,IF($O29="",1/0,$O29*$B$6),0),""))</f>
        <v>47829.6</v>
      </c>
      <c r="R29" s="17" t="s">
        <v>47</v>
      </c>
      <c r="S29" s="18" t="n">
        <f aca="false">IF($Q29="","",IF($R29="Y",IFERROR(VLOOKUP($B29,$C$4:$D$13,2,FALSE()),0),0))</f>
        <v>0.1</v>
      </c>
      <c r="T29" s="17" t="n">
        <f aca="false">IF($Q29="","",ROUNDDOWN($Q29*$S29,0))</f>
        <v>4782</v>
      </c>
      <c r="U29" s="17" t="n">
        <f aca="false">IF($Q29="","",$Q29-$T29)</f>
        <v>43047.6</v>
      </c>
      <c r="V29" s="17" t="n">
        <f aca="false">IF($U29="","",IF($B$10=0,"",$U29/$B$10))</f>
        <v>1708.2380952381</v>
      </c>
      <c r="W29" s="17" t="n">
        <f aca="false">IF($Q29="","",IF($B$10=0,"",$Q29/$B$10))</f>
        <v>1898</v>
      </c>
      <c r="X29" s="19" t="n">
        <f aca="false">IF($U29="",1000000000000000,$U29)</f>
        <v>43047.6</v>
      </c>
      <c r="XFC29" s="6"/>
    </row>
    <row r="30" s="5" customFormat="true" ht="28.5" hidden="false" customHeight="true" outlineLevel="0" collapsed="false">
      <c r="A30" s="16" t="n">
        <f aca="false">IF($U30="","",1+COUNTIF($X$15:$X$728,"&lt;"&amp;X30))</f>
        <v>15</v>
      </c>
      <c r="B30" s="16" t="s">
        <v>6</v>
      </c>
      <c r="C30" s="16" t="s">
        <v>95</v>
      </c>
      <c r="D30" s="16" t="s">
        <v>58</v>
      </c>
      <c r="E30" s="16" t="s">
        <v>47</v>
      </c>
      <c r="F30" s="16" t="s">
        <v>96</v>
      </c>
      <c r="G30" s="16" t="s">
        <v>97</v>
      </c>
      <c r="H30" s="17" t="n">
        <v>1804</v>
      </c>
      <c r="I30" s="17" t="n">
        <v>2038</v>
      </c>
      <c r="J30" s="17" t="s">
        <v>47</v>
      </c>
      <c r="K30" s="17" t="n">
        <v>1754</v>
      </c>
      <c r="L30" s="17" t="n">
        <f aca="false">IF(AND(IFERROR(SEARCH("현대오일뱅크",$C30),0)&gt;0,IFERROR(SEARCH("직영",$C30),0)&gt;0),$B$13,0)</f>
        <v>-10</v>
      </c>
      <c r="M30" s="17" t="n">
        <f aca="false">IF($H30="","",$H30+$L30)</f>
        <v>1794</v>
      </c>
      <c r="N30" s="17" t="n">
        <f aca="false">IF($I30="","",$I30+$L30)</f>
        <v>2028</v>
      </c>
      <c r="O30" s="17" t="n">
        <f aca="false">IF($K30="","",$K30+$L30)</f>
        <v>1744</v>
      </c>
      <c r="P30" s="17" t="str">
        <f aca="false">IF($B$10=0,"",IFERROR(IF($B$4&gt;0,"휘발유 "&amp;TEXT(IF($M30="",1/0,$M30*$B$4),"#,##0")&amp;"원","")&amp;IF($B$5&gt;0,IF($B$4&gt;0," / ","")&amp;"고급유 "&amp;TEXT(IF($N30="",1/0,$N30*$B$5),"#,##0")&amp;"원","")&amp;IF($B$6&gt;0,IF(OR($B$4&gt;0,$B$5&gt;0)," / ","")&amp;"경유 "&amp;TEXT(IF($O30="",1/0,$O30*$B$6),"#,##0")&amp;"원",""),""))</f>
        <v>휘발유 25,116원 / 고급유 22,714원</v>
      </c>
      <c r="Q30" s="17" t="n">
        <f aca="false">IF($B$10=0,"",IFERROR(IF($B$4&gt;0,IF($M30="",1/0,$M30*$B$4),0)+IF($B$5&gt;0,IF($N30="",1/0,$N30*$B$5),0)+IF($B$6&gt;0,IF($O30="",1/0,$O30*$B$6),0),""))</f>
        <v>47829.6</v>
      </c>
      <c r="R30" s="17" t="s">
        <v>47</v>
      </c>
      <c r="S30" s="18" t="n">
        <f aca="false">IF($Q30="","",IF($R30="Y",IFERROR(VLOOKUP($B30,$C$4:$D$13,2,FALSE()),0),0))</f>
        <v>0.1</v>
      </c>
      <c r="T30" s="17" t="n">
        <f aca="false">IF($Q30="","",ROUNDDOWN($Q30*$S30,0))</f>
        <v>4782</v>
      </c>
      <c r="U30" s="17" t="n">
        <f aca="false">IF($Q30="","",$Q30-$T30)</f>
        <v>43047.6</v>
      </c>
      <c r="V30" s="17" t="n">
        <f aca="false">IF($U30="","",IF($B$10=0,"",$U30/$B$10))</f>
        <v>1708.2380952381</v>
      </c>
      <c r="W30" s="17" t="n">
        <f aca="false">IF($Q30="","",IF($B$10=0,"",$Q30/$B$10))</f>
        <v>1898</v>
      </c>
      <c r="X30" s="19" t="n">
        <f aca="false">IF($U30="",1000000000000000,$U30)</f>
        <v>43047.6</v>
      </c>
      <c r="XFC30" s="6"/>
    </row>
    <row r="31" s="5" customFormat="true" ht="28.5" hidden="false" customHeight="true" outlineLevel="0" collapsed="false">
      <c r="A31" s="16" t="n">
        <f aca="false">IF($U31="","",1+COUNTIF($X$15:$X$728,"&lt;"&amp;X31))</f>
        <v>17</v>
      </c>
      <c r="B31" s="16" t="s">
        <v>6</v>
      </c>
      <c r="C31" s="16" t="s">
        <v>98</v>
      </c>
      <c r="D31" s="16" t="s">
        <v>58</v>
      </c>
      <c r="E31" s="16" t="s">
        <v>47</v>
      </c>
      <c r="F31" s="16" t="s">
        <v>99</v>
      </c>
      <c r="G31" s="16" t="s">
        <v>100</v>
      </c>
      <c r="H31" s="17" t="n">
        <v>1805</v>
      </c>
      <c r="I31" s="17" t="n">
        <v>2038</v>
      </c>
      <c r="J31" s="17" t="s">
        <v>47</v>
      </c>
      <c r="K31" s="17" t="n">
        <v>1755</v>
      </c>
      <c r="L31" s="17" t="n">
        <f aca="false">IF(AND(IFERROR(SEARCH("현대오일뱅크",$C31),0)&gt;0,IFERROR(SEARCH("직영",$C31),0)&gt;0),$B$13,0)</f>
        <v>-10</v>
      </c>
      <c r="M31" s="17" t="n">
        <f aca="false">IF($H31="","",$H31+$L31)</f>
        <v>1795</v>
      </c>
      <c r="N31" s="17" t="n">
        <f aca="false">IF($I31="","",$I31+$L31)</f>
        <v>2028</v>
      </c>
      <c r="O31" s="17" t="n">
        <f aca="false">IF($K31="","",$K31+$L31)</f>
        <v>1745</v>
      </c>
      <c r="P31" s="17" t="str">
        <f aca="false">IF($B$10=0,"",IFERROR(IF($B$4&gt;0,"휘발유 "&amp;TEXT(IF($M31="",1/0,$M31*$B$4),"#,##0")&amp;"원","")&amp;IF($B$5&gt;0,IF($B$4&gt;0," / ","")&amp;"고급유 "&amp;TEXT(IF($N31="",1/0,$N31*$B$5),"#,##0")&amp;"원","")&amp;IF($B$6&gt;0,IF(OR($B$4&gt;0,$B$5&gt;0)," / ","")&amp;"경유 "&amp;TEXT(IF($O31="",1/0,$O31*$B$6),"#,##0")&amp;"원",""),""))</f>
        <v>휘발유 25,130원 / 고급유 22,714원</v>
      </c>
      <c r="Q31" s="17" t="n">
        <f aca="false">IF($B$10=0,"",IFERROR(IF($B$4&gt;0,IF($M31="",1/0,$M31*$B$4),0)+IF($B$5&gt;0,IF($N31="",1/0,$N31*$B$5),0)+IF($B$6&gt;0,IF($O31="",1/0,$O31*$B$6),0),""))</f>
        <v>47843.6</v>
      </c>
      <c r="R31" s="17" t="s">
        <v>47</v>
      </c>
      <c r="S31" s="18" t="n">
        <f aca="false">IF($Q31="","",IF($R31="Y",IFERROR(VLOOKUP($B31,$C$4:$D$13,2,FALSE()),0),0))</f>
        <v>0.1</v>
      </c>
      <c r="T31" s="17" t="n">
        <f aca="false">IF($Q31="","",ROUNDDOWN($Q31*$S31,0))</f>
        <v>4784</v>
      </c>
      <c r="U31" s="17" t="n">
        <f aca="false">IF($Q31="","",$Q31-$T31)</f>
        <v>43059.6</v>
      </c>
      <c r="V31" s="17" t="n">
        <f aca="false">IF($U31="","",IF($B$10=0,"",$U31/$B$10))</f>
        <v>1708.71428571429</v>
      </c>
      <c r="W31" s="17" t="n">
        <f aca="false">IF($Q31="","",IF($B$10=0,"",$Q31/$B$10))</f>
        <v>1898.55555555556</v>
      </c>
      <c r="X31" s="19" t="n">
        <f aca="false">IF($U31="",1000000000000000,$U31)</f>
        <v>43059.6</v>
      </c>
      <c r="XFC31" s="6"/>
    </row>
    <row r="32" s="5" customFormat="true" ht="28.5" hidden="false" customHeight="true" outlineLevel="0" collapsed="false">
      <c r="A32" s="16" t="n">
        <f aca="false">IF($U32="","",1+COUNTIF($X$15:$X$728,"&lt;"&amp;X32))</f>
        <v>18</v>
      </c>
      <c r="B32" s="16" t="s">
        <v>6</v>
      </c>
      <c r="C32" s="16" t="s">
        <v>101</v>
      </c>
      <c r="D32" s="16" t="s">
        <v>58</v>
      </c>
      <c r="E32" s="16" t="s">
        <v>59</v>
      </c>
      <c r="F32" s="16" t="s">
        <v>102</v>
      </c>
      <c r="G32" s="16" t="s">
        <v>103</v>
      </c>
      <c r="H32" s="17" t="n">
        <v>1809</v>
      </c>
      <c r="I32" s="17" t="n">
        <v>2048</v>
      </c>
      <c r="J32" s="17" t="s">
        <v>47</v>
      </c>
      <c r="K32" s="17" t="n">
        <v>1754</v>
      </c>
      <c r="L32" s="17" t="n">
        <f aca="false">IF(AND(IFERROR(SEARCH("현대오일뱅크",$C32),0)&gt;0,IFERROR(SEARCH("직영",$C32),0)&gt;0),$B$13,0)</f>
        <v>-10</v>
      </c>
      <c r="M32" s="17" t="n">
        <f aca="false">IF($H32="","",$H32+$L32)</f>
        <v>1799</v>
      </c>
      <c r="N32" s="17" t="n">
        <f aca="false">IF($I32="","",$I32+$L32)</f>
        <v>2038</v>
      </c>
      <c r="O32" s="17" t="n">
        <f aca="false">IF($K32="","",$K32+$L32)</f>
        <v>1744</v>
      </c>
      <c r="P32" s="17" t="str">
        <f aca="false">IF($B$10=0,"",IFERROR(IF($B$4&gt;0,"휘발유 "&amp;TEXT(IF($M32="",1/0,$M32*$B$4),"#,##0")&amp;"원","")&amp;IF($B$5&gt;0,IF($B$4&gt;0," / ","")&amp;"고급유 "&amp;TEXT(IF($N32="",1/0,$N32*$B$5),"#,##0")&amp;"원","")&amp;IF($B$6&gt;0,IF(OR($B$4&gt;0,$B$5&gt;0)," / ","")&amp;"경유 "&amp;TEXT(IF($O32="",1/0,$O32*$B$6),"#,##0")&amp;"원",""),""))</f>
        <v>휘발유 25,186원 / 고급유 22,826원</v>
      </c>
      <c r="Q32" s="17" t="n">
        <f aca="false">IF($B$10=0,"",IFERROR(IF($B$4&gt;0,IF($M32="",1/0,$M32*$B$4),0)+IF($B$5&gt;0,IF($N32="",1/0,$N32*$B$5),0)+IF($B$6&gt;0,IF($O32="",1/0,$O32*$B$6),0),""))</f>
        <v>48011.6</v>
      </c>
      <c r="R32" s="17" t="s">
        <v>47</v>
      </c>
      <c r="S32" s="18" t="n">
        <f aca="false">IF($Q32="","",IF($R32="Y",IFERROR(VLOOKUP($B32,$C$4:$D$13,2,FALSE()),0),0))</f>
        <v>0.1</v>
      </c>
      <c r="T32" s="17" t="n">
        <f aca="false">IF($Q32="","",ROUNDDOWN($Q32*$S32,0))</f>
        <v>4801</v>
      </c>
      <c r="U32" s="17" t="n">
        <f aca="false">IF($Q32="","",$Q32-$T32)</f>
        <v>43210.6</v>
      </c>
      <c r="V32" s="17" t="n">
        <f aca="false">IF($U32="","",IF($B$10=0,"",$U32/$B$10))</f>
        <v>1714.70634920635</v>
      </c>
      <c r="W32" s="17" t="n">
        <f aca="false">IF($Q32="","",IF($B$10=0,"",$Q32/$B$10))</f>
        <v>1905.22222222222</v>
      </c>
      <c r="X32" s="19" t="n">
        <f aca="false">IF($U32="",1000000000000000,$U32)</f>
        <v>43210.6</v>
      </c>
      <c r="XFC32" s="6"/>
    </row>
    <row r="33" s="5" customFormat="true" ht="28.5" hidden="false" customHeight="true" outlineLevel="0" collapsed="false">
      <c r="A33" s="16" t="n">
        <f aca="false">IF($U33="","",1+COUNTIF($X$15:$X$728,"&lt;"&amp;X33))</f>
        <v>19</v>
      </c>
      <c r="B33" s="16" t="s">
        <v>14</v>
      </c>
      <c r="C33" s="16" t="s">
        <v>104</v>
      </c>
      <c r="D33" s="16" t="s">
        <v>58</v>
      </c>
      <c r="E33" s="16" t="s">
        <v>47</v>
      </c>
      <c r="F33" s="16" t="s">
        <v>105</v>
      </c>
      <c r="G33" s="16" t="s">
        <v>106</v>
      </c>
      <c r="H33" s="17" t="n">
        <v>1897</v>
      </c>
      <c r="I33" s="17" t="n">
        <v>1989</v>
      </c>
      <c r="J33" s="17"/>
      <c r="K33" s="17" t="n">
        <v>1954</v>
      </c>
      <c r="L33" s="17" t="n">
        <f aca="false">IF(AND(IFERROR(SEARCH("현대오일뱅크",$C33),0)&gt;0,IFERROR(SEARCH("직영",$C33),0)&gt;0),$B$13,0)</f>
        <v>0</v>
      </c>
      <c r="M33" s="17" t="n">
        <f aca="false">IF($H33="","",$H33+$L33)</f>
        <v>1897</v>
      </c>
      <c r="N33" s="17" t="n">
        <f aca="false">IF($I33="","",$I33+$L33)</f>
        <v>1989</v>
      </c>
      <c r="O33" s="17" t="n">
        <f aca="false">IF($K33="","",$K33+$L33)</f>
        <v>1954</v>
      </c>
      <c r="P33" s="17" t="str">
        <f aca="false">IF($B$10=0,"",IFERROR(IF($B$4&gt;0,"휘발유 "&amp;TEXT(IF($M33="",1/0,$M33*$B$4),"#,##0")&amp;"원","")&amp;IF($B$5&gt;0,IF($B$4&gt;0," / ","")&amp;"고급유 "&amp;TEXT(IF($N33="",1/0,$N33*$B$5),"#,##0")&amp;"원","")&amp;IF($B$6&gt;0,IF(OR($B$4&gt;0,$B$5&gt;0)," / ","")&amp;"경유 "&amp;TEXT(IF($O33="",1/0,$O33*$B$6),"#,##0")&amp;"원",""),""))</f>
        <v>휘발유 26,558원 / 고급유 22,277원</v>
      </c>
      <c r="Q33" s="17" t="n">
        <f aca="false">IF($B$10=0,"",IFERROR(IF($B$4&gt;0,IF($M33="",1/0,$M33*$B$4),0)+IF($B$5&gt;0,IF($N33="",1/0,$N33*$B$5),0)+IF($B$6&gt;0,IF($O33="",1/0,$O33*$B$6),0),""))</f>
        <v>48834.8</v>
      </c>
      <c r="R33" s="17" t="s">
        <v>47</v>
      </c>
      <c r="S33" s="18" t="n">
        <f aca="false">IF($Q33="","",IF($R33="Y",IFERROR(VLOOKUP($B33,$C$4:$D$13,2,FALSE()),0),0))</f>
        <v>0.11</v>
      </c>
      <c r="T33" s="17" t="n">
        <f aca="false">IF($Q33="","",ROUNDDOWN($Q33*$S33,0))</f>
        <v>5371</v>
      </c>
      <c r="U33" s="17" t="n">
        <f aca="false">IF($Q33="","",$Q33-$T33)</f>
        <v>43463.8</v>
      </c>
      <c r="V33" s="17" t="n">
        <f aca="false">IF($U33="","",IF($B$10=0,"",$U33/$B$10))</f>
        <v>1724.75396825397</v>
      </c>
      <c r="W33" s="17" t="n">
        <f aca="false">IF($Q33="","",IF($B$10=0,"",$Q33/$B$10))</f>
        <v>1937.88888888889</v>
      </c>
      <c r="X33" s="19" t="n">
        <f aca="false">IF($U33="",1000000000000000,$U33)</f>
        <v>43463.8</v>
      </c>
      <c r="XFC33" s="6"/>
    </row>
    <row r="34" s="5" customFormat="true" ht="28.5" hidden="false" customHeight="true" outlineLevel="0" collapsed="false">
      <c r="A34" s="16" t="n">
        <f aca="false">IF($U34="","",1+COUNTIF($X$15:$X$728,"&lt;"&amp;X34))</f>
        <v>20</v>
      </c>
      <c r="B34" s="16" t="s">
        <v>6</v>
      </c>
      <c r="C34" s="16" t="s">
        <v>107</v>
      </c>
      <c r="D34" s="20" t="s">
        <v>108</v>
      </c>
      <c r="E34" s="16" t="s">
        <v>59</v>
      </c>
      <c r="F34" s="16" t="s">
        <v>109</v>
      </c>
      <c r="G34" s="16" t="s">
        <v>110</v>
      </c>
      <c r="H34" s="17" t="n">
        <v>1898</v>
      </c>
      <c r="I34" s="17" t="n">
        <v>1999</v>
      </c>
      <c r="J34" s="17"/>
      <c r="K34" s="17" t="n">
        <v>1940</v>
      </c>
      <c r="L34" s="17" t="n">
        <f aca="false">IF(AND(IFERROR(SEARCH("현대오일뱅크",$C34),0)&gt;0,IFERROR(SEARCH("직영",$C34),0)&gt;0),$B$13,0)</f>
        <v>0</v>
      </c>
      <c r="M34" s="17" t="n">
        <f aca="false">IF($H34="","",$H34+$L34)</f>
        <v>1898</v>
      </c>
      <c r="N34" s="17" t="n">
        <f aca="false">IF($I34="","",$I34+$L34)</f>
        <v>1999</v>
      </c>
      <c r="O34" s="17" t="n">
        <f aca="false">IF($K34="","",$K34+$L34)</f>
        <v>1940</v>
      </c>
      <c r="P34" s="17" t="str">
        <f aca="false">IF($B$10=0,"",IFERROR(IF($B$4&gt;0,"휘발유 "&amp;TEXT(IF($M34="",1/0,$M34*$B$4),"#,##0")&amp;"원","")&amp;IF($B$5&gt;0,IF($B$4&gt;0," / ","")&amp;"고급유 "&amp;TEXT(IF($N34="",1/0,$N34*$B$5),"#,##0")&amp;"원","")&amp;IF($B$6&gt;0,IF(OR($B$4&gt;0,$B$5&gt;0)," / ","")&amp;"경유 "&amp;TEXT(IF($O34="",1/0,$O34*$B$6),"#,##0")&amp;"원",""),""))</f>
        <v>휘발유 26,572원 / 고급유 22,389원</v>
      </c>
      <c r="Q34" s="17" t="n">
        <f aca="false">IF($B$10=0,"",IFERROR(IF($B$4&gt;0,IF($M34="",1/0,$M34*$B$4),0)+IF($B$5&gt;0,IF($N34="",1/0,$N34*$B$5),0)+IF($B$6&gt;0,IF($O34="",1/0,$O34*$B$6),0),""))</f>
        <v>48960.8</v>
      </c>
      <c r="R34" s="17" t="s">
        <v>47</v>
      </c>
      <c r="S34" s="18" t="n">
        <f aca="false">IF($Q34="","",IF($R34="Y",IFERROR(VLOOKUP($B34,$C$4:$D$13,2,FALSE()),0),0))</f>
        <v>0.1</v>
      </c>
      <c r="T34" s="17" t="n">
        <f aca="false">IF($Q34="","",ROUNDDOWN($Q34*$S34,0))</f>
        <v>4896</v>
      </c>
      <c r="U34" s="17" t="n">
        <f aca="false">IF($Q34="","",$Q34-$T34)</f>
        <v>44064.8</v>
      </c>
      <c r="V34" s="17" t="n">
        <f aca="false">IF($U34="","",IF($B$10=0,"",$U34/$B$10))</f>
        <v>1748.60317460317</v>
      </c>
      <c r="W34" s="17" t="n">
        <f aca="false">IF($Q34="","",IF($B$10=0,"",$Q34/$B$10))</f>
        <v>1942.88888888889</v>
      </c>
      <c r="X34" s="19" t="n">
        <f aca="false">IF($U34="",1000000000000000,$U34)</f>
        <v>44064.8</v>
      </c>
      <c r="XFC34" s="6"/>
    </row>
    <row r="35" s="5" customFormat="true" ht="28.5" hidden="false" customHeight="true" outlineLevel="0" collapsed="false">
      <c r="A35" s="16" t="n">
        <f aca="false">IF($U35="","",1+COUNTIF($X$15:$X$728,"&lt;"&amp;X35))</f>
        <v>21</v>
      </c>
      <c r="B35" s="16" t="s">
        <v>16</v>
      </c>
      <c r="C35" s="16" t="s">
        <v>111</v>
      </c>
      <c r="D35" s="16" t="s">
        <v>112</v>
      </c>
      <c r="E35" s="16" t="s">
        <v>47</v>
      </c>
      <c r="F35" s="16" t="s">
        <v>113</v>
      </c>
      <c r="G35" s="16" t="s">
        <v>114</v>
      </c>
      <c r="H35" s="17" t="n">
        <v>1949</v>
      </c>
      <c r="I35" s="17" t="n">
        <v>2040</v>
      </c>
      <c r="J35" s="17"/>
      <c r="K35" s="17" t="n">
        <v>1959</v>
      </c>
      <c r="L35" s="17" t="n">
        <f aca="false">IF(AND(IFERROR(SEARCH("현대오일뱅크",$C35),0)&gt;0,IFERROR(SEARCH("직영",$C35),0)&gt;0),$B$13,0)</f>
        <v>0</v>
      </c>
      <c r="M35" s="17" t="n">
        <f aca="false">IF($H35="","",$H35+$L35)</f>
        <v>1949</v>
      </c>
      <c r="N35" s="17" t="n">
        <f aca="false">IF($I35="","",$I35+$L35)</f>
        <v>2040</v>
      </c>
      <c r="O35" s="17" t="n">
        <f aca="false">IF($K35="","",$K35+$L35)</f>
        <v>1959</v>
      </c>
      <c r="P35" s="17" t="str">
        <f aca="false">IF($B$10=0,"",IFERROR(IF($B$4&gt;0,"휘발유 "&amp;TEXT(IF($M35="",1/0,$M35*$B$4),"#,##0")&amp;"원","")&amp;IF($B$5&gt;0,IF($B$4&gt;0," / ","")&amp;"고급유 "&amp;TEXT(IF($N35="",1/0,$N35*$B$5),"#,##0")&amp;"원","")&amp;IF($B$6&gt;0,IF(OR($B$4&gt;0,$B$5&gt;0)," / ","")&amp;"경유 "&amp;TEXT(IF($O35="",1/0,$O35*$B$6),"#,##0")&amp;"원",""),""))</f>
        <v>휘발유 27,286원 / 고급유 22,848원</v>
      </c>
      <c r="Q35" s="17" t="n">
        <f aca="false">IF($B$10=0,"",IFERROR(IF($B$4&gt;0,IF($M35="",1/0,$M35*$B$4),0)+IF($B$5&gt;0,IF($N35="",1/0,$N35*$B$5),0)+IF($B$6&gt;0,IF($O35="",1/0,$O35*$B$6),0),""))</f>
        <v>50134</v>
      </c>
      <c r="R35" s="17" t="s">
        <v>47</v>
      </c>
      <c r="S35" s="18" t="n">
        <f aca="false">IF($Q35="","",IF($R35="Y",IFERROR(VLOOKUP($B35,$C$4:$D$13,2,FALSE()),0),0))</f>
        <v>0.12</v>
      </c>
      <c r="T35" s="17" t="n">
        <f aca="false">IF($Q35="","",ROUNDDOWN($Q35*$S35,0))</f>
        <v>6016</v>
      </c>
      <c r="U35" s="17" t="n">
        <f aca="false">IF($Q35="","",$Q35-$T35)</f>
        <v>44118</v>
      </c>
      <c r="V35" s="17" t="n">
        <f aca="false">IF($U35="","",IF($B$10=0,"",$U35/$B$10))</f>
        <v>1750.71428571429</v>
      </c>
      <c r="W35" s="17" t="n">
        <f aca="false">IF($Q35="","",IF($B$10=0,"",$Q35/$B$10))</f>
        <v>1989.44444444444</v>
      </c>
      <c r="X35" s="19" t="n">
        <f aca="false">IF($U35="",1000000000000000,$U35)</f>
        <v>44118</v>
      </c>
      <c r="XFC35" s="6"/>
    </row>
    <row r="36" s="5" customFormat="true" ht="28.5" hidden="false" customHeight="true" outlineLevel="0" collapsed="false">
      <c r="A36" s="16" t="n">
        <f aca="false">IF($U36="","",1+COUNTIF($X$15:$X$728,"&lt;"&amp;X36))</f>
        <v>22</v>
      </c>
      <c r="B36" s="16" t="s">
        <v>6</v>
      </c>
      <c r="C36" s="16" t="s">
        <v>115</v>
      </c>
      <c r="D36" s="16" t="s">
        <v>58</v>
      </c>
      <c r="E36" s="16" t="s">
        <v>47</v>
      </c>
      <c r="F36" s="16" t="s">
        <v>116</v>
      </c>
      <c r="G36" s="16" t="s">
        <v>117</v>
      </c>
      <c r="H36" s="17" t="n">
        <v>1925</v>
      </c>
      <c r="I36" s="17" t="n">
        <v>1974</v>
      </c>
      <c r="J36" s="17"/>
      <c r="K36" s="17" t="n">
        <v>1999</v>
      </c>
      <c r="L36" s="17" t="n">
        <f aca="false">IF(AND(IFERROR(SEARCH("현대오일뱅크",$C36),0)&gt;0,IFERROR(SEARCH("직영",$C36),0)&gt;0),$B$13,0)</f>
        <v>0</v>
      </c>
      <c r="M36" s="17" t="n">
        <f aca="false">IF($H36="","",$H36+$L36)</f>
        <v>1925</v>
      </c>
      <c r="N36" s="17" t="n">
        <f aca="false">IF($I36="","",$I36+$L36)</f>
        <v>1974</v>
      </c>
      <c r="O36" s="17" t="n">
        <f aca="false">IF($K36="","",$K36+$L36)</f>
        <v>1999</v>
      </c>
      <c r="P36" s="17" t="str">
        <f aca="false">IF($B$10=0,"",IFERROR(IF($B$4&gt;0,"휘발유 "&amp;TEXT(IF($M36="",1/0,$M36*$B$4),"#,##0")&amp;"원","")&amp;IF($B$5&gt;0,IF($B$4&gt;0," / ","")&amp;"고급유 "&amp;TEXT(IF($N36="",1/0,$N36*$B$5),"#,##0")&amp;"원","")&amp;IF($B$6&gt;0,IF(OR($B$4&gt;0,$B$5&gt;0)," / ","")&amp;"경유 "&amp;TEXT(IF($O36="",1/0,$O36*$B$6),"#,##0")&amp;"원",""),""))</f>
        <v>휘발유 26,950원 / 고급유 22,109원</v>
      </c>
      <c r="Q36" s="17" t="n">
        <f aca="false">IF($B$10=0,"",IFERROR(IF($B$4&gt;0,IF($M36="",1/0,$M36*$B$4),0)+IF($B$5&gt;0,IF($N36="",1/0,$N36*$B$5),0)+IF($B$6&gt;0,IF($O36="",1/0,$O36*$B$6),0),""))</f>
        <v>49058.8</v>
      </c>
      <c r="R36" s="17" t="s">
        <v>47</v>
      </c>
      <c r="S36" s="18" t="n">
        <f aca="false">IF($Q36="","",IF($R36="Y",IFERROR(VLOOKUP($B36,$C$4:$D$13,2,FALSE()),0),0))</f>
        <v>0.1</v>
      </c>
      <c r="T36" s="17" t="n">
        <f aca="false">IF($Q36="","",ROUNDDOWN($Q36*$S36,0))</f>
        <v>4905</v>
      </c>
      <c r="U36" s="17" t="n">
        <f aca="false">IF($Q36="","",$Q36-$T36)</f>
        <v>44153.8</v>
      </c>
      <c r="V36" s="17" t="n">
        <f aca="false">IF($U36="","",IF($B$10=0,"",$U36/$B$10))</f>
        <v>1752.13492063492</v>
      </c>
      <c r="W36" s="17" t="n">
        <f aca="false">IF($Q36="","",IF($B$10=0,"",$Q36/$B$10))</f>
        <v>1946.77777777778</v>
      </c>
      <c r="X36" s="19" t="n">
        <f aca="false">IF($U36="",1000000000000000,$U36)</f>
        <v>44153.8</v>
      </c>
      <c r="XFC36" s="6"/>
    </row>
    <row r="37" s="5" customFormat="true" ht="28.5" hidden="false" customHeight="true" outlineLevel="0" collapsed="false">
      <c r="A37" s="16" t="n">
        <f aca="false">IF($U37="","",1+COUNTIF($X$15:$X$728,"&lt;"&amp;X37))</f>
        <v>22</v>
      </c>
      <c r="B37" s="16" t="s">
        <v>6</v>
      </c>
      <c r="C37" s="16" t="s">
        <v>118</v>
      </c>
      <c r="D37" s="16" t="s">
        <v>58</v>
      </c>
      <c r="E37" s="16" t="s">
        <v>47</v>
      </c>
      <c r="F37" s="16" t="s">
        <v>119</v>
      </c>
      <c r="G37" s="16" t="s">
        <v>120</v>
      </c>
      <c r="H37" s="17" t="n">
        <v>1925</v>
      </c>
      <c r="I37" s="17" t="n">
        <v>1974</v>
      </c>
      <c r="J37" s="17"/>
      <c r="K37" s="17" t="n">
        <v>1945</v>
      </c>
      <c r="L37" s="17" t="n">
        <f aca="false">IF(AND(IFERROR(SEARCH("현대오일뱅크",$C37),0)&gt;0,IFERROR(SEARCH("직영",$C37),0)&gt;0),$B$13,0)</f>
        <v>0</v>
      </c>
      <c r="M37" s="17" t="n">
        <f aca="false">IF($H37="","",$H37+$L37)</f>
        <v>1925</v>
      </c>
      <c r="N37" s="17" t="n">
        <f aca="false">IF($I37="","",$I37+$L37)</f>
        <v>1974</v>
      </c>
      <c r="O37" s="17" t="n">
        <f aca="false">IF($K37="","",$K37+$L37)</f>
        <v>1945</v>
      </c>
      <c r="P37" s="17" t="str">
        <f aca="false">IF($B$10=0,"",IFERROR(IF($B$4&gt;0,"휘발유 "&amp;TEXT(IF($M37="",1/0,$M37*$B$4),"#,##0")&amp;"원","")&amp;IF($B$5&gt;0,IF($B$4&gt;0," / ","")&amp;"고급유 "&amp;TEXT(IF($N37="",1/0,$N37*$B$5),"#,##0")&amp;"원","")&amp;IF($B$6&gt;0,IF(OR($B$4&gt;0,$B$5&gt;0)," / ","")&amp;"경유 "&amp;TEXT(IF($O37="",1/0,$O37*$B$6),"#,##0")&amp;"원",""),""))</f>
        <v>휘발유 26,950원 / 고급유 22,109원</v>
      </c>
      <c r="Q37" s="17" t="n">
        <f aca="false">IF($B$10=0,"",IFERROR(IF($B$4&gt;0,IF($M37="",1/0,$M37*$B$4),0)+IF($B$5&gt;0,IF($N37="",1/0,$N37*$B$5),0)+IF($B$6&gt;0,IF($O37="",1/0,$O37*$B$6),0),""))</f>
        <v>49058.8</v>
      </c>
      <c r="R37" s="17" t="s">
        <v>47</v>
      </c>
      <c r="S37" s="18" t="n">
        <f aca="false">IF($Q37="","",IF($R37="Y",IFERROR(VLOOKUP($B37,$C$4:$D$13,2,FALSE()),0),0))</f>
        <v>0.1</v>
      </c>
      <c r="T37" s="17" t="n">
        <f aca="false">IF($Q37="","",ROUNDDOWN($Q37*$S37,0))</f>
        <v>4905</v>
      </c>
      <c r="U37" s="17" t="n">
        <f aca="false">IF($Q37="","",$Q37-$T37)</f>
        <v>44153.8</v>
      </c>
      <c r="V37" s="17" t="n">
        <f aca="false">IF($U37="","",IF($B$10=0,"",$U37/$B$10))</f>
        <v>1752.13492063492</v>
      </c>
      <c r="W37" s="17" t="n">
        <f aca="false">IF($Q37="","",IF($B$10=0,"",$Q37/$B$10))</f>
        <v>1946.77777777778</v>
      </c>
      <c r="X37" s="19" t="n">
        <f aca="false">IF($U37="",1000000000000000,$U37)</f>
        <v>44153.8</v>
      </c>
      <c r="XFC37" s="6"/>
    </row>
    <row r="38" s="5" customFormat="true" ht="28.5" hidden="false" customHeight="true" outlineLevel="0" collapsed="false">
      <c r="A38" s="16" t="n">
        <f aca="false">IF($U38="","",1+COUNTIF($X$15:$X$728,"&lt;"&amp;X38))</f>
        <v>24</v>
      </c>
      <c r="B38" s="16" t="s">
        <v>18</v>
      </c>
      <c r="C38" s="16" t="s">
        <v>121</v>
      </c>
      <c r="D38" s="16" t="s">
        <v>51</v>
      </c>
      <c r="E38" s="16" t="s">
        <v>47</v>
      </c>
      <c r="F38" s="16" t="s">
        <v>122</v>
      </c>
      <c r="G38" s="16" t="s">
        <v>123</v>
      </c>
      <c r="H38" s="17" t="n">
        <v>1955</v>
      </c>
      <c r="I38" s="17" t="n">
        <v>2195</v>
      </c>
      <c r="J38" s="17"/>
      <c r="K38" s="17" t="n">
        <v>1975</v>
      </c>
      <c r="L38" s="17" t="n">
        <f aca="false">IF(AND(IFERROR(SEARCH("현대오일뱅크",$C38),0)&gt;0,IFERROR(SEARCH("직영",$C38),0)&gt;0),$B$13,0)</f>
        <v>0</v>
      </c>
      <c r="M38" s="17" t="n">
        <f aca="false">IF($H38="","",$H38+$L38)</f>
        <v>1955</v>
      </c>
      <c r="N38" s="17" t="n">
        <f aca="false">IF($I38="","",$I38+$L38)</f>
        <v>2195</v>
      </c>
      <c r="O38" s="17" t="n">
        <f aca="false">IF($K38="","",$K38+$L38)</f>
        <v>1975</v>
      </c>
      <c r="P38" s="17" t="str">
        <f aca="false">IF($B$10=0,"",IFERROR(IF($B$4&gt;0,"휘발유 "&amp;TEXT(IF($M38="",1/0,$M38*$B$4),"#,##0")&amp;"원","")&amp;IF($B$5&gt;0,IF($B$4&gt;0," / ","")&amp;"고급유 "&amp;TEXT(IF($N38="",1/0,$N38*$B$5),"#,##0")&amp;"원","")&amp;IF($B$6&gt;0,IF(OR($B$4&gt;0,$B$5&gt;0)," / ","")&amp;"경유 "&amp;TEXT(IF($O38="",1/0,$O38*$B$6),"#,##0")&amp;"원",""),""))</f>
        <v>휘발유 27,370원 / 고급유 24,584원</v>
      </c>
      <c r="Q38" s="17" t="n">
        <f aca="false">IF($B$10=0,"",IFERROR(IF($B$4&gt;0,IF($M38="",1/0,$M38*$B$4),0)+IF($B$5&gt;0,IF($N38="",1/0,$N38*$B$5),0)+IF($B$6&gt;0,IF($O38="",1/0,$O38*$B$6),0),""))</f>
        <v>51954</v>
      </c>
      <c r="R38" s="17" t="s">
        <v>47</v>
      </c>
      <c r="S38" s="18" t="n">
        <f aca="false">IF($Q38="","",IF($R38="Y",IFERROR(VLOOKUP($B38,$C$4:$D$13,2,FALSE()),0),0))</f>
        <v>0.15</v>
      </c>
      <c r="T38" s="17" t="n">
        <f aca="false">IF($Q38="","",ROUNDDOWN($Q38*$S38,0))</f>
        <v>7793</v>
      </c>
      <c r="U38" s="17" t="n">
        <f aca="false">IF($Q38="","",$Q38-$T38)</f>
        <v>44161</v>
      </c>
      <c r="V38" s="17" t="n">
        <f aca="false">IF($U38="","",IF($B$10=0,"",$U38/$B$10))</f>
        <v>1752.42063492064</v>
      </c>
      <c r="W38" s="17" t="n">
        <f aca="false">IF($Q38="","",IF($B$10=0,"",$Q38/$B$10))</f>
        <v>2061.66666666667</v>
      </c>
      <c r="X38" s="19" t="n">
        <f aca="false">IF($U38="",1000000000000000,$U38)</f>
        <v>44161</v>
      </c>
      <c r="XFC38" s="6"/>
    </row>
    <row r="39" s="5" customFormat="true" ht="28.5" hidden="false" customHeight="true" outlineLevel="0" collapsed="false">
      <c r="A39" s="16" t="n">
        <f aca="false">IF($U39="","",1+COUNTIF($X$15:$X$728,"&lt;"&amp;X39))</f>
        <v>25</v>
      </c>
      <c r="B39" s="16" t="s">
        <v>6</v>
      </c>
      <c r="C39" s="16" t="s">
        <v>124</v>
      </c>
      <c r="D39" s="16" t="s">
        <v>58</v>
      </c>
      <c r="E39" s="16" t="s">
        <v>47</v>
      </c>
      <c r="F39" s="16" t="s">
        <v>125</v>
      </c>
      <c r="G39" s="16" t="s">
        <v>126</v>
      </c>
      <c r="H39" s="17" t="n">
        <v>1899</v>
      </c>
      <c r="I39" s="17" t="n">
        <v>2019</v>
      </c>
      <c r="J39" s="17"/>
      <c r="K39" s="17" t="n">
        <v>1939</v>
      </c>
      <c r="L39" s="17" t="n">
        <f aca="false">IF(AND(IFERROR(SEARCH("현대오일뱅크",$C39),0)&gt;0,IFERROR(SEARCH("직영",$C39),0)&gt;0),$B$13,0)</f>
        <v>0</v>
      </c>
      <c r="M39" s="17" t="n">
        <f aca="false">IF($H39="","",$H39+$L39)</f>
        <v>1899</v>
      </c>
      <c r="N39" s="17" t="n">
        <f aca="false">IF($I39="","",$I39+$L39)</f>
        <v>2019</v>
      </c>
      <c r="O39" s="17" t="n">
        <f aca="false">IF($K39="","",$K39+$L39)</f>
        <v>1939</v>
      </c>
      <c r="P39" s="17" t="str">
        <f aca="false">IF($B$10=0,"",IFERROR(IF($B$4&gt;0,"휘발유 "&amp;TEXT(IF($M39="",1/0,$M39*$B$4),"#,##0")&amp;"원","")&amp;IF($B$5&gt;0,IF($B$4&gt;0," / ","")&amp;"고급유 "&amp;TEXT(IF($N39="",1/0,$N39*$B$5),"#,##0")&amp;"원","")&amp;IF($B$6&gt;0,IF(OR($B$4&gt;0,$B$5&gt;0)," / ","")&amp;"경유 "&amp;TEXT(IF($O39="",1/0,$O39*$B$6),"#,##0")&amp;"원",""),""))</f>
        <v>휘발유 26,586원 / 고급유 22,613원</v>
      </c>
      <c r="Q39" s="17" t="n">
        <f aca="false">IF($B$10=0,"",IFERROR(IF($B$4&gt;0,IF($M39="",1/0,$M39*$B$4),0)+IF($B$5&gt;0,IF($N39="",1/0,$N39*$B$5),0)+IF($B$6&gt;0,IF($O39="",1/0,$O39*$B$6),0),""))</f>
        <v>49198.8</v>
      </c>
      <c r="R39" s="17" t="s">
        <v>47</v>
      </c>
      <c r="S39" s="18" t="n">
        <f aca="false">IF($Q39="","",IF($R39="Y",IFERROR(VLOOKUP($B39,$C$4:$D$13,2,FALSE()),0),0))</f>
        <v>0.1</v>
      </c>
      <c r="T39" s="17" t="n">
        <f aca="false">IF($Q39="","",ROUNDDOWN($Q39*$S39,0))</f>
        <v>4919</v>
      </c>
      <c r="U39" s="17" t="n">
        <f aca="false">IF($Q39="","",$Q39-$T39)</f>
        <v>44279.8</v>
      </c>
      <c r="V39" s="17" t="n">
        <f aca="false">IF($U39="","",IF($B$10=0,"",$U39/$B$10))</f>
        <v>1757.13492063492</v>
      </c>
      <c r="W39" s="17" t="n">
        <f aca="false">IF($Q39="","",IF($B$10=0,"",$Q39/$B$10))</f>
        <v>1952.33333333333</v>
      </c>
      <c r="X39" s="19" t="n">
        <f aca="false">IF($U39="",1000000000000000,$U39)</f>
        <v>44279.8</v>
      </c>
      <c r="XFC39" s="6"/>
    </row>
    <row r="40" s="5" customFormat="true" ht="28.5" hidden="false" customHeight="true" outlineLevel="0" collapsed="false">
      <c r="A40" s="16" t="n">
        <f aca="false">IF($U40="","",1+COUNTIF($X$15:$X$728,"&lt;"&amp;X40))</f>
        <v>26</v>
      </c>
      <c r="B40" s="16" t="s">
        <v>6</v>
      </c>
      <c r="C40" s="16" t="s">
        <v>127</v>
      </c>
      <c r="D40" s="16" t="s">
        <v>51</v>
      </c>
      <c r="E40" s="16" t="s">
        <v>47</v>
      </c>
      <c r="F40" s="16" t="s">
        <v>128</v>
      </c>
      <c r="G40" s="16" t="s">
        <v>129</v>
      </c>
      <c r="H40" s="17" t="n">
        <v>1919</v>
      </c>
      <c r="I40" s="17" t="n">
        <v>1999</v>
      </c>
      <c r="J40" s="17"/>
      <c r="K40" s="17" t="n">
        <v>1919</v>
      </c>
      <c r="L40" s="17" t="n">
        <f aca="false">IF(AND(IFERROR(SEARCH("현대오일뱅크",$C40),0)&gt;0,IFERROR(SEARCH("직영",$C40),0)&gt;0),$B$13,0)</f>
        <v>0</v>
      </c>
      <c r="M40" s="17" t="n">
        <f aca="false">IF($H40="","",$H40+$L40)</f>
        <v>1919</v>
      </c>
      <c r="N40" s="17" t="n">
        <f aca="false">IF($I40="","",$I40+$L40)</f>
        <v>1999</v>
      </c>
      <c r="O40" s="17" t="n">
        <f aca="false">IF($K40="","",$K40+$L40)</f>
        <v>1919</v>
      </c>
      <c r="P40" s="17" t="str">
        <f aca="false">IF($B$10=0,"",IFERROR(IF($B$4&gt;0,"휘발유 "&amp;TEXT(IF($M40="",1/0,$M40*$B$4),"#,##0")&amp;"원","")&amp;IF($B$5&gt;0,IF($B$4&gt;0," / ","")&amp;"고급유 "&amp;TEXT(IF($N40="",1/0,$N40*$B$5),"#,##0")&amp;"원","")&amp;IF($B$6&gt;0,IF(OR($B$4&gt;0,$B$5&gt;0)," / ","")&amp;"경유 "&amp;TEXT(IF($O40="",1/0,$O40*$B$6),"#,##0")&amp;"원",""),""))</f>
        <v>휘발유 26,866원 / 고급유 22,389원</v>
      </c>
      <c r="Q40" s="17" t="n">
        <f aca="false">IF($B$10=0,"",IFERROR(IF($B$4&gt;0,IF($M40="",1/0,$M40*$B$4),0)+IF($B$5&gt;0,IF($N40="",1/0,$N40*$B$5),0)+IF($B$6&gt;0,IF($O40="",1/0,$O40*$B$6),0),""))</f>
        <v>49254.8</v>
      </c>
      <c r="R40" s="17" t="s">
        <v>47</v>
      </c>
      <c r="S40" s="18" t="n">
        <f aca="false">IF($Q40="","",IF($R40="Y",IFERROR(VLOOKUP($B40,$C$4:$D$13,2,FALSE()),0),0))</f>
        <v>0.1</v>
      </c>
      <c r="T40" s="17" t="n">
        <f aca="false">IF($Q40="","",ROUNDDOWN($Q40*$S40,0))</f>
        <v>4925</v>
      </c>
      <c r="U40" s="17" t="n">
        <f aca="false">IF($Q40="","",$Q40-$T40)</f>
        <v>44329.8</v>
      </c>
      <c r="V40" s="17" t="n">
        <f aca="false">IF($U40="","",IF($B$10=0,"",$U40/$B$10))</f>
        <v>1759.11904761905</v>
      </c>
      <c r="W40" s="17" t="n">
        <f aca="false">IF($Q40="","",IF($B$10=0,"",$Q40/$B$10))</f>
        <v>1954.55555555556</v>
      </c>
      <c r="X40" s="19" t="n">
        <f aca="false">IF($U40="",1000000000000000,$U40)</f>
        <v>44329.8</v>
      </c>
      <c r="XFC40" s="6"/>
    </row>
    <row r="41" s="5" customFormat="true" ht="28.5" hidden="false" customHeight="true" outlineLevel="0" collapsed="false">
      <c r="A41" s="16" t="n">
        <f aca="false">IF($U41="","",1+COUNTIF($X$15:$X$728,"&lt;"&amp;X41))</f>
        <v>27</v>
      </c>
      <c r="B41" s="16" t="s">
        <v>6</v>
      </c>
      <c r="C41" s="16" t="s">
        <v>130</v>
      </c>
      <c r="D41" s="16" t="s">
        <v>51</v>
      </c>
      <c r="E41" s="16" t="s">
        <v>59</v>
      </c>
      <c r="F41" s="16" t="s">
        <v>131</v>
      </c>
      <c r="G41" s="16" t="s">
        <v>132</v>
      </c>
      <c r="H41" s="17" t="n">
        <v>1915</v>
      </c>
      <c r="I41" s="17" t="n">
        <v>2010</v>
      </c>
      <c r="J41" s="17"/>
      <c r="K41" s="17" t="n">
        <v>1915</v>
      </c>
      <c r="L41" s="17" t="n">
        <f aca="false">IF(AND(IFERROR(SEARCH("현대오일뱅크",$C41),0)&gt;0,IFERROR(SEARCH("직영",$C41),0)&gt;0),$B$13,0)</f>
        <v>0</v>
      </c>
      <c r="M41" s="17" t="n">
        <f aca="false">IF($H41="","",$H41+$L41)</f>
        <v>1915</v>
      </c>
      <c r="N41" s="17" t="n">
        <f aca="false">IF($I41="","",$I41+$L41)</f>
        <v>2010</v>
      </c>
      <c r="O41" s="17" t="n">
        <f aca="false">IF($K41="","",$K41+$L41)</f>
        <v>1915</v>
      </c>
      <c r="P41" s="17" t="str">
        <f aca="false">IF($B$10=0,"",IFERROR(IF($B$4&gt;0,"휘발유 "&amp;TEXT(IF($M41="",1/0,$M41*$B$4),"#,##0")&amp;"원","")&amp;IF($B$5&gt;0,IF($B$4&gt;0," / ","")&amp;"고급유 "&amp;TEXT(IF($N41="",1/0,$N41*$B$5),"#,##0")&amp;"원","")&amp;IF($B$6&gt;0,IF(OR($B$4&gt;0,$B$5&gt;0)," / ","")&amp;"경유 "&amp;TEXT(IF($O41="",1/0,$O41*$B$6),"#,##0")&amp;"원",""),""))</f>
        <v>휘발유 26,810원 / 고급유 22,512원</v>
      </c>
      <c r="Q41" s="17" t="n">
        <f aca="false">IF($B$10=0,"",IFERROR(IF($B$4&gt;0,IF($M41="",1/0,$M41*$B$4),0)+IF($B$5&gt;0,IF($N41="",1/0,$N41*$B$5),0)+IF($B$6&gt;0,IF($O41="",1/0,$O41*$B$6),0),""))</f>
        <v>49322</v>
      </c>
      <c r="R41" s="17" t="s">
        <v>47</v>
      </c>
      <c r="S41" s="18" t="n">
        <f aca="false">IF($Q41="","",IF($R41="Y",IFERROR(VLOOKUP($B41,$C$4:$D$13,2,FALSE()),0),0))</f>
        <v>0.1</v>
      </c>
      <c r="T41" s="17" t="n">
        <f aca="false">IF($Q41="","",ROUNDDOWN($Q41*$S41,0))</f>
        <v>4932</v>
      </c>
      <c r="U41" s="17" t="n">
        <f aca="false">IF($Q41="","",$Q41-$T41)</f>
        <v>44390</v>
      </c>
      <c r="V41" s="17" t="n">
        <f aca="false">IF($U41="","",IF($B$10=0,"",$U41/$B$10))</f>
        <v>1761.50793650794</v>
      </c>
      <c r="W41" s="17" t="n">
        <f aca="false">IF($Q41="","",IF($B$10=0,"",$Q41/$B$10))</f>
        <v>1957.22222222222</v>
      </c>
      <c r="X41" s="19" t="n">
        <f aca="false">IF($U41="",1000000000000000,$U41)</f>
        <v>44390</v>
      </c>
      <c r="XFC41" s="6"/>
    </row>
    <row r="42" s="5" customFormat="true" ht="28.5" hidden="false" customHeight="true" outlineLevel="0" collapsed="false">
      <c r="A42" s="16" t="n">
        <f aca="false">IF($U42="","",1+COUNTIF($X$15:$X$728,"&lt;"&amp;X42))</f>
        <v>28</v>
      </c>
      <c r="B42" s="16" t="s">
        <v>6</v>
      </c>
      <c r="C42" s="16" t="s">
        <v>133</v>
      </c>
      <c r="D42" s="16" t="s">
        <v>58</v>
      </c>
      <c r="E42" s="16" t="s">
        <v>47</v>
      </c>
      <c r="F42" s="16" t="s">
        <v>134</v>
      </c>
      <c r="G42" s="16" t="s">
        <v>135</v>
      </c>
      <c r="H42" s="17" t="n">
        <v>1925</v>
      </c>
      <c r="I42" s="17" t="n">
        <v>2010</v>
      </c>
      <c r="J42" s="17"/>
      <c r="K42" s="17" t="n">
        <v>1945</v>
      </c>
      <c r="L42" s="17" t="n">
        <f aca="false">IF(AND(IFERROR(SEARCH("현대오일뱅크",$C42),0)&gt;0,IFERROR(SEARCH("직영",$C42),0)&gt;0),$B$13,0)</f>
        <v>0</v>
      </c>
      <c r="M42" s="17" t="n">
        <f aca="false">IF($H42="","",$H42+$L42)</f>
        <v>1925</v>
      </c>
      <c r="N42" s="17" t="n">
        <f aca="false">IF($I42="","",$I42+$L42)</f>
        <v>2010</v>
      </c>
      <c r="O42" s="17" t="n">
        <f aca="false">IF($K42="","",$K42+$L42)</f>
        <v>1945</v>
      </c>
      <c r="P42" s="17" t="str">
        <f aca="false">IF($B$10=0,"",IFERROR(IF($B$4&gt;0,"휘발유 "&amp;TEXT(IF($M42="",1/0,$M42*$B$4),"#,##0")&amp;"원","")&amp;IF($B$5&gt;0,IF($B$4&gt;0," / ","")&amp;"고급유 "&amp;TEXT(IF($N42="",1/0,$N42*$B$5),"#,##0")&amp;"원","")&amp;IF($B$6&gt;0,IF(OR($B$4&gt;0,$B$5&gt;0)," / ","")&amp;"경유 "&amp;TEXT(IF($O42="",1/0,$O42*$B$6),"#,##0")&amp;"원",""),""))</f>
        <v>휘발유 26,950원 / 고급유 22,512원</v>
      </c>
      <c r="Q42" s="17" t="n">
        <f aca="false">IF($B$10=0,"",IFERROR(IF($B$4&gt;0,IF($M42="",1/0,$M42*$B$4),0)+IF($B$5&gt;0,IF($N42="",1/0,$N42*$B$5),0)+IF($B$6&gt;0,IF($O42="",1/0,$O42*$B$6),0),""))</f>
        <v>49462</v>
      </c>
      <c r="R42" s="17" t="s">
        <v>47</v>
      </c>
      <c r="S42" s="18" t="n">
        <f aca="false">IF($Q42="","",IF($R42="Y",IFERROR(VLOOKUP($B42,$C$4:$D$13,2,FALSE()),0),0))</f>
        <v>0.1</v>
      </c>
      <c r="T42" s="17" t="n">
        <f aca="false">IF($Q42="","",ROUNDDOWN($Q42*$S42,0))</f>
        <v>4946</v>
      </c>
      <c r="U42" s="17" t="n">
        <f aca="false">IF($Q42="","",$Q42-$T42)</f>
        <v>44516</v>
      </c>
      <c r="V42" s="17" t="n">
        <f aca="false">IF($U42="","",IF($B$10=0,"",$U42/$B$10))</f>
        <v>1766.50793650794</v>
      </c>
      <c r="W42" s="17" t="n">
        <f aca="false">IF($Q42="","",IF($B$10=0,"",$Q42/$B$10))</f>
        <v>1962.77777777778</v>
      </c>
      <c r="X42" s="19" t="n">
        <f aca="false">IF($U42="",1000000000000000,$U42)</f>
        <v>44516</v>
      </c>
      <c r="XFC42" s="6"/>
    </row>
    <row r="43" s="5" customFormat="true" ht="28.5" hidden="false" customHeight="true" outlineLevel="0" collapsed="false">
      <c r="A43" s="16" t="n">
        <f aca="false">IF($U43="","",1+COUNTIF($X$15:$X$728,"&lt;"&amp;X43))</f>
        <v>28</v>
      </c>
      <c r="B43" s="16" t="s">
        <v>6</v>
      </c>
      <c r="C43" s="16" t="s">
        <v>136</v>
      </c>
      <c r="D43" s="16" t="s">
        <v>51</v>
      </c>
      <c r="E43" s="16" t="s">
        <v>47</v>
      </c>
      <c r="F43" s="16" t="s">
        <v>137</v>
      </c>
      <c r="G43" s="16" t="s">
        <v>138</v>
      </c>
      <c r="H43" s="17" t="n">
        <v>1925</v>
      </c>
      <c r="I43" s="17" t="n">
        <v>2010</v>
      </c>
      <c r="J43" s="17"/>
      <c r="K43" s="17" t="n">
        <v>1945</v>
      </c>
      <c r="L43" s="17" t="n">
        <f aca="false">IF(AND(IFERROR(SEARCH("현대오일뱅크",$C43),0)&gt;0,IFERROR(SEARCH("직영",$C43),0)&gt;0),$B$13,0)</f>
        <v>0</v>
      </c>
      <c r="M43" s="17" t="n">
        <f aca="false">IF($H43="","",$H43+$L43)</f>
        <v>1925</v>
      </c>
      <c r="N43" s="17" t="n">
        <f aca="false">IF($I43="","",$I43+$L43)</f>
        <v>2010</v>
      </c>
      <c r="O43" s="17" t="n">
        <f aca="false">IF($K43="","",$K43+$L43)</f>
        <v>1945</v>
      </c>
      <c r="P43" s="17" t="str">
        <f aca="false">IF($B$10=0,"",IFERROR(IF($B$4&gt;0,"휘발유 "&amp;TEXT(IF($M43="",1/0,$M43*$B$4),"#,##0")&amp;"원","")&amp;IF($B$5&gt;0,IF($B$4&gt;0," / ","")&amp;"고급유 "&amp;TEXT(IF($N43="",1/0,$N43*$B$5),"#,##0")&amp;"원","")&amp;IF($B$6&gt;0,IF(OR($B$4&gt;0,$B$5&gt;0)," / ","")&amp;"경유 "&amp;TEXT(IF($O43="",1/0,$O43*$B$6),"#,##0")&amp;"원",""),""))</f>
        <v>휘발유 26,950원 / 고급유 22,512원</v>
      </c>
      <c r="Q43" s="17" t="n">
        <f aca="false">IF($B$10=0,"",IFERROR(IF($B$4&gt;0,IF($M43="",1/0,$M43*$B$4),0)+IF($B$5&gt;0,IF($N43="",1/0,$N43*$B$5),0)+IF($B$6&gt;0,IF($O43="",1/0,$O43*$B$6),0),""))</f>
        <v>49462</v>
      </c>
      <c r="R43" s="17" t="s">
        <v>47</v>
      </c>
      <c r="S43" s="18" t="n">
        <f aca="false">IF($Q43="","",IF($R43="Y",IFERROR(VLOOKUP($B43,$C$4:$D$13,2,FALSE()),0),0))</f>
        <v>0.1</v>
      </c>
      <c r="T43" s="17" t="n">
        <f aca="false">IF($Q43="","",ROUNDDOWN($Q43*$S43,0))</f>
        <v>4946</v>
      </c>
      <c r="U43" s="17" t="n">
        <f aca="false">IF($Q43="","",$Q43-$T43)</f>
        <v>44516</v>
      </c>
      <c r="V43" s="17" t="n">
        <f aca="false">IF($U43="","",IF($B$10=0,"",$U43/$B$10))</f>
        <v>1766.50793650794</v>
      </c>
      <c r="W43" s="17" t="n">
        <f aca="false">IF($Q43="","",IF($B$10=0,"",$Q43/$B$10))</f>
        <v>1962.77777777778</v>
      </c>
      <c r="X43" s="19" t="n">
        <f aca="false">IF($U43="",1000000000000000,$U43)</f>
        <v>44516</v>
      </c>
      <c r="XFC43" s="6"/>
    </row>
    <row r="44" s="5" customFormat="true" ht="28.5" hidden="false" customHeight="true" outlineLevel="0" collapsed="false">
      <c r="A44" s="16" t="n">
        <f aca="false">IF($U44="","",1+COUNTIF($X$15:$X$728,"&lt;"&amp;X44))</f>
        <v>28</v>
      </c>
      <c r="B44" s="16" t="s">
        <v>6</v>
      </c>
      <c r="C44" s="16" t="s">
        <v>139</v>
      </c>
      <c r="D44" s="16" t="s">
        <v>51</v>
      </c>
      <c r="E44" s="16" t="s">
        <v>47</v>
      </c>
      <c r="F44" s="16" t="s">
        <v>140</v>
      </c>
      <c r="G44" s="16" t="s">
        <v>141</v>
      </c>
      <c r="H44" s="17" t="n">
        <v>1925</v>
      </c>
      <c r="I44" s="17" t="n">
        <v>2010</v>
      </c>
      <c r="J44" s="17"/>
      <c r="K44" s="17" t="n">
        <v>1945</v>
      </c>
      <c r="L44" s="17" t="n">
        <f aca="false">IF(AND(IFERROR(SEARCH("현대오일뱅크",$C44),0)&gt;0,IFERROR(SEARCH("직영",$C44),0)&gt;0),$B$13,0)</f>
        <v>0</v>
      </c>
      <c r="M44" s="17" t="n">
        <f aca="false">IF($H44="","",$H44+$L44)</f>
        <v>1925</v>
      </c>
      <c r="N44" s="17" t="n">
        <f aca="false">IF($I44="","",$I44+$L44)</f>
        <v>2010</v>
      </c>
      <c r="O44" s="17" t="n">
        <f aca="false">IF($K44="","",$K44+$L44)</f>
        <v>1945</v>
      </c>
      <c r="P44" s="17" t="str">
        <f aca="false">IF($B$10=0,"",IFERROR(IF($B$4&gt;0,"휘발유 "&amp;TEXT(IF($M44="",1/0,$M44*$B$4),"#,##0")&amp;"원","")&amp;IF($B$5&gt;0,IF($B$4&gt;0," / ","")&amp;"고급유 "&amp;TEXT(IF($N44="",1/0,$N44*$B$5),"#,##0")&amp;"원","")&amp;IF($B$6&gt;0,IF(OR($B$4&gt;0,$B$5&gt;0)," / ","")&amp;"경유 "&amp;TEXT(IF($O44="",1/0,$O44*$B$6),"#,##0")&amp;"원",""),""))</f>
        <v>휘발유 26,950원 / 고급유 22,512원</v>
      </c>
      <c r="Q44" s="17" t="n">
        <f aca="false">IF($B$10=0,"",IFERROR(IF($B$4&gt;0,IF($M44="",1/0,$M44*$B$4),0)+IF($B$5&gt;0,IF($N44="",1/0,$N44*$B$5),0)+IF($B$6&gt;0,IF($O44="",1/0,$O44*$B$6),0),""))</f>
        <v>49462</v>
      </c>
      <c r="R44" s="17" t="s">
        <v>47</v>
      </c>
      <c r="S44" s="18" t="n">
        <f aca="false">IF($Q44="","",IF($R44="Y",IFERROR(VLOOKUP($B44,$C$4:$D$13,2,FALSE()),0),0))</f>
        <v>0.1</v>
      </c>
      <c r="T44" s="17" t="n">
        <f aca="false">IF($Q44="","",ROUNDDOWN($Q44*$S44,0))</f>
        <v>4946</v>
      </c>
      <c r="U44" s="17" t="n">
        <f aca="false">IF($Q44="","",$Q44-$T44)</f>
        <v>44516</v>
      </c>
      <c r="V44" s="17" t="n">
        <f aca="false">IF($U44="","",IF($B$10=0,"",$U44/$B$10))</f>
        <v>1766.50793650794</v>
      </c>
      <c r="W44" s="17" t="n">
        <f aca="false">IF($Q44="","",IF($B$10=0,"",$Q44/$B$10))</f>
        <v>1962.77777777778</v>
      </c>
      <c r="X44" s="19" t="n">
        <f aca="false">IF($U44="",1000000000000000,$U44)</f>
        <v>44516</v>
      </c>
      <c r="XFC44" s="6"/>
    </row>
    <row r="45" s="5" customFormat="true" ht="28.5" hidden="false" customHeight="true" outlineLevel="0" collapsed="false">
      <c r="A45" s="16" t="n">
        <f aca="false">IF($U45="","",1+COUNTIF($X$15:$X$728,"&lt;"&amp;X45))</f>
        <v>31</v>
      </c>
      <c r="B45" s="16" t="s">
        <v>6</v>
      </c>
      <c r="C45" s="16" t="s">
        <v>142</v>
      </c>
      <c r="D45" s="16" t="s">
        <v>58</v>
      </c>
      <c r="E45" s="16" t="s">
        <v>47</v>
      </c>
      <c r="F45" s="16" t="s">
        <v>143</v>
      </c>
      <c r="G45" s="16" t="s">
        <v>144</v>
      </c>
      <c r="H45" s="17" t="n">
        <v>1925</v>
      </c>
      <c r="I45" s="17" t="n">
        <v>2014</v>
      </c>
      <c r="J45" s="17"/>
      <c r="K45" s="17" t="n">
        <v>1945</v>
      </c>
      <c r="L45" s="17" t="n">
        <f aca="false">IF(AND(IFERROR(SEARCH("현대오일뱅크",$C45),0)&gt;0,IFERROR(SEARCH("직영",$C45),0)&gt;0),$B$13,0)</f>
        <v>0</v>
      </c>
      <c r="M45" s="17" t="n">
        <f aca="false">IF($H45="","",$H45+$L45)</f>
        <v>1925</v>
      </c>
      <c r="N45" s="17" t="n">
        <f aca="false">IF($I45="","",$I45+$L45)</f>
        <v>2014</v>
      </c>
      <c r="O45" s="17" t="n">
        <f aca="false">IF($K45="","",$K45+$L45)</f>
        <v>1945</v>
      </c>
      <c r="P45" s="17" t="str">
        <f aca="false">IF($B$10=0,"",IFERROR(IF($B$4&gt;0,"휘발유 "&amp;TEXT(IF($M45="",1/0,$M45*$B$4),"#,##0")&amp;"원","")&amp;IF($B$5&gt;0,IF($B$4&gt;0," / ","")&amp;"고급유 "&amp;TEXT(IF($N45="",1/0,$N45*$B$5),"#,##0")&amp;"원","")&amp;IF($B$6&gt;0,IF(OR($B$4&gt;0,$B$5&gt;0)," / ","")&amp;"경유 "&amp;TEXT(IF($O45="",1/0,$O45*$B$6),"#,##0")&amp;"원",""),""))</f>
        <v>휘발유 26,950원 / 고급유 22,557원</v>
      </c>
      <c r="Q45" s="17" t="n">
        <f aca="false">IF($B$10=0,"",IFERROR(IF($B$4&gt;0,IF($M45="",1/0,$M45*$B$4),0)+IF($B$5&gt;0,IF($N45="",1/0,$N45*$B$5),0)+IF($B$6&gt;0,IF($O45="",1/0,$O45*$B$6),0),""))</f>
        <v>49506.8</v>
      </c>
      <c r="R45" s="17" t="s">
        <v>47</v>
      </c>
      <c r="S45" s="18" t="n">
        <f aca="false">IF($Q45="","",IF($R45="Y",IFERROR(VLOOKUP($B45,$C$4:$D$13,2,FALSE()),0),0))</f>
        <v>0.1</v>
      </c>
      <c r="T45" s="17" t="n">
        <f aca="false">IF($Q45="","",ROUNDDOWN($Q45*$S45,0))</f>
        <v>4950</v>
      </c>
      <c r="U45" s="17" t="n">
        <f aca="false">IF($Q45="","",$Q45-$T45)</f>
        <v>44556.8</v>
      </c>
      <c r="V45" s="17" t="n">
        <f aca="false">IF($U45="","",IF($B$10=0,"",$U45/$B$10))</f>
        <v>1768.12698412698</v>
      </c>
      <c r="W45" s="17" t="n">
        <f aca="false">IF($Q45="","",IF($B$10=0,"",$Q45/$B$10))</f>
        <v>1964.55555555556</v>
      </c>
      <c r="X45" s="19" t="n">
        <f aca="false">IF($U45="",1000000000000000,$U45)</f>
        <v>44556.8</v>
      </c>
      <c r="XFC45" s="6"/>
    </row>
    <row r="46" s="5" customFormat="true" ht="28.5" hidden="false" customHeight="true" outlineLevel="0" collapsed="false">
      <c r="A46" s="16" t="n">
        <f aca="false">IF($U46="","",1+COUNTIF($X$15:$X$728,"&lt;"&amp;X46))</f>
        <v>31</v>
      </c>
      <c r="B46" s="16" t="s">
        <v>6</v>
      </c>
      <c r="C46" s="16" t="s">
        <v>145</v>
      </c>
      <c r="D46" s="16" t="s">
        <v>51</v>
      </c>
      <c r="E46" s="16" t="s">
        <v>47</v>
      </c>
      <c r="F46" s="16" t="s">
        <v>146</v>
      </c>
      <c r="G46" s="16" t="s">
        <v>147</v>
      </c>
      <c r="H46" s="17" t="n">
        <v>1929</v>
      </c>
      <c r="I46" s="17" t="n">
        <v>2009</v>
      </c>
      <c r="J46" s="17"/>
      <c r="K46" s="17" t="n">
        <v>1969</v>
      </c>
      <c r="L46" s="17" t="n">
        <f aca="false">IF(AND(IFERROR(SEARCH("현대오일뱅크",$C46),0)&gt;0,IFERROR(SEARCH("직영",$C46),0)&gt;0),$B$13,0)</f>
        <v>0</v>
      </c>
      <c r="M46" s="17" t="n">
        <f aca="false">IF($H46="","",$H46+$L46)</f>
        <v>1929</v>
      </c>
      <c r="N46" s="17" t="n">
        <f aca="false">IF($I46="","",$I46+$L46)</f>
        <v>2009</v>
      </c>
      <c r="O46" s="17" t="n">
        <f aca="false">IF($K46="","",$K46+$L46)</f>
        <v>1969</v>
      </c>
      <c r="P46" s="17" t="str">
        <f aca="false">IF($B$10=0,"",IFERROR(IF($B$4&gt;0,"휘발유 "&amp;TEXT(IF($M46="",1/0,$M46*$B$4),"#,##0")&amp;"원","")&amp;IF($B$5&gt;0,IF($B$4&gt;0," / ","")&amp;"고급유 "&amp;TEXT(IF($N46="",1/0,$N46*$B$5),"#,##0")&amp;"원","")&amp;IF($B$6&gt;0,IF(OR($B$4&gt;0,$B$5&gt;0)," / ","")&amp;"경유 "&amp;TEXT(IF($O46="",1/0,$O46*$B$6),"#,##0")&amp;"원",""),""))</f>
        <v>휘발유 27,006원 / 고급유 22,501원</v>
      </c>
      <c r="Q46" s="17" t="n">
        <f aca="false">IF($B$10=0,"",IFERROR(IF($B$4&gt;0,IF($M46="",1/0,$M46*$B$4),0)+IF($B$5&gt;0,IF($N46="",1/0,$N46*$B$5),0)+IF($B$6&gt;0,IF($O46="",1/0,$O46*$B$6),0),""))</f>
        <v>49506.8</v>
      </c>
      <c r="R46" s="17" t="s">
        <v>47</v>
      </c>
      <c r="S46" s="18" t="n">
        <f aca="false">IF($Q46="","",IF($R46="Y",IFERROR(VLOOKUP($B46,$C$4:$D$13,2,FALSE()),0),0))</f>
        <v>0.1</v>
      </c>
      <c r="T46" s="17" t="n">
        <f aca="false">IF($Q46="","",ROUNDDOWN($Q46*$S46,0))</f>
        <v>4950</v>
      </c>
      <c r="U46" s="17" t="n">
        <f aca="false">IF($Q46="","",$Q46-$T46)</f>
        <v>44556.8</v>
      </c>
      <c r="V46" s="17" t="n">
        <f aca="false">IF($U46="","",IF($B$10=0,"",$U46/$B$10))</f>
        <v>1768.12698412698</v>
      </c>
      <c r="W46" s="17" t="n">
        <f aca="false">IF($Q46="","",IF($B$10=0,"",$Q46/$B$10))</f>
        <v>1964.55555555556</v>
      </c>
      <c r="X46" s="19" t="n">
        <f aca="false">IF($U46="",1000000000000000,$U46)</f>
        <v>44556.8</v>
      </c>
      <c r="XFC46" s="6"/>
    </row>
    <row r="47" s="5" customFormat="true" ht="28.5" hidden="false" customHeight="true" outlineLevel="0" collapsed="false">
      <c r="A47" s="16" t="n">
        <f aca="false">IF($U47="","",1+COUNTIF($X$15:$X$728,"&lt;"&amp;X47))</f>
        <v>31</v>
      </c>
      <c r="B47" s="16" t="s">
        <v>6</v>
      </c>
      <c r="C47" s="16" t="s">
        <v>148</v>
      </c>
      <c r="D47" s="16" t="s">
        <v>51</v>
      </c>
      <c r="E47" s="16" t="s">
        <v>47</v>
      </c>
      <c r="F47" s="16" t="s">
        <v>149</v>
      </c>
      <c r="G47" s="16" t="s">
        <v>150</v>
      </c>
      <c r="H47" s="17" t="n">
        <v>1929</v>
      </c>
      <c r="I47" s="17" t="n">
        <v>2009</v>
      </c>
      <c r="J47" s="17"/>
      <c r="K47" s="17" t="n">
        <v>1969</v>
      </c>
      <c r="L47" s="17" t="n">
        <f aca="false">IF(AND(IFERROR(SEARCH("현대오일뱅크",$C47),0)&gt;0,IFERROR(SEARCH("직영",$C47),0)&gt;0),$B$13,0)</f>
        <v>0</v>
      </c>
      <c r="M47" s="17" t="n">
        <f aca="false">IF($H47="","",$H47+$L47)</f>
        <v>1929</v>
      </c>
      <c r="N47" s="17" t="n">
        <f aca="false">IF($I47="","",$I47+$L47)</f>
        <v>2009</v>
      </c>
      <c r="O47" s="17" t="n">
        <f aca="false">IF($K47="","",$K47+$L47)</f>
        <v>1969</v>
      </c>
      <c r="P47" s="17" t="str">
        <f aca="false">IF($B$10=0,"",IFERROR(IF($B$4&gt;0,"휘발유 "&amp;TEXT(IF($M47="",1/0,$M47*$B$4),"#,##0")&amp;"원","")&amp;IF($B$5&gt;0,IF($B$4&gt;0," / ","")&amp;"고급유 "&amp;TEXT(IF($N47="",1/0,$N47*$B$5),"#,##0")&amp;"원","")&amp;IF($B$6&gt;0,IF(OR($B$4&gt;0,$B$5&gt;0)," / ","")&amp;"경유 "&amp;TEXT(IF($O47="",1/0,$O47*$B$6),"#,##0")&amp;"원",""),""))</f>
        <v>휘발유 27,006원 / 고급유 22,501원</v>
      </c>
      <c r="Q47" s="17" t="n">
        <f aca="false">IF($B$10=0,"",IFERROR(IF($B$4&gt;0,IF($M47="",1/0,$M47*$B$4),0)+IF($B$5&gt;0,IF($N47="",1/0,$N47*$B$5),0)+IF($B$6&gt;0,IF($O47="",1/0,$O47*$B$6),0),""))</f>
        <v>49506.8</v>
      </c>
      <c r="R47" s="17" t="s">
        <v>47</v>
      </c>
      <c r="S47" s="18" t="n">
        <f aca="false">IF($Q47="","",IF($R47="Y",IFERROR(VLOOKUP($B47,$C$4:$D$13,2,FALSE()),0),0))</f>
        <v>0.1</v>
      </c>
      <c r="T47" s="17" t="n">
        <f aca="false">IF($Q47="","",ROUNDDOWN($Q47*$S47,0))</f>
        <v>4950</v>
      </c>
      <c r="U47" s="17" t="n">
        <f aca="false">IF($Q47="","",$Q47-$T47)</f>
        <v>44556.8</v>
      </c>
      <c r="V47" s="17" t="n">
        <f aca="false">IF($U47="","",IF($B$10=0,"",$U47/$B$10))</f>
        <v>1768.12698412698</v>
      </c>
      <c r="W47" s="17" t="n">
        <f aca="false">IF($Q47="","",IF($B$10=0,"",$Q47/$B$10))</f>
        <v>1964.55555555556</v>
      </c>
      <c r="X47" s="19" t="n">
        <f aca="false">IF($U47="",1000000000000000,$U47)</f>
        <v>44556.8</v>
      </c>
      <c r="XFC47" s="6"/>
    </row>
    <row r="48" s="5" customFormat="true" ht="28.5" hidden="false" customHeight="true" outlineLevel="0" collapsed="false">
      <c r="A48" s="16" t="n">
        <f aca="false">IF($U48="","",1+COUNTIF($X$15:$X$728,"&lt;"&amp;X48))</f>
        <v>34</v>
      </c>
      <c r="B48" s="16" t="s">
        <v>10</v>
      </c>
      <c r="C48" s="16" t="s">
        <v>151</v>
      </c>
      <c r="D48" s="16" t="s">
        <v>58</v>
      </c>
      <c r="E48" s="16" t="s">
        <v>47</v>
      </c>
      <c r="F48" s="16" t="s">
        <v>152</v>
      </c>
      <c r="G48" s="16" t="s">
        <v>153</v>
      </c>
      <c r="H48" s="17" t="n">
        <v>1899</v>
      </c>
      <c r="I48" s="17" t="n">
        <v>2049</v>
      </c>
      <c r="J48" s="17"/>
      <c r="K48" s="17" t="n">
        <v>1949</v>
      </c>
      <c r="L48" s="17" t="n">
        <f aca="false">IF(AND(IFERROR(SEARCH("현대오일뱅크",$C48),0)&gt;0,IFERROR(SEARCH("직영",$C48),0)&gt;0),$B$13,0)</f>
        <v>0</v>
      </c>
      <c r="M48" s="17" t="n">
        <f aca="false">IF($H48="","",$H48+$L48)</f>
        <v>1899</v>
      </c>
      <c r="N48" s="17" t="n">
        <f aca="false">IF($I48="","",$I48+$L48)</f>
        <v>2049</v>
      </c>
      <c r="O48" s="17" t="n">
        <f aca="false">IF($K48="","",$K48+$L48)</f>
        <v>1949</v>
      </c>
      <c r="P48" s="17" t="str">
        <f aca="false">IF($B$10=0,"",IFERROR(IF($B$4&gt;0,"휘발유 "&amp;TEXT(IF($M48="",1/0,$M48*$B$4),"#,##0")&amp;"원","")&amp;IF($B$5&gt;0,IF($B$4&gt;0," / ","")&amp;"고급유 "&amp;TEXT(IF($N48="",1/0,$N48*$B$5),"#,##0")&amp;"원","")&amp;IF($B$6&gt;0,IF(OR($B$4&gt;0,$B$5&gt;0)," / ","")&amp;"경유 "&amp;TEXT(IF($O48="",1/0,$O48*$B$6),"#,##0")&amp;"원",""),""))</f>
        <v>휘발유 26,586원 / 고급유 22,949원</v>
      </c>
      <c r="Q48" s="17" t="n">
        <f aca="false">IF($B$10=0,"",IFERROR(IF($B$4&gt;0,IF($M48="",1/0,$M48*$B$4),0)+IF($B$5&gt;0,IF($N48="",1/0,$N48*$B$5),0)+IF($B$6&gt;0,IF($O48="",1/0,$O48*$B$6),0),""))</f>
        <v>49534.8</v>
      </c>
      <c r="R48" s="17" t="s">
        <v>47</v>
      </c>
      <c r="S48" s="18" t="n">
        <f aca="false">IF($Q48="","",IF($R48="Y",IFERROR(VLOOKUP($B48,$C$4:$D$13,2,FALSE()),0),0))</f>
        <v>0.1</v>
      </c>
      <c r="T48" s="17" t="n">
        <f aca="false">IF($Q48="","",ROUNDDOWN($Q48*$S48,0))</f>
        <v>4953</v>
      </c>
      <c r="U48" s="17" t="n">
        <f aca="false">IF($Q48="","",$Q48-$T48)</f>
        <v>44581.8</v>
      </c>
      <c r="V48" s="17" t="n">
        <f aca="false">IF($U48="","",IF($B$10=0,"",$U48/$B$10))</f>
        <v>1769.11904761905</v>
      </c>
      <c r="W48" s="17" t="n">
        <f aca="false">IF($Q48="","",IF($B$10=0,"",$Q48/$B$10))</f>
        <v>1965.66666666667</v>
      </c>
      <c r="X48" s="19" t="n">
        <f aca="false">IF($U48="",1000000000000000,$U48)</f>
        <v>44581.8</v>
      </c>
      <c r="XFC48" s="6"/>
    </row>
    <row r="49" s="5" customFormat="true" ht="28.5" hidden="false" customHeight="true" outlineLevel="0" collapsed="false">
      <c r="A49" s="16" t="n">
        <f aca="false">IF($U49="","",1+COUNTIF($X$15:$X$728,"&lt;"&amp;X49))</f>
        <v>35</v>
      </c>
      <c r="B49" s="16" t="s">
        <v>6</v>
      </c>
      <c r="C49" s="16" t="s">
        <v>154</v>
      </c>
      <c r="D49" s="16" t="s">
        <v>58</v>
      </c>
      <c r="E49" s="16" t="s">
        <v>59</v>
      </c>
      <c r="F49" s="16" t="s">
        <v>155</v>
      </c>
      <c r="G49" s="16" t="s">
        <v>156</v>
      </c>
      <c r="H49" s="17" t="n">
        <v>1925</v>
      </c>
      <c r="I49" s="17" t="n">
        <v>2020</v>
      </c>
      <c r="J49" s="17"/>
      <c r="K49" s="17" t="n">
        <v>1945</v>
      </c>
      <c r="L49" s="17" t="n">
        <f aca="false">IF(AND(IFERROR(SEARCH("현대오일뱅크",$C49),0)&gt;0,IFERROR(SEARCH("직영",$C49),0)&gt;0),$B$13,0)</f>
        <v>0</v>
      </c>
      <c r="M49" s="17" t="n">
        <f aca="false">IF($H49="","",$H49+$L49)</f>
        <v>1925</v>
      </c>
      <c r="N49" s="17" t="n">
        <f aca="false">IF($I49="","",$I49+$L49)</f>
        <v>2020</v>
      </c>
      <c r="O49" s="17" t="n">
        <f aca="false">IF($K49="","",$K49+$L49)</f>
        <v>1945</v>
      </c>
      <c r="P49" s="17" t="str">
        <f aca="false">IF($B$10=0,"",IFERROR(IF($B$4&gt;0,"휘발유 "&amp;TEXT(IF($M49="",1/0,$M49*$B$4),"#,##0")&amp;"원","")&amp;IF($B$5&gt;0,IF($B$4&gt;0," / ","")&amp;"고급유 "&amp;TEXT(IF($N49="",1/0,$N49*$B$5),"#,##0")&amp;"원","")&amp;IF($B$6&gt;0,IF(OR($B$4&gt;0,$B$5&gt;0)," / ","")&amp;"경유 "&amp;TEXT(IF($O49="",1/0,$O49*$B$6),"#,##0")&amp;"원",""),""))</f>
        <v>휘발유 26,950원 / 고급유 22,624원</v>
      </c>
      <c r="Q49" s="17" t="n">
        <f aca="false">IF($B$10=0,"",IFERROR(IF($B$4&gt;0,IF($M49="",1/0,$M49*$B$4),0)+IF($B$5&gt;0,IF($N49="",1/0,$N49*$B$5),0)+IF($B$6&gt;0,IF($O49="",1/0,$O49*$B$6),0),""))</f>
        <v>49574</v>
      </c>
      <c r="R49" s="17" t="s">
        <v>47</v>
      </c>
      <c r="S49" s="18" t="n">
        <f aca="false">IF($Q49="","",IF($R49="Y",IFERROR(VLOOKUP($B49,$C$4:$D$13,2,FALSE()),0),0))</f>
        <v>0.1</v>
      </c>
      <c r="T49" s="17" t="n">
        <f aca="false">IF($Q49="","",ROUNDDOWN($Q49*$S49,0))</f>
        <v>4957</v>
      </c>
      <c r="U49" s="17" t="n">
        <f aca="false">IF($Q49="","",$Q49-$T49)</f>
        <v>44617</v>
      </c>
      <c r="V49" s="17" t="n">
        <f aca="false">IF($U49="","",IF($B$10=0,"",$U49/$B$10))</f>
        <v>1770.51587301587</v>
      </c>
      <c r="W49" s="17" t="n">
        <f aca="false">IF($Q49="","",IF($B$10=0,"",$Q49/$B$10))</f>
        <v>1967.22222222222</v>
      </c>
      <c r="X49" s="19" t="n">
        <f aca="false">IF($U49="",1000000000000000,$U49)</f>
        <v>44617</v>
      </c>
      <c r="XFC49" s="6"/>
    </row>
    <row r="50" s="5" customFormat="true" ht="28.5" hidden="false" customHeight="true" outlineLevel="0" collapsed="false">
      <c r="A50" s="16" t="n">
        <f aca="false">IF($U50="","",1+COUNTIF($X$15:$X$728,"&lt;"&amp;X50))</f>
        <v>35</v>
      </c>
      <c r="B50" s="16" t="s">
        <v>6</v>
      </c>
      <c r="C50" s="16" t="s">
        <v>157</v>
      </c>
      <c r="D50" s="16" t="s">
        <v>58</v>
      </c>
      <c r="E50" s="16" t="s">
        <v>47</v>
      </c>
      <c r="F50" s="16" t="s">
        <v>158</v>
      </c>
      <c r="G50" s="16" t="s">
        <v>159</v>
      </c>
      <c r="H50" s="17" t="n">
        <v>1945</v>
      </c>
      <c r="I50" s="17" t="n">
        <v>1995</v>
      </c>
      <c r="J50" s="17"/>
      <c r="K50" s="17" t="n">
        <v>1985</v>
      </c>
      <c r="L50" s="17" t="n">
        <f aca="false">IF(AND(IFERROR(SEARCH("현대오일뱅크",$C50),0)&gt;0,IFERROR(SEARCH("직영",$C50),0)&gt;0),$B$13,0)</f>
        <v>0</v>
      </c>
      <c r="M50" s="17" t="n">
        <f aca="false">IF($H50="","",$H50+$L50)</f>
        <v>1945</v>
      </c>
      <c r="N50" s="17" t="n">
        <f aca="false">IF($I50="","",$I50+$L50)</f>
        <v>1995</v>
      </c>
      <c r="O50" s="17" t="n">
        <f aca="false">IF($K50="","",$K50+$L50)</f>
        <v>1985</v>
      </c>
      <c r="P50" s="17" t="str">
        <f aca="false">IF($B$10=0,"",IFERROR(IF($B$4&gt;0,"휘발유 "&amp;TEXT(IF($M50="",1/0,$M50*$B$4),"#,##0")&amp;"원","")&amp;IF($B$5&gt;0,IF($B$4&gt;0," / ","")&amp;"고급유 "&amp;TEXT(IF($N50="",1/0,$N50*$B$5),"#,##0")&amp;"원","")&amp;IF($B$6&gt;0,IF(OR($B$4&gt;0,$B$5&gt;0)," / ","")&amp;"경유 "&amp;TEXT(IF($O50="",1/0,$O50*$B$6),"#,##0")&amp;"원",""),""))</f>
        <v>휘발유 27,230원 / 고급유 22,344원</v>
      </c>
      <c r="Q50" s="17" t="n">
        <f aca="false">IF($B$10=0,"",IFERROR(IF($B$4&gt;0,IF($M50="",1/0,$M50*$B$4),0)+IF($B$5&gt;0,IF($N50="",1/0,$N50*$B$5),0)+IF($B$6&gt;0,IF($O50="",1/0,$O50*$B$6),0),""))</f>
        <v>49574</v>
      </c>
      <c r="R50" s="17" t="s">
        <v>47</v>
      </c>
      <c r="S50" s="18" t="n">
        <f aca="false">IF($Q50="","",IF($R50="Y",IFERROR(VLOOKUP($B50,$C$4:$D$13,2,FALSE()),0),0))</f>
        <v>0.1</v>
      </c>
      <c r="T50" s="17" t="n">
        <f aca="false">IF($Q50="","",ROUNDDOWN($Q50*$S50,0))</f>
        <v>4957</v>
      </c>
      <c r="U50" s="17" t="n">
        <f aca="false">IF($Q50="","",$Q50-$T50)</f>
        <v>44617</v>
      </c>
      <c r="V50" s="17" t="n">
        <f aca="false">IF($U50="","",IF($B$10=0,"",$U50/$B$10))</f>
        <v>1770.51587301587</v>
      </c>
      <c r="W50" s="17" t="n">
        <f aca="false">IF($Q50="","",IF($B$10=0,"",$Q50/$B$10))</f>
        <v>1967.22222222222</v>
      </c>
      <c r="X50" s="19" t="n">
        <f aca="false">IF($U50="",1000000000000000,$U50)</f>
        <v>44617</v>
      </c>
      <c r="XFC50" s="6"/>
    </row>
    <row r="51" s="5" customFormat="true" ht="28.5" hidden="false" customHeight="true" outlineLevel="0" collapsed="false">
      <c r="A51" s="16" t="n">
        <f aca="false">IF($U51="","",1+COUNTIF($X$15:$X$728,"&lt;"&amp;X51))</f>
        <v>37</v>
      </c>
      <c r="B51" s="16" t="s">
        <v>8</v>
      </c>
      <c r="C51" s="16" t="s">
        <v>160</v>
      </c>
      <c r="D51" s="16" t="s">
        <v>58</v>
      </c>
      <c r="E51" s="16" t="s">
        <v>47</v>
      </c>
      <c r="F51" s="16" t="s">
        <v>161</v>
      </c>
      <c r="G51" s="16" t="s">
        <v>162</v>
      </c>
      <c r="H51" s="17" t="n">
        <v>1893</v>
      </c>
      <c r="I51" s="17" t="n">
        <v>2070</v>
      </c>
      <c r="J51" s="17"/>
      <c r="K51" s="17" t="n">
        <v>1893</v>
      </c>
      <c r="L51" s="17" t="n">
        <f aca="false">IF(AND(IFERROR(SEARCH("현대오일뱅크",$C51),0)&gt;0,IFERROR(SEARCH("직영",$C51),0)&gt;0),$B$13,0)</f>
        <v>0</v>
      </c>
      <c r="M51" s="17" t="n">
        <f aca="false">IF($H51="","",$H51+$L51)</f>
        <v>1893</v>
      </c>
      <c r="N51" s="17" t="n">
        <f aca="false">IF($I51="","",$I51+$L51)</f>
        <v>2070</v>
      </c>
      <c r="O51" s="17" t="n">
        <f aca="false">IF($K51="","",$K51+$L51)</f>
        <v>1893</v>
      </c>
      <c r="P51" s="17" t="str">
        <f aca="false">IF($B$10=0,"",IFERROR(IF($B$4&gt;0,"휘발유 "&amp;TEXT(IF($M51="",1/0,$M51*$B$4),"#,##0")&amp;"원","")&amp;IF($B$5&gt;0,IF($B$4&gt;0," / ","")&amp;"고급유 "&amp;TEXT(IF($N51="",1/0,$N51*$B$5),"#,##0")&amp;"원","")&amp;IF($B$6&gt;0,IF(OR($B$4&gt;0,$B$5&gt;0)," / ","")&amp;"경유 "&amp;TEXT(IF($O51="",1/0,$O51*$B$6),"#,##0")&amp;"원",""),""))</f>
        <v>휘발유 26,502원 / 고급유 23,184원</v>
      </c>
      <c r="Q51" s="17" t="n">
        <f aca="false">IF($B$10=0,"",IFERROR(IF($B$4&gt;0,IF($M51="",1/0,$M51*$B$4),0)+IF($B$5&gt;0,IF($N51="",1/0,$N51*$B$5),0)+IF($B$6&gt;0,IF($O51="",1/0,$O51*$B$6),0),""))</f>
        <v>49686</v>
      </c>
      <c r="R51" s="17" t="s">
        <v>47</v>
      </c>
      <c r="S51" s="18" t="n">
        <f aca="false">IF($Q51="","",IF($R51="Y",IFERROR(VLOOKUP($B51,$C$4:$D$13,2,FALSE()),0),0))</f>
        <v>0.1</v>
      </c>
      <c r="T51" s="17" t="n">
        <f aca="false">IF($Q51="","",ROUNDDOWN($Q51*$S51,0))</f>
        <v>4968</v>
      </c>
      <c r="U51" s="17" t="n">
        <f aca="false">IF($Q51="","",$Q51-$T51)</f>
        <v>44718</v>
      </c>
      <c r="V51" s="17" t="n">
        <f aca="false">IF($U51="","",IF($B$10=0,"",$U51/$B$10))</f>
        <v>1774.52380952381</v>
      </c>
      <c r="W51" s="17" t="n">
        <f aca="false">IF($Q51="","",IF($B$10=0,"",$Q51/$B$10))</f>
        <v>1971.66666666667</v>
      </c>
      <c r="X51" s="19" t="n">
        <f aca="false">IF($U51="",1000000000000000,$U51)</f>
        <v>44718</v>
      </c>
      <c r="XFC51" s="6"/>
    </row>
    <row r="52" s="5" customFormat="true" ht="28.5" hidden="false" customHeight="true" outlineLevel="0" collapsed="false">
      <c r="A52" s="16" t="n">
        <f aca="false">IF($U52="","",1+COUNTIF($X$15:$X$728,"&lt;"&amp;X52))</f>
        <v>38</v>
      </c>
      <c r="B52" s="16" t="s">
        <v>6</v>
      </c>
      <c r="C52" s="16" t="s">
        <v>163</v>
      </c>
      <c r="D52" s="16" t="s">
        <v>58</v>
      </c>
      <c r="E52" s="16" t="s">
        <v>47</v>
      </c>
      <c r="F52" s="16" t="s">
        <v>164</v>
      </c>
      <c r="G52" s="16" t="s">
        <v>165</v>
      </c>
      <c r="H52" s="17" t="n">
        <v>1954</v>
      </c>
      <c r="I52" s="17" t="n">
        <v>1994</v>
      </c>
      <c r="J52" s="17"/>
      <c r="K52" s="17" t="n">
        <v>1994</v>
      </c>
      <c r="L52" s="17" t="n">
        <f aca="false">IF(AND(IFERROR(SEARCH("현대오일뱅크",$C52),0)&gt;0,IFERROR(SEARCH("직영",$C52),0)&gt;0),$B$13,0)</f>
        <v>0</v>
      </c>
      <c r="M52" s="17" t="n">
        <f aca="false">IF($H52="","",$H52+$L52)</f>
        <v>1954</v>
      </c>
      <c r="N52" s="17" t="n">
        <f aca="false">IF($I52="","",$I52+$L52)</f>
        <v>1994</v>
      </c>
      <c r="O52" s="17" t="n">
        <f aca="false">IF($K52="","",$K52+$L52)</f>
        <v>1994</v>
      </c>
      <c r="P52" s="17" t="str">
        <f aca="false">IF($B$10=0,"",IFERROR(IF($B$4&gt;0,"휘발유 "&amp;TEXT(IF($M52="",1/0,$M52*$B$4),"#,##0")&amp;"원","")&amp;IF($B$5&gt;0,IF($B$4&gt;0," / ","")&amp;"고급유 "&amp;TEXT(IF($N52="",1/0,$N52*$B$5),"#,##0")&amp;"원","")&amp;IF($B$6&gt;0,IF(OR($B$4&gt;0,$B$5&gt;0)," / ","")&amp;"경유 "&amp;TEXT(IF($O52="",1/0,$O52*$B$6),"#,##0")&amp;"원",""),""))</f>
        <v>휘발유 27,356원 / 고급유 22,333원</v>
      </c>
      <c r="Q52" s="17" t="n">
        <f aca="false">IF($B$10=0,"",IFERROR(IF($B$4&gt;0,IF($M52="",1/0,$M52*$B$4),0)+IF($B$5&gt;0,IF($N52="",1/0,$N52*$B$5),0)+IF($B$6&gt;0,IF($O52="",1/0,$O52*$B$6),0),""))</f>
        <v>49688.8</v>
      </c>
      <c r="R52" s="17" t="s">
        <v>47</v>
      </c>
      <c r="S52" s="18" t="n">
        <f aca="false">IF($Q52="","",IF($R52="Y",IFERROR(VLOOKUP($B52,$C$4:$D$13,2,FALSE()),0),0))</f>
        <v>0.1</v>
      </c>
      <c r="T52" s="17" t="n">
        <f aca="false">IF($Q52="","",ROUNDDOWN($Q52*$S52,0))</f>
        <v>4968</v>
      </c>
      <c r="U52" s="17" t="n">
        <f aca="false">IF($Q52="","",$Q52-$T52)</f>
        <v>44720.8</v>
      </c>
      <c r="V52" s="17" t="n">
        <f aca="false">IF($U52="","",IF($B$10=0,"",$U52/$B$10))</f>
        <v>1774.63492063492</v>
      </c>
      <c r="W52" s="17" t="n">
        <f aca="false">IF($Q52="","",IF($B$10=0,"",$Q52/$B$10))</f>
        <v>1971.77777777778</v>
      </c>
      <c r="X52" s="19" t="n">
        <f aca="false">IF($U52="",1000000000000000,$U52)</f>
        <v>44720.8</v>
      </c>
      <c r="XFC52" s="6"/>
    </row>
    <row r="53" s="5" customFormat="true" ht="28.5" hidden="false" customHeight="true" outlineLevel="0" collapsed="false">
      <c r="A53" s="16" t="n">
        <f aca="false">IF($U53="","",1+COUNTIF($X$15:$X$728,"&lt;"&amp;X53))</f>
        <v>39</v>
      </c>
      <c r="B53" s="16" t="s">
        <v>6</v>
      </c>
      <c r="C53" s="16" t="s">
        <v>166</v>
      </c>
      <c r="D53" s="16" t="s">
        <v>112</v>
      </c>
      <c r="E53" s="16" t="s">
        <v>47</v>
      </c>
      <c r="F53" s="16" t="s">
        <v>167</v>
      </c>
      <c r="G53" s="16" t="s">
        <v>168</v>
      </c>
      <c r="H53" s="17" t="n">
        <v>1927</v>
      </c>
      <c r="I53" s="17" t="n">
        <v>2037</v>
      </c>
      <c r="J53" s="17"/>
      <c r="K53" s="17" t="n">
        <v>1957</v>
      </c>
      <c r="L53" s="17" t="n">
        <f aca="false">IF(AND(IFERROR(SEARCH("현대오일뱅크",$C53),0)&gt;0,IFERROR(SEARCH("직영",$C53),0)&gt;0),$B$13,0)</f>
        <v>0</v>
      </c>
      <c r="M53" s="17" t="n">
        <f aca="false">IF($H53="","",$H53+$L53)</f>
        <v>1927</v>
      </c>
      <c r="N53" s="17" t="n">
        <f aca="false">IF($I53="","",$I53+$L53)</f>
        <v>2037</v>
      </c>
      <c r="O53" s="17" t="n">
        <f aca="false">IF($K53="","",$K53+$L53)</f>
        <v>1957</v>
      </c>
      <c r="P53" s="17" t="str">
        <f aca="false">IF($B$10=0,"",IFERROR(IF($B$4&gt;0,"휘발유 "&amp;TEXT(IF($M53="",1/0,$M53*$B$4),"#,##0")&amp;"원","")&amp;IF($B$5&gt;0,IF($B$4&gt;0," / ","")&amp;"고급유 "&amp;TEXT(IF($N53="",1/0,$N53*$B$5),"#,##0")&amp;"원","")&amp;IF($B$6&gt;0,IF(OR($B$4&gt;0,$B$5&gt;0)," / ","")&amp;"경유 "&amp;TEXT(IF($O53="",1/0,$O53*$B$6),"#,##0")&amp;"원",""),""))</f>
        <v>휘발유 26,978원 / 고급유 22,814원</v>
      </c>
      <c r="Q53" s="17" t="n">
        <f aca="false">IF($B$10=0,"",IFERROR(IF($B$4&gt;0,IF($M53="",1/0,$M53*$B$4),0)+IF($B$5&gt;0,IF($N53="",1/0,$N53*$B$5),0)+IF($B$6&gt;0,IF($O53="",1/0,$O53*$B$6),0),""))</f>
        <v>49792.4</v>
      </c>
      <c r="R53" s="17" t="s">
        <v>47</v>
      </c>
      <c r="S53" s="18" t="n">
        <f aca="false">IF($Q53="","",IF($R53="Y",IFERROR(VLOOKUP($B53,$C$4:$D$13,2,FALSE()),0),0))</f>
        <v>0.1</v>
      </c>
      <c r="T53" s="17" t="n">
        <f aca="false">IF($Q53="","",ROUNDDOWN($Q53*$S53,0))</f>
        <v>4979</v>
      </c>
      <c r="U53" s="17" t="n">
        <f aca="false">IF($Q53="","",$Q53-$T53)</f>
        <v>44813.4</v>
      </c>
      <c r="V53" s="17" t="n">
        <f aca="false">IF($U53="","",IF($B$10=0,"",$U53/$B$10))</f>
        <v>1778.30952380952</v>
      </c>
      <c r="W53" s="17" t="n">
        <f aca="false">IF($Q53="","",IF($B$10=0,"",$Q53/$B$10))</f>
        <v>1975.88888888889</v>
      </c>
      <c r="X53" s="19" t="n">
        <f aca="false">IF($U53="",1000000000000000,$U53)</f>
        <v>44813.4</v>
      </c>
      <c r="XFC53" s="6"/>
    </row>
    <row r="54" s="5" customFormat="true" ht="28.5" hidden="false" customHeight="true" outlineLevel="0" collapsed="false">
      <c r="A54" s="16" t="n">
        <f aca="false">IF($U54="","",1+COUNTIF($X$15:$X$728,"&lt;"&amp;X54))</f>
        <v>40</v>
      </c>
      <c r="B54" s="16" t="s">
        <v>6</v>
      </c>
      <c r="C54" s="16" t="s">
        <v>169</v>
      </c>
      <c r="D54" s="20" t="s">
        <v>108</v>
      </c>
      <c r="E54" s="16" t="s">
        <v>47</v>
      </c>
      <c r="F54" s="16" t="s">
        <v>170</v>
      </c>
      <c r="G54" s="16" t="s">
        <v>171</v>
      </c>
      <c r="H54" s="17" t="n">
        <v>1948</v>
      </c>
      <c r="I54" s="17" t="n">
        <v>2015</v>
      </c>
      <c r="J54" s="17"/>
      <c r="K54" s="17" t="n">
        <v>1999</v>
      </c>
      <c r="L54" s="17" t="n">
        <f aca="false">IF(AND(IFERROR(SEARCH("현대오일뱅크",$C54),0)&gt;0,IFERROR(SEARCH("직영",$C54),0)&gt;0),$B$13,0)</f>
        <v>0</v>
      </c>
      <c r="M54" s="17" t="n">
        <f aca="false">IF($H54="","",$H54+$L54)</f>
        <v>1948</v>
      </c>
      <c r="N54" s="17" t="n">
        <f aca="false">IF($I54="","",$I54+$L54)</f>
        <v>2015</v>
      </c>
      <c r="O54" s="17" t="n">
        <f aca="false">IF($K54="","",$K54+$L54)</f>
        <v>1999</v>
      </c>
      <c r="P54" s="17" t="str">
        <f aca="false">IF($B$10=0,"",IFERROR(IF($B$4&gt;0,"휘발유 "&amp;TEXT(IF($M54="",1/0,$M54*$B$4),"#,##0")&amp;"원","")&amp;IF($B$5&gt;0,IF($B$4&gt;0," / ","")&amp;"고급유 "&amp;TEXT(IF($N54="",1/0,$N54*$B$5),"#,##0")&amp;"원","")&amp;IF($B$6&gt;0,IF(OR($B$4&gt;0,$B$5&gt;0)," / ","")&amp;"경유 "&amp;TEXT(IF($O54="",1/0,$O54*$B$6),"#,##0")&amp;"원",""),""))</f>
        <v>휘발유 27,272원 / 고급유 22,568원</v>
      </c>
      <c r="Q54" s="17" t="n">
        <f aca="false">IF($B$10=0,"",IFERROR(IF($B$4&gt;0,IF($M54="",1/0,$M54*$B$4),0)+IF($B$5&gt;0,IF($N54="",1/0,$N54*$B$5),0)+IF($B$6&gt;0,IF($O54="",1/0,$O54*$B$6),0),""))</f>
        <v>49840</v>
      </c>
      <c r="R54" s="17" t="s">
        <v>47</v>
      </c>
      <c r="S54" s="18" t="n">
        <f aca="false">IF($Q54="","",IF($R54="Y",IFERROR(VLOOKUP($B54,$C$4:$D$13,2,FALSE()),0),0))</f>
        <v>0.1</v>
      </c>
      <c r="T54" s="17" t="n">
        <f aca="false">IF($Q54="","",ROUNDDOWN($Q54*$S54,0))</f>
        <v>4984</v>
      </c>
      <c r="U54" s="17" t="n">
        <f aca="false">IF($Q54="","",$Q54-$T54)</f>
        <v>44856</v>
      </c>
      <c r="V54" s="17" t="n">
        <f aca="false">IF($U54="","",IF($B$10=0,"",$U54/$B$10))</f>
        <v>1780</v>
      </c>
      <c r="W54" s="17" t="n">
        <f aca="false">IF($Q54="","",IF($B$10=0,"",$Q54/$B$10))</f>
        <v>1977.77777777778</v>
      </c>
      <c r="X54" s="19" t="n">
        <f aca="false">IF($U54="",1000000000000000,$U54)</f>
        <v>44856</v>
      </c>
      <c r="XFC54" s="6"/>
    </row>
    <row r="55" s="5" customFormat="true" ht="28.5" hidden="false" customHeight="true" outlineLevel="0" collapsed="false">
      <c r="A55" s="16" t="n">
        <f aca="false">IF($U55="","",1+COUNTIF($X$15:$X$728,"&lt;"&amp;X55))</f>
        <v>41</v>
      </c>
      <c r="B55" s="16" t="s">
        <v>6</v>
      </c>
      <c r="C55" s="16" t="s">
        <v>172</v>
      </c>
      <c r="D55" s="16" t="s">
        <v>58</v>
      </c>
      <c r="E55" s="16" t="s">
        <v>47</v>
      </c>
      <c r="F55" s="16" t="s">
        <v>173</v>
      </c>
      <c r="G55" s="16" t="s">
        <v>174</v>
      </c>
      <c r="H55" s="17" t="n">
        <v>1945</v>
      </c>
      <c r="I55" s="17" t="n">
        <v>2019</v>
      </c>
      <c r="J55" s="17"/>
      <c r="K55" s="17" t="n">
        <v>1985</v>
      </c>
      <c r="L55" s="17" t="n">
        <f aca="false">IF(AND(IFERROR(SEARCH("현대오일뱅크",$C55),0)&gt;0,IFERROR(SEARCH("직영",$C55),0)&gt;0),$B$13,0)</f>
        <v>0</v>
      </c>
      <c r="M55" s="17" t="n">
        <f aca="false">IF($H55="","",$H55+$L55)</f>
        <v>1945</v>
      </c>
      <c r="N55" s="17" t="n">
        <f aca="false">IF($I55="","",$I55+$L55)</f>
        <v>2019</v>
      </c>
      <c r="O55" s="17" t="n">
        <f aca="false">IF($K55="","",$K55+$L55)</f>
        <v>1985</v>
      </c>
      <c r="P55" s="17" t="str">
        <f aca="false">IF($B$10=0,"",IFERROR(IF($B$4&gt;0,"휘발유 "&amp;TEXT(IF($M55="",1/0,$M55*$B$4),"#,##0")&amp;"원","")&amp;IF($B$5&gt;0,IF($B$4&gt;0," / ","")&amp;"고급유 "&amp;TEXT(IF($N55="",1/0,$N55*$B$5),"#,##0")&amp;"원","")&amp;IF($B$6&gt;0,IF(OR($B$4&gt;0,$B$5&gt;0)," / ","")&amp;"경유 "&amp;TEXT(IF($O55="",1/0,$O55*$B$6),"#,##0")&amp;"원",""),""))</f>
        <v>휘발유 27,230원 / 고급유 22,613원</v>
      </c>
      <c r="Q55" s="17" t="n">
        <f aca="false">IF($B$10=0,"",IFERROR(IF($B$4&gt;0,IF($M55="",1/0,$M55*$B$4),0)+IF($B$5&gt;0,IF($N55="",1/0,$N55*$B$5),0)+IF($B$6&gt;0,IF($O55="",1/0,$O55*$B$6),0),""))</f>
        <v>49842.8</v>
      </c>
      <c r="R55" s="17" t="s">
        <v>47</v>
      </c>
      <c r="S55" s="18" t="n">
        <f aca="false">IF($Q55="","",IF($R55="Y",IFERROR(VLOOKUP($B55,$C$4:$D$13,2,FALSE()),0),0))</f>
        <v>0.1</v>
      </c>
      <c r="T55" s="17" t="n">
        <f aca="false">IF($Q55="","",ROUNDDOWN($Q55*$S55,0))</f>
        <v>4984</v>
      </c>
      <c r="U55" s="17" t="n">
        <f aca="false">IF($Q55="","",$Q55-$T55)</f>
        <v>44858.8</v>
      </c>
      <c r="V55" s="17" t="n">
        <f aca="false">IF($U55="","",IF($B$10=0,"",$U55/$B$10))</f>
        <v>1780.11111111111</v>
      </c>
      <c r="W55" s="17" t="n">
        <f aca="false">IF($Q55="","",IF($B$10=0,"",$Q55/$B$10))</f>
        <v>1977.88888888889</v>
      </c>
      <c r="X55" s="19" t="n">
        <f aca="false">IF($U55="",1000000000000000,$U55)</f>
        <v>44858.8</v>
      </c>
      <c r="XFC55" s="6"/>
    </row>
    <row r="56" s="5" customFormat="true" ht="28.5" hidden="false" customHeight="true" outlineLevel="0" collapsed="false">
      <c r="A56" s="16" t="n">
        <f aca="false">IF($U56="","",1+COUNTIF($X$15:$X$728,"&lt;"&amp;X56))</f>
        <v>42</v>
      </c>
      <c r="B56" s="16" t="s">
        <v>10</v>
      </c>
      <c r="C56" s="16" t="s">
        <v>175</v>
      </c>
      <c r="D56" s="16" t="s">
        <v>51</v>
      </c>
      <c r="E56" s="16" t="s">
        <v>47</v>
      </c>
      <c r="F56" s="16" t="s">
        <v>176</v>
      </c>
      <c r="G56" s="16" t="s">
        <v>177</v>
      </c>
      <c r="H56" s="17" t="n">
        <v>1899</v>
      </c>
      <c r="I56" s="17" t="n">
        <v>2079</v>
      </c>
      <c r="J56" s="17"/>
      <c r="K56" s="17" t="n">
        <v>1899</v>
      </c>
      <c r="L56" s="17" t="n">
        <f aca="false">IF(AND(IFERROR(SEARCH("현대오일뱅크",$C56),0)&gt;0,IFERROR(SEARCH("직영",$C56),0)&gt;0),$B$13,0)</f>
        <v>0</v>
      </c>
      <c r="M56" s="17" t="n">
        <f aca="false">IF($H56="","",$H56+$L56)</f>
        <v>1899</v>
      </c>
      <c r="N56" s="17" t="n">
        <f aca="false">IF($I56="","",$I56+$L56)</f>
        <v>2079</v>
      </c>
      <c r="O56" s="17" t="n">
        <f aca="false">IF($K56="","",$K56+$L56)</f>
        <v>1899</v>
      </c>
      <c r="P56" s="17" t="str">
        <f aca="false">IF($B$10=0,"",IFERROR(IF($B$4&gt;0,"휘발유 "&amp;TEXT(IF($M56="",1/0,$M56*$B$4),"#,##0")&amp;"원","")&amp;IF($B$5&gt;0,IF($B$4&gt;0," / ","")&amp;"고급유 "&amp;TEXT(IF($N56="",1/0,$N56*$B$5),"#,##0")&amp;"원","")&amp;IF($B$6&gt;0,IF(OR($B$4&gt;0,$B$5&gt;0)," / ","")&amp;"경유 "&amp;TEXT(IF($O56="",1/0,$O56*$B$6),"#,##0")&amp;"원",""),""))</f>
        <v>휘발유 26,586원 / 고급유 23,285원</v>
      </c>
      <c r="Q56" s="17" t="n">
        <f aca="false">IF($B$10=0,"",IFERROR(IF($B$4&gt;0,IF($M56="",1/0,$M56*$B$4),0)+IF($B$5&gt;0,IF($N56="",1/0,$N56*$B$5),0)+IF($B$6&gt;0,IF($O56="",1/0,$O56*$B$6),0),""))</f>
        <v>49870.8</v>
      </c>
      <c r="R56" s="17" t="s">
        <v>47</v>
      </c>
      <c r="S56" s="18" t="n">
        <f aca="false">IF($Q56="","",IF($R56="Y",IFERROR(VLOOKUP($B56,$C$4:$D$13,2,FALSE()),0),0))</f>
        <v>0.1</v>
      </c>
      <c r="T56" s="17" t="n">
        <f aca="false">IF($Q56="","",ROUNDDOWN($Q56*$S56,0))</f>
        <v>4987</v>
      </c>
      <c r="U56" s="17" t="n">
        <f aca="false">IF($Q56="","",$Q56-$T56)</f>
        <v>44883.8</v>
      </c>
      <c r="V56" s="17" t="n">
        <f aca="false">IF($U56="","",IF($B$10=0,"",$U56/$B$10))</f>
        <v>1781.10317460317</v>
      </c>
      <c r="W56" s="17" t="n">
        <f aca="false">IF($Q56="","",IF($B$10=0,"",$Q56/$B$10))</f>
        <v>1979</v>
      </c>
      <c r="X56" s="19" t="n">
        <f aca="false">IF($U56="",1000000000000000,$U56)</f>
        <v>44883.8</v>
      </c>
      <c r="XFC56" s="6"/>
    </row>
    <row r="57" s="5" customFormat="true" ht="28.5" hidden="false" customHeight="true" outlineLevel="0" collapsed="false">
      <c r="A57" s="16" t="n">
        <f aca="false">IF($U57="","",1+COUNTIF($X$15:$X$728,"&lt;"&amp;X57))</f>
        <v>43</v>
      </c>
      <c r="B57" s="16" t="s">
        <v>6</v>
      </c>
      <c r="C57" s="16" t="s">
        <v>178</v>
      </c>
      <c r="D57" s="16" t="s">
        <v>58</v>
      </c>
      <c r="E57" s="16" t="s">
        <v>47</v>
      </c>
      <c r="F57" s="16" t="s">
        <v>179</v>
      </c>
      <c r="G57" s="16" t="s">
        <v>180</v>
      </c>
      <c r="H57" s="17" t="n">
        <v>1893</v>
      </c>
      <c r="I57" s="17" t="n">
        <v>2092</v>
      </c>
      <c r="J57" s="17"/>
      <c r="K57" s="17" t="n">
        <v>1894</v>
      </c>
      <c r="L57" s="17" t="n">
        <f aca="false">IF(AND(IFERROR(SEARCH("현대오일뱅크",$C57),0)&gt;0,IFERROR(SEARCH("직영",$C57),0)&gt;0),$B$13,0)</f>
        <v>0</v>
      </c>
      <c r="M57" s="17" t="n">
        <f aca="false">IF($H57="","",$H57+$L57)</f>
        <v>1893</v>
      </c>
      <c r="N57" s="17" t="n">
        <f aca="false">IF($I57="","",$I57+$L57)</f>
        <v>2092</v>
      </c>
      <c r="O57" s="17" t="n">
        <f aca="false">IF($K57="","",$K57+$L57)</f>
        <v>1894</v>
      </c>
      <c r="P57" s="17" t="str">
        <f aca="false">IF($B$10=0,"",IFERROR(IF($B$4&gt;0,"휘발유 "&amp;TEXT(IF($M57="",1/0,$M57*$B$4),"#,##0")&amp;"원","")&amp;IF($B$5&gt;0,IF($B$4&gt;0," / ","")&amp;"고급유 "&amp;TEXT(IF($N57="",1/0,$N57*$B$5),"#,##0")&amp;"원","")&amp;IF($B$6&gt;0,IF(OR($B$4&gt;0,$B$5&gt;0)," / ","")&amp;"경유 "&amp;TEXT(IF($O57="",1/0,$O57*$B$6),"#,##0")&amp;"원",""),""))</f>
        <v>휘발유 26,502원 / 고급유 23,430원</v>
      </c>
      <c r="Q57" s="17" t="n">
        <f aca="false">IF($B$10=0,"",IFERROR(IF($B$4&gt;0,IF($M57="",1/0,$M57*$B$4),0)+IF($B$5&gt;0,IF($N57="",1/0,$N57*$B$5),0)+IF($B$6&gt;0,IF($O57="",1/0,$O57*$B$6),0),""))</f>
        <v>49932.4</v>
      </c>
      <c r="R57" s="17" t="s">
        <v>47</v>
      </c>
      <c r="S57" s="18" t="n">
        <f aca="false">IF($Q57="","",IF($R57="Y",IFERROR(VLOOKUP($B57,$C$4:$D$13,2,FALSE()),0),0))</f>
        <v>0.1</v>
      </c>
      <c r="T57" s="17" t="n">
        <f aca="false">IF($Q57="","",ROUNDDOWN($Q57*$S57,0))</f>
        <v>4993</v>
      </c>
      <c r="U57" s="17" t="n">
        <f aca="false">IF($Q57="","",$Q57-$T57)</f>
        <v>44939.4</v>
      </c>
      <c r="V57" s="17" t="n">
        <f aca="false">IF($U57="","",IF($B$10=0,"",$U57/$B$10))</f>
        <v>1783.30952380952</v>
      </c>
      <c r="W57" s="17" t="n">
        <f aca="false">IF($Q57="","",IF($B$10=0,"",$Q57/$B$10))</f>
        <v>1981.44444444444</v>
      </c>
      <c r="X57" s="19" t="n">
        <f aca="false">IF($U57="",1000000000000000,$U57)</f>
        <v>44939.4</v>
      </c>
      <c r="XFC57" s="6"/>
    </row>
    <row r="58" s="5" customFormat="true" ht="28.5" hidden="false" customHeight="true" outlineLevel="0" collapsed="false">
      <c r="A58" s="16" t="n">
        <f aca="false">IF($U58="","",1+COUNTIF($X$15:$X$728,"&lt;"&amp;X58))</f>
        <v>44</v>
      </c>
      <c r="B58" s="16" t="s">
        <v>14</v>
      </c>
      <c r="C58" s="16" t="s">
        <v>181</v>
      </c>
      <c r="D58" s="16" t="s">
        <v>58</v>
      </c>
      <c r="E58" s="16" t="s">
        <v>47</v>
      </c>
      <c r="F58" s="16" t="s">
        <v>182</v>
      </c>
      <c r="G58" s="16" t="s">
        <v>183</v>
      </c>
      <c r="H58" s="17" t="n">
        <v>1939</v>
      </c>
      <c r="I58" s="17" t="n">
        <v>2085</v>
      </c>
      <c r="J58" s="17"/>
      <c r="K58" s="17" t="n">
        <v>1999</v>
      </c>
      <c r="L58" s="17" t="n">
        <f aca="false">IF(AND(IFERROR(SEARCH("현대오일뱅크",$C58),0)&gt;0,IFERROR(SEARCH("직영",$C58),0)&gt;0),$B$13,0)</f>
        <v>0</v>
      </c>
      <c r="M58" s="17" t="n">
        <f aca="false">IF($H58="","",$H58+$L58)</f>
        <v>1939</v>
      </c>
      <c r="N58" s="17" t="n">
        <f aca="false">IF($I58="","",$I58+$L58)</f>
        <v>2085</v>
      </c>
      <c r="O58" s="17" t="n">
        <f aca="false">IF($K58="","",$K58+$L58)</f>
        <v>1999</v>
      </c>
      <c r="P58" s="17" t="str">
        <f aca="false">IF($B$10=0,"",IFERROR(IF($B$4&gt;0,"휘발유 "&amp;TEXT(IF($M58="",1/0,$M58*$B$4),"#,##0")&amp;"원","")&amp;IF($B$5&gt;0,IF($B$4&gt;0," / ","")&amp;"고급유 "&amp;TEXT(IF($N58="",1/0,$N58*$B$5),"#,##0")&amp;"원","")&amp;IF($B$6&gt;0,IF(OR($B$4&gt;0,$B$5&gt;0)," / ","")&amp;"경유 "&amp;TEXT(IF($O58="",1/0,$O58*$B$6),"#,##0")&amp;"원",""),""))</f>
        <v>휘발유 27,146원 / 고급유 23,352원</v>
      </c>
      <c r="Q58" s="17" t="n">
        <f aca="false">IF($B$10=0,"",IFERROR(IF($B$4&gt;0,IF($M58="",1/0,$M58*$B$4),0)+IF($B$5&gt;0,IF($N58="",1/0,$N58*$B$5),0)+IF($B$6&gt;0,IF($O58="",1/0,$O58*$B$6),0),""))</f>
        <v>50498</v>
      </c>
      <c r="R58" s="17" t="s">
        <v>47</v>
      </c>
      <c r="S58" s="18" t="n">
        <f aca="false">IF($Q58="","",IF($R58="Y",IFERROR(VLOOKUP($B58,$C$4:$D$13,2,FALSE()),0),0))</f>
        <v>0.11</v>
      </c>
      <c r="T58" s="17" t="n">
        <f aca="false">IF($Q58="","",ROUNDDOWN($Q58*$S58,0))</f>
        <v>5554</v>
      </c>
      <c r="U58" s="17" t="n">
        <f aca="false">IF($Q58="","",$Q58-$T58)</f>
        <v>44944</v>
      </c>
      <c r="V58" s="17" t="n">
        <f aca="false">IF($U58="","",IF($B$10=0,"",$U58/$B$10))</f>
        <v>1783.49206349206</v>
      </c>
      <c r="W58" s="17" t="n">
        <f aca="false">IF($Q58="","",IF($B$10=0,"",$Q58/$B$10))</f>
        <v>2003.88888888889</v>
      </c>
      <c r="X58" s="19" t="n">
        <f aca="false">IF($U58="",1000000000000000,$U58)</f>
        <v>44944</v>
      </c>
      <c r="XFC58" s="6"/>
    </row>
    <row r="59" s="5" customFormat="true" ht="28.5" hidden="false" customHeight="true" outlineLevel="0" collapsed="false">
      <c r="A59" s="16" t="n">
        <f aca="false">IF($U59="","",1+COUNTIF($X$15:$X$728,"&lt;"&amp;X59))</f>
        <v>45</v>
      </c>
      <c r="B59" s="16" t="s">
        <v>10</v>
      </c>
      <c r="C59" s="16" t="s">
        <v>184</v>
      </c>
      <c r="D59" s="16" t="s">
        <v>51</v>
      </c>
      <c r="E59" s="16" t="s">
        <v>47</v>
      </c>
      <c r="F59" s="16" t="s">
        <v>185</v>
      </c>
      <c r="G59" s="16" t="s">
        <v>186</v>
      </c>
      <c r="H59" s="17" t="n">
        <v>1898</v>
      </c>
      <c r="I59" s="17" t="n">
        <v>2098</v>
      </c>
      <c r="J59" s="17"/>
      <c r="K59" s="17" t="n">
        <v>1958</v>
      </c>
      <c r="L59" s="17" t="n">
        <f aca="false">IF(AND(IFERROR(SEARCH("현대오일뱅크",$C59),0)&gt;0,IFERROR(SEARCH("직영",$C59),0)&gt;0),$B$13,0)</f>
        <v>0</v>
      </c>
      <c r="M59" s="17" t="n">
        <f aca="false">IF($H59="","",$H59+$L59)</f>
        <v>1898</v>
      </c>
      <c r="N59" s="17" t="n">
        <f aca="false">IF($I59="","",$I59+$L59)</f>
        <v>2098</v>
      </c>
      <c r="O59" s="17" t="n">
        <f aca="false">IF($K59="","",$K59+$L59)</f>
        <v>1958</v>
      </c>
      <c r="P59" s="17" t="str">
        <f aca="false">IF($B$10=0,"",IFERROR(IF($B$4&gt;0,"휘발유 "&amp;TEXT(IF($M59="",1/0,$M59*$B$4),"#,##0")&amp;"원","")&amp;IF($B$5&gt;0,IF($B$4&gt;0," / ","")&amp;"고급유 "&amp;TEXT(IF($N59="",1/0,$N59*$B$5),"#,##0")&amp;"원","")&amp;IF($B$6&gt;0,IF(OR($B$4&gt;0,$B$5&gt;0)," / ","")&amp;"경유 "&amp;TEXT(IF($O59="",1/0,$O59*$B$6),"#,##0")&amp;"원",""),""))</f>
        <v>휘발유 26,572원 / 고급유 23,498원</v>
      </c>
      <c r="Q59" s="17" t="n">
        <f aca="false">IF($B$10=0,"",IFERROR(IF($B$4&gt;0,IF($M59="",1/0,$M59*$B$4),0)+IF($B$5&gt;0,IF($N59="",1/0,$N59*$B$5),0)+IF($B$6&gt;0,IF($O59="",1/0,$O59*$B$6),0),""))</f>
        <v>50069.6</v>
      </c>
      <c r="R59" s="17" t="s">
        <v>47</v>
      </c>
      <c r="S59" s="18" t="n">
        <f aca="false">IF($Q59="","",IF($R59="Y",IFERROR(VLOOKUP($B59,$C$4:$D$13,2,FALSE()),0),0))</f>
        <v>0.1</v>
      </c>
      <c r="T59" s="17" t="n">
        <f aca="false">IF($Q59="","",ROUNDDOWN($Q59*$S59,0))</f>
        <v>5006</v>
      </c>
      <c r="U59" s="17" t="n">
        <f aca="false">IF($Q59="","",$Q59-$T59)</f>
        <v>45063.6</v>
      </c>
      <c r="V59" s="17" t="n">
        <f aca="false">IF($U59="","",IF($B$10=0,"",$U59/$B$10))</f>
        <v>1788.2380952381</v>
      </c>
      <c r="W59" s="17" t="n">
        <f aca="false">IF($Q59="","",IF($B$10=0,"",$Q59/$B$10))</f>
        <v>1986.88888888889</v>
      </c>
      <c r="X59" s="19" t="n">
        <f aca="false">IF($U59="",1000000000000000,$U59)</f>
        <v>45063.6</v>
      </c>
      <c r="XFC59" s="6"/>
    </row>
    <row r="60" s="5" customFormat="true" ht="28.5" hidden="false" customHeight="true" outlineLevel="0" collapsed="false">
      <c r="A60" s="16" t="n">
        <f aca="false">IF($U60="","",1+COUNTIF($X$15:$X$728,"&lt;"&amp;X60))</f>
        <v>46</v>
      </c>
      <c r="B60" s="16" t="s">
        <v>6</v>
      </c>
      <c r="C60" s="16" t="s">
        <v>187</v>
      </c>
      <c r="D60" s="16" t="s">
        <v>58</v>
      </c>
      <c r="E60" s="16" t="s">
        <v>47</v>
      </c>
      <c r="F60" s="16" t="s">
        <v>188</v>
      </c>
      <c r="G60" s="16" t="s">
        <v>189</v>
      </c>
      <c r="H60" s="17" t="n">
        <v>1939</v>
      </c>
      <c r="I60" s="17" t="n">
        <v>2048</v>
      </c>
      <c r="J60" s="17"/>
      <c r="K60" s="17" t="n">
        <v>1989</v>
      </c>
      <c r="L60" s="17" t="n">
        <f aca="false">IF(AND(IFERROR(SEARCH("현대오일뱅크",$C60),0)&gt;0,IFERROR(SEARCH("직영",$C60),0)&gt;0),$B$13,0)</f>
        <v>0</v>
      </c>
      <c r="M60" s="17" t="n">
        <f aca="false">IF($H60="","",$H60+$L60)</f>
        <v>1939</v>
      </c>
      <c r="N60" s="17" t="n">
        <f aca="false">IF($I60="","",$I60+$L60)</f>
        <v>2048</v>
      </c>
      <c r="O60" s="17" t="n">
        <f aca="false">IF($K60="","",$K60+$L60)</f>
        <v>1989</v>
      </c>
      <c r="P60" s="17" t="str">
        <f aca="false">IF($B$10=0,"",IFERROR(IF($B$4&gt;0,"휘발유 "&amp;TEXT(IF($M60="",1/0,$M60*$B$4),"#,##0")&amp;"원","")&amp;IF($B$5&gt;0,IF($B$4&gt;0," / ","")&amp;"고급유 "&amp;TEXT(IF($N60="",1/0,$N60*$B$5),"#,##0")&amp;"원","")&amp;IF($B$6&gt;0,IF(OR($B$4&gt;0,$B$5&gt;0)," / ","")&amp;"경유 "&amp;TEXT(IF($O60="",1/0,$O60*$B$6),"#,##0")&amp;"원",""),""))</f>
        <v>휘발유 27,146원 / 고급유 22,938원</v>
      </c>
      <c r="Q60" s="17" t="n">
        <f aca="false">IF($B$10=0,"",IFERROR(IF($B$4&gt;0,IF($M60="",1/0,$M60*$B$4),0)+IF($B$5&gt;0,IF($N60="",1/0,$N60*$B$5),0)+IF($B$6&gt;0,IF($O60="",1/0,$O60*$B$6),0),""))</f>
        <v>50083.6</v>
      </c>
      <c r="R60" s="17" t="s">
        <v>47</v>
      </c>
      <c r="S60" s="18" t="n">
        <f aca="false">IF($Q60="","",IF($R60="Y",IFERROR(VLOOKUP($B60,$C$4:$D$13,2,FALSE()),0),0))</f>
        <v>0.1</v>
      </c>
      <c r="T60" s="17" t="n">
        <f aca="false">IF($Q60="","",ROUNDDOWN($Q60*$S60,0))</f>
        <v>5008</v>
      </c>
      <c r="U60" s="17" t="n">
        <f aca="false">IF($Q60="","",$Q60-$T60)</f>
        <v>45075.6</v>
      </c>
      <c r="V60" s="17" t="n">
        <f aca="false">IF($U60="","",IF($B$10=0,"",$U60/$B$10))</f>
        <v>1788.71428571429</v>
      </c>
      <c r="W60" s="17" t="n">
        <f aca="false">IF($Q60="","",IF($B$10=0,"",$Q60/$B$10))</f>
        <v>1987.44444444444</v>
      </c>
      <c r="X60" s="19" t="n">
        <f aca="false">IF($U60="",1000000000000000,$U60)</f>
        <v>45075.6</v>
      </c>
      <c r="XFC60" s="6"/>
    </row>
    <row r="61" s="5" customFormat="true" ht="28.5" hidden="false" customHeight="true" outlineLevel="0" collapsed="false">
      <c r="A61" s="16" t="n">
        <f aca="false">IF($U61="","",1+COUNTIF($X$15:$X$728,"&lt;"&amp;X61))</f>
        <v>47</v>
      </c>
      <c r="B61" s="16" t="s">
        <v>6</v>
      </c>
      <c r="C61" s="16" t="s">
        <v>190</v>
      </c>
      <c r="D61" s="20" t="s">
        <v>108</v>
      </c>
      <c r="E61" s="16" t="s">
        <v>47</v>
      </c>
      <c r="F61" s="16" t="s">
        <v>191</v>
      </c>
      <c r="G61" s="16" t="s">
        <v>192</v>
      </c>
      <c r="H61" s="17" t="n">
        <v>1939</v>
      </c>
      <c r="I61" s="17" t="n">
        <v>2049</v>
      </c>
      <c r="J61" s="17"/>
      <c r="K61" s="17" t="n">
        <v>1989</v>
      </c>
      <c r="L61" s="17" t="n">
        <f aca="false">IF(AND(IFERROR(SEARCH("현대오일뱅크",$C61),0)&gt;0,IFERROR(SEARCH("직영",$C61),0)&gt;0),$B$13,0)</f>
        <v>0</v>
      </c>
      <c r="M61" s="17" t="n">
        <f aca="false">IF($H61="","",$H61+$L61)</f>
        <v>1939</v>
      </c>
      <c r="N61" s="17" t="n">
        <f aca="false">IF($I61="","",$I61+$L61)</f>
        <v>2049</v>
      </c>
      <c r="O61" s="17" t="n">
        <f aca="false">IF($K61="","",$K61+$L61)</f>
        <v>1989</v>
      </c>
      <c r="P61" s="17" t="str">
        <f aca="false">IF($B$10=0,"",IFERROR(IF($B$4&gt;0,"휘발유 "&amp;TEXT(IF($M61="",1/0,$M61*$B$4),"#,##0")&amp;"원","")&amp;IF($B$5&gt;0,IF($B$4&gt;0," / ","")&amp;"고급유 "&amp;TEXT(IF($N61="",1/0,$N61*$B$5),"#,##0")&amp;"원","")&amp;IF($B$6&gt;0,IF(OR($B$4&gt;0,$B$5&gt;0)," / ","")&amp;"경유 "&amp;TEXT(IF($O61="",1/0,$O61*$B$6),"#,##0")&amp;"원",""),""))</f>
        <v>휘발유 27,146원 / 고급유 22,949원</v>
      </c>
      <c r="Q61" s="17" t="n">
        <f aca="false">IF($B$10=0,"",IFERROR(IF($B$4&gt;0,IF($M61="",1/0,$M61*$B$4),0)+IF($B$5&gt;0,IF($N61="",1/0,$N61*$B$5),0)+IF($B$6&gt;0,IF($O61="",1/0,$O61*$B$6),0),""))</f>
        <v>50094.8</v>
      </c>
      <c r="R61" s="17" t="s">
        <v>47</v>
      </c>
      <c r="S61" s="18" t="n">
        <f aca="false">IF($Q61="","",IF($R61="Y",IFERROR(VLOOKUP($B61,$C$4:$D$13,2,FALSE()),0),0))</f>
        <v>0.1</v>
      </c>
      <c r="T61" s="17" t="n">
        <f aca="false">IF($Q61="","",ROUNDDOWN($Q61*$S61,0))</f>
        <v>5009</v>
      </c>
      <c r="U61" s="17" t="n">
        <f aca="false">IF($Q61="","",$Q61-$T61)</f>
        <v>45085.8</v>
      </c>
      <c r="V61" s="17" t="n">
        <f aca="false">IF($U61="","",IF($B$10=0,"",$U61/$B$10))</f>
        <v>1789.11904761905</v>
      </c>
      <c r="W61" s="17" t="n">
        <f aca="false">IF($Q61="","",IF($B$10=0,"",$Q61/$B$10))</f>
        <v>1987.88888888889</v>
      </c>
      <c r="X61" s="19" t="n">
        <f aca="false">IF($U61="",1000000000000000,$U61)</f>
        <v>45085.8</v>
      </c>
      <c r="XFC61" s="6"/>
    </row>
    <row r="62" s="5" customFormat="true" ht="28.5" hidden="false" customHeight="true" outlineLevel="0" collapsed="false">
      <c r="A62" s="16" t="n">
        <f aca="false">IF($U62="","",1+COUNTIF($X$15:$X$728,"&lt;"&amp;X62))</f>
        <v>48</v>
      </c>
      <c r="B62" s="16" t="s">
        <v>14</v>
      </c>
      <c r="C62" s="16" t="s">
        <v>193</v>
      </c>
      <c r="D62" s="16" t="s">
        <v>51</v>
      </c>
      <c r="E62" s="16" t="s">
        <v>47</v>
      </c>
      <c r="F62" s="16" t="s">
        <v>194</v>
      </c>
      <c r="G62" s="16" t="s">
        <v>195</v>
      </c>
      <c r="H62" s="17" t="n">
        <v>1955</v>
      </c>
      <c r="I62" s="17" t="n">
        <v>2085</v>
      </c>
      <c r="J62" s="17"/>
      <c r="K62" s="17" t="n">
        <v>1985</v>
      </c>
      <c r="L62" s="17" t="n">
        <f aca="false">IF(AND(IFERROR(SEARCH("현대오일뱅크",$C62),0)&gt;0,IFERROR(SEARCH("직영",$C62),0)&gt;0),$B$13,0)</f>
        <v>0</v>
      </c>
      <c r="M62" s="17" t="n">
        <f aca="false">IF($H62="","",$H62+$L62)</f>
        <v>1955</v>
      </c>
      <c r="N62" s="17" t="n">
        <f aca="false">IF($I62="","",$I62+$L62)</f>
        <v>2085</v>
      </c>
      <c r="O62" s="17" t="n">
        <f aca="false">IF($K62="","",$K62+$L62)</f>
        <v>1985</v>
      </c>
      <c r="P62" s="17" t="str">
        <f aca="false">IF($B$10=0,"",IFERROR(IF($B$4&gt;0,"휘발유 "&amp;TEXT(IF($M62="",1/0,$M62*$B$4),"#,##0")&amp;"원","")&amp;IF($B$5&gt;0,IF($B$4&gt;0," / ","")&amp;"고급유 "&amp;TEXT(IF($N62="",1/0,$N62*$B$5),"#,##0")&amp;"원","")&amp;IF($B$6&gt;0,IF(OR($B$4&gt;0,$B$5&gt;0)," / ","")&amp;"경유 "&amp;TEXT(IF($O62="",1/0,$O62*$B$6),"#,##0")&amp;"원",""),""))</f>
        <v>휘발유 27,370원 / 고급유 23,352원</v>
      </c>
      <c r="Q62" s="17" t="n">
        <f aca="false">IF($B$10=0,"",IFERROR(IF($B$4&gt;0,IF($M62="",1/0,$M62*$B$4),0)+IF($B$5&gt;0,IF($N62="",1/0,$N62*$B$5),0)+IF($B$6&gt;0,IF($O62="",1/0,$O62*$B$6),0),""))</f>
        <v>50722</v>
      </c>
      <c r="R62" s="17" t="s">
        <v>47</v>
      </c>
      <c r="S62" s="18" t="n">
        <f aca="false">IF($Q62="","",IF($R62="Y",IFERROR(VLOOKUP($B62,$C$4:$D$13,2,FALSE()),0),0))</f>
        <v>0.11</v>
      </c>
      <c r="T62" s="17" t="n">
        <f aca="false">IF($Q62="","",ROUNDDOWN($Q62*$S62,0))</f>
        <v>5579</v>
      </c>
      <c r="U62" s="17" t="n">
        <f aca="false">IF($Q62="","",$Q62-$T62)</f>
        <v>45143</v>
      </c>
      <c r="V62" s="17" t="n">
        <f aca="false">IF($U62="","",IF($B$10=0,"",$U62/$B$10))</f>
        <v>1791.38888888889</v>
      </c>
      <c r="W62" s="17" t="n">
        <f aca="false">IF($Q62="","",IF($B$10=0,"",$Q62/$B$10))</f>
        <v>2012.77777777778</v>
      </c>
      <c r="X62" s="19" t="n">
        <f aca="false">IF($U62="",1000000000000000,$U62)</f>
        <v>45143</v>
      </c>
      <c r="XFC62" s="6"/>
    </row>
    <row r="63" s="5" customFormat="true" ht="28.5" hidden="false" customHeight="true" outlineLevel="0" collapsed="false">
      <c r="A63" s="16" t="n">
        <f aca="false">IF($U63="","",1+COUNTIF($X$15:$X$728,"&lt;"&amp;X63))</f>
        <v>49</v>
      </c>
      <c r="B63" s="16" t="s">
        <v>10</v>
      </c>
      <c r="C63" s="16" t="s">
        <v>196</v>
      </c>
      <c r="D63" s="16" t="s">
        <v>112</v>
      </c>
      <c r="E63" s="16" t="s">
        <v>47</v>
      </c>
      <c r="F63" s="16" t="s">
        <v>197</v>
      </c>
      <c r="G63" s="16" t="s">
        <v>198</v>
      </c>
      <c r="H63" s="17" t="n">
        <v>1949</v>
      </c>
      <c r="I63" s="17" t="n">
        <v>2049</v>
      </c>
      <c r="J63" s="17"/>
      <c r="K63" s="17" t="n">
        <v>1999</v>
      </c>
      <c r="L63" s="17" t="n">
        <f aca="false">IF(AND(IFERROR(SEARCH("현대오일뱅크",$C63),0)&gt;0,IFERROR(SEARCH("직영",$C63),0)&gt;0),$B$13,0)</f>
        <v>0</v>
      </c>
      <c r="M63" s="17" t="n">
        <f aca="false">IF($H63="","",$H63+$L63)</f>
        <v>1949</v>
      </c>
      <c r="N63" s="17" t="n">
        <f aca="false">IF($I63="","",$I63+$L63)</f>
        <v>2049</v>
      </c>
      <c r="O63" s="17" t="n">
        <f aca="false">IF($K63="","",$K63+$L63)</f>
        <v>1999</v>
      </c>
      <c r="P63" s="17" t="str">
        <f aca="false">IF($B$10=0,"",IFERROR(IF($B$4&gt;0,"휘발유 "&amp;TEXT(IF($M63="",1/0,$M63*$B$4),"#,##0")&amp;"원","")&amp;IF($B$5&gt;0,IF($B$4&gt;0," / ","")&amp;"고급유 "&amp;TEXT(IF($N63="",1/0,$N63*$B$5),"#,##0")&amp;"원","")&amp;IF($B$6&gt;0,IF(OR($B$4&gt;0,$B$5&gt;0)," / ","")&amp;"경유 "&amp;TEXT(IF($O63="",1/0,$O63*$B$6),"#,##0")&amp;"원",""),""))</f>
        <v>휘발유 27,286원 / 고급유 22,949원</v>
      </c>
      <c r="Q63" s="17" t="n">
        <f aca="false">IF($B$10=0,"",IFERROR(IF($B$4&gt;0,IF($M63="",1/0,$M63*$B$4),0)+IF($B$5&gt;0,IF($N63="",1/0,$N63*$B$5),0)+IF($B$6&gt;0,IF($O63="",1/0,$O63*$B$6),0),""))</f>
        <v>50234.8</v>
      </c>
      <c r="R63" s="17" t="s">
        <v>47</v>
      </c>
      <c r="S63" s="18" t="n">
        <f aca="false">IF($Q63="","",IF($R63="Y",IFERROR(VLOOKUP($B63,$C$4:$D$13,2,FALSE()),0),0))</f>
        <v>0.1</v>
      </c>
      <c r="T63" s="17" t="n">
        <f aca="false">IF($Q63="","",ROUNDDOWN($Q63*$S63,0))</f>
        <v>5023</v>
      </c>
      <c r="U63" s="17" t="n">
        <f aca="false">IF($Q63="","",$Q63-$T63)</f>
        <v>45211.8</v>
      </c>
      <c r="V63" s="17" t="n">
        <f aca="false">IF($U63="","",IF($B$10=0,"",$U63/$B$10))</f>
        <v>1794.11904761905</v>
      </c>
      <c r="W63" s="17" t="n">
        <f aca="false">IF($Q63="","",IF($B$10=0,"",$Q63/$B$10))</f>
        <v>1993.44444444444</v>
      </c>
      <c r="X63" s="19" t="n">
        <f aca="false">IF($U63="",1000000000000000,$U63)</f>
        <v>45211.8</v>
      </c>
      <c r="XFC63" s="6"/>
    </row>
    <row r="64" s="5" customFormat="true" ht="28.5" hidden="false" customHeight="true" outlineLevel="0" collapsed="false">
      <c r="A64" s="16" t="n">
        <f aca="false">IF($U64="","",1+COUNTIF($X$15:$X$728,"&lt;"&amp;X64))</f>
        <v>50</v>
      </c>
      <c r="B64" s="16" t="s">
        <v>8</v>
      </c>
      <c r="C64" s="16" t="s">
        <v>199</v>
      </c>
      <c r="D64" s="20" t="s">
        <v>108</v>
      </c>
      <c r="E64" s="16" t="s">
        <v>47</v>
      </c>
      <c r="F64" s="16" t="s">
        <v>200</v>
      </c>
      <c r="G64" s="16" t="s">
        <v>201</v>
      </c>
      <c r="H64" s="17" t="n">
        <v>1912</v>
      </c>
      <c r="I64" s="17" t="n">
        <v>2099</v>
      </c>
      <c r="J64" s="17"/>
      <c r="K64" s="17" t="n">
        <v>1932</v>
      </c>
      <c r="L64" s="17" t="n">
        <f aca="false">IF(AND(IFERROR(SEARCH("현대오일뱅크",$C64),0)&gt;0,IFERROR(SEARCH("직영",$C64),0)&gt;0),$B$13,0)</f>
        <v>0</v>
      </c>
      <c r="M64" s="17" t="n">
        <f aca="false">IF($H64="","",$H64+$L64)</f>
        <v>1912</v>
      </c>
      <c r="N64" s="17" t="n">
        <f aca="false">IF($I64="","",$I64+$L64)</f>
        <v>2099</v>
      </c>
      <c r="O64" s="17" t="n">
        <f aca="false">IF($K64="","",$K64+$L64)</f>
        <v>1932</v>
      </c>
      <c r="P64" s="17" t="str">
        <f aca="false">IF($B$10=0,"",IFERROR(IF($B$4&gt;0,"휘발유 "&amp;TEXT(IF($M64="",1/0,$M64*$B$4),"#,##0")&amp;"원","")&amp;IF($B$5&gt;0,IF($B$4&gt;0," / ","")&amp;"고급유 "&amp;TEXT(IF($N64="",1/0,$N64*$B$5),"#,##0")&amp;"원","")&amp;IF($B$6&gt;0,IF(OR($B$4&gt;0,$B$5&gt;0)," / ","")&amp;"경유 "&amp;TEXT(IF($O64="",1/0,$O64*$B$6),"#,##0")&amp;"원",""),""))</f>
        <v>휘발유 26,768원 / 고급유 23,509원</v>
      </c>
      <c r="Q64" s="17" t="n">
        <f aca="false">IF($B$10=0,"",IFERROR(IF($B$4&gt;0,IF($M64="",1/0,$M64*$B$4),0)+IF($B$5&gt;0,IF($N64="",1/0,$N64*$B$5),0)+IF($B$6&gt;0,IF($O64="",1/0,$O64*$B$6),0),""))</f>
        <v>50276.8</v>
      </c>
      <c r="R64" s="17" t="s">
        <v>47</v>
      </c>
      <c r="S64" s="18" t="n">
        <f aca="false">IF($Q64="","",IF($R64="Y",IFERROR(VLOOKUP($B64,$C$4:$D$13,2,FALSE()),0),0))</f>
        <v>0.1</v>
      </c>
      <c r="T64" s="17" t="n">
        <f aca="false">IF($Q64="","",ROUNDDOWN($Q64*$S64,0))</f>
        <v>5027</v>
      </c>
      <c r="U64" s="17" t="n">
        <f aca="false">IF($Q64="","",$Q64-$T64)</f>
        <v>45249.8</v>
      </c>
      <c r="V64" s="17" t="n">
        <f aca="false">IF($U64="","",IF($B$10=0,"",$U64/$B$10))</f>
        <v>1795.62698412698</v>
      </c>
      <c r="W64" s="17" t="n">
        <f aca="false">IF($Q64="","",IF($B$10=0,"",$Q64/$B$10))</f>
        <v>1995.11111111111</v>
      </c>
      <c r="X64" s="19" t="n">
        <f aca="false">IF($U64="",1000000000000000,$U64)</f>
        <v>45249.8</v>
      </c>
      <c r="XFC64" s="6"/>
    </row>
    <row r="65" s="5" customFormat="true" ht="28.5" hidden="false" customHeight="true" outlineLevel="0" collapsed="false">
      <c r="A65" s="16" t="n">
        <f aca="false">IF($U65="","",1+COUNTIF($X$15:$X$728,"&lt;"&amp;X65))</f>
        <v>51</v>
      </c>
      <c r="B65" s="16" t="s">
        <v>8</v>
      </c>
      <c r="C65" s="16" t="s">
        <v>202</v>
      </c>
      <c r="D65" s="16" t="s">
        <v>58</v>
      </c>
      <c r="E65" s="16" t="s">
        <v>47</v>
      </c>
      <c r="F65" s="16" t="s">
        <v>203</v>
      </c>
      <c r="G65" s="16" t="s">
        <v>204</v>
      </c>
      <c r="H65" s="17" t="n">
        <v>1942</v>
      </c>
      <c r="I65" s="17" t="n">
        <v>2070</v>
      </c>
      <c r="J65" s="17"/>
      <c r="K65" s="17" t="n">
        <v>1965</v>
      </c>
      <c r="L65" s="17" t="n">
        <f aca="false">IF(AND(IFERROR(SEARCH("현대오일뱅크",$C65),0)&gt;0,IFERROR(SEARCH("직영",$C65),0)&gt;0),$B$13,0)</f>
        <v>0</v>
      </c>
      <c r="M65" s="17" t="n">
        <f aca="false">IF($H65="","",$H65+$L65)</f>
        <v>1942</v>
      </c>
      <c r="N65" s="17" t="n">
        <f aca="false">IF($I65="","",$I65+$L65)</f>
        <v>2070</v>
      </c>
      <c r="O65" s="17" t="n">
        <f aca="false">IF($K65="","",$K65+$L65)</f>
        <v>1965</v>
      </c>
      <c r="P65" s="17" t="str">
        <f aca="false">IF($B$10=0,"",IFERROR(IF($B$4&gt;0,"휘발유 "&amp;TEXT(IF($M65="",1/0,$M65*$B$4),"#,##0")&amp;"원","")&amp;IF($B$5&gt;0,IF($B$4&gt;0," / ","")&amp;"고급유 "&amp;TEXT(IF($N65="",1/0,$N65*$B$5),"#,##0")&amp;"원","")&amp;IF($B$6&gt;0,IF(OR($B$4&gt;0,$B$5&gt;0)," / ","")&amp;"경유 "&amp;TEXT(IF($O65="",1/0,$O65*$B$6),"#,##0")&amp;"원",""),""))</f>
        <v>휘발유 27,188원 / 고급유 23,184원</v>
      </c>
      <c r="Q65" s="17" t="n">
        <f aca="false">IF($B$10=0,"",IFERROR(IF($B$4&gt;0,IF($M65="",1/0,$M65*$B$4),0)+IF($B$5&gt;0,IF($N65="",1/0,$N65*$B$5),0)+IF($B$6&gt;0,IF($O65="",1/0,$O65*$B$6),0),""))</f>
        <v>50372</v>
      </c>
      <c r="R65" s="17" t="s">
        <v>47</v>
      </c>
      <c r="S65" s="18" t="n">
        <f aca="false">IF($Q65="","",IF($R65="Y",IFERROR(VLOOKUP($B65,$C$4:$D$13,2,FALSE()),0),0))</f>
        <v>0.1</v>
      </c>
      <c r="T65" s="17" t="n">
        <f aca="false">IF($Q65="","",ROUNDDOWN($Q65*$S65,0))</f>
        <v>5037</v>
      </c>
      <c r="U65" s="17" t="n">
        <f aca="false">IF($Q65="","",$Q65-$T65)</f>
        <v>45335</v>
      </c>
      <c r="V65" s="17" t="n">
        <f aca="false">IF($U65="","",IF($B$10=0,"",$U65/$B$10))</f>
        <v>1799.00793650794</v>
      </c>
      <c r="W65" s="17" t="n">
        <f aca="false">IF($Q65="","",IF($B$10=0,"",$Q65/$B$10))</f>
        <v>1998.88888888889</v>
      </c>
      <c r="X65" s="19" t="n">
        <f aca="false">IF($U65="",1000000000000000,$U65)</f>
        <v>45335</v>
      </c>
      <c r="XFC65" s="6"/>
    </row>
    <row r="66" s="5" customFormat="true" ht="28.5" hidden="false" customHeight="true" outlineLevel="0" collapsed="false">
      <c r="A66" s="16" t="n">
        <f aca="false">IF($U66="","",1+COUNTIF($X$15:$X$728,"&lt;"&amp;X66))</f>
        <v>52</v>
      </c>
      <c r="B66" s="16" t="s">
        <v>6</v>
      </c>
      <c r="C66" s="16" t="s">
        <v>205</v>
      </c>
      <c r="D66" s="16" t="s">
        <v>58</v>
      </c>
      <c r="E66" s="16" t="s">
        <v>47</v>
      </c>
      <c r="F66" s="16" t="s">
        <v>206</v>
      </c>
      <c r="G66" s="16" t="s">
        <v>207</v>
      </c>
      <c r="H66" s="17" t="n">
        <v>1925</v>
      </c>
      <c r="I66" s="17" t="n">
        <v>2099</v>
      </c>
      <c r="J66" s="17"/>
      <c r="K66" s="17" t="n">
        <v>1945</v>
      </c>
      <c r="L66" s="17" t="n">
        <f aca="false">IF(AND(IFERROR(SEARCH("현대오일뱅크",$C66),0)&gt;0,IFERROR(SEARCH("직영",$C66),0)&gt;0),$B$13,0)</f>
        <v>0</v>
      </c>
      <c r="M66" s="17" t="n">
        <f aca="false">IF($H66="","",$H66+$L66)</f>
        <v>1925</v>
      </c>
      <c r="N66" s="17" t="n">
        <f aca="false">IF($I66="","",$I66+$L66)</f>
        <v>2099</v>
      </c>
      <c r="O66" s="17" t="n">
        <f aca="false">IF($K66="","",$K66+$L66)</f>
        <v>1945</v>
      </c>
      <c r="P66" s="17" t="str">
        <f aca="false">IF($B$10=0,"",IFERROR(IF($B$4&gt;0,"휘발유 "&amp;TEXT(IF($M66="",1/0,$M66*$B$4),"#,##0")&amp;"원","")&amp;IF($B$5&gt;0,IF($B$4&gt;0," / ","")&amp;"고급유 "&amp;TEXT(IF($N66="",1/0,$N66*$B$5),"#,##0")&amp;"원","")&amp;IF($B$6&gt;0,IF(OR($B$4&gt;0,$B$5&gt;0)," / ","")&amp;"경유 "&amp;TEXT(IF($O66="",1/0,$O66*$B$6),"#,##0")&amp;"원",""),""))</f>
        <v>휘발유 26,950원 / 고급유 23,509원</v>
      </c>
      <c r="Q66" s="17" t="n">
        <f aca="false">IF($B$10=0,"",IFERROR(IF($B$4&gt;0,IF($M66="",1/0,$M66*$B$4),0)+IF($B$5&gt;0,IF($N66="",1/0,$N66*$B$5),0)+IF($B$6&gt;0,IF($O66="",1/0,$O66*$B$6),0),""))</f>
        <v>50458.8</v>
      </c>
      <c r="R66" s="17" t="s">
        <v>47</v>
      </c>
      <c r="S66" s="18" t="n">
        <f aca="false">IF($Q66="","",IF($R66="Y",IFERROR(VLOOKUP($B66,$C$4:$D$13,2,FALSE()),0),0))</f>
        <v>0.1</v>
      </c>
      <c r="T66" s="17" t="n">
        <f aca="false">IF($Q66="","",ROUNDDOWN($Q66*$S66,0))</f>
        <v>5045</v>
      </c>
      <c r="U66" s="17" t="n">
        <f aca="false">IF($Q66="","",$Q66-$T66)</f>
        <v>45413.8</v>
      </c>
      <c r="V66" s="17" t="n">
        <f aca="false">IF($U66="","",IF($B$10=0,"",$U66/$B$10))</f>
        <v>1802.13492063492</v>
      </c>
      <c r="W66" s="17" t="n">
        <f aca="false">IF($Q66="","",IF($B$10=0,"",$Q66/$B$10))</f>
        <v>2002.33333333333</v>
      </c>
      <c r="X66" s="19" t="n">
        <f aca="false">IF($U66="",1000000000000000,$U66)</f>
        <v>45413.8</v>
      </c>
      <c r="XFC66" s="6"/>
    </row>
    <row r="67" s="5" customFormat="true" ht="28.5" hidden="false" customHeight="true" outlineLevel="0" collapsed="false">
      <c r="A67" s="16" t="n">
        <f aca="false">IF($U67="","",1+COUNTIF($X$15:$X$728,"&lt;"&amp;X67))</f>
        <v>53</v>
      </c>
      <c r="B67" s="16" t="s">
        <v>6</v>
      </c>
      <c r="C67" s="16" t="s">
        <v>208</v>
      </c>
      <c r="D67" s="20" t="s">
        <v>108</v>
      </c>
      <c r="E67" s="16" t="s">
        <v>47</v>
      </c>
      <c r="F67" s="16" t="s">
        <v>209</v>
      </c>
      <c r="G67" s="16" t="s">
        <v>210</v>
      </c>
      <c r="H67" s="17" t="n">
        <v>1933</v>
      </c>
      <c r="I67" s="17" t="n">
        <v>2099</v>
      </c>
      <c r="J67" s="17"/>
      <c r="K67" s="17" t="n">
        <v>1943</v>
      </c>
      <c r="L67" s="17" t="n">
        <f aca="false">IF(AND(IFERROR(SEARCH("현대오일뱅크",$C67),0)&gt;0,IFERROR(SEARCH("직영",$C67),0)&gt;0),$B$13,0)</f>
        <v>0</v>
      </c>
      <c r="M67" s="17" t="n">
        <f aca="false">IF($H67="","",$H67+$L67)</f>
        <v>1933</v>
      </c>
      <c r="N67" s="17" t="n">
        <f aca="false">IF($I67="","",$I67+$L67)</f>
        <v>2099</v>
      </c>
      <c r="O67" s="17" t="n">
        <f aca="false">IF($K67="","",$K67+$L67)</f>
        <v>1943</v>
      </c>
      <c r="P67" s="17" t="str">
        <f aca="false">IF($B$10=0,"",IFERROR(IF($B$4&gt;0,"휘발유 "&amp;TEXT(IF($M67="",1/0,$M67*$B$4),"#,##0")&amp;"원","")&amp;IF($B$5&gt;0,IF($B$4&gt;0," / ","")&amp;"고급유 "&amp;TEXT(IF($N67="",1/0,$N67*$B$5),"#,##0")&amp;"원","")&amp;IF($B$6&gt;0,IF(OR($B$4&gt;0,$B$5&gt;0)," / ","")&amp;"경유 "&amp;TEXT(IF($O67="",1/0,$O67*$B$6),"#,##0")&amp;"원",""),""))</f>
        <v>휘발유 27,062원 / 고급유 23,509원</v>
      </c>
      <c r="Q67" s="17" t="n">
        <f aca="false">IF($B$10=0,"",IFERROR(IF($B$4&gt;0,IF($M67="",1/0,$M67*$B$4),0)+IF($B$5&gt;0,IF($N67="",1/0,$N67*$B$5),0)+IF($B$6&gt;0,IF($O67="",1/0,$O67*$B$6),0),""))</f>
        <v>50570.8</v>
      </c>
      <c r="R67" s="17" t="s">
        <v>47</v>
      </c>
      <c r="S67" s="18" t="n">
        <f aca="false">IF($Q67="","",IF($R67="Y",IFERROR(VLOOKUP($B67,$C$4:$D$13,2,FALSE()),0),0))</f>
        <v>0.1</v>
      </c>
      <c r="T67" s="17" t="n">
        <f aca="false">IF($Q67="","",ROUNDDOWN($Q67*$S67,0))</f>
        <v>5057</v>
      </c>
      <c r="U67" s="17" t="n">
        <f aca="false">IF($Q67="","",$Q67-$T67)</f>
        <v>45513.8</v>
      </c>
      <c r="V67" s="17" t="n">
        <f aca="false">IF($U67="","",IF($B$10=0,"",$U67/$B$10))</f>
        <v>1806.10317460317</v>
      </c>
      <c r="W67" s="17" t="n">
        <f aca="false">IF($Q67="","",IF($B$10=0,"",$Q67/$B$10))</f>
        <v>2006.77777777778</v>
      </c>
      <c r="X67" s="19" t="n">
        <f aca="false">IF($U67="",1000000000000000,$U67)</f>
        <v>45513.8</v>
      </c>
      <c r="XFC67" s="6"/>
    </row>
    <row r="68" s="5" customFormat="true" ht="28.5" hidden="false" customHeight="true" outlineLevel="0" collapsed="false">
      <c r="A68" s="16" t="n">
        <f aca="false">IF($U68="","",1+COUNTIF($X$15:$X$728,"&lt;"&amp;X68))</f>
        <v>54</v>
      </c>
      <c r="B68" s="16" t="s">
        <v>8</v>
      </c>
      <c r="C68" s="16" t="s">
        <v>211</v>
      </c>
      <c r="D68" s="20" t="s">
        <v>108</v>
      </c>
      <c r="E68" s="16" t="s">
        <v>47</v>
      </c>
      <c r="F68" s="16" t="s">
        <v>212</v>
      </c>
      <c r="G68" s="16" t="s">
        <v>213</v>
      </c>
      <c r="H68" s="17" t="n">
        <v>1920</v>
      </c>
      <c r="I68" s="17" t="n">
        <v>2120</v>
      </c>
      <c r="J68" s="17"/>
      <c r="K68" s="17" t="n">
        <v>1890</v>
      </c>
      <c r="L68" s="17" t="n">
        <f aca="false">IF(AND(IFERROR(SEARCH("현대오일뱅크",$C68),0)&gt;0,IFERROR(SEARCH("직영",$C68),0)&gt;0),$B$13,0)</f>
        <v>0</v>
      </c>
      <c r="M68" s="17" t="n">
        <f aca="false">IF($H68="","",$H68+$L68)</f>
        <v>1920</v>
      </c>
      <c r="N68" s="17" t="n">
        <f aca="false">IF($I68="","",$I68+$L68)</f>
        <v>2120</v>
      </c>
      <c r="O68" s="17" t="n">
        <f aca="false">IF($K68="","",$K68+$L68)</f>
        <v>1890</v>
      </c>
      <c r="P68" s="17" t="str">
        <f aca="false">IF($B$10=0,"",IFERROR(IF($B$4&gt;0,"휘발유 "&amp;TEXT(IF($M68="",1/0,$M68*$B$4),"#,##0")&amp;"원","")&amp;IF($B$5&gt;0,IF($B$4&gt;0," / ","")&amp;"고급유 "&amp;TEXT(IF($N68="",1/0,$N68*$B$5),"#,##0")&amp;"원","")&amp;IF($B$6&gt;0,IF(OR($B$4&gt;0,$B$5&gt;0)," / ","")&amp;"경유 "&amp;TEXT(IF($O68="",1/0,$O68*$B$6),"#,##0")&amp;"원",""),""))</f>
        <v>휘발유 26,880원 / 고급유 23,744원</v>
      </c>
      <c r="Q68" s="17" t="n">
        <f aca="false">IF($B$10=0,"",IFERROR(IF($B$4&gt;0,IF($M68="",1/0,$M68*$B$4),0)+IF($B$5&gt;0,IF($N68="",1/0,$N68*$B$5),0)+IF($B$6&gt;0,IF($O68="",1/0,$O68*$B$6),0),""))</f>
        <v>50624</v>
      </c>
      <c r="R68" s="17" t="s">
        <v>47</v>
      </c>
      <c r="S68" s="18" t="n">
        <f aca="false">IF($Q68="","",IF($R68="Y",IFERROR(VLOOKUP($B68,$C$4:$D$13,2,FALSE()),0),0))</f>
        <v>0.1</v>
      </c>
      <c r="T68" s="17" t="n">
        <f aca="false">IF($Q68="","",ROUNDDOWN($Q68*$S68,0))</f>
        <v>5062</v>
      </c>
      <c r="U68" s="17" t="n">
        <f aca="false">IF($Q68="","",$Q68-$T68)</f>
        <v>45562</v>
      </c>
      <c r="V68" s="17" t="n">
        <f aca="false">IF($U68="","",IF($B$10=0,"",$U68/$B$10))</f>
        <v>1808.01587301587</v>
      </c>
      <c r="W68" s="17" t="n">
        <f aca="false">IF($Q68="","",IF($B$10=0,"",$Q68/$B$10))</f>
        <v>2008.88888888889</v>
      </c>
      <c r="X68" s="19" t="n">
        <f aca="false">IF($U68="",1000000000000000,$U68)</f>
        <v>45562</v>
      </c>
      <c r="XFC68" s="6"/>
    </row>
    <row r="69" s="5" customFormat="true" ht="28.5" hidden="false" customHeight="true" outlineLevel="0" collapsed="false">
      <c r="A69" s="16" t="n">
        <f aca="false">IF($U69="","",1+COUNTIF($X$15:$X$728,"&lt;"&amp;X69))</f>
        <v>55</v>
      </c>
      <c r="B69" s="16" t="s">
        <v>6</v>
      </c>
      <c r="C69" s="16" t="s">
        <v>214</v>
      </c>
      <c r="D69" s="20" t="s">
        <v>108</v>
      </c>
      <c r="E69" s="16" t="s">
        <v>47</v>
      </c>
      <c r="F69" s="16" t="s">
        <v>215</v>
      </c>
      <c r="G69" s="16" t="s">
        <v>216</v>
      </c>
      <c r="H69" s="17" t="n">
        <v>1939</v>
      </c>
      <c r="I69" s="17" t="n">
        <v>2099</v>
      </c>
      <c r="J69" s="17"/>
      <c r="K69" s="17" t="n">
        <v>1939</v>
      </c>
      <c r="L69" s="17" t="n">
        <f aca="false">IF(AND(IFERROR(SEARCH("현대오일뱅크",$C69),0)&gt;0,IFERROR(SEARCH("직영",$C69),0)&gt;0),$B$13,0)</f>
        <v>0</v>
      </c>
      <c r="M69" s="17" t="n">
        <f aca="false">IF($H69="","",$H69+$L69)</f>
        <v>1939</v>
      </c>
      <c r="N69" s="17" t="n">
        <f aca="false">IF($I69="","",$I69+$L69)</f>
        <v>2099</v>
      </c>
      <c r="O69" s="17" t="n">
        <f aca="false">IF($K69="","",$K69+$L69)</f>
        <v>1939</v>
      </c>
      <c r="P69" s="17" t="str">
        <f aca="false">IF($B$10=0,"",IFERROR(IF($B$4&gt;0,"휘발유 "&amp;TEXT(IF($M69="",1/0,$M69*$B$4),"#,##0")&amp;"원","")&amp;IF($B$5&gt;0,IF($B$4&gt;0," / ","")&amp;"고급유 "&amp;TEXT(IF($N69="",1/0,$N69*$B$5),"#,##0")&amp;"원","")&amp;IF($B$6&gt;0,IF(OR($B$4&gt;0,$B$5&gt;0)," / ","")&amp;"경유 "&amp;TEXT(IF($O69="",1/0,$O69*$B$6),"#,##0")&amp;"원",""),""))</f>
        <v>휘발유 27,146원 / 고급유 23,509원</v>
      </c>
      <c r="Q69" s="17" t="n">
        <f aca="false">IF($B$10=0,"",IFERROR(IF($B$4&gt;0,IF($M69="",1/0,$M69*$B$4),0)+IF($B$5&gt;0,IF($N69="",1/0,$N69*$B$5),0)+IF($B$6&gt;0,IF($O69="",1/0,$O69*$B$6),0),""))</f>
        <v>50654.8</v>
      </c>
      <c r="R69" s="17" t="s">
        <v>47</v>
      </c>
      <c r="S69" s="18" t="n">
        <f aca="false">IF($Q69="","",IF($R69="Y",IFERROR(VLOOKUP($B69,$C$4:$D$13,2,FALSE()),0),0))</f>
        <v>0.1</v>
      </c>
      <c r="T69" s="17" t="n">
        <f aca="false">IF($Q69="","",ROUNDDOWN($Q69*$S69,0))</f>
        <v>5065</v>
      </c>
      <c r="U69" s="17" t="n">
        <f aca="false">IF($Q69="","",$Q69-$T69)</f>
        <v>45589.8</v>
      </c>
      <c r="V69" s="17" t="n">
        <f aca="false">IF($U69="","",IF($B$10=0,"",$U69/$B$10))</f>
        <v>1809.11904761905</v>
      </c>
      <c r="W69" s="17" t="n">
        <f aca="false">IF($Q69="","",IF($B$10=0,"",$Q69/$B$10))</f>
        <v>2010.11111111111</v>
      </c>
      <c r="X69" s="19" t="n">
        <f aca="false">IF($U69="",1000000000000000,$U69)</f>
        <v>45589.8</v>
      </c>
      <c r="XFC69" s="6"/>
    </row>
    <row r="70" s="5" customFormat="true" ht="28.5" hidden="false" customHeight="true" outlineLevel="0" collapsed="false">
      <c r="A70" s="16" t="n">
        <f aca="false">IF($U70="","",1+COUNTIF($X$15:$X$728,"&lt;"&amp;X70))</f>
        <v>56</v>
      </c>
      <c r="B70" s="16" t="s">
        <v>14</v>
      </c>
      <c r="C70" s="16" t="s">
        <v>217</v>
      </c>
      <c r="D70" s="16" t="s">
        <v>51</v>
      </c>
      <c r="E70" s="16" t="s">
        <v>47</v>
      </c>
      <c r="F70" s="16" t="s">
        <v>218</v>
      </c>
      <c r="G70" s="16" t="s">
        <v>219</v>
      </c>
      <c r="H70" s="17" t="n">
        <v>1948</v>
      </c>
      <c r="I70" s="17" t="n">
        <v>2149</v>
      </c>
      <c r="J70" s="17"/>
      <c r="K70" s="17" t="n">
        <v>1998</v>
      </c>
      <c r="L70" s="17" t="n">
        <f aca="false">IF(AND(IFERROR(SEARCH("현대오일뱅크",$C70),0)&gt;0,IFERROR(SEARCH("직영",$C70),0)&gt;0),$B$13,0)</f>
        <v>0</v>
      </c>
      <c r="M70" s="17" t="n">
        <f aca="false">IF($H70="","",$H70+$L70)</f>
        <v>1948</v>
      </c>
      <c r="N70" s="17" t="n">
        <f aca="false">IF($I70="","",$I70+$L70)</f>
        <v>2149</v>
      </c>
      <c r="O70" s="17" t="n">
        <f aca="false">IF($K70="","",$K70+$L70)</f>
        <v>1998</v>
      </c>
      <c r="P70" s="17" t="str">
        <f aca="false">IF($B$10=0,"",IFERROR(IF($B$4&gt;0,"휘발유 "&amp;TEXT(IF($M70="",1/0,$M70*$B$4),"#,##0")&amp;"원","")&amp;IF($B$5&gt;0,IF($B$4&gt;0," / ","")&amp;"고급유 "&amp;TEXT(IF($N70="",1/0,$N70*$B$5),"#,##0")&amp;"원","")&amp;IF($B$6&gt;0,IF(OR($B$4&gt;0,$B$5&gt;0)," / ","")&amp;"경유 "&amp;TEXT(IF($O70="",1/0,$O70*$B$6),"#,##0")&amp;"원",""),""))</f>
        <v>휘발유 27,272원 / 고급유 24,069원</v>
      </c>
      <c r="Q70" s="17" t="n">
        <f aca="false">IF($B$10=0,"",IFERROR(IF($B$4&gt;0,IF($M70="",1/0,$M70*$B$4),0)+IF($B$5&gt;0,IF($N70="",1/0,$N70*$B$5),0)+IF($B$6&gt;0,IF($O70="",1/0,$O70*$B$6),0),""))</f>
        <v>51340.8</v>
      </c>
      <c r="R70" s="17" t="s">
        <v>47</v>
      </c>
      <c r="S70" s="18" t="n">
        <f aca="false">IF($Q70="","",IF($R70="Y",IFERROR(VLOOKUP($B70,$C$4:$D$13,2,FALSE()),0),0))</f>
        <v>0.11</v>
      </c>
      <c r="T70" s="17" t="n">
        <f aca="false">IF($Q70="","",ROUNDDOWN($Q70*$S70,0))</f>
        <v>5647</v>
      </c>
      <c r="U70" s="17" t="n">
        <f aca="false">IF($Q70="","",$Q70-$T70)</f>
        <v>45693.8</v>
      </c>
      <c r="V70" s="17" t="n">
        <f aca="false">IF($U70="","",IF($B$10=0,"",$U70/$B$10))</f>
        <v>1813.24603174603</v>
      </c>
      <c r="W70" s="17" t="n">
        <f aca="false">IF($Q70="","",IF($B$10=0,"",$Q70/$B$10))</f>
        <v>2037.33333333333</v>
      </c>
      <c r="X70" s="19" t="n">
        <f aca="false">IF($U70="",1000000000000000,$U70)</f>
        <v>45693.8</v>
      </c>
      <c r="XFC70" s="6"/>
    </row>
    <row r="71" s="5" customFormat="true" ht="28.5" hidden="false" customHeight="true" outlineLevel="0" collapsed="false">
      <c r="A71" s="16" t="n">
        <f aca="false">IF($U71="","",1+COUNTIF($X$15:$X$728,"&lt;"&amp;X71))</f>
        <v>57</v>
      </c>
      <c r="B71" s="16" t="s">
        <v>6</v>
      </c>
      <c r="C71" s="16" t="s">
        <v>220</v>
      </c>
      <c r="D71" s="20" t="s">
        <v>108</v>
      </c>
      <c r="E71" s="16" t="s">
        <v>47</v>
      </c>
      <c r="F71" s="16" t="s">
        <v>221</v>
      </c>
      <c r="G71" s="16" t="s">
        <v>222</v>
      </c>
      <c r="H71" s="17" t="n">
        <v>1947</v>
      </c>
      <c r="I71" s="17" t="n">
        <v>2110</v>
      </c>
      <c r="J71" s="17"/>
      <c r="K71" s="17" t="n">
        <v>1947</v>
      </c>
      <c r="L71" s="17" t="n">
        <f aca="false">IF(AND(IFERROR(SEARCH("현대오일뱅크",$C71),0)&gt;0,IFERROR(SEARCH("직영",$C71),0)&gt;0),$B$13,0)</f>
        <v>0</v>
      </c>
      <c r="M71" s="17" t="n">
        <f aca="false">IF($H71="","",$H71+$L71)</f>
        <v>1947</v>
      </c>
      <c r="N71" s="17" t="n">
        <f aca="false">IF($I71="","",$I71+$L71)</f>
        <v>2110</v>
      </c>
      <c r="O71" s="17" t="n">
        <f aca="false">IF($K71="","",$K71+$L71)</f>
        <v>1947</v>
      </c>
      <c r="P71" s="17" t="str">
        <f aca="false">IF($B$10=0,"",IFERROR(IF($B$4&gt;0,"휘발유 "&amp;TEXT(IF($M71="",1/0,$M71*$B$4),"#,##0")&amp;"원","")&amp;IF($B$5&gt;0,IF($B$4&gt;0," / ","")&amp;"고급유 "&amp;TEXT(IF($N71="",1/0,$N71*$B$5),"#,##0")&amp;"원","")&amp;IF($B$6&gt;0,IF(OR($B$4&gt;0,$B$5&gt;0)," / ","")&amp;"경유 "&amp;TEXT(IF($O71="",1/0,$O71*$B$6),"#,##0")&amp;"원",""),""))</f>
        <v>휘발유 27,258원 / 고급유 23,632원</v>
      </c>
      <c r="Q71" s="17" t="n">
        <f aca="false">IF($B$10=0,"",IFERROR(IF($B$4&gt;0,IF($M71="",1/0,$M71*$B$4),0)+IF($B$5&gt;0,IF($N71="",1/0,$N71*$B$5),0)+IF($B$6&gt;0,IF($O71="",1/0,$O71*$B$6),0),""))</f>
        <v>50890</v>
      </c>
      <c r="R71" s="17" t="s">
        <v>47</v>
      </c>
      <c r="S71" s="18" t="n">
        <f aca="false">IF($Q71="","",IF($R71="Y",IFERROR(VLOOKUP($B71,$C$4:$D$13,2,FALSE()),0),0))</f>
        <v>0.1</v>
      </c>
      <c r="T71" s="17" t="n">
        <f aca="false">IF($Q71="","",ROUNDDOWN($Q71*$S71,0))</f>
        <v>5089</v>
      </c>
      <c r="U71" s="17" t="n">
        <f aca="false">IF($Q71="","",$Q71-$T71)</f>
        <v>45801</v>
      </c>
      <c r="V71" s="17" t="n">
        <f aca="false">IF($U71="","",IF($B$10=0,"",$U71/$B$10))</f>
        <v>1817.5</v>
      </c>
      <c r="W71" s="17" t="n">
        <f aca="false">IF($Q71="","",IF($B$10=0,"",$Q71/$B$10))</f>
        <v>2019.44444444444</v>
      </c>
      <c r="X71" s="19" t="n">
        <f aca="false">IF($U71="",1000000000000000,$U71)</f>
        <v>45801</v>
      </c>
      <c r="XFC71" s="6"/>
    </row>
    <row r="72" s="5" customFormat="true" ht="28.5" hidden="false" customHeight="true" outlineLevel="0" collapsed="false">
      <c r="A72" s="16" t="n">
        <f aca="false">IF($U72="","",1+COUNTIF($X$15:$X$728,"&lt;"&amp;X72))</f>
        <v>58</v>
      </c>
      <c r="B72" s="16" t="s">
        <v>14</v>
      </c>
      <c r="C72" s="16" t="s">
        <v>223</v>
      </c>
      <c r="D72" s="16" t="s">
        <v>58</v>
      </c>
      <c r="E72" s="16" t="s">
        <v>47</v>
      </c>
      <c r="F72" s="16" t="s">
        <v>224</v>
      </c>
      <c r="G72" s="16" t="s">
        <v>225</v>
      </c>
      <c r="H72" s="17" t="n">
        <v>1955</v>
      </c>
      <c r="I72" s="17" t="n">
        <v>2154</v>
      </c>
      <c r="J72" s="17"/>
      <c r="K72" s="17" t="n">
        <v>1994</v>
      </c>
      <c r="L72" s="17" t="n">
        <f aca="false">IF(AND(IFERROR(SEARCH("현대오일뱅크",$C72),0)&gt;0,IFERROR(SEARCH("직영",$C72),0)&gt;0),$B$13,0)</f>
        <v>0</v>
      </c>
      <c r="M72" s="17" t="n">
        <f aca="false">IF($H72="","",$H72+$L72)</f>
        <v>1955</v>
      </c>
      <c r="N72" s="17" t="n">
        <f aca="false">IF($I72="","",$I72+$L72)</f>
        <v>2154</v>
      </c>
      <c r="O72" s="17" t="n">
        <f aca="false">IF($K72="","",$K72+$L72)</f>
        <v>1994</v>
      </c>
      <c r="P72" s="17" t="str">
        <f aca="false">IF($B$10=0,"",IFERROR(IF($B$4&gt;0,"휘발유 "&amp;TEXT(IF($M72="",1/0,$M72*$B$4),"#,##0")&amp;"원","")&amp;IF($B$5&gt;0,IF($B$4&gt;0," / ","")&amp;"고급유 "&amp;TEXT(IF($N72="",1/0,$N72*$B$5),"#,##0")&amp;"원","")&amp;IF($B$6&gt;0,IF(OR($B$4&gt;0,$B$5&gt;0)," / ","")&amp;"경유 "&amp;TEXT(IF($O72="",1/0,$O72*$B$6),"#,##0")&amp;"원",""),""))</f>
        <v>휘발유 27,370원 / 고급유 24,125원</v>
      </c>
      <c r="Q72" s="17" t="n">
        <f aca="false">IF($B$10=0,"",IFERROR(IF($B$4&gt;0,IF($M72="",1/0,$M72*$B$4),0)+IF($B$5&gt;0,IF($N72="",1/0,$N72*$B$5),0)+IF($B$6&gt;0,IF($O72="",1/0,$O72*$B$6),0),""))</f>
        <v>51494.8</v>
      </c>
      <c r="R72" s="17" t="s">
        <v>47</v>
      </c>
      <c r="S72" s="18" t="n">
        <f aca="false">IF($Q72="","",IF($R72="Y",IFERROR(VLOOKUP($B72,$C$4:$D$13,2,FALSE()),0),0))</f>
        <v>0.11</v>
      </c>
      <c r="T72" s="17" t="n">
        <f aca="false">IF($Q72="","",ROUNDDOWN($Q72*$S72,0))</f>
        <v>5664</v>
      </c>
      <c r="U72" s="17" t="n">
        <f aca="false">IF($Q72="","",$Q72-$T72)</f>
        <v>45830.8</v>
      </c>
      <c r="V72" s="17" t="n">
        <f aca="false">IF($U72="","",IF($B$10=0,"",$U72/$B$10))</f>
        <v>1818.68253968254</v>
      </c>
      <c r="W72" s="17" t="n">
        <f aca="false">IF($Q72="","",IF($B$10=0,"",$Q72/$B$10))</f>
        <v>2043.44444444444</v>
      </c>
      <c r="X72" s="19" t="n">
        <f aca="false">IF($U72="",1000000000000000,$U72)</f>
        <v>45830.8</v>
      </c>
      <c r="XFC72" s="6"/>
    </row>
    <row r="73" s="5" customFormat="true" ht="28.5" hidden="false" customHeight="true" outlineLevel="0" collapsed="false">
      <c r="A73" s="16" t="n">
        <f aca="false">IF($U73="","",1+COUNTIF($X$15:$X$728,"&lt;"&amp;X73))</f>
        <v>59</v>
      </c>
      <c r="B73" s="16" t="s">
        <v>6</v>
      </c>
      <c r="C73" s="16" t="s">
        <v>226</v>
      </c>
      <c r="D73" s="20" t="s">
        <v>108</v>
      </c>
      <c r="E73" s="16" t="s">
        <v>47</v>
      </c>
      <c r="F73" s="16" t="s">
        <v>227</v>
      </c>
      <c r="G73" s="16" t="s">
        <v>228</v>
      </c>
      <c r="H73" s="17" t="n">
        <v>1929</v>
      </c>
      <c r="I73" s="17" t="n">
        <v>2139</v>
      </c>
      <c r="J73" s="17"/>
      <c r="K73" s="17" t="n">
        <v>1969</v>
      </c>
      <c r="L73" s="17" t="n">
        <f aca="false">IF(AND(IFERROR(SEARCH("현대오일뱅크",$C73),0)&gt;0,IFERROR(SEARCH("직영",$C73),0)&gt;0),$B$13,0)</f>
        <v>0</v>
      </c>
      <c r="M73" s="17" t="n">
        <f aca="false">IF($H73="","",$H73+$L73)</f>
        <v>1929</v>
      </c>
      <c r="N73" s="17" t="n">
        <f aca="false">IF($I73="","",$I73+$L73)</f>
        <v>2139</v>
      </c>
      <c r="O73" s="17" t="n">
        <f aca="false">IF($K73="","",$K73+$L73)</f>
        <v>1969</v>
      </c>
      <c r="P73" s="17" t="str">
        <f aca="false">IF($B$10=0,"",IFERROR(IF($B$4&gt;0,"휘발유 "&amp;TEXT(IF($M73="",1/0,$M73*$B$4),"#,##0")&amp;"원","")&amp;IF($B$5&gt;0,IF($B$4&gt;0," / ","")&amp;"고급유 "&amp;TEXT(IF($N73="",1/0,$N73*$B$5),"#,##0")&amp;"원","")&amp;IF($B$6&gt;0,IF(OR($B$4&gt;0,$B$5&gt;0)," / ","")&amp;"경유 "&amp;TEXT(IF($O73="",1/0,$O73*$B$6),"#,##0")&amp;"원",""),""))</f>
        <v>휘발유 27,006원 / 고급유 23,957원</v>
      </c>
      <c r="Q73" s="17" t="n">
        <f aca="false">IF($B$10=0,"",IFERROR(IF($B$4&gt;0,IF($M73="",1/0,$M73*$B$4),0)+IF($B$5&gt;0,IF($N73="",1/0,$N73*$B$5),0)+IF($B$6&gt;0,IF($O73="",1/0,$O73*$B$6),0),""))</f>
        <v>50962.8</v>
      </c>
      <c r="R73" s="17" t="s">
        <v>47</v>
      </c>
      <c r="S73" s="18" t="n">
        <f aca="false">IF($Q73="","",IF($R73="Y",IFERROR(VLOOKUP($B73,$C$4:$D$13,2,FALSE()),0),0))</f>
        <v>0.1</v>
      </c>
      <c r="T73" s="17" t="n">
        <f aca="false">IF($Q73="","",ROUNDDOWN($Q73*$S73,0))</f>
        <v>5096</v>
      </c>
      <c r="U73" s="17" t="n">
        <f aca="false">IF($Q73="","",$Q73-$T73)</f>
        <v>45866.8</v>
      </c>
      <c r="V73" s="17" t="n">
        <f aca="false">IF($U73="","",IF($B$10=0,"",$U73/$B$10))</f>
        <v>1820.11111111111</v>
      </c>
      <c r="W73" s="17" t="n">
        <f aca="false">IF($Q73="","",IF($B$10=0,"",$Q73/$B$10))</f>
        <v>2022.33333333333</v>
      </c>
      <c r="X73" s="19" t="n">
        <f aca="false">IF($U73="",1000000000000000,$U73)</f>
        <v>45866.8</v>
      </c>
      <c r="XFC73" s="6"/>
    </row>
    <row r="74" s="5" customFormat="true" ht="28.5" hidden="false" customHeight="true" outlineLevel="0" collapsed="false">
      <c r="A74" s="16" t="n">
        <f aca="false">IF($U74="","",1+COUNTIF($X$15:$X$728,"&lt;"&amp;X74))</f>
        <v>60</v>
      </c>
      <c r="B74" s="16" t="s">
        <v>6</v>
      </c>
      <c r="C74" s="16" t="s">
        <v>229</v>
      </c>
      <c r="D74" s="20" t="s">
        <v>108</v>
      </c>
      <c r="E74" s="16" t="s">
        <v>47</v>
      </c>
      <c r="F74" s="16" t="s">
        <v>230</v>
      </c>
      <c r="G74" s="16" t="s">
        <v>231</v>
      </c>
      <c r="H74" s="17" t="n">
        <v>1922</v>
      </c>
      <c r="I74" s="17" t="n">
        <v>2150</v>
      </c>
      <c r="J74" s="17"/>
      <c r="K74" s="17" t="n">
        <v>1932</v>
      </c>
      <c r="L74" s="17" t="n">
        <f aca="false">IF(AND(IFERROR(SEARCH("현대오일뱅크",$C74),0)&gt;0,IFERROR(SEARCH("직영",$C74),0)&gt;0),$B$13,0)</f>
        <v>0</v>
      </c>
      <c r="M74" s="17" t="n">
        <f aca="false">IF($H74="","",$H74+$L74)</f>
        <v>1922</v>
      </c>
      <c r="N74" s="17" t="n">
        <f aca="false">IF($I74="","",$I74+$L74)</f>
        <v>2150</v>
      </c>
      <c r="O74" s="17" t="n">
        <f aca="false">IF($K74="","",$K74+$L74)</f>
        <v>1932</v>
      </c>
      <c r="P74" s="17" t="str">
        <f aca="false">IF($B$10=0,"",IFERROR(IF($B$4&gt;0,"휘발유 "&amp;TEXT(IF($M74="",1/0,$M74*$B$4),"#,##0")&amp;"원","")&amp;IF($B$5&gt;0,IF($B$4&gt;0," / ","")&amp;"고급유 "&amp;TEXT(IF($N74="",1/0,$N74*$B$5),"#,##0")&amp;"원","")&amp;IF($B$6&gt;0,IF(OR($B$4&gt;0,$B$5&gt;0)," / ","")&amp;"경유 "&amp;TEXT(IF($O74="",1/0,$O74*$B$6),"#,##0")&amp;"원",""),""))</f>
        <v>휘발유 26,908원 / 고급유 24,080원</v>
      </c>
      <c r="Q74" s="17" t="n">
        <f aca="false">IF($B$10=0,"",IFERROR(IF($B$4&gt;0,IF($M74="",1/0,$M74*$B$4),0)+IF($B$5&gt;0,IF($N74="",1/0,$N74*$B$5),0)+IF($B$6&gt;0,IF($O74="",1/0,$O74*$B$6),0),""))</f>
        <v>50988</v>
      </c>
      <c r="R74" s="17" t="s">
        <v>47</v>
      </c>
      <c r="S74" s="18" t="n">
        <f aca="false">IF($Q74="","",IF($R74="Y",IFERROR(VLOOKUP($B74,$C$4:$D$13,2,FALSE()),0),0))</f>
        <v>0.1</v>
      </c>
      <c r="T74" s="17" t="n">
        <f aca="false">IF($Q74="","",ROUNDDOWN($Q74*$S74,0))</f>
        <v>5098</v>
      </c>
      <c r="U74" s="17" t="n">
        <f aca="false">IF($Q74="","",$Q74-$T74)</f>
        <v>45890</v>
      </c>
      <c r="V74" s="17" t="n">
        <f aca="false">IF($U74="","",IF($B$10=0,"",$U74/$B$10))</f>
        <v>1821.03174603175</v>
      </c>
      <c r="W74" s="17" t="n">
        <f aca="false">IF($Q74="","",IF($B$10=0,"",$Q74/$B$10))</f>
        <v>2023.33333333333</v>
      </c>
      <c r="X74" s="19" t="n">
        <f aca="false">IF($U74="",1000000000000000,$U74)</f>
        <v>45890</v>
      </c>
      <c r="XFC74" s="6"/>
    </row>
    <row r="75" s="5" customFormat="true" ht="28.5" hidden="false" customHeight="true" outlineLevel="0" collapsed="false">
      <c r="A75" s="16" t="n">
        <f aca="false">IF($U75="","",1+COUNTIF($X$15:$X$728,"&lt;"&amp;X75))</f>
        <v>61</v>
      </c>
      <c r="B75" s="16" t="s">
        <v>6</v>
      </c>
      <c r="C75" s="16" t="s">
        <v>232</v>
      </c>
      <c r="D75" s="16" t="s">
        <v>58</v>
      </c>
      <c r="E75" s="16" t="s">
        <v>47</v>
      </c>
      <c r="F75" s="16" t="s">
        <v>233</v>
      </c>
      <c r="G75" s="16" t="s">
        <v>234</v>
      </c>
      <c r="H75" s="17" t="n">
        <v>1969</v>
      </c>
      <c r="I75" s="17" t="n">
        <v>2099</v>
      </c>
      <c r="J75" s="17"/>
      <c r="K75" s="17" t="n">
        <v>1999</v>
      </c>
      <c r="L75" s="17" t="n">
        <f aca="false">IF(AND(IFERROR(SEARCH("현대오일뱅크",$C75),0)&gt;0,IFERROR(SEARCH("직영",$C75),0)&gt;0),$B$13,0)</f>
        <v>0</v>
      </c>
      <c r="M75" s="17" t="n">
        <f aca="false">IF($H75="","",$H75+$L75)</f>
        <v>1969</v>
      </c>
      <c r="N75" s="17" t="n">
        <f aca="false">IF($I75="","",$I75+$L75)</f>
        <v>2099</v>
      </c>
      <c r="O75" s="17" t="n">
        <f aca="false">IF($K75="","",$K75+$L75)</f>
        <v>1999</v>
      </c>
      <c r="P75" s="17" t="str">
        <f aca="false">IF($B$10=0,"",IFERROR(IF($B$4&gt;0,"휘발유 "&amp;TEXT(IF($M75="",1/0,$M75*$B$4),"#,##0")&amp;"원","")&amp;IF($B$5&gt;0,IF($B$4&gt;0," / ","")&amp;"고급유 "&amp;TEXT(IF($N75="",1/0,$N75*$B$5),"#,##0")&amp;"원","")&amp;IF($B$6&gt;0,IF(OR($B$4&gt;0,$B$5&gt;0)," / ","")&amp;"경유 "&amp;TEXT(IF($O75="",1/0,$O75*$B$6),"#,##0")&amp;"원",""),""))</f>
        <v>휘발유 27,566원 / 고급유 23,509원</v>
      </c>
      <c r="Q75" s="17" t="n">
        <f aca="false">IF($B$10=0,"",IFERROR(IF($B$4&gt;0,IF($M75="",1/0,$M75*$B$4),0)+IF($B$5&gt;0,IF($N75="",1/0,$N75*$B$5),0)+IF($B$6&gt;0,IF($O75="",1/0,$O75*$B$6),0),""))</f>
        <v>51074.8</v>
      </c>
      <c r="R75" s="17" t="s">
        <v>47</v>
      </c>
      <c r="S75" s="18" t="n">
        <f aca="false">IF($Q75="","",IF($R75="Y",IFERROR(VLOOKUP($B75,$C$4:$D$13,2,FALSE()),0),0))</f>
        <v>0.1</v>
      </c>
      <c r="T75" s="17" t="n">
        <f aca="false">IF($Q75="","",ROUNDDOWN($Q75*$S75,0))</f>
        <v>5107</v>
      </c>
      <c r="U75" s="17" t="n">
        <f aca="false">IF($Q75="","",$Q75-$T75)</f>
        <v>45967.8</v>
      </c>
      <c r="V75" s="17" t="n">
        <f aca="false">IF($U75="","",IF($B$10=0,"",$U75/$B$10))</f>
        <v>1824.11904761905</v>
      </c>
      <c r="W75" s="17" t="n">
        <f aca="false">IF($Q75="","",IF($B$10=0,"",$Q75/$B$10))</f>
        <v>2026.77777777778</v>
      </c>
      <c r="X75" s="19" t="n">
        <f aca="false">IF($U75="",1000000000000000,$U75)</f>
        <v>45967.8</v>
      </c>
      <c r="XFC75" s="6"/>
    </row>
    <row r="76" s="5" customFormat="true" ht="28.5" hidden="false" customHeight="true" outlineLevel="0" collapsed="false">
      <c r="A76" s="16" t="n">
        <f aca="false">IF($U76="","",1+COUNTIF($X$15:$X$728,"&lt;"&amp;X76))</f>
        <v>62</v>
      </c>
      <c r="B76" s="16" t="s">
        <v>6</v>
      </c>
      <c r="C76" s="16" t="s">
        <v>235</v>
      </c>
      <c r="D76" s="20" t="s">
        <v>108</v>
      </c>
      <c r="E76" s="16" t="s">
        <v>47</v>
      </c>
      <c r="F76" s="16" t="s">
        <v>236</v>
      </c>
      <c r="G76" s="16" t="s">
        <v>237</v>
      </c>
      <c r="H76" s="17" t="n">
        <v>1945</v>
      </c>
      <c r="I76" s="17" t="n">
        <v>2150</v>
      </c>
      <c r="J76" s="17"/>
      <c r="K76" s="17" t="n">
        <v>1895</v>
      </c>
      <c r="L76" s="17" t="n">
        <f aca="false">IF(AND(IFERROR(SEARCH("현대오일뱅크",$C76),0)&gt;0,IFERROR(SEARCH("직영",$C76),0)&gt;0),$B$13,0)</f>
        <v>0</v>
      </c>
      <c r="M76" s="17" t="n">
        <f aca="false">IF($H76="","",$H76+$L76)</f>
        <v>1945</v>
      </c>
      <c r="N76" s="17" t="n">
        <f aca="false">IF($I76="","",$I76+$L76)</f>
        <v>2150</v>
      </c>
      <c r="O76" s="17" t="n">
        <f aca="false">IF($K76="","",$K76+$L76)</f>
        <v>1895</v>
      </c>
      <c r="P76" s="17" t="str">
        <f aca="false">IF($B$10=0,"",IFERROR(IF($B$4&gt;0,"휘발유 "&amp;TEXT(IF($M76="",1/0,$M76*$B$4),"#,##0")&amp;"원","")&amp;IF($B$5&gt;0,IF($B$4&gt;0," / ","")&amp;"고급유 "&amp;TEXT(IF($N76="",1/0,$N76*$B$5),"#,##0")&amp;"원","")&amp;IF($B$6&gt;0,IF(OR($B$4&gt;0,$B$5&gt;0)," / ","")&amp;"경유 "&amp;TEXT(IF($O76="",1/0,$O76*$B$6),"#,##0")&amp;"원",""),""))</f>
        <v>휘발유 27,230원 / 고급유 24,080원</v>
      </c>
      <c r="Q76" s="17" t="n">
        <f aca="false">IF($B$10=0,"",IFERROR(IF($B$4&gt;0,IF($M76="",1/0,$M76*$B$4),0)+IF($B$5&gt;0,IF($N76="",1/0,$N76*$B$5),0)+IF($B$6&gt;0,IF($O76="",1/0,$O76*$B$6),0),""))</f>
        <v>51310</v>
      </c>
      <c r="R76" s="17" t="s">
        <v>47</v>
      </c>
      <c r="S76" s="18" t="n">
        <f aca="false">IF($Q76="","",IF($R76="Y",IFERROR(VLOOKUP($B76,$C$4:$D$13,2,FALSE()),0),0))</f>
        <v>0.1</v>
      </c>
      <c r="T76" s="17" t="n">
        <f aca="false">IF($Q76="","",ROUNDDOWN($Q76*$S76,0))</f>
        <v>5131</v>
      </c>
      <c r="U76" s="17" t="n">
        <f aca="false">IF($Q76="","",$Q76-$T76)</f>
        <v>46179</v>
      </c>
      <c r="V76" s="17" t="n">
        <f aca="false">IF($U76="","",IF($B$10=0,"",$U76/$B$10))</f>
        <v>1832.5</v>
      </c>
      <c r="W76" s="17" t="n">
        <f aca="false">IF($Q76="","",IF($B$10=0,"",$Q76/$B$10))</f>
        <v>2036.11111111111</v>
      </c>
      <c r="X76" s="19" t="n">
        <f aca="false">IF($U76="",1000000000000000,$U76)</f>
        <v>46179</v>
      </c>
      <c r="XFC76" s="6"/>
    </row>
    <row r="77" s="5" customFormat="true" ht="28.5" hidden="false" customHeight="true" outlineLevel="0" collapsed="false">
      <c r="A77" s="16" t="n">
        <f aca="false">IF($U77="","",1+COUNTIF($X$15:$X$728,"&lt;"&amp;X77))</f>
        <v>62</v>
      </c>
      <c r="B77" s="16" t="s">
        <v>12</v>
      </c>
      <c r="C77" s="16" t="s">
        <v>238</v>
      </c>
      <c r="D77" s="20" t="s">
        <v>108</v>
      </c>
      <c r="E77" s="16" t="s">
        <v>47</v>
      </c>
      <c r="F77" s="16" t="s">
        <v>239</v>
      </c>
      <c r="G77" s="16" t="s">
        <v>240</v>
      </c>
      <c r="H77" s="17" t="n">
        <v>1945</v>
      </c>
      <c r="I77" s="17" t="n">
        <v>2150</v>
      </c>
      <c r="J77" s="17"/>
      <c r="K77" s="17" t="n">
        <v>1995</v>
      </c>
      <c r="L77" s="17" t="n">
        <f aca="false">IF(AND(IFERROR(SEARCH("현대오일뱅크",$C77),0)&gt;0,IFERROR(SEARCH("직영",$C77),0)&gt;0),$B$13,0)</f>
        <v>0</v>
      </c>
      <c r="M77" s="17" t="n">
        <f aca="false">IF($H77="","",$H77+$L77)</f>
        <v>1945</v>
      </c>
      <c r="N77" s="17" t="n">
        <f aca="false">IF($I77="","",$I77+$L77)</f>
        <v>2150</v>
      </c>
      <c r="O77" s="17" t="n">
        <f aca="false">IF($K77="","",$K77+$L77)</f>
        <v>1995</v>
      </c>
      <c r="P77" s="17" t="str">
        <f aca="false">IF($B$10=0,"",IFERROR(IF($B$4&gt;0,"휘발유 "&amp;TEXT(IF($M77="",1/0,$M77*$B$4),"#,##0")&amp;"원","")&amp;IF($B$5&gt;0,IF($B$4&gt;0," / ","")&amp;"고급유 "&amp;TEXT(IF($N77="",1/0,$N77*$B$5),"#,##0")&amp;"원","")&amp;IF($B$6&gt;0,IF(OR($B$4&gt;0,$B$5&gt;0)," / ","")&amp;"경유 "&amp;TEXT(IF($O77="",1/0,$O77*$B$6),"#,##0")&amp;"원",""),""))</f>
        <v>휘발유 27,230원 / 고급유 24,080원</v>
      </c>
      <c r="Q77" s="17" t="n">
        <f aca="false">IF($B$10=0,"",IFERROR(IF($B$4&gt;0,IF($M77="",1/0,$M77*$B$4),0)+IF($B$5&gt;0,IF($N77="",1/0,$N77*$B$5),0)+IF($B$6&gt;0,IF($O77="",1/0,$O77*$B$6),0),""))</f>
        <v>51310</v>
      </c>
      <c r="R77" s="17" t="s">
        <v>47</v>
      </c>
      <c r="S77" s="18" t="n">
        <f aca="false">IF($Q77="","",IF($R77="Y",IFERROR(VLOOKUP($B77,$C$4:$D$13,2,FALSE()),0),0))</f>
        <v>0.1</v>
      </c>
      <c r="T77" s="17" t="n">
        <f aca="false">IF($Q77="","",ROUNDDOWN($Q77*$S77,0))</f>
        <v>5131</v>
      </c>
      <c r="U77" s="17" t="n">
        <f aca="false">IF($Q77="","",$Q77-$T77)</f>
        <v>46179</v>
      </c>
      <c r="V77" s="17" t="n">
        <f aca="false">IF($U77="","",IF($B$10=0,"",$U77/$B$10))</f>
        <v>1832.5</v>
      </c>
      <c r="W77" s="17" t="n">
        <f aca="false">IF($Q77="","",IF($B$10=0,"",$Q77/$B$10))</f>
        <v>2036.11111111111</v>
      </c>
      <c r="X77" s="19" t="n">
        <f aca="false">IF($U77="",1000000000000000,$U77)</f>
        <v>46179</v>
      </c>
      <c r="XFC77" s="6"/>
    </row>
    <row r="78" s="5" customFormat="true" ht="28.5" hidden="false" customHeight="true" outlineLevel="0" collapsed="false">
      <c r="A78" s="16" t="n">
        <f aca="false">IF($U78="","",1+COUNTIF($X$15:$X$728,"&lt;"&amp;X78))</f>
        <v>62</v>
      </c>
      <c r="B78" s="16" t="s">
        <v>12</v>
      </c>
      <c r="C78" s="16" t="s">
        <v>241</v>
      </c>
      <c r="D78" s="20" t="s">
        <v>108</v>
      </c>
      <c r="E78" s="16" t="s">
        <v>47</v>
      </c>
      <c r="F78" s="16" t="s">
        <v>242</v>
      </c>
      <c r="G78" s="16" t="s">
        <v>243</v>
      </c>
      <c r="H78" s="17" t="n">
        <v>1945</v>
      </c>
      <c r="I78" s="17" t="n">
        <v>2150</v>
      </c>
      <c r="J78" s="17"/>
      <c r="K78" s="17" t="n">
        <v>1995</v>
      </c>
      <c r="L78" s="17" t="n">
        <f aca="false">IF(AND(IFERROR(SEARCH("현대오일뱅크",$C78),0)&gt;0,IFERROR(SEARCH("직영",$C78),0)&gt;0),$B$13,0)</f>
        <v>0</v>
      </c>
      <c r="M78" s="17" t="n">
        <f aca="false">IF($H78="","",$H78+$L78)</f>
        <v>1945</v>
      </c>
      <c r="N78" s="17" t="n">
        <f aca="false">IF($I78="","",$I78+$L78)</f>
        <v>2150</v>
      </c>
      <c r="O78" s="17" t="n">
        <f aca="false">IF($K78="","",$K78+$L78)</f>
        <v>1995</v>
      </c>
      <c r="P78" s="17" t="str">
        <f aca="false">IF($B$10=0,"",IFERROR(IF($B$4&gt;0,"휘발유 "&amp;TEXT(IF($M78="",1/0,$M78*$B$4),"#,##0")&amp;"원","")&amp;IF($B$5&gt;0,IF($B$4&gt;0," / ","")&amp;"고급유 "&amp;TEXT(IF($N78="",1/0,$N78*$B$5),"#,##0")&amp;"원","")&amp;IF($B$6&gt;0,IF(OR($B$4&gt;0,$B$5&gt;0)," / ","")&amp;"경유 "&amp;TEXT(IF($O78="",1/0,$O78*$B$6),"#,##0")&amp;"원",""),""))</f>
        <v>휘발유 27,230원 / 고급유 24,080원</v>
      </c>
      <c r="Q78" s="17" t="n">
        <f aca="false">IF($B$10=0,"",IFERROR(IF($B$4&gt;0,IF($M78="",1/0,$M78*$B$4),0)+IF($B$5&gt;0,IF($N78="",1/0,$N78*$B$5),0)+IF($B$6&gt;0,IF($O78="",1/0,$O78*$B$6),0),""))</f>
        <v>51310</v>
      </c>
      <c r="R78" s="17" t="s">
        <v>47</v>
      </c>
      <c r="S78" s="18" t="n">
        <f aca="false">IF($Q78="","",IF($R78="Y",IFERROR(VLOOKUP($B78,$C$4:$D$13,2,FALSE()),0),0))</f>
        <v>0.1</v>
      </c>
      <c r="T78" s="17" t="n">
        <f aca="false">IF($Q78="","",ROUNDDOWN($Q78*$S78,0))</f>
        <v>5131</v>
      </c>
      <c r="U78" s="17" t="n">
        <f aca="false">IF($Q78="","",$Q78-$T78)</f>
        <v>46179</v>
      </c>
      <c r="V78" s="17" t="n">
        <f aca="false">IF($U78="","",IF($B$10=0,"",$U78/$B$10))</f>
        <v>1832.5</v>
      </c>
      <c r="W78" s="17" t="n">
        <f aca="false">IF($Q78="","",IF($B$10=0,"",$Q78/$B$10))</f>
        <v>2036.11111111111</v>
      </c>
      <c r="X78" s="19" t="n">
        <f aca="false">IF($U78="",1000000000000000,$U78)</f>
        <v>46179</v>
      </c>
      <c r="XFC78" s="6"/>
    </row>
    <row r="79" s="5" customFormat="true" ht="28.5" hidden="false" customHeight="true" outlineLevel="0" collapsed="false">
      <c r="A79" s="16" t="n">
        <f aca="false">IF($U79="","",1+COUNTIF($X$15:$X$728,"&lt;"&amp;X79))</f>
        <v>65</v>
      </c>
      <c r="B79" s="16" t="s">
        <v>6</v>
      </c>
      <c r="C79" s="16" t="s">
        <v>244</v>
      </c>
      <c r="D79" s="16" t="s">
        <v>58</v>
      </c>
      <c r="E79" s="16" t="s">
        <v>47</v>
      </c>
      <c r="F79" s="16" t="s">
        <v>245</v>
      </c>
      <c r="G79" s="16" t="s">
        <v>246</v>
      </c>
      <c r="H79" s="17" t="n">
        <v>1958</v>
      </c>
      <c r="I79" s="17" t="n">
        <v>2150</v>
      </c>
      <c r="J79" s="17"/>
      <c r="K79" s="17" t="n">
        <v>1995</v>
      </c>
      <c r="L79" s="17" t="n">
        <f aca="false">IF(AND(IFERROR(SEARCH("현대오일뱅크",$C79),0)&gt;0,IFERROR(SEARCH("직영",$C79),0)&gt;0),$B$13,0)</f>
        <v>0</v>
      </c>
      <c r="M79" s="17" t="n">
        <f aca="false">IF($H79="","",$H79+$L79)</f>
        <v>1958</v>
      </c>
      <c r="N79" s="17" t="n">
        <f aca="false">IF($I79="","",$I79+$L79)</f>
        <v>2150</v>
      </c>
      <c r="O79" s="17" t="n">
        <f aca="false">IF($K79="","",$K79+$L79)</f>
        <v>1995</v>
      </c>
      <c r="P79" s="17" t="str">
        <f aca="false">IF($B$10=0,"",IFERROR(IF($B$4&gt;0,"휘발유 "&amp;TEXT(IF($M79="",1/0,$M79*$B$4),"#,##0")&amp;"원","")&amp;IF($B$5&gt;0,IF($B$4&gt;0," / ","")&amp;"고급유 "&amp;TEXT(IF($N79="",1/0,$N79*$B$5),"#,##0")&amp;"원","")&amp;IF($B$6&gt;0,IF(OR($B$4&gt;0,$B$5&gt;0)," / ","")&amp;"경유 "&amp;TEXT(IF($O79="",1/0,$O79*$B$6),"#,##0")&amp;"원",""),""))</f>
        <v>휘발유 27,412원 / 고급유 24,080원</v>
      </c>
      <c r="Q79" s="17" t="n">
        <f aca="false">IF($B$10=0,"",IFERROR(IF($B$4&gt;0,IF($M79="",1/0,$M79*$B$4),0)+IF($B$5&gt;0,IF($N79="",1/0,$N79*$B$5),0)+IF($B$6&gt;0,IF($O79="",1/0,$O79*$B$6),0),""))</f>
        <v>51492</v>
      </c>
      <c r="R79" s="17" t="s">
        <v>47</v>
      </c>
      <c r="S79" s="18" t="n">
        <f aca="false">IF($Q79="","",IF($R79="Y",IFERROR(VLOOKUP($B79,$C$4:$D$13,2,FALSE()),0),0))</f>
        <v>0.1</v>
      </c>
      <c r="T79" s="17" t="n">
        <f aca="false">IF($Q79="","",ROUNDDOWN($Q79*$S79,0))</f>
        <v>5149</v>
      </c>
      <c r="U79" s="17" t="n">
        <f aca="false">IF($Q79="","",$Q79-$T79)</f>
        <v>46343</v>
      </c>
      <c r="V79" s="17" t="n">
        <f aca="false">IF($U79="","",IF($B$10=0,"",$U79/$B$10))</f>
        <v>1839.00793650794</v>
      </c>
      <c r="W79" s="17" t="n">
        <f aca="false">IF($Q79="","",IF($B$10=0,"",$Q79/$B$10))</f>
        <v>2043.33333333333</v>
      </c>
      <c r="X79" s="19" t="n">
        <f aca="false">IF($U79="",1000000000000000,$U79)</f>
        <v>46343</v>
      </c>
      <c r="XFC79" s="6"/>
    </row>
    <row r="80" s="5" customFormat="true" ht="28.5" hidden="false" customHeight="true" outlineLevel="0" collapsed="false">
      <c r="A80" s="16" t="n">
        <f aca="false">IF($U80="","",1+COUNTIF($X$15:$X$728,"&lt;"&amp;X80))</f>
        <v>66</v>
      </c>
      <c r="B80" s="16" t="s">
        <v>12</v>
      </c>
      <c r="C80" s="16" t="s">
        <v>247</v>
      </c>
      <c r="D80" s="20" t="s">
        <v>248</v>
      </c>
      <c r="E80" s="16" t="s">
        <v>47</v>
      </c>
      <c r="F80" s="16" t="s">
        <v>249</v>
      </c>
      <c r="G80" s="16" t="s">
        <v>250</v>
      </c>
      <c r="H80" s="17" t="n">
        <v>1959</v>
      </c>
      <c r="I80" s="17" t="n">
        <v>2149</v>
      </c>
      <c r="J80" s="17"/>
      <c r="K80" s="17" t="n">
        <v>1989</v>
      </c>
      <c r="L80" s="17" t="n">
        <f aca="false">IF(AND(IFERROR(SEARCH("현대오일뱅크",$C80),0)&gt;0,IFERROR(SEARCH("직영",$C80),0)&gt;0),$B$13,0)</f>
        <v>0</v>
      </c>
      <c r="M80" s="17" t="n">
        <f aca="false">IF($H80="","",$H80+$L80)</f>
        <v>1959</v>
      </c>
      <c r="N80" s="17" t="n">
        <f aca="false">IF($I80="","",$I80+$L80)</f>
        <v>2149</v>
      </c>
      <c r="O80" s="17" t="n">
        <f aca="false">IF($K80="","",$K80+$L80)</f>
        <v>1989</v>
      </c>
      <c r="P80" s="17" t="str">
        <f aca="false">IF($B$10=0,"",IFERROR(IF($B$4&gt;0,"휘발유 "&amp;TEXT(IF($M80="",1/0,$M80*$B$4),"#,##0")&amp;"원","")&amp;IF($B$5&gt;0,IF($B$4&gt;0," / ","")&amp;"고급유 "&amp;TEXT(IF($N80="",1/0,$N80*$B$5),"#,##0")&amp;"원","")&amp;IF($B$6&gt;0,IF(OR($B$4&gt;0,$B$5&gt;0)," / ","")&amp;"경유 "&amp;TEXT(IF($O80="",1/0,$O80*$B$6),"#,##0")&amp;"원",""),""))</f>
        <v>휘발유 27,426원 / 고급유 24,069원</v>
      </c>
      <c r="Q80" s="17" t="n">
        <f aca="false">IF($B$10=0,"",IFERROR(IF($B$4&gt;0,IF($M80="",1/0,$M80*$B$4),0)+IF($B$5&gt;0,IF($N80="",1/0,$N80*$B$5),0)+IF($B$6&gt;0,IF($O80="",1/0,$O80*$B$6),0),""))</f>
        <v>51494.8</v>
      </c>
      <c r="R80" s="17" t="s">
        <v>47</v>
      </c>
      <c r="S80" s="18" t="n">
        <f aca="false">IF($Q80="","",IF($R80="Y",IFERROR(VLOOKUP($B80,$C$4:$D$13,2,FALSE()),0),0))</f>
        <v>0.1</v>
      </c>
      <c r="T80" s="17" t="n">
        <f aca="false">IF($Q80="","",ROUNDDOWN($Q80*$S80,0))</f>
        <v>5149</v>
      </c>
      <c r="U80" s="17" t="n">
        <f aca="false">IF($Q80="","",$Q80-$T80)</f>
        <v>46345.8</v>
      </c>
      <c r="V80" s="17" t="n">
        <f aca="false">IF($U80="","",IF($B$10=0,"",$U80/$B$10))</f>
        <v>1839.11904761905</v>
      </c>
      <c r="W80" s="17" t="n">
        <f aca="false">IF($Q80="","",IF($B$10=0,"",$Q80/$B$10))</f>
        <v>2043.44444444444</v>
      </c>
      <c r="X80" s="19" t="n">
        <f aca="false">IF($U80="",1000000000000000,$U80)</f>
        <v>46345.8</v>
      </c>
      <c r="XFC80" s="6"/>
    </row>
    <row r="81" s="5" customFormat="true" ht="28.5" hidden="false" customHeight="true" outlineLevel="0" collapsed="false">
      <c r="A81" s="16" t="n">
        <f aca="false">IF($U81="","",1+COUNTIF($X$15:$X$728,"&lt;"&amp;X81))</f>
        <v>67</v>
      </c>
      <c r="B81" s="16" t="s">
        <v>6</v>
      </c>
      <c r="C81" s="16" t="s">
        <v>251</v>
      </c>
      <c r="D81" s="16" t="s">
        <v>58</v>
      </c>
      <c r="E81" s="16" t="s">
        <v>47</v>
      </c>
      <c r="F81" s="16" t="s">
        <v>252</v>
      </c>
      <c r="G81" s="16" t="s">
        <v>253</v>
      </c>
      <c r="H81" s="17" t="n">
        <v>1955</v>
      </c>
      <c r="I81" s="17" t="n">
        <v>2158</v>
      </c>
      <c r="J81" s="17"/>
      <c r="K81" s="17" t="n">
        <v>1998</v>
      </c>
      <c r="L81" s="17" t="n">
        <f aca="false">IF(AND(IFERROR(SEARCH("현대오일뱅크",$C81),0)&gt;0,IFERROR(SEARCH("직영",$C81),0)&gt;0),$B$13,0)</f>
        <v>0</v>
      </c>
      <c r="M81" s="17" t="n">
        <f aca="false">IF($H81="","",$H81+$L81)</f>
        <v>1955</v>
      </c>
      <c r="N81" s="17" t="n">
        <f aca="false">IF($I81="","",$I81+$L81)</f>
        <v>2158</v>
      </c>
      <c r="O81" s="17" t="n">
        <f aca="false">IF($K81="","",$K81+$L81)</f>
        <v>1998</v>
      </c>
      <c r="P81" s="17" t="str">
        <f aca="false">IF($B$10=0,"",IFERROR(IF($B$4&gt;0,"휘발유 "&amp;TEXT(IF($M81="",1/0,$M81*$B$4),"#,##0")&amp;"원","")&amp;IF($B$5&gt;0,IF($B$4&gt;0," / ","")&amp;"고급유 "&amp;TEXT(IF($N81="",1/0,$N81*$B$5),"#,##0")&amp;"원","")&amp;IF($B$6&gt;0,IF(OR($B$4&gt;0,$B$5&gt;0)," / ","")&amp;"경유 "&amp;TEXT(IF($O81="",1/0,$O81*$B$6),"#,##0")&amp;"원",""),""))</f>
        <v>휘발유 27,370원 / 고급유 24,170원</v>
      </c>
      <c r="Q81" s="17" t="n">
        <f aca="false">IF($B$10=0,"",IFERROR(IF($B$4&gt;0,IF($M81="",1/0,$M81*$B$4),0)+IF($B$5&gt;0,IF($N81="",1/0,$N81*$B$5),0)+IF($B$6&gt;0,IF($O81="",1/0,$O81*$B$6),0),""))</f>
        <v>51539.6</v>
      </c>
      <c r="R81" s="17" t="s">
        <v>47</v>
      </c>
      <c r="S81" s="18" t="n">
        <f aca="false">IF($Q81="","",IF($R81="Y",IFERROR(VLOOKUP($B81,$C$4:$D$13,2,FALSE()),0),0))</f>
        <v>0.1</v>
      </c>
      <c r="T81" s="17" t="n">
        <f aca="false">IF($Q81="","",ROUNDDOWN($Q81*$S81,0))</f>
        <v>5153</v>
      </c>
      <c r="U81" s="17" t="n">
        <f aca="false">IF($Q81="","",$Q81-$T81)</f>
        <v>46386.6</v>
      </c>
      <c r="V81" s="17" t="n">
        <f aca="false">IF($U81="","",IF($B$10=0,"",$U81/$B$10))</f>
        <v>1840.7380952381</v>
      </c>
      <c r="W81" s="17" t="n">
        <f aca="false">IF($Q81="","",IF($B$10=0,"",$Q81/$B$10))</f>
        <v>2045.22222222222</v>
      </c>
      <c r="X81" s="19" t="n">
        <f aca="false">IF($U81="",1000000000000000,$U81)</f>
        <v>46386.6</v>
      </c>
      <c r="XFC81" s="6"/>
    </row>
    <row r="82" s="5" customFormat="true" ht="28.5" hidden="false" customHeight="true" outlineLevel="0" collapsed="false">
      <c r="A82" s="16" t="n">
        <f aca="false">IF($U82="","",1+COUNTIF($X$15:$X$728,"&lt;"&amp;X82))</f>
        <v>68</v>
      </c>
      <c r="B82" s="16" t="s">
        <v>6</v>
      </c>
      <c r="C82" s="16" t="s">
        <v>254</v>
      </c>
      <c r="D82" s="16" t="s">
        <v>112</v>
      </c>
      <c r="E82" s="16" t="s">
        <v>47</v>
      </c>
      <c r="F82" s="16" t="s">
        <v>255</v>
      </c>
      <c r="G82" s="16" t="s">
        <v>256</v>
      </c>
      <c r="H82" s="17" t="n">
        <v>1989</v>
      </c>
      <c r="I82" s="17" t="n">
        <v>2119</v>
      </c>
      <c r="J82" s="17"/>
      <c r="K82" s="17" t="n">
        <v>1997</v>
      </c>
      <c r="L82" s="17" t="n">
        <f aca="false">IF(AND(IFERROR(SEARCH("현대오일뱅크",$C82),0)&gt;0,IFERROR(SEARCH("직영",$C82),0)&gt;0),$B$13,0)</f>
        <v>0</v>
      </c>
      <c r="M82" s="17" t="n">
        <f aca="false">IF($H82="","",$H82+$L82)</f>
        <v>1989</v>
      </c>
      <c r="N82" s="17" t="n">
        <f aca="false">IF($I82="","",$I82+$L82)</f>
        <v>2119</v>
      </c>
      <c r="O82" s="17" t="n">
        <f aca="false">IF($K82="","",$K82+$L82)</f>
        <v>1997</v>
      </c>
      <c r="P82" s="17" t="str">
        <f aca="false">IF($B$10=0,"",IFERROR(IF($B$4&gt;0,"휘발유 "&amp;TEXT(IF($M82="",1/0,$M82*$B$4),"#,##0")&amp;"원","")&amp;IF($B$5&gt;0,IF($B$4&gt;0," / ","")&amp;"고급유 "&amp;TEXT(IF($N82="",1/0,$N82*$B$5),"#,##0")&amp;"원","")&amp;IF($B$6&gt;0,IF(OR($B$4&gt;0,$B$5&gt;0)," / ","")&amp;"경유 "&amp;TEXT(IF($O82="",1/0,$O82*$B$6),"#,##0")&amp;"원",""),""))</f>
        <v>휘발유 27,846원 / 고급유 23,733원</v>
      </c>
      <c r="Q82" s="17" t="n">
        <f aca="false">IF($B$10=0,"",IFERROR(IF($B$4&gt;0,IF($M82="",1/0,$M82*$B$4),0)+IF($B$5&gt;0,IF($N82="",1/0,$N82*$B$5),0)+IF($B$6&gt;0,IF($O82="",1/0,$O82*$B$6),0),""))</f>
        <v>51578.8</v>
      </c>
      <c r="R82" s="17" t="s">
        <v>47</v>
      </c>
      <c r="S82" s="18" t="n">
        <f aca="false">IF($Q82="","",IF($R82="Y",IFERROR(VLOOKUP($B82,$C$4:$D$13,2,FALSE()),0),0))</f>
        <v>0.1</v>
      </c>
      <c r="T82" s="17" t="n">
        <f aca="false">IF($Q82="","",ROUNDDOWN($Q82*$S82,0))</f>
        <v>5157</v>
      </c>
      <c r="U82" s="17" t="n">
        <f aca="false">IF($Q82="","",$Q82-$T82)</f>
        <v>46421.8</v>
      </c>
      <c r="V82" s="17" t="n">
        <f aca="false">IF($U82="","",IF($B$10=0,"",$U82/$B$10))</f>
        <v>1842.13492063492</v>
      </c>
      <c r="W82" s="17" t="n">
        <f aca="false">IF($Q82="","",IF($B$10=0,"",$Q82/$B$10))</f>
        <v>2046.77777777778</v>
      </c>
      <c r="X82" s="19" t="n">
        <f aca="false">IF($U82="",1000000000000000,$U82)</f>
        <v>46421.8</v>
      </c>
      <c r="XFC82" s="6"/>
    </row>
    <row r="83" s="5" customFormat="true" ht="28.5" hidden="false" customHeight="true" outlineLevel="0" collapsed="false">
      <c r="A83" s="16" t="n">
        <f aca="false">IF($U83="","",1+COUNTIF($X$15:$X$728,"&lt;"&amp;X83))</f>
        <v>69</v>
      </c>
      <c r="B83" s="16" t="s">
        <v>10</v>
      </c>
      <c r="C83" s="16" t="s">
        <v>257</v>
      </c>
      <c r="D83" s="20" t="s">
        <v>108</v>
      </c>
      <c r="E83" s="16" t="s">
        <v>47</v>
      </c>
      <c r="F83" s="16" t="s">
        <v>258</v>
      </c>
      <c r="G83" s="16" t="s">
        <v>259</v>
      </c>
      <c r="H83" s="17" t="n">
        <v>1957</v>
      </c>
      <c r="I83" s="17" t="n">
        <v>2167</v>
      </c>
      <c r="J83" s="17"/>
      <c r="K83" s="17" t="n">
        <v>1997</v>
      </c>
      <c r="L83" s="17" t="n">
        <f aca="false">IF(AND(IFERROR(SEARCH("현대오일뱅크",$C83),0)&gt;0,IFERROR(SEARCH("직영",$C83),0)&gt;0),$B$13,0)</f>
        <v>0</v>
      </c>
      <c r="M83" s="17" t="n">
        <f aca="false">IF($H83="","",$H83+$L83)</f>
        <v>1957</v>
      </c>
      <c r="N83" s="17" t="n">
        <f aca="false">IF($I83="","",$I83+$L83)</f>
        <v>2167</v>
      </c>
      <c r="O83" s="17" t="n">
        <f aca="false">IF($K83="","",$K83+$L83)</f>
        <v>1997</v>
      </c>
      <c r="P83" s="17" t="str">
        <f aca="false">IF($B$10=0,"",IFERROR(IF($B$4&gt;0,"휘발유 "&amp;TEXT(IF($M83="",1/0,$M83*$B$4),"#,##0")&amp;"원","")&amp;IF($B$5&gt;0,IF($B$4&gt;0," / ","")&amp;"고급유 "&amp;TEXT(IF($N83="",1/0,$N83*$B$5),"#,##0")&amp;"원","")&amp;IF($B$6&gt;0,IF(OR($B$4&gt;0,$B$5&gt;0)," / ","")&amp;"경유 "&amp;TEXT(IF($O83="",1/0,$O83*$B$6),"#,##0")&amp;"원",""),""))</f>
        <v>휘발유 27,398원 / 고급유 24,270원</v>
      </c>
      <c r="Q83" s="17" t="n">
        <f aca="false">IF($B$10=0,"",IFERROR(IF($B$4&gt;0,IF($M83="",1/0,$M83*$B$4),0)+IF($B$5&gt;0,IF($N83="",1/0,$N83*$B$5),0)+IF($B$6&gt;0,IF($O83="",1/0,$O83*$B$6),0),""))</f>
        <v>51668.4</v>
      </c>
      <c r="R83" s="17" t="s">
        <v>47</v>
      </c>
      <c r="S83" s="18" t="n">
        <f aca="false">IF($Q83="","",IF($R83="Y",IFERROR(VLOOKUP($B83,$C$4:$D$13,2,FALSE()),0),0))</f>
        <v>0.1</v>
      </c>
      <c r="T83" s="17" t="n">
        <f aca="false">IF($Q83="","",ROUNDDOWN($Q83*$S83,0))</f>
        <v>5166</v>
      </c>
      <c r="U83" s="17" t="n">
        <f aca="false">IF($Q83="","",$Q83-$T83)</f>
        <v>46502.4</v>
      </c>
      <c r="V83" s="17" t="n">
        <f aca="false">IF($U83="","",IF($B$10=0,"",$U83/$B$10))</f>
        <v>1845.33333333333</v>
      </c>
      <c r="W83" s="17" t="n">
        <f aca="false">IF($Q83="","",IF($B$10=0,"",$Q83/$B$10))</f>
        <v>2050.33333333333</v>
      </c>
      <c r="X83" s="19" t="n">
        <f aca="false">IF($U83="",1000000000000000,$U83)</f>
        <v>46502.4</v>
      </c>
      <c r="XFC83" s="6"/>
    </row>
    <row r="84" s="5" customFormat="true" ht="28.5" hidden="false" customHeight="true" outlineLevel="0" collapsed="false">
      <c r="A84" s="16" t="n">
        <f aca="false">IF($U84="","",1+COUNTIF($X$15:$X$728,"&lt;"&amp;X84))</f>
        <v>70</v>
      </c>
      <c r="B84" s="16" t="s">
        <v>12</v>
      </c>
      <c r="C84" s="16" t="s">
        <v>260</v>
      </c>
      <c r="D84" s="20" t="s">
        <v>108</v>
      </c>
      <c r="E84" s="16" t="s">
        <v>47</v>
      </c>
      <c r="F84" s="16" t="s">
        <v>261</v>
      </c>
      <c r="G84" s="16" t="s">
        <v>262</v>
      </c>
      <c r="H84" s="17" t="n">
        <v>1968</v>
      </c>
      <c r="I84" s="17" t="n">
        <v>2159</v>
      </c>
      <c r="J84" s="17"/>
      <c r="K84" s="17" t="n">
        <v>1989</v>
      </c>
      <c r="L84" s="17" t="n">
        <f aca="false">IF(AND(IFERROR(SEARCH("현대오일뱅크",$C84),0)&gt;0,IFERROR(SEARCH("직영",$C84),0)&gt;0),$B$13,0)</f>
        <v>0</v>
      </c>
      <c r="M84" s="17" t="n">
        <f aca="false">IF($H84="","",$H84+$L84)</f>
        <v>1968</v>
      </c>
      <c r="N84" s="17" t="n">
        <f aca="false">IF($I84="","",$I84+$L84)</f>
        <v>2159</v>
      </c>
      <c r="O84" s="17" t="n">
        <f aca="false">IF($K84="","",$K84+$L84)</f>
        <v>1989</v>
      </c>
      <c r="P84" s="17" t="str">
        <f aca="false">IF($B$10=0,"",IFERROR(IF($B$4&gt;0,"휘발유 "&amp;TEXT(IF($M84="",1/0,$M84*$B$4),"#,##0")&amp;"원","")&amp;IF($B$5&gt;0,IF($B$4&gt;0," / ","")&amp;"고급유 "&amp;TEXT(IF($N84="",1/0,$N84*$B$5),"#,##0")&amp;"원","")&amp;IF($B$6&gt;0,IF(OR($B$4&gt;0,$B$5&gt;0)," / ","")&amp;"경유 "&amp;TEXT(IF($O84="",1/0,$O84*$B$6),"#,##0")&amp;"원",""),""))</f>
        <v>휘발유 27,552원 / 고급유 24,181원</v>
      </c>
      <c r="Q84" s="17" t="n">
        <f aca="false">IF($B$10=0,"",IFERROR(IF($B$4&gt;0,IF($M84="",1/0,$M84*$B$4),0)+IF($B$5&gt;0,IF($N84="",1/0,$N84*$B$5),0)+IF($B$6&gt;0,IF($O84="",1/0,$O84*$B$6),0),""))</f>
        <v>51732.8</v>
      </c>
      <c r="R84" s="17" t="s">
        <v>47</v>
      </c>
      <c r="S84" s="18" t="n">
        <f aca="false">IF($Q84="","",IF($R84="Y",IFERROR(VLOOKUP($B84,$C$4:$D$13,2,FALSE()),0),0))</f>
        <v>0.1</v>
      </c>
      <c r="T84" s="17" t="n">
        <f aca="false">IF($Q84="","",ROUNDDOWN($Q84*$S84,0))</f>
        <v>5173</v>
      </c>
      <c r="U84" s="17" t="n">
        <f aca="false">IF($Q84="","",$Q84-$T84)</f>
        <v>46559.8</v>
      </c>
      <c r="V84" s="17" t="n">
        <f aca="false">IF($U84="","",IF($B$10=0,"",$U84/$B$10))</f>
        <v>1847.61111111111</v>
      </c>
      <c r="W84" s="17" t="n">
        <f aca="false">IF($Q84="","",IF($B$10=0,"",$Q84/$B$10))</f>
        <v>2052.88888888889</v>
      </c>
      <c r="X84" s="19" t="n">
        <f aca="false">IF($U84="",1000000000000000,$U84)</f>
        <v>46559.8</v>
      </c>
      <c r="XFC84" s="6"/>
    </row>
    <row r="85" s="5" customFormat="true" ht="28.5" hidden="false" customHeight="true" outlineLevel="0" collapsed="false">
      <c r="A85" s="16" t="n">
        <f aca="false">IF($U85="","",1+COUNTIF($X$15:$X$728,"&lt;"&amp;X85))</f>
        <v>71</v>
      </c>
      <c r="B85" s="16" t="s">
        <v>10</v>
      </c>
      <c r="C85" s="16" t="s">
        <v>263</v>
      </c>
      <c r="D85" s="16" t="s">
        <v>51</v>
      </c>
      <c r="E85" s="16" t="s">
        <v>59</v>
      </c>
      <c r="F85" s="16" t="s">
        <v>264</v>
      </c>
      <c r="G85" s="16" t="s">
        <v>265</v>
      </c>
      <c r="H85" s="17" t="n">
        <v>1958</v>
      </c>
      <c r="I85" s="17" t="n">
        <v>2178</v>
      </c>
      <c r="J85" s="17"/>
      <c r="K85" s="17" t="n">
        <v>1978</v>
      </c>
      <c r="L85" s="17" t="n">
        <f aca="false">IF(AND(IFERROR(SEARCH("현대오일뱅크",$C85),0)&gt;0,IFERROR(SEARCH("직영",$C85),0)&gt;0),$B$13,0)</f>
        <v>0</v>
      </c>
      <c r="M85" s="17" t="n">
        <f aca="false">IF($H85="","",$H85+$L85)</f>
        <v>1958</v>
      </c>
      <c r="N85" s="17" t="n">
        <f aca="false">IF($I85="","",$I85+$L85)</f>
        <v>2178</v>
      </c>
      <c r="O85" s="17" t="n">
        <f aca="false">IF($K85="","",$K85+$L85)</f>
        <v>1978</v>
      </c>
      <c r="P85" s="17" t="str">
        <f aca="false">IF($B$10=0,"",IFERROR(IF($B$4&gt;0,"휘발유 "&amp;TEXT(IF($M85="",1/0,$M85*$B$4),"#,##0")&amp;"원","")&amp;IF($B$5&gt;0,IF($B$4&gt;0," / ","")&amp;"고급유 "&amp;TEXT(IF($N85="",1/0,$N85*$B$5),"#,##0")&amp;"원","")&amp;IF($B$6&gt;0,IF(OR($B$4&gt;0,$B$5&gt;0)," / ","")&amp;"경유 "&amp;TEXT(IF($O85="",1/0,$O85*$B$6),"#,##0")&amp;"원",""),""))</f>
        <v>휘발유 27,412원 / 고급유 24,394원</v>
      </c>
      <c r="Q85" s="17" t="n">
        <f aca="false">IF($B$10=0,"",IFERROR(IF($B$4&gt;0,IF($M85="",1/0,$M85*$B$4),0)+IF($B$5&gt;0,IF($N85="",1/0,$N85*$B$5),0)+IF($B$6&gt;0,IF($O85="",1/0,$O85*$B$6),0),""))</f>
        <v>51805.6</v>
      </c>
      <c r="R85" s="17" t="s">
        <v>47</v>
      </c>
      <c r="S85" s="18" t="n">
        <f aca="false">IF($Q85="","",IF($R85="Y",IFERROR(VLOOKUP($B85,$C$4:$D$13,2,FALSE()),0),0))</f>
        <v>0.1</v>
      </c>
      <c r="T85" s="17" t="n">
        <f aca="false">IF($Q85="","",ROUNDDOWN($Q85*$S85,0))</f>
        <v>5180</v>
      </c>
      <c r="U85" s="17" t="n">
        <f aca="false">IF($Q85="","",$Q85-$T85)</f>
        <v>46625.6</v>
      </c>
      <c r="V85" s="17" t="n">
        <f aca="false">IF($U85="","",IF($B$10=0,"",$U85/$B$10))</f>
        <v>1850.22222222222</v>
      </c>
      <c r="W85" s="17" t="n">
        <f aca="false">IF($Q85="","",IF($B$10=0,"",$Q85/$B$10))</f>
        <v>2055.77777777778</v>
      </c>
      <c r="X85" s="19" t="n">
        <f aca="false">IF($U85="",1000000000000000,$U85)</f>
        <v>46625.6</v>
      </c>
      <c r="XFC85" s="6"/>
    </row>
    <row r="86" s="5" customFormat="true" ht="28.5" hidden="false" customHeight="true" outlineLevel="0" collapsed="false">
      <c r="A86" s="16" t="n">
        <f aca="false">IF($U86="","",1+COUNTIF($X$15:$X$728,"&lt;"&amp;X86))</f>
        <v>72</v>
      </c>
      <c r="B86" s="16" t="s">
        <v>6</v>
      </c>
      <c r="C86" s="16" t="s">
        <v>266</v>
      </c>
      <c r="D86" s="16" t="s">
        <v>58</v>
      </c>
      <c r="E86" s="16" t="s">
        <v>47</v>
      </c>
      <c r="F86" s="16" t="s">
        <v>267</v>
      </c>
      <c r="G86" s="16" t="s">
        <v>268</v>
      </c>
      <c r="H86" s="17" t="n">
        <v>1945</v>
      </c>
      <c r="I86" s="17" t="n">
        <v>2197</v>
      </c>
      <c r="J86" s="17"/>
      <c r="K86" s="17" t="n">
        <v>1985</v>
      </c>
      <c r="L86" s="17" t="n">
        <f aca="false">IF(AND(IFERROR(SEARCH("현대오일뱅크",$C86),0)&gt;0,IFERROR(SEARCH("직영",$C86),0)&gt;0),$B$13,0)</f>
        <v>0</v>
      </c>
      <c r="M86" s="17" t="n">
        <f aca="false">IF($H86="","",$H86+$L86)</f>
        <v>1945</v>
      </c>
      <c r="N86" s="17" t="n">
        <f aca="false">IF($I86="","",$I86+$L86)</f>
        <v>2197</v>
      </c>
      <c r="O86" s="17" t="n">
        <f aca="false">IF($K86="","",$K86+$L86)</f>
        <v>1985</v>
      </c>
      <c r="P86" s="17" t="str">
        <f aca="false">IF($B$10=0,"",IFERROR(IF($B$4&gt;0,"휘발유 "&amp;TEXT(IF($M86="",1/0,$M86*$B$4),"#,##0")&amp;"원","")&amp;IF($B$5&gt;0,IF($B$4&gt;0," / ","")&amp;"고급유 "&amp;TEXT(IF($N86="",1/0,$N86*$B$5),"#,##0")&amp;"원","")&amp;IF($B$6&gt;0,IF(OR($B$4&gt;0,$B$5&gt;0)," / ","")&amp;"경유 "&amp;TEXT(IF($O86="",1/0,$O86*$B$6),"#,##0")&amp;"원",""),""))</f>
        <v>휘발유 27,230원 / 고급유 24,606원</v>
      </c>
      <c r="Q86" s="17" t="n">
        <f aca="false">IF($B$10=0,"",IFERROR(IF($B$4&gt;0,IF($M86="",1/0,$M86*$B$4),0)+IF($B$5&gt;0,IF($N86="",1/0,$N86*$B$5),0)+IF($B$6&gt;0,IF($O86="",1/0,$O86*$B$6),0),""))</f>
        <v>51836.4</v>
      </c>
      <c r="R86" s="17" t="s">
        <v>47</v>
      </c>
      <c r="S86" s="18" t="n">
        <f aca="false">IF($Q86="","",IF($R86="Y",IFERROR(VLOOKUP($B86,$C$4:$D$13,2,FALSE()),0),0))</f>
        <v>0.1</v>
      </c>
      <c r="T86" s="17" t="n">
        <f aca="false">IF($Q86="","",ROUNDDOWN($Q86*$S86,0))</f>
        <v>5183</v>
      </c>
      <c r="U86" s="17" t="n">
        <f aca="false">IF($Q86="","",$Q86-$T86)</f>
        <v>46653.4</v>
      </c>
      <c r="V86" s="17" t="n">
        <f aca="false">IF($U86="","",IF($B$10=0,"",$U86/$B$10))</f>
        <v>1851.3253968254</v>
      </c>
      <c r="W86" s="17" t="n">
        <f aca="false">IF($Q86="","",IF($B$10=0,"",$Q86/$B$10))</f>
        <v>2057</v>
      </c>
      <c r="X86" s="19" t="n">
        <f aca="false">IF($U86="",1000000000000000,$U86)</f>
        <v>46653.4</v>
      </c>
      <c r="XFC86" s="6"/>
    </row>
    <row r="87" s="5" customFormat="true" ht="28.5" hidden="false" customHeight="true" outlineLevel="0" collapsed="false">
      <c r="A87" s="16" t="n">
        <f aca="false">IF($U87="","",1+COUNTIF($X$15:$X$728,"&lt;"&amp;X87))</f>
        <v>73</v>
      </c>
      <c r="B87" s="16" t="s">
        <v>12</v>
      </c>
      <c r="C87" s="16" t="s">
        <v>269</v>
      </c>
      <c r="D87" s="20" t="s">
        <v>108</v>
      </c>
      <c r="E87" s="16" t="s">
        <v>47</v>
      </c>
      <c r="F87" s="16" t="s">
        <v>270</v>
      </c>
      <c r="G87" s="16" t="s">
        <v>271</v>
      </c>
      <c r="H87" s="17" t="n">
        <v>1978</v>
      </c>
      <c r="I87" s="17" t="n">
        <v>2158</v>
      </c>
      <c r="J87" s="17"/>
      <c r="K87" s="17" t="n">
        <v>2158</v>
      </c>
      <c r="L87" s="17" t="n">
        <f aca="false">IF(AND(IFERROR(SEARCH("현대오일뱅크",$C87),0)&gt;0,IFERROR(SEARCH("직영",$C87),0)&gt;0),$B$13,0)</f>
        <v>0</v>
      </c>
      <c r="M87" s="17" t="n">
        <f aca="false">IF($H87="","",$H87+$L87)</f>
        <v>1978</v>
      </c>
      <c r="N87" s="17" t="n">
        <f aca="false">IF($I87="","",$I87+$L87)</f>
        <v>2158</v>
      </c>
      <c r="O87" s="17" t="n">
        <f aca="false">IF($K87="","",$K87+$L87)</f>
        <v>2158</v>
      </c>
      <c r="P87" s="17" t="str">
        <f aca="false">IF($B$10=0,"",IFERROR(IF($B$4&gt;0,"휘발유 "&amp;TEXT(IF($M87="",1/0,$M87*$B$4),"#,##0")&amp;"원","")&amp;IF($B$5&gt;0,IF($B$4&gt;0," / ","")&amp;"고급유 "&amp;TEXT(IF($N87="",1/0,$N87*$B$5),"#,##0")&amp;"원","")&amp;IF($B$6&gt;0,IF(OR($B$4&gt;0,$B$5&gt;0)," / ","")&amp;"경유 "&amp;TEXT(IF($O87="",1/0,$O87*$B$6),"#,##0")&amp;"원",""),""))</f>
        <v>휘발유 27,692원 / 고급유 24,170원</v>
      </c>
      <c r="Q87" s="17" t="n">
        <f aca="false">IF($B$10=0,"",IFERROR(IF($B$4&gt;0,IF($M87="",1/0,$M87*$B$4),0)+IF($B$5&gt;0,IF($N87="",1/0,$N87*$B$5),0)+IF($B$6&gt;0,IF($O87="",1/0,$O87*$B$6),0),""))</f>
        <v>51861.6</v>
      </c>
      <c r="R87" s="17" t="s">
        <v>47</v>
      </c>
      <c r="S87" s="18" t="n">
        <f aca="false">IF($Q87="","",IF($R87="Y",IFERROR(VLOOKUP($B87,$C$4:$D$13,2,FALSE()),0),0))</f>
        <v>0.1</v>
      </c>
      <c r="T87" s="17" t="n">
        <f aca="false">IF($Q87="","",ROUNDDOWN($Q87*$S87,0))</f>
        <v>5186</v>
      </c>
      <c r="U87" s="17" t="n">
        <f aca="false">IF($Q87="","",$Q87-$T87)</f>
        <v>46675.6</v>
      </c>
      <c r="V87" s="17" t="n">
        <f aca="false">IF($U87="","",IF($B$10=0,"",$U87/$B$10))</f>
        <v>1852.20634920635</v>
      </c>
      <c r="W87" s="17" t="n">
        <f aca="false">IF($Q87="","",IF($B$10=0,"",$Q87/$B$10))</f>
        <v>2058</v>
      </c>
      <c r="X87" s="19" t="n">
        <f aca="false">IF($U87="",1000000000000000,$U87)</f>
        <v>46675.6</v>
      </c>
      <c r="XFC87" s="6"/>
    </row>
    <row r="88" s="5" customFormat="true" ht="28.5" hidden="false" customHeight="true" outlineLevel="0" collapsed="false">
      <c r="A88" s="16" t="n">
        <f aca="false">IF($U88="","",1+COUNTIF($X$15:$X$728,"&lt;"&amp;X88))</f>
        <v>74</v>
      </c>
      <c r="B88" s="16" t="s">
        <v>10</v>
      </c>
      <c r="C88" s="16" t="s">
        <v>272</v>
      </c>
      <c r="D88" s="16" t="s">
        <v>51</v>
      </c>
      <c r="E88" s="16" t="s">
        <v>47</v>
      </c>
      <c r="F88" s="16" t="s">
        <v>273</v>
      </c>
      <c r="G88" s="16" t="s">
        <v>274</v>
      </c>
      <c r="H88" s="17" t="n">
        <v>1804</v>
      </c>
      <c r="I88" s="17" t="n">
        <v>1924</v>
      </c>
      <c r="J88" s="17"/>
      <c r="K88" s="17" t="n">
        <v>1749</v>
      </c>
      <c r="L88" s="17" t="n">
        <f aca="false">IF(AND(IFERROR(SEARCH("현대오일뱅크",$C88),0)&gt;0,IFERROR(SEARCH("직영",$C88),0)&gt;0),$B$13,0)</f>
        <v>0</v>
      </c>
      <c r="M88" s="17" t="n">
        <f aca="false">IF($H88="","",$H88+$L88)</f>
        <v>1804</v>
      </c>
      <c r="N88" s="17" t="n">
        <f aca="false">IF($I88="","",$I88+$L88)</f>
        <v>1924</v>
      </c>
      <c r="O88" s="17" t="n">
        <f aca="false">IF($K88="","",$K88+$L88)</f>
        <v>1749</v>
      </c>
      <c r="P88" s="17" t="str">
        <f aca="false">IF($B$10=0,"",IFERROR(IF($B$4&gt;0,"휘발유 "&amp;TEXT(IF($M88="",1/0,$M88*$B$4),"#,##0")&amp;"원","")&amp;IF($B$5&gt;0,IF($B$4&gt;0," / ","")&amp;"고급유 "&amp;TEXT(IF($N88="",1/0,$N88*$B$5),"#,##0")&amp;"원","")&amp;IF($B$6&gt;0,IF(OR($B$4&gt;0,$B$5&gt;0)," / ","")&amp;"경유 "&amp;TEXT(IF($O88="",1/0,$O88*$B$6),"#,##0")&amp;"원",""),""))</f>
        <v>휘발유 25,256원 / 고급유 21,549원</v>
      </c>
      <c r="Q88" s="17" t="n">
        <f aca="false">IF($B$10=0,"",IFERROR(IF($B$4&gt;0,IF($M88="",1/0,$M88*$B$4),0)+IF($B$5&gt;0,IF($N88="",1/0,$N88*$B$5),0)+IF($B$6&gt;0,IF($O88="",1/0,$O88*$B$6),0),""))</f>
        <v>46804.8</v>
      </c>
      <c r="R88" s="17"/>
      <c r="S88" s="18" t="n">
        <f aca="false">IF($Q88="","",IF($R88="Y",IFERROR(VLOOKUP($B88,$C$4:$D$13,2,FALSE()),0),0))</f>
        <v>0</v>
      </c>
      <c r="T88" s="17" t="n">
        <f aca="false">IF($Q88="","",ROUNDDOWN($Q88*$S88,0))</f>
        <v>0</v>
      </c>
      <c r="U88" s="17" t="n">
        <f aca="false">IF($Q88="","",$Q88-$T88)</f>
        <v>46804.8</v>
      </c>
      <c r="V88" s="17" t="n">
        <f aca="false">IF($U88="","",IF($B$10=0,"",$U88/$B$10))</f>
        <v>1857.33333333333</v>
      </c>
      <c r="W88" s="17" t="n">
        <f aca="false">IF($Q88="","",IF($B$10=0,"",$Q88/$B$10))</f>
        <v>1857.33333333333</v>
      </c>
      <c r="X88" s="19" t="n">
        <f aca="false">IF($U88="",1000000000000000,$U88)</f>
        <v>46804.8</v>
      </c>
      <c r="XFC88" s="6"/>
    </row>
    <row r="89" s="5" customFormat="true" ht="28.5" hidden="false" customHeight="true" outlineLevel="0" collapsed="false">
      <c r="A89" s="16" t="n">
        <f aca="false">IF($U89="","",1+COUNTIF($X$15:$X$728,"&lt;"&amp;X89))</f>
        <v>75</v>
      </c>
      <c r="B89" s="16" t="s">
        <v>6</v>
      </c>
      <c r="C89" s="16" t="s">
        <v>275</v>
      </c>
      <c r="D89" s="16" t="s">
        <v>51</v>
      </c>
      <c r="E89" s="16" t="s">
        <v>47</v>
      </c>
      <c r="F89" s="16" t="s">
        <v>276</v>
      </c>
      <c r="G89" s="16" t="s">
        <v>277</v>
      </c>
      <c r="H89" s="17" t="n">
        <v>1778</v>
      </c>
      <c r="I89" s="17" t="n">
        <v>1958</v>
      </c>
      <c r="J89" s="17"/>
      <c r="K89" s="17" t="n">
        <v>1758</v>
      </c>
      <c r="L89" s="17" t="n">
        <f aca="false">IF(AND(IFERROR(SEARCH("현대오일뱅크",$C89),0)&gt;0,IFERROR(SEARCH("직영",$C89),0)&gt;0),$B$13,0)</f>
        <v>0</v>
      </c>
      <c r="M89" s="17" t="n">
        <f aca="false">IF($H89="","",$H89+$L89)</f>
        <v>1778</v>
      </c>
      <c r="N89" s="17" t="n">
        <f aca="false">IF($I89="","",$I89+$L89)</f>
        <v>1958</v>
      </c>
      <c r="O89" s="17" t="n">
        <f aca="false">IF($K89="","",$K89+$L89)</f>
        <v>1758</v>
      </c>
      <c r="P89" s="17" t="str">
        <f aca="false">IF($B$10=0,"",IFERROR(IF($B$4&gt;0,"휘발유 "&amp;TEXT(IF($M89="",1/0,$M89*$B$4),"#,##0")&amp;"원","")&amp;IF($B$5&gt;0,IF($B$4&gt;0," / ","")&amp;"고급유 "&amp;TEXT(IF($N89="",1/0,$N89*$B$5),"#,##0")&amp;"원","")&amp;IF($B$6&gt;0,IF(OR($B$4&gt;0,$B$5&gt;0)," / ","")&amp;"경유 "&amp;TEXT(IF($O89="",1/0,$O89*$B$6),"#,##0")&amp;"원",""),""))</f>
        <v>휘발유 24,892원 / 고급유 21,930원</v>
      </c>
      <c r="Q89" s="17" t="n">
        <f aca="false">IF($B$10=0,"",IFERROR(IF($B$4&gt;0,IF($M89="",1/0,$M89*$B$4),0)+IF($B$5&gt;0,IF($N89="",1/0,$N89*$B$5),0)+IF($B$6&gt;0,IF($O89="",1/0,$O89*$B$6),0),""))</f>
        <v>46821.6</v>
      </c>
      <c r="R89" s="17"/>
      <c r="S89" s="18" t="n">
        <f aca="false">IF($Q89="","",IF($R89="Y",IFERROR(VLOOKUP($B89,$C$4:$D$13,2,FALSE()),0),0))</f>
        <v>0</v>
      </c>
      <c r="T89" s="17" t="n">
        <f aca="false">IF($Q89="","",ROUNDDOWN($Q89*$S89,0))</f>
        <v>0</v>
      </c>
      <c r="U89" s="17" t="n">
        <f aca="false">IF($Q89="","",$Q89-$T89)</f>
        <v>46821.6</v>
      </c>
      <c r="V89" s="17" t="n">
        <f aca="false">IF($U89="","",IF($B$10=0,"",$U89/$B$10))</f>
        <v>1858</v>
      </c>
      <c r="W89" s="17" t="n">
        <f aca="false">IF($Q89="","",IF($B$10=0,"",$Q89/$B$10))</f>
        <v>1858</v>
      </c>
      <c r="X89" s="19" t="n">
        <f aca="false">IF($U89="",1000000000000000,$U89)</f>
        <v>46821.6</v>
      </c>
      <c r="XFC89" s="6"/>
    </row>
    <row r="90" s="5" customFormat="true" ht="28.5" hidden="false" customHeight="true" outlineLevel="0" collapsed="false">
      <c r="A90" s="16" t="n">
        <f aca="false">IF($U90="","",1+COUNTIF($X$15:$X$728,"&lt;"&amp;X90))</f>
        <v>76</v>
      </c>
      <c r="B90" s="16" t="s">
        <v>10</v>
      </c>
      <c r="C90" s="16" t="s">
        <v>278</v>
      </c>
      <c r="D90" s="16" t="s">
        <v>51</v>
      </c>
      <c r="E90" s="16" t="s">
        <v>47</v>
      </c>
      <c r="F90" s="16" t="s">
        <v>279</v>
      </c>
      <c r="G90" s="16" t="s">
        <v>280</v>
      </c>
      <c r="H90" s="17" t="n">
        <v>1773</v>
      </c>
      <c r="I90" s="17" t="n">
        <v>1973</v>
      </c>
      <c r="J90" s="17"/>
      <c r="K90" s="17" t="n">
        <v>1750</v>
      </c>
      <c r="L90" s="17" t="n">
        <f aca="false">IF(AND(IFERROR(SEARCH("현대오일뱅크",$C90),0)&gt;0,IFERROR(SEARCH("직영",$C90),0)&gt;0),$B$13,0)</f>
        <v>0</v>
      </c>
      <c r="M90" s="17" t="n">
        <f aca="false">IF($H90="","",$H90+$L90)</f>
        <v>1773</v>
      </c>
      <c r="N90" s="17" t="n">
        <f aca="false">IF($I90="","",$I90+$L90)</f>
        <v>1973</v>
      </c>
      <c r="O90" s="17" t="n">
        <f aca="false">IF($K90="","",$K90+$L90)</f>
        <v>1750</v>
      </c>
      <c r="P90" s="17" t="str">
        <f aca="false">IF($B$10=0,"",IFERROR(IF($B$4&gt;0,"휘발유 "&amp;TEXT(IF($M90="",1/0,$M90*$B$4),"#,##0")&amp;"원","")&amp;IF($B$5&gt;0,IF($B$4&gt;0," / ","")&amp;"고급유 "&amp;TEXT(IF($N90="",1/0,$N90*$B$5),"#,##0")&amp;"원","")&amp;IF($B$6&gt;0,IF(OR($B$4&gt;0,$B$5&gt;0)," / ","")&amp;"경유 "&amp;TEXT(IF($O90="",1/0,$O90*$B$6),"#,##0")&amp;"원",""),""))</f>
        <v>휘발유 24,822원 / 고급유 22,098원</v>
      </c>
      <c r="Q90" s="17" t="n">
        <f aca="false">IF($B$10=0,"",IFERROR(IF($B$4&gt;0,IF($M90="",1/0,$M90*$B$4),0)+IF($B$5&gt;0,IF($N90="",1/0,$N90*$B$5),0)+IF($B$6&gt;0,IF($O90="",1/0,$O90*$B$6),0),""))</f>
        <v>46919.6</v>
      </c>
      <c r="R90" s="17"/>
      <c r="S90" s="18" t="n">
        <f aca="false">IF($Q90="","",IF($R90="Y",IFERROR(VLOOKUP($B90,$C$4:$D$13,2,FALSE()),0),0))</f>
        <v>0</v>
      </c>
      <c r="T90" s="17" t="n">
        <f aca="false">IF($Q90="","",ROUNDDOWN($Q90*$S90,0))</f>
        <v>0</v>
      </c>
      <c r="U90" s="17" t="n">
        <f aca="false">IF($Q90="","",$Q90-$T90)</f>
        <v>46919.6</v>
      </c>
      <c r="V90" s="17" t="n">
        <f aca="false">IF($U90="","",IF($B$10=0,"",$U90/$B$10))</f>
        <v>1861.88888888889</v>
      </c>
      <c r="W90" s="17" t="n">
        <f aca="false">IF($Q90="","",IF($B$10=0,"",$Q90/$B$10))</f>
        <v>1861.88888888889</v>
      </c>
      <c r="X90" s="19" t="n">
        <f aca="false">IF($U90="",1000000000000000,$U90)</f>
        <v>46919.6</v>
      </c>
      <c r="XFC90" s="6"/>
    </row>
    <row r="91" s="5" customFormat="true" ht="28.5" hidden="false" customHeight="true" outlineLevel="0" collapsed="false">
      <c r="A91" s="16" t="n">
        <f aca="false">IF($U91="","",1+COUNTIF($X$15:$X$728,"&lt;"&amp;X91))</f>
        <v>77</v>
      </c>
      <c r="B91" s="16" t="s">
        <v>6</v>
      </c>
      <c r="C91" s="16" t="s">
        <v>281</v>
      </c>
      <c r="D91" s="20" t="s">
        <v>108</v>
      </c>
      <c r="E91" s="16" t="s">
        <v>47</v>
      </c>
      <c r="F91" s="16" t="s">
        <v>282</v>
      </c>
      <c r="G91" s="16" t="s">
        <v>283</v>
      </c>
      <c r="H91" s="17" t="n">
        <v>1978</v>
      </c>
      <c r="I91" s="17" t="n">
        <v>2192</v>
      </c>
      <c r="J91" s="17"/>
      <c r="K91" s="17" t="n">
        <v>1979</v>
      </c>
      <c r="L91" s="17" t="n">
        <f aca="false">IF(AND(IFERROR(SEARCH("현대오일뱅크",$C91),0)&gt;0,IFERROR(SEARCH("직영",$C91),0)&gt;0),$B$13,0)</f>
        <v>0</v>
      </c>
      <c r="M91" s="17" t="n">
        <f aca="false">IF($H91="","",$H91+$L91)</f>
        <v>1978</v>
      </c>
      <c r="N91" s="17" t="n">
        <f aca="false">IF($I91="","",$I91+$L91)</f>
        <v>2192</v>
      </c>
      <c r="O91" s="17" t="n">
        <f aca="false">IF($K91="","",$K91+$L91)</f>
        <v>1979</v>
      </c>
      <c r="P91" s="17" t="str">
        <f aca="false">IF($B$10=0,"",IFERROR(IF($B$4&gt;0,"휘발유 "&amp;TEXT(IF($M91="",1/0,$M91*$B$4),"#,##0")&amp;"원","")&amp;IF($B$5&gt;0,IF($B$4&gt;0," / ","")&amp;"고급유 "&amp;TEXT(IF($N91="",1/0,$N91*$B$5),"#,##0")&amp;"원","")&amp;IF($B$6&gt;0,IF(OR($B$4&gt;0,$B$5&gt;0)," / ","")&amp;"경유 "&amp;TEXT(IF($O91="",1/0,$O91*$B$6),"#,##0")&amp;"원",""),""))</f>
        <v>휘발유 27,692원 / 고급유 24,550원</v>
      </c>
      <c r="Q91" s="17" t="n">
        <f aca="false">IF($B$10=0,"",IFERROR(IF($B$4&gt;0,IF($M91="",1/0,$M91*$B$4),0)+IF($B$5&gt;0,IF($N91="",1/0,$N91*$B$5),0)+IF($B$6&gt;0,IF($O91="",1/0,$O91*$B$6),0),""))</f>
        <v>52242.4</v>
      </c>
      <c r="R91" s="17" t="s">
        <v>47</v>
      </c>
      <c r="S91" s="18" t="n">
        <f aca="false">IF($Q91="","",IF($R91="Y",IFERROR(VLOOKUP($B91,$C$4:$D$13,2,FALSE()),0),0))</f>
        <v>0.1</v>
      </c>
      <c r="T91" s="17" t="n">
        <f aca="false">IF($Q91="","",ROUNDDOWN($Q91*$S91,0))</f>
        <v>5224</v>
      </c>
      <c r="U91" s="17" t="n">
        <f aca="false">IF($Q91="","",$Q91-$T91)</f>
        <v>47018.4</v>
      </c>
      <c r="V91" s="17" t="n">
        <f aca="false">IF($U91="","",IF($B$10=0,"",$U91/$B$10))</f>
        <v>1865.80952380952</v>
      </c>
      <c r="W91" s="17" t="n">
        <f aca="false">IF($Q91="","",IF($B$10=0,"",$Q91/$B$10))</f>
        <v>2073.11111111111</v>
      </c>
      <c r="X91" s="19" t="n">
        <f aca="false">IF($U91="",1000000000000000,$U91)</f>
        <v>47018.4</v>
      </c>
      <c r="XFC91" s="6"/>
    </row>
    <row r="92" s="5" customFormat="true" ht="28.5" hidden="false" customHeight="true" outlineLevel="0" collapsed="false">
      <c r="A92" s="16" t="n">
        <f aca="false">IF($U92="","",1+COUNTIF($X$15:$X$728,"&lt;"&amp;X92))</f>
        <v>78</v>
      </c>
      <c r="B92" s="16" t="s">
        <v>10</v>
      </c>
      <c r="C92" s="16" t="s">
        <v>284</v>
      </c>
      <c r="D92" s="20" t="s">
        <v>108</v>
      </c>
      <c r="E92" s="16" t="s">
        <v>47</v>
      </c>
      <c r="F92" s="16" t="s">
        <v>285</v>
      </c>
      <c r="G92" s="16" t="s">
        <v>286</v>
      </c>
      <c r="H92" s="17" t="n">
        <v>1769</v>
      </c>
      <c r="I92" s="17" t="n">
        <v>1989</v>
      </c>
      <c r="J92" s="17"/>
      <c r="K92" s="17" t="n">
        <v>1748</v>
      </c>
      <c r="L92" s="17" t="n">
        <f aca="false">IF(AND(IFERROR(SEARCH("현대오일뱅크",$C92),0)&gt;0,IFERROR(SEARCH("직영",$C92),0)&gt;0),$B$13,0)</f>
        <v>0</v>
      </c>
      <c r="M92" s="17" t="n">
        <f aca="false">IF($H92="","",$H92+$L92)</f>
        <v>1769</v>
      </c>
      <c r="N92" s="17" t="n">
        <f aca="false">IF($I92="","",$I92+$L92)</f>
        <v>1989</v>
      </c>
      <c r="O92" s="17" t="n">
        <f aca="false">IF($K92="","",$K92+$L92)</f>
        <v>1748</v>
      </c>
      <c r="P92" s="17" t="str">
        <f aca="false">IF($B$10=0,"",IFERROR(IF($B$4&gt;0,"휘발유 "&amp;TEXT(IF($M92="",1/0,$M92*$B$4),"#,##0")&amp;"원","")&amp;IF($B$5&gt;0,IF($B$4&gt;0," / ","")&amp;"고급유 "&amp;TEXT(IF($N92="",1/0,$N92*$B$5),"#,##0")&amp;"원","")&amp;IF($B$6&gt;0,IF(OR($B$4&gt;0,$B$5&gt;0)," / ","")&amp;"경유 "&amp;TEXT(IF($O92="",1/0,$O92*$B$6),"#,##0")&amp;"원",""),""))</f>
        <v>휘발유 24,766원 / 고급유 22,277원</v>
      </c>
      <c r="Q92" s="17" t="n">
        <f aca="false">IF($B$10=0,"",IFERROR(IF($B$4&gt;0,IF($M92="",1/0,$M92*$B$4),0)+IF($B$5&gt;0,IF($N92="",1/0,$N92*$B$5),0)+IF($B$6&gt;0,IF($O92="",1/0,$O92*$B$6),0),""))</f>
        <v>47042.8</v>
      </c>
      <c r="R92" s="17"/>
      <c r="S92" s="18" t="n">
        <f aca="false">IF($Q92="","",IF($R92="Y",IFERROR(VLOOKUP($B92,$C$4:$D$13,2,FALSE()),0),0))</f>
        <v>0</v>
      </c>
      <c r="T92" s="17" t="n">
        <f aca="false">IF($Q92="","",ROUNDDOWN($Q92*$S92,0))</f>
        <v>0</v>
      </c>
      <c r="U92" s="17" t="n">
        <f aca="false">IF($Q92="","",$Q92-$T92)</f>
        <v>47042.8</v>
      </c>
      <c r="V92" s="17" t="n">
        <f aca="false">IF($U92="","",IF($B$10=0,"",$U92/$B$10))</f>
        <v>1866.77777777778</v>
      </c>
      <c r="W92" s="17" t="n">
        <f aca="false">IF($Q92="","",IF($B$10=0,"",$Q92/$B$10))</f>
        <v>1866.77777777778</v>
      </c>
      <c r="X92" s="19" t="n">
        <f aca="false">IF($U92="",1000000000000000,$U92)</f>
        <v>47042.8</v>
      </c>
      <c r="XFC92" s="6"/>
    </row>
    <row r="93" s="5" customFormat="true" ht="28.5" hidden="false" customHeight="true" outlineLevel="0" collapsed="false">
      <c r="A93" s="16" t="n">
        <f aca="false">IF($U93="","",1+COUNTIF($X$15:$X$728,"&lt;"&amp;X93))</f>
        <v>78</v>
      </c>
      <c r="B93" s="16" t="s">
        <v>10</v>
      </c>
      <c r="C93" s="16" t="s">
        <v>287</v>
      </c>
      <c r="D93" s="16" t="s">
        <v>51</v>
      </c>
      <c r="E93" s="16" t="s">
        <v>47</v>
      </c>
      <c r="F93" s="16" t="s">
        <v>288</v>
      </c>
      <c r="G93" s="16" t="s">
        <v>289</v>
      </c>
      <c r="H93" s="17" t="n">
        <v>1777</v>
      </c>
      <c r="I93" s="17" t="n">
        <v>1979</v>
      </c>
      <c r="J93" s="17"/>
      <c r="K93" s="17" t="n">
        <v>1746</v>
      </c>
      <c r="L93" s="17" t="n">
        <f aca="false">IF(AND(IFERROR(SEARCH("현대오일뱅크",$C93),0)&gt;0,IFERROR(SEARCH("직영",$C93),0)&gt;0),$B$13,0)</f>
        <v>0</v>
      </c>
      <c r="M93" s="17" t="n">
        <f aca="false">IF($H93="","",$H93+$L93)</f>
        <v>1777</v>
      </c>
      <c r="N93" s="17" t="n">
        <f aca="false">IF($I93="","",$I93+$L93)</f>
        <v>1979</v>
      </c>
      <c r="O93" s="17" t="n">
        <f aca="false">IF($K93="","",$K93+$L93)</f>
        <v>1746</v>
      </c>
      <c r="P93" s="17" t="str">
        <f aca="false">IF($B$10=0,"",IFERROR(IF($B$4&gt;0,"휘발유 "&amp;TEXT(IF($M93="",1/0,$M93*$B$4),"#,##0")&amp;"원","")&amp;IF($B$5&gt;0,IF($B$4&gt;0," / ","")&amp;"고급유 "&amp;TEXT(IF($N93="",1/0,$N93*$B$5),"#,##0")&amp;"원","")&amp;IF($B$6&gt;0,IF(OR($B$4&gt;0,$B$5&gt;0)," / ","")&amp;"경유 "&amp;TEXT(IF($O93="",1/0,$O93*$B$6),"#,##0")&amp;"원",""),""))</f>
        <v>휘발유 24,878원 / 고급유 22,165원</v>
      </c>
      <c r="Q93" s="17" t="n">
        <f aca="false">IF($B$10=0,"",IFERROR(IF($B$4&gt;0,IF($M93="",1/0,$M93*$B$4),0)+IF($B$5&gt;0,IF($N93="",1/0,$N93*$B$5),0)+IF($B$6&gt;0,IF($O93="",1/0,$O93*$B$6),0),""))</f>
        <v>47042.8</v>
      </c>
      <c r="R93" s="17"/>
      <c r="S93" s="18" t="n">
        <f aca="false">IF($Q93="","",IF($R93="Y",IFERROR(VLOOKUP($B93,$C$4:$D$13,2,FALSE()),0),0))</f>
        <v>0</v>
      </c>
      <c r="T93" s="17" t="n">
        <f aca="false">IF($Q93="","",ROUNDDOWN($Q93*$S93,0))</f>
        <v>0</v>
      </c>
      <c r="U93" s="17" t="n">
        <f aca="false">IF($Q93="","",$Q93-$T93)</f>
        <v>47042.8</v>
      </c>
      <c r="V93" s="17" t="n">
        <f aca="false">IF($U93="","",IF($B$10=0,"",$U93/$B$10))</f>
        <v>1866.77777777778</v>
      </c>
      <c r="W93" s="17" t="n">
        <f aca="false">IF($Q93="","",IF($B$10=0,"",$Q93/$B$10))</f>
        <v>1866.77777777778</v>
      </c>
      <c r="X93" s="19" t="n">
        <f aca="false">IF($U93="",1000000000000000,$U93)</f>
        <v>47042.8</v>
      </c>
      <c r="XFC93" s="6"/>
    </row>
    <row r="94" s="5" customFormat="true" ht="28.5" hidden="false" customHeight="true" outlineLevel="0" collapsed="false">
      <c r="A94" s="16" t="n">
        <f aca="false">IF($U94="","",1+COUNTIF($X$15:$X$728,"&lt;"&amp;X94))</f>
        <v>80</v>
      </c>
      <c r="B94" s="16" t="s">
        <v>10</v>
      </c>
      <c r="C94" s="16" t="s">
        <v>290</v>
      </c>
      <c r="D94" s="16" t="s">
        <v>51</v>
      </c>
      <c r="E94" s="16" t="s">
        <v>47</v>
      </c>
      <c r="F94" s="16" t="s">
        <v>291</v>
      </c>
      <c r="G94" s="16" t="s">
        <v>292</v>
      </c>
      <c r="H94" s="17" t="n">
        <v>1778</v>
      </c>
      <c r="I94" s="17" t="n">
        <v>1978</v>
      </c>
      <c r="J94" s="17"/>
      <c r="K94" s="17" t="n">
        <v>1737</v>
      </c>
      <c r="L94" s="17" t="n">
        <f aca="false">IF(AND(IFERROR(SEARCH("현대오일뱅크",$C94),0)&gt;0,IFERROR(SEARCH("직영",$C94),0)&gt;0),$B$13,0)</f>
        <v>0</v>
      </c>
      <c r="M94" s="17" t="n">
        <f aca="false">IF($H94="","",$H94+$L94)</f>
        <v>1778</v>
      </c>
      <c r="N94" s="17" t="n">
        <f aca="false">IF($I94="","",$I94+$L94)</f>
        <v>1978</v>
      </c>
      <c r="O94" s="17" t="n">
        <f aca="false">IF($K94="","",$K94+$L94)</f>
        <v>1737</v>
      </c>
      <c r="P94" s="17" t="str">
        <f aca="false">IF($B$10=0,"",IFERROR(IF($B$4&gt;0,"휘발유 "&amp;TEXT(IF($M94="",1/0,$M94*$B$4),"#,##0")&amp;"원","")&amp;IF($B$5&gt;0,IF($B$4&gt;0," / ","")&amp;"고급유 "&amp;TEXT(IF($N94="",1/0,$N94*$B$5),"#,##0")&amp;"원","")&amp;IF($B$6&gt;0,IF(OR($B$4&gt;0,$B$5&gt;0)," / ","")&amp;"경유 "&amp;TEXT(IF($O94="",1/0,$O94*$B$6),"#,##0")&amp;"원",""),""))</f>
        <v>휘발유 24,892원 / 고급유 22,154원</v>
      </c>
      <c r="Q94" s="17" t="n">
        <f aca="false">IF($B$10=0,"",IFERROR(IF($B$4&gt;0,IF($M94="",1/0,$M94*$B$4),0)+IF($B$5&gt;0,IF($N94="",1/0,$N94*$B$5),0)+IF($B$6&gt;0,IF($O94="",1/0,$O94*$B$6),0),""))</f>
        <v>47045.6</v>
      </c>
      <c r="R94" s="17"/>
      <c r="S94" s="18" t="n">
        <f aca="false">IF($Q94="","",IF($R94="Y",IFERROR(VLOOKUP($B94,$C$4:$D$13,2,FALSE()),0),0))</f>
        <v>0</v>
      </c>
      <c r="T94" s="17" t="n">
        <f aca="false">IF($Q94="","",ROUNDDOWN($Q94*$S94,0))</f>
        <v>0</v>
      </c>
      <c r="U94" s="17" t="n">
        <f aca="false">IF($Q94="","",$Q94-$T94)</f>
        <v>47045.6</v>
      </c>
      <c r="V94" s="17" t="n">
        <f aca="false">IF($U94="","",IF($B$10=0,"",$U94/$B$10))</f>
        <v>1866.88888888889</v>
      </c>
      <c r="W94" s="17" t="n">
        <f aca="false">IF($Q94="","",IF($B$10=0,"",$Q94/$B$10))</f>
        <v>1866.88888888889</v>
      </c>
      <c r="X94" s="19" t="n">
        <f aca="false">IF($U94="",1000000000000000,$U94)</f>
        <v>47045.6</v>
      </c>
      <c r="XFC94" s="6"/>
    </row>
    <row r="95" s="5" customFormat="true" ht="28.5" hidden="false" customHeight="true" outlineLevel="0" collapsed="false">
      <c r="A95" s="16" t="n">
        <f aca="false">IF($U95="","",1+COUNTIF($X$15:$X$728,"&lt;"&amp;X95))</f>
        <v>81</v>
      </c>
      <c r="B95" s="16" t="s">
        <v>12</v>
      </c>
      <c r="C95" s="16" t="s">
        <v>293</v>
      </c>
      <c r="D95" s="20" t="s">
        <v>294</v>
      </c>
      <c r="E95" s="16" t="s">
        <v>47</v>
      </c>
      <c r="F95" s="16" t="s">
        <v>295</v>
      </c>
      <c r="G95" s="16" t="s">
        <v>296</v>
      </c>
      <c r="H95" s="17" t="n">
        <v>1748</v>
      </c>
      <c r="I95" s="17" t="n">
        <v>2039</v>
      </c>
      <c r="J95" s="17"/>
      <c r="K95" s="17" t="n">
        <v>1763</v>
      </c>
      <c r="L95" s="17" t="n">
        <f aca="false">IF(AND(IFERROR(SEARCH("현대오일뱅크",$C95),0)&gt;0,IFERROR(SEARCH("직영",$C95),0)&gt;0),$B$13,0)</f>
        <v>-10</v>
      </c>
      <c r="M95" s="17" t="n">
        <f aca="false">IF($H95="","",$H95+$L95)</f>
        <v>1738</v>
      </c>
      <c r="N95" s="17" t="n">
        <f aca="false">IF($I95="","",$I95+$L95)</f>
        <v>2029</v>
      </c>
      <c r="O95" s="17" t="n">
        <f aca="false">IF($K95="","",$K95+$L95)</f>
        <v>1753</v>
      </c>
      <c r="P95" s="17" t="str">
        <f aca="false">IF($B$10=0,"",IFERROR(IF($B$4&gt;0,"휘발유 "&amp;TEXT(IF($M95="",1/0,$M95*$B$4),"#,##0")&amp;"원","")&amp;IF($B$5&gt;0,IF($B$4&gt;0," / ","")&amp;"고급유 "&amp;TEXT(IF($N95="",1/0,$N95*$B$5),"#,##0")&amp;"원","")&amp;IF($B$6&gt;0,IF(OR($B$4&gt;0,$B$5&gt;0)," / ","")&amp;"경유 "&amp;TEXT(IF($O95="",1/0,$O95*$B$6),"#,##0")&amp;"원",""),""))</f>
        <v>휘발유 24,332원 / 고급유 22,725원</v>
      </c>
      <c r="Q95" s="17" t="n">
        <f aca="false">IF($B$10=0,"",IFERROR(IF($B$4&gt;0,IF($M95="",1/0,$M95*$B$4),0)+IF($B$5&gt;0,IF($N95="",1/0,$N95*$B$5),0)+IF($B$6&gt;0,IF($O95="",1/0,$O95*$B$6),0),""))</f>
        <v>47056.8</v>
      </c>
      <c r="R95" s="17"/>
      <c r="S95" s="18" t="n">
        <f aca="false">IF($Q95="","",IF($R95="Y",IFERROR(VLOOKUP($B95,$C$4:$D$13,2,FALSE()),0),0))</f>
        <v>0</v>
      </c>
      <c r="T95" s="17" t="n">
        <f aca="false">IF($Q95="","",ROUNDDOWN($Q95*$S95,0))</f>
        <v>0</v>
      </c>
      <c r="U95" s="17" t="n">
        <f aca="false">IF($Q95="","",$Q95-$T95)</f>
        <v>47056.8</v>
      </c>
      <c r="V95" s="17" t="n">
        <f aca="false">IF($U95="","",IF($B$10=0,"",$U95/$B$10))</f>
        <v>1867.33333333333</v>
      </c>
      <c r="W95" s="17" t="n">
        <f aca="false">IF($Q95="","",IF($B$10=0,"",$Q95/$B$10))</f>
        <v>1867.33333333333</v>
      </c>
      <c r="X95" s="19" t="n">
        <f aca="false">IF($U95="",1000000000000000,$U95)</f>
        <v>47056.8</v>
      </c>
      <c r="XFC95" s="6"/>
    </row>
    <row r="96" s="5" customFormat="true" ht="28.5" hidden="false" customHeight="true" outlineLevel="0" collapsed="false">
      <c r="A96" s="16" t="n">
        <f aca="false">IF($U96="","",1+COUNTIF($X$15:$X$728,"&lt;"&amp;X96))</f>
        <v>82</v>
      </c>
      <c r="B96" s="16" t="s">
        <v>12</v>
      </c>
      <c r="C96" s="16" t="s">
        <v>297</v>
      </c>
      <c r="D96" s="20" t="s">
        <v>294</v>
      </c>
      <c r="E96" s="16" t="s">
        <v>47</v>
      </c>
      <c r="F96" s="16" t="s">
        <v>298</v>
      </c>
      <c r="G96" s="16" t="s">
        <v>299</v>
      </c>
      <c r="H96" s="17" t="n">
        <v>1748</v>
      </c>
      <c r="I96" s="17" t="n">
        <v>2049</v>
      </c>
      <c r="J96" s="17"/>
      <c r="K96" s="17" t="n">
        <v>1763</v>
      </c>
      <c r="L96" s="17" t="n">
        <f aca="false">IF(AND(IFERROR(SEARCH("현대오일뱅크",$C96),0)&gt;0,IFERROR(SEARCH("직영",$C96),0)&gt;0),$B$13,0)</f>
        <v>-10</v>
      </c>
      <c r="M96" s="17" t="n">
        <f aca="false">IF($H96="","",$H96+$L96)</f>
        <v>1738</v>
      </c>
      <c r="N96" s="17" t="n">
        <f aca="false">IF($I96="","",$I96+$L96)</f>
        <v>2039</v>
      </c>
      <c r="O96" s="17" t="n">
        <f aca="false">IF($K96="","",$K96+$L96)</f>
        <v>1753</v>
      </c>
      <c r="P96" s="17" t="str">
        <f aca="false">IF($B$10=0,"",IFERROR(IF($B$4&gt;0,"휘발유 "&amp;TEXT(IF($M96="",1/0,$M96*$B$4),"#,##0")&amp;"원","")&amp;IF($B$5&gt;0,IF($B$4&gt;0," / ","")&amp;"고급유 "&amp;TEXT(IF($N96="",1/0,$N96*$B$5),"#,##0")&amp;"원","")&amp;IF($B$6&gt;0,IF(OR($B$4&gt;0,$B$5&gt;0)," / ","")&amp;"경유 "&amp;TEXT(IF($O96="",1/0,$O96*$B$6),"#,##0")&amp;"원",""),""))</f>
        <v>휘발유 24,332원 / 고급유 22,837원</v>
      </c>
      <c r="Q96" s="17" t="n">
        <f aca="false">IF($B$10=0,"",IFERROR(IF($B$4&gt;0,IF($M96="",1/0,$M96*$B$4),0)+IF($B$5&gt;0,IF($N96="",1/0,$N96*$B$5),0)+IF($B$6&gt;0,IF($O96="",1/0,$O96*$B$6),0),""))</f>
        <v>47168.8</v>
      </c>
      <c r="R96" s="17"/>
      <c r="S96" s="18" t="n">
        <f aca="false">IF($Q96="","",IF($R96="Y",IFERROR(VLOOKUP($B96,$C$4:$D$13,2,FALSE()),0),0))</f>
        <v>0</v>
      </c>
      <c r="T96" s="17" t="n">
        <f aca="false">IF($Q96="","",ROUNDDOWN($Q96*$S96,0))</f>
        <v>0</v>
      </c>
      <c r="U96" s="17" t="n">
        <f aca="false">IF($Q96="","",$Q96-$T96)</f>
        <v>47168.8</v>
      </c>
      <c r="V96" s="17" t="n">
        <f aca="false">IF($U96="","",IF($B$10=0,"",$U96/$B$10))</f>
        <v>1871.77777777778</v>
      </c>
      <c r="W96" s="17" t="n">
        <f aca="false">IF($Q96="","",IF($B$10=0,"",$Q96/$B$10))</f>
        <v>1871.77777777778</v>
      </c>
      <c r="X96" s="19" t="n">
        <f aca="false">IF($U96="",1000000000000000,$U96)</f>
        <v>47168.8</v>
      </c>
      <c r="XFC96" s="6"/>
    </row>
    <row r="97" s="5" customFormat="true" ht="28.5" hidden="false" customHeight="true" outlineLevel="0" collapsed="false">
      <c r="A97" s="16" t="n">
        <f aca="false">IF($U97="","",1+COUNTIF($X$15:$X$728,"&lt;"&amp;X97))</f>
        <v>83</v>
      </c>
      <c r="B97" s="16" t="s">
        <v>12</v>
      </c>
      <c r="C97" s="16" t="s">
        <v>300</v>
      </c>
      <c r="D97" s="20" t="s">
        <v>248</v>
      </c>
      <c r="E97" s="16" t="s">
        <v>47</v>
      </c>
      <c r="F97" s="16" t="s">
        <v>301</v>
      </c>
      <c r="G97" s="16" t="s">
        <v>302</v>
      </c>
      <c r="H97" s="17" t="n">
        <v>1994</v>
      </c>
      <c r="I97" s="17" t="n">
        <v>2199</v>
      </c>
      <c r="J97" s="17"/>
      <c r="K97" s="17" t="n">
        <v>2154</v>
      </c>
      <c r="L97" s="17" t="n">
        <f aca="false">IF(AND(IFERROR(SEARCH("현대오일뱅크",$C97),0)&gt;0,IFERROR(SEARCH("직영",$C97),0)&gt;0),$B$13,0)</f>
        <v>0</v>
      </c>
      <c r="M97" s="17" t="n">
        <f aca="false">IF($H97="","",$H97+$L97)</f>
        <v>1994</v>
      </c>
      <c r="N97" s="17" t="n">
        <f aca="false">IF($I97="","",$I97+$L97)</f>
        <v>2199</v>
      </c>
      <c r="O97" s="17" t="n">
        <f aca="false">IF($K97="","",$K97+$L97)</f>
        <v>2154</v>
      </c>
      <c r="P97" s="17" t="str">
        <f aca="false">IF($B$10=0,"",IFERROR(IF($B$4&gt;0,"휘발유 "&amp;TEXT(IF($M97="",1/0,$M97*$B$4),"#,##0")&amp;"원","")&amp;IF($B$5&gt;0,IF($B$4&gt;0," / ","")&amp;"고급유 "&amp;TEXT(IF($N97="",1/0,$N97*$B$5),"#,##0")&amp;"원","")&amp;IF($B$6&gt;0,IF(OR($B$4&gt;0,$B$5&gt;0)," / ","")&amp;"경유 "&amp;TEXT(IF($O97="",1/0,$O97*$B$6),"#,##0")&amp;"원",""),""))</f>
        <v>휘발유 27,916원 / 고급유 24,629원</v>
      </c>
      <c r="Q97" s="17" t="n">
        <f aca="false">IF($B$10=0,"",IFERROR(IF($B$4&gt;0,IF($M97="",1/0,$M97*$B$4),0)+IF($B$5&gt;0,IF($N97="",1/0,$N97*$B$5),0)+IF($B$6&gt;0,IF($O97="",1/0,$O97*$B$6),0),""))</f>
        <v>52544.8</v>
      </c>
      <c r="R97" s="17" t="s">
        <v>47</v>
      </c>
      <c r="S97" s="18" t="n">
        <f aca="false">IF($Q97="","",IF($R97="Y",IFERROR(VLOOKUP($B97,$C$4:$D$13,2,FALSE()),0),0))</f>
        <v>0.1</v>
      </c>
      <c r="T97" s="17" t="n">
        <f aca="false">IF($Q97="","",ROUNDDOWN($Q97*$S97,0))</f>
        <v>5254</v>
      </c>
      <c r="U97" s="17" t="n">
        <f aca="false">IF($Q97="","",$Q97-$T97)</f>
        <v>47290.8</v>
      </c>
      <c r="V97" s="17" t="n">
        <f aca="false">IF($U97="","",IF($B$10=0,"",$U97/$B$10))</f>
        <v>1876.61904761905</v>
      </c>
      <c r="W97" s="17" t="n">
        <f aca="false">IF($Q97="","",IF($B$10=0,"",$Q97/$B$10))</f>
        <v>2085.11111111111</v>
      </c>
      <c r="X97" s="19" t="n">
        <f aca="false">IF($U97="",1000000000000000,$U97)</f>
        <v>47290.8</v>
      </c>
      <c r="XFC97" s="6"/>
    </row>
    <row r="98" s="5" customFormat="true" ht="28.5" hidden="false" customHeight="true" outlineLevel="0" collapsed="false">
      <c r="A98" s="16" t="n">
        <f aca="false">IF($U98="","",1+COUNTIF($X$15:$X$728,"&lt;"&amp;X98))</f>
        <v>84</v>
      </c>
      <c r="B98" s="16" t="s">
        <v>8</v>
      </c>
      <c r="C98" s="16" t="s">
        <v>303</v>
      </c>
      <c r="D98" s="16" t="s">
        <v>58</v>
      </c>
      <c r="E98" s="16" t="s">
        <v>47</v>
      </c>
      <c r="F98" s="16" t="s">
        <v>304</v>
      </c>
      <c r="G98" s="16" t="s">
        <v>305</v>
      </c>
      <c r="H98" s="17" t="n">
        <v>1768</v>
      </c>
      <c r="I98" s="17" t="n">
        <v>2035</v>
      </c>
      <c r="J98" s="17"/>
      <c r="K98" s="17" t="n">
        <v>1748</v>
      </c>
      <c r="L98" s="17" t="n">
        <f aca="false">IF(AND(IFERROR(SEARCH("현대오일뱅크",$C98),0)&gt;0,IFERROR(SEARCH("직영",$C98),0)&gt;0),$B$13,0)</f>
        <v>-10</v>
      </c>
      <c r="M98" s="17" t="n">
        <f aca="false">IF($H98="","",$H98+$L98)</f>
        <v>1758</v>
      </c>
      <c r="N98" s="17" t="n">
        <f aca="false">IF($I98="","",$I98+$L98)</f>
        <v>2025</v>
      </c>
      <c r="O98" s="17" t="n">
        <f aca="false">IF($K98="","",$K98+$L98)</f>
        <v>1738</v>
      </c>
      <c r="P98" s="17" t="str">
        <f aca="false">IF($B$10=0,"",IFERROR(IF($B$4&gt;0,"휘발유 "&amp;TEXT(IF($M98="",1/0,$M98*$B$4),"#,##0")&amp;"원","")&amp;IF($B$5&gt;0,IF($B$4&gt;0," / ","")&amp;"고급유 "&amp;TEXT(IF($N98="",1/0,$N98*$B$5),"#,##0")&amp;"원","")&amp;IF($B$6&gt;0,IF(OR($B$4&gt;0,$B$5&gt;0)," / ","")&amp;"경유 "&amp;TEXT(IF($O98="",1/0,$O98*$B$6),"#,##0")&amp;"원",""),""))</f>
        <v>휘발유 24,612원 / 고급유 22,680원</v>
      </c>
      <c r="Q98" s="17" t="n">
        <f aca="false">IF($B$10=0,"",IFERROR(IF($B$4&gt;0,IF($M98="",1/0,$M98*$B$4),0)+IF($B$5&gt;0,IF($N98="",1/0,$N98*$B$5),0)+IF($B$6&gt;0,IF($O98="",1/0,$O98*$B$6),0),""))</f>
        <v>47292</v>
      </c>
      <c r="R98" s="17"/>
      <c r="S98" s="18" t="n">
        <f aca="false">IF($Q98="","",IF($R98="Y",IFERROR(VLOOKUP($B98,$C$4:$D$13,2,FALSE()),0),0))</f>
        <v>0</v>
      </c>
      <c r="T98" s="17" t="n">
        <f aca="false">IF($Q98="","",ROUNDDOWN($Q98*$S98,0))</f>
        <v>0</v>
      </c>
      <c r="U98" s="17" t="n">
        <f aca="false">IF($Q98="","",$Q98-$T98)</f>
        <v>47292</v>
      </c>
      <c r="V98" s="17" t="n">
        <f aca="false">IF($U98="","",IF($B$10=0,"",$U98/$B$10))</f>
        <v>1876.66666666667</v>
      </c>
      <c r="W98" s="17" t="n">
        <f aca="false">IF($Q98="","",IF($B$10=0,"",$Q98/$B$10))</f>
        <v>1876.66666666667</v>
      </c>
      <c r="X98" s="19" t="n">
        <f aca="false">IF($U98="",1000000000000000,$U98)</f>
        <v>47292</v>
      </c>
      <c r="XFC98" s="6"/>
    </row>
    <row r="99" s="5" customFormat="true" ht="28.5" hidden="false" customHeight="true" outlineLevel="0" collapsed="false">
      <c r="A99" s="16" t="n">
        <f aca="false">IF($U99="","",1+COUNTIF($X$15:$X$728,"&lt;"&amp;X99))</f>
        <v>85</v>
      </c>
      <c r="B99" s="16" t="s">
        <v>10</v>
      </c>
      <c r="C99" s="16" t="s">
        <v>306</v>
      </c>
      <c r="D99" s="16" t="s">
        <v>58</v>
      </c>
      <c r="E99" s="16" t="s">
        <v>47</v>
      </c>
      <c r="F99" s="16" t="s">
        <v>307</v>
      </c>
      <c r="G99" s="16" t="s">
        <v>308</v>
      </c>
      <c r="H99" s="17" t="n">
        <v>1794</v>
      </c>
      <c r="I99" s="17" t="n">
        <v>2004</v>
      </c>
      <c r="J99" s="17"/>
      <c r="K99" s="17" t="n">
        <v>1769</v>
      </c>
      <c r="L99" s="17" t="n">
        <f aca="false">IF(AND(IFERROR(SEARCH("현대오일뱅크",$C99),0)&gt;0,IFERROR(SEARCH("직영",$C99),0)&gt;0),$B$13,0)</f>
        <v>-10</v>
      </c>
      <c r="M99" s="17" t="n">
        <f aca="false">IF($H99="","",$H99+$L99)</f>
        <v>1784</v>
      </c>
      <c r="N99" s="17" t="n">
        <f aca="false">IF($I99="","",$I99+$L99)</f>
        <v>1994</v>
      </c>
      <c r="O99" s="17" t="n">
        <f aca="false">IF($K99="","",$K99+$L99)</f>
        <v>1759</v>
      </c>
      <c r="P99" s="17" t="str">
        <f aca="false">IF($B$10=0,"",IFERROR(IF($B$4&gt;0,"휘발유 "&amp;TEXT(IF($M99="",1/0,$M99*$B$4),"#,##0")&amp;"원","")&amp;IF($B$5&gt;0,IF($B$4&gt;0," / ","")&amp;"고급유 "&amp;TEXT(IF($N99="",1/0,$N99*$B$5),"#,##0")&amp;"원","")&amp;IF($B$6&gt;0,IF(OR($B$4&gt;0,$B$5&gt;0)," / ","")&amp;"경유 "&amp;TEXT(IF($O99="",1/0,$O99*$B$6),"#,##0")&amp;"원",""),""))</f>
        <v>휘발유 24,976원 / 고급유 22,333원</v>
      </c>
      <c r="Q99" s="17" t="n">
        <f aca="false">IF($B$10=0,"",IFERROR(IF($B$4&gt;0,IF($M99="",1/0,$M99*$B$4),0)+IF($B$5&gt;0,IF($N99="",1/0,$N99*$B$5),0)+IF($B$6&gt;0,IF($O99="",1/0,$O99*$B$6),0),""))</f>
        <v>47308.8</v>
      </c>
      <c r="R99" s="17"/>
      <c r="S99" s="18" t="n">
        <f aca="false">IF($Q99="","",IF($R99="Y",IFERROR(VLOOKUP($B99,$C$4:$D$13,2,FALSE()),0),0))</f>
        <v>0</v>
      </c>
      <c r="T99" s="17" t="n">
        <f aca="false">IF($Q99="","",ROUNDDOWN($Q99*$S99,0))</f>
        <v>0</v>
      </c>
      <c r="U99" s="17" t="n">
        <f aca="false">IF($Q99="","",$Q99-$T99)</f>
        <v>47308.8</v>
      </c>
      <c r="V99" s="17" t="n">
        <f aca="false">IF($U99="","",IF($B$10=0,"",$U99/$B$10))</f>
        <v>1877.33333333333</v>
      </c>
      <c r="W99" s="17" t="n">
        <f aca="false">IF($Q99="","",IF($B$10=0,"",$Q99/$B$10))</f>
        <v>1877.33333333333</v>
      </c>
      <c r="X99" s="19" t="n">
        <f aca="false">IF($U99="",1000000000000000,$U99)</f>
        <v>47308.8</v>
      </c>
      <c r="XFC99" s="6"/>
    </row>
    <row r="100" s="5" customFormat="true" ht="28.5" hidden="false" customHeight="true" outlineLevel="0" collapsed="false">
      <c r="A100" s="16" t="n">
        <f aca="false">IF($U100="","",1+COUNTIF($X$15:$X$728,"&lt;"&amp;X100))</f>
        <v>85</v>
      </c>
      <c r="B100" s="16" t="s">
        <v>8</v>
      </c>
      <c r="C100" s="16" t="s">
        <v>309</v>
      </c>
      <c r="D100" s="20" t="s">
        <v>108</v>
      </c>
      <c r="E100" s="16" t="s">
        <v>47</v>
      </c>
      <c r="F100" s="16" t="s">
        <v>310</v>
      </c>
      <c r="G100" s="16" t="s">
        <v>311</v>
      </c>
      <c r="H100" s="17" t="n">
        <v>1788</v>
      </c>
      <c r="I100" s="17" t="n">
        <v>1989</v>
      </c>
      <c r="J100" s="17"/>
      <c r="K100" s="17" t="n">
        <v>1758</v>
      </c>
      <c r="L100" s="17" t="n">
        <f aca="false">IF(AND(IFERROR(SEARCH("현대오일뱅크",$C100),0)&gt;0,IFERROR(SEARCH("직영",$C100),0)&gt;0),$B$13,0)</f>
        <v>0</v>
      </c>
      <c r="M100" s="17" t="n">
        <f aca="false">IF($H100="","",$H100+$L100)</f>
        <v>1788</v>
      </c>
      <c r="N100" s="17" t="n">
        <f aca="false">IF($I100="","",$I100+$L100)</f>
        <v>1989</v>
      </c>
      <c r="O100" s="17" t="n">
        <f aca="false">IF($K100="","",$K100+$L100)</f>
        <v>1758</v>
      </c>
      <c r="P100" s="17" t="str">
        <f aca="false">IF($B$10=0,"",IFERROR(IF($B$4&gt;0,"휘발유 "&amp;TEXT(IF($M100="",1/0,$M100*$B$4),"#,##0")&amp;"원","")&amp;IF($B$5&gt;0,IF($B$4&gt;0," / ","")&amp;"고급유 "&amp;TEXT(IF($N100="",1/0,$N100*$B$5),"#,##0")&amp;"원","")&amp;IF($B$6&gt;0,IF(OR($B$4&gt;0,$B$5&gt;0)," / ","")&amp;"경유 "&amp;TEXT(IF($O100="",1/0,$O100*$B$6),"#,##0")&amp;"원",""),""))</f>
        <v>휘발유 25,032원 / 고급유 22,277원</v>
      </c>
      <c r="Q100" s="17" t="n">
        <f aca="false">IF($B$10=0,"",IFERROR(IF($B$4&gt;0,IF($M100="",1/0,$M100*$B$4),0)+IF($B$5&gt;0,IF($N100="",1/0,$N100*$B$5),0)+IF($B$6&gt;0,IF($O100="",1/0,$O100*$B$6),0),""))</f>
        <v>47308.8</v>
      </c>
      <c r="R100" s="17"/>
      <c r="S100" s="18" t="n">
        <f aca="false">IF($Q100="","",IF($R100="Y",IFERROR(VLOOKUP($B100,$C$4:$D$13,2,FALSE()),0),0))</f>
        <v>0</v>
      </c>
      <c r="T100" s="17" t="n">
        <f aca="false">IF($Q100="","",ROUNDDOWN($Q100*$S100,0))</f>
        <v>0</v>
      </c>
      <c r="U100" s="17" t="n">
        <f aca="false">IF($Q100="","",$Q100-$T100)</f>
        <v>47308.8</v>
      </c>
      <c r="V100" s="17" t="n">
        <f aca="false">IF($U100="","",IF($B$10=0,"",$U100/$B$10))</f>
        <v>1877.33333333333</v>
      </c>
      <c r="W100" s="17" t="n">
        <f aca="false">IF($Q100="","",IF($B$10=0,"",$Q100/$B$10))</f>
        <v>1877.33333333333</v>
      </c>
      <c r="X100" s="19" t="n">
        <f aca="false">IF($U100="",1000000000000000,$U100)</f>
        <v>47308.8</v>
      </c>
      <c r="XFC100" s="6"/>
    </row>
    <row r="101" s="5" customFormat="true" ht="28.5" hidden="false" customHeight="true" outlineLevel="0" collapsed="false">
      <c r="A101" s="16" t="n">
        <f aca="false">IF($U101="","",1+COUNTIF($X$15:$X$728,"&lt;"&amp;X101))</f>
        <v>87</v>
      </c>
      <c r="B101" s="16" t="s">
        <v>6</v>
      </c>
      <c r="C101" s="16" t="s">
        <v>312</v>
      </c>
      <c r="D101" s="16" t="s">
        <v>51</v>
      </c>
      <c r="E101" s="16" t="s">
        <v>47</v>
      </c>
      <c r="F101" s="16" t="s">
        <v>313</v>
      </c>
      <c r="G101" s="16" t="s">
        <v>314</v>
      </c>
      <c r="H101" s="17" t="n">
        <v>1780</v>
      </c>
      <c r="I101" s="17" t="n">
        <v>2006</v>
      </c>
      <c r="J101" s="17"/>
      <c r="K101" s="17" t="n">
        <v>1760</v>
      </c>
      <c r="L101" s="17" t="n">
        <f aca="false">IF(AND(IFERROR(SEARCH("현대오일뱅크",$C101),0)&gt;0,IFERROR(SEARCH("직영",$C101),0)&gt;0),$B$13,0)</f>
        <v>0</v>
      </c>
      <c r="M101" s="17" t="n">
        <f aca="false">IF($H101="","",$H101+$L101)</f>
        <v>1780</v>
      </c>
      <c r="N101" s="17" t="n">
        <f aca="false">IF($I101="","",$I101+$L101)</f>
        <v>2006</v>
      </c>
      <c r="O101" s="17" t="n">
        <f aca="false">IF($K101="","",$K101+$L101)</f>
        <v>1760</v>
      </c>
      <c r="P101" s="17" t="str">
        <f aca="false">IF($B$10=0,"",IFERROR(IF($B$4&gt;0,"휘발유 "&amp;TEXT(IF($M101="",1/0,$M101*$B$4),"#,##0")&amp;"원","")&amp;IF($B$5&gt;0,IF($B$4&gt;0," / ","")&amp;"고급유 "&amp;TEXT(IF($N101="",1/0,$N101*$B$5),"#,##0")&amp;"원","")&amp;IF($B$6&gt;0,IF(OR($B$4&gt;0,$B$5&gt;0)," / ","")&amp;"경유 "&amp;TEXT(IF($O101="",1/0,$O101*$B$6),"#,##0")&amp;"원",""),""))</f>
        <v>휘발유 24,920원 / 고급유 22,467원</v>
      </c>
      <c r="Q101" s="17" t="n">
        <f aca="false">IF($B$10=0,"",IFERROR(IF($B$4&gt;0,IF($M101="",1/0,$M101*$B$4),0)+IF($B$5&gt;0,IF($N101="",1/0,$N101*$B$5),0)+IF($B$6&gt;0,IF($O101="",1/0,$O101*$B$6),0),""))</f>
        <v>47387.2</v>
      </c>
      <c r="R101" s="17"/>
      <c r="S101" s="18" t="n">
        <f aca="false">IF($Q101="","",IF($R101="Y",IFERROR(VLOOKUP($B101,$C$4:$D$13,2,FALSE()),0),0))</f>
        <v>0</v>
      </c>
      <c r="T101" s="17" t="n">
        <f aca="false">IF($Q101="","",ROUNDDOWN($Q101*$S101,0))</f>
        <v>0</v>
      </c>
      <c r="U101" s="17" t="n">
        <f aca="false">IF($Q101="","",$Q101-$T101)</f>
        <v>47387.2</v>
      </c>
      <c r="V101" s="17" t="n">
        <f aca="false">IF($U101="","",IF($B$10=0,"",$U101/$B$10))</f>
        <v>1880.44444444444</v>
      </c>
      <c r="W101" s="17" t="n">
        <f aca="false">IF($Q101="","",IF($B$10=0,"",$Q101/$B$10))</f>
        <v>1880.44444444444</v>
      </c>
      <c r="X101" s="19" t="n">
        <f aca="false">IF($U101="",1000000000000000,$U101)</f>
        <v>47387.2</v>
      </c>
      <c r="XFC101" s="6"/>
    </row>
    <row r="102" s="5" customFormat="true" ht="28.5" hidden="false" customHeight="true" outlineLevel="0" collapsed="false">
      <c r="A102" s="16" t="n">
        <f aca="false">IF($U102="","",1+COUNTIF($X$15:$X$728,"&lt;"&amp;X102))</f>
        <v>88</v>
      </c>
      <c r="B102" s="16" t="s">
        <v>10</v>
      </c>
      <c r="C102" s="16" t="s">
        <v>315</v>
      </c>
      <c r="D102" s="16" t="s">
        <v>58</v>
      </c>
      <c r="E102" s="16" t="s">
        <v>47</v>
      </c>
      <c r="F102" s="16" t="s">
        <v>316</v>
      </c>
      <c r="G102" s="16" t="s">
        <v>317</v>
      </c>
      <c r="H102" s="17" t="n">
        <v>1794</v>
      </c>
      <c r="I102" s="17" t="n">
        <v>2014</v>
      </c>
      <c r="J102" s="17"/>
      <c r="K102" s="17" t="n">
        <v>1724</v>
      </c>
      <c r="L102" s="17" t="n">
        <f aca="false">IF(AND(IFERROR(SEARCH("현대오일뱅크",$C102),0)&gt;0,IFERROR(SEARCH("직영",$C102),0)&gt;0),$B$13,0)</f>
        <v>-10</v>
      </c>
      <c r="M102" s="17" t="n">
        <f aca="false">IF($H102="","",$H102+$L102)</f>
        <v>1784</v>
      </c>
      <c r="N102" s="17" t="n">
        <f aca="false">IF($I102="","",$I102+$L102)</f>
        <v>2004</v>
      </c>
      <c r="O102" s="17" t="n">
        <f aca="false">IF($K102="","",$K102+$L102)</f>
        <v>1714</v>
      </c>
      <c r="P102" s="17" t="str">
        <f aca="false">IF($B$10=0,"",IFERROR(IF($B$4&gt;0,"휘발유 "&amp;TEXT(IF($M102="",1/0,$M102*$B$4),"#,##0")&amp;"원","")&amp;IF($B$5&gt;0,IF($B$4&gt;0," / ","")&amp;"고급유 "&amp;TEXT(IF($N102="",1/0,$N102*$B$5),"#,##0")&amp;"원","")&amp;IF($B$6&gt;0,IF(OR($B$4&gt;0,$B$5&gt;0)," / ","")&amp;"경유 "&amp;TEXT(IF($O102="",1/0,$O102*$B$6),"#,##0")&amp;"원",""),""))</f>
        <v>휘발유 24,976원 / 고급유 22,445원</v>
      </c>
      <c r="Q102" s="17" t="n">
        <f aca="false">IF($B$10=0,"",IFERROR(IF($B$4&gt;0,IF($M102="",1/0,$M102*$B$4),0)+IF($B$5&gt;0,IF($N102="",1/0,$N102*$B$5),0)+IF($B$6&gt;0,IF($O102="",1/0,$O102*$B$6),0),""))</f>
        <v>47420.8</v>
      </c>
      <c r="R102" s="17"/>
      <c r="S102" s="18" t="n">
        <f aca="false">IF($Q102="","",IF($R102="Y",IFERROR(VLOOKUP($B102,$C$4:$D$13,2,FALSE()),0),0))</f>
        <v>0</v>
      </c>
      <c r="T102" s="17" t="n">
        <f aca="false">IF($Q102="","",ROUNDDOWN($Q102*$S102,0))</f>
        <v>0</v>
      </c>
      <c r="U102" s="17" t="n">
        <f aca="false">IF($Q102="","",$Q102-$T102)</f>
        <v>47420.8</v>
      </c>
      <c r="V102" s="17" t="n">
        <f aca="false">IF($U102="","",IF($B$10=0,"",$U102/$B$10))</f>
        <v>1881.77777777778</v>
      </c>
      <c r="W102" s="17" t="n">
        <f aca="false">IF($Q102="","",IF($B$10=0,"",$Q102/$B$10))</f>
        <v>1881.77777777778</v>
      </c>
      <c r="X102" s="19" t="n">
        <f aca="false">IF($U102="",1000000000000000,$U102)</f>
        <v>47420.8</v>
      </c>
      <c r="XFC102" s="6"/>
    </row>
    <row r="103" s="5" customFormat="true" ht="28.5" hidden="false" customHeight="true" outlineLevel="0" collapsed="false">
      <c r="A103" s="16" t="n">
        <f aca="false">IF($U103="","",1+COUNTIF($X$15:$X$728,"&lt;"&amp;X103))</f>
        <v>88</v>
      </c>
      <c r="B103" s="16" t="s">
        <v>8</v>
      </c>
      <c r="C103" s="16" t="s">
        <v>318</v>
      </c>
      <c r="D103" s="16" t="s">
        <v>58</v>
      </c>
      <c r="E103" s="16" t="s">
        <v>47</v>
      </c>
      <c r="F103" s="16" t="s">
        <v>319</v>
      </c>
      <c r="G103" s="16" t="s">
        <v>320</v>
      </c>
      <c r="H103" s="17" t="n">
        <v>1802</v>
      </c>
      <c r="I103" s="17" t="n">
        <v>2004</v>
      </c>
      <c r="J103" s="17"/>
      <c r="K103" s="17" t="n">
        <v>1752</v>
      </c>
      <c r="L103" s="17" t="n">
        <f aca="false">IF(AND(IFERROR(SEARCH("현대오일뱅크",$C103),0)&gt;0,IFERROR(SEARCH("직영",$C103),0)&gt;0),$B$13,0)</f>
        <v>-10</v>
      </c>
      <c r="M103" s="17" t="n">
        <f aca="false">IF($H103="","",$H103+$L103)</f>
        <v>1792</v>
      </c>
      <c r="N103" s="17" t="n">
        <f aca="false">IF($I103="","",$I103+$L103)</f>
        <v>1994</v>
      </c>
      <c r="O103" s="17" t="n">
        <f aca="false">IF($K103="","",$K103+$L103)</f>
        <v>1742</v>
      </c>
      <c r="P103" s="17" t="str">
        <f aca="false">IF($B$10=0,"",IFERROR(IF($B$4&gt;0,"휘발유 "&amp;TEXT(IF($M103="",1/0,$M103*$B$4),"#,##0")&amp;"원","")&amp;IF($B$5&gt;0,IF($B$4&gt;0," / ","")&amp;"고급유 "&amp;TEXT(IF($N103="",1/0,$N103*$B$5),"#,##0")&amp;"원","")&amp;IF($B$6&gt;0,IF(OR($B$4&gt;0,$B$5&gt;0)," / ","")&amp;"경유 "&amp;TEXT(IF($O103="",1/0,$O103*$B$6),"#,##0")&amp;"원",""),""))</f>
        <v>휘발유 25,088원 / 고급유 22,333원</v>
      </c>
      <c r="Q103" s="17" t="n">
        <f aca="false">IF($B$10=0,"",IFERROR(IF($B$4&gt;0,IF($M103="",1/0,$M103*$B$4),0)+IF($B$5&gt;0,IF($N103="",1/0,$N103*$B$5),0)+IF($B$6&gt;0,IF($O103="",1/0,$O103*$B$6),0),""))</f>
        <v>47420.8</v>
      </c>
      <c r="R103" s="17"/>
      <c r="S103" s="18" t="n">
        <f aca="false">IF($Q103="","",IF($R103="Y",IFERROR(VLOOKUP($B103,$C$4:$D$13,2,FALSE()),0),0))</f>
        <v>0</v>
      </c>
      <c r="T103" s="17" t="n">
        <f aca="false">IF($Q103="","",ROUNDDOWN($Q103*$S103,0))</f>
        <v>0</v>
      </c>
      <c r="U103" s="17" t="n">
        <f aca="false">IF($Q103="","",$Q103-$T103)</f>
        <v>47420.8</v>
      </c>
      <c r="V103" s="17" t="n">
        <f aca="false">IF($U103="","",IF($B$10=0,"",$U103/$B$10))</f>
        <v>1881.77777777778</v>
      </c>
      <c r="W103" s="17" t="n">
        <f aca="false">IF($Q103="","",IF($B$10=0,"",$Q103/$B$10))</f>
        <v>1881.77777777778</v>
      </c>
      <c r="X103" s="19" t="n">
        <f aca="false">IF($U103="",1000000000000000,$U103)</f>
        <v>47420.8</v>
      </c>
      <c r="XFC103" s="6"/>
    </row>
    <row r="104" s="5" customFormat="true" ht="28.5" hidden="false" customHeight="true" outlineLevel="0" collapsed="false">
      <c r="A104" s="16" t="n">
        <f aca="false">IF($U104="","",1+COUNTIF($X$15:$X$728,"&lt;"&amp;X104))</f>
        <v>90</v>
      </c>
      <c r="B104" s="16" t="s">
        <v>10</v>
      </c>
      <c r="C104" s="16" t="s">
        <v>321</v>
      </c>
      <c r="D104" s="16" t="s">
        <v>58</v>
      </c>
      <c r="E104" s="16" t="s">
        <v>47</v>
      </c>
      <c r="F104" s="16" t="s">
        <v>322</v>
      </c>
      <c r="G104" s="16" t="s">
        <v>323</v>
      </c>
      <c r="H104" s="17" t="n">
        <v>1804</v>
      </c>
      <c r="I104" s="17" t="n">
        <v>2003</v>
      </c>
      <c r="J104" s="17"/>
      <c r="K104" s="17" t="n">
        <v>1754</v>
      </c>
      <c r="L104" s="17" t="n">
        <f aca="false">IF(AND(IFERROR(SEARCH("현대오일뱅크",$C104),0)&gt;0,IFERROR(SEARCH("직영",$C104),0)&gt;0),$B$13,0)</f>
        <v>-10</v>
      </c>
      <c r="M104" s="17" t="n">
        <f aca="false">IF($H104="","",$H104+$L104)</f>
        <v>1794</v>
      </c>
      <c r="N104" s="17" t="n">
        <f aca="false">IF($I104="","",$I104+$L104)</f>
        <v>1993</v>
      </c>
      <c r="O104" s="17" t="n">
        <f aca="false">IF($K104="","",$K104+$L104)</f>
        <v>1744</v>
      </c>
      <c r="P104" s="17" t="str">
        <f aca="false">IF($B$10=0,"",IFERROR(IF($B$4&gt;0,"휘발유 "&amp;TEXT(IF($M104="",1/0,$M104*$B$4),"#,##0")&amp;"원","")&amp;IF($B$5&gt;0,IF($B$4&gt;0," / ","")&amp;"고급유 "&amp;TEXT(IF($N104="",1/0,$N104*$B$5),"#,##0")&amp;"원","")&amp;IF($B$6&gt;0,IF(OR($B$4&gt;0,$B$5&gt;0)," / ","")&amp;"경유 "&amp;TEXT(IF($O104="",1/0,$O104*$B$6),"#,##0")&amp;"원",""),""))</f>
        <v>휘발유 25,116원 / 고급유 22,322원</v>
      </c>
      <c r="Q104" s="17" t="n">
        <f aca="false">IF($B$10=0,"",IFERROR(IF($B$4&gt;0,IF($M104="",1/0,$M104*$B$4),0)+IF($B$5&gt;0,IF($N104="",1/0,$N104*$B$5),0)+IF($B$6&gt;0,IF($O104="",1/0,$O104*$B$6),0),""))</f>
        <v>47437.6</v>
      </c>
      <c r="R104" s="17"/>
      <c r="S104" s="18" t="n">
        <f aca="false">IF($Q104="","",IF($R104="Y",IFERROR(VLOOKUP($B104,$C$4:$D$13,2,FALSE()),0),0))</f>
        <v>0</v>
      </c>
      <c r="T104" s="17" t="n">
        <f aca="false">IF($Q104="","",ROUNDDOWN($Q104*$S104,0))</f>
        <v>0</v>
      </c>
      <c r="U104" s="17" t="n">
        <f aca="false">IF($Q104="","",$Q104-$T104)</f>
        <v>47437.6</v>
      </c>
      <c r="V104" s="17" t="n">
        <f aca="false">IF($U104="","",IF($B$10=0,"",$U104/$B$10))</f>
        <v>1882.44444444444</v>
      </c>
      <c r="W104" s="17" t="n">
        <f aca="false">IF($Q104="","",IF($B$10=0,"",$Q104/$B$10))</f>
        <v>1882.44444444444</v>
      </c>
      <c r="X104" s="19" t="n">
        <f aca="false">IF($U104="",1000000000000000,$U104)</f>
        <v>47437.6</v>
      </c>
      <c r="XFC104" s="6"/>
    </row>
    <row r="105" s="5" customFormat="true" ht="28.5" hidden="false" customHeight="true" outlineLevel="0" collapsed="false">
      <c r="A105" s="16" t="n">
        <f aca="false">IF($U105="","",1+COUNTIF($X$15:$X$728,"&lt;"&amp;X105))</f>
        <v>91</v>
      </c>
      <c r="B105" s="16" t="s">
        <v>6</v>
      </c>
      <c r="C105" s="16" t="s">
        <v>324</v>
      </c>
      <c r="D105" s="20" t="s">
        <v>108</v>
      </c>
      <c r="E105" s="16" t="s">
        <v>47</v>
      </c>
      <c r="F105" s="16" t="s">
        <v>325</v>
      </c>
      <c r="G105" s="16" t="s">
        <v>326</v>
      </c>
      <c r="H105" s="17" t="n">
        <v>1798</v>
      </c>
      <c r="I105" s="17" t="n">
        <v>1989</v>
      </c>
      <c r="J105" s="17"/>
      <c r="K105" s="17" t="n">
        <v>1779</v>
      </c>
      <c r="L105" s="17" t="n">
        <f aca="false">IF(AND(IFERROR(SEARCH("현대오일뱅크",$C105),0)&gt;0,IFERROR(SEARCH("직영",$C105),0)&gt;0),$B$13,0)</f>
        <v>0</v>
      </c>
      <c r="M105" s="17" t="n">
        <f aca="false">IF($H105="","",$H105+$L105)</f>
        <v>1798</v>
      </c>
      <c r="N105" s="17" t="n">
        <f aca="false">IF($I105="","",$I105+$L105)</f>
        <v>1989</v>
      </c>
      <c r="O105" s="17" t="n">
        <f aca="false">IF($K105="","",$K105+$L105)</f>
        <v>1779</v>
      </c>
      <c r="P105" s="17" t="str">
        <f aca="false">IF($B$10=0,"",IFERROR(IF($B$4&gt;0,"휘발유 "&amp;TEXT(IF($M105="",1/0,$M105*$B$4),"#,##0")&amp;"원","")&amp;IF($B$5&gt;0,IF($B$4&gt;0," / ","")&amp;"고급유 "&amp;TEXT(IF($N105="",1/0,$N105*$B$5),"#,##0")&amp;"원","")&amp;IF($B$6&gt;0,IF(OR($B$4&gt;0,$B$5&gt;0)," / ","")&amp;"경유 "&amp;TEXT(IF($O105="",1/0,$O105*$B$6),"#,##0")&amp;"원",""),""))</f>
        <v>휘발유 25,172원 / 고급유 22,277원</v>
      </c>
      <c r="Q105" s="17" t="n">
        <f aca="false">IF($B$10=0,"",IFERROR(IF($B$4&gt;0,IF($M105="",1/0,$M105*$B$4),0)+IF($B$5&gt;0,IF($N105="",1/0,$N105*$B$5),0)+IF($B$6&gt;0,IF($O105="",1/0,$O105*$B$6),0),""))</f>
        <v>47448.8</v>
      </c>
      <c r="R105" s="17"/>
      <c r="S105" s="18" t="n">
        <f aca="false">IF($Q105="","",IF($R105="Y",IFERROR(VLOOKUP($B105,$C$4:$D$13,2,FALSE()),0),0))</f>
        <v>0</v>
      </c>
      <c r="T105" s="17" t="n">
        <f aca="false">IF($Q105="","",ROUNDDOWN($Q105*$S105,0))</f>
        <v>0</v>
      </c>
      <c r="U105" s="17" t="n">
        <f aca="false">IF($Q105="","",$Q105-$T105)</f>
        <v>47448.8</v>
      </c>
      <c r="V105" s="17" t="n">
        <f aca="false">IF($U105="","",IF($B$10=0,"",$U105/$B$10))</f>
        <v>1882.88888888889</v>
      </c>
      <c r="W105" s="17" t="n">
        <f aca="false">IF($Q105="","",IF($B$10=0,"",$Q105/$B$10))</f>
        <v>1882.88888888889</v>
      </c>
      <c r="X105" s="19" t="n">
        <f aca="false">IF($U105="",1000000000000000,$U105)</f>
        <v>47448.8</v>
      </c>
      <c r="XFC105" s="6"/>
    </row>
    <row r="106" s="5" customFormat="true" ht="28.5" hidden="false" customHeight="true" outlineLevel="0" collapsed="false">
      <c r="A106" s="16" t="n">
        <f aca="false">IF($U106="","",1+COUNTIF($X$15:$X$728,"&lt;"&amp;X106))</f>
        <v>91</v>
      </c>
      <c r="B106" s="16" t="s">
        <v>12</v>
      </c>
      <c r="C106" s="16" t="s">
        <v>327</v>
      </c>
      <c r="D106" s="20" t="s">
        <v>108</v>
      </c>
      <c r="E106" s="16" t="s">
        <v>47</v>
      </c>
      <c r="F106" s="16" t="s">
        <v>328</v>
      </c>
      <c r="G106" s="16" t="s">
        <v>329</v>
      </c>
      <c r="H106" s="17" t="n">
        <v>1798</v>
      </c>
      <c r="I106" s="17" t="n">
        <v>1989</v>
      </c>
      <c r="J106" s="17"/>
      <c r="K106" s="17" t="n">
        <v>1768</v>
      </c>
      <c r="L106" s="17" t="n">
        <f aca="false">IF(AND(IFERROR(SEARCH("현대오일뱅크",$C106),0)&gt;0,IFERROR(SEARCH("직영",$C106),0)&gt;0),$B$13,0)</f>
        <v>0</v>
      </c>
      <c r="M106" s="17" t="n">
        <f aca="false">IF($H106="","",$H106+$L106)</f>
        <v>1798</v>
      </c>
      <c r="N106" s="17" t="n">
        <f aca="false">IF($I106="","",$I106+$L106)</f>
        <v>1989</v>
      </c>
      <c r="O106" s="17" t="n">
        <f aca="false">IF($K106="","",$K106+$L106)</f>
        <v>1768</v>
      </c>
      <c r="P106" s="17" t="str">
        <f aca="false">IF($B$10=0,"",IFERROR(IF($B$4&gt;0,"휘발유 "&amp;TEXT(IF($M106="",1/0,$M106*$B$4),"#,##0")&amp;"원","")&amp;IF($B$5&gt;0,IF($B$4&gt;0," / ","")&amp;"고급유 "&amp;TEXT(IF($N106="",1/0,$N106*$B$5),"#,##0")&amp;"원","")&amp;IF($B$6&gt;0,IF(OR($B$4&gt;0,$B$5&gt;0)," / ","")&amp;"경유 "&amp;TEXT(IF($O106="",1/0,$O106*$B$6),"#,##0")&amp;"원",""),""))</f>
        <v>휘발유 25,172원 / 고급유 22,277원</v>
      </c>
      <c r="Q106" s="17" t="n">
        <f aca="false">IF($B$10=0,"",IFERROR(IF($B$4&gt;0,IF($M106="",1/0,$M106*$B$4),0)+IF($B$5&gt;0,IF($N106="",1/0,$N106*$B$5),0)+IF($B$6&gt;0,IF($O106="",1/0,$O106*$B$6),0),""))</f>
        <v>47448.8</v>
      </c>
      <c r="R106" s="17"/>
      <c r="S106" s="18" t="n">
        <f aca="false">IF($Q106="","",IF($R106="Y",IFERROR(VLOOKUP($B106,$C$4:$D$13,2,FALSE()),0),0))</f>
        <v>0</v>
      </c>
      <c r="T106" s="17" t="n">
        <f aca="false">IF($Q106="","",ROUNDDOWN($Q106*$S106,0))</f>
        <v>0</v>
      </c>
      <c r="U106" s="17" t="n">
        <f aca="false">IF($Q106="","",$Q106-$T106)</f>
        <v>47448.8</v>
      </c>
      <c r="V106" s="17" t="n">
        <f aca="false">IF($U106="","",IF($B$10=0,"",$U106/$B$10))</f>
        <v>1882.88888888889</v>
      </c>
      <c r="W106" s="17" t="n">
        <f aca="false">IF($Q106="","",IF($B$10=0,"",$Q106/$B$10))</f>
        <v>1882.88888888889</v>
      </c>
      <c r="X106" s="19" t="n">
        <f aca="false">IF($U106="",1000000000000000,$U106)</f>
        <v>47448.8</v>
      </c>
      <c r="XFC106" s="6"/>
    </row>
    <row r="107" s="5" customFormat="true" ht="28.5" hidden="false" customHeight="true" outlineLevel="0" collapsed="false">
      <c r="A107" s="16" t="n">
        <f aca="false">IF($U107="","",1+COUNTIF($X$15:$X$728,"&lt;"&amp;X107))</f>
        <v>93</v>
      </c>
      <c r="B107" s="16" t="s">
        <v>14</v>
      </c>
      <c r="C107" s="16" t="s">
        <v>330</v>
      </c>
      <c r="D107" s="16" t="s">
        <v>51</v>
      </c>
      <c r="E107" s="16" t="s">
        <v>47</v>
      </c>
      <c r="F107" s="16" t="s">
        <v>331</v>
      </c>
      <c r="G107" s="16" t="s">
        <v>332</v>
      </c>
      <c r="H107" s="17" t="n">
        <v>1776</v>
      </c>
      <c r="I107" s="17" t="n">
        <v>2019</v>
      </c>
      <c r="J107" s="17"/>
      <c r="K107" s="17" t="n">
        <v>1746</v>
      </c>
      <c r="L107" s="17" t="n">
        <f aca="false">IF(AND(IFERROR(SEARCH("현대오일뱅크",$C107),0)&gt;0,IFERROR(SEARCH("직영",$C107),0)&gt;0),$B$13,0)</f>
        <v>0</v>
      </c>
      <c r="M107" s="17" t="n">
        <f aca="false">IF($H107="","",$H107+$L107)</f>
        <v>1776</v>
      </c>
      <c r="N107" s="17" t="n">
        <f aca="false">IF($I107="","",$I107+$L107)</f>
        <v>2019</v>
      </c>
      <c r="O107" s="17" t="n">
        <f aca="false">IF($K107="","",$K107+$L107)</f>
        <v>1746</v>
      </c>
      <c r="P107" s="17" t="str">
        <f aca="false">IF($B$10=0,"",IFERROR(IF($B$4&gt;0,"휘발유 "&amp;TEXT(IF($M107="",1/0,$M107*$B$4),"#,##0")&amp;"원","")&amp;IF($B$5&gt;0,IF($B$4&gt;0," / ","")&amp;"고급유 "&amp;TEXT(IF($N107="",1/0,$N107*$B$5),"#,##0")&amp;"원","")&amp;IF($B$6&gt;0,IF(OR($B$4&gt;0,$B$5&gt;0)," / ","")&amp;"경유 "&amp;TEXT(IF($O107="",1/0,$O107*$B$6),"#,##0")&amp;"원",""),""))</f>
        <v>휘발유 24,864원 / 고급유 22,613원</v>
      </c>
      <c r="Q107" s="17" t="n">
        <f aca="false">IF($B$10=0,"",IFERROR(IF($B$4&gt;0,IF($M107="",1/0,$M107*$B$4),0)+IF($B$5&gt;0,IF($N107="",1/0,$N107*$B$5),0)+IF($B$6&gt;0,IF($O107="",1/0,$O107*$B$6),0),""))</f>
        <v>47476.8</v>
      </c>
      <c r="R107" s="17"/>
      <c r="S107" s="18" t="n">
        <f aca="false">IF($Q107="","",IF($R107="Y",IFERROR(VLOOKUP($B107,$C$4:$D$13,2,FALSE()),0),0))</f>
        <v>0</v>
      </c>
      <c r="T107" s="17" t="n">
        <f aca="false">IF($Q107="","",ROUNDDOWN($Q107*$S107,0))</f>
        <v>0</v>
      </c>
      <c r="U107" s="17" t="n">
        <f aca="false">IF($Q107="","",$Q107-$T107)</f>
        <v>47476.8</v>
      </c>
      <c r="V107" s="17" t="n">
        <f aca="false">IF($U107="","",IF($B$10=0,"",$U107/$B$10))</f>
        <v>1884</v>
      </c>
      <c r="W107" s="17" t="n">
        <f aca="false">IF($Q107="","",IF($B$10=0,"",$Q107/$B$10))</f>
        <v>1884</v>
      </c>
      <c r="X107" s="19" t="n">
        <f aca="false">IF($U107="",1000000000000000,$U107)</f>
        <v>47476.8</v>
      </c>
      <c r="XFC107" s="6"/>
    </row>
    <row r="108" s="5" customFormat="true" ht="28.5" hidden="false" customHeight="true" outlineLevel="0" collapsed="false">
      <c r="A108" s="16" t="n">
        <f aca="false">IF($U108="","",1+COUNTIF($X$15:$X$728,"&lt;"&amp;X108))</f>
        <v>94</v>
      </c>
      <c r="B108" s="16" t="s">
        <v>10</v>
      </c>
      <c r="C108" s="16" t="s">
        <v>333</v>
      </c>
      <c r="D108" s="16" t="s">
        <v>58</v>
      </c>
      <c r="E108" s="16" t="s">
        <v>59</v>
      </c>
      <c r="F108" s="16" t="s">
        <v>334</v>
      </c>
      <c r="G108" s="16" t="s">
        <v>335</v>
      </c>
      <c r="H108" s="17" t="n">
        <v>1804</v>
      </c>
      <c r="I108" s="17" t="n">
        <v>2019</v>
      </c>
      <c r="J108" s="17"/>
      <c r="K108" s="17" t="n">
        <v>1749</v>
      </c>
      <c r="L108" s="17" t="n">
        <f aca="false">IF(AND(IFERROR(SEARCH("현대오일뱅크",$C108),0)&gt;0,IFERROR(SEARCH("직영",$C108),0)&gt;0),$B$13,0)</f>
        <v>-10</v>
      </c>
      <c r="M108" s="17" t="n">
        <f aca="false">IF($H108="","",$H108+$L108)</f>
        <v>1794</v>
      </c>
      <c r="N108" s="17" t="n">
        <f aca="false">IF($I108="","",$I108+$L108)</f>
        <v>2009</v>
      </c>
      <c r="O108" s="17" t="n">
        <f aca="false">IF($K108="","",$K108+$L108)</f>
        <v>1739</v>
      </c>
      <c r="P108" s="17" t="str">
        <f aca="false">IF($B$10=0,"",IFERROR(IF($B$4&gt;0,"휘발유 "&amp;TEXT(IF($M108="",1/0,$M108*$B$4),"#,##0")&amp;"원","")&amp;IF($B$5&gt;0,IF($B$4&gt;0," / ","")&amp;"고급유 "&amp;TEXT(IF($N108="",1/0,$N108*$B$5),"#,##0")&amp;"원","")&amp;IF($B$6&gt;0,IF(OR($B$4&gt;0,$B$5&gt;0)," / ","")&amp;"경유 "&amp;TEXT(IF($O108="",1/0,$O108*$B$6),"#,##0")&amp;"원",""),""))</f>
        <v>휘발유 25,116원 / 고급유 22,501원</v>
      </c>
      <c r="Q108" s="17" t="n">
        <f aca="false">IF($B$10=0,"",IFERROR(IF($B$4&gt;0,IF($M108="",1/0,$M108*$B$4),0)+IF($B$5&gt;0,IF($N108="",1/0,$N108*$B$5),0)+IF($B$6&gt;0,IF($O108="",1/0,$O108*$B$6),0),""))</f>
        <v>47616.8</v>
      </c>
      <c r="R108" s="17"/>
      <c r="S108" s="18" t="n">
        <f aca="false">IF($Q108="","",IF($R108="Y",IFERROR(VLOOKUP($B108,$C$4:$D$13,2,FALSE()),0),0))</f>
        <v>0</v>
      </c>
      <c r="T108" s="17" t="n">
        <f aca="false">IF($Q108="","",ROUNDDOWN($Q108*$S108,0))</f>
        <v>0</v>
      </c>
      <c r="U108" s="17" t="n">
        <f aca="false">IF($Q108="","",$Q108-$T108)</f>
        <v>47616.8</v>
      </c>
      <c r="V108" s="17" t="n">
        <f aca="false">IF($U108="","",IF($B$10=0,"",$U108/$B$10))</f>
        <v>1889.55555555556</v>
      </c>
      <c r="W108" s="17" t="n">
        <f aca="false">IF($Q108="","",IF($B$10=0,"",$Q108/$B$10))</f>
        <v>1889.55555555556</v>
      </c>
      <c r="X108" s="19" t="n">
        <f aca="false">IF($U108="",1000000000000000,$U108)</f>
        <v>47616.8</v>
      </c>
      <c r="XFC108" s="6"/>
    </row>
    <row r="109" s="5" customFormat="true" ht="28.5" hidden="false" customHeight="true" outlineLevel="0" collapsed="false">
      <c r="A109" s="16" t="n">
        <f aca="false">IF($U109="","",1+COUNTIF($X$15:$X$728,"&lt;"&amp;X109))</f>
        <v>95</v>
      </c>
      <c r="B109" s="16" t="s">
        <v>14</v>
      </c>
      <c r="C109" s="16" t="s">
        <v>336</v>
      </c>
      <c r="D109" s="16" t="s">
        <v>51</v>
      </c>
      <c r="E109" s="16" t="s">
        <v>47</v>
      </c>
      <c r="F109" s="16" t="s">
        <v>337</v>
      </c>
      <c r="G109" s="16" t="s">
        <v>338</v>
      </c>
      <c r="H109" s="17" t="n">
        <v>1776</v>
      </c>
      <c r="I109" s="17" t="n">
        <v>2039</v>
      </c>
      <c r="J109" s="17"/>
      <c r="K109" s="17" t="n">
        <v>1746</v>
      </c>
      <c r="L109" s="17" t="n">
        <f aca="false">IF(AND(IFERROR(SEARCH("현대오일뱅크",$C109),0)&gt;0,IFERROR(SEARCH("직영",$C109),0)&gt;0),$B$13,0)</f>
        <v>0</v>
      </c>
      <c r="M109" s="17" t="n">
        <f aca="false">IF($H109="","",$H109+$L109)</f>
        <v>1776</v>
      </c>
      <c r="N109" s="17" t="n">
        <f aca="false">IF($I109="","",$I109+$L109)</f>
        <v>2039</v>
      </c>
      <c r="O109" s="17" t="n">
        <f aca="false">IF($K109="","",$K109+$L109)</f>
        <v>1746</v>
      </c>
      <c r="P109" s="17" t="str">
        <f aca="false">IF($B$10=0,"",IFERROR(IF($B$4&gt;0,"휘발유 "&amp;TEXT(IF($M109="",1/0,$M109*$B$4),"#,##0")&amp;"원","")&amp;IF($B$5&gt;0,IF($B$4&gt;0," / ","")&amp;"고급유 "&amp;TEXT(IF($N109="",1/0,$N109*$B$5),"#,##0")&amp;"원","")&amp;IF($B$6&gt;0,IF(OR($B$4&gt;0,$B$5&gt;0)," / ","")&amp;"경유 "&amp;TEXT(IF($O109="",1/0,$O109*$B$6),"#,##0")&amp;"원",""),""))</f>
        <v>휘발유 24,864원 / 고급유 22,837원</v>
      </c>
      <c r="Q109" s="17" t="n">
        <f aca="false">IF($B$10=0,"",IFERROR(IF($B$4&gt;0,IF($M109="",1/0,$M109*$B$4),0)+IF($B$5&gt;0,IF($N109="",1/0,$N109*$B$5),0)+IF($B$6&gt;0,IF($O109="",1/0,$O109*$B$6),0),""))</f>
        <v>47700.8</v>
      </c>
      <c r="R109" s="17"/>
      <c r="S109" s="18" t="n">
        <f aca="false">IF($Q109="","",IF($R109="Y",IFERROR(VLOOKUP($B109,$C$4:$D$13,2,FALSE()),0),0))</f>
        <v>0</v>
      </c>
      <c r="T109" s="17" t="n">
        <f aca="false">IF($Q109="","",ROUNDDOWN($Q109*$S109,0))</f>
        <v>0</v>
      </c>
      <c r="U109" s="17" t="n">
        <f aca="false">IF($Q109="","",$Q109-$T109)</f>
        <v>47700.8</v>
      </c>
      <c r="V109" s="17" t="n">
        <f aca="false">IF($U109="","",IF($B$10=0,"",$U109/$B$10))</f>
        <v>1892.88888888889</v>
      </c>
      <c r="W109" s="17" t="n">
        <f aca="false">IF($Q109="","",IF($B$10=0,"",$Q109/$B$10))</f>
        <v>1892.88888888889</v>
      </c>
      <c r="X109" s="19" t="n">
        <f aca="false">IF($U109="",1000000000000000,$U109)</f>
        <v>47700.8</v>
      </c>
      <c r="XFC109" s="6"/>
    </row>
    <row r="110" s="5" customFormat="true" ht="28.5" hidden="false" customHeight="true" outlineLevel="0" collapsed="false">
      <c r="A110" s="16" t="n">
        <f aca="false">IF($U110="","",1+COUNTIF($X$15:$X$728,"&lt;"&amp;X110))</f>
        <v>96</v>
      </c>
      <c r="B110" s="16" t="s">
        <v>12</v>
      </c>
      <c r="C110" s="16" t="s">
        <v>339</v>
      </c>
      <c r="D110" s="20" t="s">
        <v>108</v>
      </c>
      <c r="E110" s="16" t="s">
        <v>47</v>
      </c>
      <c r="F110" s="16" t="s">
        <v>340</v>
      </c>
      <c r="G110" s="16" t="s">
        <v>341</v>
      </c>
      <c r="H110" s="17" t="n">
        <v>1838</v>
      </c>
      <c r="I110" s="17" t="n">
        <v>1989</v>
      </c>
      <c r="J110" s="17"/>
      <c r="K110" s="17" t="n">
        <v>1778</v>
      </c>
      <c r="L110" s="17" t="n">
        <f aca="false">IF(AND(IFERROR(SEARCH("현대오일뱅크",$C110),0)&gt;0,IFERROR(SEARCH("직영",$C110),0)&gt;0),$B$13,0)</f>
        <v>0</v>
      </c>
      <c r="M110" s="17" t="n">
        <f aca="false">IF($H110="","",$H110+$L110)</f>
        <v>1838</v>
      </c>
      <c r="N110" s="17" t="n">
        <f aca="false">IF($I110="","",$I110+$L110)</f>
        <v>1989</v>
      </c>
      <c r="O110" s="17" t="n">
        <f aca="false">IF($K110="","",$K110+$L110)</f>
        <v>1778</v>
      </c>
      <c r="P110" s="17" t="str">
        <f aca="false">IF($B$10=0,"",IFERROR(IF($B$4&gt;0,"휘발유 "&amp;TEXT(IF($M110="",1/0,$M110*$B$4),"#,##0")&amp;"원","")&amp;IF($B$5&gt;0,IF($B$4&gt;0," / ","")&amp;"고급유 "&amp;TEXT(IF($N110="",1/0,$N110*$B$5),"#,##0")&amp;"원","")&amp;IF($B$6&gt;0,IF(OR($B$4&gt;0,$B$5&gt;0)," / ","")&amp;"경유 "&amp;TEXT(IF($O110="",1/0,$O110*$B$6),"#,##0")&amp;"원",""),""))</f>
        <v>휘발유 25,732원 / 고급유 22,277원</v>
      </c>
      <c r="Q110" s="17" t="n">
        <f aca="false">IF($B$10=0,"",IFERROR(IF($B$4&gt;0,IF($M110="",1/0,$M110*$B$4),0)+IF($B$5&gt;0,IF($N110="",1/0,$N110*$B$5),0)+IF($B$6&gt;0,IF($O110="",1/0,$O110*$B$6),0),""))</f>
        <v>48008.8</v>
      </c>
      <c r="R110" s="17"/>
      <c r="S110" s="18" t="n">
        <f aca="false">IF($Q110="","",IF($R110="Y",IFERROR(VLOOKUP($B110,$C$4:$D$13,2,FALSE()),0),0))</f>
        <v>0</v>
      </c>
      <c r="T110" s="17" t="n">
        <f aca="false">IF($Q110="","",ROUNDDOWN($Q110*$S110,0))</f>
        <v>0</v>
      </c>
      <c r="U110" s="17" t="n">
        <f aca="false">IF($Q110="","",$Q110-$T110)</f>
        <v>48008.8</v>
      </c>
      <c r="V110" s="17" t="n">
        <f aca="false">IF($U110="","",IF($B$10=0,"",$U110/$B$10))</f>
        <v>1905.11111111111</v>
      </c>
      <c r="W110" s="17" t="n">
        <f aca="false">IF($Q110="","",IF($B$10=0,"",$Q110/$B$10))</f>
        <v>1905.11111111111</v>
      </c>
      <c r="X110" s="19" t="n">
        <f aca="false">IF($U110="",1000000000000000,$U110)</f>
        <v>48008.8</v>
      </c>
      <c r="XFC110" s="6"/>
    </row>
    <row r="111" s="5" customFormat="true" ht="28.5" hidden="false" customHeight="true" outlineLevel="0" collapsed="false">
      <c r="A111" s="16" t="n">
        <f aca="false">IF($U111="","",1+COUNTIF($X$15:$X$728,"&lt;"&amp;X111))</f>
        <v>97</v>
      </c>
      <c r="B111" s="16" t="s">
        <v>10</v>
      </c>
      <c r="C111" s="16" t="s">
        <v>342</v>
      </c>
      <c r="D111" s="16" t="s">
        <v>46</v>
      </c>
      <c r="E111" s="16" t="s">
        <v>47</v>
      </c>
      <c r="F111" s="16" t="s">
        <v>343</v>
      </c>
      <c r="G111" s="16" t="s">
        <v>344</v>
      </c>
      <c r="H111" s="17" t="n">
        <v>1839</v>
      </c>
      <c r="I111" s="17" t="n">
        <v>1997</v>
      </c>
      <c r="J111" s="17"/>
      <c r="K111" s="17" t="n">
        <v>1849</v>
      </c>
      <c r="L111" s="17" t="n">
        <f aca="false">IF(AND(IFERROR(SEARCH("현대오일뱅크",$C111),0)&gt;0,IFERROR(SEARCH("직영",$C111),0)&gt;0),$B$13,0)</f>
        <v>0</v>
      </c>
      <c r="M111" s="17" t="n">
        <f aca="false">IF($H111="","",$H111+$L111)</f>
        <v>1839</v>
      </c>
      <c r="N111" s="17" t="n">
        <f aca="false">IF($I111="","",$I111+$L111)</f>
        <v>1997</v>
      </c>
      <c r="O111" s="17" t="n">
        <f aca="false">IF($K111="","",$K111+$L111)</f>
        <v>1849</v>
      </c>
      <c r="P111" s="17" t="str">
        <f aca="false">IF($B$10=0,"",IFERROR(IF($B$4&gt;0,"휘발유 "&amp;TEXT(IF($M111="",1/0,$M111*$B$4),"#,##0")&amp;"원","")&amp;IF($B$5&gt;0,IF($B$4&gt;0," / ","")&amp;"고급유 "&amp;TEXT(IF($N111="",1/0,$N111*$B$5),"#,##0")&amp;"원","")&amp;IF($B$6&gt;0,IF(OR($B$4&gt;0,$B$5&gt;0)," / ","")&amp;"경유 "&amp;TEXT(IF($O111="",1/0,$O111*$B$6),"#,##0")&amp;"원",""),""))</f>
        <v>휘발유 25,746원 / 고급유 22,366원</v>
      </c>
      <c r="Q111" s="17" t="n">
        <f aca="false">IF($B$10=0,"",IFERROR(IF($B$4&gt;0,IF($M111="",1/0,$M111*$B$4),0)+IF($B$5&gt;0,IF($N111="",1/0,$N111*$B$5),0)+IF($B$6&gt;0,IF($O111="",1/0,$O111*$B$6),0),""))</f>
        <v>48112.4</v>
      </c>
      <c r="R111" s="17"/>
      <c r="S111" s="18" t="n">
        <f aca="false">IF($Q111="","",IF($R111="Y",IFERROR(VLOOKUP($B111,$C$4:$D$13,2,FALSE()),0),0))</f>
        <v>0</v>
      </c>
      <c r="T111" s="17" t="n">
        <f aca="false">IF($Q111="","",ROUNDDOWN($Q111*$S111,0))</f>
        <v>0</v>
      </c>
      <c r="U111" s="17" t="n">
        <f aca="false">IF($Q111="","",$Q111-$T111)</f>
        <v>48112.4</v>
      </c>
      <c r="V111" s="17" t="n">
        <f aca="false">IF($U111="","",IF($B$10=0,"",$U111/$B$10))</f>
        <v>1909.22222222222</v>
      </c>
      <c r="W111" s="17" t="n">
        <f aca="false">IF($Q111="","",IF($B$10=0,"",$Q111/$B$10))</f>
        <v>1909.22222222222</v>
      </c>
      <c r="X111" s="19" t="n">
        <f aca="false">IF($U111="",1000000000000000,$U111)</f>
        <v>48112.4</v>
      </c>
      <c r="XFC111" s="6"/>
    </row>
    <row r="112" s="5" customFormat="true" ht="28.5" hidden="false" customHeight="true" outlineLevel="0" collapsed="false">
      <c r="A112" s="16" t="n">
        <f aca="false">IF($U112="","",1+COUNTIF($X$15:$X$728,"&lt;"&amp;X112))</f>
        <v>98</v>
      </c>
      <c r="B112" s="16" t="s">
        <v>10</v>
      </c>
      <c r="C112" s="16" t="s">
        <v>345</v>
      </c>
      <c r="D112" s="16" t="s">
        <v>58</v>
      </c>
      <c r="E112" s="16" t="s">
        <v>47</v>
      </c>
      <c r="F112" s="16" t="s">
        <v>346</v>
      </c>
      <c r="G112" s="16" t="s">
        <v>347</v>
      </c>
      <c r="H112" s="17" t="n">
        <v>1794</v>
      </c>
      <c r="I112" s="17" t="n">
        <v>2079</v>
      </c>
      <c r="J112" s="17" t="s">
        <v>47</v>
      </c>
      <c r="K112" s="17" t="n">
        <v>1758</v>
      </c>
      <c r="L112" s="17" t="n">
        <f aca="false">IF(AND(IFERROR(SEARCH("현대오일뱅크",$C112),0)&gt;0,IFERROR(SEARCH("직영",$C112),0)&gt;0),$B$13,0)</f>
        <v>-10</v>
      </c>
      <c r="M112" s="17" t="n">
        <f aca="false">IF($H112="","",$H112+$L112)</f>
        <v>1784</v>
      </c>
      <c r="N112" s="17" t="n">
        <f aca="false">IF($I112="","",$I112+$L112)</f>
        <v>2069</v>
      </c>
      <c r="O112" s="17" t="n">
        <f aca="false">IF($K112="","",$K112+$L112)</f>
        <v>1748</v>
      </c>
      <c r="P112" s="17" t="str">
        <f aca="false">IF($B$10=0,"",IFERROR(IF($B$4&gt;0,"휘발유 "&amp;TEXT(IF($M112="",1/0,$M112*$B$4),"#,##0")&amp;"원","")&amp;IF($B$5&gt;0,IF($B$4&gt;0," / ","")&amp;"고급유 "&amp;TEXT(IF($N112="",1/0,$N112*$B$5),"#,##0")&amp;"원","")&amp;IF($B$6&gt;0,IF(OR($B$4&gt;0,$B$5&gt;0)," / ","")&amp;"경유 "&amp;TEXT(IF($O112="",1/0,$O112*$B$6),"#,##0")&amp;"원",""),""))</f>
        <v>휘발유 24,976원 / 고급유 23,173원</v>
      </c>
      <c r="Q112" s="17" t="n">
        <f aca="false">IF($B$10=0,"",IFERROR(IF($B$4&gt;0,IF($M112="",1/0,$M112*$B$4),0)+IF($B$5&gt;0,IF($N112="",1/0,$N112*$B$5),0)+IF($B$6&gt;0,IF($O112="",1/0,$O112*$B$6),0),""))</f>
        <v>48148.8</v>
      </c>
      <c r="R112" s="17"/>
      <c r="S112" s="18" t="n">
        <f aca="false">IF($Q112="","",IF($R112="Y",IFERROR(VLOOKUP($B112,$C$4:$D$13,2,FALSE()),0),0))</f>
        <v>0</v>
      </c>
      <c r="T112" s="17" t="n">
        <f aca="false">IF($Q112="","",ROUNDDOWN($Q112*$S112,0))</f>
        <v>0</v>
      </c>
      <c r="U112" s="17" t="n">
        <f aca="false">IF($Q112="","",$Q112-$T112)</f>
        <v>48148.8</v>
      </c>
      <c r="V112" s="17" t="n">
        <f aca="false">IF($U112="","",IF($B$10=0,"",$U112/$B$10))</f>
        <v>1910.66666666667</v>
      </c>
      <c r="W112" s="17" t="n">
        <f aca="false">IF($Q112="","",IF($B$10=0,"",$Q112/$B$10))</f>
        <v>1910.66666666667</v>
      </c>
      <c r="X112" s="19" t="n">
        <f aca="false">IF($U112="",1000000000000000,$U112)</f>
        <v>48148.8</v>
      </c>
      <c r="XFC112" s="6"/>
    </row>
    <row r="113" s="5" customFormat="true" ht="28.5" hidden="false" customHeight="true" outlineLevel="0" collapsed="false">
      <c r="A113" s="16" t="n">
        <f aca="false">IF($U113="","",1+COUNTIF($X$15:$X$728,"&lt;"&amp;X113))</f>
        <v>99</v>
      </c>
      <c r="B113" s="16" t="s">
        <v>6</v>
      </c>
      <c r="C113" s="16" t="s">
        <v>348</v>
      </c>
      <c r="D113" s="20" t="s">
        <v>108</v>
      </c>
      <c r="E113" s="16" t="s">
        <v>47</v>
      </c>
      <c r="F113" s="16" t="s">
        <v>349</v>
      </c>
      <c r="G113" s="16" t="s">
        <v>350</v>
      </c>
      <c r="H113" s="17" t="n">
        <v>1849</v>
      </c>
      <c r="I113" s="17" t="n">
        <v>1989</v>
      </c>
      <c r="J113" s="17"/>
      <c r="K113" s="17" t="n">
        <v>1798</v>
      </c>
      <c r="L113" s="17" t="n">
        <f aca="false">IF(AND(IFERROR(SEARCH("현대오일뱅크",$C113),0)&gt;0,IFERROR(SEARCH("직영",$C113),0)&gt;0),$B$13,0)</f>
        <v>0</v>
      </c>
      <c r="M113" s="17" t="n">
        <f aca="false">IF($H113="","",$H113+$L113)</f>
        <v>1849</v>
      </c>
      <c r="N113" s="17" t="n">
        <f aca="false">IF($I113="","",$I113+$L113)</f>
        <v>1989</v>
      </c>
      <c r="O113" s="17" t="n">
        <f aca="false">IF($K113="","",$K113+$L113)</f>
        <v>1798</v>
      </c>
      <c r="P113" s="17" t="str">
        <f aca="false">IF($B$10=0,"",IFERROR(IF($B$4&gt;0,"휘발유 "&amp;TEXT(IF($M113="",1/0,$M113*$B$4),"#,##0")&amp;"원","")&amp;IF($B$5&gt;0,IF($B$4&gt;0," / ","")&amp;"고급유 "&amp;TEXT(IF($N113="",1/0,$N113*$B$5),"#,##0")&amp;"원","")&amp;IF($B$6&gt;0,IF(OR($B$4&gt;0,$B$5&gt;0)," / ","")&amp;"경유 "&amp;TEXT(IF($O113="",1/0,$O113*$B$6),"#,##0")&amp;"원",""),""))</f>
        <v>휘발유 25,886원 / 고급유 22,277원</v>
      </c>
      <c r="Q113" s="17" t="n">
        <f aca="false">IF($B$10=0,"",IFERROR(IF($B$4&gt;0,IF($M113="",1/0,$M113*$B$4),0)+IF($B$5&gt;0,IF($N113="",1/0,$N113*$B$5),0)+IF($B$6&gt;0,IF($O113="",1/0,$O113*$B$6),0),""))</f>
        <v>48162.8</v>
      </c>
      <c r="R113" s="17"/>
      <c r="S113" s="18" t="n">
        <f aca="false">IF($Q113="","",IF($R113="Y",IFERROR(VLOOKUP($B113,$C$4:$D$13,2,FALSE()),0),0))</f>
        <v>0</v>
      </c>
      <c r="T113" s="17" t="n">
        <f aca="false">IF($Q113="","",ROUNDDOWN($Q113*$S113,0))</f>
        <v>0</v>
      </c>
      <c r="U113" s="17" t="n">
        <f aca="false">IF($Q113="","",$Q113-$T113)</f>
        <v>48162.8</v>
      </c>
      <c r="V113" s="17" t="n">
        <f aca="false">IF($U113="","",IF($B$10=0,"",$U113/$B$10))</f>
        <v>1911.22222222222</v>
      </c>
      <c r="W113" s="17" t="n">
        <f aca="false">IF($Q113="","",IF($B$10=0,"",$Q113/$B$10))</f>
        <v>1911.22222222222</v>
      </c>
      <c r="X113" s="19" t="n">
        <f aca="false">IF($U113="",1000000000000000,$U113)</f>
        <v>48162.8</v>
      </c>
      <c r="XFC113" s="6"/>
    </row>
    <row r="114" s="5" customFormat="true" ht="28.5" hidden="false" customHeight="true" outlineLevel="0" collapsed="false">
      <c r="A114" s="16" t="n">
        <f aca="false">IF($U114="","",1+COUNTIF($X$15:$X$728,"&lt;"&amp;X114))</f>
        <v>100</v>
      </c>
      <c r="B114" s="16" t="s">
        <v>10</v>
      </c>
      <c r="C114" s="16" t="s">
        <v>351</v>
      </c>
      <c r="D114" s="16" t="s">
        <v>112</v>
      </c>
      <c r="E114" s="16" t="s">
        <v>47</v>
      </c>
      <c r="F114" s="16" t="s">
        <v>352</v>
      </c>
      <c r="G114" s="16" t="s">
        <v>353</v>
      </c>
      <c r="H114" s="17" t="n">
        <v>1849</v>
      </c>
      <c r="I114" s="17" t="n">
        <v>1999</v>
      </c>
      <c r="J114" s="17"/>
      <c r="K114" s="17" t="n">
        <v>1860</v>
      </c>
      <c r="L114" s="17" t="n">
        <f aca="false">IF(AND(IFERROR(SEARCH("현대오일뱅크",$C114),0)&gt;0,IFERROR(SEARCH("직영",$C114),0)&gt;0),$B$13,0)</f>
        <v>0</v>
      </c>
      <c r="M114" s="17" t="n">
        <f aca="false">IF($H114="","",$H114+$L114)</f>
        <v>1849</v>
      </c>
      <c r="N114" s="17" t="n">
        <f aca="false">IF($I114="","",$I114+$L114)</f>
        <v>1999</v>
      </c>
      <c r="O114" s="17" t="n">
        <f aca="false">IF($K114="","",$K114+$L114)</f>
        <v>1860</v>
      </c>
      <c r="P114" s="17" t="str">
        <f aca="false">IF($B$10=0,"",IFERROR(IF($B$4&gt;0,"휘발유 "&amp;TEXT(IF($M114="",1/0,$M114*$B$4),"#,##0")&amp;"원","")&amp;IF($B$5&gt;0,IF($B$4&gt;0," / ","")&amp;"고급유 "&amp;TEXT(IF($N114="",1/0,$N114*$B$5),"#,##0")&amp;"원","")&amp;IF($B$6&gt;0,IF(OR($B$4&gt;0,$B$5&gt;0)," / ","")&amp;"경유 "&amp;TEXT(IF($O114="",1/0,$O114*$B$6),"#,##0")&amp;"원",""),""))</f>
        <v>휘발유 25,886원 / 고급유 22,389원</v>
      </c>
      <c r="Q114" s="17" t="n">
        <f aca="false">IF($B$10=0,"",IFERROR(IF($B$4&gt;0,IF($M114="",1/0,$M114*$B$4),0)+IF($B$5&gt;0,IF($N114="",1/0,$N114*$B$5),0)+IF($B$6&gt;0,IF($O114="",1/0,$O114*$B$6),0),""))</f>
        <v>48274.8</v>
      </c>
      <c r="R114" s="17"/>
      <c r="S114" s="18" t="n">
        <f aca="false">IF($Q114="","",IF($R114="Y",IFERROR(VLOOKUP($B114,$C$4:$D$13,2,FALSE()),0),0))</f>
        <v>0</v>
      </c>
      <c r="T114" s="17" t="n">
        <f aca="false">IF($Q114="","",ROUNDDOWN($Q114*$S114,0))</f>
        <v>0</v>
      </c>
      <c r="U114" s="17" t="n">
        <f aca="false">IF($Q114="","",$Q114-$T114)</f>
        <v>48274.8</v>
      </c>
      <c r="V114" s="17" t="n">
        <f aca="false">IF($U114="","",IF($B$10=0,"",$U114/$B$10))</f>
        <v>1915.66666666667</v>
      </c>
      <c r="W114" s="17" t="n">
        <f aca="false">IF($Q114="","",IF($B$10=0,"",$Q114/$B$10))</f>
        <v>1915.66666666667</v>
      </c>
      <c r="X114" s="19" t="n">
        <f aca="false">IF($U114="",1000000000000000,$U114)</f>
        <v>48274.8</v>
      </c>
      <c r="XFC114" s="6"/>
    </row>
    <row r="115" s="5" customFormat="true" ht="28.5" hidden="false" customHeight="true" outlineLevel="0" collapsed="false">
      <c r="A115" s="16" t="n">
        <f aca="false">IF($U115="","",1+COUNTIF($X$15:$X$728,"&lt;"&amp;X115))</f>
        <v>101</v>
      </c>
      <c r="B115" s="16" t="s">
        <v>12</v>
      </c>
      <c r="C115" s="16" t="s">
        <v>354</v>
      </c>
      <c r="D115" s="20" t="s">
        <v>108</v>
      </c>
      <c r="E115" s="16" t="s">
        <v>59</v>
      </c>
      <c r="F115" s="16" t="s">
        <v>355</v>
      </c>
      <c r="G115" s="16" t="s">
        <v>356</v>
      </c>
      <c r="H115" s="17" t="n">
        <v>1859</v>
      </c>
      <c r="I115" s="17" t="n">
        <v>1989</v>
      </c>
      <c r="J115" s="17"/>
      <c r="K115" s="17" t="n">
        <v>1798</v>
      </c>
      <c r="L115" s="17" t="n">
        <f aca="false">IF(AND(IFERROR(SEARCH("현대오일뱅크",$C115),0)&gt;0,IFERROR(SEARCH("직영",$C115),0)&gt;0),$B$13,0)</f>
        <v>0</v>
      </c>
      <c r="M115" s="17" t="n">
        <f aca="false">IF($H115="","",$H115+$L115)</f>
        <v>1859</v>
      </c>
      <c r="N115" s="17" t="n">
        <f aca="false">IF($I115="","",$I115+$L115)</f>
        <v>1989</v>
      </c>
      <c r="O115" s="17" t="n">
        <f aca="false">IF($K115="","",$K115+$L115)</f>
        <v>1798</v>
      </c>
      <c r="P115" s="17" t="str">
        <f aca="false">IF($B$10=0,"",IFERROR(IF($B$4&gt;0,"휘발유 "&amp;TEXT(IF($M115="",1/0,$M115*$B$4),"#,##0")&amp;"원","")&amp;IF($B$5&gt;0,IF($B$4&gt;0," / ","")&amp;"고급유 "&amp;TEXT(IF($N115="",1/0,$N115*$B$5),"#,##0")&amp;"원","")&amp;IF($B$6&gt;0,IF(OR($B$4&gt;0,$B$5&gt;0)," / ","")&amp;"경유 "&amp;TEXT(IF($O115="",1/0,$O115*$B$6),"#,##0")&amp;"원",""),""))</f>
        <v>휘발유 26,026원 / 고급유 22,277원</v>
      </c>
      <c r="Q115" s="17" t="n">
        <f aca="false">IF($B$10=0,"",IFERROR(IF($B$4&gt;0,IF($M115="",1/0,$M115*$B$4),0)+IF($B$5&gt;0,IF($N115="",1/0,$N115*$B$5),0)+IF($B$6&gt;0,IF($O115="",1/0,$O115*$B$6),0),""))</f>
        <v>48302.8</v>
      </c>
      <c r="R115" s="17"/>
      <c r="S115" s="18" t="n">
        <f aca="false">IF($Q115="","",IF($R115="Y",IFERROR(VLOOKUP($B115,$C$4:$D$13,2,FALSE()),0),0))</f>
        <v>0</v>
      </c>
      <c r="T115" s="17" t="n">
        <f aca="false">IF($Q115="","",ROUNDDOWN($Q115*$S115,0))</f>
        <v>0</v>
      </c>
      <c r="U115" s="17" t="n">
        <f aca="false">IF($Q115="","",$Q115-$T115)</f>
        <v>48302.8</v>
      </c>
      <c r="V115" s="17" t="n">
        <f aca="false">IF($U115="","",IF($B$10=0,"",$U115/$B$10))</f>
        <v>1916.77777777778</v>
      </c>
      <c r="W115" s="17" t="n">
        <f aca="false">IF($Q115="","",IF($B$10=0,"",$Q115/$B$10))</f>
        <v>1916.77777777778</v>
      </c>
      <c r="X115" s="19" t="n">
        <f aca="false">IF($U115="",1000000000000000,$U115)</f>
        <v>48302.8</v>
      </c>
      <c r="XFC115" s="6"/>
    </row>
    <row r="116" s="5" customFormat="true" ht="28.5" hidden="false" customHeight="true" outlineLevel="0" collapsed="false">
      <c r="A116" s="16" t="n">
        <f aca="false">IF($U116="","",1+COUNTIF($X$15:$X$728,"&lt;"&amp;X116))</f>
        <v>102</v>
      </c>
      <c r="B116" s="16" t="s">
        <v>10</v>
      </c>
      <c r="C116" s="16" t="s">
        <v>357</v>
      </c>
      <c r="D116" s="16" t="s">
        <v>51</v>
      </c>
      <c r="E116" s="16" t="s">
        <v>47</v>
      </c>
      <c r="F116" s="16" t="s">
        <v>358</v>
      </c>
      <c r="G116" s="16" t="s">
        <v>359</v>
      </c>
      <c r="H116" s="17" t="n">
        <v>1828</v>
      </c>
      <c r="I116" s="17" t="n">
        <v>2028</v>
      </c>
      <c r="J116" s="17"/>
      <c r="K116" s="17" t="n">
        <v>1838</v>
      </c>
      <c r="L116" s="17" t="n">
        <f aca="false">IF(AND(IFERROR(SEARCH("현대오일뱅크",$C116),0)&gt;0,IFERROR(SEARCH("직영",$C116),0)&gt;0),$B$13,0)</f>
        <v>0</v>
      </c>
      <c r="M116" s="17" t="n">
        <f aca="false">IF($H116="","",$H116+$L116)</f>
        <v>1828</v>
      </c>
      <c r="N116" s="17" t="n">
        <f aca="false">IF($I116="","",$I116+$L116)</f>
        <v>2028</v>
      </c>
      <c r="O116" s="17" t="n">
        <f aca="false">IF($K116="","",$K116+$L116)</f>
        <v>1838</v>
      </c>
      <c r="P116" s="17" t="str">
        <f aca="false">IF($B$10=0,"",IFERROR(IF($B$4&gt;0,"휘발유 "&amp;TEXT(IF($M116="",1/0,$M116*$B$4),"#,##0")&amp;"원","")&amp;IF($B$5&gt;0,IF($B$4&gt;0," / ","")&amp;"고급유 "&amp;TEXT(IF($N116="",1/0,$N116*$B$5),"#,##0")&amp;"원","")&amp;IF($B$6&gt;0,IF(OR($B$4&gt;0,$B$5&gt;0)," / ","")&amp;"경유 "&amp;TEXT(IF($O116="",1/0,$O116*$B$6),"#,##0")&amp;"원",""),""))</f>
        <v>휘발유 25,592원 / 고급유 22,714원</v>
      </c>
      <c r="Q116" s="17" t="n">
        <f aca="false">IF($B$10=0,"",IFERROR(IF($B$4&gt;0,IF($M116="",1/0,$M116*$B$4),0)+IF($B$5&gt;0,IF($N116="",1/0,$N116*$B$5),0)+IF($B$6&gt;0,IF($O116="",1/0,$O116*$B$6),0),""))</f>
        <v>48305.6</v>
      </c>
      <c r="R116" s="17"/>
      <c r="S116" s="18" t="n">
        <f aca="false">IF($Q116="","",IF($R116="Y",IFERROR(VLOOKUP($B116,$C$4:$D$13,2,FALSE()),0),0))</f>
        <v>0</v>
      </c>
      <c r="T116" s="17" t="n">
        <f aca="false">IF($Q116="","",ROUNDDOWN($Q116*$S116,0))</f>
        <v>0</v>
      </c>
      <c r="U116" s="17" t="n">
        <f aca="false">IF($Q116="","",$Q116-$T116)</f>
        <v>48305.6</v>
      </c>
      <c r="V116" s="17" t="n">
        <f aca="false">IF($U116="","",IF($B$10=0,"",$U116/$B$10))</f>
        <v>1916.88888888889</v>
      </c>
      <c r="W116" s="17" t="n">
        <f aca="false">IF($Q116="","",IF($B$10=0,"",$Q116/$B$10))</f>
        <v>1916.88888888889</v>
      </c>
      <c r="X116" s="19" t="n">
        <f aca="false">IF($U116="",1000000000000000,$U116)</f>
        <v>48305.6</v>
      </c>
      <c r="XFC116" s="6"/>
    </row>
    <row r="117" s="5" customFormat="true" ht="28.5" hidden="false" customHeight="true" outlineLevel="0" collapsed="false">
      <c r="A117" s="16" t="n">
        <f aca="false">IF($U117="","",1+COUNTIF($X$15:$X$728,"&lt;"&amp;X117))</f>
        <v>103</v>
      </c>
      <c r="B117" s="16" t="s">
        <v>10</v>
      </c>
      <c r="C117" s="16" t="s">
        <v>360</v>
      </c>
      <c r="D117" s="16" t="s">
        <v>112</v>
      </c>
      <c r="E117" s="16" t="s">
        <v>47</v>
      </c>
      <c r="F117" s="16" t="s">
        <v>361</v>
      </c>
      <c r="G117" s="16" t="s">
        <v>362</v>
      </c>
      <c r="H117" s="17" t="n">
        <v>1879</v>
      </c>
      <c r="I117" s="17" t="n">
        <v>1989</v>
      </c>
      <c r="J117" s="17"/>
      <c r="K117" s="17" t="n">
        <v>1929</v>
      </c>
      <c r="L117" s="17" t="n">
        <f aca="false">IF(AND(IFERROR(SEARCH("현대오일뱅크",$C117),0)&gt;0,IFERROR(SEARCH("직영",$C117),0)&gt;0),$B$13,0)</f>
        <v>0</v>
      </c>
      <c r="M117" s="17" t="n">
        <f aca="false">IF($H117="","",$H117+$L117)</f>
        <v>1879</v>
      </c>
      <c r="N117" s="17" t="n">
        <f aca="false">IF($I117="","",$I117+$L117)</f>
        <v>1989</v>
      </c>
      <c r="O117" s="17" t="n">
        <f aca="false">IF($K117="","",$K117+$L117)</f>
        <v>1929</v>
      </c>
      <c r="P117" s="17" t="str">
        <f aca="false">IF($B$10=0,"",IFERROR(IF($B$4&gt;0,"휘발유 "&amp;TEXT(IF($M117="",1/0,$M117*$B$4),"#,##0")&amp;"원","")&amp;IF($B$5&gt;0,IF($B$4&gt;0," / ","")&amp;"고급유 "&amp;TEXT(IF($N117="",1/0,$N117*$B$5),"#,##0")&amp;"원","")&amp;IF($B$6&gt;0,IF(OR($B$4&gt;0,$B$5&gt;0)," / ","")&amp;"경유 "&amp;TEXT(IF($O117="",1/0,$O117*$B$6),"#,##0")&amp;"원",""),""))</f>
        <v>휘발유 26,306원 / 고급유 22,277원</v>
      </c>
      <c r="Q117" s="17" t="n">
        <f aca="false">IF($B$10=0,"",IFERROR(IF($B$4&gt;0,IF($M117="",1/0,$M117*$B$4),0)+IF($B$5&gt;0,IF($N117="",1/0,$N117*$B$5),0)+IF($B$6&gt;0,IF($O117="",1/0,$O117*$B$6),0),""))</f>
        <v>48582.8</v>
      </c>
      <c r="R117" s="17"/>
      <c r="S117" s="18" t="n">
        <f aca="false">IF($Q117="","",IF($R117="Y",IFERROR(VLOOKUP($B117,$C$4:$D$13,2,FALSE()),0),0))</f>
        <v>0</v>
      </c>
      <c r="T117" s="17" t="n">
        <f aca="false">IF($Q117="","",ROUNDDOWN($Q117*$S117,0))</f>
        <v>0</v>
      </c>
      <c r="U117" s="17" t="n">
        <f aca="false">IF($Q117="","",$Q117-$T117)</f>
        <v>48582.8</v>
      </c>
      <c r="V117" s="17" t="n">
        <f aca="false">IF($U117="","",IF($B$10=0,"",$U117/$B$10))</f>
        <v>1927.88888888889</v>
      </c>
      <c r="W117" s="17" t="n">
        <f aca="false">IF($Q117="","",IF($B$10=0,"",$Q117/$B$10))</f>
        <v>1927.88888888889</v>
      </c>
      <c r="X117" s="19" t="n">
        <f aca="false">IF($U117="",1000000000000000,$U117)</f>
        <v>48582.8</v>
      </c>
      <c r="XFC117" s="6"/>
    </row>
    <row r="118" s="5" customFormat="true" ht="28.5" hidden="false" customHeight="true" outlineLevel="0" collapsed="false">
      <c r="A118" s="16" t="n">
        <f aca="false">IF($U118="","",1+COUNTIF($X$15:$X$728,"&lt;"&amp;X118))</f>
        <v>104</v>
      </c>
      <c r="B118" s="16" t="s">
        <v>12</v>
      </c>
      <c r="C118" s="16" t="s">
        <v>363</v>
      </c>
      <c r="D118" s="20" t="s">
        <v>294</v>
      </c>
      <c r="E118" s="16" t="s">
        <v>47</v>
      </c>
      <c r="F118" s="16" t="s">
        <v>364</v>
      </c>
      <c r="G118" s="16" t="s">
        <v>365</v>
      </c>
      <c r="H118" s="17" t="n">
        <v>1748</v>
      </c>
      <c r="I118" s="17" t="n">
        <v>2178</v>
      </c>
      <c r="J118" s="17" t="s">
        <v>47</v>
      </c>
      <c r="K118" s="17" t="n">
        <v>1763</v>
      </c>
      <c r="L118" s="17" t="n">
        <f aca="false">IF(AND(IFERROR(SEARCH("현대오일뱅크",$C118),0)&gt;0,IFERROR(SEARCH("직영",$C118),0)&gt;0),$B$13,0)</f>
        <v>-10</v>
      </c>
      <c r="M118" s="17" t="n">
        <f aca="false">IF($H118="","",$H118+$L118)</f>
        <v>1738</v>
      </c>
      <c r="N118" s="17" t="n">
        <f aca="false">IF($I118="","",$I118+$L118)</f>
        <v>2168</v>
      </c>
      <c r="O118" s="17" t="n">
        <f aca="false">IF($K118="","",$K118+$L118)</f>
        <v>1753</v>
      </c>
      <c r="P118" s="17" t="str">
        <f aca="false">IF($B$10=0,"",IFERROR(IF($B$4&gt;0,"휘발유 "&amp;TEXT(IF($M118="",1/0,$M118*$B$4),"#,##0")&amp;"원","")&amp;IF($B$5&gt;0,IF($B$4&gt;0," / ","")&amp;"고급유 "&amp;TEXT(IF($N118="",1/0,$N118*$B$5),"#,##0")&amp;"원","")&amp;IF($B$6&gt;0,IF(OR($B$4&gt;0,$B$5&gt;0)," / ","")&amp;"경유 "&amp;TEXT(IF($O118="",1/0,$O118*$B$6),"#,##0")&amp;"원",""),""))</f>
        <v>휘발유 24,332원 / 고급유 24,282원</v>
      </c>
      <c r="Q118" s="17" t="n">
        <f aca="false">IF($B$10=0,"",IFERROR(IF($B$4&gt;0,IF($M118="",1/0,$M118*$B$4),0)+IF($B$5&gt;0,IF($N118="",1/0,$N118*$B$5),0)+IF($B$6&gt;0,IF($O118="",1/0,$O118*$B$6),0),""))</f>
        <v>48613.6</v>
      </c>
      <c r="R118" s="17"/>
      <c r="S118" s="18" t="n">
        <f aca="false">IF($Q118="","",IF($R118="Y",IFERROR(VLOOKUP($B118,$C$4:$D$13,2,FALSE()),0),0))</f>
        <v>0</v>
      </c>
      <c r="T118" s="17" t="n">
        <f aca="false">IF($Q118="","",ROUNDDOWN($Q118*$S118,0))</f>
        <v>0</v>
      </c>
      <c r="U118" s="17" t="n">
        <f aca="false">IF($Q118="","",$Q118-$T118)</f>
        <v>48613.6</v>
      </c>
      <c r="V118" s="17" t="n">
        <f aca="false">IF($U118="","",IF($B$10=0,"",$U118/$B$10))</f>
        <v>1929.11111111111</v>
      </c>
      <c r="W118" s="17" t="n">
        <f aca="false">IF($Q118="","",IF($B$10=0,"",$Q118/$B$10))</f>
        <v>1929.11111111111</v>
      </c>
      <c r="X118" s="19" t="n">
        <f aca="false">IF($U118="",1000000000000000,$U118)</f>
        <v>48613.6</v>
      </c>
      <c r="XFC118" s="6"/>
    </row>
    <row r="119" s="5" customFormat="true" ht="28.5" hidden="false" customHeight="true" outlineLevel="0" collapsed="false">
      <c r="A119" s="16" t="n">
        <f aca="false">IF($U119="","",1+COUNTIF($X$15:$X$728,"&lt;"&amp;X119))</f>
        <v>105</v>
      </c>
      <c r="B119" s="16" t="s">
        <v>12</v>
      </c>
      <c r="C119" s="16" t="s">
        <v>366</v>
      </c>
      <c r="D119" s="20" t="s">
        <v>248</v>
      </c>
      <c r="E119" s="16" t="s">
        <v>47</v>
      </c>
      <c r="F119" s="16" t="s">
        <v>367</v>
      </c>
      <c r="G119" s="16" t="s">
        <v>368</v>
      </c>
      <c r="H119" s="17" t="n">
        <v>1805</v>
      </c>
      <c r="I119" s="17" t="n">
        <v>2088</v>
      </c>
      <c r="J119" s="17"/>
      <c r="K119" s="17" t="n">
        <v>1780</v>
      </c>
      <c r="L119" s="17" t="n">
        <f aca="false">IF(AND(IFERROR(SEARCH("현대오일뱅크",$C119),0)&gt;0,IFERROR(SEARCH("직영",$C119),0)&gt;0),$B$13,0)</f>
        <v>0</v>
      </c>
      <c r="M119" s="17" t="n">
        <f aca="false">IF($H119="","",$H119+$L119)</f>
        <v>1805</v>
      </c>
      <c r="N119" s="17" t="n">
        <f aca="false">IF($I119="","",$I119+$L119)</f>
        <v>2088</v>
      </c>
      <c r="O119" s="17" t="n">
        <f aca="false">IF($K119="","",$K119+$L119)</f>
        <v>1780</v>
      </c>
      <c r="P119" s="17" t="str">
        <f aca="false">IF($B$10=0,"",IFERROR(IF($B$4&gt;0,"휘발유 "&amp;TEXT(IF($M119="",1/0,$M119*$B$4),"#,##0")&amp;"원","")&amp;IF($B$5&gt;0,IF($B$4&gt;0," / ","")&amp;"고급유 "&amp;TEXT(IF($N119="",1/0,$N119*$B$5),"#,##0")&amp;"원","")&amp;IF($B$6&gt;0,IF(OR($B$4&gt;0,$B$5&gt;0)," / ","")&amp;"경유 "&amp;TEXT(IF($O119="",1/0,$O119*$B$6),"#,##0")&amp;"원",""),""))</f>
        <v>휘발유 25,270원 / 고급유 23,386원</v>
      </c>
      <c r="Q119" s="17" t="n">
        <f aca="false">IF($B$10=0,"",IFERROR(IF($B$4&gt;0,IF($M119="",1/0,$M119*$B$4),0)+IF($B$5&gt;0,IF($N119="",1/0,$N119*$B$5),0)+IF($B$6&gt;0,IF($O119="",1/0,$O119*$B$6),0),""))</f>
        <v>48655.6</v>
      </c>
      <c r="R119" s="17"/>
      <c r="S119" s="18" t="n">
        <f aca="false">IF($Q119="","",IF($R119="Y",IFERROR(VLOOKUP($B119,$C$4:$D$13,2,FALSE()),0),0))</f>
        <v>0</v>
      </c>
      <c r="T119" s="17" t="n">
        <f aca="false">IF($Q119="","",ROUNDDOWN($Q119*$S119,0))</f>
        <v>0</v>
      </c>
      <c r="U119" s="17" t="n">
        <f aca="false">IF($Q119="","",$Q119-$T119)</f>
        <v>48655.6</v>
      </c>
      <c r="V119" s="17" t="n">
        <f aca="false">IF($U119="","",IF($B$10=0,"",$U119/$B$10))</f>
        <v>1930.77777777778</v>
      </c>
      <c r="W119" s="17" t="n">
        <f aca="false">IF($Q119="","",IF($B$10=0,"",$Q119/$B$10))</f>
        <v>1930.77777777778</v>
      </c>
      <c r="X119" s="19" t="n">
        <f aca="false">IF($U119="",1000000000000000,$U119)</f>
        <v>48655.6</v>
      </c>
      <c r="XFC119" s="6"/>
    </row>
    <row r="120" s="5" customFormat="true" ht="28.5" hidden="false" customHeight="true" outlineLevel="0" collapsed="false">
      <c r="A120" s="16" t="n">
        <f aca="false">IF($U120="","",1+COUNTIF($X$15:$X$728,"&lt;"&amp;X120))</f>
        <v>106</v>
      </c>
      <c r="B120" s="16" t="s">
        <v>10</v>
      </c>
      <c r="C120" s="16" t="s">
        <v>369</v>
      </c>
      <c r="D120" s="20" t="s">
        <v>108</v>
      </c>
      <c r="E120" s="16" t="s">
        <v>47</v>
      </c>
      <c r="F120" s="16" t="s">
        <v>370</v>
      </c>
      <c r="G120" s="16" t="s">
        <v>371</v>
      </c>
      <c r="H120" s="17" t="n">
        <v>1855</v>
      </c>
      <c r="I120" s="17" t="n">
        <v>2029</v>
      </c>
      <c r="J120" s="17"/>
      <c r="K120" s="17" t="n">
        <v>1895</v>
      </c>
      <c r="L120" s="17" t="n">
        <f aca="false">IF(AND(IFERROR(SEARCH("현대오일뱅크",$C120),0)&gt;0,IFERROR(SEARCH("직영",$C120),0)&gt;0),$B$13,0)</f>
        <v>0</v>
      </c>
      <c r="M120" s="17" t="n">
        <f aca="false">IF($H120="","",$H120+$L120)</f>
        <v>1855</v>
      </c>
      <c r="N120" s="17" t="n">
        <f aca="false">IF($I120="","",$I120+$L120)</f>
        <v>2029</v>
      </c>
      <c r="O120" s="17" t="n">
        <f aca="false">IF($K120="","",$K120+$L120)</f>
        <v>1895</v>
      </c>
      <c r="P120" s="17" t="str">
        <f aca="false">IF($B$10=0,"",IFERROR(IF($B$4&gt;0,"휘발유 "&amp;TEXT(IF($M120="",1/0,$M120*$B$4),"#,##0")&amp;"원","")&amp;IF($B$5&gt;0,IF($B$4&gt;0," / ","")&amp;"고급유 "&amp;TEXT(IF($N120="",1/0,$N120*$B$5),"#,##0")&amp;"원","")&amp;IF($B$6&gt;0,IF(OR($B$4&gt;0,$B$5&gt;0)," / ","")&amp;"경유 "&amp;TEXT(IF($O120="",1/0,$O120*$B$6),"#,##0")&amp;"원",""),""))</f>
        <v>휘발유 25,970원 / 고급유 22,725원</v>
      </c>
      <c r="Q120" s="17" t="n">
        <f aca="false">IF($B$10=0,"",IFERROR(IF($B$4&gt;0,IF($M120="",1/0,$M120*$B$4),0)+IF($B$5&gt;0,IF($N120="",1/0,$N120*$B$5),0)+IF($B$6&gt;0,IF($O120="",1/0,$O120*$B$6),0),""))</f>
        <v>48694.8</v>
      </c>
      <c r="R120" s="17"/>
      <c r="S120" s="18" t="n">
        <f aca="false">IF($Q120="","",IF($R120="Y",IFERROR(VLOOKUP($B120,$C$4:$D$13,2,FALSE()),0),0))</f>
        <v>0</v>
      </c>
      <c r="T120" s="17" t="n">
        <f aca="false">IF($Q120="","",ROUNDDOWN($Q120*$S120,0))</f>
        <v>0</v>
      </c>
      <c r="U120" s="17" t="n">
        <f aca="false">IF($Q120="","",$Q120-$T120)</f>
        <v>48694.8</v>
      </c>
      <c r="V120" s="17" t="n">
        <f aca="false">IF($U120="","",IF($B$10=0,"",$U120/$B$10))</f>
        <v>1932.33333333333</v>
      </c>
      <c r="W120" s="17" t="n">
        <f aca="false">IF($Q120="","",IF($B$10=0,"",$Q120/$B$10))</f>
        <v>1932.33333333333</v>
      </c>
      <c r="X120" s="19" t="n">
        <f aca="false">IF($U120="",1000000000000000,$U120)</f>
        <v>48694.8</v>
      </c>
      <c r="XFC120" s="6"/>
    </row>
    <row r="121" s="5" customFormat="true" ht="28.5" hidden="false" customHeight="true" outlineLevel="0" collapsed="false">
      <c r="A121" s="16" t="n">
        <f aca="false">IF($U121="","",1+COUNTIF($X$15:$X$728,"&lt;"&amp;X121))</f>
        <v>106</v>
      </c>
      <c r="B121" s="16" t="s">
        <v>10</v>
      </c>
      <c r="C121" s="16" t="s">
        <v>372</v>
      </c>
      <c r="D121" s="20" t="s">
        <v>108</v>
      </c>
      <c r="E121" s="16" t="s">
        <v>47</v>
      </c>
      <c r="F121" s="16" t="s">
        <v>373</v>
      </c>
      <c r="G121" s="16" t="s">
        <v>374</v>
      </c>
      <c r="H121" s="17" t="n">
        <v>1855</v>
      </c>
      <c r="I121" s="17" t="n">
        <v>2029</v>
      </c>
      <c r="J121" s="17"/>
      <c r="K121" s="17" t="n">
        <v>1895</v>
      </c>
      <c r="L121" s="17" t="n">
        <f aca="false">IF(AND(IFERROR(SEARCH("현대오일뱅크",$C121),0)&gt;0,IFERROR(SEARCH("직영",$C121),0)&gt;0),$B$13,0)</f>
        <v>0</v>
      </c>
      <c r="M121" s="17" t="n">
        <f aca="false">IF($H121="","",$H121+$L121)</f>
        <v>1855</v>
      </c>
      <c r="N121" s="17" t="n">
        <f aca="false">IF($I121="","",$I121+$L121)</f>
        <v>2029</v>
      </c>
      <c r="O121" s="17" t="n">
        <f aca="false">IF($K121="","",$K121+$L121)</f>
        <v>1895</v>
      </c>
      <c r="P121" s="17" t="str">
        <f aca="false">IF($B$10=0,"",IFERROR(IF($B$4&gt;0,"휘발유 "&amp;TEXT(IF($M121="",1/0,$M121*$B$4),"#,##0")&amp;"원","")&amp;IF($B$5&gt;0,IF($B$4&gt;0," / ","")&amp;"고급유 "&amp;TEXT(IF($N121="",1/0,$N121*$B$5),"#,##0")&amp;"원","")&amp;IF($B$6&gt;0,IF(OR($B$4&gt;0,$B$5&gt;0)," / ","")&amp;"경유 "&amp;TEXT(IF($O121="",1/0,$O121*$B$6),"#,##0")&amp;"원",""),""))</f>
        <v>휘발유 25,970원 / 고급유 22,725원</v>
      </c>
      <c r="Q121" s="17" t="n">
        <f aca="false">IF($B$10=0,"",IFERROR(IF($B$4&gt;0,IF($M121="",1/0,$M121*$B$4),0)+IF($B$5&gt;0,IF($N121="",1/0,$N121*$B$5),0)+IF($B$6&gt;0,IF($O121="",1/0,$O121*$B$6),0),""))</f>
        <v>48694.8</v>
      </c>
      <c r="R121" s="17"/>
      <c r="S121" s="18" t="n">
        <f aca="false">IF($Q121="","",IF($R121="Y",IFERROR(VLOOKUP($B121,$C$4:$D$13,2,FALSE()),0),0))</f>
        <v>0</v>
      </c>
      <c r="T121" s="17" t="n">
        <f aca="false">IF($Q121="","",ROUNDDOWN($Q121*$S121,0))</f>
        <v>0</v>
      </c>
      <c r="U121" s="17" t="n">
        <f aca="false">IF($Q121="","",$Q121-$T121)</f>
        <v>48694.8</v>
      </c>
      <c r="V121" s="17" t="n">
        <f aca="false">IF($U121="","",IF($B$10=0,"",$U121/$B$10))</f>
        <v>1932.33333333333</v>
      </c>
      <c r="W121" s="17" t="n">
        <f aca="false">IF($Q121="","",IF($B$10=0,"",$Q121/$B$10))</f>
        <v>1932.33333333333</v>
      </c>
      <c r="X121" s="19" t="n">
        <f aca="false">IF($U121="",1000000000000000,$U121)</f>
        <v>48694.8</v>
      </c>
      <c r="XFC121" s="6"/>
    </row>
    <row r="122" s="5" customFormat="true" ht="28.5" hidden="false" customHeight="true" outlineLevel="0" collapsed="false">
      <c r="A122" s="16" t="n">
        <f aca="false">IF($U122="","",1+COUNTIF($X$15:$X$728,"&lt;"&amp;X122))</f>
        <v>108</v>
      </c>
      <c r="B122" s="16" t="s">
        <v>10</v>
      </c>
      <c r="C122" s="16" t="s">
        <v>375</v>
      </c>
      <c r="D122" s="16" t="s">
        <v>46</v>
      </c>
      <c r="E122" s="16" t="s">
        <v>47</v>
      </c>
      <c r="F122" s="16" t="s">
        <v>376</v>
      </c>
      <c r="G122" s="16" t="s">
        <v>377</v>
      </c>
      <c r="H122" s="17" t="n">
        <v>1840</v>
      </c>
      <c r="I122" s="17" t="n">
        <v>2048</v>
      </c>
      <c r="J122" s="17"/>
      <c r="K122" s="17" t="n">
        <v>1857</v>
      </c>
      <c r="L122" s="17" t="n">
        <f aca="false">IF(AND(IFERROR(SEARCH("현대오일뱅크",$C122),0)&gt;0,IFERROR(SEARCH("직영",$C122),0)&gt;0),$B$13,0)</f>
        <v>0</v>
      </c>
      <c r="M122" s="17" t="n">
        <f aca="false">IF($H122="","",$H122+$L122)</f>
        <v>1840</v>
      </c>
      <c r="N122" s="17" t="n">
        <f aca="false">IF($I122="","",$I122+$L122)</f>
        <v>2048</v>
      </c>
      <c r="O122" s="17" t="n">
        <f aca="false">IF($K122="","",$K122+$L122)</f>
        <v>1857</v>
      </c>
      <c r="P122" s="17" t="str">
        <f aca="false">IF($B$10=0,"",IFERROR(IF($B$4&gt;0,"휘발유 "&amp;TEXT(IF($M122="",1/0,$M122*$B$4),"#,##0")&amp;"원","")&amp;IF($B$5&gt;0,IF($B$4&gt;0," / ","")&amp;"고급유 "&amp;TEXT(IF($N122="",1/0,$N122*$B$5),"#,##0")&amp;"원","")&amp;IF($B$6&gt;0,IF(OR($B$4&gt;0,$B$5&gt;0)," / ","")&amp;"경유 "&amp;TEXT(IF($O122="",1/0,$O122*$B$6),"#,##0")&amp;"원",""),""))</f>
        <v>휘발유 25,760원 / 고급유 22,938원</v>
      </c>
      <c r="Q122" s="17" t="n">
        <f aca="false">IF($B$10=0,"",IFERROR(IF($B$4&gt;0,IF($M122="",1/0,$M122*$B$4),0)+IF($B$5&gt;0,IF($N122="",1/0,$N122*$B$5),0)+IF($B$6&gt;0,IF($O122="",1/0,$O122*$B$6),0),""))</f>
        <v>48697.6</v>
      </c>
      <c r="R122" s="17"/>
      <c r="S122" s="18" t="n">
        <f aca="false">IF($Q122="","",IF($R122="Y",IFERROR(VLOOKUP($B122,$C$4:$D$13,2,FALSE()),0),0))</f>
        <v>0</v>
      </c>
      <c r="T122" s="17" t="n">
        <f aca="false">IF($Q122="","",ROUNDDOWN($Q122*$S122,0))</f>
        <v>0</v>
      </c>
      <c r="U122" s="17" t="n">
        <f aca="false">IF($Q122="","",$Q122-$T122)</f>
        <v>48697.6</v>
      </c>
      <c r="V122" s="17" t="n">
        <f aca="false">IF($U122="","",IF($B$10=0,"",$U122/$B$10))</f>
        <v>1932.44444444444</v>
      </c>
      <c r="W122" s="17" t="n">
        <f aca="false">IF($Q122="","",IF($B$10=0,"",$Q122/$B$10))</f>
        <v>1932.44444444444</v>
      </c>
      <c r="X122" s="19" t="n">
        <f aca="false">IF($U122="",1000000000000000,$U122)</f>
        <v>48697.6</v>
      </c>
      <c r="XFC122" s="6"/>
    </row>
    <row r="123" s="5" customFormat="true" ht="28.5" hidden="false" customHeight="true" outlineLevel="0" collapsed="false">
      <c r="A123" s="16" t="n">
        <f aca="false">IF($U123="","",1+COUNTIF($X$15:$X$728,"&lt;"&amp;X123))</f>
        <v>109</v>
      </c>
      <c r="B123" s="16" t="s">
        <v>10</v>
      </c>
      <c r="C123" s="16" t="s">
        <v>378</v>
      </c>
      <c r="D123" s="16" t="s">
        <v>46</v>
      </c>
      <c r="E123" s="16" t="s">
        <v>47</v>
      </c>
      <c r="F123" s="16" t="s">
        <v>379</v>
      </c>
      <c r="G123" s="16" t="s">
        <v>380</v>
      </c>
      <c r="H123" s="17" t="n">
        <v>1849</v>
      </c>
      <c r="I123" s="17" t="n">
        <v>2049</v>
      </c>
      <c r="J123" s="17"/>
      <c r="K123" s="17" t="n">
        <v>1879</v>
      </c>
      <c r="L123" s="17" t="n">
        <f aca="false">IF(AND(IFERROR(SEARCH("현대오일뱅크",$C123),0)&gt;0,IFERROR(SEARCH("직영",$C123),0)&gt;0),$B$13,0)</f>
        <v>0</v>
      </c>
      <c r="M123" s="17" t="n">
        <f aca="false">IF($H123="","",$H123+$L123)</f>
        <v>1849</v>
      </c>
      <c r="N123" s="17" t="n">
        <f aca="false">IF($I123="","",$I123+$L123)</f>
        <v>2049</v>
      </c>
      <c r="O123" s="17" t="n">
        <f aca="false">IF($K123="","",$K123+$L123)</f>
        <v>1879</v>
      </c>
      <c r="P123" s="17" t="str">
        <f aca="false">IF($B$10=0,"",IFERROR(IF($B$4&gt;0,"휘발유 "&amp;TEXT(IF($M123="",1/0,$M123*$B$4),"#,##0")&amp;"원","")&amp;IF($B$5&gt;0,IF($B$4&gt;0," / ","")&amp;"고급유 "&amp;TEXT(IF($N123="",1/0,$N123*$B$5),"#,##0")&amp;"원","")&amp;IF($B$6&gt;0,IF(OR($B$4&gt;0,$B$5&gt;0)," / ","")&amp;"경유 "&amp;TEXT(IF($O123="",1/0,$O123*$B$6),"#,##0")&amp;"원",""),""))</f>
        <v>휘발유 25,886원 / 고급유 22,949원</v>
      </c>
      <c r="Q123" s="17" t="n">
        <f aca="false">IF($B$10=0,"",IFERROR(IF($B$4&gt;0,IF($M123="",1/0,$M123*$B$4),0)+IF($B$5&gt;0,IF($N123="",1/0,$N123*$B$5),0)+IF($B$6&gt;0,IF($O123="",1/0,$O123*$B$6),0),""))</f>
        <v>48834.8</v>
      </c>
      <c r="R123" s="17"/>
      <c r="S123" s="18" t="n">
        <f aca="false">IF($Q123="","",IF($R123="Y",IFERROR(VLOOKUP($B123,$C$4:$D$13,2,FALSE()),0),0))</f>
        <v>0</v>
      </c>
      <c r="T123" s="17" t="n">
        <f aca="false">IF($Q123="","",ROUNDDOWN($Q123*$S123,0))</f>
        <v>0</v>
      </c>
      <c r="U123" s="17" t="n">
        <f aca="false">IF($Q123="","",$Q123-$T123)</f>
        <v>48834.8</v>
      </c>
      <c r="V123" s="17" t="n">
        <f aca="false">IF($U123="","",IF($B$10=0,"",$U123/$B$10))</f>
        <v>1937.88888888889</v>
      </c>
      <c r="W123" s="17" t="n">
        <f aca="false">IF($Q123="","",IF($B$10=0,"",$Q123/$B$10))</f>
        <v>1937.88888888889</v>
      </c>
      <c r="X123" s="19" t="n">
        <f aca="false">IF($U123="",1000000000000000,$U123)</f>
        <v>48834.8</v>
      </c>
      <c r="XFC123" s="6"/>
    </row>
    <row r="124" s="5" customFormat="true" ht="28.5" hidden="false" customHeight="true" outlineLevel="0" collapsed="false">
      <c r="A124" s="16" t="n">
        <f aca="false">IF($U124="","",1+COUNTIF($X$15:$X$728,"&lt;"&amp;X124))</f>
        <v>110</v>
      </c>
      <c r="B124" s="16" t="s">
        <v>10</v>
      </c>
      <c r="C124" s="16" t="s">
        <v>381</v>
      </c>
      <c r="D124" s="16" t="s">
        <v>51</v>
      </c>
      <c r="E124" s="16" t="s">
        <v>47</v>
      </c>
      <c r="F124" s="16" t="s">
        <v>382</v>
      </c>
      <c r="G124" s="16" t="s">
        <v>383</v>
      </c>
      <c r="H124" s="17" t="n">
        <v>1889</v>
      </c>
      <c r="I124" s="17" t="n">
        <v>2010</v>
      </c>
      <c r="J124" s="17"/>
      <c r="K124" s="17" t="n">
        <v>1910</v>
      </c>
      <c r="L124" s="17" t="n">
        <f aca="false">IF(AND(IFERROR(SEARCH("현대오일뱅크",$C124),0)&gt;0,IFERROR(SEARCH("직영",$C124),0)&gt;0),$B$13,0)</f>
        <v>0</v>
      </c>
      <c r="M124" s="17" t="n">
        <f aca="false">IF($H124="","",$H124+$L124)</f>
        <v>1889</v>
      </c>
      <c r="N124" s="17" t="n">
        <f aca="false">IF($I124="","",$I124+$L124)</f>
        <v>2010</v>
      </c>
      <c r="O124" s="17" t="n">
        <f aca="false">IF($K124="","",$K124+$L124)</f>
        <v>1910</v>
      </c>
      <c r="P124" s="17" t="str">
        <f aca="false">IF($B$10=0,"",IFERROR(IF($B$4&gt;0,"휘발유 "&amp;TEXT(IF($M124="",1/0,$M124*$B$4),"#,##0")&amp;"원","")&amp;IF($B$5&gt;0,IF($B$4&gt;0," / ","")&amp;"고급유 "&amp;TEXT(IF($N124="",1/0,$N124*$B$5),"#,##0")&amp;"원","")&amp;IF($B$6&gt;0,IF(OR($B$4&gt;0,$B$5&gt;0)," / ","")&amp;"경유 "&amp;TEXT(IF($O124="",1/0,$O124*$B$6),"#,##0")&amp;"원",""),""))</f>
        <v>휘발유 26,446원 / 고급유 22,512원</v>
      </c>
      <c r="Q124" s="17" t="n">
        <f aca="false">IF($B$10=0,"",IFERROR(IF($B$4&gt;0,IF($M124="",1/0,$M124*$B$4),0)+IF($B$5&gt;0,IF($N124="",1/0,$N124*$B$5),0)+IF($B$6&gt;0,IF($O124="",1/0,$O124*$B$6),0),""))</f>
        <v>48958</v>
      </c>
      <c r="R124" s="17"/>
      <c r="S124" s="18" t="n">
        <f aca="false">IF($Q124="","",IF($R124="Y",IFERROR(VLOOKUP($B124,$C$4:$D$13,2,FALSE()),0),0))</f>
        <v>0</v>
      </c>
      <c r="T124" s="17" t="n">
        <f aca="false">IF($Q124="","",ROUNDDOWN($Q124*$S124,0))</f>
        <v>0</v>
      </c>
      <c r="U124" s="17" t="n">
        <f aca="false">IF($Q124="","",$Q124-$T124)</f>
        <v>48958</v>
      </c>
      <c r="V124" s="17" t="n">
        <f aca="false">IF($U124="","",IF($B$10=0,"",$U124/$B$10))</f>
        <v>1942.77777777778</v>
      </c>
      <c r="W124" s="17" t="n">
        <f aca="false">IF($Q124="","",IF($B$10=0,"",$Q124/$B$10))</f>
        <v>1942.77777777778</v>
      </c>
      <c r="X124" s="19" t="n">
        <f aca="false">IF($U124="",1000000000000000,$U124)</f>
        <v>48958</v>
      </c>
      <c r="XFC124" s="6"/>
    </row>
    <row r="125" s="5" customFormat="true" ht="28.5" hidden="false" customHeight="true" outlineLevel="0" collapsed="false">
      <c r="A125" s="16" t="n">
        <f aca="false">IF($U125="","",1+COUNTIF($X$15:$X$728,"&lt;"&amp;X125))</f>
        <v>111</v>
      </c>
      <c r="B125" s="16" t="s">
        <v>10</v>
      </c>
      <c r="C125" s="16" t="s">
        <v>384</v>
      </c>
      <c r="D125" s="16" t="s">
        <v>112</v>
      </c>
      <c r="E125" s="16" t="s">
        <v>47</v>
      </c>
      <c r="F125" s="16" t="s">
        <v>385</v>
      </c>
      <c r="G125" s="16" t="s">
        <v>386</v>
      </c>
      <c r="H125" s="17" t="n">
        <v>1899</v>
      </c>
      <c r="I125" s="17" t="n">
        <v>1998</v>
      </c>
      <c r="J125" s="17"/>
      <c r="K125" s="17" t="n">
        <v>1899</v>
      </c>
      <c r="L125" s="17" t="n">
        <f aca="false">IF(AND(IFERROR(SEARCH("현대오일뱅크",$C125),0)&gt;0,IFERROR(SEARCH("직영",$C125),0)&gt;0),$B$13,0)</f>
        <v>0</v>
      </c>
      <c r="M125" s="17" t="n">
        <f aca="false">IF($H125="","",$H125+$L125)</f>
        <v>1899</v>
      </c>
      <c r="N125" s="17" t="n">
        <f aca="false">IF($I125="","",$I125+$L125)</f>
        <v>1998</v>
      </c>
      <c r="O125" s="17" t="n">
        <f aca="false">IF($K125="","",$K125+$L125)</f>
        <v>1899</v>
      </c>
      <c r="P125" s="17" t="str">
        <f aca="false">IF($B$10=0,"",IFERROR(IF($B$4&gt;0,"휘발유 "&amp;TEXT(IF($M125="",1/0,$M125*$B$4),"#,##0")&amp;"원","")&amp;IF($B$5&gt;0,IF($B$4&gt;0," / ","")&amp;"고급유 "&amp;TEXT(IF($N125="",1/0,$N125*$B$5),"#,##0")&amp;"원","")&amp;IF($B$6&gt;0,IF(OR($B$4&gt;0,$B$5&gt;0)," / ","")&amp;"경유 "&amp;TEXT(IF($O125="",1/0,$O125*$B$6),"#,##0")&amp;"원",""),""))</f>
        <v>휘발유 26,586원 / 고급유 22,378원</v>
      </c>
      <c r="Q125" s="17" t="n">
        <f aca="false">IF($B$10=0,"",IFERROR(IF($B$4&gt;0,IF($M125="",1/0,$M125*$B$4),0)+IF($B$5&gt;0,IF($N125="",1/0,$N125*$B$5),0)+IF($B$6&gt;0,IF($O125="",1/0,$O125*$B$6),0),""))</f>
        <v>48963.6</v>
      </c>
      <c r="R125" s="17"/>
      <c r="S125" s="18" t="n">
        <f aca="false">IF($Q125="","",IF($R125="Y",IFERROR(VLOOKUP($B125,$C$4:$D$13,2,FALSE()),0),0))</f>
        <v>0</v>
      </c>
      <c r="T125" s="17" t="n">
        <f aca="false">IF($Q125="","",ROUNDDOWN($Q125*$S125,0))</f>
        <v>0</v>
      </c>
      <c r="U125" s="17" t="n">
        <f aca="false">IF($Q125="","",$Q125-$T125)</f>
        <v>48963.6</v>
      </c>
      <c r="V125" s="17" t="n">
        <f aca="false">IF($U125="","",IF($B$10=0,"",$U125/$B$10))</f>
        <v>1943</v>
      </c>
      <c r="W125" s="17" t="n">
        <f aca="false">IF($Q125="","",IF($B$10=0,"",$Q125/$B$10))</f>
        <v>1943</v>
      </c>
      <c r="X125" s="19" t="n">
        <f aca="false">IF($U125="",1000000000000000,$U125)</f>
        <v>48963.6</v>
      </c>
      <c r="XFC125" s="6"/>
    </row>
    <row r="126" s="5" customFormat="true" ht="28.5" hidden="false" customHeight="true" outlineLevel="0" collapsed="false">
      <c r="A126" s="16" t="n">
        <f aca="false">IF($U126="","",1+COUNTIF($X$15:$X$728,"&lt;"&amp;X126))</f>
        <v>112</v>
      </c>
      <c r="B126" s="16" t="s">
        <v>14</v>
      </c>
      <c r="C126" s="16" t="s">
        <v>387</v>
      </c>
      <c r="D126" s="16" t="s">
        <v>58</v>
      </c>
      <c r="E126" s="16" t="s">
        <v>59</v>
      </c>
      <c r="F126" s="16" t="s">
        <v>388</v>
      </c>
      <c r="G126" s="16" t="s">
        <v>389</v>
      </c>
      <c r="H126" s="17" t="n">
        <v>1836</v>
      </c>
      <c r="I126" s="17" t="n">
        <v>2100</v>
      </c>
      <c r="J126" s="17"/>
      <c r="K126" s="17" t="n">
        <v>1829</v>
      </c>
      <c r="L126" s="17" t="n">
        <f aca="false">IF(AND(IFERROR(SEARCH("현대오일뱅크",$C126),0)&gt;0,IFERROR(SEARCH("직영",$C126),0)&gt;0),$B$13,0)</f>
        <v>-10</v>
      </c>
      <c r="M126" s="17" t="n">
        <f aca="false">IF($H126="","",$H126+$L126)</f>
        <v>1826</v>
      </c>
      <c r="N126" s="17" t="n">
        <f aca="false">IF($I126="","",$I126+$L126)</f>
        <v>2090</v>
      </c>
      <c r="O126" s="17" t="n">
        <f aca="false">IF($K126="","",$K126+$L126)</f>
        <v>1819</v>
      </c>
      <c r="P126" s="17" t="str">
        <f aca="false">IF($B$10=0,"",IFERROR(IF($B$4&gt;0,"휘발유 "&amp;TEXT(IF($M126="",1/0,$M126*$B$4),"#,##0")&amp;"원","")&amp;IF($B$5&gt;0,IF($B$4&gt;0," / ","")&amp;"고급유 "&amp;TEXT(IF($N126="",1/0,$N126*$B$5),"#,##0")&amp;"원","")&amp;IF($B$6&gt;0,IF(OR($B$4&gt;0,$B$5&gt;0)," / ","")&amp;"경유 "&amp;TEXT(IF($O126="",1/0,$O126*$B$6),"#,##0")&amp;"원",""),""))</f>
        <v>휘발유 25,564원 / 고급유 23,408원</v>
      </c>
      <c r="Q126" s="17" t="n">
        <f aca="false">IF($B$10=0,"",IFERROR(IF($B$4&gt;0,IF($M126="",1/0,$M126*$B$4),0)+IF($B$5&gt;0,IF($N126="",1/0,$N126*$B$5),0)+IF($B$6&gt;0,IF($O126="",1/0,$O126*$B$6),0),""))</f>
        <v>48972</v>
      </c>
      <c r="R126" s="17"/>
      <c r="S126" s="18" t="n">
        <f aca="false">IF($Q126="","",IF($R126="Y",IFERROR(VLOOKUP($B126,$C$4:$D$13,2,FALSE()),0),0))</f>
        <v>0</v>
      </c>
      <c r="T126" s="17" t="n">
        <f aca="false">IF($Q126="","",ROUNDDOWN($Q126*$S126,0))</f>
        <v>0</v>
      </c>
      <c r="U126" s="17" t="n">
        <f aca="false">IF($Q126="","",$Q126-$T126)</f>
        <v>48972</v>
      </c>
      <c r="V126" s="17" t="n">
        <f aca="false">IF($U126="","",IF($B$10=0,"",$U126/$B$10))</f>
        <v>1943.33333333333</v>
      </c>
      <c r="W126" s="17" t="n">
        <f aca="false">IF($Q126="","",IF($B$10=0,"",$Q126/$B$10))</f>
        <v>1943.33333333333</v>
      </c>
      <c r="X126" s="19" t="n">
        <f aca="false">IF($U126="",1000000000000000,$U126)</f>
        <v>48972</v>
      </c>
      <c r="XFC126" s="6"/>
    </row>
    <row r="127" s="5" customFormat="true" ht="28.5" hidden="false" customHeight="true" outlineLevel="0" collapsed="false">
      <c r="A127" s="16" t="n">
        <f aca="false">IF($U127="","",1+COUNTIF($X$15:$X$728,"&lt;"&amp;X127))</f>
        <v>113</v>
      </c>
      <c r="B127" s="16" t="s">
        <v>10</v>
      </c>
      <c r="C127" s="16" t="s">
        <v>390</v>
      </c>
      <c r="D127" s="20" t="s">
        <v>108</v>
      </c>
      <c r="E127" s="16" t="s">
        <v>47</v>
      </c>
      <c r="F127" s="16" t="s">
        <v>391</v>
      </c>
      <c r="G127" s="16" t="s">
        <v>392</v>
      </c>
      <c r="H127" s="17" t="n">
        <v>1899</v>
      </c>
      <c r="I127" s="17" t="n">
        <v>1999</v>
      </c>
      <c r="J127" s="17"/>
      <c r="K127" s="17" t="n">
        <v>1899</v>
      </c>
      <c r="L127" s="17" t="n">
        <f aca="false">IF(AND(IFERROR(SEARCH("현대오일뱅크",$C127),0)&gt;0,IFERROR(SEARCH("직영",$C127),0)&gt;0),$B$13,0)</f>
        <v>0</v>
      </c>
      <c r="M127" s="17" t="n">
        <f aca="false">IF($H127="","",$H127+$L127)</f>
        <v>1899</v>
      </c>
      <c r="N127" s="17" t="n">
        <f aca="false">IF($I127="","",$I127+$L127)</f>
        <v>1999</v>
      </c>
      <c r="O127" s="17" t="n">
        <f aca="false">IF($K127="","",$K127+$L127)</f>
        <v>1899</v>
      </c>
      <c r="P127" s="17" t="str">
        <f aca="false">IF($B$10=0,"",IFERROR(IF($B$4&gt;0,"휘발유 "&amp;TEXT(IF($M127="",1/0,$M127*$B$4),"#,##0")&amp;"원","")&amp;IF($B$5&gt;0,IF($B$4&gt;0," / ","")&amp;"고급유 "&amp;TEXT(IF($N127="",1/0,$N127*$B$5),"#,##0")&amp;"원","")&amp;IF($B$6&gt;0,IF(OR($B$4&gt;0,$B$5&gt;0)," / ","")&amp;"경유 "&amp;TEXT(IF($O127="",1/0,$O127*$B$6),"#,##0")&amp;"원",""),""))</f>
        <v>휘발유 26,586원 / 고급유 22,389원</v>
      </c>
      <c r="Q127" s="17" t="n">
        <f aca="false">IF($B$10=0,"",IFERROR(IF($B$4&gt;0,IF($M127="",1/0,$M127*$B$4),0)+IF($B$5&gt;0,IF($N127="",1/0,$N127*$B$5),0)+IF($B$6&gt;0,IF($O127="",1/0,$O127*$B$6),0),""))</f>
        <v>48974.8</v>
      </c>
      <c r="R127" s="17"/>
      <c r="S127" s="18" t="n">
        <f aca="false">IF($Q127="","",IF($R127="Y",IFERROR(VLOOKUP($B127,$C$4:$D$13,2,FALSE()),0),0))</f>
        <v>0</v>
      </c>
      <c r="T127" s="17" t="n">
        <f aca="false">IF($Q127="","",ROUNDDOWN($Q127*$S127,0))</f>
        <v>0</v>
      </c>
      <c r="U127" s="17" t="n">
        <f aca="false">IF($Q127="","",$Q127-$T127)</f>
        <v>48974.8</v>
      </c>
      <c r="V127" s="17" t="n">
        <f aca="false">IF($U127="","",IF($B$10=0,"",$U127/$B$10))</f>
        <v>1943.44444444444</v>
      </c>
      <c r="W127" s="17" t="n">
        <f aca="false">IF($Q127="","",IF($B$10=0,"",$Q127/$B$10))</f>
        <v>1943.44444444444</v>
      </c>
      <c r="X127" s="19" t="n">
        <f aca="false">IF($U127="",1000000000000000,$U127)</f>
        <v>48974.8</v>
      </c>
      <c r="XFC127" s="6"/>
    </row>
    <row r="128" s="5" customFormat="true" ht="28.5" hidden="false" customHeight="true" outlineLevel="0" collapsed="false">
      <c r="A128" s="16" t="n">
        <f aca="false">IF($U128="","",1+COUNTIF($X$15:$X$728,"&lt;"&amp;X128))</f>
        <v>113</v>
      </c>
      <c r="B128" s="16" t="s">
        <v>16</v>
      </c>
      <c r="C128" s="16" t="s">
        <v>393</v>
      </c>
      <c r="D128" s="16" t="s">
        <v>51</v>
      </c>
      <c r="E128" s="16" t="s">
        <v>47</v>
      </c>
      <c r="F128" s="16" t="s">
        <v>394</v>
      </c>
      <c r="G128" s="16" t="s">
        <v>395</v>
      </c>
      <c r="H128" s="17" t="n">
        <v>1899</v>
      </c>
      <c r="I128" s="17" t="n">
        <v>1999</v>
      </c>
      <c r="J128" s="17"/>
      <c r="K128" s="17" t="n">
        <v>1899</v>
      </c>
      <c r="L128" s="17" t="n">
        <f aca="false">IF(AND(IFERROR(SEARCH("현대오일뱅크",$C128),0)&gt;0,IFERROR(SEARCH("직영",$C128),0)&gt;0),$B$13,0)</f>
        <v>0</v>
      </c>
      <c r="M128" s="17" t="n">
        <f aca="false">IF($H128="","",$H128+$L128)</f>
        <v>1899</v>
      </c>
      <c r="N128" s="17" t="n">
        <f aca="false">IF($I128="","",$I128+$L128)</f>
        <v>1999</v>
      </c>
      <c r="O128" s="17" t="n">
        <f aca="false">IF($K128="","",$K128+$L128)</f>
        <v>1899</v>
      </c>
      <c r="P128" s="17" t="str">
        <f aca="false">IF($B$10=0,"",IFERROR(IF($B$4&gt;0,"휘발유 "&amp;TEXT(IF($M128="",1/0,$M128*$B$4),"#,##0")&amp;"원","")&amp;IF($B$5&gt;0,IF($B$4&gt;0," / ","")&amp;"고급유 "&amp;TEXT(IF($N128="",1/0,$N128*$B$5),"#,##0")&amp;"원","")&amp;IF($B$6&gt;0,IF(OR($B$4&gt;0,$B$5&gt;0)," / ","")&amp;"경유 "&amp;TEXT(IF($O128="",1/0,$O128*$B$6),"#,##0")&amp;"원",""),""))</f>
        <v>휘발유 26,586원 / 고급유 22,389원</v>
      </c>
      <c r="Q128" s="17" t="n">
        <f aca="false">IF($B$10=0,"",IFERROR(IF($B$4&gt;0,IF($M128="",1/0,$M128*$B$4),0)+IF($B$5&gt;0,IF($N128="",1/0,$N128*$B$5),0)+IF($B$6&gt;0,IF($O128="",1/0,$O128*$B$6),0),""))</f>
        <v>48974.8</v>
      </c>
      <c r="R128" s="17"/>
      <c r="S128" s="18" t="n">
        <f aca="false">IF($Q128="","",IF($R128="Y",IFERROR(VLOOKUP($B128,$C$4:$D$13,2,FALSE()),0),0))</f>
        <v>0</v>
      </c>
      <c r="T128" s="17" t="n">
        <f aca="false">IF($Q128="","",ROUNDDOWN($Q128*$S128,0))</f>
        <v>0</v>
      </c>
      <c r="U128" s="17" t="n">
        <f aca="false">IF($Q128="","",$Q128-$T128)</f>
        <v>48974.8</v>
      </c>
      <c r="V128" s="17" t="n">
        <f aca="false">IF($U128="","",IF($B$10=0,"",$U128/$B$10))</f>
        <v>1943.44444444444</v>
      </c>
      <c r="W128" s="17" t="n">
        <f aca="false">IF($Q128="","",IF($B$10=0,"",$Q128/$B$10))</f>
        <v>1943.44444444444</v>
      </c>
      <c r="X128" s="19" t="n">
        <f aca="false">IF($U128="",1000000000000000,$U128)</f>
        <v>48974.8</v>
      </c>
      <c r="XFC128" s="6"/>
    </row>
    <row r="129" s="5" customFormat="true" ht="28.5" hidden="false" customHeight="true" outlineLevel="0" collapsed="false">
      <c r="A129" s="16" t="n">
        <f aca="false">IF($U129="","",1+COUNTIF($X$15:$X$728,"&lt;"&amp;X129))</f>
        <v>115</v>
      </c>
      <c r="B129" s="16" t="s">
        <v>10</v>
      </c>
      <c r="C129" s="16" t="s">
        <v>396</v>
      </c>
      <c r="D129" s="16" t="s">
        <v>51</v>
      </c>
      <c r="E129" s="16" t="s">
        <v>47</v>
      </c>
      <c r="F129" s="16" t="s">
        <v>397</v>
      </c>
      <c r="G129" s="16" t="s">
        <v>398</v>
      </c>
      <c r="H129" s="17" t="n">
        <v>1899</v>
      </c>
      <c r="I129" s="17" t="n">
        <v>2010</v>
      </c>
      <c r="J129" s="17"/>
      <c r="K129" s="17" t="n">
        <v>1910</v>
      </c>
      <c r="L129" s="17" t="n">
        <f aca="false">IF(AND(IFERROR(SEARCH("현대오일뱅크",$C129),0)&gt;0,IFERROR(SEARCH("직영",$C129),0)&gt;0),$B$13,0)</f>
        <v>0</v>
      </c>
      <c r="M129" s="17" t="n">
        <f aca="false">IF($H129="","",$H129+$L129)</f>
        <v>1899</v>
      </c>
      <c r="N129" s="17" t="n">
        <f aca="false">IF($I129="","",$I129+$L129)</f>
        <v>2010</v>
      </c>
      <c r="O129" s="17" t="n">
        <f aca="false">IF($K129="","",$K129+$L129)</f>
        <v>1910</v>
      </c>
      <c r="P129" s="17" t="str">
        <f aca="false">IF($B$10=0,"",IFERROR(IF($B$4&gt;0,"휘발유 "&amp;TEXT(IF($M129="",1/0,$M129*$B$4),"#,##0")&amp;"원","")&amp;IF($B$5&gt;0,IF($B$4&gt;0," / ","")&amp;"고급유 "&amp;TEXT(IF($N129="",1/0,$N129*$B$5),"#,##0")&amp;"원","")&amp;IF($B$6&gt;0,IF(OR($B$4&gt;0,$B$5&gt;0)," / ","")&amp;"경유 "&amp;TEXT(IF($O129="",1/0,$O129*$B$6),"#,##0")&amp;"원",""),""))</f>
        <v>휘발유 26,586원 / 고급유 22,512원</v>
      </c>
      <c r="Q129" s="17" t="n">
        <f aca="false">IF($B$10=0,"",IFERROR(IF($B$4&gt;0,IF($M129="",1/0,$M129*$B$4),0)+IF($B$5&gt;0,IF($N129="",1/0,$N129*$B$5),0)+IF($B$6&gt;0,IF($O129="",1/0,$O129*$B$6),0),""))</f>
        <v>49098</v>
      </c>
      <c r="R129" s="17"/>
      <c r="S129" s="18" t="n">
        <f aca="false">IF($Q129="","",IF($R129="Y",IFERROR(VLOOKUP($B129,$C$4:$D$13,2,FALSE()),0),0))</f>
        <v>0</v>
      </c>
      <c r="T129" s="17" t="n">
        <f aca="false">IF($Q129="","",ROUNDDOWN($Q129*$S129,0))</f>
        <v>0</v>
      </c>
      <c r="U129" s="17" t="n">
        <f aca="false">IF($Q129="","",$Q129-$T129)</f>
        <v>49098</v>
      </c>
      <c r="V129" s="17" t="n">
        <f aca="false">IF($U129="","",IF($B$10=0,"",$U129/$B$10))</f>
        <v>1948.33333333333</v>
      </c>
      <c r="W129" s="17" t="n">
        <f aca="false">IF($Q129="","",IF($B$10=0,"",$Q129/$B$10))</f>
        <v>1948.33333333333</v>
      </c>
      <c r="X129" s="19" t="n">
        <f aca="false">IF($U129="",1000000000000000,$U129)</f>
        <v>49098</v>
      </c>
      <c r="XFC129" s="6"/>
    </row>
    <row r="130" s="5" customFormat="true" ht="28.5" hidden="false" customHeight="true" outlineLevel="0" collapsed="false">
      <c r="A130" s="16" t="n">
        <f aca="false">IF($U130="","",1+COUNTIF($X$15:$X$728,"&lt;"&amp;X130))</f>
        <v>116</v>
      </c>
      <c r="B130" s="16" t="s">
        <v>12</v>
      </c>
      <c r="C130" s="16" t="s">
        <v>399</v>
      </c>
      <c r="D130" s="16" t="s">
        <v>400</v>
      </c>
      <c r="E130" s="16" t="s">
        <v>47</v>
      </c>
      <c r="F130" s="16" t="s">
        <v>401</v>
      </c>
      <c r="G130" s="16" t="s">
        <v>402</v>
      </c>
      <c r="H130" s="17" t="n">
        <v>1838</v>
      </c>
      <c r="I130" s="17" t="n">
        <v>2088</v>
      </c>
      <c r="J130" s="17"/>
      <c r="K130" s="17" t="n">
        <v>1835</v>
      </c>
      <c r="L130" s="17" t="n">
        <f aca="false">IF(AND(IFERROR(SEARCH("현대오일뱅크",$C130),0)&gt;0,IFERROR(SEARCH("직영",$C130),0)&gt;0),$B$13,0)</f>
        <v>0</v>
      </c>
      <c r="M130" s="17" t="n">
        <f aca="false">IF($H130="","",$H130+$L130)</f>
        <v>1838</v>
      </c>
      <c r="N130" s="17" t="n">
        <f aca="false">IF($I130="","",$I130+$L130)</f>
        <v>2088</v>
      </c>
      <c r="O130" s="17" t="n">
        <f aca="false">IF($K130="","",$K130+$L130)</f>
        <v>1835</v>
      </c>
      <c r="P130" s="17" t="str">
        <f aca="false">IF($B$10=0,"",IFERROR(IF($B$4&gt;0,"휘발유 "&amp;TEXT(IF($M130="",1/0,$M130*$B$4),"#,##0")&amp;"원","")&amp;IF($B$5&gt;0,IF($B$4&gt;0," / ","")&amp;"고급유 "&amp;TEXT(IF($N130="",1/0,$N130*$B$5),"#,##0")&amp;"원","")&amp;IF($B$6&gt;0,IF(OR($B$4&gt;0,$B$5&gt;0)," / ","")&amp;"경유 "&amp;TEXT(IF($O130="",1/0,$O130*$B$6),"#,##0")&amp;"원",""),""))</f>
        <v>휘발유 25,732원 / 고급유 23,386원</v>
      </c>
      <c r="Q130" s="17" t="n">
        <f aca="false">IF($B$10=0,"",IFERROR(IF($B$4&gt;0,IF($M130="",1/0,$M130*$B$4),0)+IF($B$5&gt;0,IF($N130="",1/0,$N130*$B$5),0)+IF($B$6&gt;0,IF($O130="",1/0,$O130*$B$6),0),""))</f>
        <v>49117.6</v>
      </c>
      <c r="R130" s="17"/>
      <c r="S130" s="18" t="n">
        <f aca="false">IF($Q130="","",IF($R130="Y",IFERROR(VLOOKUP($B130,$C$4:$D$13,2,FALSE()),0),0))</f>
        <v>0</v>
      </c>
      <c r="T130" s="17" t="n">
        <f aca="false">IF($Q130="","",ROUNDDOWN($Q130*$S130,0))</f>
        <v>0</v>
      </c>
      <c r="U130" s="17" t="n">
        <f aca="false">IF($Q130="","",$Q130-$T130)</f>
        <v>49117.6</v>
      </c>
      <c r="V130" s="17" t="n">
        <f aca="false">IF($U130="","",IF($B$10=0,"",$U130/$B$10))</f>
        <v>1949.11111111111</v>
      </c>
      <c r="W130" s="17" t="n">
        <f aca="false">IF($Q130="","",IF($B$10=0,"",$Q130/$B$10))</f>
        <v>1949.11111111111</v>
      </c>
      <c r="X130" s="19" t="n">
        <f aca="false">IF($U130="",1000000000000000,$U130)</f>
        <v>49117.6</v>
      </c>
      <c r="XFC130" s="6"/>
    </row>
    <row r="131" s="5" customFormat="true" ht="28.5" hidden="false" customHeight="true" outlineLevel="0" collapsed="false">
      <c r="A131" s="16" t="n">
        <f aca="false">IF($U131="","",1+COUNTIF($X$15:$X$728,"&lt;"&amp;X131))</f>
        <v>116</v>
      </c>
      <c r="B131" s="16" t="s">
        <v>12</v>
      </c>
      <c r="C131" s="16" t="s">
        <v>403</v>
      </c>
      <c r="D131" s="16" t="s">
        <v>400</v>
      </c>
      <c r="E131" s="16" t="s">
        <v>47</v>
      </c>
      <c r="F131" s="16" t="s">
        <v>404</v>
      </c>
      <c r="G131" s="16" t="s">
        <v>405</v>
      </c>
      <c r="H131" s="17" t="n">
        <v>1838</v>
      </c>
      <c r="I131" s="17" t="n">
        <v>2088</v>
      </c>
      <c r="J131" s="17"/>
      <c r="K131" s="17" t="n">
        <v>1835</v>
      </c>
      <c r="L131" s="17" t="n">
        <f aca="false">IF(AND(IFERROR(SEARCH("현대오일뱅크",$C131),0)&gt;0,IFERROR(SEARCH("직영",$C131),0)&gt;0),$B$13,0)</f>
        <v>0</v>
      </c>
      <c r="M131" s="17" t="n">
        <f aca="false">IF($H131="","",$H131+$L131)</f>
        <v>1838</v>
      </c>
      <c r="N131" s="17" t="n">
        <f aca="false">IF($I131="","",$I131+$L131)</f>
        <v>2088</v>
      </c>
      <c r="O131" s="17" t="n">
        <f aca="false">IF($K131="","",$K131+$L131)</f>
        <v>1835</v>
      </c>
      <c r="P131" s="17" t="str">
        <f aca="false">IF($B$10=0,"",IFERROR(IF($B$4&gt;0,"휘발유 "&amp;TEXT(IF($M131="",1/0,$M131*$B$4),"#,##0")&amp;"원","")&amp;IF($B$5&gt;0,IF($B$4&gt;0," / ","")&amp;"고급유 "&amp;TEXT(IF($N131="",1/0,$N131*$B$5),"#,##0")&amp;"원","")&amp;IF($B$6&gt;0,IF(OR($B$4&gt;0,$B$5&gt;0)," / ","")&amp;"경유 "&amp;TEXT(IF($O131="",1/0,$O131*$B$6),"#,##0")&amp;"원",""),""))</f>
        <v>휘발유 25,732원 / 고급유 23,386원</v>
      </c>
      <c r="Q131" s="17" t="n">
        <f aca="false">IF($B$10=0,"",IFERROR(IF($B$4&gt;0,IF($M131="",1/0,$M131*$B$4),0)+IF($B$5&gt;0,IF($N131="",1/0,$N131*$B$5),0)+IF($B$6&gt;0,IF($O131="",1/0,$O131*$B$6),0),""))</f>
        <v>49117.6</v>
      </c>
      <c r="R131" s="17"/>
      <c r="S131" s="18" t="n">
        <f aca="false">IF($Q131="","",IF($R131="Y",IFERROR(VLOOKUP($B131,$C$4:$D$13,2,FALSE()),0),0))</f>
        <v>0</v>
      </c>
      <c r="T131" s="17" t="n">
        <f aca="false">IF($Q131="","",ROUNDDOWN($Q131*$S131,0))</f>
        <v>0</v>
      </c>
      <c r="U131" s="17" t="n">
        <f aca="false">IF($Q131="","",$Q131-$T131)</f>
        <v>49117.6</v>
      </c>
      <c r="V131" s="17" t="n">
        <f aca="false">IF($U131="","",IF($B$10=0,"",$U131/$B$10))</f>
        <v>1949.11111111111</v>
      </c>
      <c r="W131" s="17" t="n">
        <f aca="false">IF($Q131="","",IF($B$10=0,"",$Q131/$B$10))</f>
        <v>1949.11111111111</v>
      </c>
      <c r="X131" s="19" t="n">
        <f aca="false">IF($U131="",1000000000000000,$U131)</f>
        <v>49117.6</v>
      </c>
      <c r="XFC131" s="6"/>
    </row>
    <row r="132" s="5" customFormat="true" ht="28.5" hidden="false" customHeight="true" outlineLevel="0" collapsed="false">
      <c r="A132" s="16" t="n">
        <f aca="false">IF($U132="","",1+COUNTIF($X$15:$X$728,"&lt;"&amp;X132))</f>
        <v>118</v>
      </c>
      <c r="B132" s="16" t="s">
        <v>10</v>
      </c>
      <c r="C132" s="16" t="s">
        <v>406</v>
      </c>
      <c r="D132" s="16" t="s">
        <v>112</v>
      </c>
      <c r="E132" s="16" t="s">
        <v>47</v>
      </c>
      <c r="F132" s="16" t="s">
        <v>407</v>
      </c>
      <c r="G132" s="16" t="s">
        <v>408</v>
      </c>
      <c r="H132" s="17" t="n">
        <v>1899</v>
      </c>
      <c r="I132" s="17" t="n">
        <v>2019</v>
      </c>
      <c r="J132" s="17"/>
      <c r="K132" s="17" t="n">
        <v>1939</v>
      </c>
      <c r="L132" s="17" t="n">
        <f aca="false">IF(AND(IFERROR(SEARCH("현대오일뱅크",$C132),0)&gt;0,IFERROR(SEARCH("직영",$C132),0)&gt;0),$B$13,0)</f>
        <v>0</v>
      </c>
      <c r="M132" s="17" t="n">
        <f aca="false">IF($H132="","",$H132+$L132)</f>
        <v>1899</v>
      </c>
      <c r="N132" s="17" t="n">
        <f aca="false">IF($I132="","",$I132+$L132)</f>
        <v>2019</v>
      </c>
      <c r="O132" s="17" t="n">
        <f aca="false">IF($K132="","",$K132+$L132)</f>
        <v>1939</v>
      </c>
      <c r="P132" s="17" t="str">
        <f aca="false">IF($B$10=0,"",IFERROR(IF($B$4&gt;0,"휘발유 "&amp;TEXT(IF($M132="",1/0,$M132*$B$4),"#,##0")&amp;"원","")&amp;IF($B$5&gt;0,IF($B$4&gt;0," / ","")&amp;"고급유 "&amp;TEXT(IF($N132="",1/0,$N132*$B$5),"#,##0")&amp;"원","")&amp;IF($B$6&gt;0,IF(OR($B$4&gt;0,$B$5&gt;0)," / ","")&amp;"경유 "&amp;TEXT(IF($O132="",1/0,$O132*$B$6),"#,##0")&amp;"원",""),""))</f>
        <v>휘발유 26,586원 / 고급유 22,613원</v>
      </c>
      <c r="Q132" s="17" t="n">
        <f aca="false">IF($B$10=0,"",IFERROR(IF($B$4&gt;0,IF($M132="",1/0,$M132*$B$4),0)+IF($B$5&gt;0,IF($N132="",1/0,$N132*$B$5),0)+IF($B$6&gt;0,IF($O132="",1/0,$O132*$B$6),0),""))</f>
        <v>49198.8</v>
      </c>
      <c r="R132" s="17"/>
      <c r="S132" s="18" t="n">
        <f aca="false">IF($Q132="","",IF($R132="Y",IFERROR(VLOOKUP($B132,$C$4:$D$13,2,FALSE()),0),0))</f>
        <v>0</v>
      </c>
      <c r="T132" s="17" t="n">
        <f aca="false">IF($Q132="","",ROUNDDOWN($Q132*$S132,0))</f>
        <v>0</v>
      </c>
      <c r="U132" s="17" t="n">
        <f aca="false">IF($Q132="","",$Q132-$T132)</f>
        <v>49198.8</v>
      </c>
      <c r="V132" s="17" t="n">
        <f aca="false">IF($U132="","",IF($B$10=0,"",$U132/$B$10))</f>
        <v>1952.33333333333</v>
      </c>
      <c r="W132" s="17" t="n">
        <f aca="false">IF($Q132="","",IF($B$10=0,"",$Q132/$B$10))</f>
        <v>1952.33333333333</v>
      </c>
      <c r="X132" s="19" t="n">
        <f aca="false">IF($U132="",1000000000000000,$U132)</f>
        <v>49198.8</v>
      </c>
      <c r="XFC132" s="6"/>
    </row>
    <row r="133" s="5" customFormat="true" ht="28.5" hidden="false" customHeight="true" outlineLevel="0" collapsed="false">
      <c r="A133" s="16" t="n">
        <f aca="false">IF($U133="","",1+COUNTIF($X$15:$X$728,"&lt;"&amp;X133))</f>
        <v>119</v>
      </c>
      <c r="B133" s="16" t="s">
        <v>10</v>
      </c>
      <c r="C133" s="16" t="s">
        <v>409</v>
      </c>
      <c r="D133" s="16" t="s">
        <v>58</v>
      </c>
      <c r="E133" s="16" t="s">
        <v>47</v>
      </c>
      <c r="F133" s="16" t="s">
        <v>410</v>
      </c>
      <c r="G133" s="16" t="s">
        <v>411</v>
      </c>
      <c r="H133" s="17" t="n">
        <v>1945</v>
      </c>
      <c r="I133" s="17" t="n">
        <v>1965</v>
      </c>
      <c r="J133" s="17"/>
      <c r="K133" s="17" t="n">
        <v>1985</v>
      </c>
      <c r="L133" s="17" t="n">
        <f aca="false">IF(AND(IFERROR(SEARCH("현대오일뱅크",$C133),0)&gt;0,IFERROR(SEARCH("직영",$C133),0)&gt;0),$B$13,0)</f>
        <v>0</v>
      </c>
      <c r="M133" s="17" t="n">
        <f aca="false">IF($H133="","",$H133+$L133)</f>
        <v>1945</v>
      </c>
      <c r="N133" s="17" t="n">
        <f aca="false">IF($I133="","",$I133+$L133)</f>
        <v>1965</v>
      </c>
      <c r="O133" s="17" t="n">
        <f aca="false">IF($K133="","",$K133+$L133)</f>
        <v>1985</v>
      </c>
      <c r="P133" s="17" t="str">
        <f aca="false">IF($B$10=0,"",IFERROR(IF($B$4&gt;0,"휘발유 "&amp;TEXT(IF($M133="",1/0,$M133*$B$4),"#,##0")&amp;"원","")&amp;IF($B$5&gt;0,IF($B$4&gt;0," / ","")&amp;"고급유 "&amp;TEXT(IF($N133="",1/0,$N133*$B$5),"#,##0")&amp;"원","")&amp;IF($B$6&gt;0,IF(OR($B$4&gt;0,$B$5&gt;0)," / ","")&amp;"경유 "&amp;TEXT(IF($O133="",1/0,$O133*$B$6),"#,##0")&amp;"원",""),""))</f>
        <v>휘발유 27,230원 / 고급유 22,008원</v>
      </c>
      <c r="Q133" s="17" t="n">
        <f aca="false">IF($B$10=0,"",IFERROR(IF($B$4&gt;0,IF($M133="",1/0,$M133*$B$4),0)+IF($B$5&gt;0,IF($N133="",1/0,$N133*$B$5),0)+IF($B$6&gt;0,IF($O133="",1/0,$O133*$B$6),0),""))</f>
        <v>49238</v>
      </c>
      <c r="R133" s="17"/>
      <c r="S133" s="18" t="n">
        <f aca="false">IF($Q133="","",IF($R133="Y",IFERROR(VLOOKUP($B133,$C$4:$D$13,2,FALSE()),0),0))</f>
        <v>0</v>
      </c>
      <c r="T133" s="17" t="n">
        <f aca="false">IF($Q133="","",ROUNDDOWN($Q133*$S133,0))</f>
        <v>0</v>
      </c>
      <c r="U133" s="17" t="n">
        <f aca="false">IF($Q133="","",$Q133-$T133)</f>
        <v>49238</v>
      </c>
      <c r="V133" s="17" t="n">
        <f aca="false">IF($U133="","",IF($B$10=0,"",$U133/$B$10))</f>
        <v>1953.88888888889</v>
      </c>
      <c r="W133" s="17" t="n">
        <f aca="false">IF($Q133="","",IF($B$10=0,"",$Q133/$B$10))</f>
        <v>1953.88888888889</v>
      </c>
      <c r="X133" s="19" t="n">
        <f aca="false">IF($U133="",1000000000000000,$U133)</f>
        <v>49238</v>
      </c>
      <c r="XFC133" s="6"/>
    </row>
    <row r="134" s="5" customFormat="true" ht="28.5" hidden="false" customHeight="true" outlineLevel="0" collapsed="false">
      <c r="A134" s="16" t="n">
        <f aca="false">IF($U134="","",1+COUNTIF($X$15:$X$728,"&lt;"&amp;X134))</f>
        <v>120</v>
      </c>
      <c r="B134" s="16" t="s">
        <v>6</v>
      </c>
      <c r="C134" s="16" t="s">
        <v>412</v>
      </c>
      <c r="D134" s="16" t="s">
        <v>112</v>
      </c>
      <c r="E134" s="16" t="s">
        <v>47</v>
      </c>
      <c r="F134" s="16" t="s">
        <v>413</v>
      </c>
      <c r="G134" s="16" t="s">
        <v>414</v>
      </c>
      <c r="H134" s="17" t="n">
        <v>1925</v>
      </c>
      <c r="I134" s="17" t="n">
        <v>2014</v>
      </c>
      <c r="J134" s="17"/>
      <c r="K134" s="17" t="n">
        <v>1979</v>
      </c>
      <c r="L134" s="17" t="n">
        <f aca="false">IF(AND(IFERROR(SEARCH("현대오일뱅크",$C134),0)&gt;0,IFERROR(SEARCH("직영",$C134),0)&gt;0),$B$13,0)</f>
        <v>0</v>
      </c>
      <c r="M134" s="17" t="n">
        <f aca="false">IF($H134="","",$H134+$L134)</f>
        <v>1925</v>
      </c>
      <c r="N134" s="17" t="n">
        <f aca="false">IF($I134="","",$I134+$L134)</f>
        <v>2014</v>
      </c>
      <c r="O134" s="17" t="n">
        <f aca="false">IF($K134="","",$K134+$L134)</f>
        <v>1979</v>
      </c>
      <c r="P134" s="17" t="str">
        <f aca="false">IF($B$10=0,"",IFERROR(IF($B$4&gt;0,"휘발유 "&amp;TEXT(IF($M134="",1/0,$M134*$B$4),"#,##0")&amp;"원","")&amp;IF($B$5&gt;0,IF($B$4&gt;0," / ","")&amp;"고급유 "&amp;TEXT(IF($N134="",1/0,$N134*$B$5),"#,##0")&amp;"원","")&amp;IF($B$6&gt;0,IF(OR($B$4&gt;0,$B$5&gt;0)," / ","")&amp;"경유 "&amp;TEXT(IF($O134="",1/0,$O134*$B$6),"#,##0")&amp;"원",""),""))</f>
        <v>휘발유 26,950원 / 고급유 22,557원</v>
      </c>
      <c r="Q134" s="17" t="n">
        <f aca="false">IF($B$10=0,"",IFERROR(IF($B$4&gt;0,IF($M134="",1/0,$M134*$B$4),0)+IF($B$5&gt;0,IF($N134="",1/0,$N134*$B$5),0)+IF($B$6&gt;0,IF($O134="",1/0,$O134*$B$6),0),""))</f>
        <v>49506.8</v>
      </c>
      <c r="R134" s="17"/>
      <c r="S134" s="18" t="n">
        <f aca="false">IF($Q134="","",IF($R134="Y",IFERROR(VLOOKUP($B134,$C$4:$D$13,2,FALSE()),0),0))</f>
        <v>0</v>
      </c>
      <c r="T134" s="17" t="n">
        <f aca="false">IF($Q134="","",ROUNDDOWN($Q134*$S134,0))</f>
        <v>0</v>
      </c>
      <c r="U134" s="17" t="n">
        <f aca="false">IF($Q134="","",$Q134-$T134)</f>
        <v>49506.8</v>
      </c>
      <c r="V134" s="17" t="n">
        <f aca="false">IF($U134="","",IF($B$10=0,"",$U134/$B$10))</f>
        <v>1964.55555555556</v>
      </c>
      <c r="W134" s="17" t="n">
        <f aca="false">IF($Q134="","",IF($B$10=0,"",$Q134/$B$10))</f>
        <v>1964.55555555556</v>
      </c>
      <c r="X134" s="19" t="n">
        <f aca="false">IF($U134="",1000000000000000,$U134)</f>
        <v>49506.8</v>
      </c>
      <c r="XFC134" s="6"/>
    </row>
    <row r="135" s="5" customFormat="true" ht="28.5" hidden="false" customHeight="true" outlineLevel="0" collapsed="false">
      <c r="A135" s="16" t="n">
        <f aca="false">IF($U135="","",1+COUNTIF($X$15:$X$728,"&lt;"&amp;X135))</f>
        <v>121</v>
      </c>
      <c r="B135" s="16" t="s">
        <v>10</v>
      </c>
      <c r="C135" s="16" t="s">
        <v>415</v>
      </c>
      <c r="D135" s="20" t="s">
        <v>108</v>
      </c>
      <c r="E135" s="16" t="s">
        <v>47</v>
      </c>
      <c r="F135" s="16" t="s">
        <v>416</v>
      </c>
      <c r="G135" s="16" t="s">
        <v>417</v>
      </c>
      <c r="H135" s="17" t="n">
        <v>1930</v>
      </c>
      <c r="I135" s="17" t="n">
        <v>2019</v>
      </c>
      <c r="J135" s="17"/>
      <c r="K135" s="17" t="n">
        <v>1959</v>
      </c>
      <c r="L135" s="17" t="n">
        <f aca="false">IF(AND(IFERROR(SEARCH("현대오일뱅크",$C135),0)&gt;0,IFERROR(SEARCH("직영",$C135),0)&gt;0),$B$13,0)</f>
        <v>0</v>
      </c>
      <c r="M135" s="17" t="n">
        <f aca="false">IF($H135="","",$H135+$L135)</f>
        <v>1930</v>
      </c>
      <c r="N135" s="17" t="n">
        <f aca="false">IF($I135="","",$I135+$L135)</f>
        <v>2019</v>
      </c>
      <c r="O135" s="17" t="n">
        <f aca="false">IF($K135="","",$K135+$L135)</f>
        <v>1959</v>
      </c>
      <c r="P135" s="17" t="str">
        <f aca="false">IF($B$10=0,"",IFERROR(IF($B$4&gt;0,"휘발유 "&amp;TEXT(IF($M135="",1/0,$M135*$B$4),"#,##0")&amp;"원","")&amp;IF($B$5&gt;0,IF($B$4&gt;0," / ","")&amp;"고급유 "&amp;TEXT(IF($N135="",1/0,$N135*$B$5),"#,##0")&amp;"원","")&amp;IF($B$6&gt;0,IF(OR($B$4&gt;0,$B$5&gt;0)," / ","")&amp;"경유 "&amp;TEXT(IF($O135="",1/0,$O135*$B$6),"#,##0")&amp;"원",""),""))</f>
        <v>휘발유 27,020원 / 고급유 22,613원</v>
      </c>
      <c r="Q135" s="17" t="n">
        <f aca="false">IF($B$10=0,"",IFERROR(IF($B$4&gt;0,IF($M135="",1/0,$M135*$B$4),0)+IF($B$5&gt;0,IF($N135="",1/0,$N135*$B$5),0)+IF($B$6&gt;0,IF($O135="",1/0,$O135*$B$6),0),""))</f>
        <v>49632.8</v>
      </c>
      <c r="R135" s="17"/>
      <c r="S135" s="18" t="n">
        <f aca="false">IF($Q135="","",IF($R135="Y",IFERROR(VLOOKUP($B135,$C$4:$D$13,2,FALSE()),0),0))</f>
        <v>0</v>
      </c>
      <c r="T135" s="17" t="n">
        <f aca="false">IF($Q135="","",ROUNDDOWN($Q135*$S135,0))</f>
        <v>0</v>
      </c>
      <c r="U135" s="17" t="n">
        <f aca="false">IF($Q135="","",$Q135-$T135)</f>
        <v>49632.8</v>
      </c>
      <c r="V135" s="17" t="n">
        <f aca="false">IF($U135="","",IF($B$10=0,"",$U135/$B$10))</f>
        <v>1969.55555555556</v>
      </c>
      <c r="W135" s="17" t="n">
        <f aca="false">IF($Q135="","",IF($B$10=0,"",$Q135/$B$10))</f>
        <v>1969.55555555556</v>
      </c>
      <c r="X135" s="19" t="n">
        <f aca="false">IF($U135="",1000000000000000,$U135)</f>
        <v>49632.8</v>
      </c>
      <c r="XFC135" s="6"/>
    </row>
    <row r="136" s="5" customFormat="true" ht="28.5" hidden="false" customHeight="true" outlineLevel="0" collapsed="false">
      <c r="A136" s="16" t="n">
        <f aca="false">IF($U136="","",1+COUNTIF($X$15:$X$728,"&lt;"&amp;X136))</f>
        <v>122</v>
      </c>
      <c r="B136" s="16" t="s">
        <v>10</v>
      </c>
      <c r="C136" s="16" t="s">
        <v>418</v>
      </c>
      <c r="D136" s="20" t="s">
        <v>108</v>
      </c>
      <c r="E136" s="16" t="s">
        <v>47</v>
      </c>
      <c r="F136" s="16" t="s">
        <v>419</v>
      </c>
      <c r="G136" s="16" t="s">
        <v>420</v>
      </c>
      <c r="H136" s="17" t="n">
        <v>1929</v>
      </c>
      <c r="I136" s="17" t="n">
        <v>2029</v>
      </c>
      <c r="J136" s="17"/>
      <c r="K136" s="17" t="n">
        <v>1949</v>
      </c>
      <c r="L136" s="17" t="n">
        <f aca="false">IF(AND(IFERROR(SEARCH("현대오일뱅크",$C136),0)&gt;0,IFERROR(SEARCH("직영",$C136),0)&gt;0),$B$13,0)</f>
        <v>0</v>
      </c>
      <c r="M136" s="17" t="n">
        <f aca="false">IF($H136="","",$H136+$L136)</f>
        <v>1929</v>
      </c>
      <c r="N136" s="17" t="n">
        <f aca="false">IF($I136="","",$I136+$L136)</f>
        <v>2029</v>
      </c>
      <c r="O136" s="17" t="n">
        <f aca="false">IF($K136="","",$K136+$L136)</f>
        <v>1949</v>
      </c>
      <c r="P136" s="17" t="str">
        <f aca="false">IF($B$10=0,"",IFERROR(IF($B$4&gt;0,"휘발유 "&amp;TEXT(IF($M136="",1/0,$M136*$B$4),"#,##0")&amp;"원","")&amp;IF($B$5&gt;0,IF($B$4&gt;0," / ","")&amp;"고급유 "&amp;TEXT(IF($N136="",1/0,$N136*$B$5),"#,##0")&amp;"원","")&amp;IF($B$6&gt;0,IF(OR($B$4&gt;0,$B$5&gt;0)," / ","")&amp;"경유 "&amp;TEXT(IF($O136="",1/0,$O136*$B$6),"#,##0")&amp;"원",""),""))</f>
        <v>휘발유 27,006원 / 고급유 22,725원</v>
      </c>
      <c r="Q136" s="17" t="n">
        <f aca="false">IF($B$10=0,"",IFERROR(IF($B$4&gt;0,IF($M136="",1/0,$M136*$B$4),0)+IF($B$5&gt;0,IF($N136="",1/0,$N136*$B$5),0)+IF($B$6&gt;0,IF($O136="",1/0,$O136*$B$6),0),""))</f>
        <v>49730.8</v>
      </c>
      <c r="R136" s="17"/>
      <c r="S136" s="18" t="n">
        <f aca="false">IF($Q136="","",IF($R136="Y",IFERROR(VLOOKUP($B136,$C$4:$D$13,2,FALSE()),0),0))</f>
        <v>0</v>
      </c>
      <c r="T136" s="17" t="n">
        <f aca="false">IF($Q136="","",ROUNDDOWN($Q136*$S136,0))</f>
        <v>0</v>
      </c>
      <c r="U136" s="17" t="n">
        <f aca="false">IF($Q136="","",$Q136-$T136)</f>
        <v>49730.8</v>
      </c>
      <c r="V136" s="17" t="n">
        <f aca="false">IF($U136="","",IF($B$10=0,"",$U136/$B$10))</f>
        <v>1973.44444444444</v>
      </c>
      <c r="W136" s="17" t="n">
        <f aca="false">IF($Q136="","",IF($B$10=0,"",$Q136/$B$10))</f>
        <v>1973.44444444444</v>
      </c>
      <c r="X136" s="19" t="n">
        <f aca="false">IF($U136="",1000000000000000,$U136)</f>
        <v>49730.8</v>
      </c>
      <c r="XFC136" s="6"/>
    </row>
    <row r="137" s="5" customFormat="true" ht="28.5" hidden="false" customHeight="true" outlineLevel="0" collapsed="false">
      <c r="A137" s="16" t="n">
        <f aca="false">IF($U137="","",1+COUNTIF($X$15:$X$728,"&lt;"&amp;X137))</f>
        <v>123</v>
      </c>
      <c r="B137" s="16" t="s">
        <v>16</v>
      </c>
      <c r="C137" s="16" t="s">
        <v>421</v>
      </c>
      <c r="D137" s="16" t="s">
        <v>51</v>
      </c>
      <c r="E137" s="16" t="s">
        <v>47</v>
      </c>
      <c r="F137" s="16" t="s">
        <v>422</v>
      </c>
      <c r="G137" s="16" t="s">
        <v>423</v>
      </c>
      <c r="H137" s="17" t="n">
        <v>1905</v>
      </c>
      <c r="I137" s="17" t="n">
        <v>2060</v>
      </c>
      <c r="J137" s="17"/>
      <c r="K137" s="17" t="n">
        <v>1880</v>
      </c>
      <c r="L137" s="17" t="n">
        <f aca="false">IF(AND(IFERROR(SEARCH("현대오일뱅크",$C137),0)&gt;0,IFERROR(SEARCH("직영",$C137),0)&gt;0),$B$13,0)</f>
        <v>0</v>
      </c>
      <c r="M137" s="17" t="n">
        <f aca="false">IF($H137="","",$H137+$L137)</f>
        <v>1905</v>
      </c>
      <c r="N137" s="17" t="n">
        <f aca="false">IF($I137="","",$I137+$L137)</f>
        <v>2060</v>
      </c>
      <c r="O137" s="17" t="n">
        <f aca="false">IF($K137="","",$K137+$L137)</f>
        <v>1880</v>
      </c>
      <c r="P137" s="17" t="str">
        <f aca="false">IF($B$10=0,"",IFERROR(IF($B$4&gt;0,"휘발유 "&amp;TEXT(IF($M137="",1/0,$M137*$B$4),"#,##0")&amp;"원","")&amp;IF($B$5&gt;0,IF($B$4&gt;0," / ","")&amp;"고급유 "&amp;TEXT(IF($N137="",1/0,$N137*$B$5),"#,##0")&amp;"원","")&amp;IF($B$6&gt;0,IF(OR($B$4&gt;0,$B$5&gt;0)," / ","")&amp;"경유 "&amp;TEXT(IF($O137="",1/0,$O137*$B$6),"#,##0")&amp;"원",""),""))</f>
        <v>휘발유 26,670원 / 고급유 23,072원</v>
      </c>
      <c r="Q137" s="17" t="n">
        <f aca="false">IF($B$10=0,"",IFERROR(IF($B$4&gt;0,IF($M137="",1/0,$M137*$B$4),0)+IF($B$5&gt;0,IF($N137="",1/0,$N137*$B$5),0)+IF($B$6&gt;0,IF($O137="",1/0,$O137*$B$6),0),""))</f>
        <v>49742</v>
      </c>
      <c r="R137" s="17"/>
      <c r="S137" s="18" t="n">
        <f aca="false">IF($Q137="","",IF($R137="Y",IFERROR(VLOOKUP($B137,$C$4:$D$13,2,FALSE()),0),0))</f>
        <v>0</v>
      </c>
      <c r="T137" s="17" t="n">
        <f aca="false">IF($Q137="","",ROUNDDOWN($Q137*$S137,0))</f>
        <v>0</v>
      </c>
      <c r="U137" s="17" t="n">
        <f aca="false">IF($Q137="","",$Q137-$T137)</f>
        <v>49742</v>
      </c>
      <c r="V137" s="17" t="n">
        <f aca="false">IF($U137="","",IF($B$10=0,"",$U137/$B$10))</f>
        <v>1973.88888888889</v>
      </c>
      <c r="W137" s="17" t="n">
        <f aca="false">IF($Q137="","",IF($B$10=0,"",$Q137/$B$10))</f>
        <v>1973.88888888889</v>
      </c>
      <c r="X137" s="19" t="n">
        <f aca="false">IF($U137="",1000000000000000,$U137)</f>
        <v>49742</v>
      </c>
      <c r="XFC137" s="6"/>
    </row>
    <row r="138" s="5" customFormat="true" ht="28.5" hidden="false" customHeight="true" outlineLevel="0" collapsed="false">
      <c r="A138" s="16" t="n">
        <f aca="false">IF($U138="","",1+COUNTIF($X$15:$X$728,"&lt;"&amp;X138))</f>
        <v>124</v>
      </c>
      <c r="B138" s="16" t="s">
        <v>8</v>
      </c>
      <c r="C138" s="16" t="s">
        <v>424</v>
      </c>
      <c r="D138" s="20" t="s">
        <v>108</v>
      </c>
      <c r="E138" s="16" t="s">
        <v>47</v>
      </c>
      <c r="F138" s="16" t="s">
        <v>425</v>
      </c>
      <c r="G138" s="16" t="s">
        <v>426</v>
      </c>
      <c r="H138" s="17" t="n">
        <v>1919</v>
      </c>
      <c r="I138" s="17" t="n">
        <v>2049</v>
      </c>
      <c r="J138" s="17"/>
      <c r="K138" s="17" t="n">
        <v>1949</v>
      </c>
      <c r="L138" s="17" t="n">
        <f aca="false">IF(AND(IFERROR(SEARCH("현대오일뱅크",$C138),0)&gt;0,IFERROR(SEARCH("직영",$C138),0)&gt;0),$B$13,0)</f>
        <v>0</v>
      </c>
      <c r="M138" s="17" t="n">
        <f aca="false">IF($H138="","",$H138+$L138)</f>
        <v>1919</v>
      </c>
      <c r="N138" s="17" t="n">
        <f aca="false">IF($I138="","",$I138+$L138)</f>
        <v>2049</v>
      </c>
      <c r="O138" s="17" t="n">
        <f aca="false">IF($K138="","",$K138+$L138)</f>
        <v>1949</v>
      </c>
      <c r="P138" s="17" t="str">
        <f aca="false">IF($B$10=0,"",IFERROR(IF($B$4&gt;0,"휘발유 "&amp;TEXT(IF($M138="",1/0,$M138*$B$4),"#,##0")&amp;"원","")&amp;IF($B$5&gt;0,IF($B$4&gt;0," / ","")&amp;"고급유 "&amp;TEXT(IF($N138="",1/0,$N138*$B$5),"#,##0")&amp;"원","")&amp;IF($B$6&gt;0,IF(OR($B$4&gt;0,$B$5&gt;0)," / ","")&amp;"경유 "&amp;TEXT(IF($O138="",1/0,$O138*$B$6),"#,##0")&amp;"원",""),""))</f>
        <v>휘발유 26,866원 / 고급유 22,949원</v>
      </c>
      <c r="Q138" s="17" t="n">
        <f aca="false">IF($B$10=0,"",IFERROR(IF($B$4&gt;0,IF($M138="",1/0,$M138*$B$4),0)+IF($B$5&gt;0,IF($N138="",1/0,$N138*$B$5),0)+IF($B$6&gt;0,IF($O138="",1/0,$O138*$B$6),0),""))</f>
        <v>49814.8</v>
      </c>
      <c r="R138" s="17"/>
      <c r="S138" s="18" t="n">
        <f aca="false">IF($Q138="","",IF($R138="Y",IFERROR(VLOOKUP($B138,$C$4:$D$13,2,FALSE()),0),0))</f>
        <v>0</v>
      </c>
      <c r="T138" s="17" t="n">
        <f aca="false">IF($Q138="","",ROUNDDOWN($Q138*$S138,0))</f>
        <v>0</v>
      </c>
      <c r="U138" s="17" t="n">
        <f aca="false">IF($Q138="","",$Q138-$T138)</f>
        <v>49814.8</v>
      </c>
      <c r="V138" s="17" t="n">
        <f aca="false">IF($U138="","",IF($B$10=0,"",$U138/$B$10))</f>
        <v>1976.77777777778</v>
      </c>
      <c r="W138" s="17" t="n">
        <f aca="false">IF($Q138="","",IF($B$10=0,"",$Q138/$B$10))</f>
        <v>1976.77777777778</v>
      </c>
      <c r="X138" s="19" t="n">
        <f aca="false">IF($U138="",1000000000000000,$U138)</f>
        <v>49814.8</v>
      </c>
      <c r="XFC138" s="6"/>
    </row>
    <row r="139" s="5" customFormat="true" ht="28.5" hidden="false" customHeight="true" outlineLevel="0" collapsed="false">
      <c r="A139" s="16" t="n">
        <f aca="false">IF($U139="","",1+COUNTIF($X$15:$X$728,"&lt;"&amp;X139))</f>
        <v>125</v>
      </c>
      <c r="B139" s="16" t="s">
        <v>18</v>
      </c>
      <c r="C139" s="16" t="s">
        <v>427</v>
      </c>
      <c r="D139" s="20" t="s">
        <v>108</v>
      </c>
      <c r="E139" s="16" t="s">
        <v>47</v>
      </c>
      <c r="F139" s="16" t="s">
        <v>428</v>
      </c>
      <c r="G139" s="16" t="s">
        <v>429</v>
      </c>
      <c r="H139" s="17" t="n">
        <v>1925</v>
      </c>
      <c r="I139" s="17" t="n">
        <v>2055</v>
      </c>
      <c r="J139" s="17"/>
      <c r="K139" s="17" t="n">
        <v>1935</v>
      </c>
      <c r="L139" s="17" t="n">
        <f aca="false">IF(AND(IFERROR(SEARCH("현대오일뱅크",$C139),0)&gt;0,IFERROR(SEARCH("직영",$C139),0)&gt;0),$B$13,0)</f>
        <v>0</v>
      </c>
      <c r="M139" s="17" t="n">
        <f aca="false">IF($H139="","",$H139+$L139)</f>
        <v>1925</v>
      </c>
      <c r="N139" s="17" t="n">
        <f aca="false">IF($I139="","",$I139+$L139)</f>
        <v>2055</v>
      </c>
      <c r="O139" s="17" t="n">
        <f aca="false">IF($K139="","",$K139+$L139)</f>
        <v>1935</v>
      </c>
      <c r="P139" s="17" t="str">
        <f aca="false">IF($B$10=0,"",IFERROR(IF($B$4&gt;0,"휘발유 "&amp;TEXT(IF($M139="",1/0,$M139*$B$4),"#,##0")&amp;"원","")&amp;IF($B$5&gt;0,IF($B$4&gt;0," / ","")&amp;"고급유 "&amp;TEXT(IF($N139="",1/0,$N139*$B$5),"#,##0")&amp;"원","")&amp;IF($B$6&gt;0,IF(OR($B$4&gt;0,$B$5&gt;0)," / ","")&amp;"경유 "&amp;TEXT(IF($O139="",1/0,$O139*$B$6),"#,##0")&amp;"원",""),""))</f>
        <v>휘발유 26,950원 / 고급유 23,016원</v>
      </c>
      <c r="Q139" s="17" t="n">
        <f aca="false">IF($B$10=0,"",IFERROR(IF($B$4&gt;0,IF($M139="",1/0,$M139*$B$4),0)+IF($B$5&gt;0,IF($N139="",1/0,$N139*$B$5),0)+IF($B$6&gt;0,IF($O139="",1/0,$O139*$B$6),0),""))</f>
        <v>49966</v>
      </c>
      <c r="R139" s="17"/>
      <c r="S139" s="18" t="n">
        <f aca="false">IF($Q139="","",IF($R139="Y",IFERROR(VLOOKUP($B139,$C$4:$D$13,2,FALSE()),0),0))</f>
        <v>0</v>
      </c>
      <c r="T139" s="17" t="n">
        <f aca="false">IF($Q139="","",ROUNDDOWN($Q139*$S139,0))</f>
        <v>0</v>
      </c>
      <c r="U139" s="17" t="n">
        <f aca="false">IF($Q139="","",$Q139-$T139)</f>
        <v>49966</v>
      </c>
      <c r="V139" s="17" t="n">
        <f aca="false">IF($U139="","",IF($B$10=0,"",$U139/$B$10))</f>
        <v>1982.77777777778</v>
      </c>
      <c r="W139" s="17" t="n">
        <f aca="false">IF($Q139="","",IF($B$10=0,"",$Q139/$B$10))</f>
        <v>1982.77777777778</v>
      </c>
      <c r="X139" s="19" t="n">
        <f aca="false">IF($U139="",1000000000000000,$U139)</f>
        <v>49966</v>
      </c>
      <c r="XFC139" s="6"/>
    </row>
    <row r="140" s="5" customFormat="true" ht="28.5" hidden="false" customHeight="true" outlineLevel="0" collapsed="false">
      <c r="A140" s="16" t="n">
        <f aca="false">IF($U140="","",1+COUNTIF($X$15:$X$728,"&lt;"&amp;X140))</f>
        <v>126</v>
      </c>
      <c r="B140" s="16" t="s">
        <v>8</v>
      </c>
      <c r="C140" s="16" t="s">
        <v>430</v>
      </c>
      <c r="D140" s="16" t="s">
        <v>51</v>
      </c>
      <c r="E140" s="16" t="s">
        <v>59</v>
      </c>
      <c r="F140" s="16" t="s">
        <v>431</v>
      </c>
      <c r="G140" s="16" t="s">
        <v>432</v>
      </c>
      <c r="H140" s="17" t="n">
        <v>2055</v>
      </c>
      <c r="I140" s="17" t="n">
        <v>2395</v>
      </c>
      <c r="J140" s="17"/>
      <c r="K140" s="17" t="n">
        <v>2155</v>
      </c>
      <c r="L140" s="17" t="n">
        <f aca="false">IF(AND(IFERROR(SEARCH("현대오일뱅크",$C140),0)&gt;0,IFERROR(SEARCH("직영",$C140),0)&gt;0),$B$13,0)</f>
        <v>0</v>
      </c>
      <c r="M140" s="17" t="n">
        <f aca="false">IF($H140="","",$H140+$L140)</f>
        <v>2055</v>
      </c>
      <c r="N140" s="17" t="n">
        <f aca="false">IF($I140="","",$I140+$L140)</f>
        <v>2395</v>
      </c>
      <c r="O140" s="17" t="n">
        <f aca="false">IF($K140="","",$K140+$L140)</f>
        <v>2155</v>
      </c>
      <c r="P140" s="17" t="str">
        <f aca="false">IF($B$10=0,"",IFERROR(IF($B$4&gt;0,"휘발유 "&amp;TEXT(IF($M140="",1/0,$M140*$B$4),"#,##0")&amp;"원","")&amp;IF($B$5&gt;0,IF($B$4&gt;0," / ","")&amp;"고급유 "&amp;TEXT(IF($N140="",1/0,$N140*$B$5),"#,##0")&amp;"원","")&amp;IF($B$6&gt;0,IF(OR($B$4&gt;0,$B$5&gt;0)," / ","")&amp;"경유 "&amp;TEXT(IF($O140="",1/0,$O140*$B$6),"#,##0")&amp;"원",""),""))</f>
        <v>휘발유 28,770원 / 고급유 26,824원</v>
      </c>
      <c r="Q140" s="17" t="n">
        <f aca="false">IF($B$10=0,"",IFERROR(IF($B$4&gt;0,IF($M140="",1/0,$M140*$B$4),0)+IF($B$5&gt;0,IF($N140="",1/0,$N140*$B$5),0)+IF($B$6&gt;0,IF($O140="",1/0,$O140*$B$6),0),""))</f>
        <v>55594</v>
      </c>
      <c r="R140" s="17" t="s">
        <v>47</v>
      </c>
      <c r="S140" s="18" t="n">
        <f aca="false">IF($Q140="","",IF($R140="Y",IFERROR(VLOOKUP($B140,$C$4:$D$13,2,FALSE()),0),0))</f>
        <v>0.1</v>
      </c>
      <c r="T140" s="17" t="n">
        <f aca="false">IF($Q140="","",ROUNDDOWN($Q140*$S140,0))</f>
        <v>5559</v>
      </c>
      <c r="U140" s="17" t="n">
        <f aca="false">IF($Q140="","",$Q140-$T140)</f>
        <v>50035</v>
      </c>
      <c r="V140" s="17" t="n">
        <f aca="false">IF($U140="","",IF($B$10=0,"",$U140/$B$10))</f>
        <v>1985.51587301587</v>
      </c>
      <c r="W140" s="17" t="n">
        <f aca="false">IF($Q140="","",IF($B$10=0,"",$Q140/$B$10))</f>
        <v>2206.11111111111</v>
      </c>
      <c r="X140" s="19" t="n">
        <f aca="false">IF($U140="",1000000000000000,$U140)</f>
        <v>50035</v>
      </c>
      <c r="XFC140" s="6"/>
    </row>
    <row r="141" s="5" customFormat="true" ht="28.5" hidden="false" customHeight="true" outlineLevel="0" collapsed="false">
      <c r="A141" s="16" t="n">
        <f aca="false">IF($U141="","",1+COUNTIF($X$15:$X$728,"&lt;"&amp;X141))</f>
        <v>127</v>
      </c>
      <c r="B141" s="16" t="s">
        <v>14</v>
      </c>
      <c r="C141" s="16" t="s">
        <v>433</v>
      </c>
      <c r="D141" s="16" t="s">
        <v>112</v>
      </c>
      <c r="E141" s="16" t="s">
        <v>47</v>
      </c>
      <c r="F141" s="16" t="s">
        <v>434</v>
      </c>
      <c r="G141" s="16" t="s">
        <v>435</v>
      </c>
      <c r="H141" s="17" t="n">
        <v>1899</v>
      </c>
      <c r="I141" s="17" t="n">
        <v>2099</v>
      </c>
      <c r="J141" s="17"/>
      <c r="K141" s="17" t="n">
        <v>1999</v>
      </c>
      <c r="L141" s="17" t="n">
        <f aca="false">IF(AND(IFERROR(SEARCH("현대오일뱅크",$C141),0)&gt;0,IFERROR(SEARCH("직영",$C141),0)&gt;0),$B$13,0)</f>
        <v>0</v>
      </c>
      <c r="M141" s="17" t="n">
        <f aca="false">IF($H141="","",$H141+$L141)</f>
        <v>1899</v>
      </c>
      <c r="N141" s="17" t="n">
        <f aca="false">IF($I141="","",$I141+$L141)</f>
        <v>2099</v>
      </c>
      <c r="O141" s="17" t="n">
        <f aca="false">IF($K141="","",$K141+$L141)</f>
        <v>1999</v>
      </c>
      <c r="P141" s="17" t="str">
        <f aca="false">IF($B$10=0,"",IFERROR(IF($B$4&gt;0,"휘발유 "&amp;TEXT(IF($M141="",1/0,$M141*$B$4),"#,##0")&amp;"원","")&amp;IF($B$5&gt;0,IF($B$4&gt;0," / ","")&amp;"고급유 "&amp;TEXT(IF($N141="",1/0,$N141*$B$5),"#,##0")&amp;"원","")&amp;IF($B$6&gt;0,IF(OR($B$4&gt;0,$B$5&gt;0)," / ","")&amp;"경유 "&amp;TEXT(IF($O141="",1/0,$O141*$B$6),"#,##0")&amp;"원",""),""))</f>
        <v>휘발유 26,586원 / 고급유 23,509원</v>
      </c>
      <c r="Q141" s="17" t="n">
        <f aca="false">IF($B$10=0,"",IFERROR(IF($B$4&gt;0,IF($M141="",1/0,$M141*$B$4),0)+IF($B$5&gt;0,IF($N141="",1/0,$N141*$B$5),0)+IF($B$6&gt;0,IF($O141="",1/0,$O141*$B$6),0),""))</f>
        <v>50094.8</v>
      </c>
      <c r="R141" s="17"/>
      <c r="S141" s="18" t="n">
        <f aca="false">IF($Q141="","",IF($R141="Y",IFERROR(VLOOKUP($B141,$C$4:$D$13,2,FALSE()),0),0))</f>
        <v>0</v>
      </c>
      <c r="T141" s="17" t="n">
        <f aca="false">IF($Q141="","",ROUNDDOWN($Q141*$S141,0))</f>
        <v>0</v>
      </c>
      <c r="U141" s="17" t="n">
        <f aca="false">IF($Q141="","",$Q141-$T141)</f>
        <v>50094.8</v>
      </c>
      <c r="V141" s="17" t="n">
        <f aca="false">IF($U141="","",IF($B$10=0,"",$U141/$B$10))</f>
        <v>1987.88888888889</v>
      </c>
      <c r="W141" s="17" t="n">
        <f aca="false">IF($Q141="","",IF($B$10=0,"",$Q141/$B$10))</f>
        <v>1987.88888888889</v>
      </c>
      <c r="X141" s="19" t="n">
        <f aca="false">IF($U141="",1000000000000000,$U141)</f>
        <v>50094.8</v>
      </c>
      <c r="XFC141" s="6"/>
    </row>
    <row r="142" s="5" customFormat="true" ht="28.5" hidden="false" customHeight="true" outlineLevel="0" collapsed="false">
      <c r="A142" s="16" t="n">
        <f aca="false">IF($U142="","",1+COUNTIF($X$15:$X$728,"&lt;"&amp;X142))</f>
        <v>128</v>
      </c>
      <c r="B142" s="16" t="s">
        <v>6</v>
      </c>
      <c r="C142" s="16" t="s">
        <v>436</v>
      </c>
      <c r="D142" s="16" t="s">
        <v>112</v>
      </c>
      <c r="E142" s="16" t="s">
        <v>59</v>
      </c>
      <c r="F142" s="16" t="s">
        <v>437</v>
      </c>
      <c r="G142" s="16" t="s">
        <v>438</v>
      </c>
      <c r="H142" s="17" t="n">
        <v>1989</v>
      </c>
      <c r="I142" s="17" t="n">
        <v>2489</v>
      </c>
      <c r="J142" s="17"/>
      <c r="K142" s="17" t="n">
        <v>1989</v>
      </c>
      <c r="L142" s="17" t="n">
        <f aca="false">IF(AND(IFERROR(SEARCH("현대오일뱅크",$C142),0)&gt;0,IFERROR(SEARCH("직영",$C142),0)&gt;0),$B$13,0)</f>
        <v>0</v>
      </c>
      <c r="M142" s="17" t="n">
        <f aca="false">IF($H142="","",$H142+$L142)</f>
        <v>1989</v>
      </c>
      <c r="N142" s="17" t="n">
        <f aca="false">IF($I142="","",$I142+$L142)</f>
        <v>2489</v>
      </c>
      <c r="O142" s="17" t="n">
        <f aca="false">IF($K142="","",$K142+$L142)</f>
        <v>1989</v>
      </c>
      <c r="P142" s="17" t="str">
        <f aca="false">IF($B$10=0,"",IFERROR(IF($B$4&gt;0,"휘발유 "&amp;TEXT(IF($M142="",1/0,$M142*$B$4),"#,##0")&amp;"원","")&amp;IF($B$5&gt;0,IF($B$4&gt;0," / ","")&amp;"고급유 "&amp;TEXT(IF($N142="",1/0,$N142*$B$5),"#,##0")&amp;"원","")&amp;IF($B$6&gt;0,IF(OR($B$4&gt;0,$B$5&gt;0)," / ","")&amp;"경유 "&amp;TEXT(IF($O142="",1/0,$O142*$B$6),"#,##0")&amp;"원",""),""))</f>
        <v>휘발유 27,846원 / 고급유 27,877원</v>
      </c>
      <c r="Q142" s="17" t="n">
        <f aca="false">IF($B$10=0,"",IFERROR(IF($B$4&gt;0,IF($M142="",1/0,$M142*$B$4),0)+IF($B$5&gt;0,IF($N142="",1/0,$N142*$B$5),0)+IF($B$6&gt;0,IF($O142="",1/0,$O142*$B$6),0),""))</f>
        <v>55722.8</v>
      </c>
      <c r="R142" s="17" t="s">
        <v>47</v>
      </c>
      <c r="S142" s="18" t="n">
        <f aca="false">IF($Q142="","",IF($R142="Y",IFERROR(VLOOKUP($B142,$C$4:$D$13,2,FALSE()),0),0))</f>
        <v>0.1</v>
      </c>
      <c r="T142" s="17" t="n">
        <f aca="false">IF($Q142="","",ROUNDDOWN($Q142*$S142,0))</f>
        <v>5572</v>
      </c>
      <c r="U142" s="17" t="n">
        <f aca="false">IF($Q142="","",$Q142-$T142)</f>
        <v>50150.8</v>
      </c>
      <c r="V142" s="17" t="n">
        <f aca="false">IF($U142="","",IF($B$10=0,"",$U142/$B$10))</f>
        <v>1990.11111111111</v>
      </c>
      <c r="W142" s="17" t="n">
        <f aca="false">IF($Q142="","",IF($B$10=0,"",$Q142/$B$10))</f>
        <v>2211.22222222222</v>
      </c>
      <c r="X142" s="19" t="n">
        <f aca="false">IF($U142="",1000000000000000,$U142)</f>
        <v>50150.8</v>
      </c>
      <c r="XFC142" s="6"/>
    </row>
    <row r="143" s="5" customFormat="true" ht="28.5" hidden="false" customHeight="true" outlineLevel="0" collapsed="false">
      <c r="A143" s="16" t="n">
        <f aca="false">IF($U143="","",1+COUNTIF($X$15:$X$728,"&lt;"&amp;X143))</f>
        <v>129</v>
      </c>
      <c r="B143" s="16" t="s">
        <v>18</v>
      </c>
      <c r="C143" s="16" t="s">
        <v>439</v>
      </c>
      <c r="D143" s="16" t="s">
        <v>51</v>
      </c>
      <c r="E143" s="16" t="s">
        <v>47</v>
      </c>
      <c r="F143" s="16" t="s">
        <v>440</v>
      </c>
      <c r="G143" s="16" t="s">
        <v>441</v>
      </c>
      <c r="H143" s="17" t="n">
        <v>1912</v>
      </c>
      <c r="I143" s="17" t="n">
        <v>2089</v>
      </c>
      <c r="J143" s="17"/>
      <c r="K143" s="17" t="n">
        <v>1932</v>
      </c>
      <c r="L143" s="17" t="n">
        <f aca="false">IF(AND(IFERROR(SEARCH("현대오일뱅크",$C143),0)&gt;0,IFERROR(SEARCH("직영",$C143),0)&gt;0),$B$13,0)</f>
        <v>0</v>
      </c>
      <c r="M143" s="17" t="n">
        <f aca="false">IF($H143="","",$H143+$L143)</f>
        <v>1912</v>
      </c>
      <c r="N143" s="17" t="n">
        <f aca="false">IF($I143="","",$I143+$L143)</f>
        <v>2089</v>
      </c>
      <c r="O143" s="17" t="n">
        <f aca="false">IF($K143="","",$K143+$L143)</f>
        <v>1932</v>
      </c>
      <c r="P143" s="17" t="str">
        <f aca="false">IF($B$10=0,"",IFERROR(IF($B$4&gt;0,"휘발유 "&amp;TEXT(IF($M143="",1/0,$M143*$B$4),"#,##0")&amp;"원","")&amp;IF($B$5&gt;0,IF($B$4&gt;0," / ","")&amp;"고급유 "&amp;TEXT(IF($N143="",1/0,$N143*$B$5),"#,##0")&amp;"원","")&amp;IF($B$6&gt;0,IF(OR($B$4&gt;0,$B$5&gt;0)," / ","")&amp;"경유 "&amp;TEXT(IF($O143="",1/0,$O143*$B$6),"#,##0")&amp;"원",""),""))</f>
        <v>휘발유 26,768원 / 고급유 23,397원</v>
      </c>
      <c r="Q143" s="17" t="n">
        <f aca="false">IF($B$10=0,"",IFERROR(IF($B$4&gt;0,IF($M143="",1/0,$M143*$B$4),0)+IF($B$5&gt;0,IF($N143="",1/0,$N143*$B$5),0)+IF($B$6&gt;0,IF($O143="",1/0,$O143*$B$6),0),""))</f>
        <v>50164.8</v>
      </c>
      <c r="R143" s="17"/>
      <c r="S143" s="18" t="n">
        <f aca="false">IF($Q143="","",IF($R143="Y",IFERROR(VLOOKUP($B143,$C$4:$D$13,2,FALSE()),0),0))</f>
        <v>0</v>
      </c>
      <c r="T143" s="17" t="n">
        <f aca="false">IF($Q143="","",ROUNDDOWN($Q143*$S143,0))</f>
        <v>0</v>
      </c>
      <c r="U143" s="17" t="n">
        <f aca="false">IF($Q143="","",$Q143-$T143)</f>
        <v>50164.8</v>
      </c>
      <c r="V143" s="17" t="n">
        <f aca="false">IF($U143="","",IF($B$10=0,"",$U143/$B$10))</f>
        <v>1990.66666666667</v>
      </c>
      <c r="W143" s="17" t="n">
        <f aca="false">IF($Q143="","",IF($B$10=0,"",$Q143/$B$10))</f>
        <v>1990.66666666667</v>
      </c>
      <c r="X143" s="19" t="n">
        <f aca="false">IF($U143="",1000000000000000,$U143)</f>
        <v>50164.8</v>
      </c>
      <c r="XFC143" s="6"/>
    </row>
    <row r="144" s="5" customFormat="true" ht="28.5" hidden="false" customHeight="true" outlineLevel="0" collapsed="false">
      <c r="A144" s="16" t="n">
        <f aca="false">IF($U144="","",1+COUNTIF($X$15:$X$728,"&lt;"&amp;X144))</f>
        <v>130</v>
      </c>
      <c r="B144" s="16" t="s">
        <v>14</v>
      </c>
      <c r="C144" s="16" t="s">
        <v>442</v>
      </c>
      <c r="D144" s="16" t="s">
        <v>51</v>
      </c>
      <c r="E144" s="16" t="s">
        <v>47</v>
      </c>
      <c r="F144" s="16" t="s">
        <v>443</v>
      </c>
      <c r="G144" s="16" t="s">
        <v>444</v>
      </c>
      <c r="H144" s="17" t="n">
        <v>1945</v>
      </c>
      <c r="I144" s="17" t="n">
        <v>2060</v>
      </c>
      <c r="J144" s="17"/>
      <c r="K144" s="17" t="n">
        <v>1995</v>
      </c>
      <c r="L144" s="17" t="n">
        <f aca="false">IF(AND(IFERROR(SEARCH("현대오일뱅크",$C144),0)&gt;0,IFERROR(SEARCH("직영",$C144),0)&gt;0),$B$13,0)</f>
        <v>0</v>
      </c>
      <c r="M144" s="17" t="n">
        <f aca="false">IF($H144="","",$H144+$L144)</f>
        <v>1945</v>
      </c>
      <c r="N144" s="17" t="n">
        <f aca="false">IF($I144="","",$I144+$L144)</f>
        <v>2060</v>
      </c>
      <c r="O144" s="17" t="n">
        <f aca="false">IF($K144="","",$K144+$L144)</f>
        <v>1995</v>
      </c>
      <c r="P144" s="17" t="str">
        <f aca="false">IF($B$10=0,"",IFERROR(IF($B$4&gt;0,"휘발유 "&amp;TEXT(IF($M144="",1/0,$M144*$B$4),"#,##0")&amp;"원","")&amp;IF($B$5&gt;0,IF($B$4&gt;0," / ","")&amp;"고급유 "&amp;TEXT(IF($N144="",1/0,$N144*$B$5),"#,##0")&amp;"원","")&amp;IF($B$6&gt;0,IF(OR($B$4&gt;0,$B$5&gt;0)," / ","")&amp;"경유 "&amp;TEXT(IF($O144="",1/0,$O144*$B$6),"#,##0")&amp;"원",""),""))</f>
        <v>휘발유 27,230원 / 고급유 23,072원</v>
      </c>
      <c r="Q144" s="17" t="n">
        <f aca="false">IF($B$10=0,"",IFERROR(IF($B$4&gt;0,IF($M144="",1/0,$M144*$B$4),0)+IF($B$5&gt;0,IF($N144="",1/0,$N144*$B$5),0)+IF($B$6&gt;0,IF($O144="",1/0,$O144*$B$6),0),""))</f>
        <v>50302</v>
      </c>
      <c r="R144" s="17"/>
      <c r="S144" s="18" t="n">
        <f aca="false">IF($Q144="","",IF($R144="Y",IFERROR(VLOOKUP($B144,$C$4:$D$13,2,FALSE()),0),0))</f>
        <v>0</v>
      </c>
      <c r="T144" s="17" t="n">
        <f aca="false">IF($Q144="","",ROUNDDOWN($Q144*$S144,0))</f>
        <v>0</v>
      </c>
      <c r="U144" s="17" t="n">
        <f aca="false">IF($Q144="","",$Q144-$T144)</f>
        <v>50302</v>
      </c>
      <c r="V144" s="17" t="n">
        <f aca="false">IF($U144="","",IF($B$10=0,"",$U144/$B$10))</f>
        <v>1996.11111111111</v>
      </c>
      <c r="W144" s="17" t="n">
        <f aca="false">IF($Q144="","",IF($B$10=0,"",$Q144/$B$10))</f>
        <v>1996.11111111111</v>
      </c>
      <c r="X144" s="19" t="n">
        <f aca="false">IF($U144="",1000000000000000,$U144)</f>
        <v>50302</v>
      </c>
      <c r="XFC144" s="6"/>
    </row>
    <row r="145" s="5" customFormat="true" ht="28.5" hidden="false" customHeight="true" outlineLevel="0" collapsed="false">
      <c r="A145" s="16" t="n">
        <f aca="false">IF($U145="","",1+COUNTIF($X$15:$X$728,"&lt;"&amp;X145))</f>
        <v>131</v>
      </c>
      <c r="B145" s="16" t="s">
        <v>8</v>
      </c>
      <c r="C145" s="16" t="s">
        <v>445</v>
      </c>
      <c r="D145" s="20" t="s">
        <v>108</v>
      </c>
      <c r="E145" s="16" t="s">
        <v>47</v>
      </c>
      <c r="F145" s="16" t="s">
        <v>446</v>
      </c>
      <c r="G145" s="16" t="s">
        <v>447</v>
      </c>
      <c r="H145" s="17" t="n">
        <v>1918</v>
      </c>
      <c r="I145" s="17" t="n">
        <v>2099</v>
      </c>
      <c r="J145" s="17"/>
      <c r="K145" s="17" t="n">
        <v>1948</v>
      </c>
      <c r="L145" s="17" t="n">
        <f aca="false">IF(AND(IFERROR(SEARCH("현대오일뱅크",$C145),0)&gt;0,IFERROR(SEARCH("직영",$C145),0)&gt;0),$B$13,0)</f>
        <v>0</v>
      </c>
      <c r="M145" s="17" t="n">
        <f aca="false">IF($H145="","",$H145+$L145)</f>
        <v>1918</v>
      </c>
      <c r="N145" s="17" t="n">
        <f aca="false">IF($I145="","",$I145+$L145)</f>
        <v>2099</v>
      </c>
      <c r="O145" s="17" t="n">
        <f aca="false">IF($K145="","",$K145+$L145)</f>
        <v>1948</v>
      </c>
      <c r="P145" s="17" t="str">
        <f aca="false">IF($B$10=0,"",IFERROR(IF($B$4&gt;0,"휘발유 "&amp;TEXT(IF($M145="",1/0,$M145*$B$4),"#,##0")&amp;"원","")&amp;IF($B$5&gt;0,IF($B$4&gt;0," / ","")&amp;"고급유 "&amp;TEXT(IF($N145="",1/0,$N145*$B$5),"#,##0")&amp;"원","")&amp;IF($B$6&gt;0,IF(OR($B$4&gt;0,$B$5&gt;0)," / ","")&amp;"경유 "&amp;TEXT(IF($O145="",1/0,$O145*$B$6),"#,##0")&amp;"원",""),""))</f>
        <v>휘발유 26,852원 / 고급유 23,509원</v>
      </c>
      <c r="Q145" s="17" t="n">
        <f aca="false">IF($B$10=0,"",IFERROR(IF($B$4&gt;0,IF($M145="",1/0,$M145*$B$4),0)+IF($B$5&gt;0,IF($N145="",1/0,$N145*$B$5),0)+IF($B$6&gt;0,IF($O145="",1/0,$O145*$B$6),0),""))</f>
        <v>50360.8</v>
      </c>
      <c r="R145" s="17"/>
      <c r="S145" s="18" t="n">
        <f aca="false">IF($Q145="","",IF($R145="Y",IFERROR(VLOOKUP($B145,$C$4:$D$13,2,FALSE()),0),0))</f>
        <v>0</v>
      </c>
      <c r="T145" s="17" t="n">
        <f aca="false">IF($Q145="","",ROUNDDOWN($Q145*$S145,0))</f>
        <v>0</v>
      </c>
      <c r="U145" s="17" t="n">
        <f aca="false">IF($Q145="","",$Q145-$T145)</f>
        <v>50360.8</v>
      </c>
      <c r="V145" s="17" t="n">
        <f aca="false">IF($U145="","",IF($B$10=0,"",$U145/$B$10))</f>
        <v>1998.44444444444</v>
      </c>
      <c r="W145" s="17" t="n">
        <f aca="false">IF($Q145="","",IF($B$10=0,"",$Q145/$B$10))</f>
        <v>1998.44444444444</v>
      </c>
      <c r="X145" s="19" t="n">
        <f aca="false">IF($U145="",1000000000000000,$U145)</f>
        <v>50360.8</v>
      </c>
      <c r="XFC145" s="6"/>
    </row>
    <row r="146" s="5" customFormat="true" ht="28.5" hidden="false" customHeight="true" outlineLevel="0" collapsed="false">
      <c r="A146" s="16" t="n">
        <f aca="false">IF($U146="","",1+COUNTIF($X$15:$X$728,"&lt;"&amp;X146))</f>
        <v>132</v>
      </c>
      <c r="B146" s="16" t="s">
        <v>16</v>
      </c>
      <c r="C146" s="16" t="s">
        <v>448</v>
      </c>
      <c r="D146" s="16" t="s">
        <v>46</v>
      </c>
      <c r="E146" s="16" t="s">
        <v>47</v>
      </c>
      <c r="F146" s="16" t="s">
        <v>449</v>
      </c>
      <c r="G146" s="16" t="s">
        <v>450</v>
      </c>
      <c r="H146" s="17" t="n">
        <v>1950</v>
      </c>
      <c r="I146" s="17" t="n">
        <v>2060</v>
      </c>
      <c r="J146" s="17"/>
      <c r="K146" s="17" t="n">
        <v>1985</v>
      </c>
      <c r="L146" s="17" t="n">
        <f aca="false">IF(AND(IFERROR(SEARCH("현대오일뱅크",$C146),0)&gt;0,IFERROR(SEARCH("직영",$C146),0)&gt;0),$B$13,0)</f>
        <v>0</v>
      </c>
      <c r="M146" s="17" t="n">
        <f aca="false">IF($H146="","",$H146+$L146)</f>
        <v>1950</v>
      </c>
      <c r="N146" s="17" t="n">
        <f aca="false">IF($I146="","",$I146+$L146)</f>
        <v>2060</v>
      </c>
      <c r="O146" s="17" t="n">
        <f aca="false">IF($K146="","",$K146+$L146)</f>
        <v>1985</v>
      </c>
      <c r="P146" s="17" t="str">
        <f aca="false">IF($B$10=0,"",IFERROR(IF($B$4&gt;0,"휘발유 "&amp;TEXT(IF($M146="",1/0,$M146*$B$4),"#,##0")&amp;"원","")&amp;IF($B$5&gt;0,IF($B$4&gt;0," / ","")&amp;"고급유 "&amp;TEXT(IF($N146="",1/0,$N146*$B$5),"#,##0")&amp;"원","")&amp;IF($B$6&gt;0,IF(OR($B$4&gt;0,$B$5&gt;0)," / ","")&amp;"경유 "&amp;TEXT(IF($O146="",1/0,$O146*$B$6),"#,##0")&amp;"원",""),""))</f>
        <v>휘발유 27,300원 / 고급유 23,072원</v>
      </c>
      <c r="Q146" s="17" t="n">
        <f aca="false">IF($B$10=0,"",IFERROR(IF($B$4&gt;0,IF($M146="",1/0,$M146*$B$4),0)+IF($B$5&gt;0,IF($N146="",1/0,$N146*$B$5),0)+IF($B$6&gt;0,IF($O146="",1/0,$O146*$B$6),0),""))</f>
        <v>50372</v>
      </c>
      <c r="R146" s="17"/>
      <c r="S146" s="18" t="n">
        <f aca="false">IF($Q146="","",IF($R146="Y",IFERROR(VLOOKUP($B146,$C$4:$D$13,2,FALSE()),0),0))</f>
        <v>0</v>
      </c>
      <c r="T146" s="17" t="n">
        <f aca="false">IF($Q146="","",ROUNDDOWN($Q146*$S146,0))</f>
        <v>0</v>
      </c>
      <c r="U146" s="17" t="n">
        <f aca="false">IF($Q146="","",$Q146-$T146)</f>
        <v>50372</v>
      </c>
      <c r="V146" s="17" t="n">
        <f aca="false">IF($U146="","",IF($B$10=0,"",$U146/$B$10))</f>
        <v>1998.88888888889</v>
      </c>
      <c r="W146" s="17" t="n">
        <f aca="false">IF($Q146="","",IF($B$10=0,"",$Q146/$B$10))</f>
        <v>1998.88888888889</v>
      </c>
      <c r="X146" s="19" t="n">
        <f aca="false">IF($U146="",1000000000000000,$U146)</f>
        <v>50372</v>
      </c>
      <c r="XFC146" s="6"/>
    </row>
    <row r="147" s="5" customFormat="true" ht="28.5" hidden="false" customHeight="true" outlineLevel="0" collapsed="false">
      <c r="A147" s="16" t="n">
        <f aca="false">IF($U147="","",1+COUNTIF($X$15:$X$728,"&lt;"&amp;X147))</f>
        <v>133</v>
      </c>
      <c r="B147" s="16" t="s">
        <v>8</v>
      </c>
      <c r="C147" s="16" t="s">
        <v>451</v>
      </c>
      <c r="D147" s="16" t="s">
        <v>112</v>
      </c>
      <c r="E147" s="16" t="s">
        <v>47</v>
      </c>
      <c r="F147" s="16" t="s">
        <v>452</v>
      </c>
      <c r="G147" s="16" t="s">
        <v>453</v>
      </c>
      <c r="H147" s="17" t="n">
        <v>1919</v>
      </c>
      <c r="I147" s="17" t="n">
        <v>2099</v>
      </c>
      <c r="J147" s="17"/>
      <c r="K147" s="17" t="n">
        <v>1949</v>
      </c>
      <c r="L147" s="17" t="n">
        <f aca="false">IF(AND(IFERROR(SEARCH("현대오일뱅크",$C147),0)&gt;0,IFERROR(SEARCH("직영",$C147),0)&gt;0),$B$13,0)</f>
        <v>0</v>
      </c>
      <c r="M147" s="17" t="n">
        <f aca="false">IF($H147="","",$H147+$L147)</f>
        <v>1919</v>
      </c>
      <c r="N147" s="17" t="n">
        <f aca="false">IF($I147="","",$I147+$L147)</f>
        <v>2099</v>
      </c>
      <c r="O147" s="17" t="n">
        <f aca="false">IF($K147="","",$K147+$L147)</f>
        <v>1949</v>
      </c>
      <c r="P147" s="17" t="str">
        <f aca="false">IF($B$10=0,"",IFERROR(IF($B$4&gt;0,"휘발유 "&amp;TEXT(IF($M147="",1/0,$M147*$B$4),"#,##0")&amp;"원","")&amp;IF($B$5&gt;0,IF($B$4&gt;0," / ","")&amp;"고급유 "&amp;TEXT(IF($N147="",1/0,$N147*$B$5),"#,##0")&amp;"원","")&amp;IF($B$6&gt;0,IF(OR($B$4&gt;0,$B$5&gt;0)," / ","")&amp;"경유 "&amp;TEXT(IF($O147="",1/0,$O147*$B$6),"#,##0")&amp;"원",""),""))</f>
        <v>휘발유 26,866원 / 고급유 23,509원</v>
      </c>
      <c r="Q147" s="17" t="n">
        <f aca="false">IF($B$10=0,"",IFERROR(IF($B$4&gt;0,IF($M147="",1/0,$M147*$B$4),0)+IF($B$5&gt;0,IF($N147="",1/0,$N147*$B$5),0)+IF($B$6&gt;0,IF($O147="",1/0,$O147*$B$6),0),""))</f>
        <v>50374.8</v>
      </c>
      <c r="R147" s="17"/>
      <c r="S147" s="18" t="n">
        <f aca="false">IF($Q147="","",IF($R147="Y",IFERROR(VLOOKUP($B147,$C$4:$D$13,2,FALSE()),0),0))</f>
        <v>0</v>
      </c>
      <c r="T147" s="17" t="n">
        <f aca="false">IF($Q147="","",ROUNDDOWN($Q147*$S147,0))</f>
        <v>0</v>
      </c>
      <c r="U147" s="17" t="n">
        <f aca="false">IF($Q147="","",$Q147-$T147)</f>
        <v>50374.8</v>
      </c>
      <c r="V147" s="17" t="n">
        <f aca="false">IF($U147="","",IF($B$10=0,"",$U147/$B$10))</f>
        <v>1999</v>
      </c>
      <c r="W147" s="17" t="n">
        <f aca="false">IF($Q147="","",IF($B$10=0,"",$Q147/$B$10))</f>
        <v>1999</v>
      </c>
      <c r="X147" s="19" t="n">
        <f aca="false">IF($U147="",1000000000000000,$U147)</f>
        <v>50374.8</v>
      </c>
      <c r="XFC147" s="6"/>
    </row>
    <row r="148" s="5" customFormat="true" ht="28.5" hidden="false" customHeight="true" outlineLevel="0" collapsed="false">
      <c r="A148" s="16" t="n">
        <f aca="false">IF($U148="","",1+COUNTIF($X$15:$X$728,"&lt;"&amp;X148))</f>
        <v>134</v>
      </c>
      <c r="B148" s="16" t="s">
        <v>10</v>
      </c>
      <c r="C148" s="16" t="s">
        <v>454</v>
      </c>
      <c r="D148" s="16" t="s">
        <v>51</v>
      </c>
      <c r="E148" s="16" t="s">
        <v>59</v>
      </c>
      <c r="F148" s="16" t="s">
        <v>455</v>
      </c>
      <c r="G148" s="16" t="s">
        <v>456</v>
      </c>
      <c r="H148" s="17" t="n">
        <v>1938</v>
      </c>
      <c r="I148" s="17" t="n">
        <v>2087</v>
      </c>
      <c r="J148" s="17"/>
      <c r="K148" s="17" t="n">
        <v>1958</v>
      </c>
      <c r="L148" s="17" t="n">
        <f aca="false">IF(AND(IFERROR(SEARCH("현대오일뱅크",$C148),0)&gt;0,IFERROR(SEARCH("직영",$C148),0)&gt;0),$B$13,0)</f>
        <v>0</v>
      </c>
      <c r="M148" s="17" t="n">
        <f aca="false">IF($H148="","",$H148+$L148)</f>
        <v>1938</v>
      </c>
      <c r="N148" s="17" t="n">
        <f aca="false">IF($I148="","",$I148+$L148)</f>
        <v>2087</v>
      </c>
      <c r="O148" s="17" t="n">
        <f aca="false">IF($K148="","",$K148+$L148)</f>
        <v>1958</v>
      </c>
      <c r="P148" s="17" t="str">
        <f aca="false">IF($B$10=0,"",IFERROR(IF($B$4&gt;0,"휘발유 "&amp;TEXT(IF($M148="",1/0,$M148*$B$4),"#,##0")&amp;"원","")&amp;IF($B$5&gt;0,IF($B$4&gt;0," / ","")&amp;"고급유 "&amp;TEXT(IF($N148="",1/0,$N148*$B$5),"#,##0")&amp;"원","")&amp;IF($B$6&gt;0,IF(OR($B$4&gt;0,$B$5&gt;0)," / ","")&amp;"경유 "&amp;TEXT(IF($O148="",1/0,$O148*$B$6),"#,##0")&amp;"원",""),""))</f>
        <v>휘발유 27,132원 / 고급유 23,374원</v>
      </c>
      <c r="Q148" s="17" t="n">
        <f aca="false">IF($B$10=0,"",IFERROR(IF($B$4&gt;0,IF($M148="",1/0,$M148*$B$4),0)+IF($B$5&gt;0,IF($N148="",1/0,$N148*$B$5),0)+IF($B$6&gt;0,IF($O148="",1/0,$O148*$B$6),0),""))</f>
        <v>50506.4</v>
      </c>
      <c r="R148" s="17"/>
      <c r="S148" s="18" t="n">
        <f aca="false">IF($Q148="","",IF($R148="Y",IFERROR(VLOOKUP($B148,$C$4:$D$13,2,FALSE()),0),0))</f>
        <v>0</v>
      </c>
      <c r="T148" s="17" t="n">
        <f aca="false">IF($Q148="","",ROUNDDOWN($Q148*$S148,0))</f>
        <v>0</v>
      </c>
      <c r="U148" s="17" t="n">
        <f aca="false">IF($Q148="","",$Q148-$T148)</f>
        <v>50506.4</v>
      </c>
      <c r="V148" s="17" t="n">
        <f aca="false">IF($U148="","",IF($B$10=0,"",$U148/$B$10))</f>
        <v>2004.22222222222</v>
      </c>
      <c r="W148" s="17" t="n">
        <f aca="false">IF($Q148="","",IF($B$10=0,"",$Q148/$B$10))</f>
        <v>2004.22222222222</v>
      </c>
      <c r="X148" s="19" t="n">
        <f aca="false">IF($U148="",1000000000000000,$U148)</f>
        <v>50506.4</v>
      </c>
      <c r="XFC148" s="6"/>
    </row>
    <row r="149" s="5" customFormat="true" ht="28.5" hidden="false" customHeight="true" outlineLevel="0" collapsed="false">
      <c r="A149" s="16" t="n">
        <f aca="false">IF($U149="","",1+COUNTIF($X$15:$X$728,"&lt;"&amp;X149))</f>
        <v>135</v>
      </c>
      <c r="B149" s="16" t="s">
        <v>16</v>
      </c>
      <c r="C149" s="16" t="s">
        <v>457</v>
      </c>
      <c r="D149" s="16" t="s">
        <v>58</v>
      </c>
      <c r="E149" s="16" t="s">
        <v>47</v>
      </c>
      <c r="F149" s="16" t="s">
        <v>458</v>
      </c>
      <c r="G149" s="16" t="s">
        <v>459</v>
      </c>
      <c r="H149" s="17" t="n">
        <v>1890</v>
      </c>
      <c r="I149" s="17" t="n">
        <v>2150</v>
      </c>
      <c r="J149" s="17"/>
      <c r="K149" s="17" t="n">
        <v>1920</v>
      </c>
      <c r="L149" s="17" t="n">
        <f aca="false">IF(AND(IFERROR(SEARCH("현대오일뱅크",$C149),0)&gt;0,IFERROR(SEARCH("직영",$C149),0)&gt;0),$B$13,0)</f>
        <v>0</v>
      </c>
      <c r="M149" s="17" t="n">
        <f aca="false">IF($H149="","",$H149+$L149)</f>
        <v>1890</v>
      </c>
      <c r="N149" s="17" t="n">
        <f aca="false">IF($I149="","",$I149+$L149)</f>
        <v>2150</v>
      </c>
      <c r="O149" s="17" t="n">
        <f aca="false">IF($K149="","",$K149+$L149)</f>
        <v>1920</v>
      </c>
      <c r="P149" s="17" t="str">
        <f aca="false">IF($B$10=0,"",IFERROR(IF($B$4&gt;0,"휘발유 "&amp;TEXT(IF($M149="",1/0,$M149*$B$4),"#,##0")&amp;"원","")&amp;IF($B$5&gt;0,IF($B$4&gt;0," / ","")&amp;"고급유 "&amp;TEXT(IF($N149="",1/0,$N149*$B$5),"#,##0")&amp;"원","")&amp;IF($B$6&gt;0,IF(OR($B$4&gt;0,$B$5&gt;0)," / ","")&amp;"경유 "&amp;TEXT(IF($O149="",1/0,$O149*$B$6),"#,##0")&amp;"원",""),""))</f>
        <v>휘발유 26,460원 / 고급유 24,080원</v>
      </c>
      <c r="Q149" s="17" t="n">
        <f aca="false">IF($B$10=0,"",IFERROR(IF($B$4&gt;0,IF($M149="",1/0,$M149*$B$4),0)+IF($B$5&gt;0,IF($N149="",1/0,$N149*$B$5),0)+IF($B$6&gt;0,IF($O149="",1/0,$O149*$B$6),0),""))</f>
        <v>50540</v>
      </c>
      <c r="R149" s="17"/>
      <c r="S149" s="18" t="n">
        <f aca="false">IF($Q149="","",IF($R149="Y",IFERROR(VLOOKUP($B149,$C$4:$D$13,2,FALSE()),0),0))</f>
        <v>0</v>
      </c>
      <c r="T149" s="17" t="n">
        <f aca="false">IF($Q149="","",ROUNDDOWN($Q149*$S149,0))</f>
        <v>0</v>
      </c>
      <c r="U149" s="17" t="n">
        <f aca="false">IF($Q149="","",$Q149-$T149)</f>
        <v>50540</v>
      </c>
      <c r="V149" s="17" t="n">
        <f aca="false">IF($U149="","",IF($B$10=0,"",$U149/$B$10))</f>
        <v>2005.55555555556</v>
      </c>
      <c r="W149" s="17" t="n">
        <f aca="false">IF($Q149="","",IF($B$10=0,"",$Q149/$B$10))</f>
        <v>2005.55555555556</v>
      </c>
      <c r="X149" s="19" t="n">
        <f aca="false">IF($U149="",1000000000000000,$U149)</f>
        <v>50540</v>
      </c>
      <c r="XFC149" s="6"/>
    </row>
    <row r="150" s="5" customFormat="true" ht="28.5" hidden="false" customHeight="true" outlineLevel="0" collapsed="false">
      <c r="A150" s="16" t="n">
        <f aca="false">IF($U150="","",1+COUNTIF($X$15:$X$728,"&lt;"&amp;X150))</f>
        <v>136</v>
      </c>
      <c r="B150" s="16" t="s">
        <v>18</v>
      </c>
      <c r="C150" s="16" t="s">
        <v>460</v>
      </c>
      <c r="D150" s="20" t="s">
        <v>108</v>
      </c>
      <c r="E150" s="16" t="s">
        <v>47</v>
      </c>
      <c r="F150" s="16" t="s">
        <v>461</v>
      </c>
      <c r="G150" s="16" t="s">
        <v>462</v>
      </c>
      <c r="H150" s="17" t="n">
        <v>1932</v>
      </c>
      <c r="I150" s="17" t="n">
        <v>2099</v>
      </c>
      <c r="J150" s="17"/>
      <c r="K150" s="17" t="n">
        <v>1932</v>
      </c>
      <c r="L150" s="17" t="n">
        <f aca="false">IF(AND(IFERROR(SEARCH("현대오일뱅크",$C150),0)&gt;0,IFERROR(SEARCH("직영",$C150),0)&gt;0),$B$13,0)</f>
        <v>0</v>
      </c>
      <c r="M150" s="17" t="n">
        <f aca="false">IF($H150="","",$H150+$L150)</f>
        <v>1932</v>
      </c>
      <c r="N150" s="17" t="n">
        <f aca="false">IF($I150="","",$I150+$L150)</f>
        <v>2099</v>
      </c>
      <c r="O150" s="17" t="n">
        <f aca="false">IF($K150="","",$K150+$L150)</f>
        <v>1932</v>
      </c>
      <c r="P150" s="17" t="str">
        <f aca="false">IF($B$10=0,"",IFERROR(IF($B$4&gt;0,"휘발유 "&amp;TEXT(IF($M150="",1/0,$M150*$B$4),"#,##0")&amp;"원","")&amp;IF($B$5&gt;0,IF($B$4&gt;0," / ","")&amp;"고급유 "&amp;TEXT(IF($N150="",1/0,$N150*$B$5),"#,##0")&amp;"원","")&amp;IF($B$6&gt;0,IF(OR($B$4&gt;0,$B$5&gt;0)," / ","")&amp;"경유 "&amp;TEXT(IF($O150="",1/0,$O150*$B$6),"#,##0")&amp;"원",""),""))</f>
        <v>휘발유 27,048원 / 고급유 23,509원</v>
      </c>
      <c r="Q150" s="17" t="n">
        <f aca="false">IF($B$10=0,"",IFERROR(IF($B$4&gt;0,IF($M150="",1/0,$M150*$B$4),0)+IF($B$5&gt;0,IF($N150="",1/0,$N150*$B$5),0)+IF($B$6&gt;0,IF($O150="",1/0,$O150*$B$6),0),""))</f>
        <v>50556.8</v>
      </c>
      <c r="R150" s="17"/>
      <c r="S150" s="18" t="n">
        <f aca="false">IF($Q150="","",IF($R150="Y",IFERROR(VLOOKUP($B150,$C$4:$D$13,2,FALSE()),0),0))</f>
        <v>0</v>
      </c>
      <c r="T150" s="17" t="n">
        <f aca="false">IF($Q150="","",ROUNDDOWN($Q150*$S150,0))</f>
        <v>0</v>
      </c>
      <c r="U150" s="17" t="n">
        <f aca="false">IF($Q150="","",$Q150-$T150)</f>
        <v>50556.8</v>
      </c>
      <c r="V150" s="17" t="n">
        <f aca="false">IF($U150="","",IF($B$10=0,"",$U150/$B$10))</f>
        <v>2006.22222222222</v>
      </c>
      <c r="W150" s="17" t="n">
        <f aca="false">IF($Q150="","",IF($B$10=0,"",$Q150/$B$10))</f>
        <v>2006.22222222222</v>
      </c>
      <c r="X150" s="19" t="n">
        <f aca="false">IF($U150="",1000000000000000,$U150)</f>
        <v>50556.8</v>
      </c>
      <c r="XFC150" s="6"/>
    </row>
    <row r="151" s="5" customFormat="true" ht="28.5" hidden="false" customHeight="true" outlineLevel="0" collapsed="false">
      <c r="A151" s="16" t="n">
        <f aca="false">IF($U151="","",1+COUNTIF($X$15:$X$728,"&lt;"&amp;X151))</f>
        <v>137</v>
      </c>
      <c r="B151" s="16" t="s">
        <v>6</v>
      </c>
      <c r="C151" s="16" t="s">
        <v>463</v>
      </c>
      <c r="D151" s="16" t="s">
        <v>58</v>
      </c>
      <c r="E151" s="16" t="s">
        <v>47</v>
      </c>
      <c r="F151" s="16" t="s">
        <v>464</v>
      </c>
      <c r="G151" s="16" t="s">
        <v>465</v>
      </c>
      <c r="H151" s="17" t="n">
        <v>1944</v>
      </c>
      <c r="I151" s="17" t="n">
        <v>2089</v>
      </c>
      <c r="J151" s="17"/>
      <c r="K151" s="17" t="n">
        <v>1945</v>
      </c>
      <c r="L151" s="17" t="n">
        <f aca="false">IF(AND(IFERROR(SEARCH("현대오일뱅크",$C151),0)&gt;0,IFERROR(SEARCH("직영",$C151),0)&gt;0),$B$13,0)</f>
        <v>0</v>
      </c>
      <c r="M151" s="17" t="n">
        <f aca="false">IF($H151="","",$H151+$L151)</f>
        <v>1944</v>
      </c>
      <c r="N151" s="17" t="n">
        <f aca="false">IF($I151="","",$I151+$L151)</f>
        <v>2089</v>
      </c>
      <c r="O151" s="17" t="n">
        <f aca="false">IF($K151="","",$K151+$L151)</f>
        <v>1945</v>
      </c>
      <c r="P151" s="17" t="str">
        <f aca="false">IF($B$10=0,"",IFERROR(IF($B$4&gt;0,"휘발유 "&amp;TEXT(IF($M151="",1/0,$M151*$B$4),"#,##0")&amp;"원","")&amp;IF($B$5&gt;0,IF($B$4&gt;0," / ","")&amp;"고급유 "&amp;TEXT(IF($N151="",1/0,$N151*$B$5),"#,##0")&amp;"원","")&amp;IF($B$6&gt;0,IF(OR($B$4&gt;0,$B$5&gt;0)," / ","")&amp;"경유 "&amp;TEXT(IF($O151="",1/0,$O151*$B$6),"#,##0")&amp;"원",""),""))</f>
        <v>휘발유 27,216원 / 고급유 23,397원</v>
      </c>
      <c r="Q151" s="17" t="n">
        <f aca="false">IF($B$10=0,"",IFERROR(IF($B$4&gt;0,IF($M151="",1/0,$M151*$B$4),0)+IF($B$5&gt;0,IF($N151="",1/0,$N151*$B$5),0)+IF($B$6&gt;0,IF($O151="",1/0,$O151*$B$6),0),""))</f>
        <v>50612.8</v>
      </c>
      <c r="R151" s="17"/>
      <c r="S151" s="18" t="n">
        <f aca="false">IF($Q151="","",IF($R151="Y",IFERROR(VLOOKUP($B151,$C$4:$D$13,2,FALSE()),0),0))</f>
        <v>0</v>
      </c>
      <c r="T151" s="17" t="n">
        <f aca="false">IF($Q151="","",ROUNDDOWN($Q151*$S151,0))</f>
        <v>0</v>
      </c>
      <c r="U151" s="17" t="n">
        <f aca="false">IF($Q151="","",$Q151-$T151)</f>
        <v>50612.8</v>
      </c>
      <c r="V151" s="17" t="n">
        <f aca="false">IF($U151="","",IF($B$10=0,"",$U151/$B$10))</f>
        <v>2008.44444444444</v>
      </c>
      <c r="W151" s="17" t="n">
        <f aca="false">IF($Q151="","",IF($B$10=0,"",$Q151/$B$10))</f>
        <v>2008.44444444444</v>
      </c>
      <c r="X151" s="19" t="n">
        <f aca="false">IF($U151="",1000000000000000,$U151)</f>
        <v>50612.8</v>
      </c>
      <c r="XFC151" s="6"/>
    </row>
    <row r="152" s="5" customFormat="true" ht="28.5" hidden="false" customHeight="true" outlineLevel="0" collapsed="false">
      <c r="A152" s="16" t="n">
        <f aca="false">IF($U152="","",1+COUNTIF($X$15:$X$728,"&lt;"&amp;X152))</f>
        <v>138</v>
      </c>
      <c r="B152" s="16" t="s">
        <v>10</v>
      </c>
      <c r="C152" s="16" t="s">
        <v>466</v>
      </c>
      <c r="D152" s="20" t="s">
        <v>108</v>
      </c>
      <c r="E152" s="16" t="s">
        <v>47</v>
      </c>
      <c r="F152" s="16" t="s">
        <v>467</v>
      </c>
      <c r="G152" s="16" t="s">
        <v>468</v>
      </c>
      <c r="H152" s="17" t="n">
        <v>1939</v>
      </c>
      <c r="I152" s="17" t="n">
        <v>2099</v>
      </c>
      <c r="J152" s="17"/>
      <c r="K152" s="17" t="n">
        <v>1999</v>
      </c>
      <c r="L152" s="17" t="n">
        <f aca="false">IF(AND(IFERROR(SEARCH("현대오일뱅크",$C152),0)&gt;0,IFERROR(SEARCH("직영",$C152),0)&gt;0),$B$13,0)</f>
        <v>0</v>
      </c>
      <c r="M152" s="17" t="n">
        <f aca="false">IF($H152="","",$H152+$L152)</f>
        <v>1939</v>
      </c>
      <c r="N152" s="17" t="n">
        <f aca="false">IF($I152="","",$I152+$L152)</f>
        <v>2099</v>
      </c>
      <c r="O152" s="17" t="n">
        <f aca="false">IF($K152="","",$K152+$L152)</f>
        <v>1999</v>
      </c>
      <c r="P152" s="17" t="str">
        <f aca="false">IF($B$10=0,"",IFERROR(IF($B$4&gt;0,"휘발유 "&amp;TEXT(IF($M152="",1/0,$M152*$B$4),"#,##0")&amp;"원","")&amp;IF($B$5&gt;0,IF($B$4&gt;0," / ","")&amp;"고급유 "&amp;TEXT(IF($N152="",1/0,$N152*$B$5),"#,##0")&amp;"원","")&amp;IF($B$6&gt;0,IF(OR($B$4&gt;0,$B$5&gt;0)," / ","")&amp;"경유 "&amp;TEXT(IF($O152="",1/0,$O152*$B$6),"#,##0")&amp;"원",""),""))</f>
        <v>휘발유 27,146원 / 고급유 23,509원</v>
      </c>
      <c r="Q152" s="17" t="n">
        <f aca="false">IF($B$10=0,"",IFERROR(IF($B$4&gt;0,IF($M152="",1/0,$M152*$B$4),0)+IF($B$5&gt;0,IF($N152="",1/0,$N152*$B$5),0)+IF($B$6&gt;0,IF($O152="",1/0,$O152*$B$6),0),""))</f>
        <v>50654.8</v>
      </c>
      <c r="R152" s="17"/>
      <c r="S152" s="18" t="n">
        <f aca="false">IF($Q152="","",IF($R152="Y",IFERROR(VLOOKUP($B152,$C$4:$D$13,2,FALSE()),0),0))</f>
        <v>0</v>
      </c>
      <c r="T152" s="17" t="n">
        <f aca="false">IF($Q152="","",ROUNDDOWN($Q152*$S152,0))</f>
        <v>0</v>
      </c>
      <c r="U152" s="17" t="n">
        <f aca="false">IF($Q152="","",$Q152-$T152)</f>
        <v>50654.8</v>
      </c>
      <c r="V152" s="17" t="n">
        <f aca="false">IF($U152="","",IF($B$10=0,"",$U152/$B$10))</f>
        <v>2010.11111111111</v>
      </c>
      <c r="W152" s="17" t="n">
        <f aca="false">IF($Q152="","",IF($B$10=0,"",$Q152/$B$10))</f>
        <v>2010.11111111111</v>
      </c>
      <c r="X152" s="19" t="n">
        <f aca="false">IF($U152="",1000000000000000,$U152)</f>
        <v>50654.8</v>
      </c>
      <c r="XFC152" s="6"/>
    </row>
    <row r="153" s="5" customFormat="true" ht="28.5" hidden="false" customHeight="true" outlineLevel="0" collapsed="false">
      <c r="A153" s="16" t="n">
        <f aca="false">IF($U153="","",1+COUNTIF($X$15:$X$728,"&lt;"&amp;X153))</f>
        <v>139</v>
      </c>
      <c r="B153" s="16" t="s">
        <v>10</v>
      </c>
      <c r="C153" s="16" t="s">
        <v>469</v>
      </c>
      <c r="D153" s="20" t="s">
        <v>108</v>
      </c>
      <c r="E153" s="16" t="s">
        <v>47</v>
      </c>
      <c r="F153" s="16" t="s">
        <v>470</v>
      </c>
      <c r="G153" s="16" t="s">
        <v>471</v>
      </c>
      <c r="H153" s="17" t="n">
        <v>1945</v>
      </c>
      <c r="I153" s="17" t="n">
        <v>2095</v>
      </c>
      <c r="J153" s="17"/>
      <c r="K153" s="17" t="n">
        <v>1985</v>
      </c>
      <c r="L153" s="17" t="n">
        <f aca="false">IF(AND(IFERROR(SEARCH("현대오일뱅크",$C153),0)&gt;0,IFERROR(SEARCH("직영",$C153),0)&gt;0),$B$13,0)</f>
        <v>0</v>
      </c>
      <c r="M153" s="17" t="n">
        <f aca="false">IF($H153="","",$H153+$L153)</f>
        <v>1945</v>
      </c>
      <c r="N153" s="17" t="n">
        <f aca="false">IF($I153="","",$I153+$L153)</f>
        <v>2095</v>
      </c>
      <c r="O153" s="17" t="n">
        <f aca="false">IF($K153="","",$K153+$L153)</f>
        <v>1985</v>
      </c>
      <c r="P153" s="17" t="str">
        <f aca="false">IF($B$10=0,"",IFERROR(IF($B$4&gt;0,"휘발유 "&amp;TEXT(IF($M153="",1/0,$M153*$B$4),"#,##0")&amp;"원","")&amp;IF($B$5&gt;0,IF($B$4&gt;0," / ","")&amp;"고급유 "&amp;TEXT(IF($N153="",1/0,$N153*$B$5),"#,##0")&amp;"원","")&amp;IF($B$6&gt;0,IF(OR($B$4&gt;0,$B$5&gt;0)," / ","")&amp;"경유 "&amp;TEXT(IF($O153="",1/0,$O153*$B$6),"#,##0")&amp;"원",""),""))</f>
        <v>휘발유 27,230원 / 고급유 23,464원</v>
      </c>
      <c r="Q153" s="17" t="n">
        <f aca="false">IF($B$10=0,"",IFERROR(IF($B$4&gt;0,IF($M153="",1/0,$M153*$B$4),0)+IF($B$5&gt;0,IF($N153="",1/0,$N153*$B$5),0)+IF($B$6&gt;0,IF($O153="",1/0,$O153*$B$6),0),""))</f>
        <v>50694</v>
      </c>
      <c r="R153" s="17"/>
      <c r="S153" s="18" t="n">
        <f aca="false">IF($Q153="","",IF($R153="Y",IFERROR(VLOOKUP($B153,$C$4:$D$13,2,FALSE()),0),0))</f>
        <v>0</v>
      </c>
      <c r="T153" s="17" t="n">
        <f aca="false">IF($Q153="","",ROUNDDOWN($Q153*$S153,0))</f>
        <v>0</v>
      </c>
      <c r="U153" s="17" t="n">
        <f aca="false">IF($Q153="","",$Q153-$T153)</f>
        <v>50694</v>
      </c>
      <c r="V153" s="17" t="n">
        <f aca="false">IF($U153="","",IF($B$10=0,"",$U153/$B$10))</f>
        <v>2011.66666666667</v>
      </c>
      <c r="W153" s="17" t="n">
        <f aca="false">IF($Q153="","",IF($B$10=0,"",$Q153/$B$10))</f>
        <v>2011.66666666667</v>
      </c>
      <c r="X153" s="19" t="n">
        <f aca="false">IF($U153="",1000000000000000,$U153)</f>
        <v>50694</v>
      </c>
      <c r="XFC153" s="6"/>
    </row>
    <row r="154" s="5" customFormat="true" ht="28.5" hidden="false" customHeight="true" outlineLevel="0" collapsed="false">
      <c r="A154" s="16" t="n">
        <f aca="false">IF($U154="","",1+COUNTIF($X$15:$X$728,"&lt;"&amp;X154))</f>
        <v>140</v>
      </c>
      <c r="B154" s="16" t="s">
        <v>10</v>
      </c>
      <c r="C154" s="16" t="s">
        <v>472</v>
      </c>
      <c r="D154" s="16" t="s">
        <v>58</v>
      </c>
      <c r="E154" s="16" t="s">
        <v>47</v>
      </c>
      <c r="F154" s="16" t="s">
        <v>473</v>
      </c>
      <c r="G154" s="16" t="s">
        <v>474</v>
      </c>
      <c r="H154" s="17" t="n">
        <v>1969</v>
      </c>
      <c r="I154" s="17" t="n">
        <v>2068</v>
      </c>
      <c r="J154" s="17"/>
      <c r="K154" s="17" t="n">
        <v>1998</v>
      </c>
      <c r="L154" s="17" t="n">
        <f aca="false">IF(AND(IFERROR(SEARCH("현대오일뱅크",$C154),0)&gt;0,IFERROR(SEARCH("직영",$C154),0)&gt;0),$B$13,0)</f>
        <v>0</v>
      </c>
      <c r="M154" s="17" t="n">
        <f aca="false">IF($H154="","",$H154+$L154)</f>
        <v>1969</v>
      </c>
      <c r="N154" s="17" t="n">
        <f aca="false">IF($I154="","",$I154+$L154)</f>
        <v>2068</v>
      </c>
      <c r="O154" s="17" t="n">
        <f aca="false">IF($K154="","",$K154+$L154)</f>
        <v>1998</v>
      </c>
      <c r="P154" s="17" t="str">
        <f aca="false">IF($B$10=0,"",IFERROR(IF($B$4&gt;0,"휘발유 "&amp;TEXT(IF($M154="",1/0,$M154*$B$4),"#,##0")&amp;"원","")&amp;IF($B$5&gt;0,IF($B$4&gt;0," / ","")&amp;"고급유 "&amp;TEXT(IF($N154="",1/0,$N154*$B$5),"#,##0")&amp;"원","")&amp;IF($B$6&gt;0,IF(OR($B$4&gt;0,$B$5&gt;0)," / ","")&amp;"경유 "&amp;TEXT(IF($O154="",1/0,$O154*$B$6),"#,##0")&amp;"원",""),""))</f>
        <v>휘발유 27,566원 / 고급유 23,162원</v>
      </c>
      <c r="Q154" s="17" t="n">
        <f aca="false">IF($B$10=0,"",IFERROR(IF($B$4&gt;0,IF($M154="",1/0,$M154*$B$4),0)+IF($B$5&gt;0,IF($N154="",1/0,$N154*$B$5),0)+IF($B$6&gt;0,IF($O154="",1/0,$O154*$B$6),0),""))</f>
        <v>50727.6</v>
      </c>
      <c r="R154" s="17"/>
      <c r="S154" s="18" t="n">
        <f aca="false">IF($Q154="","",IF($R154="Y",IFERROR(VLOOKUP($B154,$C$4:$D$13,2,FALSE()),0),0))</f>
        <v>0</v>
      </c>
      <c r="T154" s="17" t="n">
        <f aca="false">IF($Q154="","",ROUNDDOWN($Q154*$S154,0))</f>
        <v>0</v>
      </c>
      <c r="U154" s="17" t="n">
        <f aca="false">IF($Q154="","",$Q154-$T154)</f>
        <v>50727.6</v>
      </c>
      <c r="V154" s="17" t="n">
        <f aca="false">IF($U154="","",IF($B$10=0,"",$U154/$B$10))</f>
        <v>2013</v>
      </c>
      <c r="W154" s="17" t="n">
        <f aca="false">IF($Q154="","",IF($B$10=0,"",$Q154/$B$10))</f>
        <v>2013</v>
      </c>
      <c r="X154" s="19" t="n">
        <f aca="false">IF($U154="",1000000000000000,$U154)</f>
        <v>50727.6</v>
      </c>
      <c r="XFC154" s="6"/>
    </row>
    <row r="155" s="5" customFormat="true" ht="28.5" hidden="false" customHeight="true" outlineLevel="0" collapsed="false">
      <c r="A155" s="16" t="n">
        <f aca="false">IF($U155="","",1+COUNTIF($X$15:$X$728,"&lt;"&amp;X155))</f>
        <v>141</v>
      </c>
      <c r="B155" s="16" t="s">
        <v>10</v>
      </c>
      <c r="C155" s="16" t="s">
        <v>475</v>
      </c>
      <c r="D155" s="20" t="s">
        <v>108</v>
      </c>
      <c r="E155" s="16" t="s">
        <v>47</v>
      </c>
      <c r="F155" s="16" t="s">
        <v>476</v>
      </c>
      <c r="G155" s="16" t="s">
        <v>477</v>
      </c>
      <c r="H155" s="17" t="n">
        <v>1948</v>
      </c>
      <c r="I155" s="17" t="n">
        <v>2095</v>
      </c>
      <c r="J155" s="17"/>
      <c r="K155" s="17" t="n">
        <v>1956</v>
      </c>
      <c r="L155" s="17" t="n">
        <f aca="false">IF(AND(IFERROR(SEARCH("현대오일뱅크",$C155),0)&gt;0,IFERROR(SEARCH("직영",$C155),0)&gt;0),$B$13,0)</f>
        <v>0</v>
      </c>
      <c r="M155" s="17" t="n">
        <f aca="false">IF($H155="","",$H155+$L155)</f>
        <v>1948</v>
      </c>
      <c r="N155" s="17" t="n">
        <f aca="false">IF($I155="","",$I155+$L155)</f>
        <v>2095</v>
      </c>
      <c r="O155" s="17" t="n">
        <f aca="false">IF($K155="","",$K155+$L155)</f>
        <v>1956</v>
      </c>
      <c r="P155" s="17" t="str">
        <f aca="false">IF($B$10=0,"",IFERROR(IF($B$4&gt;0,"휘발유 "&amp;TEXT(IF($M155="",1/0,$M155*$B$4),"#,##0")&amp;"원","")&amp;IF($B$5&gt;0,IF($B$4&gt;0," / ","")&amp;"고급유 "&amp;TEXT(IF($N155="",1/0,$N155*$B$5),"#,##0")&amp;"원","")&amp;IF($B$6&gt;0,IF(OR($B$4&gt;0,$B$5&gt;0)," / ","")&amp;"경유 "&amp;TEXT(IF($O155="",1/0,$O155*$B$6),"#,##0")&amp;"원",""),""))</f>
        <v>휘발유 27,272원 / 고급유 23,464원</v>
      </c>
      <c r="Q155" s="17" t="n">
        <f aca="false">IF($B$10=0,"",IFERROR(IF($B$4&gt;0,IF($M155="",1/0,$M155*$B$4),0)+IF($B$5&gt;0,IF($N155="",1/0,$N155*$B$5),0)+IF($B$6&gt;0,IF($O155="",1/0,$O155*$B$6),0),""))</f>
        <v>50736</v>
      </c>
      <c r="R155" s="17"/>
      <c r="S155" s="18" t="n">
        <f aca="false">IF($Q155="","",IF($R155="Y",IFERROR(VLOOKUP($B155,$C$4:$D$13,2,FALSE()),0),0))</f>
        <v>0</v>
      </c>
      <c r="T155" s="17" t="n">
        <f aca="false">IF($Q155="","",ROUNDDOWN($Q155*$S155,0))</f>
        <v>0</v>
      </c>
      <c r="U155" s="17" t="n">
        <f aca="false">IF($Q155="","",$Q155-$T155)</f>
        <v>50736</v>
      </c>
      <c r="V155" s="17" t="n">
        <f aca="false">IF($U155="","",IF($B$10=0,"",$U155/$B$10))</f>
        <v>2013.33333333333</v>
      </c>
      <c r="W155" s="17" t="n">
        <f aca="false">IF($Q155="","",IF($B$10=0,"",$Q155/$B$10))</f>
        <v>2013.33333333333</v>
      </c>
      <c r="X155" s="19" t="n">
        <f aca="false">IF($U155="",1000000000000000,$U155)</f>
        <v>50736</v>
      </c>
      <c r="XFC155" s="6"/>
    </row>
    <row r="156" s="5" customFormat="true" ht="28.5" hidden="false" customHeight="true" outlineLevel="0" collapsed="false">
      <c r="A156" s="16" t="n">
        <f aca="false">IF($U156="","",1+COUNTIF($X$15:$X$728,"&lt;"&amp;X156))</f>
        <v>142</v>
      </c>
      <c r="B156" s="16" t="s">
        <v>12</v>
      </c>
      <c r="C156" s="16" t="s">
        <v>478</v>
      </c>
      <c r="D156" s="20" t="s">
        <v>248</v>
      </c>
      <c r="E156" s="16" t="s">
        <v>47</v>
      </c>
      <c r="F156" s="16" t="s">
        <v>479</v>
      </c>
      <c r="G156" s="16" t="s">
        <v>480</v>
      </c>
      <c r="H156" s="17" t="n">
        <v>1905</v>
      </c>
      <c r="I156" s="17" t="n">
        <v>2155</v>
      </c>
      <c r="J156" s="17"/>
      <c r="K156" s="17" t="n">
        <v>1775</v>
      </c>
      <c r="L156" s="17" t="n">
        <f aca="false">IF(AND(IFERROR(SEARCH("현대오일뱅크",$C156),0)&gt;0,IFERROR(SEARCH("직영",$C156),0)&gt;0),$B$13,0)</f>
        <v>0</v>
      </c>
      <c r="M156" s="17" t="n">
        <f aca="false">IF($H156="","",$H156+$L156)</f>
        <v>1905</v>
      </c>
      <c r="N156" s="17" t="n">
        <f aca="false">IF($I156="","",$I156+$L156)</f>
        <v>2155</v>
      </c>
      <c r="O156" s="17" t="n">
        <f aca="false">IF($K156="","",$K156+$L156)</f>
        <v>1775</v>
      </c>
      <c r="P156" s="17" t="str">
        <f aca="false">IF($B$10=0,"",IFERROR(IF($B$4&gt;0,"휘발유 "&amp;TEXT(IF($M156="",1/0,$M156*$B$4),"#,##0")&amp;"원","")&amp;IF($B$5&gt;0,IF($B$4&gt;0," / ","")&amp;"고급유 "&amp;TEXT(IF($N156="",1/0,$N156*$B$5),"#,##0")&amp;"원","")&amp;IF($B$6&gt;0,IF(OR($B$4&gt;0,$B$5&gt;0)," / ","")&amp;"경유 "&amp;TEXT(IF($O156="",1/0,$O156*$B$6),"#,##0")&amp;"원",""),""))</f>
        <v>휘발유 26,670원 / 고급유 24,136원</v>
      </c>
      <c r="Q156" s="17" t="n">
        <f aca="false">IF($B$10=0,"",IFERROR(IF($B$4&gt;0,IF($M156="",1/0,$M156*$B$4),0)+IF($B$5&gt;0,IF($N156="",1/0,$N156*$B$5),0)+IF($B$6&gt;0,IF($O156="",1/0,$O156*$B$6),0),""))</f>
        <v>50806</v>
      </c>
      <c r="R156" s="17"/>
      <c r="S156" s="18" t="n">
        <f aca="false">IF($Q156="","",IF($R156="Y",IFERROR(VLOOKUP($B156,$C$4:$D$13,2,FALSE()),0),0))</f>
        <v>0</v>
      </c>
      <c r="T156" s="17" t="n">
        <f aca="false">IF($Q156="","",ROUNDDOWN($Q156*$S156,0))</f>
        <v>0</v>
      </c>
      <c r="U156" s="17" t="n">
        <f aca="false">IF($Q156="","",$Q156-$T156)</f>
        <v>50806</v>
      </c>
      <c r="V156" s="17" t="n">
        <f aca="false">IF($U156="","",IF($B$10=0,"",$U156/$B$10))</f>
        <v>2016.11111111111</v>
      </c>
      <c r="W156" s="17" t="n">
        <f aca="false">IF($Q156="","",IF($B$10=0,"",$Q156/$B$10))</f>
        <v>2016.11111111111</v>
      </c>
      <c r="X156" s="19" t="n">
        <f aca="false">IF($U156="",1000000000000000,$U156)</f>
        <v>50806</v>
      </c>
      <c r="XFC156" s="6"/>
    </row>
    <row r="157" s="5" customFormat="true" ht="28.5" hidden="false" customHeight="true" outlineLevel="0" collapsed="false">
      <c r="A157" s="16" t="n">
        <f aca="false">IF($U157="","",1+COUNTIF($X$15:$X$728,"&lt;"&amp;X157))</f>
        <v>143</v>
      </c>
      <c r="B157" s="16" t="s">
        <v>14</v>
      </c>
      <c r="C157" s="16" t="s">
        <v>481</v>
      </c>
      <c r="D157" s="20" t="s">
        <v>108</v>
      </c>
      <c r="E157" s="16" t="s">
        <v>47</v>
      </c>
      <c r="F157" s="16" t="s">
        <v>482</v>
      </c>
      <c r="G157" s="16" t="s">
        <v>483</v>
      </c>
      <c r="H157" s="17" t="n">
        <v>1914</v>
      </c>
      <c r="I157" s="17" t="n">
        <v>2147</v>
      </c>
      <c r="J157" s="17"/>
      <c r="K157" s="17" t="n">
        <v>1893</v>
      </c>
      <c r="L157" s="17" t="n">
        <f aca="false">IF(AND(IFERROR(SEARCH("현대오일뱅크",$C157),0)&gt;0,IFERROR(SEARCH("직영",$C157),0)&gt;0),$B$13,0)</f>
        <v>0</v>
      </c>
      <c r="M157" s="17" t="n">
        <f aca="false">IF($H157="","",$H157+$L157)</f>
        <v>1914</v>
      </c>
      <c r="N157" s="17" t="n">
        <f aca="false">IF($I157="","",$I157+$L157)</f>
        <v>2147</v>
      </c>
      <c r="O157" s="17" t="n">
        <f aca="false">IF($K157="","",$K157+$L157)</f>
        <v>1893</v>
      </c>
      <c r="P157" s="17" t="str">
        <f aca="false">IF($B$10=0,"",IFERROR(IF($B$4&gt;0,"휘발유 "&amp;TEXT(IF($M157="",1/0,$M157*$B$4),"#,##0")&amp;"원","")&amp;IF($B$5&gt;0,IF($B$4&gt;0," / ","")&amp;"고급유 "&amp;TEXT(IF($N157="",1/0,$N157*$B$5),"#,##0")&amp;"원","")&amp;IF($B$6&gt;0,IF(OR($B$4&gt;0,$B$5&gt;0)," / ","")&amp;"경유 "&amp;TEXT(IF($O157="",1/0,$O157*$B$6),"#,##0")&amp;"원",""),""))</f>
        <v>휘발유 26,796원 / 고급유 24,046원</v>
      </c>
      <c r="Q157" s="17" t="n">
        <f aca="false">IF($B$10=0,"",IFERROR(IF($B$4&gt;0,IF($M157="",1/0,$M157*$B$4),0)+IF($B$5&gt;0,IF($N157="",1/0,$N157*$B$5),0)+IF($B$6&gt;0,IF($O157="",1/0,$O157*$B$6),0),""))</f>
        <v>50842.4</v>
      </c>
      <c r="R157" s="17"/>
      <c r="S157" s="18" t="n">
        <f aca="false">IF($Q157="","",IF($R157="Y",IFERROR(VLOOKUP($B157,$C$4:$D$13,2,FALSE()),0),0))</f>
        <v>0</v>
      </c>
      <c r="T157" s="17" t="n">
        <f aca="false">IF($Q157="","",ROUNDDOWN($Q157*$S157,0))</f>
        <v>0</v>
      </c>
      <c r="U157" s="17" t="n">
        <f aca="false">IF($Q157="","",$Q157-$T157)</f>
        <v>50842.4</v>
      </c>
      <c r="V157" s="17" t="n">
        <f aca="false">IF($U157="","",IF($B$10=0,"",$U157/$B$10))</f>
        <v>2017.55555555556</v>
      </c>
      <c r="W157" s="17" t="n">
        <f aca="false">IF($Q157="","",IF($B$10=0,"",$Q157/$B$10))</f>
        <v>2017.55555555556</v>
      </c>
      <c r="X157" s="19" t="n">
        <f aca="false">IF($U157="",1000000000000000,$U157)</f>
        <v>50842.4</v>
      </c>
      <c r="XFC157" s="6"/>
    </row>
    <row r="158" s="5" customFormat="true" ht="28.5" hidden="false" customHeight="true" outlineLevel="0" collapsed="false">
      <c r="A158" s="16" t="n">
        <f aca="false">IF($U158="","",1+COUNTIF($X$15:$X$728,"&lt;"&amp;X158))</f>
        <v>144</v>
      </c>
      <c r="B158" s="16" t="s">
        <v>6</v>
      </c>
      <c r="C158" s="16" t="s">
        <v>484</v>
      </c>
      <c r="D158" s="20" t="s">
        <v>108</v>
      </c>
      <c r="E158" s="16" t="s">
        <v>47</v>
      </c>
      <c r="F158" s="16" t="s">
        <v>485</v>
      </c>
      <c r="G158" s="16" t="s">
        <v>486</v>
      </c>
      <c r="H158" s="17" t="n">
        <v>1929</v>
      </c>
      <c r="I158" s="17" t="n">
        <v>2129</v>
      </c>
      <c r="J158" s="17"/>
      <c r="K158" s="17" t="n">
        <v>1979</v>
      </c>
      <c r="L158" s="17" t="n">
        <f aca="false">IF(AND(IFERROR(SEARCH("현대오일뱅크",$C158),0)&gt;0,IFERROR(SEARCH("직영",$C158),0)&gt;0),$B$13,0)</f>
        <v>0</v>
      </c>
      <c r="M158" s="17" t="n">
        <f aca="false">IF($H158="","",$H158+$L158)</f>
        <v>1929</v>
      </c>
      <c r="N158" s="17" t="n">
        <f aca="false">IF($I158="","",$I158+$L158)</f>
        <v>2129</v>
      </c>
      <c r="O158" s="17" t="n">
        <f aca="false">IF($K158="","",$K158+$L158)</f>
        <v>1979</v>
      </c>
      <c r="P158" s="17" t="str">
        <f aca="false">IF($B$10=0,"",IFERROR(IF($B$4&gt;0,"휘발유 "&amp;TEXT(IF($M158="",1/0,$M158*$B$4),"#,##0")&amp;"원","")&amp;IF($B$5&gt;0,IF($B$4&gt;0," / ","")&amp;"고급유 "&amp;TEXT(IF($N158="",1/0,$N158*$B$5),"#,##0")&amp;"원","")&amp;IF($B$6&gt;0,IF(OR($B$4&gt;0,$B$5&gt;0)," / ","")&amp;"경유 "&amp;TEXT(IF($O158="",1/0,$O158*$B$6),"#,##0")&amp;"원",""),""))</f>
        <v>휘발유 27,006원 / 고급유 23,845원</v>
      </c>
      <c r="Q158" s="17" t="n">
        <f aca="false">IF($B$10=0,"",IFERROR(IF($B$4&gt;0,IF($M158="",1/0,$M158*$B$4),0)+IF($B$5&gt;0,IF($N158="",1/0,$N158*$B$5),0)+IF($B$6&gt;0,IF($O158="",1/0,$O158*$B$6),0),""))</f>
        <v>50850.8</v>
      </c>
      <c r="R158" s="17"/>
      <c r="S158" s="18" t="n">
        <f aca="false">IF($Q158="","",IF($R158="Y",IFERROR(VLOOKUP($B158,$C$4:$D$13,2,FALSE()),0),0))</f>
        <v>0</v>
      </c>
      <c r="T158" s="17" t="n">
        <f aca="false">IF($Q158="","",ROUNDDOWN($Q158*$S158,0))</f>
        <v>0</v>
      </c>
      <c r="U158" s="17" t="n">
        <f aca="false">IF($Q158="","",$Q158-$T158)</f>
        <v>50850.8</v>
      </c>
      <c r="V158" s="17" t="n">
        <f aca="false">IF($U158="","",IF($B$10=0,"",$U158/$B$10))</f>
        <v>2017.88888888889</v>
      </c>
      <c r="W158" s="17" t="n">
        <f aca="false">IF($Q158="","",IF($B$10=0,"",$Q158/$B$10))</f>
        <v>2017.88888888889</v>
      </c>
      <c r="X158" s="19" t="n">
        <f aca="false">IF($U158="",1000000000000000,$U158)</f>
        <v>50850.8</v>
      </c>
      <c r="XFC158" s="6"/>
    </row>
    <row r="159" s="5" customFormat="true" ht="28.5" hidden="false" customHeight="true" outlineLevel="0" collapsed="false">
      <c r="A159" s="16" t="n">
        <f aca="false">IF($U159="","",1+COUNTIF($X$15:$X$728,"&lt;"&amp;X159))</f>
        <v>145</v>
      </c>
      <c r="B159" s="16" t="s">
        <v>10</v>
      </c>
      <c r="C159" s="16" t="s">
        <v>487</v>
      </c>
      <c r="D159" s="16" t="s">
        <v>58</v>
      </c>
      <c r="E159" s="16" t="s">
        <v>47</v>
      </c>
      <c r="F159" s="16" t="s">
        <v>488</v>
      </c>
      <c r="G159" s="16" t="s">
        <v>489</v>
      </c>
      <c r="H159" s="17" t="n">
        <v>1939</v>
      </c>
      <c r="I159" s="17" t="n">
        <v>2123</v>
      </c>
      <c r="J159" s="17"/>
      <c r="K159" s="17" t="n">
        <v>1979</v>
      </c>
      <c r="L159" s="17" t="n">
        <f aca="false">IF(AND(IFERROR(SEARCH("현대오일뱅크",$C159),0)&gt;0,IFERROR(SEARCH("직영",$C159),0)&gt;0),$B$13,0)</f>
        <v>0</v>
      </c>
      <c r="M159" s="17" t="n">
        <f aca="false">IF($H159="","",$H159+$L159)</f>
        <v>1939</v>
      </c>
      <c r="N159" s="17" t="n">
        <f aca="false">IF($I159="","",$I159+$L159)</f>
        <v>2123</v>
      </c>
      <c r="O159" s="17" t="n">
        <f aca="false">IF($K159="","",$K159+$L159)</f>
        <v>1979</v>
      </c>
      <c r="P159" s="17" t="str">
        <f aca="false">IF($B$10=0,"",IFERROR(IF($B$4&gt;0,"휘발유 "&amp;TEXT(IF($M159="",1/0,$M159*$B$4),"#,##0")&amp;"원","")&amp;IF($B$5&gt;0,IF($B$4&gt;0," / ","")&amp;"고급유 "&amp;TEXT(IF($N159="",1/0,$N159*$B$5),"#,##0")&amp;"원","")&amp;IF($B$6&gt;0,IF(OR($B$4&gt;0,$B$5&gt;0)," / ","")&amp;"경유 "&amp;TEXT(IF($O159="",1/0,$O159*$B$6),"#,##0")&amp;"원",""),""))</f>
        <v>휘발유 27,146원 / 고급유 23,778원</v>
      </c>
      <c r="Q159" s="17" t="n">
        <f aca="false">IF($B$10=0,"",IFERROR(IF($B$4&gt;0,IF($M159="",1/0,$M159*$B$4),0)+IF($B$5&gt;0,IF($N159="",1/0,$N159*$B$5),0)+IF($B$6&gt;0,IF($O159="",1/0,$O159*$B$6),0),""))</f>
        <v>50923.6</v>
      </c>
      <c r="R159" s="17"/>
      <c r="S159" s="18" t="n">
        <f aca="false">IF($Q159="","",IF($R159="Y",IFERROR(VLOOKUP($B159,$C$4:$D$13,2,FALSE()),0),0))</f>
        <v>0</v>
      </c>
      <c r="T159" s="17" t="n">
        <f aca="false">IF($Q159="","",ROUNDDOWN($Q159*$S159,0))</f>
        <v>0</v>
      </c>
      <c r="U159" s="17" t="n">
        <f aca="false">IF($Q159="","",$Q159-$T159)</f>
        <v>50923.6</v>
      </c>
      <c r="V159" s="17" t="n">
        <f aca="false">IF($U159="","",IF($B$10=0,"",$U159/$B$10))</f>
        <v>2020.77777777778</v>
      </c>
      <c r="W159" s="17" t="n">
        <f aca="false">IF($Q159="","",IF($B$10=0,"",$Q159/$B$10))</f>
        <v>2020.77777777778</v>
      </c>
      <c r="X159" s="19" t="n">
        <f aca="false">IF($U159="",1000000000000000,$U159)</f>
        <v>50923.6</v>
      </c>
      <c r="XFC159" s="6"/>
    </row>
    <row r="160" s="5" customFormat="true" ht="28.5" hidden="false" customHeight="true" outlineLevel="0" collapsed="false">
      <c r="A160" s="16" t="n">
        <f aca="false">IF($U160="","",1+COUNTIF($X$15:$X$728,"&lt;"&amp;X160))</f>
        <v>146</v>
      </c>
      <c r="B160" s="16" t="s">
        <v>14</v>
      </c>
      <c r="C160" s="16" t="s">
        <v>490</v>
      </c>
      <c r="D160" s="16" t="s">
        <v>112</v>
      </c>
      <c r="E160" s="16" t="s">
        <v>47</v>
      </c>
      <c r="F160" s="16" t="s">
        <v>491</v>
      </c>
      <c r="G160" s="16" t="s">
        <v>492</v>
      </c>
      <c r="H160" s="17" t="n">
        <v>1929</v>
      </c>
      <c r="I160" s="17" t="n">
        <v>2149</v>
      </c>
      <c r="J160" s="17"/>
      <c r="K160" s="17" t="n">
        <v>1979</v>
      </c>
      <c r="L160" s="17" t="n">
        <f aca="false">IF(AND(IFERROR(SEARCH("현대오일뱅크",$C160),0)&gt;0,IFERROR(SEARCH("직영",$C160),0)&gt;0),$B$13,0)</f>
        <v>0</v>
      </c>
      <c r="M160" s="17" t="n">
        <f aca="false">IF($H160="","",$H160+$L160)</f>
        <v>1929</v>
      </c>
      <c r="N160" s="17" t="n">
        <f aca="false">IF($I160="","",$I160+$L160)</f>
        <v>2149</v>
      </c>
      <c r="O160" s="17" t="n">
        <f aca="false">IF($K160="","",$K160+$L160)</f>
        <v>1979</v>
      </c>
      <c r="P160" s="17" t="str">
        <f aca="false">IF($B$10=0,"",IFERROR(IF($B$4&gt;0,"휘발유 "&amp;TEXT(IF($M160="",1/0,$M160*$B$4),"#,##0")&amp;"원","")&amp;IF($B$5&gt;0,IF($B$4&gt;0," / ","")&amp;"고급유 "&amp;TEXT(IF($N160="",1/0,$N160*$B$5),"#,##0")&amp;"원","")&amp;IF($B$6&gt;0,IF(OR($B$4&gt;0,$B$5&gt;0)," / ","")&amp;"경유 "&amp;TEXT(IF($O160="",1/0,$O160*$B$6),"#,##0")&amp;"원",""),""))</f>
        <v>휘발유 27,006원 / 고급유 24,069원</v>
      </c>
      <c r="Q160" s="17" t="n">
        <f aca="false">IF($B$10=0,"",IFERROR(IF($B$4&gt;0,IF($M160="",1/0,$M160*$B$4),0)+IF($B$5&gt;0,IF($N160="",1/0,$N160*$B$5),0)+IF($B$6&gt;0,IF($O160="",1/0,$O160*$B$6),0),""))</f>
        <v>51074.8</v>
      </c>
      <c r="R160" s="17"/>
      <c r="S160" s="18" t="n">
        <f aca="false">IF($Q160="","",IF($R160="Y",IFERROR(VLOOKUP($B160,$C$4:$D$13,2,FALSE()),0),0))</f>
        <v>0</v>
      </c>
      <c r="T160" s="17" t="n">
        <f aca="false">IF($Q160="","",ROUNDDOWN($Q160*$S160,0))</f>
        <v>0</v>
      </c>
      <c r="U160" s="17" t="n">
        <f aca="false">IF($Q160="","",$Q160-$T160)</f>
        <v>51074.8</v>
      </c>
      <c r="V160" s="17" t="n">
        <f aca="false">IF($U160="","",IF($B$10=0,"",$U160/$B$10))</f>
        <v>2026.77777777778</v>
      </c>
      <c r="W160" s="17" t="n">
        <f aca="false">IF($Q160="","",IF($B$10=0,"",$Q160/$B$10))</f>
        <v>2026.77777777778</v>
      </c>
      <c r="X160" s="19" t="n">
        <f aca="false">IF($U160="",1000000000000000,$U160)</f>
        <v>51074.8</v>
      </c>
      <c r="XFC160" s="6"/>
    </row>
    <row r="161" s="5" customFormat="true" ht="28.5" hidden="false" customHeight="true" outlineLevel="0" collapsed="false">
      <c r="A161" s="16" t="n">
        <f aca="false">IF($U161="","",1+COUNTIF($X$15:$X$728,"&lt;"&amp;X161))</f>
        <v>147</v>
      </c>
      <c r="B161" s="16" t="s">
        <v>6</v>
      </c>
      <c r="C161" s="16" t="s">
        <v>493</v>
      </c>
      <c r="D161" s="20" t="s">
        <v>108</v>
      </c>
      <c r="E161" s="16" t="s">
        <v>47</v>
      </c>
      <c r="F161" s="16" t="s">
        <v>494</v>
      </c>
      <c r="G161" s="16" t="s">
        <v>495</v>
      </c>
      <c r="H161" s="17" t="n">
        <v>1945</v>
      </c>
      <c r="I161" s="17" t="n">
        <v>2145</v>
      </c>
      <c r="J161" s="17"/>
      <c r="K161" s="17" t="n">
        <v>1995</v>
      </c>
      <c r="L161" s="17" t="n">
        <f aca="false">IF(AND(IFERROR(SEARCH("현대오일뱅크",$C161),0)&gt;0,IFERROR(SEARCH("직영",$C161),0)&gt;0),$B$13,0)</f>
        <v>0</v>
      </c>
      <c r="M161" s="17" t="n">
        <f aca="false">IF($H161="","",$H161+$L161)</f>
        <v>1945</v>
      </c>
      <c r="N161" s="17" t="n">
        <f aca="false">IF($I161="","",$I161+$L161)</f>
        <v>2145</v>
      </c>
      <c r="O161" s="17" t="n">
        <f aca="false">IF($K161="","",$K161+$L161)</f>
        <v>1995</v>
      </c>
      <c r="P161" s="17" t="str">
        <f aca="false">IF($B$10=0,"",IFERROR(IF($B$4&gt;0,"휘발유 "&amp;TEXT(IF($M161="",1/0,$M161*$B$4),"#,##0")&amp;"원","")&amp;IF($B$5&gt;0,IF($B$4&gt;0," / ","")&amp;"고급유 "&amp;TEXT(IF($N161="",1/0,$N161*$B$5),"#,##0")&amp;"원","")&amp;IF($B$6&gt;0,IF(OR($B$4&gt;0,$B$5&gt;0)," / ","")&amp;"경유 "&amp;TEXT(IF($O161="",1/0,$O161*$B$6),"#,##0")&amp;"원",""),""))</f>
        <v>휘발유 27,230원 / 고급유 24,024원</v>
      </c>
      <c r="Q161" s="17" t="n">
        <f aca="false">IF($B$10=0,"",IFERROR(IF($B$4&gt;0,IF($M161="",1/0,$M161*$B$4),0)+IF($B$5&gt;0,IF($N161="",1/0,$N161*$B$5),0)+IF($B$6&gt;0,IF($O161="",1/0,$O161*$B$6),0),""))</f>
        <v>51254</v>
      </c>
      <c r="R161" s="17"/>
      <c r="S161" s="18" t="n">
        <f aca="false">IF($Q161="","",IF($R161="Y",IFERROR(VLOOKUP($B161,$C$4:$D$13,2,FALSE()),0),0))</f>
        <v>0</v>
      </c>
      <c r="T161" s="17" t="n">
        <f aca="false">IF($Q161="","",ROUNDDOWN($Q161*$S161,0))</f>
        <v>0</v>
      </c>
      <c r="U161" s="17" t="n">
        <f aca="false">IF($Q161="","",$Q161-$T161)</f>
        <v>51254</v>
      </c>
      <c r="V161" s="17" t="n">
        <f aca="false">IF($U161="","",IF($B$10=0,"",$U161/$B$10))</f>
        <v>2033.88888888889</v>
      </c>
      <c r="W161" s="17" t="n">
        <f aca="false">IF($Q161="","",IF($B$10=0,"",$Q161/$B$10))</f>
        <v>2033.88888888889</v>
      </c>
      <c r="X161" s="19" t="n">
        <f aca="false">IF($U161="",1000000000000000,$U161)</f>
        <v>51254</v>
      </c>
      <c r="XFC161" s="6"/>
    </row>
    <row r="162" s="5" customFormat="true" ht="28.5" hidden="false" customHeight="true" outlineLevel="0" collapsed="false">
      <c r="A162" s="16" t="n">
        <f aca="false">IF($U162="","",1+COUNTIF($X$15:$X$728,"&lt;"&amp;X162))</f>
        <v>147</v>
      </c>
      <c r="B162" s="16" t="s">
        <v>12</v>
      </c>
      <c r="C162" s="16" t="s">
        <v>496</v>
      </c>
      <c r="D162" s="20" t="s">
        <v>248</v>
      </c>
      <c r="E162" s="16" t="s">
        <v>47</v>
      </c>
      <c r="F162" s="16" t="s">
        <v>497</v>
      </c>
      <c r="G162" s="16" t="s">
        <v>498</v>
      </c>
      <c r="H162" s="17" t="n">
        <v>1945</v>
      </c>
      <c r="I162" s="17" t="n">
        <v>2145</v>
      </c>
      <c r="J162" s="17"/>
      <c r="K162" s="17" t="n">
        <v>2095</v>
      </c>
      <c r="L162" s="17" t="n">
        <f aca="false">IF(AND(IFERROR(SEARCH("현대오일뱅크",$C162),0)&gt;0,IFERROR(SEARCH("직영",$C162),0)&gt;0),$B$13,0)</f>
        <v>0</v>
      </c>
      <c r="M162" s="17" t="n">
        <f aca="false">IF($H162="","",$H162+$L162)</f>
        <v>1945</v>
      </c>
      <c r="N162" s="17" t="n">
        <f aca="false">IF($I162="","",$I162+$L162)</f>
        <v>2145</v>
      </c>
      <c r="O162" s="17" t="n">
        <f aca="false">IF($K162="","",$K162+$L162)</f>
        <v>2095</v>
      </c>
      <c r="P162" s="17" t="str">
        <f aca="false">IF($B$10=0,"",IFERROR(IF($B$4&gt;0,"휘발유 "&amp;TEXT(IF($M162="",1/0,$M162*$B$4),"#,##0")&amp;"원","")&amp;IF($B$5&gt;0,IF($B$4&gt;0," / ","")&amp;"고급유 "&amp;TEXT(IF($N162="",1/0,$N162*$B$5),"#,##0")&amp;"원","")&amp;IF($B$6&gt;0,IF(OR($B$4&gt;0,$B$5&gt;0)," / ","")&amp;"경유 "&amp;TEXT(IF($O162="",1/0,$O162*$B$6),"#,##0")&amp;"원",""),""))</f>
        <v>휘발유 27,230원 / 고급유 24,024원</v>
      </c>
      <c r="Q162" s="17" t="n">
        <f aca="false">IF($B$10=0,"",IFERROR(IF($B$4&gt;0,IF($M162="",1/0,$M162*$B$4),0)+IF($B$5&gt;0,IF($N162="",1/0,$N162*$B$5),0)+IF($B$6&gt;0,IF($O162="",1/0,$O162*$B$6),0),""))</f>
        <v>51254</v>
      </c>
      <c r="R162" s="17"/>
      <c r="S162" s="18" t="n">
        <f aca="false">IF($Q162="","",IF($R162="Y",IFERROR(VLOOKUP($B162,$C$4:$D$13,2,FALSE()),0),0))</f>
        <v>0</v>
      </c>
      <c r="T162" s="17" t="n">
        <f aca="false">IF($Q162="","",ROUNDDOWN($Q162*$S162,0))</f>
        <v>0</v>
      </c>
      <c r="U162" s="17" t="n">
        <f aca="false">IF($Q162="","",$Q162-$T162)</f>
        <v>51254</v>
      </c>
      <c r="V162" s="17" t="n">
        <f aca="false">IF($U162="","",IF($B$10=0,"",$U162/$B$10))</f>
        <v>2033.88888888889</v>
      </c>
      <c r="W162" s="17" t="n">
        <f aca="false">IF($Q162="","",IF($B$10=0,"",$Q162/$B$10))</f>
        <v>2033.88888888889</v>
      </c>
      <c r="X162" s="19" t="n">
        <f aca="false">IF($U162="",1000000000000000,$U162)</f>
        <v>51254</v>
      </c>
      <c r="XFC162" s="6"/>
    </row>
    <row r="163" s="5" customFormat="true" ht="28.5" hidden="false" customHeight="true" outlineLevel="0" collapsed="false">
      <c r="A163" s="16" t="n">
        <f aca="false">IF($U163="","",1+COUNTIF($X$15:$X$728,"&lt;"&amp;X163))</f>
        <v>149</v>
      </c>
      <c r="B163" s="16" t="s">
        <v>12</v>
      </c>
      <c r="C163" s="16" t="s">
        <v>499</v>
      </c>
      <c r="D163" s="20" t="s">
        <v>248</v>
      </c>
      <c r="E163" s="16" t="s">
        <v>47</v>
      </c>
      <c r="F163" s="16" t="s">
        <v>500</v>
      </c>
      <c r="G163" s="16" t="s">
        <v>501</v>
      </c>
      <c r="H163" s="17" t="n">
        <v>1919</v>
      </c>
      <c r="I163" s="17" t="n">
        <v>2185</v>
      </c>
      <c r="J163" s="17"/>
      <c r="K163" s="17" t="n">
        <v>1845</v>
      </c>
      <c r="L163" s="17" t="n">
        <f aca="false">IF(AND(IFERROR(SEARCH("현대오일뱅크",$C163),0)&gt;0,IFERROR(SEARCH("직영",$C163),0)&gt;0),$B$13,0)</f>
        <v>0</v>
      </c>
      <c r="M163" s="17" t="n">
        <f aca="false">IF($H163="","",$H163+$L163)</f>
        <v>1919</v>
      </c>
      <c r="N163" s="17" t="n">
        <f aca="false">IF($I163="","",$I163+$L163)</f>
        <v>2185</v>
      </c>
      <c r="O163" s="17" t="n">
        <f aca="false">IF($K163="","",$K163+$L163)</f>
        <v>1845</v>
      </c>
      <c r="P163" s="17" t="str">
        <f aca="false">IF($B$10=0,"",IFERROR(IF($B$4&gt;0,"휘발유 "&amp;TEXT(IF($M163="",1/0,$M163*$B$4),"#,##0")&amp;"원","")&amp;IF($B$5&gt;0,IF($B$4&gt;0," / ","")&amp;"고급유 "&amp;TEXT(IF($N163="",1/0,$N163*$B$5),"#,##0")&amp;"원","")&amp;IF($B$6&gt;0,IF(OR($B$4&gt;0,$B$5&gt;0)," / ","")&amp;"경유 "&amp;TEXT(IF($O163="",1/0,$O163*$B$6),"#,##0")&amp;"원",""),""))</f>
        <v>휘발유 26,866원 / 고급유 24,472원</v>
      </c>
      <c r="Q163" s="17" t="n">
        <f aca="false">IF($B$10=0,"",IFERROR(IF($B$4&gt;0,IF($M163="",1/0,$M163*$B$4),0)+IF($B$5&gt;0,IF($N163="",1/0,$N163*$B$5),0)+IF($B$6&gt;0,IF($O163="",1/0,$O163*$B$6),0),""))</f>
        <v>51338</v>
      </c>
      <c r="R163" s="17"/>
      <c r="S163" s="18" t="n">
        <f aca="false">IF($Q163="","",IF($R163="Y",IFERROR(VLOOKUP($B163,$C$4:$D$13,2,FALSE()),0),0))</f>
        <v>0</v>
      </c>
      <c r="T163" s="17" t="n">
        <f aca="false">IF($Q163="","",ROUNDDOWN($Q163*$S163,0))</f>
        <v>0</v>
      </c>
      <c r="U163" s="17" t="n">
        <f aca="false">IF($Q163="","",$Q163-$T163)</f>
        <v>51338</v>
      </c>
      <c r="V163" s="17" t="n">
        <f aca="false">IF($U163="","",IF($B$10=0,"",$U163/$B$10))</f>
        <v>2037.22222222222</v>
      </c>
      <c r="W163" s="17" t="n">
        <f aca="false">IF($Q163="","",IF($B$10=0,"",$Q163/$B$10))</f>
        <v>2037.22222222222</v>
      </c>
      <c r="X163" s="19" t="n">
        <f aca="false">IF($U163="",1000000000000000,$U163)</f>
        <v>51338</v>
      </c>
      <c r="XFC163" s="6"/>
    </row>
    <row r="164" s="5" customFormat="true" ht="28.5" hidden="false" customHeight="true" outlineLevel="0" collapsed="false">
      <c r="A164" s="16" t="n">
        <f aca="false">IF($U164="","",1+COUNTIF($X$15:$X$728,"&lt;"&amp;X164))</f>
        <v>150</v>
      </c>
      <c r="B164" s="16" t="s">
        <v>12</v>
      </c>
      <c r="C164" s="16" t="s">
        <v>502</v>
      </c>
      <c r="D164" s="20" t="s">
        <v>294</v>
      </c>
      <c r="E164" s="16" t="s">
        <v>47</v>
      </c>
      <c r="F164" s="16" t="s">
        <v>503</v>
      </c>
      <c r="G164" s="16" t="s">
        <v>504</v>
      </c>
      <c r="H164" s="17" t="n">
        <v>1925</v>
      </c>
      <c r="I164" s="17" t="n">
        <v>2185</v>
      </c>
      <c r="J164" s="17"/>
      <c r="K164" s="17" t="n">
        <v>1995</v>
      </c>
      <c r="L164" s="17" t="n">
        <f aca="false">IF(AND(IFERROR(SEARCH("현대오일뱅크",$C164),0)&gt;0,IFERROR(SEARCH("직영",$C164),0)&gt;0),$B$13,0)</f>
        <v>0</v>
      </c>
      <c r="M164" s="17" t="n">
        <f aca="false">IF($H164="","",$H164+$L164)</f>
        <v>1925</v>
      </c>
      <c r="N164" s="17" t="n">
        <f aca="false">IF($I164="","",$I164+$L164)</f>
        <v>2185</v>
      </c>
      <c r="O164" s="17" t="n">
        <f aca="false">IF($K164="","",$K164+$L164)</f>
        <v>1995</v>
      </c>
      <c r="P164" s="17" t="str">
        <f aca="false">IF($B$10=0,"",IFERROR(IF($B$4&gt;0,"휘발유 "&amp;TEXT(IF($M164="",1/0,$M164*$B$4),"#,##0")&amp;"원","")&amp;IF($B$5&gt;0,IF($B$4&gt;0," / ","")&amp;"고급유 "&amp;TEXT(IF($N164="",1/0,$N164*$B$5),"#,##0")&amp;"원","")&amp;IF($B$6&gt;0,IF(OR($B$4&gt;0,$B$5&gt;0)," / ","")&amp;"경유 "&amp;TEXT(IF($O164="",1/0,$O164*$B$6),"#,##0")&amp;"원",""),""))</f>
        <v>휘발유 26,950원 / 고급유 24,472원</v>
      </c>
      <c r="Q164" s="17" t="n">
        <f aca="false">IF($B$10=0,"",IFERROR(IF($B$4&gt;0,IF($M164="",1/0,$M164*$B$4),0)+IF($B$5&gt;0,IF($N164="",1/0,$N164*$B$5),0)+IF($B$6&gt;0,IF($O164="",1/0,$O164*$B$6),0),""))</f>
        <v>51422</v>
      </c>
      <c r="R164" s="17"/>
      <c r="S164" s="18" t="n">
        <f aca="false">IF($Q164="","",IF($R164="Y",IFERROR(VLOOKUP($B164,$C$4:$D$13,2,FALSE()),0),0))</f>
        <v>0</v>
      </c>
      <c r="T164" s="17" t="n">
        <f aca="false">IF($Q164="","",ROUNDDOWN($Q164*$S164,0))</f>
        <v>0</v>
      </c>
      <c r="U164" s="17" t="n">
        <f aca="false">IF($Q164="","",$Q164-$T164)</f>
        <v>51422</v>
      </c>
      <c r="V164" s="17" t="n">
        <f aca="false">IF($U164="","",IF($B$10=0,"",$U164/$B$10))</f>
        <v>2040.55555555556</v>
      </c>
      <c r="W164" s="17" t="n">
        <f aca="false">IF($Q164="","",IF($B$10=0,"",$Q164/$B$10))</f>
        <v>2040.55555555556</v>
      </c>
      <c r="X164" s="19" t="n">
        <f aca="false">IF($U164="",1000000000000000,$U164)</f>
        <v>51422</v>
      </c>
      <c r="XFC164" s="6"/>
    </row>
    <row r="165" s="5" customFormat="true" ht="28.5" hidden="false" customHeight="true" outlineLevel="0" collapsed="false">
      <c r="A165" s="16" t="n">
        <f aca="false">IF($U165="","",1+COUNTIF($X$15:$X$728,"&lt;"&amp;X165))</f>
        <v>150</v>
      </c>
      <c r="B165" s="16" t="s">
        <v>12</v>
      </c>
      <c r="C165" s="16" t="s">
        <v>505</v>
      </c>
      <c r="D165" s="20" t="s">
        <v>112</v>
      </c>
      <c r="E165" s="16" t="s">
        <v>47</v>
      </c>
      <c r="F165" s="16" t="s">
        <v>506</v>
      </c>
      <c r="G165" s="16" t="s">
        <v>507</v>
      </c>
      <c r="H165" s="17" t="n">
        <v>1925</v>
      </c>
      <c r="I165" s="17" t="n">
        <v>2185</v>
      </c>
      <c r="J165" s="17"/>
      <c r="K165" s="17" t="n">
        <v>1985</v>
      </c>
      <c r="L165" s="17" t="n">
        <f aca="false">IF(AND(IFERROR(SEARCH("현대오일뱅크",$C165),0)&gt;0,IFERROR(SEARCH("직영",$C165),0)&gt;0),$B$13,0)</f>
        <v>0</v>
      </c>
      <c r="M165" s="17" t="n">
        <f aca="false">IF($H165="","",$H165+$L165)</f>
        <v>1925</v>
      </c>
      <c r="N165" s="17" t="n">
        <f aca="false">IF($I165="","",$I165+$L165)</f>
        <v>2185</v>
      </c>
      <c r="O165" s="17" t="n">
        <f aca="false">IF($K165="","",$K165+$L165)</f>
        <v>1985</v>
      </c>
      <c r="P165" s="17" t="str">
        <f aca="false">IF($B$10=0,"",IFERROR(IF($B$4&gt;0,"휘발유 "&amp;TEXT(IF($M165="",1/0,$M165*$B$4),"#,##0")&amp;"원","")&amp;IF($B$5&gt;0,IF($B$4&gt;0," / ","")&amp;"고급유 "&amp;TEXT(IF($N165="",1/0,$N165*$B$5),"#,##0")&amp;"원","")&amp;IF($B$6&gt;0,IF(OR($B$4&gt;0,$B$5&gt;0)," / ","")&amp;"경유 "&amp;TEXT(IF($O165="",1/0,$O165*$B$6),"#,##0")&amp;"원",""),""))</f>
        <v>휘발유 26,950원 / 고급유 24,472원</v>
      </c>
      <c r="Q165" s="17" t="n">
        <f aca="false">IF($B$10=0,"",IFERROR(IF($B$4&gt;0,IF($M165="",1/0,$M165*$B$4),0)+IF($B$5&gt;0,IF($N165="",1/0,$N165*$B$5),0)+IF($B$6&gt;0,IF($O165="",1/0,$O165*$B$6),0),""))</f>
        <v>51422</v>
      </c>
      <c r="R165" s="17"/>
      <c r="S165" s="18" t="n">
        <f aca="false">IF($Q165="","",IF($R165="Y",IFERROR(VLOOKUP($B165,$C$4:$D$13,2,FALSE()),0),0))</f>
        <v>0</v>
      </c>
      <c r="T165" s="17" t="n">
        <f aca="false">IF($Q165="","",ROUNDDOWN($Q165*$S165,0))</f>
        <v>0</v>
      </c>
      <c r="U165" s="17" t="n">
        <f aca="false">IF($Q165="","",$Q165-$T165)</f>
        <v>51422</v>
      </c>
      <c r="V165" s="17" t="n">
        <f aca="false">IF($U165="","",IF($B$10=0,"",$U165/$B$10))</f>
        <v>2040.55555555556</v>
      </c>
      <c r="W165" s="17" t="n">
        <f aca="false">IF($Q165="","",IF($B$10=0,"",$Q165/$B$10))</f>
        <v>2040.55555555556</v>
      </c>
      <c r="X165" s="19" t="n">
        <f aca="false">IF($U165="",1000000000000000,$U165)</f>
        <v>51422</v>
      </c>
      <c r="XFC165" s="6"/>
    </row>
    <row r="166" s="5" customFormat="true" ht="28.5" hidden="false" customHeight="true" outlineLevel="0" collapsed="false">
      <c r="A166" s="16" t="n">
        <f aca="false">IF($U166="","",1+COUNTIF($X$15:$X$728,"&lt;"&amp;X166))</f>
        <v>152</v>
      </c>
      <c r="B166" s="16" t="s">
        <v>8</v>
      </c>
      <c r="C166" s="16" t="s">
        <v>508</v>
      </c>
      <c r="D166" s="16" t="s">
        <v>112</v>
      </c>
      <c r="E166" s="16" t="s">
        <v>47</v>
      </c>
      <c r="F166" s="16" t="s">
        <v>509</v>
      </c>
      <c r="G166" s="16" t="s">
        <v>510</v>
      </c>
      <c r="H166" s="17" t="n">
        <v>1959</v>
      </c>
      <c r="I166" s="17" t="n">
        <v>2149</v>
      </c>
      <c r="J166" s="17"/>
      <c r="K166" s="17" t="n">
        <v>1989</v>
      </c>
      <c r="L166" s="17" t="n">
        <f aca="false">IF(AND(IFERROR(SEARCH("현대오일뱅크",$C166),0)&gt;0,IFERROR(SEARCH("직영",$C166),0)&gt;0),$B$13,0)</f>
        <v>0</v>
      </c>
      <c r="M166" s="17" t="n">
        <f aca="false">IF($H166="","",$H166+$L166)</f>
        <v>1959</v>
      </c>
      <c r="N166" s="17" t="n">
        <f aca="false">IF($I166="","",$I166+$L166)</f>
        <v>2149</v>
      </c>
      <c r="O166" s="17" t="n">
        <f aca="false">IF($K166="","",$K166+$L166)</f>
        <v>1989</v>
      </c>
      <c r="P166" s="17" t="str">
        <f aca="false">IF($B$10=0,"",IFERROR(IF($B$4&gt;0,"휘발유 "&amp;TEXT(IF($M166="",1/0,$M166*$B$4),"#,##0")&amp;"원","")&amp;IF($B$5&gt;0,IF($B$4&gt;0," / ","")&amp;"고급유 "&amp;TEXT(IF($N166="",1/0,$N166*$B$5),"#,##0")&amp;"원","")&amp;IF($B$6&gt;0,IF(OR($B$4&gt;0,$B$5&gt;0)," / ","")&amp;"경유 "&amp;TEXT(IF($O166="",1/0,$O166*$B$6),"#,##0")&amp;"원",""),""))</f>
        <v>휘발유 27,426원 / 고급유 24,069원</v>
      </c>
      <c r="Q166" s="17" t="n">
        <f aca="false">IF($B$10=0,"",IFERROR(IF($B$4&gt;0,IF($M166="",1/0,$M166*$B$4),0)+IF($B$5&gt;0,IF($N166="",1/0,$N166*$B$5),0)+IF($B$6&gt;0,IF($O166="",1/0,$O166*$B$6),0),""))</f>
        <v>51494.8</v>
      </c>
      <c r="R166" s="17"/>
      <c r="S166" s="18" t="n">
        <f aca="false">IF($Q166="","",IF($R166="Y",IFERROR(VLOOKUP($B166,$C$4:$D$13,2,FALSE()),0),0))</f>
        <v>0</v>
      </c>
      <c r="T166" s="17" t="n">
        <f aca="false">IF($Q166="","",ROUNDDOWN($Q166*$S166,0))</f>
        <v>0</v>
      </c>
      <c r="U166" s="17" t="n">
        <f aca="false">IF($Q166="","",$Q166-$T166)</f>
        <v>51494.8</v>
      </c>
      <c r="V166" s="17" t="n">
        <f aca="false">IF($U166="","",IF($B$10=0,"",$U166/$B$10))</f>
        <v>2043.44444444444</v>
      </c>
      <c r="W166" s="17" t="n">
        <f aca="false">IF($Q166="","",IF($B$10=0,"",$Q166/$B$10))</f>
        <v>2043.44444444444</v>
      </c>
      <c r="X166" s="19" t="n">
        <f aca="false">IF($U166="",1000000000000000,$U166)</f>
        <v>51494.8</v>
      </c>
      <c r="XFC166" s="6"/>
    </row>
    <row r="167" s="5" customFormat="true" ht="28.5" hidden="false" customHeight="true" outlineLevel="0" collapsed="false">
      <c r="A167" s="16" t="n">
        <f aca="false">IF($U167="","",1+COUNTIF($X$15:$X$728,"&lt;"&amp;X167))</f>
        <v>152</v>
      </c>
      <c r="B167" s="16" t="s">
        <v>8</v>
      </c>
      <c r="C167" s="16" t="s">
        <v>511</v>
      </c>
      <c r="D167" s="16" t="s">
        <v>112</v>
      </c>
      <c r="E167" s="16" t="s">
        <v>47</v>
      </c>
      <c r="F167" s="16" t="s">
        <v>512</v>
      </c>
      <c r="G167" s="16" t="s">
        <v>513</v>
      </c>
      <c r="H167" s="17" t="n">
        <v>1959</v>
      </c>
      <c r="I167" s="17" t="n">
        <v>2149</v>
      </c>
      <c r="J167" s="17"/>
      <c r="K167" s="17" t="n">
        <v>1999</v>
      </c>
      <c r="L167" s="17" t="n">
        <f aca="false">IF(AND(IFERROR(SEARCH("현대오일뱅크",$C167),0)&gt;0,IFERROR(SEARCH("직영",$C167),0)&gt;0),$B$13,0)</f>
        <v>0</v>
      </c>
      <c r="M167" s="17" t="n">
        <f aca="false">IF($H167="","",$H167+$L167)</f>
        <v>1959</v>
      </c>
      <c r="N167" s="17" t="n">
        <f aca="false">IF($I167="","",$I167+$L167)</f>
        <v>2149</v>
      </c>
      <c r="O167" s="17" t="n">
        <f aca="false">IF($K167="","",$K167+$L167)</f>
        <v>1999</v>
      </c>
      <c r="P167" s="17" t="str">
        <f aca="false">IF($B$10=0,"",IFERROR(IF($B$4&gt;0,"휘발유 "&amp;TEXT(IF($M167="",1/0,$M167*$B$4),"#,##0")&amp;"원","")&amp;IF($B$5&gt;0,IF($B$4&gt;0," / ","")&amp;"고급유 "&amp;TEXT(IF($N167="",1/0,$N167*$B$5),"#,##0")&amp;"원","")&amp;IF($B$6&gt;0,IF(OR($B$4&gt;0,$B$5&gt;0)," / ","")&amp;"경유 "&amp;TEXT(IF($O167="",1/0,$O167*$B$6),"#,##0")&amp;"원",""),""))</f>
        <v>휘발유 27,426원 / 고급유 24,069원</v>
      </c>
      <c r="Q167" s="17" t="n">
        <f aca="false">IF($B$10=0,"",IFERROR(IF($B$4&gt;0,IF($M167="",1/0,$M167*$B$4),0)+IF($B$5&gt;0,IF($N167="",1/0,$N167*$B$5),0)+IF($B$6&gt;0,IF($O167="",1/0,$O167*$B$6),0),""))</f>
        <v>51494.8</v>
      </c>
      <c r="R167" s="17"/>
      <c r="S167" s="18" t="n">
        <f aca="false">IF($Q167="","",IF($R167="Y",IFERROR(VLOOKUP($B167,$C$4:$D$13,2,FALSE()),0),0))</f>
        <v>0</v>
      </c>
      <c r="T167" s="17" t="n">
        <f aca="false">IF($Q167="","",ROUNDDOWN($Q167*$S167,0))</f>
        <v>0</v>
      </c>
      <c r="U167" s="17" t="n">
        <f aca="false">IF($Q167="","",$Q167-$T167)</f>
        <v>51494.8</v>
      </c>
      <c r="V167" s="17" t="n">
        <f aca="false">IF($U167="","",IF($B$10=0,"",$U167/$B$10))</f>
        <v>2043.44444444444</v>
      </c>
      <c r="W167" s="17" t="n">
        <f aca="false">IF($Q167="","",IF($B$10=0,"",$Q167/$B$10))</f>
        <v>2043.44444444444</v>
      </c>
      <c r="X167" s="19" t="n">
        <f aca="false">IF($U167="",1000000000000000,$U167)</f>
        <v>51494.8</v>
      </c>
      <c r="XFC167" s="6"/>
    </row>
    <row r="168" s="5" customFormat="true" ht="28.5" hidden="false" customHeight="true" outlineLevel="0" collapsed="false">
      <c r="A168" s="16" t="n">
        <f aca="false">IF($U168="","",1+COUNTIF($X$15:$X$728,"&lt;"&amp;X168))</f>
        <v>154</v>
      </c>
      <c r="B168" s="16" t="s">
        <v>12</v>
      </c>
      <c r="C168" s="16" t="s">
        <v>514</v>
      </c>
      <c r="D168" s="20" t="s">
        <v>248</v>
      </c>
      <c r="E168" s="16" t="s">
        <v>47</v>
      </c>
      <c r="F168" s="16" t="s">
        <v>515</v>
      </c>
      <c r="G168" s="16" t="s">
        <v>516</v>
      </c>
      <c r="H168" s="17" t="n">
        <v>1924</v>
      </c>
      <c r="I168" s="17" t="n">
        <v>2199</v>
      </c>
      <c r="J168" s="17"/>
      <c r="K168" s="17" t="n">
        <v>2154</v>
      </c>
      <c r="L168" s="17" t="n">
        <f aca="false">IF(AND(IFERROR(SEARCH("현대오일뱅크",$C168),0)&gt;0,IFERROR(SEARCH("직영",$C168),0)&gt;0),$B$13,0)</f>
        <v>0</v>
      </c>
      <c r="M168" s="17" t="n">
        <f aca="false">IF($H168="","",$H168+$L168)</f>
        <v>1924</v>
      </c>
      <c r="N168" s="17" t="n">
        <f aca="false">IF($I168="","",$I168+$L168)</f>
        <v>2199</v>
      </c>
      <c r="O168" s="17" t="n">
        <f aca="false">IF($K168="","",$K168+$L168)</f>
        <v>2154</v>
      </c>
      <c r="P168" s="17" t="str">
        <f aca="false">IF($B$10=0,"",IFERROR(IF($B$4&gt;0,"휘발유 "&amp;TEXT(IF($M168="",1/0,$M168*$B$4),"#,##0")&amp;"원","")&amp;IF($B$5&gt;0,IF($B$4&gt;0," / ","")&amp;"고급유 "&amp;TEXT(IF($N168="",1/0,$N168*$B$5),"#,##0")&amp;"원","")&amp;IF($B$6&gt;0,IF(OR($B$4&gt;0,$B$5&gt;0)," / ","")&amp;"경유 "&amp;TEXT(IF($O168="",1/0,$O168*$B$6),"#,##0")&amp;"원",""),""))</f>
        <v>휘발유 26,936원 / 고급유 24,629원</v>
      </c>
      <c r="Q168" s="17" t="n">
        <f aca="false">IF($B$10=0,"",IFERROR(IF($B$4&gt;0,IF($M168="",1/0,$M168*$B$4),0)+IF($B$5&gt;0,IF($N168="",1/0,$N168*$B$5),0)+IF($B$6&gt;0,IF($O168="",1/0,$O168*$B$6),0),""))</f>
        <v>51564.8</v>
      </c>
      <c r="R168" s="17"/>
      <c r="S168" s="18" t="n">
        <f aca="false">IF($Q168="","",IF($R168="Y",IFERROR(VLOOKUP($B168,$C$4:$D$13,2,FALSE()),0),0))</f>
        <v>0</v>
      </c>
      <c r="T168" s="17" t="n">
        <f aca="false">IF($Q168="","",ROUNDDOWN($Q168*$S168,0))</f>
        <v>0</v>
      </c>
      <c r="U168" s="17" t="n">
        <f aca="false">IF($Q168="","",$Q168-$T168)</f>
        <v>51564.8</v>
      </c>
      <c r="V168" s="17" t="n">
        <f aca="false">IF($U168="","",IF($B$10=0,"",$U168/$B$10))</f>
        <v>2046.22222222222</v>
      </c>
      <c r="W168" s="17" t="n">
        <f aca="false">IF($Q168="","",IF($B$10=0,"",$Q168/$B$10))</f>
        <v>2046.22222222222</v>
      </c>
      <c r="X168" s="19" t="n">
        <f aca="false">IF($U168="",1000000000000000,$U168)</f>
        <v>51564.8</v>
      </c>
      <c r="XFC168" s="6"/>
    </row>
    <row r="169" s="5" customFormat="true" ht="28.5" hidden="false" customHeight="true" outlineLevel="0" collapsed="false">
      <c r="A169" s="16" t="n">
        <f aca="false">IF($U169="","",1+COUNTIF($X$15:$X$728,"&lt;"&amp;X169))</f>
        <v>155</v>
      </c>
      <c r="B169" s="16" t="s">
        <v>18</v>
      </c>
      <c r="C169" s="16" t="s">
        <v>517</v>
      </c>
      <c r="D169" s="16" t="s">
        <v>112</v>
      </c>
      <c r="E169" s="16" t="s">
        <v>47</v>
      </c>
      <c r="F169" s="16" t="s">
        <v>518</v>
      </c>
      <c r="G169" s="16" t="s">
        <v>519</v>
      </c>
      <c r="H169" s="17" t="n">
        <v>1959</v>
      </c>
      <c r="I169" s="17" t="n">
        <v>2159</v>
      </c>
      <c r="J169" s="17"/>
      <c r="K169" s="17" t="n">
        <v>1979</v>
      </c>
      <c r="L169" s="17" t="n">
        <f aca="false">IF(AND(IFERROR(SEARCH("현대오일뱅크",$C169),0)&gt;0,IFERROR(SEARCH("직영",$C169),0)&gt;0),$B$13,0)</f>
        <v>0</v>
      </c>
      <c r="M169" s="17" t="n">
        <f aca="false">IF($H169="","",$H169+$L169)</f>
        <v>1959</v>
      </c>
      <c r="N169" s="17" t="n">
        <f aca="false">IF($I169="","",$I169+$L169)</f>
        <v>2159</v>
      </c>
      <c r="O169" s="17" t="n">
        <f aca="false">IF($K169="","",$K169+$L169)</f>
        <v>1979</v>
      </c>
      <c r="P169" s="17" t="str">
        <f aca="false">IF($B$10=0,"",IFERROR(IF($B$4&gt;0,"휘발유 "&amp;TEXT(IF($M169="",1/0,$M169*$B$4),"#,##0")&amp;"원","")&amp;IF($B$5&gt;0,IF($B$4&gt;0," / ","")&amp;"고급유 "&amp;TEXT(IF($N169="",1/0,$N169*$B$5),"#,##0")&amp;"원","")&amp;IF($B$6&gt;0,IF(OR($B$4&gt;0,$B$5&gt;0)," / ","")&amp;"경유 "&amp;TEXT(IF($O169="",1/0,$O169*$B$6),"#,##0")&amp;"원",""),""))</f>
        <v>휘발유 27,426원 / 고급유 24,181원</v>
      </c>
      <c r="Q169" s="17" t="n">
        <f aca="false">IF($B$10=0,"",IFERROR(IF($B$4&gt;0,IF($M169="",1/0,$M169*$B$4),0)+IF($B$5&gt;0,IF($N169="",1/0,$N169*$B$5),0)+IF($B$6&gt;0,IF($O169="",1/0,$O169*$B$6),0),""))</f>
        <v>51606.8</v>
      </c>
      <c r="R169" s="17"/>
      <c r="S169" s="18" t="n">
        <f aca="false">IF($Q169="","",IF($R169="Y",IFERROR(VLOOKUP($B169,$C$4:$D$13,2,FALSE()),0),0))</f>
        <v>0</v>
      </c>
      <c r="T169" s="17" t="n">
        <f aca="false">IF($Q169="","",ROUNDDOWN($Q169*$S169,0))</f>
        <v>0</v>
      </c>
      <c r="U169" s="17" t="n">
        <f aca="false">IF($Q169="","",$Q169-$T169)</f>
        <v>51606.8</v>
      </c>
      <c r="V169" s="17" t="n">
        <f aca="false">IF($U169="","",IF($B$10=0,"",$U169/$B$10))</f>
        <v>2047.88888888889</v>
      </c>
      <c r="W169" s="17" t="n">
        <f aca="false">IF($Q169="","",IF($B$10=0,"",$Q169/$B$10))</f>
        <v>2047.88888888889</v>
      </c>
      <c r="X169" s="19" t="n">
        <f aca="false">IF($U169="",1000000000000000,$U169)</f>
        <v>51606.8</v>
      </c>
      <c r="XFC169" s="6"/>
    </row>
    <row r="170" s="5" customFormat="true" ht="28.5" hidden="false" customHeight="true" outlineLevel="0" collapsed="false">
      <c r="A170" s="16" t="n">
        <f aca="false">IF($U170="","",1+COUNTIF($X$15:$X$728,"&lt;"&amp;X170))</f>
        <v>155</v>
      </c>
      <c r="B170" s="16" t="s">
        <v>14</v>
      </c>
      <c r="C170" s="16" t="s">
        <v>520</v>
      </c>
      <c r="D170" s="20" t="s">
        <v>108</v>
      </c>
      <c r="E170" s="16" t="s">
        <v>47</v>
      </c>
      <c r="F170" s="16" t="s">
        <v>521</v>
      </c>
      <c r="G170" s="16" t="s">
        <v>522</v>
      </c>
      <c r="H170" s="17" t="n">
        <v>1959</v>
      </c>
      <c r="I170" s="17" t="n">
        <v>2159</v>
      </c>
      <c r="J170" s="17"/>
      <c r="K170" s="17" t="n">
        <v>2159</v>
      </c>
      <c r="L170" s="17" t="n">
        <f aca="false">IF(AND(IFERROR(SEARCH("현대오일뱅크",$C170),0)&gt;0,IFERROR(SEARCH("직영",$C170),0)&gt;0),$B$13,0)</f>
        <v>0</v>
      </c>
      <c r="M170" s="17" t="n">
        <f aca="false">IF($H170="","",$H170+$L170)</f>
        <v>1959</v>
      </c>
      <c r="N170" s="17" t="n">
        <f aca="false">IF($I170="","",$I170+$L170)</f>
        <v>2159</v>
      </c>
      <c r="O170" s="17" t="n">
        <f aca="false">IF($K170="","",$K170+$L170)</f>
        <v>2159</v>
      </c>
      <c r="P170" s="17" t="str">
        <f aca="false">IF($B$10=0,"",IFERROR(IF($B$4&gt;0,"휘발유 "&amp;TEXT(IF($M170="",1/0,$M170*$B$4),"#,##0")&amp;"원","")&amp;IF($B$5&gt;0,IF($B$4&gt;0," / ","")&amp;"고급유 "&amp;TEXT(IF($N170="",1/0,$N170*$B$5),"#,##0")&amp;"원","")&amp;IF($B$6&gt;0,IF(OR($B$4&gt;0,$B$5&gt;0)," / ","")&amp;"경유 "&amp;TEXT(IF($O170="",1/0,$O170*$B$6),"#,##0")&amp;"원",""),""))</f>
        <v>휘발유 27,426원 / 고급유 24,181원</v>
      </c>
      <c r="Q170" s="17" t="n">
        <f aca="false">IF($B$10=0,"",IFERROR(IF($B$4&gt;0,IF($M170="",1/0,$M170*$B$4),0)+IF($B$5&gt;0,IF($N170="",1/0,$N170*$B$5),0)+IF($B$6&gt;0,IF($O170="",1/0,$O170*$B$6),0),""))</f>
        <v>51606.8</v>
      </c>
      <c r="R170" s="17"/>
      <c r="S170" s="18" t="n">
        <f aca="false">IF($Q170="","",IF($R170="Y",IFERROR(VLOOKUP($B170,$C$4:$D$13,2,FALSE()),0),0))</f>
        <v>0</v>
      </c>
      <c r="T170" s="17" t="n">
        <f aca="false">IF($Q170="","",ROUNDDOWN($Q170*$S170,0))</f>
        <v>0</v>
      </c>
      <c r="U170" s="17" t="n">
        <f aca="false">IF($Q170="","",$Q170-$T170)</f>
        <v>51606.8</v>
      </c>
      <c r="V170" s="17" t="n">
        <f aca="false">IF($U170="","",IF($B$10=0,"",$U170/$B$10))</f>
        <v>2047.88888888889</v>
      </c>
      <c r="W170" s="17" t="n">
        <f aca="false">IF($Q170="","",IF($B$10=0,"",$Q170/$B$10))</f>
        <v>2047.88888888889</v>
      </c>
      <c r="X170" s="19" t="n">
        <f aca="false">IF($U170="",1000000000000000,$U170)</f>
        <v>51606.8</v>
      </c>
      <c r="XFC170" s="6"/>
    </row>
    <row r="171" s="5" customFormat="true" ht="28.5" hidden="false" customHeight="true" outlineLevel="0" collapsed="false">
      <c r="A171" s="16" t="n">
        <f aca="false">IF($U171="","",1+COUNTIF($X$15:$X$728,"&lt;"&amp;X171))</f>
        <v>157</v>
      </c>
      <c r="B171" s="16" t="s">
        <v>12</v>
      </c>
      <c r="C171" s="16" t="s">
        <v>523</v>
      </c>
      <c r="D171" s="20" t="s">
        <v>294</v>
      </c>
      <c r="E171" s="16" t="s">
        <v>47</v>
      </c>
      <c r="F171" s="16" t="s">
        <v>524</v>
      </c>
      <c r="G171" s="16" t="s">
        <v>525</v>
      </c>
      <c r="H171" s="17" t="n">
        <v>1948</v>
      </c>
      <c r="I171" s="17" t="n">
        <v>2199</v>
      </c>
      <c r="J171" s="17"/>
      <c r="K171" s="17" t="n">
        <v>2059</v>
      </c>
      <c r="L171" s="17" t="n">
        <f aca="false">IF(AND(IFERROR(SEARCH("현대오일뱅크",$C171),0)&gt;0,IFERROR(SEARCH("직영",$C171),0)&gt;0),$B$13,0)</f>
        <v>0</v>
      </c>
      <c r="M171" s="17" t="n">
        <f aca="false">IF($H171="","",$H171+$L171)</f>
        <v>1948</v>
      </c>
      <c r="N171" s="17" t="n">
        <f aca="false">IF($I171="","",$I171+$L171)</f>
        <v>2199</v>
      </c>
      <c r="O171" s="17" t="n">
        <f aca="false">IF($K171="","",$K171+$L171)</f>
        <v>2059</v>
      </c>
      <c r="P171" s="17" t="str">
        <f aca="false">IF($B$10=0,"",IFERROR(IF($B$4&gt;0,"휘발유 "&amp;TEXT(IF($M171="",1/0,$M171*$B$4),"#,##0")&amp;"원","")&amp;IF($B$5&gt;0,IF($B$4&gt;0," / ","")&amp;"고급유 "&amp;TEXT(IF($N171="",1/0,$N171*$B$5),"#,##0")&amp;"원","")&amp;IF($B$6&gt;0,IF(OR($B$4&gt;0,$B$5&gt;0)," / ","")&amp;"경유 "&amp;TEXT(IF($O171="",1/0,$O171*$B$6),"#,##0")&amp;"원",""),""))</f>
        <v>휘발유 27,272원 / 고급유 24,629원</v>
      </c>
      <c r="Q171" s="17" t="n">
        <f aca="false">IF($B$10=0,"",IFERROR(IF($B$4&gt;0,IF($M171="",1/0,$M171*$B$4),0)+IF($B$5&gt;0,IF($N171="",1/0,$N171*$B$5),0)+IF($B$6&gt;0,IF($O171="",1/0,$O171*$B$6),0),""))</f>
        <v>51900.8</v>
      </c>
      <c r="R171" s="17"/>
      <c r="S171" s="18" t="n">
        <f aca="false">IF($Q171="","",IF($R171="Y",IFERROR(VLOOKUP($B171,$C$4:$D$13,2,FALSE()),0),0))</f>
        <v>0</v>
      </c>
      <c r="T171" s="17" t="n">
        <f aca="false">IF($Q171="","",ROUNDDOWN($Q171*$S171,0))</f>
        <v>0</v>
      </c>
      <c r="U171" s="17" t="n">
        <f aca="false">IF($Q171="","",$Q171-$T171)</f>
        <v>51900.8</v>
      </c>
      <c r="V171" s="17" t="n">
        <f aca="false">IF($U171="","",IF($B$10=0,"",$U171/$B$10))</f>
        <v>2059.55555555556</v>
      </c>
      <c r="W171" s="17" t="n">
        <f aca="false">IF($Q171="","",IF($B$10=0,"",$Q171/$B$10))</f>
        <v>2059.55555555556</v>
      </c>
      <c r="X171" s="19" t="n">
        <f aca="false">IF($U171="",1000000000000000,$U171)</f>
        <v>51900.8</v>
      </c>
      <c r="XFC171" s="6"/>
    </row>
    <row r="172" s="5" customFormat="true" ht="28.5" hidden="false" customHeight="true" outlineLevel="0" collapsed="false">
      <c r="A172" s="16" t="n">
        <f aca="false">IF($U172="","",1+COUNTIF($X$15:$X$728,"&lt;"&amp;X172))</f>
        <v>158</v>
      </c>
      <c r="B172" s="16" t="s">
        <v>12</v>
      </c>
      <c r="C172" s="16" t="s">
        <v>526</v>
      </c>
      <c r="D172" s="20" t="s">
        <v>294</v>
      </c>
      <c r="E172" s="16" t="s">
        <v>47</v>
      </c>
      <c r="F172" s="16" t="s">
        <v>527</v>
      </c>
      <c r="G172" s="16" t="s">
        <v>528</v>
      </c>
      <c r="H172" s="17" t="n">
        <v>1995</v>
      </c>
      <c r="I172" s="17" t="n">
        <v>2186</v>
      </c>
      <c r="J172" s="17"/>
      <c r="K172" s="17" t="n">
        <v>2185</v>
      </c>
      <c r="L172" s="17" t="n">
        <f aca="false">IF(AND(IFERROR(SEARCH("현대오일뱅크",$C172),0)&gt;0,IFERROR(SEARCH("직영",$C172),0)&gt;0),$B$13,0)</f>
        <v>0</v>
      </c>
      <c r="M172" s="17" t="n">
        <f aca="false">IF($H172="","",$H172+$L172)</f>
        <v>1995</v>
      </c>
      <c r="N172" s="17" t="n">
        <f aca="false">IF($I172="","",$I172+$L172)</f>
        <v>2186</v>
      </c>
      <c r="O172" s="17" t="n">
        <f aca="false">IF($K172="","",$K172+$L172)</f>
        <v>2185</v>
      </c>
      <c r="P172" s="17" t="str">
        <f aca="false">IF($B$10=0,"",IFERROR(IF($B$4&gt;0,"휘발유 "&amp;TEXT(IF($M172="",1/0,$M172*$B$4),"#,##0")&amp;"원","")&amp;IF($B$5&gt;0,IF($B$4&gt;0," / ","")&amp;"고급유 "&amp;TEXT(IF($N172="",1/0,$N172*$B$5),"#,##0")&amp;"원","")&amp;IF($B$6&gt;0,IF(OR($B$4&gt;0,$B$5&gt;0)," / ","")&amp;"경유 "&amp;TEXT(IF($O172="",1/0,$O172*$B$6),"#,##0")&amp;"원",""),""))</f>
        <v>휘발유 27,930원 / 고급유 24,483원</v>
      </c>
      <c r="Q172" s="17" t="n">
        <f aca="false">IF($B$10=0,"",IFERROR(IF($B$4&gt;0,IF($M172="",1/0,$M172*$B$4),0)+IF($B$5&gt;0,IF($N172="",1/0,$N172*$B$5),0)+IF($B$6&gt;0,IF($O172="",1/0,$O172*$B$6),0),""))</f>
        <v>52413.2</v>
      </c>
      <c r="R172" s="17"/>
      <c r="S172" s="18" t="n">
        <f aca="false">IF($Q172="","",IF($R172="Y",IFERROR(VLOOKUP($B172,$C$4:$D$13,2,FALSE()),0),0))</f>
        <v>0</v>
      </c>
      <c r="T172" s="17" t="n">
        <f aca="false">IF($Q172="","",ROUNDDOWN($Q172*$S172,0))</f>
        <v>0</v>
      </c>
      <c r="U172" s="17" t="n">
        <f aca="false">IF($Q172="","",$Q172-$T172)</f>
        <v>52413.2</v>
      </c>
      <c r="V172" s="17" t="n">
        <f aca="false">IF($U172="","",IF($B$10=0,"",$U172/$B$10))</f>
        <v>2079.88888888889</v>
      </c>
      <c r="W172" s="17" t="n">
        <f aca="false">IF($Q172="","",IF($B$10=0,"",$Q172/$B$10))</f>
        <v>2079.88888888889</v>
      </c>
      <c r="X172" s="19" t="n">
        <f aca="false">IF($U172="",1000000000000000,$U172)</f>
        <v>52413.2</v>
      </c>
      <c r="XFC172" s="6"/>
    </row>
    <row r="173" s="5" customFormat="true" ht="28.5" hidden="false" customHeight="true" outlineLevel="0" collapsed="false">
      <c r="A173" s="16" t="n">
        <f aca="false">IF($U173="","",1+COUNTIF($X$15:$X$728,"&lt;"&amp;X173))</f>
        <v>159</v>
      </c>
      <c r="B173" s="16" t="s">
        <v>12</v>
      </c>
      <c r="C173" s="16" t="s">
        <v>529</v>
      </c>
      <c r="D173" s="20" t="s">
        <v>248</v>
      </c>
      <c r="E173" s="16" t="s">
        <v>47</v>
      </c>
      <c r="F173" s="16" t="s">
        <v>530</v>
      </c>
      <c r="G173" s="16" t="s">
        <v>531</v>
      </c>
      <c r="H173" s="17" t="n">
        <v>1994</v>
      </c>
      <c r="I173" s="17" t="n">
        <v>2199</v>
      </c>
      <c r="J173" s="17"/>
      <c r="K173" s="17" t="n">
        <v>2154</v>
      </c>
      <c r="L173" s="17" t="n">
        <f aca="false">IF(AND(IFERROR(SEARCH("현대오일뱅크",$C173),0)&gt;0,IFERROR(SEARCH("직영",$C173),0)&gt;0),$B$13,0)</f>
        <v>0</v>
      </c>
      <c r="M173" s="17" t="n">
        <f aca="false">IF($H173="","",$H173+$L173)</f>
        <v>1994</v>
      </c>
      <c r="N173" s="17" t="n">
        <f aca="false">IF($I173="","",$I173+$L173)</f>
        <v>2199</v>
      </c>
      <c r="O173" s="17" t="n">
        <f aca="false">IF($K173="","",$K173+$L173)</f>
        <v>2154</v>
      </c>
      <c r="P173" s="17" t="str">
        <f aca="false">IF($B$10=0,"",IFERROR(IF($B$4&gt;0,"휘발유 "&amp;TEXT(IF($M173="",1/0,$M173*$B$4),"#,##0")&amp;"원","")&amp;IF($B$5&gt;0,IF($B$4&gt;0," / ","")&amp;"고급유 "&amp;TEXT(IF($N173="",1/0,$N173*$B$5),"#,##0")&amp;"원","")&amp;IF($B$6&gt;0,IF(OR($B$4&gt;0,$B$5&gt;0)," / ","")&amp;"경유 "&amp;TEXT(IF($O173="",1/0,$O173*$B$6),"#,##0")&amp;"원",""),""))</f>
        <v>휘발유 27,916원 / 고급유 24,629원</v>
      </c>
      <c r="Q173" s="17" t="n">
        <f aca="false">IF($B$10=0,"",IFERROR(IF($B$4&gt;0,IF($M173="",1/0,$M173*$B$4),0)+IF($B$5&gt;0,IF($N173="",1/0,$N173*$B$5),0)+IF($B$6&gt;0,IF($O173="",1/0,$O173*$B$6),0),""))</f>
        <v>52544.8</v>
      </c>
      <c r="R173" s="17"/>
      <c r="S173" s="18" t="n">
        <f aca="false">IF($Q173="","",IF($R173="Y",IFERROR(VLOOKUP($B173,$C$4:$D$13,2,FALSE()),0),0))</f>
        <v>0</v>
      </c>
      <c r="T173" s="17" t="n">
        <f aca="false">IF($Q173="","",ROUNDDOWN($Q173*$S173,0))</f>
        <v>0</v>
      </c>
      <c r="U173" s="17" t="n">
        <f aca="false">IF($Q173="","",$Q173-$T173)</f>
        <v>52544.8</v>
      </c>
      <c r="V173" s="17" t="n">
        <f aca="false">IF($U173="","",IF($B$10=0,"",$U173/$B$10))</f>
        <v>2085.11111111111</v>
      </c>
      <c r="W173" s="17" t="n">
        <f aca="false">IF($Q173="","",IF($B$10=0,"",$Q173/$B$10))</f>
        <v>2085.11111111111</v>
      </c>
      <c r="X173" s="19" t="n">
        <f aca="false">IF($U173="",1000000000000000,$U173)</f>
        <v>52544.8</v>
      </c>
      <c r="XFC173" s="6"/>
    </row>
    <row r="174" s="5" customFormat="true" ht="28.5" hidden="false" customHeight="true" outlineLevel="0" collapsed="false">
      <c r="A174" s="16" t="n">
        <f aca="false">IF($U174="","",1+COUNTIF($X$15:$X$728,"&lt;"&amp;X174))</f>
        <v>160</v>
      </c>
      <c r="B174" s="16" t="s">
        <v>14</v>
      </c>
      <c r="C174" s="16" t="s">
        <v>532</v>
      </c>
      <c r="D174" s="16" t="s">
        <v>112</v>
      </c>
      <c r="E174" s="16" t="s">
        <v>47</v>
      </c>
      <c r="F174" s="16" t="s">
        <v>533</v>
      </c>
      <c r="G174" s="16" t="s">
        <v>534</v>
      </c>
      <c r="H174" s="17" t="n">
        <v>1999</v>
      </c>
      <c r="I174" s="17" t="n">
        <v>2199</v>
      </c>
      <c r="J174" s="17"/>
      <c r="K174" s="17" t="n">
        <v>2159</v>
      </c>
      <c r="L174" s="17" t="n">
        <f aca="false">IF(AND(IFERROR(SEARCH("현대오일뱅크",$C174),0)&gt;0,IFERROR(SEARCH("직영",$C174),0)&gt;0),$B$13,0)</f>
        <v>0</v>
      </c>
      <c r="M174" s="17" t="n">
        <f aca="false">IF($H174="","",$H174+$L174)</f>
        <v>1999</v>
      </c>
      <c r="N174" s="17" t="n">
        <f aca="false">IF($I174="","",$I174+$L174)</f>
        <v>2199</v>
      </c>
      <c r="O174" s="17" t="n">
        <f aca="false">IF($K174="","",$K174+$L174)</f>
        <v>2159</v>
      </c>
      <c r="P174" s="17" t="str">
        <f aca="false">IF($B$10=0,"",IFERROR(IF($B$4&gt;0,"휘발유 "&amp;TEXT(IF($M174="",1/0,$M174*$B$4),"#,##0")&amp;"원","")&amp;IF($B$5&gt;0,IF($B$4&gt;0," / ","")&amp;"고급유 "&amp;TEXT(IF($N174="",1/0,$N174*$B$5),"#,##0")&amp;"원","")&amp;IF($B$6&gt;0,IF(OR($B$4&gt;0,$B$5&gt;0)," / ","")&amp;"경유 "&amp;TEXT(IF($O174="",1/0,$O174*$B$6),"#,##0")&amp;"원",""),""))</f>
        <v>휘발유 27,986원 / 고급유 24,629원</v>
      </c>
      <c r="Q174" s="17" t="n">
        <f aca="false">IF($B$10=0,"",IFERROR(IF($B$4&gt;0,IF($M174="",1/0,$M174*$B$4),0)+IF($B$5&gt;0,IF($N174="",1/0,$N174*$B$5),0)+IF($B$6&gt;0,IF($O174="",1/0,$O174*$B$6),0),""))</f>
        <v>52614.8</v>
      </c>
      <c r="R174" s="17"/>
      <c r="S174" s="18" t="n">
        <f aca="false">IF($Q174="","",IF($R174="Y",IFERROR(VLOOKUP($B174,$C$4:$D$13,2,FALSE()),0),0))</f>
        <v>0</v>
      </c>
      <c r="T174" s="17" t="n">
        <f aca="false">IF($Q174="","",ROUNDDOWN($Q174*$S174,0))</f>
        <v>0</v>
      </c>
      <c r="U174" s="17" t="n">
        <f aca="false">IF($Q174="","",$Q174-$T174)</f>
        <v>52614.8</v>
      </c>
      <c r="V174" s="17" t="n">
        <f aca="false">IF($U174="","",IF($B$10=0,"",$U174/$B$10))</f>
        <v>2087.88888888889</v>
      </c>
      <c r="W174" s="17" t="n">
        <f aca="false">IF($Q174="","",IF($B$10=0,"",$Q174/$B$10))</f>
        <v>2087.88888888889</v>
      </c>
      <c r="X174" s="19" t="n">
        <f aca="false">IF($U174="",1000000000000000,$U174)</f>
        <v>52614.8</v>
      </c>
      <c r="XFC174" s="6"/>
    </row>
    <row r="175" s="5" customFormat="true" ht="28.5" hidden="false" customHeight="true" outlineLevel="0" collapsed="false">
      <c r="A175" s="16" t="n">
        <f aca="false">IF($U175="","",1+COUNTIF($X$15:$X$728,"&lt;"&amp;X175))</f>
        <v>161</v>
      </c>
      <c r="B175" s="16" t="s">
        <v>12</v>
      </c>
      <c r="C175" s="16" t="s">
        <v>535</v>
      </c>
      <c r="D175" s="20" t="s">
        <v>108</v>
      </c>
      <c r="E175" s="16" t="s">
        <v>59</v>
      </c>
      <c r="F175" s="16" t="s">
        <v>536</v>
      </c>
      <c r="G175" s="16" t="s">
        <v>537</v>
      </c>
      <c r="H175" s="17" t="n">
        <v>2099</v>
      </c>
      <c r="I175" s="17" t="n">
        <v>2299</v>
      </c>
      <c r="J175" s="17"/>
      <c r="K175" s="17" t="n">
        <v>2098</v>
      </c>
      <c r="L175" s="17" t="n">
        <f aca="false">IF(AND(IFERROR(SEARCH("현대오일뱅크",$C175),0)&gt;0,IFERROR(SEARCH("직영",$C175),0)&gt;0),$B$13,0)</f>
        <v>0</v>
      </c>
      <c r="M175" s="17" t="n">
        <f aca="false">IF($H175="","",$H175+$L175)</f>
        <v>2099</v>
      </c>
      <c r="N175" s="17" t="n">
        <f aca="false">IF($I175="","",$I175+$L175)</f>
        <v>2299</v>
      </c>
      <c r="O175" s="17" t="n">
        <f aca="false">IF($K175="","",$K175+$L175)</f>
        <v>2098</v>
      </c>
      <c r="P175" s="17" t="str">
        <f aca="false">IF($B$10=0,"",IFERROR(IF($B$4&gt;0,"휘발유 "&amp;TEXT(IF($M175="",1/0,$M175*$B$4),"#,##0")&amp;"원","")&amp;IF($B$5&gt;0,IF($B$4&gt;0," / ","")&amp;"고급유 "&amp;TEXT(IF($N175="",1/0,$N175*$B$5),"#,##0")&amp;"원","")&amp;IF($B$6&gt;0,IF(OR($B$4&gt;0,$B$5&gt;0)," / ","")&amp;"경유 "&amp;TEXT(IF($O175="",1/0,$O175*$B$6),"#,##0")&amp;"원",""),""))</f>
        <v>휘발유 29,386원 / 고급유 25,749원</v>
      </c>
      <c r="Q175" s="17" t="n">
        <f aca="false">IF($B$10=0,"",IFERROR(IF($B$4&gt;0,IF($M175="",1/0,$M175*$B$4),0)+IF($B$5&gt;0,IF($N175="",1/0,$N175*$B$5),0)+IF($B$6&gt;0,IF($O175="",1/0,$O175*$B$6),0),""))</f>
        <v>55134.8</v>
      </c>
      <c r="R175" s="17"/>
      <c r="S175" s="18" t="n">
        <f aca="false">IF($Q175="","",IF($R175="Y",IFERROR(VLOOKUP($B175,$C$4:$D$13,2,FALSE()),0),0))</f>
        <v>0</v>
      </c>
      <c r="T175" s="17" t="n">
        <f aca="false">IF($Q175="","",ROUNDDOWN($Q175*$S175,0))</f>
        <v>0</v>
      </c>
      <c r="U175" s="17" t="n">
        <f aca="false">IF($Q175="","",$Q175-$T175)</f>
        <v>55134.8</v>
      </c>
      <c r="V175" s="17" t="n">
        <f aca="false">IF($U175="","",IF($B$10=0,"",$U175/$B$10))</f>
        <v>2187.88888888889</v>
      </c>
      <c r="W175" s="17" t="n">
        <f aca="false">IF($Q175="","",IF($B$10=0,"",$Q175/$B$10))</f>
        <v>2187.88888888889</v>
      </c>
      <c r="X175" s="19" t="n">
        <f aca="false">IF($U175="",1000000000000000,$U175)</f>
        <v>55134.8</v>
      </c>
      <c r="XFC175" s="6"/>
    </row>
    <row r="176" s="5" customFormat="true" ht="28.5" hidden="false" customHeight="true" outlineLevel="0" collapsed="false">
      <c r="A176" s="16" t="str">
        <f aca="false">IF($U176="","",1+COUNTIF($X$15:$X$728,"&lt;"&amp;X176))</f>
        <v/>
      </c>
      <c r="B176" s="16" t="s">
        <v>18</v>
      </c>
      <c r="C176" s="16" t="s">
        <v>538</v>
      </c>
      <c r="D176" s="16" t="s">
        <v>58</v>
      </c>
      <c r="E176" s="16" t="s">
        <v>59</v>
      </c>
      <c r="F176" s="16" t="s">
        <v>539</v>
      </c>
      <c r="G176" s="16" t="s">
        <v>540</v>
      </c>
      <c r="H176" s="17" t="n">
        <v>1752</v>
      </c>
      <c r="I176" s="17"/>
      <c r="J176" s="17"/>
      <c r="K176" s="17" t="n">
        <v>1728</v>
      </c>
      <c r="L176" s="17" t="n">
        <v>0</v>
      </c>
      <c r="M176" s="17" t="n">
        <f aca="false">IF($H176="","",$H176+$L176)</f>
        <v>1752</v>
      </c>
      <c r="N176" s="17" t="str">
        <f aca="false">IF($I176="","",$I176+$L176)</f>
        <v/>
      </c>
      <c r="O176" s="17" t="n">
        <f aca="false">IF($K176="","",$K176+$L176)</f>
        <v>1728</v>
      </c>
      <c r="P176" s="17" t="str">
        <f aca="false">IF($B$10=0,"",IFERROR(IF($B$4&gt;0,"휘발유 "&amp;TEXT(IF($M176="",1/0,$M176*$B$4),"#,##0")&amp;"원","")&amp;IF($B$5&gt;0,IF($B$4&gt;0," / ","")&amp;"고급유 "&amp;TEXT(IF($N176="",1/0,$N176*$B$5),"#,##0")&amp;"원","")&amp;IF($B$6&gt;0,IF(OR($B$4&gt;0,$B$5&gt;0)," / ","")&amp;"경유 "&amp;TEXT(IF($O176="",1/0,$O176*$B$6),"#,##0")&amp;"원",""),""))</f>
        <v/>
      </c>
      <c r="Q176" s="17" t="str">
        <f aca="false">IF($B$10=0,"",IFERROR(IF($B$4&gt;0,IF($M176="",1/0,$M176*$B$4),0)+IF($B$5&gt;0,IF($N176="",1/0,$N176*$B$5),0)+IF($B$6&gt;0,IF($O176="",1/0,$O176*$B$6),0),""))</f>
        <v/>
      </c>
      <c r="R176" s="17" t="s">
        <v>47</v>
      </c>
      <c r="S176" s="18" t="str">
        <f aca="false">IF($Q176="","",IF($R176="Y",IFERROR(VLOOKUP($B176,$C$4:$D$13,2,FALSE()),0),0))</f>
        <v/>
      </c>
      <c r="T176" s="17" t="str">
        <f aca="false">IF($Q176="","",ROUNDDOWN($Q176*$S176,0))</f>
        <v/>
      </c>
      <c r="U176" s="17" t="str">
        <f aca="false">IF($Q176="","",$Q176-$T176)</f>
        <v/>
      </c>
      <c r="V176" s="17" t="str">
        <f aca="false">IF($U176="","",IF($B$10=0,"",$U176/$B$10))</f>
        <v/>
      </c>
      <c r="W176" s="17" t="str">
        <f aca="false">IF($Q176="","",IF($B$10=0,"",$Q176/$B$10))</f>
        <v/>
      </c>
      <c r="X176" s="19" t="n">
        <f aca="false">IF($U176="",1000000000000000,$U176)</f>
        <v>1000000000000000</v>
      </c>
      <c r="XFC176" s="6"/>
    </row>
    <row r="177" s="5" customFormat="true" ht="28.5" hidden="false" customHeight="true" outlineLevel="0" collapsed="false">
      <c r="A177" s="16" t="str">
        <f aca="false">IF($U177="","",1+COUNTIF($X$15:$X$728,"&lt;"&amp;X177))</f>
        <v/>
      </c>
      <c r="B177" s="16" t="s">
        <v>6</v>
      </c>
      <c r="C177" s="16" t="s">
        <v>541</v>
      </c>
      <c r="D177" s="16" t="s">
        <v>58</v>
      </c>
      <c r="E177" s="16" t="s">
        <v>59</v>
      </c>
      <c r="F177" s="16" t="s">
        <v>542</v>
      </c>
      <c r="G177" s="16" t="s">
        <v>543</v>
      </c>
      <c r="H177" s="17" t="n">
        <v>1774</v>
      </c>
      <c r="I177" s="17"/>
      <c r="J177" s="17"/>
      <c r="K177" s="17" t="n">
        <v>1734</v>
      </c>
      <c r="L177" s="17" t="n">
        <v>0</v>
      </c>
      <c r="M177" s="17" t="n">
        <f aca="false">IF($H177="","",$H177+$L177)</f>
        <v>1774</v>
      </c>
      <c r="N177" s="17" t="str">
        <f aca="false">IF($I177="","",$I177+$L177)</f>
        <v/>
      </c>
      <c r="O177" s="17" t="n">
        <f aca="false">IF($K177="","",$K177+$L177)</f>
        <v>1734</v>
      </c>
      <c r="P177" s="17" t="str">
        <f aca="false">IF($B$10=0,"",IFERROR(IF($B$4&gt;0,"휘발유 "&amp;TEXT(IF($M177="",1/0,$M177*$B$4),"#,##0")&amp;"원","")&amp;IF($B$5&gt;0,IF($B$4&gt;0," / ","")&amp;"고급유 "&amp;TEXT(IF($N177="",1/0,$N177*$B$5),"#,##0")&amp;"원","")&amp;IF($B$6&gt;0,IF(OR($B$4&gt;0,$B$5&gt;0)," / ","")&amp;"경유 "&amp;TEXT(IF($O177="",1/0,$O177*$B$6),"#,##0")&amp;"원",""),""))</f>
        <v/>
      </c>
      <c r="Q177" s="17" t="str">
        <f aca="false">IF($B$10=0,"",IFERROR(IF($B$4&gt;0,IF($M177="",1/0,$M177*$B$4),0)+IF($B$5&gt;0,IF($N177="",1/0,$N177*$B$5),0)+IF($B$6&gt;0,IF($O177="",1/0,$O177*$B$6),0),""))</f>
        <v/>
      </c>
      <c r="R177" s="17" t="s">
        <v>47</v>
      </c>
      <c r="S177" s="18" t="str">
        <f aca="false">IF($Q177="","",IF($R177="Y",IFERROR(VLOOKUP($B177,$C$4:$D$13,2,FALSE()),0),0))</f>
        <v/>
      </c>
      <c r="T177" s="17" t="str">
        <f aca="false">IF($Q177="","",ROUNDDOWN($Q177*$S177,0))</f>
        <v/>
      </c>
      <c r="U177" s="17" t="str">
        <f aca="false">IF($Q177="","",$Q177-$T177)</f>
        <v/>
      </c>
      <c r="V177" s="17" t="str">
        <f aca="false">IF($U177="","",IF($B$10=0,"",$U177/$B$10))</f>
        <v/>
      </c>
      <c r="W177" s="17" t="str">
        <f aca="false">IF($Q177="","",IF($B$10=0,"",$Q177/$B$10))</f>
        <v/>
      </c>
      <c r="X177" s="19" t="n">
        <f aca="false">IF($U177="",1000000000000000,$U177)</f>
        <v>1000000000000000</v>
      </c>
      <c r="XFC177" s="6"/>
    </row>
    <row r="178" s="5" customFormat="true" ht="28.5" hidden="false" customHeight="true" outlineLevel="0" collapsed="false">
      <c r="A178" s="16" t="str">
        <f aca="false">IF($U178="","",1+COUNTIF($X$15:$X$728,"&lt;"&amp;X178))</f>
        <v/>
      </c>
      <c r="B178" s="16" t="s">
        <v>6</v>
      </c>
      <c r="C178" s="16" t="s">
        <v>544</v>
      </c>
      <c r="D178" s="16" t="s">
        <v>51</v>
      </c>
      <c r="E178" s="16" t="s">
        <v>47</v>
      </c>
      <c r="F178" s="16" t="s">
        <v>545</v>
      </c>
      <c r="G178" s="16" t="s">
        <v>546</v>
      </c>
      <c r="H178" s="17" t="n">
        <v>1780</v>
      </c>
      <c r="I178" s="17"/>
      <c r="J178" s="17"/>
      <c r="K178" s="17" t="n">
        <v>1760</v>
      </c>
      <c r="L178" s="17" t="n">
        <f aca="false">IF(AND(IFERROR(SEARCH("현대오일뱅크",$C178),0)&gt;0,IFERROR(SEARCH("직영",$C178),0)&gt;0),$B$13,0)</f>
        <v>0</v>
      </c>
      <c r="M178" s="17" t="n">
        <f aca="false">IF($H178="","",$H178+$L178)</f>
        <v>1780</v>
      </c>
      <c r="N178" s="17" t="str">
        <f aca="false">IF($I178="","",$I178+$L178)</f>
        <v/>
      </c>
      <c r="O178" s="17" t="n">
        <f aca="false">IF($K178="","",$K178+$L178)</f>
        <v>1760</v>
      </c>
      <c r="P178" s="17" t="str">
        <f aca="false">IF($B$10=0,"",IFERROR(IF($B$4&gt;0,"휘발유 "&amp;TEXT(IF($M178="",1/0,$M178*$B$4),"#,##0")&amp;"원","")&amp;IF($B$5&gt;0,IF($B$4&gt;0," / ","")&amp;"고급유 "&amp;TEXT(IF($N178="",1/0,$N178*$B$5),"#,##0")&amp;"원","")&amp;IF($B$6&gt;0,IF(OR($B$4&gt;0,$B$5&gt;0)," / ","")&amp;"경유 "&amp;TEXT(IF($O178="",1/0,$O178*$B$6),"#,##0")&amp;"원",""),""))</f>
        <v/>
      </c>
      <c r="Q178" s="17" t="str">
        <f aca="false">IF($B$10=0,"",IFERROR(IF($B$4&gt;0,IF($M178="",1/0,$M178*$B$4),0)+IF($B$5&gt;0,IF($N178="",1/0,$N178*$B$5),0)+IF($B$6&gt;0,IF($O178="",1/0,$O178*$B$6),0),""))</f>
        <v/>
      </c>
      <c r="R178" s="17" t="s">
        <v>47</v>
      </c>
      <c r="S178" s="18" t="str">
        <f aca="false">IF($Q178="","",IF($R178="Y",IFERROR(VLOOKUP($B178,$C$4:$D$13,2,FALSE()),0),0))</f>
        <v/>
      </c>
      <c r="T178" s="17" t="str">
        <f aca="false">IF($Q178="","",ROUNDDOWN($Q178*$S178,0))</f>
        <v/>
      </c>
      <c r="U178" s="17" t="str">
        <f aca="false">IF($Q178="","",$Q178-$T178)</f>
        <v/>
      </c>
      <c r="V178" s="17" t="str">
        <f aca="false">IF($U178="","",IF($B$10=0,"",$U178/$B$10))</f>
        <v/>
      </c>
      <c r="W178" s="17" t="str">
        <f aca="false">IF($Q178="","",IF($B$10=0,"",$Q178/$B$10))</f>
        <v/>
      </c>
      <c r="X178" s="19" t="n">
        <f aca="false">IF($U178="",1000000000000000,$U178)</f>
        <v>1000000000000000</v>
      </c>
      <c r="XFC178" s="6"/>
    </row>
    <row r="179" s="5" customFormat="true" ht="28.5" hidden="false" customHeight="true" outlineLevel="0" collapsed="false">
      <c r="A179" s="16" t="str">
        <f aca="false">IF($U179="","",1+COUNTIF($X$15:$X$728,"&lt;"&amp;X179))</f>
        <v/>
      </c>
      <c r="B179" s="16" t="s">
        <v>18</v>
      </c>
      <c r="C179" s="16" t="s">
        <v>547</v>
      </c>
      <c r="D179" s="16" t="s">
        <v>58</v>
      </c>
      <c r="E179" s="16" t="s">
        <v>59</v>
      </c>
      <c r="F179" s="16" t="s">
        <v>548</v>
      </c>
      <c r="G179" s="16" t="s">
        <v>549</v>
      </c>
      <c r="H179" s="17" t="n">
        <v>1890</v>
      </c>
      <c r="I179" s="17"/>
      <c r="J179" s="17"/>
      <c r="K179" s="17" t="n">
        <v>1880</v>
      </c>
      <c r="L179" s="17" t="n">
        <f aca="false">IF(AND(IFERROR(SEARCH("현대오일뱅크",$C179),0)&gt;0,IFERROR(SEARCH("직영",$C179),0)&gt;0),$B$13,0)</f>
        <v>0</v>
      </c>
      <c r="M179" s="17" t="n">
        <f aca="false">IF($H179="","",$H179+$L179)</f>
        <v>1890</v>
      </c>
      <c r="N179" s="17" t="str">
        <f aca="false">IF($I179="","",$I179+$L179)</f>
        <v/>
      </c>
      <c r="O179" s="17" t="n">
        <f aca="false">IF($K179="","",$K179+$L179)</f>
        <v>1880</v>
      </c>
      <c r="P179" s="17" t="str">
        <f aca="false">IF($B$10=0,"",IFERROR(IF($B$4&gt;0,"휘발유 "&amp;TEXT(IF($M179="",1/0,$M179*$B$4),"#,##0")&amp;"원","")&amp;IF($B$5&gt;0,IF($B$4&gt;0," / ","")&amp;"고급유 "&amp;TEXT(IF($N179="",1/0,$N179*$B$5),"#,##0")&amp;"원","")&amp;IF($B$6&gt;0,IF(OR($B$4&gt;0,$B$5&gt;0)," / ","")&amp;"경유 "&amp;TEXT(IF($O179="",1/0,$O179*$B$6),"#,##0")&amp;"원",""),""))</f>
        <v/>
      </c>
      <c r="Q179" s="17" t="str">
        <f aca="false">IF($B$10=0,"",IFERROR(IF($B$4&gt;0,IF($M179="",1/0,$M179*$B$4),0)+IF($B$5&gt;0,IF($N179="",1/0,$N179*$B$5),0)+IF($B$6&gt;0,IF($O179="",1/0,$O179*$B$6),0),""))</f>
        <v/>
      </c>
      <c r="R179" s="17" t="s">
        <v>47</v>
      </c>
      <c r="S179" s="18" t="str">
        <f aca="false">IF($Q179="","",IF($R179="Y",IFERROR(VLOOKUP($B179,$C$4:$D$13,2,FALSE()),0),0))</f>
        <v/>
      </c>
      <c r="T179" s="17" t="str">
        <f aca="false">IF($Q179="","",ROUNDDOWN($Q179*$S179,0))</f>
        <v/>
      </c>
      <c r="U179" s="17" t="str">
        <f aca="false">IF($Q179="","",$Q179-$T179)</f>
        <v/>
      </c>
      <c r="V179" s="17" t="str">
        <f aca="false">IF($U179="","",IF($B$10=0,"",$U179/$B$10))</f>
        <v/>
      </c>
      <c r="W179" s="17" t="str">
        <f aca="false">IF($Q179="","",IF($B$10=0,"",$Q179/$B$10))</f>
        <v/>
      </c>
      <c r="X179" s="19" t="n">
        <f aca="false">IF($U179="",1000000000000000,$U179)</f>
        <v>1000000000000000</v>
      </c>
      <c r="XFC179" s="6"/>
    </row>
    <row r="180" s="5" customFormat="true" ht="28.5" hidden="false" customHeight="true" outlineLevel="0" collapsed="false">
      <c r="A180" s="16" t="str">
        <f aca="false">IF($U180="","",1+COUNTIF($X$15:$X$728,"&lt;"&amp;X180))</f>
        <v/>
      </c>
      <c r="B180" s="16" t="s">
        <v>18</v>
      </c>
      <c r="C180" s="16" t="s">
        <v>550</v>
      </c>
      <c r="D180" s="20" t="s">
        <v>108</v>
      </c>
      <c r="E180" s="16" t="s">
        <v>59</v>
      </c>
      <c r="F180" s="16" t="s">
        <v>551</v>
      </c>
      <c r="G180" s="16" t="s">
        <v>552</v>
      </c>
      <c r="H180" s="17" t="n">
        <v>1897</v>
      </c>
      <c r="I180" s="17"/>
      <c r="J180" s="17"/>
      <c r="K180" s="17" t="n">
        <v>1997</v>
      </c>
      <c r="L180" s="17" t="n">
        <f aca="false">IF(AND(IFERROR(SEARCH("현대오일뱅크",$C180),0)&gt;0,IFERROR(SEARCH("직영",$C180),0)&gt;0),$B$13,0)</f>
        <v>0</v>
      </c>
      <c r="M180" s="17" t="n">
        <f aca="false">IF($H180="","",$H180+$L180)</f>
        <v>1897</v>
      </c>
      <c r="N180" s="17" t="str">
        <f aca="false">IF($I180="","",$I180+$L180)</f>
        <v/>
      </c>
      <c r="O180" s="17" t="n">
        <f aca="false">IF($K180="","",$K180+$L180)</f>
        <v>1997</v>
      </c>
      <c r="P180" s="17" t="str">
        <f aca="false">IF($B$10=0,"",IFERROR(IF($B$4&gt;0,"휘발유 "&amp;TEXT(IF($M180="",1/0,$M180*$B$4),"#,##0")&amp;"원","")&amp;IF($B$5&gt;0,IF($B$4&gt;0," / ","")&amp;"고급유 "&amp;TEXT(IF($N180="",1/0,$N180*$B$5),"#,##0")&amp;"원","")&amp;IF($B$6&gt;0,IF(OR($B$4&gt;0,$B$5&gt;0)," / ","")&amp;"경유 "&amp;TEXT(IF($O180="",1/0,$O180*$B$6),"#,##0")&amp;"원",""),""))</f>
        <v/>
      </c>
      <c r="Q180" s="17" t="str">
        <f aca="false">IF($B$10=0,"",IFERROR(IF($B$4&gt;0,IF($M180="",1/0,$M180*$B$4),0)+IF($B$5&gt;0,IF($N180="",1/0,$N180*$B$5),0)+IF($B$6&gt;0,IF($O180="",1/0,$O180*$B$6),0),""))</f>
        <v/>
      </c>
      <c r="R180" s="17" t="s">
        <v>47</v>
      </c>
      <c r="S180" s="18" t="str">
        <f aca="false">IF($Q180="","",IF($R180="Y",IFERROR(VLOOKUP($B180,$C$4:$D$13,2,FALSE()),0),0))</f>
        <v/>
      </c>
      <c r="T180" s="17" t="str">
        <f aca="false">IF($Q180="","",ROUNDDOWN($Q180*$S180,0))</f>
        <v/>
      </c>
      <c r="U180" s="17" t="str">
        <f aca="false">IF($Q180="","",$Q180-$T180)</f>
        <v/>
      </c>
      <c r="V180" s="17" t="str">
        <f aca="false">IF($U180="","",IF($B$10=0,"",$U180/$B$10))</f>
        <v/>
      </c>
      <c r="W180" s="17" t="str">
        <f aca="false">IF($Q180="","",IF($B$10=0,"",$Q180/$B$10))</f>
        <v/>
      </c>
      <c r="X180" s="19" t="n">
        <f aca="false">IF($U180="",1000000000000000,$U180)</f>
        <v>1000000000000000</v>
      </c>
      <c r="XFC180" s="6"/>
    </row>
    <row r="181" s="5" customFormat="true" ht="28.5" hidden="false" customHeight="true" outlineLevel="0" collapsed="false">
      <c r="A181" s="16" t="str">
        <f aca="false">IF($U181="","",1+COUNTIF($X$15:$X$728,"&lt;"&amp;X181))</f>
        <v/>
      </c>
      <c r="B181" s="16" t="s">
        <v>18</v>
      </c>
      <c r="C181" s="16" t="s">
        <v>553</v>
      </c>
      <c r="D181" s="16" t="s">
        <v>58</v>
      </c>
      <c r="E181" s="16" t="s">
        <v>59</v>
      </c>
      <c r="F181" s="16" t="s">
        <v>554</v>
      </c>
      <c r="G181" s="16" t="s">
        <v>555</v>
      </c>
      <c r="H181" s="17" t="n">
        <v>1897</v>
      </c>
      <c r="I181" s="17"/>
      <c r="J181" s="17"/>
      <c r="K181" s="17" t="n">
        <v>1987</v>
      </c>
      <c r="L181" s="17" t="n">
        <f aca="false">IF(AND(IFERROR(SEARCH("현대오일뱅크",$C181),0)&gt;0,IFERROR(SEARCH("직영",$C181),0)&gt;0),$B$13,0)</f>
        <v>0</v>
      </c>
      <c r="M181" s="17" t="n">
        <f aca="false">IF($H181="","",$H181+$L181)</f>
        <v>1897</v>
      </c>
      <c r="N181" s="17" t="str">
        <f aca="false">IF($I181="","",$I181+$L181)</f>
        <v/>
      </c>
      <c r="O181" s="17" t="n">
        <f aca="false">IF($K181="","",$K181+$L181)</f>
        <v>1987</v>
      </c>
      <c r="P181" s="17" t="str">
        <f aca="false">IF($B$10=0,"",IFERROR(IF($B$4&gt;0,"휘발유 "&amp;TEXT(IF($M181="",1/0,$M181*$B$4),"#,##0")&amp;"원","")&amp;IF($B$5&gt;0,IF($B$4&gt;0," / ","")&amp;"고급유 "&amp;TEXT(IF($N181="",1/0,$N181*$B$5),"#,##0")&amp;"원","")&amp;IF($B$6&gt;0,IF(OR($B$4&gt;0,$B$5&gt;0)," / ","")&amp;"경유 "&amp;TEXT(IF($O181="",1/0,$O181*$B$6),"#,##0")&amp;"원",""),""))</f>
        <v/>
      </c>
      <c r="Q181" s="17" t="str">
        <f aca="false">IF($B$10=0,"",IFERROR(IF($B$4&gt;0,IF($M181="",1/0,$M181*$B$4),0)+IF($B$5&gt;0,IF($N181="",1/0,$N181*$B$5),0)+IF($B$6&gt;0,IF($O181="",1/0,$O181*$B$6),0),""))</f>
        <v/>
      </c>
      <c r="R181" s="17" t="s">
        <v>47</v>
      </c>
      <c r="S181" s="18" t="str">
        <f aca="false">IF($Q181="","",IF($R181="Y",IFERROR(VLOOKUP($B181,$C$4:$D$13,2,FALSE()),0),0))</f>
        <v/>
      </c>
      <c r="T181" s="17" t="str">
        <f aca="false">IF($Q181="","",ROUNDDOWN($Q181*$S181,0))</f>
        <v/>
      </c>
      <c r="U181" s="17" t="str">
        <f aca="false">IF($Q181="","",$Q181-$T181)</f>
        <v/>
      </c>
      <c r="V181" s="17" t="str">
        <f aca="false">IF($U181="","",IF($B$10=0,"",$U181/$B$10))</f>
        <v/>
      </c>
      <c r="W181" s="17" t="str">
        <f aca="false">IF($Q181="","",IF($B$10=0,"",$Q181/$B$10))</f>
        <v/>
      </c>
      <c r="X181" s="19" t="n">
        <f aca="false">IF($U181="",1000000000000000,$U181)</f>
        <v>1000000000000000</v>
      </c>
      <c r="XFC181" s="6"/>
    </row>
    <row r="182" s="5" customFormat="true" ht="28.5" hidden="false" customHeight="true" outlineLevel="0" collapsed="false">
      <c r="A182" s="16" t="str">
        <f aca="false">IF($U182="","",1+COUNTIF($X$15:$X$728,"&lt;"&amp;X182))</f>
        <v/>
      </c>
      <c r="B182" s="16" t="s">
        <v>18</v>
      </c>
      <c r="C182" s="16" t="s">
        <v>556</v>
      </c>
      <c r="D182" s="16" t="s">
        <v>58</v>
      </c>
      <c r="E182" s="16" t="s">
        <v>59</v>
      </c>
      <c r="F182" s="16" t="s">
        <v>557</v>
      </c>
      <c r="G182" s="16" t="s">
        <v>558</v>
      </c>
      <c r="H182" s="17" t="n">
        <v>1899</v>
      </c>
      <c r="I182" s="17"/>
      <c r="J182" s="17"/>
      <c r="K182" s="17" t="n">
        <v>1979</v>
      </c>
      <c r="L182" s="17" t="n">
        <f aca="false">IF(AND(IFERROR(SEARCH("현대오일뱅크",$C182),0)&gt;0,IFERROR(SEARCH("직영",$C182),0)&gt;0),$B$13,0)</f>
        <v>0</v>
      </c>
      <c r="M182" s="17" t="n">
        <f aca="false">IF($H182="","",$H182+$L182)</f>
        <v>1899</v>
      </c>
      <c r="N182" s="17" t="str">
        <f aca="false">IF($I182="","",$I182+$L182)</f>
        <v/>
      </c>
      <c r="O182" s="17" t="n">
        <f aca="false">IF($K182="","",$K182+$L182)</f>
        <v>1979</v>
      </c>
      <c r="P182" s="17" t="str">
        <f aca="false">IF($B$10=0,"",IFERROR(IF($B$4&gt;0,"휘발유 "&amp;TEXT(IF($M182="",1/0,$M182*$B$4),"#,##0")&amp;"원","")&amp;IF($B$5&gt;0,IF($B$4&gt;0," / ","")&amp;"고급유 "&amp;TEXT(IF($N182="",1/0,$N182*$B$5),"#,##0")&amp;"원","")&amp;IF($B$6&gt;0,IF(OR($B$4&gt;0,$B$5&gt;0)," / ","")&amp;"경유 "&amp;TEXT(IF($O182="",1/0,$O182*$B$6),"#,##0")&amp;"원",""),""))</f>
        <v/>
      </c>
      <c r="Q182" s="17" t="str">
        <f aca="false">IF($B$10=0,"",IFERROR(IF($B$4&gt;0,IF($M182="",1/0,$M182*$B$4),0)+IF($B$5&gt;0,IF($N182="",1/0,$N182*$B$5),0)+IF($B$6&gt;0,IF($O182="",1/0,$O182*$B$6),0),""))</f>
        <v/>
      </c>
      <c r="R182" s="17" t="s">
        <v>47</v>
      </c>
      <c r="S182" s="18" t="str">
        <f aca="false">IF($Q182="","",IF($R182="Y",IFERROR(VLOOKUP($B182,$C$4:$D$13,2,FALSE()),0),0))</f>
        <v/>
      </c>
      <c r="T182" s="17" t="str">
        <f aca="false">IF($Q182="","",ROUNDDOWN($Q182*$S182,0))</f>
        <v/>
      </c>
      <c r="U182" s="17" t="str">
        <f aca="false">IF($Q182="","",$Q182-$T182)</f>
        <v/>
      </c>
      <c r="V182" s="17" t="str">
        <f aca="false">IF($U182="","",IF($B$10=0,"",$U182/$B$10))</f>
        <v/>
      </c>
      <c r="W182" s="17" t="str">
        <f aca="false">IF($Q182="","",IF($B$10=0,"",$Q182/$B$10))</f>
        <v/>
      </c>
      <c r="X182" s="19" t="n">
        <f aca="false">IF($U182="",1000000000000000,$U182)</f>
        <v>1000000000000000</v>
      </c>
      <c r="XFC182" s="6"/>
    </row>
    <row r="183" s="5" customFormat="true" ht="28.5" hidden="false" customHeight="true" outlineLevel="0" collapsed="false">
      <c r="A183" s="16" t="str">
        <f aca="false">IF($U183="","",1+COUNTIF($X$15:$X$728,"&lt;"&amp;X183))</f>
        <v/>
      </c>
      <c r="B183" s="16" t="s">
        <v>18</v>
      </c>
      <c r="C183" s="16" t="s">
        <v>559</v>
      </c>
      <c r="D183" s="16" t="s">
        <v>51</v>
      </c>
      <c r="E183" s="16" t="s">
        <v>59</v>
      </c>
      <c r="F183" s="16" t="s">
        <v>560</v>
      </c>
      <c r="G183" s="16" t="s">
        <v>561</v>
      </c>
      <c r="H183" s="17" t="n">
        <v>1899</v>
      </c>
      <c r="I183" s="17"/>
      <c r="J183" s="17"/>
      <c r="K183" s="17" t="n">
        <v>1929</v>
      </c>
      <c r="L183" s="17" t="n">
        <f aca="false">IF(AND(IFERROR(SEARCH("현대오일뱅크",$C183),0)&gt;0,IFERROR(SEARCH("직영",$C183),0)&gt;0),$B$13,0)</f>
        <v>0</v>
      </c>
      <c r="M183" s="17" t="n">
        <f aca="false">IF($H183="","",$H183+$L183)</f>
        <v>1899</v>
      </c>
      <c r="N183" s="17" t="str">
        <f aca="false">IF($I183="","",$I183+$L183)</f>
        <v/>
      </c>
      <c r="O183" s="17" t="n">
        <f aca="false">IF($K183="","",$K183+$L183)</f>
        <v>1929</v>
      </c>
      <c r="P183" s="17" t="str">
        <f aca="false">IF($B$10=0,"",IFERROR(IF($B$4&gt;0,"휘발유 "&amp;TEXT(IF($M183="",1/0,$M183*$B$4),"#,##0")&amp;"원","")&amp;IF($B$5&gt;0,IF($B$4&gt;0," / ","")&amp;"고급유 "&amp;TEXT(IF($N183="",1/0,$N183*$B$5),"#,##0")&amp;"원","")&amp;IF($B$6&gt;0,IF(OR($B$4&gt;0,$B$5&gt;0)," / ","")&amp;"경유 "&amp;TEXT(IF($O183="",1/0,$O183*$B$6),"#,##0")&amp;"원",""),""))</f>
        <v/>
      </c>
      <c r="Q183" s="17" t="str">
        <f aca="false">IF($B$10=0,"",IFERROR(IF($B$4&gt;0,IF($M183="",1/0,$M183*$B$4),0)+IF($B$5&gt;0,IF($N183="",1/0,$N183*$B$5),0)+IF($B$6&gt;0,IF($O183="",1/0,$O183*$B$6),0),""))</f>
        <v/>
      </c>
      <c r="R183" s="17" t="s">
        <v>47</v>
      </c>
      <c r="S183" s="18" t="str">
        <f aca="false">IF($Q183="","",IF($R183="Y",IFERROR(VLOOKUP($B183,$C$4:$D$13,2,FALSE()),0),0))</f>
        <v/>
      </c>
      <c r="T183" s="17" t="str">
        <f aca="false">IF($Q183="","",ROUNDDOWN($Q183*$S183,0))</f>
        <v/>
      </c>
      <c r="U183" s="17" t="str">
        <f aca="false">IF($Q183="","",$Q183-$T183)</f>
        <v/>
      </c>
      <c r="V183" s="17" t="str">
        <f aca="false">IF($U183="","",IF($B$10=0,"",$U183/$B$10))</f>
        <v/>
      </c>
      <c r="W183" s="17" t="str">
        <f aca="false">IF($Q183="","",IF($B$10=0,"",$Q183/$B$10))</f>
        <v/>
      </c>
      <c r="X183" s="19" t="n">
        <f aca="false">IF($U183="",1000000000000000,$U183)</f>
        <v>1000000000000000</v>
      </c>
      <c r="XFC183" s="6"/>
    </row>
    <row r="184" s="5" customFormat="true" ht="28.5" hidden="false" customHeight="true" outlineLevel="0" collapsed="false">
      <c r="A184" s="16" t="str">
        <f aca="false">IF($U184="","",1+COUNTIF($X$15:$X$728,"&lt;"&amp;X184))</f>
        <v/>
      </c>
      <c r="B184" s="16" t="s">
        <v>18</v>
      </c>
      <c r="C184" s="16" t="s">
        <v>562</v>
      </c>
      <c r="D184" s="16" t="s">
        <v>51</v>
      </c>
      <c r="E184" s="16" t="s">
        <v>59</v>
      </c>
      <c r="F184" s="16" t="s">
        <v>563</v>
      </c>
      <c r="G184" s="16" t="s">
        <v>564</v>
      </c>
      <c r="H184" s="17" t="n">
        <v>1900</v>
      </c>
      <c r="I184" s="17"/>
      <c r="J184" s="17"/>
      <c r="K184" s="17" t="n">
        <v>1950</v>
      </c>
      <c r="L184" s="17" t="n">
        <f aca="false">IF(AND(IFERROR(SEARCH("현대오일뱅크",$C184),0)&gt;0,IFERROR(SEARCH("직영",$C184),0)&gt;0),$B$13,0)</f>
        <v>0</v>
      </c>
      <c r="M184" s="17" t="n">
        <f aca="false">IF($H184="","",$H184+$L184)</f>
        <v>1900</v>
      </c>
      <c r="N184" s="17" t="str">
        <f aca="false">IF($I184="","",$I184+$L184)</f>
        <v/>
      </c>
      <c r="O184" s="17" t="n">
        <f aca="false">IF($K184="","",$K184+$L184)</f>
        <v>1950</v>
      </c>
      <c r="P184" s="17" t="str">
        <f aca="false">IF($B$10=0,"",IFERROR(IF($B$4&gt;0,"휘발유 "&amp;TEXT(IF($M184="",1/0,$M184*$B$4),"#,##0")&amp;"원","")&amp;IF($B$5&gt;0,IF($B$4&gt;0," / ","")&amp;"고급유 "&amp;TEXT(IF($N184="",1/0,$N184*$B$5),"#,##0")&amp;"원","")&amp;IF($B$6&gt;0,IF(OR($B$4&gt;0,$B$5&gt;0)," / ","")&amp;"경유 "&amp;TEXT(IF($O184="",1/0,$O184*$B$6),"#,##0")&amp;"원",""),""))</f>
        <v/>
      </c>
      <c r="Q184" s="17" t="str">
        <f aca="false">IF($B$10=0,"",IFERROR(IF($B$4&gt;0,IF($M184="",1/0,$M184*$B$4),0)+IF($B$5&gt;0,IF($N184="",1/0,$N184*$B$5),0)+IF($B$6&gt;0,IF($O184="",1/0,$O184*$B$6),0),""))</f>
        <v/>
      </c>
      <c r="R184" s="17" t="s">
        <v>47</v>
      </c>
      <c r="S184" s="18" t="str">
        <f aca="false">IF($Q184="","",IF($R184="Y",IFERROR(VLOOKUP($B184,$C$4:$D$13,2,FALSE()),0),0))</f>
        <v/>
      </c>
      <c r="T184" s="17" t="str">
        <f aca="false">IF($Q184="","",ROUNDDOWN($Q184*$S184,0))</f>
        <v/>
      </c>
      <c r="U184" s="17" t="str">
        <f aca="false">IF($Q184="","",$Q184-$T184)</f>
        <v/>
      </c>
      <c r="V184" s="17" t="str">
        <f aca="false">IF($U184="","",IF($B$10=0,"",$U184/$B$10))</f>
        <v/>
      </c>
      <c r="W184" s="17" t="str">
        <f aca="false">IF($Q184="","",IF($B$10=0,"",$Q184/$B$10))</f>
        <v/>
      </c>
      <c r="X184" s="19" t="n">
        <f aca="false">IF($U184="",1000000000000000,$U184)</f>
        <v>1000000000000000</v>
      </c>
      <c r="XFC184" s="6"/>
    </row>
    <row r="185" s="5" customFormat="true" ht="28.5" hidden="false" customHeight="true" outlineLevel="0" collapsed="false">
      <c r="A185" s="16" t="str">
        <f aca="false">IF($U185="","",1+COUNTIF($X$15:$X$728,"&lt;"&amp;X185))</f>
        <v/>
      </c>
      <c r="B185" s="16" t="s">
        <v>18</v>
      </c>
      <c r="C185" s="16" t="s">
        <v>565</v>
      </c>
      <c r="D185" s="20" t="s">
        <v>108</v>
      </c>
      <c r="E185" s="16" t="s">
        <v>59</v>
      </c>
      <c r="F185" s="16" t="s">
        <v>566</v>
      </c>
      <c r="G185" s="16" t="s">
        <v>567</v>
      </c>
      <c r="H185" s="17" t="n">
        <v>1915</v>
      </c>
      <c r="I185" s="17"/>
      <c r="J185" s="17"/>
      <c r="K185" s="17" t="n">
        <v>1955</v>
      </c>
      <c r="L185" s="17" t="n">
        <f aca="false">IF(AND(IFERROR(SEARCH("현대오일뱅크",$C185),0)&gt;0,IFERROR(SEARCH("직영",$C185),0)&gt;0),$B$13,0)</f>
        <v>0</v>
      </c>
      <c r="M185" s="17" t="n">
        <f aca="false">IF($H185="","",$H185+$L185)</f>
        <v>1915</v>
      </c>
      <c r="N185" s="17" t="str">
        <f aca="false">IF($I185="","",$I185+$L185)</f>
        <v/>
      </c>
      <c r="O185" s="17" t="n">
        <f aca="false">IF($K185="","",$K185+$L185)</f>
        <v>1955</v>
      </c>
      <c r="P185" s="17" t="str">
        <f aca="false">IF($B$10=0,"",IFERROR(IF($B$4&gt;0,"휘발유 "&amp;TEXT(IF($M185="",1/0,$M185*$B$4),"#,##0")&amp;"원","")&amp;IF($B$5&gt;0,IF($B$4&gt;0," / ","")&amp;"고급유 "&amp;TEXT(IF($N185="",1/0,$N185*$B$5),"#,##0")&amp;"원","")&amp;IF($B$6&gt;0,IF(OR($B$4&gt;0,$B$5&gt;0)," / ","")&amp;"경유 "&amp;TEXT(IF($O185="",1/0,$O185*$B$6),"#,##0")&amp;"원",""),""))</f>
        <v/>
      </c>
      <c r="Q185" s="17" t="str">
        <f aca="false">IF($B$10=0,"",IFERROR(IF($B$4&gt;0,IF($M185="",1/0,$M185*$B$4),0)+IF($B$5&gt;0,IF($N185="",1/0,$N185*$B$5),0)+IF($B$6&gt;0,IF($O185="",1/0,$O185*$B$6),0),""))</f>
        <v/>
      </c>
      <c r="R185" s="17" t="s">
        <v>47</v>
      </c>
      <c r="S185" s="18" t="str">
        <f aca="false">IF($Q185="","",IF($R185="Y",IFERROR(VLOOKUP($B185,$C$4:$D$13,2,FALSE()),0),0))</f>
        <v/>
      </c>
      <c r="T185" s="17" t="str">
        <f aca="false">IF($Q185="","",ROUNDDOWN($Q185*$S185,0))</f>
        <v/>
      </c>
      <c r="U185" s="17" t="str">
        <f aca="false">IF($Q185="","",$Q185-$T185)</f>
        <v/>
      </c>
      <c r="V185" s="17" t="str">
        <f aca="false">IF($U185="","",IF($B$10=0,"",$U185/$B$10))</f>
        <v/>
      </c>
      <c r="W185" s="17" t="str">
        <f aca="false">IF($Q185="","",IF($B$10=0,"",$Q185/$B$10))</f>
        <v/>
      </c>
      <c r="X185" s="19" t="n">
        <f aca="false">IF($U185="",1000000000000000,$U185)</f>
        <v>1000000000000000</v>
      </c>
      <c r="XFC185" s="6"/>
    </row>
    <row r="186" s="5" customFormat="true" ht="28.5" hidden="false" customHeight="true" outlineLevel="0" collapsed="false">
      <c r="A186" s="16" t="str">
        <f aca="false">IF($U186="","",1+COUNTIF($X$15:$X$728,"&lt;"&amp;X186))</f>
        <v/>
      </c>
      <c r="B186" s="16" t="s">
        <v>18</v>
      </c>
      <c r="C186" s="16" t="s">
        <v>568</v>
      </c>
      <c r="D186" s="16" t="s">
        <v>51</v>
      </c>
      <c r="E186" s="16" t="s">
        <v>47</v>
      </c>
      <c r="F186" s="16" t="s">
        <v>569</v>
      </c>
      <c r="G186" s="16" t="s">
        <v>570</v>
      </c>
      <c r="H186" s="17" t="n">
        <v>1915</v>
      </c>
      <c r="I186" s="17"/>
      <c r="J186" s="17"/>
      <c r="K186" s="17" t="n">
        <v>1890</v>
      </c>
      <c r="L186" s="17" t="n">
        <f aca="false">IF(AND(IFERROR(SEARCH("현대오일뱅크",$C186),0)&gt;0,IFERROR(SEARCH("직영",$C186),0)&gt;0),$B$13,0)</f>
        <v>0</v>
      </c>
      <c r="M186" s="17" t="n">
        <f aca="false">IF($H186="","",$H186+$L186)</f>
        <v>1915</v>
      </c>
      <c r="N186" s="17" t="str">
        <f aca="false">IF($I186="","",$I186+$L186)</f>
        <v/>
      </c>
      <c r="O186" s="17" t="n">
        <f aca="false">IF($K186="","",$K186+$L186)</f>
        <v>1890</v>
      </c>
      <c r="P186" s="17" t="str">
        <f aca="false">IF($B$10=0,"",IFERROR(IF($B$4&gt;0,"휘발유 "&amp;TEXT(IF($M186="",1/0,$M186*$B$4),"#,##0")&amp;"원","")&amp;IF($B$5&gt;0,IF($B$4&gt;0," / ","")&amp;"고급유 "&amp;TEXT(IF($N186="",1/0,$N186*$B$5),"#,##0")&amp;"원","")&amp;IF($B$6&gt;0,IF(OR($B$4&gt;0,$B$5&gt;0)," / ","")&amp;"경유 "&amp;TEXT(IF($O186="",1/0,$O186*$B$6),"#,##0")&amp;"원",""),""))</f>
        <v/>
      </c>
      <c r="Q186" s="17" t="str">
        <f aca="false">IF($B$10=0,"",IFERROR(IF($B$4&gt;0,IF($M186="",1/0,$M186*$B$4),0)+IF($B$5&gt;0,IF($N186="",1/0,$N186*$B$5),0)+IF($B$6&gt;0,IF($O186="",1/0,$O186*$B$6),0),""))</f>
        <v/>
      </c>
      <c r="R186" s="17" t="s">
        <v>47</v>
      </c>
      <c r="S186" s="18" t="str">
        <f aca="false">IF($Q186="","",IF($R186="Y",IFERROR(VLOOKUP($B186,$C$4:$D$13,2,FALSE()),0),0))</f>
        <v/>
      </c>
      <c r="T186" s="17" t="str">
        <f aca="false">IF($Q186="","",ROUNDDOWN($Q186*$S186,0))</f>
        <v/>
      </c>
      <c r="U186" s="17" t="str">
        <f aca="false">IF($Q186="","",$Q186-$T186)</f>
        <v/>
      </c>
      <c r="V186" s="17" t="str">
        <f aca="false">IF($U186="","",IF($B$10=0,"",$U186/$B$10))</f>
        <v/>
      </c>
      <c r="W186" s="17" t="str">
        <f aca="false">IF($Q186="","",IF($B$10=0,"",$Q186/$B$10))</f>
        <v/>
      </c>
      <c r="X186" s="19" t="n">
        <f aca="false">IF($U186="",1000000000000000,$U186)</f>
        <v>1000000000000000</v>
      </c>
      <c r="XFC186" s="6"/>
    </row>
    <row r="187" s="5" customFormat="true" ht="28.5" hidden="false" customHeight="true" outlineLevel="0" collapsed="false">
      <c r="A187" s="16" t="str">
        <f aca="false">IF($U187="","",1+COUNTIF($X$15:$X$728,"&lt;"&amp;X187))</f>
        <v/>
      </c>
      <c r="B187" s="16" t="s">
        <v>18</v>
      </c>
      <c r="C187" s="16" t="s">
        <v>571</v>
      </c>
      <c r="D187" s="20" t="s">
        <v>108</v>
      </c>
      <c r="E187" s="16" t="s">
        <v>59</v>
      </c>
      <c r="F187" s="16" t="s">
        <v>572</v>
      </c>
      <c r="G187" s="16" t="s">
        <v>573</v>
      </c>
      <c r="H187" s="17" t="n">
        <v>1915</v>
      </c>
      <c r="I187" s="17"/>
      <c r="J187" s="17"/>
      <c r="K187" s="17" t="n">
        <v>1933</v>
      </c>
      <c r="L187" s="17" t="n">
        <f aca="false">IF(AND(IFERROR(SEARCH("현대오일뱅크",$C187),0)&gt;0,IFERROR(SEARCH("직영",$C187),0)&gt;0),$B$13,0)</f>
        <v>0</v>
      </c>
      <c r="M187" s="17" t="n">
        <f aca="false">IF($H187="","",$H187+$L187)</f>
        <v>1915</v>
      </c>
      <c r="N187" s="17" t="str">
        <f aca="false">IF($I187="","",$I187+$L187)</f>
        <v/>
      </c>
      <c r="O187" s="17" t="n">
        <f aca="false">IF($K187="","",$K187+$L187)</f>
        <v>1933</v>
      </c>
      <c r="P187" s="17" t="str">
        <f aca="false">IF($B$10=0,"",IFERROR(IF($B$4&gt;0,"휘발유 "&amp;TEXT(IF($M187="",1/0,$M187*$B$4),"#,##0")&amp;"원","")&amp;IF($B$5&gt;0,IF($B$4&gt;0," / ","")&amp;"고급유 "&amp;TEXT(IF($N187="",1/0,$N187*$B$5),"#,##0")&amp;"원","")&amp;IF($B$6&gt;0,IF(OR($B$4&gt;0,$B$5&gt;0)," / ","")&amp;"경유 "&amp;TEXT(IF($O187="",1/0,$O187*$B$6),"#,##0")&amp;"원",""),""))</f>
        <v/>
      </c>
      <c r="Q187" s="17" t="str">
        <f aca="false">IF($B$10=0,"",IFERROR(IF($B$4&gt;0,IF($M187="",1/0,$M187*$B$4),0)+IF($B$5&gt;0,IF($N187="",1/0,$N187*$B$5),0)+IF($B$6&gt;0,IF($O187="",1/0,$O187*$B$6),0),""))</f>
        <v/>
      </c>
      <c r="R187" s="17" t="s">
        <v>47</v>
      </c>
      <c r="S187" s="18" t="str">
        <f aca="false">IF($Q187="","",IF($R187="Y",IFERROR(VLOOKUP($B187,$C$4:$D$13,2,FALSE()),0),0))</f>
        <v/>
      </c>
      <c r="T187" s="17" t="str">
        <f aca="false">IF($Q187="","",ROUNDDOWN($Q187*$S187,0))</f>
        <v/>
      </c>
      <c r="U187" s="17" t="str">
        <f aca="false">IF($Q187="","",$Q187-$T187)</f>
        <v/>
      </c>
      <c r="V187" s="17" t="str">
        <f aca="false">IF($U187="","",IF($B$10=0,"",$U187/$B$10))</f>
        <v/>
      </c>
      <c r="W187" s="17" t="str">
        <f aca="false">IF($Q187="","",IF($B$10=0,"",$Q187/$B$10))</f>
        <v/>
      </c>
      <c r="X187" s="19" t="n">
        <f aca="false">IF($U187="",1000000000000000,$U187)</f>
        <v>1000000000000000</v>
      </c>
      <c r="XFC187" s="6"/>
    </row>
    <row r="188" s="5" customFormat="true" ht="28.5" hidden="false" customHeight="true" outlineLevel="0" collapsed="false">
      <c r="A188" s="16" t="str">
        <f aca="false">IF($U188="","",1+COUNTIF($X$15:$X$728,"&lt;"&amp;X188))</f>
        <v/>
      </c>
      <c r="B188" s="16" t="s">
        <v>18</v>
      </c>
      <c r="C188" s="16" t="s">
        <v>574</v>
      </c>
      <c r="D188" s="16" t="s">
        <v>51</v>
      </c>
      <c r="E188" s="16" t="s">
        <v>47</v>
      </c>
      <c r="F188" s="16" t="s">
        <v>575</v>
      </c>
      <c r="G188" s="16" t="s">
        <v>576</v>
      </c>
      <c r="H188" s="17" t="n">
        <v>1922</v>
      </c>
      <c r="I188" s="17"/>
      <c r="J188" s="17"/>
      <c r="K188" s="17" t="n">
        <v>1932</v>
      </c>
      <c r="L188" s="17" t="n">
        <f aca="false">IF(AND(IFERROR(SEARCH("현대오일뱅크",$C188),0)&gt;0,IFERROR(SEARCH("직영",$C188),0)&gt;0),$B$13,0)</f>
        <v>0</v>
      </c>
      <c r="M188" s="17" t="n">
        <f aca="false">IF($H188="","",$H188+$L188)</f>
        <v>1922</v>
      </c>
      <c r="N188" s="17" t="str">
        <f aca="false">IF($I188="","",$I188+$L188)</f>
        <v/>
      </c>
      <c r="O188" s="17" t="n">
        <f aca="false">IF($K188="","",$K188+$L188)</f>
        <v>1932</v>
      </c>
      <c r="P188" s="17" t="str">
        <f aca="false">IF($B$10=0,"",IFERROR(IF($B$4&gt;0,"휘발유 "&amp;TEXT(IF($M188="",1/0,$M188*$B$4),"#,##0")&amp;"원","")&amp;IF($B$5&gt;0,IF($B$4&gt;0," / ","")&amp;"고급유 "&amp;TEXT(IF($N188="",1/0,$N188*$B$5),"#,##0")&amp;"원","")&amp;IF($B$6&gt;0,IF(OR($B$4&gt;0,$B$5&gt;0)," / ","")&amp;"경유 "&amp;TEXT(IF($O188="",1/0,$O188*$B$6),"#,##0")&amp;"원",""),""))</f>
        <v/>
      </c>
      <c r="Q188" s="17" t="str">
        <f aca="false">IF($B$10=0,"",IFERROR(IF($B$4&gt;0,IF($M188="",1/0,$M188*$B$4),0)+IF($B$5&gt;0,IF($N188="",1/0,$N188*$B$5),0)+IF($B$6&gt;0,IF($O188="",1/0,$O188*$B$6),0),""))</f>
        <v/>
      </c>
      <c r="R188" s="17" t="s">
        <v>47</v>
      </c>
      <c r="S188" s="18" t="str">
        <f aca="false">IF($Q188="","",IF($R188="Y",IFERROR(VLOOKUP($B188,$C$4:$D$13,2,FALSE()),0),0))</f>
        <v/>
      </c>
      <c r="T188" s="17" t="str">
        <f aca="false">IF($Q188="","",ROUNDDOWN($Q188*$S188,0))</f>
        <v/>
      </c>
      <c r="U188" s="17" t="str">
        <f aca="false">IF($Q188="","",$Q188-$T188)</f>
        <v/>
      </c>
      <c r="V188" s="17" t="str">
        <f aca="false">IF($U188="","",IF($B$10=0,"",$U188/$B$10))</f>
        <v/>
      </c>
      <c r="W188" s="17" t="str">
        <f aca="false">IF($Q188="","",IF($B$10=0,"",$Q188/$B$10))</f>
        <v/>
      </c>
      <c r="X188" s="19" t="n">
        <f aca="false">IF($U188="",1000000000000000,$U188)</f>
        <v>1000000000000000</v>
      </c>
      <c r="XFC188" s="6"/>
    </row>
    <row r="189" s="5" customFormat="true" ht="28.5" hidden="false" customHeight="true" outlineLevel="0" collapsed="false">
      <c r="A189" s="16" t="str">
        <f aca="false">IF($U189="","",1+COUNTIF($X$15:$X$728,"&lt;"&amp;X189))</f>
        <v/>
      </c>
      <c r="B189" s="16" t="s">
        <v>18</v>
      </c>
      <c r="C189" s="16" t="s">
        <v>577</v>
      </c>
      <c r="D189" s="16" t="s">
        <v>112</v>
      </c>
      <c r="E189" s="16" t="s">
        <v>47</v>
      </c>
      <c r="F189" s="16" t="s">
        <v>578</v>
      </c>
      <c r="G189" s="16" t="s">
        <v>579</v>
      </c>
      <c r="H189" s="17" t="n">
        <v>1922</v>
      </c>
      <c r="I189" s="17"/>
      <c r="J189" s="17"/>
      <c r="K189" s="17" t="n">
        <v>1952</v>
      </c>
      <c r="L189" s="17" t="n">
        <f aca="false">IF(AND(IFERROR(SEARCH("현대오일뱅크",$C189),0)&gt;0,IFERROR(SEARCH("직영",$C189),0)&gt;0),$B$13,0)</f>
        <v>0</v>
      </c>
      <c r="M189" s="17" t="n">
        <f aca="false">IF($H189="","",$H189+$L189)</f>
        <v>1922</v>
      </c>
      <c r="N189" s="17" t="str">
        <f aca="false">IF($I189="","",$I189+$L189)</f>
        <v/>
      </c>
      <c r="O189" s="17" t="n">
        <f aca="false">IF($K189="","",$K189+$L189)</f>
        <v>1952</v>
      </c>
      <c r="P189" s="17" t="str">
        <f aca="false">IF($B$10=0,"",IFERROR(IF($B$4&gt;0,"휘발유 "&amp;TEXT(IF($M189="",1/0,$M189*$B$4),"#,##0")&amp;"원","")&amp;IF($B$5&gt;0,IF($B$4&gt;0," / ","")&amp;"고급유 "&amp;TEXT(IF($N189="",1/0,$N189*$B$5),"#,##0")&amp;"원","")&amp;IF($B$6&gt;0,IF(OR($B$4&gt;0,$B$5&gt;0)," / ","")&amp;"경유 "&amp;TEXT(IF($O189="",1/0,$O189*$B$6),"#,##0")&amp;"원",""),""))</f>
        <v/>
      </c>
      <c r="Q189" s="17" t="str">
        <f aca="false">IF($B$10=0,"",IFERROR(IF($B$4&gt;0,IF($M189="",1/0,$M189*$B$4),0)+IF($B$5&gt;0,IF($N189="",1/0,$N189*$B$5),0)+IF($B$6&gt;0,IF($O189="",1/0,$O189*$B$6),0),""))</f>
        <v/>
      </c>
      <c r="R189" s="17" t="s">
        <v>47</v>
      </c>
      <c r="S189" s="18" t="str">
        <f aca="false">IF($Q189="","",IF($R189="Y",IFERROR(VLOOKUP($B189,$C$4:$D$13,2,FALSE()),0),0))</f>
        <v/>
      </c>
      <c r="T189" s="17" t="str">
        <f aca="false">IF($Q189="","",ROUNDDOWN($Q189*$S189,0))</f>
        <v/>
      </c>
      <c r="U189" s="17" t="str">
        <f aca="false">IF($Q189="","",$Q189-$T189)</f>
        <v/>
      </c>
      <c r="V189" s="17" t="str">
        <f aca="false">IF($U189="","",IF($B$10=0,"",$U189/$B$10))</f>
        <v/>
      </c>
      <c r="W189" s="17" t="str">
        <f aca="false">IF($Q189="","",IF($B$10=0,"",$Q189/$B$10))</f>
        <v/>
      </c>
      <c r="X189" s="19" t="n">
        <f aca="false">IF($U189="",1000000000000000,$U189)</f>
        <v>1000000000000000</v>
      </c>
      <c r="XFC189" s="6"/>
    </row>
    <row r="190" s="5" customFormat="true" ht="28.5" hidden="false" customHeight="true" outlineLevel="0" collapsed="false">
      <c r="A190" s="16" t="str">
        <f aca="false">IF($U190="","",1+COUNTIF($X$15:$X$728,"&lt;"&amp;X190))</f>
        <v/>
      </c>
      <c r="B190" s="16" t="s">
        <v>16</v>
      </c>
      <c r="C190" s="16" t="s">
        <v>580</v>
      </c>
      <c r="D190" s="16" t="s">
        <v>58</v>
      </c>
      <c r="E190" s="16" t="s">
        <v>47</v>
      </c>
      <c r="F190" s="16" t="s">
        <v>581</v>
      </c>
      <c r="G190" s="16" t="s">
        <v>582</v>
      </c>
      <c r="H190" s="17" t="n">
        <v>1860</v>
      </c>
      <c r="I190" s="17"/>
      <c r="J190" s="17"/>
      <c r="K190" s="17" t="n">
        <v>1870</v>
      </c>
      <c r="L190" s="17" t="n">
        <f aca="false">IF(AND(IFERROR(SEARCH("현대오일뱅크",$C190),0)&gt;0,IFERROR(SEARCH("직영",$C190),0)&gt;0),$B$13,0)</f>
        <v>0</v>
      </c>
      <c r="M190" s="17" t="n">
        <f aca="false">IF($H190="","",$H190+$L190)</f>
        <v>1860</v>
      </c>
      <c r="N190" s="17" t="str">
        <f aca="false">IF($I190="","",$I190+$L190)</f>
        <v/>
      </c>
      <c r="O190" s="17" t="n">
        <f aca="false">IF($K190="","",$K190+$L190)</f>
        <v>1870</v>
      </c>
      <c r="P190" s="17" t="str">
        <f aca="false">IF($B$10=0,"",IFERROR(IF($B$4&gt;0,"휘발유 "&amp;TEXT(IF($M190="",1/0,$M190*$B$4),"#,##0")&amp;"원","")&amp;IF($B$5&gt;0,IF($B$4&gt;0," / ","")&amp;"고급유 "&amp;TEXT(IF($N190="",1/0,$N190*$B$5),"#,##0")&amp;"원","")&amp;IF($B$6&gt;0,IF(OR($B$4&gt;0,$B$5&gt;0)," / ","")&amp;"경유 "&amp;TEXT(IF($O190="",1/0,$O190*$B$6),"#,##0")&amp;"원",""),""))</f>
        <v/>
      </c>
      <c r="Q190" s="17" t="str">
        <f aca="false">IF($B$10=0,"",IFERROR(IF($B$4&gt;0,IF($M190="",1/0,$M190*$B$4),0)+IF($B$5&gt;0,IF($N190="",1/0,$N190*$B$5),0)+IF($B$6&gt;0,IF($O190="",1/0,$O190*$B$6),0),""))</f>
        <v/>
      </c>
      <c r="R190" s="17" t="s">
        <v>47</v>
      </c>
      <c r="S190" s="18" t="str">
        <f aca="false">IF($Q190="","",IF($R190="Y",IFERROR(VLOOKUP($B190,$C$4:$D$13,2,FALSE()),0),0))</f>
        <v/>
      </c>
      <c r="T190" s="17" t="str">
        <f aca="false">IF($Q190="","",ROUNDDOWN($Q190*$S190,0))</f>
        <v/>
      </c>
      <c r="U190" s="17" t="str">
        <f aca="false">IF($Q190="","",$Q190-$T190)</f>
        <v/>
      </c>
      <c r="V190" s="17" t="str">
        <f aca="false">IF($U190="","",IF($B$10=0,"",$U190/$B$10))</f>
        <v/>
      </c>
      <c r="W190" s="17" t="str">
        <f aca="false">IF($Q190="","",IF($B$10=0,"",$Q190/$B$10))</f>
        <v/>
      </c>
      <c r="X190" s="19" t="n">
        <f aca="false">IF($U190="",1000000000000000,$U190)</f>
        <v>1000000000000000</v>
      </c>
      <c r="XFC190" s="6"/>
    </row>
    <row r="191" s="5" customFormat="true" ht="28.5" hidden="false" customHeight="true" outlineLevel="0" collapsed="false">
      <c r="A191" s="16" t="str">
        <f aca="false">IF($U191="","",1+COUNTIF($X$15:$X$728,"&lt;"&amp;X191))</f>
        <v/>
      </c>
      <c r="B191" s="16" t="s">
        <v>18</v>
      </c>
      <c r="C191" s="16" t="s">
        <v>583</v>
      </c>
      <c r="D191" s="16" t="s">
        <v>58</v>
      </c>
      <c r="E191" s="16" t="s">
        <v>47</v>
      </c>
      <c r="F191" s="16" t="s">
        <v>584</v>
      </c>
      <c r="G191" s="16" t="s">
        <v>585</v>
      </c>
      <c r="H191" s="17" t="n">
        <v>1929</v>
      </c>
      <c r="I191" s="17"/>
      <c r="J191" s="17"/>
      <c r="K191" s="17" t="n">
        <v>1959</v>
      </c>
      <c r="L191" s="17" t="n">
        <f aca="false">IF(AND(IFERROR(SEARCH("현대오일뱅크",$C191),0)&gt;0,IFERROR(SEARCH("직영",$C191),0)&gt;0),$B$13,0)</f>
        <v>0</v>
      </c>
      <c r="M191" s="17" t="n">
        <f aca="false">IF($H191="","",$H191+$L191)</f>
        <v>1929</v>
      </c>
      <c r="N191" s="17" t="str">
        <f aca="false">IF($I191="","",$I191+$L191)</f>
        <v/>
      </c>
      <c r="O191" s="17" t="n">
        <f aca="false">IF($K191="","",$K191+$L191)</f>
        <v>1959</v>
      </c>
      <c r="P191" s="17" t="str">
        <f aca="false">IF($B$10=0,"",IFERROR(IF($B$4&gt;0,"휘발유 "&amp;TEXT(IF($M191="",1/0,$M191*$B$4),"#,##0")&amp;"원","")&amp;IF($B$5&gt;0,IF($B$4&gt;0," / ","")&amp;"고급유 "&amp;TEXT(IF($N191="",1/0,$N191*$B$5),"#,##0")&amp;"원","")&amp;IF($B$6&gt;0,IF(OR($B$4&gt;0,$B$5&gt;0)," / ","")&amp;"경유 "&amp;TEXT(IF($O191="",1/0,$O191*$B$6),"#,##0")&amp;"원",""),""))</f>
        <v/>
      </c>
      <c r="Q191" s="17" t="str">
        <f aca="false">IF($B$10=0,"",IFERROR(IF($B$4&gt;0,IF($M191="",1/0,$M191*$B$4),0)+IF($B$5&gt;0,IF($N191="",1/0,$N191*$B$5),0)+IF($B$6&gt;0,IF($O191="",1/0,$O191*$B$6),0),""))</f>
        <v/>
      </c>
      <c r="R191" s="17" t="s">
        <v>47</v>
      </c>
      <c r="S191" s="18" t="str">
        <f aca="false">IF($Q191="","",IF($R191="Y",IFERROR(VLOOKUP($B191,$C$4:$D$13,2,FALSE()),0),0))</f>
        <v/>
      </c>
      <c r="T191" s="17" t="str">
        <f aca="false">IF($Q191="","",ROUNDDOWN($Q191*$S191,0))</f>
        <v/>
      </c>
      <c r="U191" s="17" t="str">
        <f aca="false">IF($Q191="","",$Q191-$T191)</f>
        <v/>
      </c>
      <c r="V191" s="17" t="str">
        <f aca="false">IF($U191="","",IF($B$10=0,"",$U191/$B$10))</f>
        <v/>
      </c>
      <c r="W191" s="17" t="str">
        <f aca="false">IF($Q191="","",IF($B$10=0,"",$Q191/$B$10))</f>
        <v/>
      </c>
      <c r="X191" s="19" t="n">
        <f aca="false">IF($U191="",1000000000000000,$U191)</f>
        <v>1000000000000000</v>
      </c>
      <c r="XFC191" s="6"/>
    </row>
    <row r="192" s="5" customFormat="true" ht="28.5" hidden="false" customHeight="true" outlineLevel="0" collapsed="false">
      <c r="A192" s="16" t="str">
        <f aca="false">IF($U192="","",1+COUNTIF($X$15:$X$728,"&lt;"&amp;X192))</f>
        <v/>
      </c>
      <c r="B192" s="16" t="s">
        <v>18</v>
      </c>
      <c r="C192" s="16" t="s">
        <v>586</v>
      </c>
      <c r="D192" s="16" t="s">
        <v>112</v>
      </c>
      <c r="E192" s="16" t="s">
        <v>59</v>
      </c>
      <c r="F192" s="16" t="s">
        <v>587</v>
      </c>
      <c r="G192" s="16" t="s">
        <v>588</v>
      </c>
      <c r="H192" s="17" t="n">
        <v>1935</v>
      </c>
      <c r="I192" s="17"/>
      <c r="J192" s="17"/>
      <c r="K192" s="17" t="n">
        <v>1935</v>
      </c>
      <c r="L192" s="17" t="n">
        <f aca="false">IF(AND(IFERROR(SEARCH("현대오일뱅크",$C192),0)&gt;0,IFERROR(SEARCH("직영",$C192),0)&gt;0),$B$13,0)</f>
        <v>0</v>
      </c>
      <c r="M192" s="17" t="n">
        <f aca="false">IF($H192="","",$H192+$L192)</f>
        <v>1935</v>
      </c>
      <c r="N192" s="17" t="str">
        <f aca="false">IF($I192="","",$I192+$L192)</f>
        <v/>
      </c>
      <c r="O192" s="17" t="n">
        <f aca="false">IF($K192="","",$K192+$L192)</f>
        <v>1935</v>
      </c>
      <c r="P192" s="17" t="str">
        <f aca="false">IF($B$10=0,"",IFERROR(IF($B$4&gt;0,"휘발유 "&amp;TEXT(IF($M192="",1/0,$M192*$B$4),"#,##0")&amp;"원","")&amp;IF($B$5&gt;0,IF($B$4&gt;0," / ","")&amp;"고급유 "&amp;TEXT(IF($N192="",1/0,$N192*$B$5),"#,##0")&amp;"원","")&amp;IF($B$6&gt;0,IF(OR($B$4&gt;0,$B$5&gt;0)," / ","")&amp;"경유 "&amp;TEXT(IF($O192="",1/0,$O192*$B$6),"#,##0")&amp;"원",""),""))</f>
        <v/>
      </c>
      <c r="Q192" s="17" t="str">
        <f aca="false">IF($B$10=0,"",IFERROR(IF($B$4&gt;0,IF($M192="",1/0,$M192*$B$4),0)+IF($B$5&gt;0,IF($N192="",1/0,$N192*$B$5),0)+IF($B$6&gt;0,IF($O192="",1/0,$O192*$B$6),0),""))</f>
        <v/>
      </c>
      <c r="R192" s="17" t="s">
        <v>47</v>
      </c>
      <c r="S192" s="18" t="str">
        <f aca="false">IF($Q192="","",IF($R192="Y",IFERROR(VLOOKUP($B192,$C$4:$D$13,2,FALSE()),0),0))</f>
        <v/>
      </c>
      <c r="T192" s="17" t="str">
        <f aca="false">IF($Q192="","",ROUNDDOWN($Q192*$S192,0))</f>
        <v/>
      </c>
      <c r="U192" s="17" t="str">
        <f aca="false">IF($Q192="","",$Q192-$T192)</f>
        <v/>
      </c>
      <c r="V192" s="17" t="str">
        <f aca="false">IF($U192="","",IF($B$10=0,"",$U192/$B$10))</f>
        <v/>
      </c>
      <c r="W192" s="17" t="str">
        <f aca="false">IF($Q192="","",IF($B$10=0,"",$Q192/$B$10))</f>
        <v/>
      </c>
      <c r="X192" s="19" t="n">
        <f aca="false">IF($U192="",1000000000000000,$U192)</f>
        <v>1000000000000000</v>
      </c>
      <c r="XFC192" s="6"/>
    </row>
    <row r="193" s="5" customFormat="true" ht="28.5" hidden="false" customHeight="true" outlineLevel="0" collapsed="false">
      <c r="A193" s="16" t="str">
        <f aca="false">IF($U193="","",1+COUNTIF($X$15:$X$728,"&lt;"&amp;X193))</f>
        <v/>
      </c>
      <c r="B193" s="16" t="s">
        <v>18</v>
      </c>
      <c r="C193" s="16" t="s">
        <v>589</v>
      </c>
      <c r="D193" s="16" t="s">
        <v>112</v>
      </c>
      <c r="E193" s="16" t="s">
        <v>59</v>
      </c>
      <c r="F193" s="16" t="s">
        <v>590</v>
      </c>
      <c r="G193" s="16" t="s">
        <v>591</v>
      </c>
      <c r="H193" s="17" t="n">
        <v>1935</v>
      </c>
      <c r="I193" s="17"/>
      <c r="J193" s="17"/>
      <c r="K193" s="17" t="n">
        <v>1985</v>
      </c>
      <c r="L193" s="17" t="n">
        <f aca="false">IF(AND(IFERROR(SEARCH("현대오일뱅크",$C193),0)&gt;0,IFERROR(SEARCH("직영",$C193),0)&gt;0),$B$13,0)</f>
        <v>0</v>
      </c>
      <c r="M193" s="17" t="n">
        <f aca="false">IF($H193="","",$H193+$L193)</f>
        <v>1935</v>
      </c>
      <c r="N193" s="17" t="str">
        <f aca="false">IF($I193="","",$I193+$L193)</f>
        <v/>
      </c>
      <c r="O193" s="17" t="n">
        <f aca="false">IF($K193="","",$K193+$L193)</f>
        <v>1985</v>
      </c>
      <c r="P193" s="17" t="str">
        <f aca="false">IF($B$10=0,"",IFERROR(IF($B$4&gt;0,"휘발유 "&amp;TEXT(IF($M193="",1/0,$M193*$B$4),"#,##0")&amp;"원","")&amp;IF($B$5&gt;0,IF($B$4&gt;0," / ","")&amp;"고급유 "&amp;TEXT(IF($N193="",1/0,$N193*$B$5),"#,##0")&amp;"원","")&amp;IF($B$6&gt;0,IF(OR($B$4&gt;0,$B$5&gt;0)," / ","")&amp;"경유 "&amp;TEXT(IF($O193="",1/0,$O193*$B$6),"#,##0")&amp;"원",""),""))</f>
        <v/>
      </c>
      <c r="Q193" s="17" t="str">
        <f aca="false">IF($B$10=0,"",IFERROR(IF($B$4&gt;0,IF($M193="",1/0,$M193*$B$4),0)+IF($B$5&gt;0,IF($N193="",1/0,$N193*$B$5),0)+IF($B$6&gt;0,IF($O193="",1/0,$O193*$B$6),0),""))</f>
        <v/>
      </c>
      <c r="R193" s="17" t="s">
        <v>47</v>
      </c>
      <c r="S193" s="18" t="str">
        <f aca="false">IF($Q193="","",IF($R193="Y",IFERROR(VLOOKUP($B193,$C$4:$D$13,2,FALSE()),0),0))</f>
        <v/>
      </c>
      <c r="T193" s="17" t="str">
        <f aca="false">IF($Q193="","",ROUNDDOWN($Q193*$S193,0))</f>
        <v/>
      </c>
      <c r="U193" s="17" t="str">
        <f aca="false">IF($Q193="","",$Q193-$T193)</f>
        <v/>
      </c>
      <c r="V193" s="17" t="str">
        <f aca="false">IF($U193="","",IF($B$10=0,"",$U193/$B$10))</f>
        <v/>
      </c>
      <c r="W193" s="17" t="str">
        <f aca="false">IF($Q193="","",IF($B$10=0,"",$Q193/$B$10))</f>
        <v/>
      </c>
      <c r="X193" s="19" t="n">
        <f aca="false">IF($U193="",1000000000000000,$U193)</f>
        <v>1000000000000000</v>
      </c>
      <c r="XFC193" s="6"/>
    </row>
    <row r="194" s="5" customFormat="true" ht="28.5" hidden="false" customHeight="true" outlineLevel="0" collapsed="false">
      <c r="A194" s="16" t="str">
        <f aca="false">IF($U194="","",1+COUNTIF($X$15:$X$728,"&lt;"&amp;X194))</f>
        <v/>
      </c>
      <c r="B194" s="16" t="s">
        <v>6</v>
      </c>
      <c r="C194" s="16" t="s">
        <v>592</v>
      </c>
      <c r="D194" s="16" t="s">
        <v>400</v>
      </c>
      <c r="E194" s="16" t="s">
        <v>47</v>
      </c>
      <c r="F194" s="16" t="s">
        <v>593</v>
      </c>
      <c r="G194" s="16" t="s">
        <v>594</v>
      </c>
      <c r="H194" s="17" t="n">
        <v>1828</v>
      </c>
      <c r="I194" s="17"/>
      <c r="J194" s="17"/>
      <c r="K194" s="17" t="n">
        <v>1830</v>
      </c>
      <c r="L194" s="17" t="n">
        <f aca="false">IF(AND(IFERROR(SEARCH("현대오일뱅크",$C194),0)&gt;0,IFERROR(SEARCH("직영",$C194),0)&gt;0),$B$13,0)</f>
        <v>0</v>
      </c>
      <c r="M194" s="17" t="n">
        <f aca="false">IF($H194="","",$H194+$L194)</f>
        <v>1828</v>
      </c>
      <c r="N194" s="17" t="str">
        <f aca="false">IF($I194="","",$I194+$L194)</f>
        <v/>
      </c>
      <c r="O194" s="17" t="n">
        <f aca="false">IF($K194="","",$K194+$L194)</f>
        <v>1830</v>
      </c>
      <c r="P194" s="17" t="str">
        <f aca="false">IF($B$10=0,"",IFERROR(IF($B$4&gt;0,"휘발유 "&amp;TEXT(IF($M194="",1/0,$M194*$B$4),"#,##0")&amp;"원","")&amp;IF($B$5&gt;0,IF($B$4&gt;0," / ","")&amp;"고급유 "&amp;TEXT(IF($N194="",1/0,$N194*$B$5),"#,##0")&amp;"원","")&amp;IF($B$6&gt;0,IF(OR($B$4&gt;0,$B$5&gt;0)," / ","")&amp;"경유 "&amp;TEXT(IF($O194="",1/0,$O194*$B$6),"#,##0")&amp;"원",""),""))</f>
        <v/>
      </c>
      <c r="Q194" s="17" t="str">
        <f aca="false">IF($B$10=0,"",IFERROR(IF($B$4&gt;0,IF($M194="",1/0,$M194*$B$4),0)+IF($B$5&gt;0,IF($N194="",1/0,$N194*$B$5),0)+IF($B$6&gt;0,IF($O194="",1/0,$O194*$B$6),0),""))</f>
        <v/>
      </c>
      <c r="R194" s="17" t="s">
        <v>47</v>
      </c>
      <c r="S194" s="18" t="str">
        <f aca="false">IF($Q194="","",IF($R194="Y",IFERROR(VLOOKUP($B194,$C$4:$D$13,2,FALSE()),0),0))</f>
        <v/>
      </c>
      <c r="T194" s="17" t="str">
        <f aca="false">IF($Q194="","",ROUNDDOWN($Q194*$S194,0))</f>
        <v/>
      </c>
      <c r="U194" s="17" t="str">
        <f aca="false">IF($Q194="","",$Q194-$T194)</f>
        <v/>
      </c>
      <c r="V194" s="17" t="str">
        <f aca="false">IF($U194="","",IF($B$10=0,"",$U194/$B$10))</f>
        <v/>
      </c>
      <c r="W194" s="17" t="str">
        <f aca="false">IF($Q194="","",IF($B$10=0,"",$Q194/$B$10))</f>
        <v/>
      </c>
      <c r="X194" s="19" t="n">
        <f aca="false">IF($U194="",1000000000000000,$U194)</f>
        <v>1000000000000000</v>
      </c>
      <c r="XFC194" s="6"/>
    </row>
    <row r="195" s="5" customFormat="true" ht="28.5" hidden="false" customHeight="true" outlineLevel="0" collapsed="false">
      <c r="A195" s="16" t="str">
        <f aca="false">IF($U195="","",1+COUNTIF($X$15:$X$728,"&lt;"&amp;X195))</f>
        <v/>
      </c>
      <c r="B195" s="16" t="s">
        <v>18</v>
      </c>
      <c r="C195" s="16" t="s">
        <v>595</v>
      </c>
      <c r="D195" s="16" t="s">
        <v>58</v>
      </c>
      <c r="E195" s="16" t="s">
        <v>59</v>
      </c>
      <c r="F195" s="16" t="s">
        <v>596</v>
      </c>
      <c r="G195" s="16" t="s">
        <v>597</v>
      </c>
      <c r="H195" s="17" t="n">
        <v>1938</v>
      </c>
      <c r="I195" s="17"/>
      <c r="J195" s="17"/>
      <c r="K195" s="17" t="n">
        <v>1958</v>
      </c>
      <c r="L195" s="17" t="n">
        <f aca="false">IF(AND(IFERROR(SEARCH("현대오일뱅크",$C195),0)&gt;0,IFERROR(SEARCH("직영",$C195),0)&gt;0),$B$13,0)</f>
        <v>0</v>
      </c>
      <c r="M195" s="17" t="n">
        <f aca="false">IF($H195="","",$H195+$L195)</f>
        <v>1938</v>
      </c>
      <c r="N195" s="17" t="str">
        <f aca="false">IF($I195="","",$I195+$L195)</f>
        <v/>
      </c>
      <c r="O195" s="17" t="n">
        <f aca="false">IF($K195="","",$K195+$L195)</f>
        <v>1958</v>
      </c>
      <c r="P195" s="17" t="str">
        <f aca="false">IF($B$10=0,"",IFERROR(IF($B$4&gt;0,"휘발유 "&amp;TEXT(IF($M195="",1/0,$M195*$B$4),"#,##0")&amp;"원","")&amp;IF($B$5&gt;0,IF($B$4&gt;0," / ","")&amp;"고급유 "&amp;TEXT(IF($N195="",1/0,$N195*$B$5),"#,##0")&amp;"원","")&amp;IF($B$6&gt;0,IF(OR($B$4&gt;0,$B$5&gt;0)," / ","")&amp;"경유 "&amp;TEXT(IF($O195="",1/0,$O195*$B$6),"#,##0")&amp;"원",""),""))</f>
        <v/>
      </c>
      <c r="Q195" s="17" t="str">
        <f aca="false">IF($B$10=0,"",IFERROR(IF($B$4&gt;0,IF($M195="",1/0,$M195*$B$4),0)+IF($B$5&gt;0,IF($N195="",1/0,$N195*$B$5),0)+IF($B$6&gt;0,IF($O195="",1/0,$O195*$B$6),0),""))</f>
        <v/>
      </c>
      <c r="R195" s="17" t="s">
        <v>47</v>
      </c>
      <c r="S195" s="18" t="str">
        <f aca="false">IF($Q195="","",IF($R195="Y",IFERROR(VLOOKUP($B195,$C$4:$D$13,2,FALSE()),0),0))</f>
        <v/>
      </c>
      <c r="T195" s="17" t="str">
        <f aca="false">IF($Q195="","",ROUNDDOWN($Q195*$S195,0))</f>
        <v/>
      </c>
      <c r="U195" s="17" t="str">
        <f aca="false">IF($Q195="","",$Q195-$T195)</f>
        <v/>
      </c>
      <c r="V195" s="17" t="str">
        <f aca="false">IF($U195="","",IF($B$10=0,"",$U195/$B$10))</f>
        <v/>
      </c>
      <c r="W195" s="17" t="str">
        <f aca="false">IF($Q195="","",IF($B$10=0,"",$Q195/$B$10))</f>
        <v/>
      </c>
      <c r="X195" s="19" t="n">
        <f aca="false">IF($U195="",1000000000000000,$U195)</f>
        <v>1000000000000000</v>
      </c>
      <c r="XFC195" s="6"/>
    </row>
    <row r="196" s="5" customFormat="true" ht="28.5" hidden="false" customHeight="true" outlineLevel="0" collapsed="false">
      <c r="A196" s="16" t="str">
        <f aca="false">IF($U196="","",1+COUNTIF($X$15:$X$728,"&lt;"&amp;X196))</f>
        <v/>
      </c>
      <c r="B196" s="16" t="s">
        <v>18</v>
      </c>
      <c r="C196" s="16" t="s">
        <v>598</v>
      </c>
      <c r="D196" s="16" t="s">
        <v>112</v>
      </c>
      <c r="E196" s="16" t="s">
        <v>59</v>
      </c>
      <c r="F196" s="16" t="s">
        <v>599</v>
      </c>
      <c r="G196" s="16" t="s">
        <v>600</v>
      </c>
      <c r="H196" s="17" t="n">
        <v>1939</v>
      </c>
      <c r="I196" s="17"/>
      <c r="J196" s="17"/>
      <c r="K196" s="17" t="n">
        <v>1999</v>
      </c>
      <c r="L196" s="17" t="n">
        <f aca="false">IF(AND(IFERROR(SEARCH("현대오일뱅크",$C196),0)&gt;0,IFERROR(SEARCH("직영",$C196),0)&gt;0),$B$13,0)</f>
        <v>0</v>
      </c>
      <c r="M196" s="17" t="n">
        <f aca="false">IF($H196="","",$H196+$L196)</f>
        <v>1939</v>
      </c>
      <c r="N196" s="17" t="str">
        <f aca="false">IF($I196="","",$I196+$L196)</f>
        <v/>
      </c>
      <c r="O196" s="17" t="n">
        <f aca="false">IF($K196="","",$K196+$L196)</f>
        <v>1999</v>
      </c>
      <c r="P196" s="17" t="str">
        <f aca="false">IF($B$10=0,"",IFERROR(IF($B$4&gt;0,"휘발유 "&amp;TEXT(IF($M196="",1/0,$M196*$B$4),"#,##0")&amp;"원","")&amp;IF($B$5&gt;0,IF($B$4&gt;0," / ","")&amp;"고급유 "&amp;TEXT(IF($N196="",1/0,$N196*$B$5),"#,##0")&amp;"원","")&amp;IF($B$6&gt;0,IF(OR($B$4&gt;0,$B$5&gt;0)," / ","")&amp;"경유 "&amp;TEXT(IF($O196="",1/0,$O196*$B$6),"#,##0")&amp;"원",""),""))</f>
        <v/>
      </c>
      <c r="Q196" s="17" t="str">
        <f aca="false">IF($B$10=0,"",IFERROR(IF($B$4&gt;0,IF($M196="",1/0,$M196*$B$4),0)+IF($B$5&gt;0,IF($N196="",1/0,$N196*$B$5),0)+IF($B$6&gt;0,IF($O196="",1/0,$O196*$B$6),0),""))</f>
        <v/>
      </c>
      <c r="R196" s="17" t="s">
        <v>47</v>
      </c>
      <c r="S196" s="18" t="str">
        <f aca="false">IF($Q196="","",IF($R196="Y",IFERROR(VLOOKUP($B196,$C$4:$D$13,2,FALSE()),0),0))</f>
        <v/>
      </c>
      <c r="T196" s="17" t="str">
        <f aca="false">IF($Q196="","",ROUNDDOWN($Q196*$S196,0))</f>
        <v/>
      </c>
      <c r="U196" s="17" t="str">
        <f aca="false">IF($Q196="","",$Q196-$T196)</f>
        <v/>
      </c>
      <c r="V196" s="17" t="str">
        <f aca="false">IF($U196="","",IF($B$10=0,"",$U196/$B$10))</f>
        <v/>
      </c>
      <c r="W196" s="17" t="str">
        <f aca="false">IF($Q196="","",IF($B$10=0,"",$Q196/$B$10))</f>
        <v/>
      </c>
      <c r="X196" s="19" t="n">
        <f aca="false">IF($U196="",1000000000000000,$U196)</f>
        <v>1000000000000000</v>
      </c>
      <c r="XFC196" s="6"/>
    </row>
    <row r="197" s="5" customFormat="true" ht="28.5" hidden="false" customHeight="true" outlineLevel="0" collapsed="false">
      <c r="A197" s="16" t="str">
        <f aca="false">IF($U197="","",1+COUNTIF($X$15:$X$728,"&lt;"&amp;X197))</f>
        <v/>
      </c>
      <c r="B197" s="16" t="s">
        <v>18</v>
      </c>
      <c r="C197" s="16" t="s">
        <v>601</v>
      </c>
      <c r="D197" s="20" t="s">
        <v>108</v>
      </c>
      <c r="E197" s="16" t="s">
        <v>47</v>
      </c>
      <c r="F197" s="16" t="s">
        <v>602</v>
      </c>
      <c r="G197" s="16" t="s">
        <v>603</v>
      </c>
      <c r="H197" s="17" t="n">
        <v>1939</v>
      </c>
      <c r="I197" s="17"/>
      <c r="J197" s="17"/>
      <c r="K197" s="17" t="n">
        <v>1959</v>
      </c>
      <c r="L197" s="17" t="n">
        <f aca="false">IF(AND(IFERROR(SEARCH("현대오일뱅크",$C197),0)&gt;0,IFERROR(SEARCH("직영",$C197),0)&gt;0),$B$13,0)</f>
        <v>0</v>
      </c>
      <c r="M197" s="17" t="n">
        <f aca="false">IF($H197="","",$H197+$L197)</f>
        <v>1939</v>
      </c>
      <c r="N197" s="17" t="str">
        <f aca="false">IF($I197="","",$I197+$L197)</f>
        <v/>
      </c>
      <c r="O197" s="17" t="n">
        <f aca="false">IF($K197="","",$K197+$L197)</f>
        <v>1959</v>
      </c>
      <c r="P197" s="17" t="str">
        <f aca="false">IF($B$10=0,"",IFERROR(IF($B$4&gt;0,"휘발유 "&amp;TEXT(IF($M197="",1/0,$M197*$B$4),"#,##0")&amp;"원","")&amp;IF($B$5&gt;0,IF($B$4&gt;0," / ","")&amp;"고급유 "&amp;TEXT(IF($N197="",1/0,$N197*$B$5),"#,##0")&amp;"원","")&amp;IF($B$6&gt;0,IF(OR($B$4&gt;0,$B$5&gt;0)," / ","")&amp;"경유 "&amp;TEXT(IF($O197="",1/0,$O197*$B$6),"#,##0")&amp;"원",""),""))</f>
        <v/>
      </c>
      <c r="Q197" s="17" t="str">
        <f aca="false">IF($B$10=0,"",IFERROR(IF($B$4&gt;0,IF($M197="",1/0,$M197*$B$4),0)+IF($B$5&gt;0,IF($N197="",1/0,$N197*$B$5),0)+IF($B$6&gt;0,IF($O197="",1/0,$O197*$B$6),0),""))</f>
        <v/>
      </c>
      <c r="R197" s="17" t="s">
        <v>47</v>
      </c>
      <c r="S197" s="18" t="str">
        <f aca="false">IF($Q197="","",IF($R197="Y",IFERROR(VLOOKUP($B197,$C$4:$D$13,2,FALSE()),0),0))</f>
        <v/>
      </c>
      <c r="T197" s="17" t="str">
        <f aca="false">IF($Q197="","",ROUNDDOWN($Q197*$S197,0))</f>
        <v/>
      </c>
      <c r="U197" s="17" t="str">
        <f aca="false">IF($Q197="","",$Q197-$T197)</f>
        <v/>
      </c>
      <c r="V197" s="17" t="str">
        <f aca="false">IF($U197="","",IF($B$10=0,"",$U197/$B$10))</f>
        <v/>
      </c>
      <c r="W197" s="17" t="str">
        <f aca="false">IF($Q197="","",IF($B$10=0,"",$Q197/$B$10))</f>
        <v/>
      </c>
      <c r="X197" s="19" t="n">
        <f aca="false">IF($U197="",1000000000000000,$U197)</f>
        <v>1000000000000000</v>
      </c>
      <c r="XFC197" s="6"/>
    </row>
    <row r="198" s="5" customFormat="true" ht="28.5" hidden="false" customHeight="true" outlineLevel="0" collapsed="false">
      <c r="A198" s="16" t="str">
        <f aca="false">IF($U198="","",1+COUNTIF($X$15:$X$728,"&lt;"&amp;X198))</f>
        <v/>
      </c>
      <c r="B198" s="16" t="s">
        <v>18</v>
      </c>
      <c r="C198" s="16" t="s">
        <v>604</v>
      </c>
      <c r="D198" s="16" t="s">
        <v>58</v>
      </c>
      <c r="E198" s="16" t="s">
        <v>47</v>
      </c>
      <c r="F198" s="16" t="s">
        <v>605</v>
      </c>
      <c r="G198" s="16" t="s">
        <v>606</v>
      </c>
      <c r="H198" s="17" t="n">
        <v>1942</v>
      </c>
      <c r="I198" s="17"/>
      <c r="J198" s="17"/>
      <c r="K198" s="17" t="n">
        <v>1952</v>
      </c>
      <c r="L198" s="17" t="n">
        <f aca="false">IF(AND(IFERROR(SEARCH("현대오일뱅크",$C198),0)&gt;0,IFERROR(SEARCH("직영",$C198),0)&gt;0),$B$13,0)</f>
        <v>0</v>
      </c>
      <c r="M198" s="17" t="n">
        <f aca="false">IF($H198="","",$H198+$L198)</f>
        <v>1942</v>
      </c>
      <c r="N198" s="17" t="str">
        <f aca="false">IF($I198="","",$I198+$L198)</f>
        <v/>
      </c>
      <c r="O198" s="17" t="n">
        <f aca="false">IF($K198="","",$K198+$L198)</f>
        <v>1952</v>
      </c>
      <c r="P198" s="17" t="str">
        <f aca="false">IF($B$10=0,"",IFERROR(IF($B$4&gt;0,"휘발유 "&amp;TEXT(IF($M198="",1/0,$M198*$B$4),"#,##0")&amp;"원","")&amp;IF($B$5&gt;0,IF($B$4&gt;0," / ","")&amp;"고급유 "&amp;TEXT(IF($N198="",1/0,$N198*$B$5),"#,##0")&amp;"원","")&amp;IF($B$6&gt;0,IF(OR($B$4&gt;0,$B$5&gt;0)," / ","")&amp;"경유 "&amp;TEXT(IF($O198="",1/0,$O198*$B$6),"#,##0")&amp;"원",""),""))</f>
        <v/>
      </c>
      <c r="Q198" s="17" t="str">
        <f aca="false">IF($B$10=0,"",IFERROR(IF($B$4&gt;0,IF($M198="",1/0,$M198*$B$4),0)+IF($B$5&gt;0,IF($N198="",1/0,$N198*$B$5),0)+IF($B$6&gt;0,IF($O198="",1/0,$O198*$B$6),0),""))</f>
        <v/>
      </c>
      <c r="R198" s="17" t="s">
        <v>47</v>
      </c>
      <c r="S198" s="18" t="str">
        <f aca="false">IF($Q198="","",IF($R198="Y",IFERROR(VLOOKUP($B198,$C$4:$D$13,2,FALSE()),0),0))</f>
        <v/>
      </c>
      <c r="T198" s="17" t="str">
        <f aca="false">IF($Q198="","",ROUNDDOWN($Q198*$S198,0))</f>
        <v/>
      </c>
      <c r="U198" s="17" t="str">
        <f aca="false">IF($Q198="","",$Q198-$T198)</f>
        <v/>
      </c>
      <c r="V198" s="17" t="str">
        <f aca="false">IF($U198="","",IF($B$10=0,"",$U198/$B$10))</f>
        <v/>
      </c>
      <c r="W198" s="17" t="str">
        <f aca="false">IF($Q198="","",IF($B$10=0,"",$Q198/$B$10))</f>
        <v/>
      </c>
      <c r="X198" s="19" t="n">
        <f aca="false">IF($U198="",1000000000000000,$U198)</f>
        <v>1000000000000000</v>
      </c>
      <c r="XFC198" s="6"/>
    </row>
    <row r="199" s="5" customFormat="true" ht="28.5" hidden="false" customHeight="true" outlineLevel="0" collapsed="false">
      <c r="A199" s="16" t="str">
        <f aca="false">IF($U199="","",1+COUNTIF($X$15:$X$728,"&lt;"&amp;X199))</f>
        <v/>
      </c>
      <c r="B199" s="16" t="s">
        <v>12</v>
      </c>
      <c r="C199" s="16" t="s">
        <v>607</v>
      </c>
      <c r="D199" s="16" t="s">
        <v>46</v>
      </c>
      <c r="E199" s="16" t="s">
        <v>47</v>
      </c>
      <c r="F199" s="16" t="s">
        <v>608</v>
      </c>
      <c r="G199" s="16" t="s">
        <v>609</v>
      </c>
      <c r="H199" s="17" t="n">
        <v>1836</v>
      </c>
      <c r="I199" s="17"/>
      <c r="J199" s="17"/>
      <c r="K199" s="17" t="n">
        <v>1919</v>
      </c>
      <c r="L199" s="17" t="n">
        <f aca="false">IF(AND(IFERROR(SEARCH("현대오일뱅크",$C199),0)&gt;0,IFERROR(SEARCH("직영",$C199),0)&gt;0),$B$13,0)</f>
        <v>0</v>
      </c>
      <c r="M199" s="17" t="n">
        <f aca="false">IF($H199="","",$H199+$L199)</f>
        <v>1836</v>
      </c>
      <c r="N199" s="17" t="str">
        <f aca="false">IF($I199="","",$I199+$L199)</f>
        <v/>
      </c>
      <c r="O199" s="17" t="n">
        <f aca="false">IF($K199="","",$K199+$L199)</f>
        <v>1919</v>
      </c>
      <c r="P199" s="17" t="str">
        <f aca="false">IF($B$10=0,"",IFERROR(IF($B$4&gt;0,"휘발유 "&amp;TEXT(IF($M199="",1/0,$M199*$B$4),"#,##0")&amp;"원","")&amp;IF($B$5&gt;0,IF($B$4&gt;0," / ","")&amp;"고급유 "&amp;TEXT(IF($N199="",1/0,$N199*$B$5),"#,##0")&amp;"원","")&amp;IF($B$6&gt;0,IF(OR($B$4&gt;0,$B$5&gt;0)," / ","")&amp;"경유 "&amp;TEXT(IF($O199="",1/0,$O199*$B$6),"#,##0")&amp;"원",""),""))</f>
        <v/>
      </c>
      <c r="Q199" s="17" t="str">
        <f aca="false">IF($B$10=0,"",IFERROR(IF($B$4&gt;0,IF($M199="",1/0,$M199*$B$4),0)+IF($B$5&gt;0,IF($N199="",1/0,$N199*$B$5),0)+IF($B$6&gt;0,IF($O199="",1/0,$O199*$B$6),0),""))</f>
        <v/>
      </c>
      <c r="R199" s="17" t="s">
        <v>47</v>
      </c>
      <c r="S199" s="18" t="str">
        <f aca="false">IF($Q199="","",IF($R199="Y",IFERROR(VLOOKUP($B199,$C$4:$D$13,2,FALSE()),0),0))</f>
        <v/>
      </c>
      <c r="T199" s="17" t="str">
        <f aca="false">IF($Q199="","",ROUNDDOWN($Q199*$S199,0))</f>
        <v/>
      </c>
      <c r="U199" s="17" t="str">
        <f aca="false">IF($Q199="","",$Q199-$T199)</f>
        <v/>
      </c>
      <c r="V199" s="17" t="str">
        <f aca="false">IF($U199="","",IF($B$10=0,"",$U199/$B$10))</f>
        <v/>
      </c>
      <c r="W199" s="17" t="str">
        <f aca="false">IF($Q199="","",IF($B$10=0,"",$Q199/$B$10))</f>
        <v/>
      </c>
      <c r="X199" s="21" t="n">
        <f aca="false">IF($U199="",1000000000000000,$U199)</f>
        <v>1000000000000000</v>
      </c>
      <c r="XFC199" s="6"/>
    </row>
    <row r="200" s="5" customFormat="true" ht="28.5" hidden="false" customHeight="true" outlineLevel="0" collapsed="false">
      <c r="A200" s="16" t="str">
        <f aca="false">IF($U200="","",1+COUNTIF($X$15:$X$728,"&lt;"&amp;X200))</f>
        <v/>
      </c>
      <c r="B200" s="16" t="s">
        <v>18</v>
      </c>
      <c r="C200" s="16" t="s">
        <v>610</v>
      </c>
      <c r="D200" s="20" t="s">
        <v>108</v>
      </c>
      <c r="E200" s="16" t="s">
        <v>47</v>
      </c>
      <c r="F200" s="16" t="s">
        <v>611</v>
      </c>
      <c r="G200" s="16" t="s">
        <v>612</v>
      </c>
      <c r="H200" s="17" t="n">
        <v>1945</v>
      </c>
      <c r="I200" s="17"/>
      <c r="J200" s="17"/>
      <c r="K200" s="17" t="n">
        <v>1849</v>
      </c>
      <c r="L200" s="17" t="n">
        <f aca="false">IF(AND(IFERROR(SEARCH("현대오일뱅크",$C200),0)&gt;0,IFERROR(SEARCH("직영",$C200),0)&gt;0),$B$13,0)</f>
        <v>0</v>
      </c>
      <c r="M200" s="17" t="n">
        <f aca="false">IF($H200="","",$H200+$L200)</f>
        <v>1945</v>
      </c>
      <c r="N200" s="17" t="str">
        <f aca="false">IF($I200="","",$I200+$L200)</f>
        <v/>
      </c>
      <c r="O200" s="17" t="n">
        <f aca="false">IF($K200="","",$K200+$L200)</f>
        <v>1849</v>
      </c>
      <c r="P200" s="17" t="str">
        <f aca="false">IF($B$10=0,"",IFERROR(IF($B$4&gt;0,"휘발유 "&amp;TEXT(IF($M200="",1/0,$M200*$B$4),"#,##0")&amp;"원","")&amp;IF($B$5&gt;0,IF($B$4&gt;0," / ","")&amp;"고급유 "&amp;TEXT(IF($N200="",1/0,$N200*$B$5),"#,##0")&amp;"원","")&amp;IF($B$6&gt;0,IF(OR($B$4&gt;0,$B$5&gt;0)," / ","")&amp;"경유 "&amp;TEXT(IF($O200="",1/0,$O200*$B$6),"#,##0")&amp;"원",""),""))</f>
        <v/>
      </c>
      <c r="Q200" s="17" t="str">
        <f aca="false">IF($B$10=0,"",IFERROR(IF($B$4&gt;0,IF($M200="",1/0,$M200*$B$4),0)+IF($B$5&gt;0,IF($N200="",1/0,$N200*$B$5),0)+IF($B$6&gt;0,IF($O200="",1/0,$O200*$B$6),0),""))</f>
        <v/>
      </c>
      <c r="R200" s="17" t="s">
        <v>47</v>
      </c>
      <c r="S200" s="18" t="str">
        <f aca="false">IF($Q200="","",IF($R200="Y",IFERROR(VLOOKUP($B200,$C$4:$D$13,2,FALSE()),0),0))</f>
        <v/>
      </c>
      <c r="T200" s="17" t="str">
        <f aca="false">IF($Q200="","",ROUNDDOWN($Q200*$S200,0))</f>
        <v/>
      </c>
      <c r="U200" s="17" t="str">
        <f aca="false">IF($Q200="","",$Q200-$T200)</f>
        <v/>
      </c>
      <c r="V200" s="17" t="str">
        <f aca="false">IF($U200="","",IF($B$10=0,"",$U200/$B$10))</f>
        <v/>
      </c>
      <c r="W200" s="17" t="str">
        <f aca="false">IF($Q200="","",IF($B$10=0,"",$Q200/$B$10))</f>
        <v/>
      </c>
      <c r="X200" s="19" t="n">
        <f aca="false">IF($U200="",1000000000000000,$U200)</f>
        <v>1000000000000000</v>
      </c>
      <c r="XFC200" s="6"/>
    </row>
    <row r="201" s="5" customFormat="true" ht="28.5" hidden="false" customHeight="true" outlineLevel="0" collapsed="false">
      <c r="A201" s="16" t="str">
        <f aca="false">IF($U201="","",1+COUNTIF($X$15:$X$728,"&lt;"&amp;X201))</f>
        <v/>
      </c>
      <c r="B201" s="16" t="s">
        <v>18</v>
      </c>
      <c r="C201" s="16" t="s">
        <v>613</v>
      </c>
      <c r="D201" s="20" t="s">
        <v>108</v>
      </c>
      <c r="E201" s="16" t="s">
        <v>47</v>
      </c>
      <c r="F201" s="16" t="s">
        <v>614</v>
      </c>
      <c r="G201" s="16" t="s">
        <v>615</v>
      </c>
      <c r="H201" s="17" t="n">
        <v>1945</v>
      </c>
      <c r="I201" s="17"/>
      <c r="J201" s="17"/>
      <c r="K201" s="17" t="n">
        <v>1975</v>
      </c>
      <c r="L201" s="17" t="n">
        <f aca="false">IF(AND(IFERROR(SEARCH("현대오일뱅크",$C201),0)&gt;0,IFERROR(SEARCH("직영",$C201),0)&gt;0),$B$13,0)</f>
        <v>0</v>
      </c>
      <c r="M201" s="17" t="n">
        <f aca="false">IF($H201="","",$H201+$L201)</f>
        <v>1945</v>
      </c>
      <c r="N201" s="17" t="str">
        <f aca="false">IF($I201="","",$I201+$L201)</f>
        <v/>
      </c>
      <c r="O201" s="17" t="n">
        <f aca="false">IF($K201="","",$K201+$L201)</f>
        <v>1975</v>
      </c>
      <c r="P201" s="17" t="str">
        <f aca="false">IF($B$10=0,"",IFERROR(IF($B$4&gt;0,"휘발유 "&amp;TEXT(IF($M201="",1/0,$M201*$B$4),"#,##0")&amp;"원","")&amp;IF($B$5&gt;0,IF($B$4&gt;0," / ","")&amp;"고급유 "&amp;TEXT(IF($N201="",1/0,$N201*$B$5),"#,##0")&amp;"원","")&amp;IF($B$6&gt;0,IF(OR($B$4&gt;0,$B$5&gt;0)," / ","")&amp;"경유 "&amp;TEXT(IF($O201="",1/0,$O201*$B$6),"#,##0")&amp;"원",""),""))</f>
        <v/>
      </c>
      <c r="Q201" s="17" t="str">
        <f aca="false">IF($B$10=0,"",IFERROR(IF($B$4&gt;0,IF($M201="",1/0,$M201*$B$4),0)+IF($B$5&gt;0,IF($N201="",1/0,$N201*$B$5),0)+IF($B$6&gt;0,IF($O201="",1/0,$O201*$B$6),0),""))</f>
        <v/>
      </c>
      <c r="R201" s="17" t="s">
        <v>47</v>
      </c>
      <c r="S201" s="18" t="str">
        <f aca="false">IF($Q201="","",IF($R201="Y",IFERROR(VLOOKUP($B201,$C$4:$D$13,2,FALSE()),0),0))</f>
        <v/>
      </c>
      <c r="T201" s="17" t="str">
        <f aca="false">IF($Q201="","",ROUNDDOWN($Q201*$S201,0))</f>
        <v/>
      </c>
      <c r="U201" s="17" t="str">
        <f aca="false">IF($Q201="","",$Q201-$T201)</f>
        <v/>
      </c>
      <c r="V201" s="17" t="str">
        <f aca="false">IF($U201="","",IF($B$10=0,"",$U201/$B$10))</f>
        <v/>
      </c>
      <c r="W201" s="17" t="str">
        <f aca="false">IF($Q201="","",IF($B$10=0,"",$Q201/$B$10))</f>
        <v/>
      </c>
      <c r="X201" s="19" t="n">
        <f aca="false">IF($U201="",1000000000000000,$U201)</f>
        <v>1000000000000000</v>
      </c>
      <c r="XFC201" s="6"/>
    </row>
    <row r="202" s="5" customFormat="true" ht="28.5" hidden="false" customHeight="true" outlineLevel="0" collapsed="false">
      <c r="A202" s="16" t="str">
        <f aca="false">IF($U202="","",1+COUNTIF($X$15:$X$728,"&lt;"&amp;X202))</f>
        <v/>
      </c>
      <c r="B202" s="16" t="s">
        <v>18</v>
      </c>
      <c r="C202" s="16" t="s">
        <v>616</v>
      </c>
      <c r="D202" s="20" t="s">
        <v>108</v>
      </c>
      <c r="E202" s="16" t="s">
        <v>47</v>
      </c>
      <c r="F202" s="16" t="s">
        <v>617</v>
      </c>
      <c r="G202" s="16" t="s">
        <v>618</v>
      </c>
      <c r="H202" s="17" t="n">
        <v>1949</v>
      </c>
      <c r="I202" s="17"/>
      <c r="J202" s="17"/>
      <c r="K202" s="17" t="n">
        <v>1999</v>
      </c>
      <c r="L202" s="17" t="n">
        <f aca="false">IF(AND(IFERROR(SEARCH("현대오일뱅크",$C202),0)&gt;0,IFERROR(SEARCH("직영",$C202),0)&gt;0),$B$13,0)</f>
        <v>0</v>
      </c>
      <c r="M202" s="17" t="n">
        <f aca="false">IF($H202="","",$H202+$L202)</f>
        <v>1949</v>
      </c>
      <c r="N202" s="17" t="str">
        <f aca="false">IF($I202="","",$I202+$L202)</f>
        <v/>
      </c>
      <c r="O202" s="17" t="n">
        <f aca="false">IF($K202="","",$K202+$L202)</f>
        <v>1999</v>
      </c>
      <c r="P202" s="17" t="str">
        <f aca="false">IF($B$10=0,"",IFERROR(IF($B$4&gt;0,"휘발유 "&amp;TEXT(IF($M202="",1/0,$M202*$B$4),"#,##0")&amp;"원","")&amp;IF($B$5&gt;0,IF($B$4&gt;0," / ","")&amp;"고급유 "&amp;TEXT(IF($N202="",1/0,$N202*$B$5),"#,##0")&amp;"원","")&amp;IF($B$6&gt;0,IF(OR($B$4&gt;0,$B$5&gt;0)," / ","")&amp;"경유 "&amp;TEXT(IF($O202="",1/0,$O202*$B$6),"#,##0")&amp;"원",""),""))</f>
        <v/>
      </c>
      <c r="Q202" s="17" t="str">
        <f aca="false">IF($B$10=0,"",IFERROR(IF($B$4&gt;0,IF($M202="",1/0,$M202*$B$4),0)+IF($B$5&gt;0,IF($N202="",1/0,$N202*$B$5),0)+IF($B$6&gt;0,IF($O202="",1/0,$O202*$B$6),0),""))</f>
        <v/>
      </c>
      <c r="R202" s="17" t="s">
        <v>47</v>
      </c>
      <c r="S202" s="18" t="str">
        <f aca="false">IF($Q202="","",IF($R202="Y",IFERROR(VLOOKUP($B202,$C$4:$D$13,2,FALSE()),0),0))</f>
        <v/>
      </c>
      <c r="T202" s="17" t="str">
        <f aca="false">IF($Q202="","",ROUNDDOWN($Q202*$S202,0))</f>
        <v/>
      </c>
      <c r="U202" s="17" t="str">
        <f aca="false">IF($Q202="","",$Q202-$T202)</f>
        <v/>
      </c>
      <c r="V202" s="17" t="str">
        <f aca="false">IF($U202="","",IF($B$10=0,"",$U202/$B$10))</f>
        <v/>
      </c>
      <c r="W202" s="17" t="str">
        <f aca="false">IF($Q202="","",IF($B$10=0,"",$Q202/$B$10))</f>
        <v/>
      </c>
      <c r="X202" s="19" t="n">
        <f aca="false">IF($U202="",1000000000000000,$U202)</f>
        <v>1000000000000000</v>
      </c>
      <c r="XFC202" s="6"/>
    </row>
    <row r="203" s="5" customFormat="true" ht="28.5" hidden="false" customHeight="true" outlineLevel="0" collapsed="false">
      <c r="A203" s="16" t="str">
        <f aca="false">IF($U203="","",1+COUNTIF($X$15:$X$728,"&lt;"&amp;X203))</f>
        <v/>
      </c>
      <c r="B203" s="16" t="s">
        <v>18</v>
      </c>
      <c r="C203" s="16" t="s">
        <v>619</v>
      </c>
      <c r="D203" s="16" t="s">
        <v>112</v>
      </c>
      <c r="E203" s="16" t="s">
        <v>59</v>
      </c>
      <c r="F203" s="16" t="s">
        <v>620</v>
      </c>
      <c r="G203" s="16" t="s">
        <v>621</v>
      </c>
      <c r="H203" s="17" t="n">
        <v>1950</v>
      </c>
      <c r="I203" s="17"/>
      <c r="J203" s="17"/>
      <c r="K203" s="17" t="n">
        <v>1980</v>
      </c>
      <c r="L203" s="17" t="n">
        <f aca="false">IF(AND(IFERROR(SEARCH("현대오일뱅크",$C203),0)&gt;0,IFERROR(SEARCH("직영",$C203),0)&gt;0),$B$13,0)</f>
        <v>0</v>
      </c>
      <c r="M203" s="17" t="n">
        <f aca="false">IF($H203="","",$H203+$L203)</f>
        <v>1950</v>
      </c>
      <c r="N203" s="17" t="str">
        <f aca="false">IF($I203="","",$I203+$L203)</f>
        <v/>
      </c>
      <c r="O203" s="17" t="n">
        <f aca="false">IF($K203="","",$K203+$L203)</f>
        <v>1980</v>
      </c>
      <c r="P203" s="17" t="str">
        <f aca="false">IF($B$10=0,"",IFERROR(IF($B$4&gt;0,"휘발유 "&amp;TEXT(IF($M203="",1/0,$M203*$B$4),"#,##0")&amp;"원","")&amp;IF($B$5&gt;0,IF($B$4&gt;0," / ","")&amp;"고급유 "&amp;TEXT(IF($N203="",1/0,$N203*$B$5),"#,##0")&amp;"원","")&amp;IF($B$6&gt;0,IF(OR($B$4&gt;0,$B$5&gt;0)," / ","")&amp;"경유 "&amp;TEXT(IF($O203="",1/0,$O203*$B$6),"#,##0")&amp;"원",""),""))</f>
        <v/>
      </c>
      <c r="Q203" s="17" t="str">
        <f aca="false">IF($B$10=0,"",IFERROR(IF($B$4&gt;0,IF($M203="",1/0,$M203*$B$4),0)+IF($B$5&gt;0,IF($N203="",1/0,$N203*$B$5),0)+IF($B$6&gt;0,IF($O203="",1/0,$O203*$B$6),0),""))</f>
        <v/>
      </c>
      <c r="R203" s="17" t="s">
        <v>47</v>
      </c>
      <c r="S203" s="18" t="str">
        <f aca="false">IF($Q203="","",IF($R203="Y",IFERROR(VLOOKUP($B203,$C$4:$D$13,2,FALSE()),0),0))</f>
        <v/>
      </c>
      <c r="T203" s="17" t="str">
        <f aca="false">IF($Q203="","",ROUNDDOWN($Q203*$S203,0))</f>
        <v/>
      </c>
      <c r="U203" s="17" t="str">
        <f aca="false">IF($Q203="","",$Q203-$T203)</f>
        <v/>
      </c>
      <c r="V203" s="17" t="str">
        <f aca="false">IF($U203="","",IF($B$10=0,"",$U203/$B$10))</f>
        <v/>
      </c>
      <c r="W203" s="17" t="str">
        <f aca="false">IF($Q203="","",IF($B$10=0,"",$Q203/$B$10))</f>
        <v/>
      </c>
      <c r="X203" s="19" t="n">
        <f aca="false">IF($U203="",1000000000000000,$U203)</f>
        <v>1000000000000000</v>
      </c>
      <c r="XFC203" s="6"/>
    </row>
    <row r="204" s="5" customFormat="true" ht="28.5" hidden="false" customHeight="true" outlineLevel="0" collapsed="false">
      <c r="A204" s="16" t="str">
        <f aca="false">IF($U204="","",1+COUNTIF($X$15:$X$728,"&lt;"&amp;X204))</f>
        <v/>
      </c>
      <c r="B204" s="16" t="s">
        <v>16</v>
      </c>
      <c r="C204" s="16" t="s">
        <v>622</v>
      </c>
      <c r="D204" s="20" t="s">
        <v>108</v>
      </c>
      <c r="E204" s="16" t="s">
        <v>59</v>
      </c>
      <c r="F204" s="16" t="s">
        <v>623</v>
      </c>
      <c r="G204" s="16" t="s">
        <v>624</v>
      </c>
      <c r="H204" s="17" t="n">
        <v>1890</v>
      </c>
      <c r="I204" s="17"/>
      <c r="J204" s="17"/>
      <c r="K204" s="17" t="n">
        <v>1890</v>
      </c>
      <c r="L204" s="17" t="n">
        <f aca="false">IF(AND(IFERROR(SEARCH("현대오일뱅크",$C204),0)&gt;0,IFERROR(SEARCH("직영",$C204),0)&gt;0),$B$13,0)</f>
        <v>0</v>
      </c>
      <c r="M204" s="17" t="n">
        <f aca="false">IF($H204="","",$H204+$L204)</f>
        <v>1890</v>
      </c>
      <c r="N204" s="17" t="str">
        <f aca="false">IF($I204="","",$I204+$L204)</f>
        <v/>
      </c>
      <c r="O204" s="17" t="n">
        <f aca="false">IF($K204="","",$K204+$L204)</f>
        <v>1890</v>
      </c>
      <c r="P204" s="17" t="str">
        <f aca="false">IF($B$10=0,"",IFERROR(IF($B$4&gt;0,"휘발유 "&amp;TEXT(IF($M204="",1/0,$M204*$B$4),"#,##0")&amp;"원","")&amp;IF($B$5&gt;0,IF($B$4&gt;0," / ","")&amp;"고급유 "&amp;TEXT(IF($N204="",1/0,$N204*$B$5),"#,##0")&amp;"원","")&amp;IF($B$6&gt;0,IF(OR($B$4&gt;0,$B$5&gt;0)," / ","")&amp;"경유 "&amp;TEXT(IF($O204="",1/0,$O204*$B$6),"#,##0")&amp;"원",""),""))</f>
        <v/>
      </c>
      <c r="Q204" s="17" t="str">
        <f aca="false">IF($B$10=0,"",IFERROR(IF($B$4&gt;0,IF($M204="",1/0,$M204*$B$4),0)+IF($B$5&gt;0,IF($N204="",1/0,$N204*$B$5),0)+IF($B$6&gt;0,IF($O204="",1/0,$O204*$B$6),0),""))</f>
        <v/>
      </c>
      <c r="R204" s="17" t="s">
        <v>47</v>
      </c>
      <c r="S204" s="18" t="str">
        <f aca="false">IF($Q204="","",IF($R204="Y",IFERROR(VLOOKUP($B204,$C$4:$D$13,2,FALSE()),0),0))</f>
        <v/>
      </c>
      <c r="T204" s="17" t="str">
        <f aca="false">IF($Q204="","",ROUNDDOWN($Q204*$S204,0))</f>
        <v/>
      </c>
      <c r="U204" s="17" t="str">
        <f aca="false">IF($Q204="","",$Q204-$T204)</f>
        <v/>
      </c>
      <c r="V204" s="17" t="str">
        <f aca="false">IF($U204="","",IF($B$10=0,"",$U204/$B$10))</f>
        <v/>
      </c>
      <c r="W204" s="17" t="str">
        <f aca="false">IF($Q204="","",IF($B$10=0,"",$Q204/$B$10))</f>
        <v/>
      </c>
      <c r="X204" s="19" t="n">
        <f aca="false">IF($U204="",1000000000000000,$U204)</f>
        <v>1000000000000000</v>
      </c>
      <c r="XFC204" s="6"/>
    </row>
    <row r="205" s="5" customFormat="true" ht="28.5" hidden="false" customHeight="true" outlineLevel="0" collapsed="false">
      <c r="A205" s="16" t="str">
        <f aca="false">IF($U205="","",1+COUNTIF($X$15:$X$728,"&lt;"&amp;X205))</f>
        <v/>
      </c>
      <c r="B205" s="16" t="s">
        <v>16</v>
      </c>
      <c r="C205" s="16" t="s">
        <v>625</v>
      </c>
      <c r="D205" s="20" t="s">
        <v>108</v>
      </c>
      <c r="E205" s="16" t="s">
        <v>59</v>
      </c>
      <c r="F205" s="16" t="s">
        <v>626</v>
      </c>
      <c r="G205" s="16" t="s">
        <v>627</v>
      </c>
      <c r="H205" s="17" t="n">
        <v>1890</v>
      </c>
      <c r="I205" s="17"/>
      <c r="J205" s="17"/>
      <c r="K205" s="17" t="n">
        <v>1890</v>
      </c>
      <c r="L205" s="17" t="n">
        <f aca="false">IF(AND(IFERROR(SEARCH("현대오일뱅크",$C205),0)&gt;0,IFERROR(SEARCH("직영",$C205),0)&gt;0),$B$13,0)</f>
        <v>0</v>
      </c>
      <c r="M205" s="17" t="n">
        <f aca="false">IF($H205="","",$H205+$L205)</f>
        <v>1890</v>
      </c>
      <c r="N205" s="17" t="str">
        <f aca="false">IF($I205="","",$I205+$L205)</f>
        <v/>
      </c>
      <c r="O205" s="17" t="n">
        <f aca="false">IF($K205="","",$K205+$L205)</f>
        <v>1890</v>
      </c>
      <c r="P205" s="17" t="str">
        <f aca="false">IF($B$10=0,"",IFERROR(IF($B$4&gt;0,"휘발유 "&amp;TEXT(IF($M205="",1/0,$M205*$B$4),"#,##0")&amp;"원","")&amp;IF($B$5&gt;0,IF($B$4&gt;0," / ","")&amp;"고급유 "&amp;TEXT(IF($N205="",1/0,$N205*$B$5),"#,##0")&amp;"원","")&amp;IF($B$6&gt;0,IF(OR($B$4&gt;0,$B$5&gt;0)," / ","")&amp;"경유 "&amp;TEXT(IF($O205="",1/0,$O205*$B$6),"#,##0")&amp;"원",""),""))</f>
        <v/>
      </c>
      <c r="Q205" s="17" t="str">
        <f aca="false">IF($B$10=0,"",IFERROR(IF($B$4&gt;0,IF($M205="",1/0,$M205*$B$4),0)+IF($B$5&gt;0,IF($N205="",1/0,$N205*$B$5),0)+IF($B$6&gt;0,IF($O205="",1/0,$O205*$B$6),0),""))</f>
        <v/>
      </c>
      <c r="R205" s="17" t="s">
        <v>47</v>
      </c>
      <c r="S205" s="18" t="str">
        <f aca="false">IF($Q205="","",IF($R205="Y",IFERROR(VLOOKUP($B205,$C$4:$D$13,2,FALSE()),0),0))</f>
        <v/>
      </c>
      <c r="T205" s="17" t="str">
        <f aca="false">IF($Q205="","",ROUNDDOWN($Q205*$S205,0))</f>
        <v/>
      </c>
      <c r="U205" s="17" t="str">
        <f aca="false">IF($Q205="","",$Q205-$T205)</f>
        <v/>
      </c>
      <c r="V205" s="17" t="str">
        <f aca="false">IF($U205="","",IF($B$10=0,"",$U205/$B$10))</f>
        <v/>
      </c>
      <c r="W205" s="17" t="str">
        <f aca="false">IF($Q205="","",IF($B$10=0,"",$Q205/$B$10))</f>
        <v/>
      </c>
      <c r="X205" s="19" t="n">
        <f aca="false">IF($U205="",1000000000000000,$U205)</f>
        <v>1000000000000000</v>
      </c>
      <c r="XFC205" s="6"/>
    </row>
    <row r="206" s="5" customFormat="true" ht="28.5" hidden="false" customHeight="true" outlineLevel="0" collapsed="false">
      <c r="A206" s="16" t="str">
        <f aca="false">IF($U206="","",1+COUNTIF($X$15:$X$728,"&lt;"&amp;X206))</f>
        <v/>
      </c>
      <c r="B206" s="16" t="s">
        <v>6</v>
      </c>
      <c r="C206" s="16" t="s">
        <v>628</v>
      </c>
      <c r="D206" s="16" t="s">
        <v>629</v>
      </c>
      <c r="E206" s="16" t="s">
        <v>47</v>
      </c>
      <c r="F206" s="16" t="s">
        <v>630</v>
      </c>
      <c r="G206" s="16" t="s">
        <v>631</v>
      </c>
      <c r="H206" s="17" t="n">
        <v>1849</v>
      </c>
      <c r="I206" s="17"/>
      <c r="J206" s="17"/>
      <c r="K206" s="17" t="n">
        <v>1849</v>
      </c>
      <c r="L206" s="17" t="n">
        <f aca="false">IF(AND(IFERROR(SEARCH("현대오일뱅크",$C206),0)&gt;0,IFERROR(SEARCH("직영",$C206),0)&gt;0),$B$13,0)</f>
        <v>0</v>
      </c>
      <c r="M206" s="17" t="n">
        <f aca="false">IF($H206="","",$H206+$L206)</f>
        <v>1849</v>
      </c>
      <c r="N206" s="17" t="str">
        <f aca="false">IF($I206="","",$I206+$L206)</f>
        <v/>
      </c>
      <c r="O206" s="17" t="n">
        <f aca="false">IF($K206="","",$K206+$L206)</f>
        <v>1849</v>
      </c>
      <c r="P206" s="17" t="str">
        <f aca="false">IF($B$10=0,"",IFERROR(IF($B$4&gt;0,"휘발유 "&amp;TEXT(IF($M206="",1/0,$M206*$B$4),"#,##0")&amp;"원","")&amp;IF($B$5&gt;0,IF($B$4&gt;0," / ","")&amp;"고급유 "&amp;TEXT(IF($N206="",1/0,$N206*$B$5),"#,##0")&amp;"원","")&amp;IF($B$6&gt;0,IF(OR($B$4&gt;0,$B$5&gt;0)," / ","")&amp;"경유 "&amp;TEXT(IF($O206="",1/0,$O206*$B$6),"#,##0")&amp;"원",""),""))</f>
        <v/>
      </c>
      <c r="Q206" s="17" t="str">
        <f aca="false">IF($B$10=0,"",IFERROR(IF($B$4&gt;0,IF($M206="",1/0,$M206*$B$4),0)+IF($B$5&gt;0,IF($N206="",1/0,$N206*$B$5),0)+IF($B$6&gt;0,IF($O206="",1/0,$O206*$B$6),0),""))</f>
        <v/>
      </c>
      <c r="R206" s="17" t="s">
        <v>47</v>
      </c>
      <c r="S206" s="18" t="str">
        <f aca="false">IF($Q206="","",IF($R206="Y",IFERROR(VLOOKUP($B206,$C$4:$D$13,2,FALSE()),0),0))</f>
        <v/>
      </c>
      <c r="T206" s="17" t="str">
        <f aca="false">IF($Q206="","",ROUNDDOWN($Q206*$S206,0))</f>
        <v/>
      </c>
      <c r="U206" s="17" t="str">
        <f aca="false">IF($Q206="","",$Q206-$T206)</f>
        <v/>
      </c>
      <c r="V206" s="17" t="str">
        <f aca="false">IF($U206="","",IF($B$10=0,"",$U206/$B$10))</f>
        <v/>
      </c>
      <c r="W206" s="17" t="str">
        <f aca="false">IF($Q206="","",IF($B$10=0,"",$Q206/$B$10))</f>
        <v/>
      </c>
      <c r="X206" s="19" t="n">
        <f aca="false">IF($U206="",1000000000000000,$U206)</f>
        <v>1000000000000000</v>
      </c>
      <c r="XFC206" s="6"/>
    </row>
    <row r="207" s="5" customFormat="true" ht="28.5" hidden="false" customHeight="true" outlineLevel="0" collapsed="false">
      <c r="A207" s="16" t="str">
        <f aca="false">IF($U207="","",1+COUNTIF($X$15:$X$728,"&lt;"&amp;X207))</f>
        <v/>
      </c>
      <c r="B207" s="16" t="s">
        <v>10</v>
      </c>
      <c r="C207" s="16" t="s">
        <v>632</v>
      </c>
      <c r="D207" s="20" t="s">
        <v>108</v>
      </c>
      <c r="E207" s="16" t="s">
        <v>59</v>
      </c>
      <c r="F207" s="16" t="s">
        <v>633</v>
      </c>
      <c r="G207" s="16" t="s">
        <v>634</v>
      </c>
      <c r="H207" s="17" t="n">
        <v>1849</v>
      </c>
      <c r="I207" s="17"/>
      <c r="J207" s="17"/>
      <c r="K207" s="17" t="n">
        <v>1979</v>
      </c>
      <c r="L207" s="17" t="n">
        <f aca="false">IF(AND(IFERROR(SEARCH("현대오일뱅크",$C207),0)&gt;0,IFERROR(SEARCH("직영",$C207),0)&gt;0),$B$13,0)</f>
        <v>0</v>
      </c>
      <c r="M207" s="17" t="n">
        <f aca="false">IF($H207="","",$H207+$L207)</f>
        <v>1849</v>
      </c>
      <c r="N207" s="17" t="str">
        <f aca="false">IF($I207="","",$I207+$L207)</f>
        <v/>
      </c>
      <c r="O207" s="17" t="n">
        <f aca="false">IF($K207="","",$K207+$L207)</f>
        <v>1979</v>
      </c>
      <c r="P207" s="17" t="str">
        <f aca="false">IF($B$10=0,"",IFERROR(IF($B$4&gt;0,"휘발유 "&amp;TEXT(IF($M207="",1/0,$M207*$B$4),"#,##0")&amp;"원","")&amp;IF($B$5&gt;0,IF($B$4&gt;0," / ","")&amp;"고급유 "&amp;TEXT(IF($N207="",1/0,$N207*$B$5),"#,##0")&amp;"원","")&amp;IF($B$6&gt;0,IF(OR($B$4&gt;0,$B$5&gt;0)," / ","")&amp;"경유 "&amp;TEXT(IF($O207="",1/0,$O207*$B$6),"#,##0")&amp;"원",""),""))</f>
        <v/>
      </c>
      <c r="Q207" s="17" t="str">
        <f aca="false">IF($B$10=0,"",IFERROR(IF($B$4&gt;0,IF($M207="",1/0,$M207*$B$4),0)+IF($B$5&gt;0,IF($N207="",1/0,$N207*$B$5),0)+IF($B$6&gt;0,IF($O207="",1/0,$O207*$B$6),0),""))</f>
        <v/>
      </c>
      <c r="R207" s="17" t="s">
        <v>47</v>
      </c>
      <c r="S207" s="18" t="str">
        <f aca="false">IF($Q207="","",IF($R207="Y",IFERROR(VLOOKUP($B207,$C$4:$D$13,2,FALSE()),0),0))</f>
        <v/>
      </c>
      <c r="T207" s="17" t="str">
        <f aca="false">IF($Q207="","",ROUNDDOWN($Q207*$S207,0))</f>
        <v/>
      </c>
      <c r="U207" s="17" t="str">
        <f aca="false">IF($Q207="","",$Q207-$T207)</f>
        <v/>
      </c>
      <c r="V207" s="17" t="str">
        <f aca="false">IF($U207="","",IF($B$10=0,"",$U207/$B$10))</f>
        <v/>
      </c>
      <c r="W207" s="17" t="str">
        <f aca="false">IF($Q207="","",IF($B$10=0,"",$Q207/$B$10))</f>
        <v/>
      </c>
      <c r="X207" s="19" t="n">
        <f aca="false">IF($U207="",1000000000000000,$U207)</f>
        <v>1000000000000000</v>
      </c>
      <c r="XFC207" s="6"/>
    </row>
    <row r="208" s="5" customFormat="true" ht="28.5" hidden="false" customHeight="true" outlineLevel="0" collapsed="false">
      <c r="A208" s="16" t="str">
        <f aca="false">IF($U208="","",1+COUNTIF($X$15:$X$728,"&lt;"&amp;X208))</f>
        <v/>
      </c>
      <c r="B208" s="16" t="s">
        <v>6</v>
      </c>
      <c r="C208" s="16" t="s">
        <v>635</v>
      </c>
      <c r="D208" s="16" t="s">
        <v>112</v>
      </c>
      <c r="E208" s="16" t="s">
        <v>47</v>
      </c>
      <c r="F208" s="16" t="s">
        <v>636</v>
      </c>
      <c r="G208" s="16" t="s">
        <v>637</v>
      </c>
      <c r="H208" s="17" t="n">
        <v>1849</v>
      </c>
      <c r="I208" s="17"/>
      <c r="J208" s="17"/>
      <c r="K208" s="17" t="n">
        <v>1849</v>
      </c>
      <c r="L208" s="17" t="n">
        <f aca="false">IF(AND(IFERROR(SEARCH("현대오일뱅크",$C208),0)&gt;0,IFERROR(SEARCH("직영",$C208),0)&gt;0),$B$13,0)</f>
        <v>0</v>
      </c>
      <c r="M208" s="17" t="n">
        <f aca="false">IF($H208="","",$H208+$L208)</f>
        <v>1849</v>
      </c>
      <c r="N208" s="17" t="str">
        <f aca="false">IF($I208="","",$I208+$L208)</f>
        <v/>
      </c>
      <c r="O208" s="17" t="n">
        <f aca="false">IF($K208="","",$K208+$L208)</f>
        <v>1849</v>
      </c>
      <c r="P208" s="17" t="str">
        <f aca="false">IF($B$10=0,"",IFERROR(IF($B$4&gt;0,"휘발유 "&amp;TEXT(IF($M208="",1/0,$M208*$B$4),"#,##0")&amp;"원","")&amp;IF($B$5&gt;0,IF($B$4&gt;0," / ","")&amp;"고급유 "&amp;TEXT(IF($N208="",1/0,$N208*$B$5),"#,##0")&amp;"원","")&amp;IF($B$6&gt;0,IF(OR($B$4&gt;0,$B$5&gt;0)," / ","")&amp;"경유 "&amp;TEXT(IF($O208="",1/0,$O208*$B$6),"#,##0")&amp;"원",""),""))</f>
        <v/>
      </c>
      <c r="Q208" s="17" t="str">
        <f aca="false">IF($B$10=0,"",IFERROR(IF($B$4&gt;0,IF($M208="",1/0,$M208*$B$4),0)+IF($B$5&gt;0,IF($N208="",1/0,$N208*$B$5),0)+IF($B$6&gt;0,IF($O208="",1/0,$O208*$B$6),0),""))</f>
        <v/>
      </c>
      <c r="R208" s="17" t="s">
        <v>47</v>
      </c>
      <c r="S208" s="18" t="str">
        <f aca="false">IF($Q208="","",IF($R208="Y",IFERROR(VLOOKUP($B208,$C$4:$D$13,2,FALSE()),0),0))</f>
        <v/>
      </c>
      <c r="T208" s="17" t="str">
        <f aca="false">IF($Q208="","",ROUNDDOWN($Q208*$S208,0))</f>
        <v/>
      </c>
      <c r="U208" s="17" t="str">
        <f aca="false">IF($Q208="","",$Q208-$T208)</f>
        <v/>
      </c>
      <c r="V208" s="17" t="str">
        <f aca="false">IF($U208="","",IF($B$10=0,"",$U208/$B$10))</f>
        <v/>
      </c>
      <c r="W208" s="17" t="str">
        <f aca="false">IF($Q208="","",IF($B$10=0,"",$Q208/$B$10))</f>
        <v/>
      </c>
      <c r="X208" s="19" t="n">
        <f aca="false">IF($U208="",1000000000000000,$U208)</f>
        <v>1000000000000000</v>
      </c>
      <c r="XFC208" s="6"/>
    </row>
    <row r="209" s="5" customFormat="true" ht="28.5" hidden="false" customHeight="true" outlineLevel="0" collapsed="false">
      <c r="A209" s="16" t="str">
        <f aca="false">IF($U209="","",1+COUNTIF($X$15:$X$728,"&lt;"&amp;X209))</f>
        <v/>
      </c>
      <c r="B209" s="16" t="s">
        <v>18</v>
      </c>
      <c r="C209" s="16" t="s">
        <v>638</v>
      </c>
      <c r="D209" s="16" t="s">
        <v>112</v>
      </c>
      <c r="E209" s="16" t="s">
        <v>59</v>
      </c>
      <c r="F209" s="16" t="s">
        <v>639</v>
      </c>
      <c r="G209" s="16" t="s">
        <v>640</v>
      </c>
      <c r="H209" s="17" t="n">
        <v>1959</v>
      </c>
      <c r="I209" s="17"/>
      <c r="J209" s="17"/>
      <c r="K209" s="17" t="n">
        <v>1999</v>
      </c>
      <c r="L209" s="17" t="n">
        <f aca="false">IF(AND(IFERROR(SEARCH("현대오일뱅크",$C209),0)&gt;0,IFERROR(SEARCH("직영",$C209),0)&gt;0),$B$13,0)</f>
        <v>0</v>
      </c>
      <c r="M209" s="17" t="n">
        <f aca="false">IF($H209="","",$H209+$L209)</f>
        <v>1959</v>
      </c>
      <c r="N209" s="17" t="str">
        <f aca="false">IF($I209="","",$I209+$L209)</f>
        <v/>
      </c>
      <c r="O209" s="17" t="n">
        <f aca="false">IF($K209="","",$K209+$L209)</f>
        <v>1999</v>
      </c>
      <c r="P209" s="17" t="str">
        <f aca="false">IF($B$10=0,"",IFERROR(IF($B$4&gt;0,"휘발유 "&amp;TEXT(IF($M209="",1/0,$M209*$B$4),"#,##0")&amp;"원","")&amp;IF($B$5&gt;0,IF($B$4&gt;0," / ","")&amp;"고급유 "&amp;TEXT(IF($N209="",1/0,$N209*$B$5),"#,##0")&amp;"원","")&amp;IF($B$6&gt;0,IF(OR($B$4&gt;0,$B$5&gt;0)," / ","")&amp;"경유 "&amp;TEXT(IF($O209="",1/0,$O209*$B$6),"#,##0")&amp;"원",""),""))</f>
        <v/>
      </c>
      <c r="Q209" s="17" t="str">
        <f aca="false">IF($B$10=0,"",IFERROR(IF($B$4&gt;0,IF($M209="",1/0,$M209*$B$4),0)+IF($B$5&gt;0,IF($N209="",1/0,$N209*$B$5),0)+IF($B$6&gt;0,IF($O209="",1/0,$O209*$B$6),0),""))</f>
        <v/>
      </c>
      <c r="R209" s="17" t="s">
        <v>47</v>
      </c>
      <c r="S209" s="18" t="str">
        <f aca="false">IF($Q209="","",IF($R209="Y",IFERROR(VLOOKUP($B209,$C$4:$D$13,2,FALSE()),0),0))</f>
        <v/>
      </c>
      <c r="T209" s="17" t="str">
        <f aca="false">IF($Q209="","",ROUNDDOWN($Q209*$S209,0))</f>
        <v/>
      </c>
      <c r="U209" s="17" t="str">
        <f aca="false">IF($Q209="","",$Q209-$T209)</f>
        <v/>
      </c>
      <c r="V209" s="17" t="str">
        <f aca="false">IF($U209="","",IF($B$10=0,"",$U209/$B$10))</f>
        <v/>
      </c>
      <c r="W209" s="17" t="str">
        <f aca="false">IF($Q209="","",IF($B$10=0,"",$Q209/$B$10))</f>
        <v/>
      </c>
      <c r="X209" s="19" t="n">
        <f aca="false">IF($U209="",1000000000000000,$U209)</f>
        <v>1000000000000000</v>
      </c>
      <c r="XFC209" s="6"/>
    </row>
    <row r="210" s="5" customFormat="true" ht="28.5" hidden="false" customHeight="true" outlineLevel="0" collapsed="false">
      <c r="A210" s="16" t="str">
        <f aca="false">IF($U210="","",1+COUNTIF($X$15:$X$728,"&lt;"&amp;X210))</f>
        <v/>
      </c>
      <c r="B210" s="16" t="s">
        <v>18</v>
      </c>
      <c r="C210" s="16" t="s">
        <v>641</v>
      </c>
      <c r="D210" s="16" t="s">
        <v>58</v>
      </c>
      <c r="E210" s="16" t="s">
        <v>47</v>
      </c>
      <c r="F210" s="16" t="s">
        <v>642</v>
      </c>
      <c r="G210" s="16" t="s">
        <v>643</v>
      </c>
      <c r="H210" s="17" t="n">
        <v>1960</v>
      </c>
      <c r="I210" s="17"/>
      <c r="J210" s="17"/>
      <c r="K210" s="17" t="n">
        <v>1970</v>
      </c>
      <c r="L210" s="17" t="n">
        <f aca="false">IF(AND(IFERROR(SEARCH("현대오일뱅크",$C210),0)&gt;0,IFERROR(SEARCH("직영",$C210),0)&gt;0),$B$13,0)</f>
        <v>0</v>
      </c>
      <c r="M210" s="17" t="n">
        <f aca="false">IF($H210="","",$H210+$L210)</f>
        <v>1960</v>
      </c>
      <c r="N210" s="17" t="str">
        <f aca="false">IF($I210="","",$I210+$L210)</f>
        <v/>
      </c>
      <c r="O210" s="17" t="n">
        <f aca="false">IF($K210="","",$K210+$L210)</f>
        <v>1970</v>
      </c>
      <c r="P210" s="17" t="str">
        <f aca="false">IF($B$10=0,"",IFERROR(IF($B$4&gt;0,"휘발유 "&amp;TEXT(IF($M210="",1/0,$M210*$B$4),"#,##0")&amp;"원","")&amp;IF($B$5&gt;0,IF($B$4&gt;0," / ","")&amp;"고급유 "&amp;TEXT(IF($N210="",1/0,$N210*$B$5),"#,##0")&amp;"원","")&amp;IF($B$6&gt;0,IF(OR($B$4&gt;0,$B$5&gt;0)," / ","")&amp;"경유 "&amp;TEXT(IF($O210="",1/0,$O210*$B$6),"#,##0")&amp;"원",""),""))</f>
        <v/>
      </c>
      <c r="Q210" s="17" t="str">
        <f aca="false">IF($B$10=0,"",IFERROR(IF($B$4&gt;0,IF($M210="",1/0,$M210*$B$4),0)+IF($B$5&gt;0,IF($N210="",1/0,$N210*$B$5),0)+IF($B$6&gt;0,IF($O210="",1/0,$O210*$B$6),0),""))</f>
        <v/>
      </c>
      <c r="R210" s="16" t="s">
        <v>47</v>
      </c>
      <c r="S210" s="18" t="str">
        <f aca="false">IF($Q210="","",IF($R210="Y",IFERROR(VLOOKUP($B210,$C$4:$D$13,2,FALSE()),0),0))</f>
        <v/>
      </c>
      <c r="T210" s="17" t="str">
        <f aca="false">IF($Q210="","",ROUNDDOWN($Q210*$S210,0))</f>
        <v/>
      </c>
      <c r="U210" s="17" t="str">
        <f aca="false">IF($Q210="","",$Q210-$T210)</f>
        <v/>
      </c>
      <c r="V210" s="17" t="str">
        <f aca="false">IF($U210="","",IF($B$10=0,"",$U210/$B$10))</f>
        <v/>
      </c>
      <c r="W210" s="17" t="str">
        <f aca="false">IF($Q210="","",IF($B$10=0,"",$Q210/$B$10))</f>
        <v/>
      </c>
      <c r="X210" s="19" t="n">
        <f aca="false">IF($U210="",1000000000000000,$U210)</f>
        <v>1000000000000000</v>
      </c>
      <c r="XFC210" s="6"/>
    </row>
    <row r="211" s="5" customFormat="true" ht="28.5" hidden="false" customHeight="true" outlineLevel="0" collapsed="false">
      <c r="A211" s="16" t="str">
        <f aca="false">IF($U211="","",1+COUNTIF($X$15:$X$728,"&lt;"&amp;X211))</f>
        <v/>
      </c>
      <c r="B211" s="16" t="s">
        <v>16</v>
      </c>
      <c r="C211" s="16" t="s">
        <v>644</v>
      </c>
      <c r="D211" s="16" t="s">
        <v>58</v>
      </c>
      <c r="E211" s="16" t="s">
        <v>47</v>
      </c>
      <c r="F211" s="16" t="s">
        <v>645</v>
      </c>
      <c r="G211" s="16" t="s">
        <v>646</v>
      </c>
      <c r="H211" s="17" t="n">
        <v>1895</v>
      </c>
      <c r="I211" s="17"/>
      <c r="J211" s="17"/>
      <c r="K211" s="17" t="n">
        <v>1895</v>
      </c>
      <c r="L211" s="17" t="n">
        <f aca="false">IF(AND(IFERROR(SEARCH("현대오일뱅크",$C211),0)&gt;0,IFERROR(SEARCH("직영",$C211),0)&gt;0),$B$13,0)</f>
        <v>0</v>
      </c>
      <c r="M211" s="17" t="n">
        <f aca="false">IF($H211="","",$H211+$L211)</f>
        <v>1895</v>
      </c>
      <c r="N211" s="17" t="str">
        <f aca="false">IF($I211="","",$I211+$L211)</f>
        <v/>
      </c>
      <c r="O211" s="17" t="n">
        <f aca="false">IF($K211="","",$K211+$L211)</f>
        <v>1895</v>
      </c>
      <c r="P211" s="17" t="str">
        <f aca="false">IF($B$10=0,"",IFERROR(IF($B$4&gt;0,"휘발유 "&amp;TEXT(IF($M211="",1/0,$M211*$B$4),"#,##0")&amp;"원","")&amp;IF($B$5&gt;0,IF($B$4&gt;0," / ","")&amp;"고급유 "&amp;TEXT(IF($N211="",1/0,$N211*$B$5),"#,##0")&amp;"원","")&amp;IF($B$6&gt;0,IF(OR($B$4&gt;0,$B$5&gt;0)," / ","")&amp;"경유 "&amp;TEXT(IF($O211="",1/0,$O211*$B$6),"#,##0")&amp;"원",""),""))</f>
        <v/>
      </c>
      <c r="Q211" s="17" t="str">
        <f aca="false">IF($B$10=0,"",IFERROR(IF($B$4&gt;0,IF($M211="",1/0,$M211*$B$4),0)+IF($B$5&gt;0,IF($N211="",1/0,$N211*$B$5),0)+IF($B$6&gt;0,IF($O211="",1/0,$O211*$B$6),0),""))</f>
        <v/>
      </c>
      <c r="R211" s="17" t="s">
        <v>47</v>
      </c>
      <c r="S211" s="18" t="str">
        <f aca="false">IF($Q211="","",IF($R211="Y",IFERROR(VLOOKUP($B211,$C$4:$D$13,2,FALSE()),0),0))</f>
        <v/>
      </c>
      <c r="T211" s="17" t="str">
        <f aca="false">IF($Q211="","",ROUNDDOWN($Q211*$S211,0))</f>
        <v/>
      </c>
      <c r="U211" s="17" t="str">
        <f aca="false">IF($Q211="","",$Q211-$T211)</f>
        <v/>
      </c>
      <c r="V211" s="17" t="str">
        <f aca="false">IF($U211="","",IF($B$10=0,"",$U211/$B$10))</f>
        <v/>
      </c>
      <c r="W211" s="17" t="str">
        <f aca="false">IF($Q211="","",IF($B$10=0,"",$Q211/$B$10))</f>
        <v/>
      </c>
      <c r="X211" s="19" t="n">
        <f aca="false">IF($U211="",1000000000000000,$U211)</f>
        <v>1000000000000000</v>
      </c>
      <c r="XFC211" s="6"/>
    </row>
    <row r="212" s="5" customFormat="true" ht="28.5" hidden="false" customHeight="true" outlineLevel="0" collapsed="false">
      <c r="A212" s="16" t="str">
        <f aca="false">IF($U212="","",1+COUNTIF($X$15:$X$728,"&lt;"&amp;X212))</f>
        <v/>
      </c>
      <c r="B212" s="16" t="s">
        <v>16</v>
      </c>
      <c r="C212" s="16" t="s">
        <v>647</v>
      </c>
      <c r="D212" s="16" t="s">
        <v>58</v>
      </c>
      <c r="E212" s="16" t="s">
        <v>47</v>
      </c>
      <c r="F212" s="16" t="s">
        <v>648</v>
      </c>
      <c r="G212" s="16" t="s">
        <v>649</v>
      </c>
      <c r="H212" s="17" t="n">
        <v>1897</v>
      </c>
      <c r="I212" s="17"/>
      <c r="J212" s="17"/>
      <c r="K212" s="17" t="n">
        <v>1897</v>
      </c>
      <c r="L212" s="17" t="n">
        <f aca="false">IF(AND(IFERROR(SEARCH("현대오일뱅크",$C212),0)&gt;0,IFERROR(SEARCH("직영",$C212),0)&gt;0),$B$13,0)</f>
        <v>0</v>
      </c>
      <c r="M212" s="17" t="n">
        <f aca="false">IF($H212="","",$H212+$L212)</f>
        <v>1897</v>
      </c>
      <c r="N212" s="17" t="str">
        <f aca="false">IF($I212="","",$I212+$L212)</f>
        <v/>
      </c>
      <c r="O212" s="17" t="n">
        <f aca="false">IF($K212="","",$K212+$L212)</f>
        <v>1897</v>
      </c>
      <c r="P212" s="17" t="str">
        <f aca="false">IF($B$10=0,"",IFERROR(IF($B$4&gt;0,"휘발유 "&amp;TEXT(IF($M212="",1/0,$M212*$B$4),"#,##0")&amp;"원","")&amp;IF($B$5&gt;0,IF($B$4&gt;0," / ","")&amp;"고급유 "&amp;TEXT(IF($N212="",1/0,$N212*$B$5),"#,##0")&amp;"원","")&amp;IF($B$6&gt;0,IF(OR($B$4&gt;0,$B$5&gt;0)," / ","")&amp;"경유 "&amp;TEXT(IF($O212="",1/0,$O212*$B$6),"#,##0")&amp;"원",""),""))</f>
        <v/>
      </c>
      <c r="Q212" s="17" t="str">
        <f aca="false">IF($B$10=0,"",IFERROR(IF($B$4&gt;0,IF($M212="",1/0,$M212*$B$4),0)+IF($B$5&gt;0,IF($N212="",1/0,$N212*$B$5),0)+IF($B$6&gt;0,IF($O212="",1/0,$O212*$B$6),0),""))</f>
        <v/>
      </c>
      <c r="R212" s="17" t="s">
        <v>47</v>
      </c>
      <c r="S212" s="18" t="str">
        <f aca="false">IF($Q212="","",IF($R212="Y",IFERROR(VLOOKUP($B212,$C$4:$D$13,2,FALSE()),0),0))</f>
        <v/>
      </c>
      <c r="T212" s="17" t="str">
        <f aca="false">IF($Q212="","",ROUNDDOWN($Q212*$S212,0))</f>
        <v/>
      </c>
      <c r="U212" s="17" t="str">
        <f aca="false">IF($Q212="","",$Q212-$T212)</f>
        <v/>
      </c>
      <c r="V212" s="17" t="str">
        <f aca="false">IF($U212="","",IF($B$10=0,"",$U212/$B$10))</f>
        <v/>
      </c>
      <c r="W212" s="17" t="str">
        <f aca="false">IF($Q212="","",IF($B$10=0,"",$Q212/$B$10))</f>
        <v/>
      </c>
      <c r="X212" s="19" t="n">
        <f aca="false">IF($U212="",1000000000000000,$U212)</f>
        <v>1000000000000000</v>
      </c>
      <c r="XFC212" s="6"/>
    </row>
    <row r="213" s="5" customFormat="true" ht="28.5" hidden="false" customHeight="true" outlineLevel="0" collapsed="false">
      <c r="A213" s="16" t="str">
        <f aca="false">IF($U213="","",1+COUNTIF($X$15:$X$728,"&lt;"&amp;X213))</f>
        <v/>
      </c>
      <c r="B213" s="16" t="s">
        <v>10</v>
      </c>
      <c r="C213" s="16" t="s">
        <v>650</v>
      </c>
      <c r="D213" s="16" t="s">
        <v>112</v>
      </c>
      <c r="E213" s="16" t="s">
        <v>47</v>
      </c>
      <c r="F213" s="16" t="s">
        <v>651</v>
      </c>
      <c r="G213" s="16" t="s">
        <v>652</v>
      </c>
      <c r="H213" s="17" t="n">
        <v>1855</v>
      </c>
      <c r="I213" s="17"/>
      <c r="J213" s="17"/>
      <c r="K213" s="17" t="n">
        <v>1895</v>
      </c>
      <c r="L213" s="17" t="n">
        <f aca="false">IF(AND(IFERROR(SEARCH("현대오일뱅크",$C213),0)&gt;0,IFERROR(SEARCH("직영",$C213),0)&gt;0),$B$13,0)</f>
        <v>0</v>
      </c>
      <c r="M213" s="17" t="n">
        <f aca="false">IF($H213="","",$H213+$L213)</f>
        <v>1855</v>
      </c>
      <c r="N213" s="17" t="str">
        <f aca="false">IF($I213="","",$I213+$L213)</f>
        <v/>
      </c>
      <c r="O213" s="17" t="n">
        <f aca="false">IF($K213="","",$K213+$L213)</f>
        <v>1895</v>
      </c>
      <c r="P213" s="17" t="str">
        <f aca="false">IF($B$10=0,"",IFERROR(IF($B$4&gt;0,"휘발유 "&amp;TEXT(IF($M213="",1/0,$M213*$B$4),"#,##0")&amp;"원","")&amp;IF($B$5&gt;0,IF($B$4&gt;0," / ","")&amp;"고급유 "&amp;TEXT(IF($N213="",1/0,$N213*$B$5),"#,##0")&amp;"원","")&amp;IF($B$6&gt;0,IF(OR($B$4&gt;0,$B$5&gt;0)," / ","")&amp;"경유 "&amp;TEXT(IF($O213="",1/0,$O213*$B$6),"#,##0")&amp;"원",""),""))</f>
        <v/>
      </c>
      <c r="Q213" s="17" t="str">
        <f aca="false">IF($B$10=0,"",IFERROR(IF($B$4&gt;0,IF($M213="",1/0,$M213*$B$4),0)+IF($B$5&gt;0,IF($N213="",1/0,$N213*$B$5),0)+IF($B$6&gt;0,IF($O213="",1/0,$O213*$B$6),0),""))</f>
        <v/>
      </c>
      <c r="R213" s="17" t="s">
        <v>47</v>
      </c>
      <c r="S213" s="18" t="str">
        <f aca="false">IF($Q213="","",IF($R213="Y",IFERROR(VLOOKUP($B213,$C$4:$D$13,2,FALSE()),0),0))</f>
        <v/>
      </c>
      <c r="T213" s="17" t="str">
        <f aca="false">IF($Q213="","",ROUNDDOWN($Q213*$S213,0))</f>
        <v/>
      </c>
      <c r="U213" s="17" t="str">
        <f aca="false">IF($Q213="","",$Q213-$T213)</f>
        <v/>
      </c>
      <c r="V213" s="17" t="str">
        <f aca="false">IF($U213="","",IF($B$10=0,"",$U213/$B$10))</f>
        <v/>
      </c>
      <c r="W213" s="17" t="str">
        <f aca="false">IF($Q213="","",IF($B$10=0,"",$Q213/$B$10))</f>
        <v/>
      </c>
      <c r="X213" s="19" t="n">
        <f aca="false">IF($U213="",1000000000000000,$U213)</f>
        <v>1000000000000000</v>
      </c>
      <c r="XFC213" s="6"/>
    </row>
    <row r="214" s="5" customFormat="true" ht="28.5" hidden="false" customHeight="true" outlineLevel="0" collapsed="false">
      <c r="A214" s="16" t="str">
        <f aca="false">IF($U214="","",1+COUNTIF($X$15:$X$728,"&lt;"&amp;X214))</f>
        <v/>
      </c>
      <c r="B214" s="16" t="s">
        <v>18</v>
      </c>
      <c r="C214" s="16" t="s">
        <v>653</v>
      </c>
      <c r="D214" s="16" t="s">
        <v>51</v>
      </c>
      <c r="E214" s="16" t="s">
        <v>59</v>
      </c>
      <c r="F214" s="16" t="s">
        <v>654</v>
      </c>
      <c r="G214" s="16" t="s">
        <v>655</v>
      </c>
      <c r="H214" s="17" t="n">
        <v>1965</v>
      </c>
      <c r="I214" s="17"/>
      <c r="J214" s="17"/>
      <c r="K214" s="17" t="n">
        <v>1995</v>
      </c>
      <c r="L214" s="17" t="n">
        <f aca="false">IF(AND(IFERROR(SEARCH("현대오일뱅크",$C214),0)&gt;0,IFERROR(SEARCH("직영",$C214),0)&gt;0),$B$13,0)</f>
        <v>0</v>
      </c>
      <c r="M214" s="17" t="n">
        <f aca="false">IF($H214="","",$H214+$L214)</f>
        <v>1965</v>
      </c>
      <c r="N214" s="17" t="str">
        <f aca="false">IF($I214="","",$I214+$L214)</f>
        <v/>
      </c>
      <c r="O214" s="17" t="n">
        <f aca="false">IF($K214="","",$K214+$L214)</f>
        <v>1995</v>
      </c>
      <c r="P214" s="17" t="str">
        <f aca="false">IF($B$10=0,"",IFERROR(IF($B$4&gt;0,"휘발유 "&amp;TEXT(IF($M214="",1/0,$M214*$B$4),"#,##0")&amp;"원","")&amp;IF($B$5&gt;0,IF($B$4&gt;0," / ","")&amp;"고급유 "&amp;TEXT(IF($N214="",1/0,$N214*$B$5),"#,##0")&amp;"원","")&amp;IF($B$6&gt;0,IF(OR($B$4&gt;0,$B$5&gt;0)," / ","")&amp;"경유 "&amp;TEXT(IF($O214="",1/0,$O214*$B$6),"#,##0")&amp;"원",""),""))</f>
        <v/>
      </c>
      <c r="Q214" s="17" t="str">
        <f aca="false">IF($B$10=0,"",IFERROR(IF($B$4&gt;0,IF($M214="",1/0,$M214*$B$4),0)+IF($B$5&gt;0,IF($N214="",1/0,$N214*$B$5),0)+IF($B$6&gt;0,IF($O214="",1/0,$O214*$B$6),0),""))</f>
        <v/>
      </c>
      <c r="R214" s="17" t="s">
        <v>47</v>
      </c>
      <c r="S214" s="18" t="str">
        <f aca="false">IF($Q214="","",IF($R214="Y",IFERROR(VLOOKUP($B214,$C$4:$D$13,2,FALSE()),0),0))</f>
        <v/>
      </c>
      <c r="T214" s="17" t="str">
        <f aca="false">IF($Q214="","",ROUNDDOWN($Q214*$S214,0))</f>
        <v/>
      </c>
      <c r="U214" s="17" t="str">
        <f aca="false">IF($Q214="","",$Q214-$T214)</f>
        <v/>
      </c>
      <c r="V214" s="17" t="str">
        <f aca="false">IF($U214="","",IF($B$10=0,"",$U214/$B$10))</f>
        <v/>
      </c>
      <c r="W214" s="17" t="str">
        <f aca="false">IF($Q214="","",IF($B$10=0,"",$Q214/$B$10))</f>
        <v/>
      </c>
      <c r="X214" s="19" t="n">
        <f aca="false">IF($U214="",1000000000000000,$U214)</f>
        <v>1000000000000000</v>
      </c>
      <c r="XFC214" s="6"/>
    </row>
    <row r="215" s="5" customFormat="true" ht="28.5" hidden="false" customHeight="true" outlineLevel="0" collapsed="false">
      <c r="A215" s="16" t="str">
        <f aca="false">IF($U215="","",1+COUNTIF($X$15:$X$728,"&lt;"&amp;X215))</f>
        <v/>
      </c>
      <c r="B215" s="16" t="s">
        <v>16</v>
      </c>
      <c r="C215" s="16" t="s">
        <v>656</v>
      </c>
      <c r="D215" s="16" t="s">
        <v>112</v>
      </c>
      <c r="E215" s="16" t="s">
        <v>47</v>
      </c>
      <c r="F215" s="16" t="s">
        <v>657</v>
      </c>
      <c r="G215" s="16" t="s">
        <v>658</v>
      </c>
      <c r="H215" s="17" t="n">
        <v>1899</v>
      </c>
      <c r="I215" s="17"/>
      <c r="J215" s="17"/>
      <c r="K215" s="17" t="n">
        <v>1899</v>
      </c>
      <c r="L215" s="17" t="n">
        <f aca="false">IF(AND(IFERROR(SEARCH("현대오일뱅크",$C215),0)&gt;0,IFERROR(SEARCH("직영",$C215),0)&gt;0),$B$13,0)</f>
        <v>0</v>
      </c>
      <c r="M215" s="17" t="n">
        <f aca="false">IF($H215="","",$H215+$L215)</f>
        <v>1899</v>
      </c>
      <c r="N215" s="17" t="str">
        <f aca="false">IF($I215="","",$I215+$L215)</f>
        <v/>
      </c>
      <c r="O215" s="17" t="n">
        <f aca="false">IF($K215="","",$K215+$L215)</f>
        <v>1899</v>
      </c>
      <c r="P215" s="17" t="str">
        <f aca="false">IF($B$10=0,"",IFERROR(IF($B$4&gt;0,"휘발유 "&amp;TEXT(IF($M215="",1/0,$M215*$B$4),"#,##0")&amp;"원","")&amp;IF($B$5&gt;0,IF($B$4&gt;0," / ","")&amp;"고급유 "&amp;TEXT(IF($N215="",1/0,$N215*$B$5),"#,##0")&amp;"원","")&amp;IF($B$6&gt;0,IF(OR($B$4&gt;0,$B$5&gt;0)," / ","")&amp;"경유 "&amp;TEXT(IF($O215="",1/0,$O215*$B$6),"#,##0")&amp;"원",""),""))</f>
        <v/>
      </c>
      <c r="Q215" s="17" t="str">
        <f aca="false">IF($B$10=0,"",IFERROR(IF($B$4&gt;0,IF($M215="",1/0,$M215*$B$4),0)+IF($B$5&gt;0,IF($N215="",1/0,$N215*$B$5),0)+IF($B$6&gt;0,IF($O215="",1/0,$O215*$B$6),0),""))</f>
        <v/>
      </c>
      <c r="R215" s="17" t="s">
        <v>47</v>
      </c>
      <c r="S215" s="18" t="str">
        <f aca="false">IF($Q215="","",IF($R215="Y",IFERROR(VLOOKUP($B215,$C$4:$D$13,2,FALSE()),0),0))</f>
        <v/>
      </c>
      <c r="T215" s="17" t="str">
        <f aca="false">IF($Q215="","",ROUNDDOWN($Q215*$S215,0))</f>
        <v/>
      </c>
      <c r="U215" s="17" t="str">
        <f aca="false">IF($Q215="","",$Q215-$T215)</f>
        <v/>
      </c>
      <c r="V215" s="17" t="str">
        <f aca="false">IF($U215="","",IF($B$10=0,"",$U215/$B$10))</f>
        <v/>
      </c>
      <c r="W215" s="17" t="str">
        <f aca="false">IF($Q215="","",IF($B$10=0,"",$Q215/$B$10))</f>
        <v/>
      </c>
      <c r="X215" s="19" t="n">
        <f aca="false">IF($U215="",1000000000000000,$U215)</f>
        <v>1000000000000000</v>
      </c>
      <c r="XFC215" s="6"/>
    </row>
    <row r="216" s="5" customFormat="true" ht="28.5" hidden="false" customHeight="true" outlineLevel="0" collapsed="false">
      <c r="A216" s="16" t="str">
        <f aca="false">IF($U216="","",1+COUNTIF($X$15:$X$728,"&lt;"&amp;X216))</f>
        <v/>
      </c>
      <c r="B216" s="16" t="s">
        <v>16</v>
      </c>
      <c r="C216" s="16" t="s">
        <v>659</v>
      </c>
      <c r="D216" s="16" t="s">
        <v>51</v>
      </c>
      <c r="E216" s="16" t="s">
        <v>59</v>
      </c>
      <c r="F216" s="16" t="s">
        <v>660</v>
      </c>
      <c r="G216" s="16" t="s">
        <v>661</v>
      </c>
      <c r="H216" s="17" t="n">
        <v>1899</v>
      </c>
      <c r="I216" s="17"/>
      <c r="J216" s="17"/>
      <c r="K216" s="17" t="n">
        <v>1899</v>
      </c>
      <c r="L216" s="17" t="n">
        <f aca="false">IF(AND(IFERROR(SEARCH("현대오일뱅크",$C216),0)&gt;0,IFERROR(SEARCH("직영",$C216),0)&gt;0),$B$13,0)</f>
        <v>0</v>
      </c>
      <c r="M216" s="17" t="n">
        <f aca="false">IF($H216="","",$H216+$L216)</f>
        <v>1899</v>
      </c>
      <c r="N216" s="17" t="str">
        <f aca="false">IF($I216="","",$I216+$L216)</f>
        <v/>
      </c>
      <c r="O216" s="17" t="n">
        <f aca="false">IF($K216="","",$K216+$L216)</f>
        <v>1899</v>
      </c>
      <c r="P216" s="17" t="str">
        <f aca="false">IF($B$10=0,"",IFERROR(IF($B$4&gt;0,"휘발유 "&amp;TEXT(IF($M216="",1/0,$M216*$B$4),"#,##0")&amp;"원","")&amp;IF($B$5&gt;0,IF($B$4&gt;0," / ","")&amp;"고급유 "&amp;TEXT(IF($N216="",1/0,$N216*$B$5),"#,##0")&amp;"원","")&amp;IF($B$6&gt;0,IF(OR($B$4&gt;0,$B$5&gt;0)," / ","")&amp;"경유 "&amp;TEXT(IF($O216="",1/0,$O216*$B$6),"#,##0")&amp;"원",""),""))</f>
        <v/>
      </c>
      <c r="Q216" s="17" t="str">
        <f aca="false">IF($B$10=0,"",IFERROR(IF($B$4&gt;0,IF($M216="",1/0,$M216*$B$4),0)+IF($B$5&gt;0,IF($N216="",1/0,$N216*$B$5),0)+IF($B$6&gt;0,IF($O216="",1/0,$O216*$B$6),0),""))</f>
        <v/>
      </c>
      <c r="R216" s="17" t="s">
        <v>47</v>
      </c>
      <c r="S216" s="18" t="str">
        <f aca="false">IF($Q216="","",IF($R216="Y",IFERROR(VLOOKUP($B216,$C$4:$D$13,2,FALSE()),0),0))</f>
        <v/>
      </c>
      <c r="T216" s="17" t="str">
        <f aca="false">IF($Q216="","",ROUNDDOWN($Q216*$S216,0))</f>
        <v/>
      </c>
      <c r="U216" s="17" t="str">
        <f aca="false">IF($Q216="","",$Q216-$T216)</f>
        <v/>
      </c>
      <c r="V216" s="17" t="str">
        <f aca="false">IF($U216="","",IF($B$10=0,"",$U216/$B$10))</f>
        <v/>
      </c>
      <c r="W216" s="17" t="str">
        <f aca="false">IF($Q216="","",IF($B$10=0,"",$Q216/$B$10))</f>
        <v/>
      </c>
      <c r="X216" s="19" t="n">
        <f aca="false">IF($U216="",1000000000000000,$U216)</f>
        <v>1000000000000000</v>
      </c>
      <c r="XFC216" s="6"/>
    </row>
    <row r="217" s="5" customFormat="true" ht="28.5" hidden="false" customHeight="true" outlineLevel="0" collapsed="false">
      <c r="A217" s="16" t="str">
        <f aca="false">IF($U217="","",1+COUNTIF($X$15:$X$728,"&lt;"&amp;X217))</f>
        <v/>
      </c>
      <c r="B217" s="16" t="s">
        <v>16</v>
      </c>
      <c r="C217" s="16" t="s">
        <v>662</v>
      </c>
      <c r="D217" s="20" t="s">
        <v>108</v>
      </c>
      <c r="E217" s="16" t="s">
        <v>59</v>
      </c>
      <c r="F217" s="16" t="s">
        <v>663</v>
      </c>
      <c r="G217" s="16" t="s">
        <v>664</v>
      </c>
      <c r="H217" s="17" t="n">
        <v>1900</v>
      </c>
      <c r="I217" s="17"/>
      <c r="J217" s="17"/>
      <c r="K217" s="17" t="n">
        <v>1900</v>
      </c>
      <c r="L217" s="17" t="n">
        <f aca="false">IF(AND(IFERROR(SEARCH("현대오일뱅크",$C217),0)&gt;0,IFERROR(SEARCH("직영",$C217),0)&gt;0),$B$13,0)</f>
        <v>0</v>
      </c>
      <c r="M217" s="17" t="n">
        <f aca="false">IF($H217="","",$H217+$L217)</f>
        <v>1900</v>
      </c>
      <c r="N217" s="17" t="str">
        <f aca="false">IF($I217="","",$I217+$L217)</f>
        <v/>
      </c>
      <c r="O217" s="17" t="n">
        <f aca="false">IF($K217="","",$K217+$L217)</f>
        <v>1900</v>
      </c>
      <c r="P217" s="17" t="str">
        <f aca="false">IF($B$10=0,"",IFERROR(IF($B$4&gt;0,"휘발유 "&amp;TEXT(IF($M217="",1/0,$M217*$B$4),"#,##0")&amp;"원","")&amp;IF($B$5&gt;0,IF($B$4&gt;0," / ","")&amp;"고급유 "&amp;TEXT(IF($N217="",1/0,$N217*$B$5),"#,##0")&amp;"원","")&amp;IF($B$6&gt;0,IF(OR($B$4&gt;0,$B$5&gt;0)," / ","")&amp;"경유 "&amp;TEXT(IF($O217="",1/0,$O217*$B$6),"#,##0")&amp;"원",""),""))</f>
        <v/>
      </c>
      <c r="Q217" s="17" t="str">
        <f aca="false">IF($B$10=0,"",IFERROR(IF($B$4&gt;0,IF($M217="",1/0,$M217*$B$4),0)+IF($B$5&gt;0,IF($N217="",1/0,$N217*$B$5),0)+IF($B$6&gt;0,IF($O217="",1/0,$O217*$B$6),0),""))</f>
        <v/>
      </c>
      <c r="R217" s="17" t="s">
        <v>47</v>
      </c>
      <c r="S217" s="18" t="str">
        <f aca="false">IF($Q217="","",IF($R217="Y",IFERROR(VLOOKUP($B217,$C$4:$D$13,2,FALSE()),0),0))</f>
        <v/>
      </c>
      <c r="T217" s="17" t="str">
        <f aca="false">IF($Q217="","",ROUNDDOWN($Q217*$S217,0))</f>
        <v/>
      </c>
      <c r="U217" s="17" t="str">
        <f aca="false">IF($Q217="","",$Q217-$T217)</f>
        <v/>
      </c>
      <c r="V217" s="17" t="str">
        <f aca="false">IF($U217="","",IF($B$10=0,"",$U217/$B$10))</f>
        <v/>
      </c>
      <c r="W217" s="17" t="str">
        <f aca="false">IF($Q217="","",IF($B$10=0,"",$Q217/$B$10))</f>
        <v/>
      </c>
      <c r="X217" s="19" t="n">
        <f aca="false">IF($U217="",1000000000000000,$U217)</f>
        <v>1000000000000000</v>
      </c>
      <c r="XFC217" s="6"/>
    </row>
    <row r="218" s="5" customFormat="true" ht="28.5" hidden="false" customHeight="true" outlineLevel="0" collapsed="false">
      <c r="A218" s="16" t="str">
        <f aca="false">IF($U218="","",1+COUNTIF($X$15:$X$728,"&lt;"&amp;X218))</f>
        <v/>
      </c>
      <c r="B218" s="16" t="s">
        <v>10</v>
      </c>
      <c r="C218" s="16" t="s">
        <v>665</v>
      </c>
      <c r="D218" s="16" t="s">
        <v>112</v>
      </c>
      <c r="E218" s="16" t="s">
        <v>59</v>
      </c>
      <c r="F218" s="16" t="s">
        <v>666</v>
      </c>
      <c r="G218" s="16" t="s">
        <v>667</v>
      </c>
      <c r="H218" s="17" t="n">
        <v>1998</v>
      </c>
      <c r="I218" s="17"/>
      <c r="J218" s="17"/>
      <c r="K218" s="17" t="n">
        <v>1998</v>
      </c>
      <c r="L218" s="17" t="n">
        <f aca="false">IF(AND(IFERROR(SEARCH("현대오일뱅크",$C218),0)&gt;0,IFERROR(SEARCH("직영",$C218),0)&gt;0),$B$13,0)</f>
        <v>0</v>
      </c>
      <c r="M218" s="17" t="n">
        <f aca="false">IF($H218="","",$H218+$L218)</f>
        <v>1998</v>
      </c>
      <c r="N218" s="17" t="str">
        <f aca="false">IF($I218="","",$I218+$L218)</f>
        <v/>
      </c>
      <c r="O218" s="17" t="n">
        <f aca="false">IF($K218="","",$K218+$L218)</f>
        <v>1998</v>
      </c>
      <c r="P218" s="17" t="str">
        <f aca="false">IF($B$10=0,"",IFERROR(IF($B$4&gt;0,"휘발유 "&amp;TEXT(IF($M218="",1/0,$M218*$B$4),"#,##0")&amp;"원","")&amp;IF($B$5&gt;0,IF($B$4&gt;0," / ","")&amp;"고급유 "&amp;TEXT(IF($N218="",1/0,$N218*$B$5),"#,##0")&amp;"원","")&amp;IF($B$6&gt;0,IF(OR($B$4&gt;0,$B$5&gt;0)," / ","")&amp;"경유 "&amp;TEXT(IF($O218="",1/0,$O218*$B$6),"#,##0")&amp;"원",""),""))</f>
        <v/>
      </c>
      <c r="Q218" s="17" t="str">
        <f aca="false">IF($B$10=0,"",IFERROR(IF($B$4&gt;0,IF($M218="",1/0,$M218*$B$4),0)+IF($B$5&gt;0,IF($N218="",1/0,$N218*$B$5),0)+IF($B$6&gt;0,IF($O218="",1/0,$O218*$B$6),0),""))</f>
        <v/>
      </c>
      <c r="R218" s="17" t="s">
        <v>47</v>
      </c>
      <c r="S218" s="18" t="str">
        <f aca="false">IF($Q218="","",IF($R218="Y",IFERROR(VLOOKUP($B218,$C$4:$D$13,2,FALSE()),0),0))</f>
        <v/>
      </c>
      <c r="T218" s="17" t="str">
        <f aca="false">IF($Q218="","",ROUNDDOWN($Q218*$S218,0))</f>
        <v/>
      </c>
      <c r="U218" s="17" t="str">
        <f aca="false">IF($Q218="","",$Q218-$T218)</f>
        <v/>
      </c>
      <c r="V218" s="17" t="str">
        <f aca="false">IF($U218="","",IF($B$10=0,"",$U218/$B$10))</f>
        <v/>
      </c>
      <c r="W218" s="17" t="str">
        <f aca="false">IF($Q218="","",IF($B$10=0,"",$Q218/$B$10))</f>
        <v/>
      </c>
      <c r="X218" s="19" t="n">
        <f aca="false">IF($U218="",1000000000000000,$U218)</f>
        <v>1000000000000000</v>
      </c>
      <c r="XFC218" s="6"/>
    </row>
    <row r="219" s="5" customFormat="true" ht="28.5" hidden="false" customHeight="true" outlineLevel="0" collapsed="false">
      <c r="A219" s="16" t="str">
        <f aca="false">IF($U219="","",1+COUNTIF($X$15:$X$728,"&lt;"&amp;X219))</f>
        <v/>
      </c>
      <c r="B219" s="16" t="s">
        <v>14</v>
      </c>
      <c r="C219" s="16" t="s">
        <v>668</v>
      </c>
      <c r="D219" s="16" t="s">
        <v>58</v>
      </c>
      <c r="E219" s="16" t="s">
        <v>59</v>
      </c>
      <c r="F219" s="16" t="s">
        <v>669</v>
      </c>
      <c r="G219" s="16" t="s">
        <v>670</v>
      </c>
      <c r="H219" s="17" t="n">
        <v>1879</v>
      </c>
      <c r="I219" s="17"/>
      <c r="J219" s="17"/>
      <c r="K219" s="17" t="n">
        <v>1899</v>
      </c>
      <c r="L219" s="17" t="n">
        <f aca="false">IF(AND(IFERROR(SEARCH("현대오일뱅크",$C219),0)&gt;0,IFERROR(SEARCH("직영",$C219),0)&gt;0),$B$13,0)</f>
        <v>0</v>
      </c>
      <c r="M219" s="17" t="n">
        <f aca="false">IF($H219="","",$H219+$L219)</f>
        <v>1879</v>
      </c>
      <c r="N219" s="17" t="str">
        <f aca="false">IF($I219="","",$I219+$L219)</f>
        <v/>
      </c>
      <c r="O219" s="17" t="n">
        <f aca="false">IF($K219="","",$K219+$L219)</f>
        <v>1899</v>
      </c>
      <c r="P219" s="17" t="str">
        <f aca="false">IF($B$10=0,"",IFERROR(IF($B$4&gt;0,"휘발유 "&amp;TEXT(IF($M219="",1/0,$M219*$B$4),"#,##0")&amp;"원","")&amp;IF($B$5&gt;0,IF($B$4&gt;0," / ","")&amp;"고급유 "&amp;TEXT(IF($N219="",1/0,$N219*$B$5),"#,##0")&amp;"원","")&amp;IF($B$6&gt;0,IF(OR($B$4&gt;0,$B$5&gt;0)," / ","")&amp;"경유 "&amp;TEXT(IF($O219="",1/0,$O219*$B$6),"#,##0")&amp;"원",""),""))</f>
        <v/>
      </c>
      <c r="Q219" s="17" t="str">
        <f aca="false">IF($B$10=0,"",IFERROR(IF($B$4&gt;0,IF($M219="",1/0,$M219*$B$4),0)+IF($B$5&gt;0,IF($N219="",1/0,$N219*$B$5),0)+IF($B$6&gt;0,IF($O219="",1/0,$O219*$B$6),0),""))</f>
        <v/>
      </c>
      <c r="R219" s="17" t="s">
        <v>47</v>
      </c>
      <c r="S219" s="18" t="str">
        <f aca="false">IF($Q219="","",IF($R219="Y",IFERROR(VLOOKUP($B219,$C$4:$D$13,2,FALSE()),0),0))</f>
        <v/>
      </c>
      <c r="T219" s="17" t="str">
        <f aca="false">IF($Q219="","",ROUNDDOWN($Q219*$S219,0))</f>
        <v/>
      </c>
      <c r="U219" s="17" t="str">
        <f aca="false">IF($Q219="","",$Q219-$T219)</f>
        <v/>
      </c>
      <c r="V219" s="17" t="str">
        <f aca="false">IF($U219="","",IF($B$10=0,"",$U219/$B$10))</f>
        <v/>
      </c>
      <c r="W219" s="17" t="str">
        <f aca="false">IF($Q219="","",IF($B$10=0,"",$Q219/$B$10))</f>
        <v/>
      </c>
      <c r="X219" s="19" t="n">
        <f aca="false">IF($U219="",1000000000000000,$U219)</f>
        <v>1000000000000000</v>
      </c>
      <c r="XFC219" s="6"/>
    </row>
    <row r="220" s="5" customFormat="true" ht="28.5" hidden="false" customHeight="true" outlineLevel="0" collapsed="false">
      <c r="A220" s="16" t="str">
        <f aca="false">IF($U220="","",1+COUNTIF($X$15:$X$728,"&lt;"&amp;X220))</f>
        <v/>
      </c>
      <c r="B220" s="16" t="s">
        <v>10</v>
      </c>
      <c r="C220" s="16" t="s">
        <v>671</v>
      </c>
      <c r="D220" s="16" t="s">
        <v>112</v>
      </c>
      <c r="E220" s="16" t="s">
        <v>47</v>
      </c>
      <c r="F220" s="16" t="s">
        <v>672</v>
      </c>
      <c r="G220" s="16" t="s">
        <v>673</v>
      </c>
      <c r="H220" s="17" t="n">
        <v>1859</v>
      </c>
      <c r="I220" s="17"/>
      <c r="J220" s="17"/>
      <c r="K220" s="17" t="n">
        <v>1899</v>
      </c>
      <c r="L220" s="17" t="n">
        <f aca="false">IF(AND(IFERROR(SEARCH("현대오일뱅크",$C220),0)&gt;0,IFERROR(SEARCH("직영",$C220),0)&gt;0),$B$13,0)</f>
        <v>0</v>
      </c>
      <c r="M220" s="17" t="n">
        <f aca="false">IF($H220="","",$H220+$L220)</f>
        <v>1859</v>
      </c>
      <c r="N220" s="17" t="str">
        <f aca="false">IF($I220="","",$I220+$L220)</f>
        <v/>
      </c>
      <c r="O220" s="17" t="n">
        <f aca="false">IF($K220="","",$K220+$L220)</f>
        <v>1899</v>
      </c>
      <c r="P220" s="17" t="str">
        <f aca="false">IF($B$10=0,"",IFERROR(IF($B$4&gt;0,"휘발유 "&amp;TEXT(IF($M220="",1/0,$M220*$B$4),"#,##0")&amp;"원","")&amp;IF($B$5&gt;0,IF($B$4&gt;0," / ","")&amp;"고급유 "&amp;TEXT(IF($N220="",1/0,$N220*$B$5),"#,##0")&amp;"원","")&amp;IF($B$6&gt;0,IF(OR($B$4&gt;0,$B$5&gt;0)," / ","")&amp;"경유 "&amp;TEXT(IF($O220="",1/0,$O220*$B$6),"#,##0")&amp;"원",""),""))</f>
        <v/>
      </c>
      <c r="Q220" s="17" t="str">
        <f aca="false">IF($B$10=0,"",IFERROR(IF($B$4&gt;0,IF($M220="",1/0,$M220*$B$4),0)+IF($B$5&gt;0,IF($N220="",1/0,$N220*$B$5),0)+IF($B$6&gt;0,IF($O220="",1/0,$O220*$B$6),0),""))</f>
        <v/>
      </c>
      <c r="R220" s="17" t="s">
        <v>47</v>
      </c>
      <c r="S220" s="18" t="str">
        <f aca="false">IF($Q220="","",IF($R220="Y",IFERROR(VLOOKUP($B220,$C$4:$D$13,2,FALSE()),0),0))</f>
        <v/>
      </c>
      <c r="T220" s="17" t="str">
        <f aca="false">IF($Q220="","",ROUNDDOWN($Q220*$S220,0))</f>
        <v/>
      </c>
      <c r="U220" s="17" t="str">
        <f aca="false">IF($Q220="","",$Q220-$T220)</f>
        <v/>
      </c>
      <c r="V220" s="17" t="str">
        <f aca="false">IF($U220="","",IF($B$10=0,"",$U220/$B$10))</f>
        <v/>
      </c>
      <c r="W220" s="17" t="str">
        <f aca="false">IF($Q220="","",IF($B$10=0,"",$Q220/$B$10))</f>
        <v/>
      </c>
      <c r="X220" s="19" t="n">
        <f aca="false">IF($U220="",1000000000000000,$U220)</f>
        <v>1000000000000000</v>
      </c>
      <c r="XFC220" s="6"/>
    </row>
    <row r="221" s="5" customFormat="true" ht="28.5" hidden="false" customHeight="true" outlineLevel="0" collapsed="false">
      <c r="A221" s="16" t="str">
        <f aca="false">IF($U221="","",1+COUNTIF($X$15:$X$728,"&lt;"&amp;X221))</f>
        <v/>
      </c>
      <c r="B221" s="16" t="s">
        <v>10</v>
      </c>
      <c r="C221" s="16" t="s">
        <v>674</v>
      </c>
      <c r="D221" s="16" t="s">
        <v>112</v>
      </c>
      <c r="E221" s="16" t="s">
        <v>59</v>
      </c>
      <c r="F221" s="16" t="s">
        <v>675</v>
      </c>
      <c r="G221" s="16" t="s">
        <v>676</v>
      </c>
      <c r="H221" s="17" t="n">
        <v>1859</v>
      </c>
      <c r="I221" s="17"/>
      <c r="J221" s="17"/>
      <c r="K221" s="17" t="n">
        <v>1899</v>
      </c>
      <c r="L221" s="17" t="n">
        <f aca="false">IF(AND(IFERROR(SEARCH("현대오일뱅크",$C221),0)&gt;0,IFERROR(SEARCH("직영",$C221),0)&gt;0),$B$13,0)</f>
        <v>0</v>
      </c>
      <c r="M221" s="17" t="n">
        <f aca="false">IF($H221="","",$H221+$L221)</f>
        <v>1859</v>
      </c>
      <c r="N221" s="17" t="str">
        <f aca="false">IF($I221="","",$I221+$L221)</f>
        <v/>
      </c>
      <c r="O221" s="17" t="n">
        <f aca="false">IF($K221="","",$K221+$L221)</f>
        <v>1899</v>
      </c>
      <c r="P221" s="17" t="str">
        <f aca="false">IF($B$10=0,"",IFERROR(IF($B$4&gt;0,"휘발유 "&amp;TEXT(IF($M221="",1/0,$M221*$B$4),"#,##0")&amp;"원","")&amp;IF($B$5&gt;0,IF($B$4&gt;0," / ","")&amp;"고급유 "&amp;TEXT(IF($N221="",1/0,$N221*$B$5),"#,##0")&amp;"원","")&amp;IF($B$6&gt;0,IF(OR($B$4&gt;0,$B$5&gt;0)," / ","")&amp;"경유 "&amp;TEXT(IF($O221="",1/0,$O221*$B$6),"#,##0")&amp;"원",""),""))</f>
        <v/>
      </c>
      <c r="Q221" s="17" t="str">
        <f aca="false">IF($B$10=0,"",IFERROR(IF($B$4&gt;0,IF($M221="",1/0,$M221*$B$4),0)+IF($B$5&gt;0,IF($N221="",1/0,$N221*$B$5),0)+IF($B$6&gt;0,IF($O221="",1/0,$O221*$B$6),0),""))</f>
        <v/>
      </c>
      <c r="R221" s="17" t="s">
        <v>47</v>
      </c>
      <c r="S221" s="18" t="str">
        <f aca="false">IF($Q221="","",IF($R221="Y",IFERROR(VLOOKUP($B221,$C$4:$D$13,2,FALSE()),0),0))</f>
        <v/>
      </c>
      <c r="T221" s="17" t="str">
        <f aca="false">IF($Q221="","",ROUNDDOWN($Q221*$S221,0))</f>
        <v/>
      </c>
      <c r="U221" s="17" t="str">
        <f aca="false">IF($Q221="","",$Q221-$T221)</f>
        <v/>
      </c>
      <c r="V221" s="17" t="str">
        <f aca="false">IF($U221="","",IF($B$10=0,"",$U221/$B$10))</f>
        <v/>
      </c>
      <c r="W221" s="17" t="str">
        <f aca="false">IF($Q221="","",IF($B$10=0,"",$Q221/$B$10))</f>
        <v/>
      </c>
      <c r="X221" s="19" t="n">
        <f aca="false">IF($U221="",1000000000000000,$U221)</f>
        <v>1000000000000000</v>
      </c>
      <c r="XFC221" s="6"/>
    </row>
    <row r="222" s="5" customFormat="true" ht="28.5" hidden="false" customHeight="true" outlineLevel="0" collapsed="false">
      <c r="A222" s="16" t="str">
        <f aca="false">IF($U222="","",1+COUNTIF($X$15:$X$728,"&lt;"&amp;X222))</f>
        <v/>
      </c>
      <c r="B222" s="16" t="s">
        <v>10</v>
      </c>
      <c r="C222" s="16" t="s">
        <v>677</v>
      </c>
      <c r="D222" s="16" t="s">
        <v>46</v>
      </c>
      <c r="E222" s="16" t="s">
        <v>59</v>
      </c>
      <c r="F222" s="16" t="s">
        <v>678</v>
      </c>
      <c r="G222" s="16" t="s">
        <v>679</v>
      </c>
      <c r="H222" s="17" t="n">
        <v>1859</v>
      </c>
      <c r="I222" s="17"/>
      <c r="J222" s="17"/>
      <c r="K222" s="17" t="n">
        <v>1895</v>
      </c>
      <c r="L222" s="17" t="n">
        <f aca="false">IF(AND(IFERROR(SEARCH("현대오일뱅크",$C222),0)&gt;0,IFERROR(SEARCH("직영",$C222),0)&gt;0),$B$13,0)</f>
        <v>0</v>
      </c>
      <c r="M222" s="17" t="n">
        <f aca="false">IF($H222="","",$H222+$L222)</f>
        <v>1859</v>
      </c>
      <c r="N222" s="17" t="str">
        <f aca="false">IF($I222="","",$I222+$L222)</f>
        <v/>
      </c>
      <c r="O222" s="17" t="n">
        <f aca="false">IF($K222="","",$K222+$L222)</f>
        <v>1895</v>
      </c>
      <c r="P222" s="17" t="str">
        <f aca="false">IF($B$10=0,"",IFERROR(IF($B$4&gt;0,"휘발유 "&amp;TEXT(IF($M222="",1/0,$M222*$B$4),"#,##0")&amp;"원","")&amp;IF($B$5&gt;0,IF($B$4&gt;0," / ","")&amp;"고급유 "&amp;TEXT(IF($N222="",1/0,$N222*$B$5),"#,##0")&amp;"원","")&amp;IF($B$6&gt;0,IF(OR($B$4&gt;0,$B$5&gt;0)," / ","")&amp;"경유 "&amp;TEXT(IF($O222="",1/0,$O222*$B$6),"#,##0")&amp;"원",""),""))</f>
        <v/>
      </c>
      <c r="Q222" s="17" t="str">
        <f aca="false">IF($B$10=0,"",IFERROR(IF($B$4&gt;0,IF($M222="",1/0,$M222*$B$4),0)+IF($B$5&gt;0,IF($N222="",1/0,$N222*$B$5),0)+IF($B$6&gt;0,IF($O222="",1/0,$O222*$B$6),0),""))</f>
        <v/>
      </c>
      <c r="R222" s="17" t="s">
        <v>47</v>
      </c>
      <c r="S222" s="18" t="str">
        <f aca="false">IF($Q222="","",IF($R222="Y",IFERROR(VLOOKUP($B222,$C$4:$D$13,2,FALSE()),0),0))</f>
        <v/>
      </c>
      <c r="T222" s="17" t="str">
        <f aca="false">IF($Q222="","",ROUNDDOWN($Q222*$S222,0))</f>
        <v/>
      </c>
      <c r="U222" s="17" t="str">
        <f aca="false">IF($Q222="","",$Q222-$T222)</f>
        <v/>
      </c>
      <c r="V222" s="17" t="str">
        <f aca="false">IF($U222="","",IF($B$10=0,"",$U222/$B$10))</f>
        <v/>
      </c>
      <c r="W222" s="17" t="str">
        <f aca="false">IF($Q222="","",IF($B$10=0,"",$Q222/$B$10))</f>
        <v/>
      </c>
      <c r="X222" s="19" t="n">
        <f aca="false">IF($U222="",1000000000000000,$U222)</f>
        <v>1000000000000000</v>
      </c>
      <c r="XFC222" s="6"/>
    </row>
    <row r="223" s="5" customFormat="true" ht="28.5" hidden="false" customHeight="true" outlineLevel="0" collapsed="false">
      <c r="A223" s="16" t="str">
        <f aca="false">IF($U223="","",1+COUNTIF($X$15:$X$728,"&lt;"&amp;X223))</f>
        <v/>
      </c>
      <c r="B223" s="16" t="s">
        <v>6</v>
      </c>
      <c r="C223" s="16" t="s">
        <v>680</v>
      </c>
      <c r="D223" s="20" t="s">
        <v>108</v>
      </c>
      <c r="E223" s="16" t="s">
        <v>47</v>
      </c>
      <c r="F223" s="16" t="s">
        <v>681</v>
      </c>
      <c r="G223" s="16" t="s">
        <v>682</v>
      </c>
      <c r="H223" s="17" t="n">
        <v>1859</v>
      </c>
      <c r="I223" s="17"/>
      <c r="J223" s="17"/>
      <c r="K223" s="17" t="n">
        <v>1859</v>
      </c>
      <c r="L223" s="17" t="n">
        <f aca="false">IF(AND(IFERROR(SEARCH("현대오일뱅크",$C223),0)&gt;0,IFERROR(SEARCH("직영",$C223),0)&gt;0),$B$13,0)</f>
        <v>0</v>
      </c>
      <c r="M223" s="17" t="n">
        <f aca="false">IF($H223="","",$H223+$L223)</f>
        <v>1859</v>
      </c>
      <c r="N223" s="17" t="str">
        <f aca="false">IF($I223="","",$I223+$L223)</f>
        <v/>
      </c>
      <c r="O223" s="17" t="n">
        <f aca="false">IF($K223="","",$K223+$L223)</f>
        <v>1859</v>
      </c>
      <c r="P223" s="17" t="str">
        <f aca="false">IF($B$10=0,"",IFERROR(IF($B$4&gt;0,"휘발유 "&amp;TEXT(IF($M223="",1/0,$M223*$B$4),"#,##0")&amp;"원","")&amp;IF($B$5&gt;0,IF($B$4&gt;0," / ","")&amp;"고급유 "&amp;TEXT(IF($N223="",1/0,$N223*$B$5),"#,##0")&amp;"원","")&amp;IF($B$6&gt;0,IF(OR($B$4&gt;0,$B$5&gt;0)," / ","")&amp;"경유 "&amp;TEXT(IF($O223="",1/0,$O223*$B$6),"#,##0")&amp;"원",""),""))</f>
        <v/>
      </c>
      <c r="Q223" s="17" t="str">
        <f aca="false">IF($B$10=0,"",IFERROR(IF($B$4&gt;0,IF($M223="",1/0,$M223*$B$4),0)+IF($B$5&gt;0,IF($N223="",1/0,$N223*$B$5),0)+IF($B$6&gt;0,IF($O223="",1/0,$O223*$B$6),0),""))</f>
        <v/>
      </c>
      <c r="R223" s="17" t="s">
        <v>47</v>
      </c>
      <c r="S223" s="18" t="str">
        <f aca="false">IF($Q223="","",IF($R223="Y",IFERROR(VLOOKUP($B223,$C$4:$D$13,2,FALSE()),0),0))</f>
        <v/>
      </c>
      <c r="T223" s="17" t="str">
        <f aca="false">IF($Q223="","",ROUNDDOWN($Q223*$S223,0))</f>
        <v/>
      </c>
      <c r="U223" s="17" t="str">
        <f aca="false">IF($Q223="","",$Q223-$T223)</f>
        <v/>
      </c>
      <c r="V223" s="17" t="str">
        <f aca="false">IF($U223="","",IF($B$10=0,"",$U223/$B$10))</f>
        <v/>
      </c>
      <c r="W223" s="17" t="str">
        <f aca="false">IF($Q223="","",IF($B$10=0,"",$Q223/$B$10))</f>
        <v/>
      </c>
      <c r="X223" s="19" t="n">
        <f aca="false">IF($U223="",1000000000000000,$U223)</f>
        <v>1000000000000000</v>
      </c>
      <c r="XFC223" s="6"/>
    </row>
    <row r="224" s="5" customFormat="true" ht="28.5" hidden="false" customHeight="true" outlineLevel="0" collapsed="false">
      <c r="A224" s="16" t="str">
        <f aca="false">IF($U224="","",1+COUNTIF($X$15:$X$728,"&lt;"&amp;X224))</f>
        <v/>
      </c>
      <c r="B224" s="16" t="s">
        <v>10</v>
      </c>
      <c r="C224" s="16" t="s">
        <v>683</v>
      </c>
      <c r="D224" s="16" t="s">
        <v>46</v>
      </c>
      <c r="E224" s="16" t="s">
        <v>47</v>
      </c>
      <c r="F224" s="16" t="s">
        <v>684</v>
      </c>
      <c r="G224" s="16" t="s">
        <v>685</v>
      </c>
      <c r="H224" s="17" t="n">
        <v>1859</v>
      </c>
      <c r="I224" s="17"/>
      <c r="J224" s="17"/>
      <c r="K224" s="17" t="n">
        <v>1895</v>
      </c>
      <c r="L224" s="17" t="n">
        <f aca="false">IF(AND(IFERROR(SEARCH("현대오일뱅크",$C224),0)&gt;0,IFERROR(SEARCH("직영",$C224),0)&gt;0),$B$13,0)</f>
        <v>0</v>
      </c>
      <c r="M224" s="17" t="n">
        <f aca="false">IF($H224="","",$H224+$L224)</f>
        <v>1859</v>
      </c>
      <c r="N224" s="17" t="str">
        <f aca="false">IF($I224="","",$I224+$L224)</f>
        <v/>
      </c>
      <c r="O224" s="17" t="n">
        <f aca="false">IF($K224="","",$K224+$L224)</f>
        <v>1895</v>
      </c>
      <c r="P224" s="17" t="str">
        <f aca="false">IF($B$10=0,"",IFERROR(IF($B$4&gt;0,"휘발유 "&amp;TEXT(IF($M224="",1/0,$M224*$B$4),"#,##0")&amp;"원","")&amp;IF($B$5&gt;0,IF($B$4&gt;0," / ","")&amp;"고급유 "&amp;TEXT(IF($N224="",1/0,$N224*$B$5),"#,##0")&amp;"원","")&amp;IF($B$6&gt;0,IF(OR($B$4&gt;0,$B$5&gt;0)," / ","")&amp;"경유 "&amp;TEXT(IF($O224="",1/0,$O224*$B$6),"#,##0")&amp;"원",""),""))</f>
        <v/>
      </c>
      <c r="Q224" s="17" t="str">
        <f aca="false">IF($B$10=0,"",IFERROR(IF($B$4&gt;0,IF($M224="",1/0,$M224*$B$4),0)+IF($B$5&gt;0,IF($N224="",1/0,$N224*$B$5),0)+IF($B$6&gt;0,IF($O224="",1/0,$O224*$B$6),0),""))</f>
        <v/>
      </c>
      <c r="R224" s="17" t="s">
        <v>47</v>
      </c>
      <c r="S224" s="18" t="str">
        <f aca="false">IF($Q224="","",IF($R224="Y",IFERROR(VLOOKUP($B224,$C$4:$D$13,2,FALSE()),0),0))</f>
        <v/>
      </c>
      <c r="T224" s="17" t="str">
        <f aca="false">IF($Q224="","",ROUNDDOWN($Q224*$S224,0))</f>
        <v/>
      </c>
      <c r="U224" s="17" t="str">
        <f aca="false">IF($Q224="","",$Q224-$T224)</f>
        <v/>
      </c>
      <c r="V224" s="17" t="str">
        <f aca="false">IF($U224="","",IF($B$10=0,"",$U224/$B$10))</f>
        <v/>
      </c>
      <c r="W224" s="17" t="str">
        <f aca="false">IF($Q224="","",IF($B$10=0,"",$Q224/$B$10))</f>
        <v/>
      </c>
      <c r="X224" s="19" t="n">
        <f aca="false">IF($U224="",1000000000000000,$U224)</f>
        <v>1000000000000000</v>
      </c>
      <c r="XFC224" s="6"/>
    </row>
    <row r="225" s="5" customFormat="true" ht="28.5" hidden="false" customHeight="true" outlineLevel="0" collapsed="false">
      <c r="A225" s="16" t="str">
        <f aca="false">IF($U225="","",1+COUNTIF($X$15:$X$728,"&lt;"&amp;X225))</f>
        <v/>
      </c>
      <c r="B225" s="16" t="s">
        <v>18</v>
      </c>
      <c r="C225" s="16" t="s">
        <v>686</v>
      </c>
      <c r="D225" s="16" t="s">
        <v>112</v>
      </c>
      <c r="E225" s="16" t="s">
        <v>47</v>
      </c>
      <c r="F225" s="16" t="s">
        <v>687</v>
      </c>
      <c r="G225" s="16" t="s">
        <v>688</v>
      </c>
      <c r="H225" s="17" t="n">
        <v>1970</v>
      </c>
      <c r="I225" s="17"/>
      <c r="J225" s="17"/>
      <c r="K225" s="17" t="n">
        <v>1975</v>
      </c>
      <c r="L225" s="17" t="n">
        <f aca="false">IF(AND(IFERROR(SEARCH("현대오일뱅크",$C225),0)&gt;0,IFERROR(SEARCH("직영",$C225),0)&gt;0),$B$13,0)</f>
        <v>0</v>
      </c>
      <c r="M225" s="17" t="n">
        <f aca="false">IF($H225="","",$H225+$L225)</f>
        <v>1970</v>
      </c>
      <c r="N225" s="17" t="str">
        <f aca="false">IF($I225="","",$I225+$L225)</f>
        <v/>
      </c>
      <c r="O225" s="17" t="n">
        <f aca="false">IF($K225="","",$K225+$L225)</f>
        <v>1975</v>
      </c>
      <c r="P225" s="17" t="str">
        <f aca="false">IF($B$10=0,"",IFERROR(IF($B$4&gt;0,"휘발유 "&amp;TEXT(IF($M225="",1/0,$M225*$B$4),"#,##0")&amp;"원","")&amp;IF($B$5&gt;0,IF($B$4&gt;0," / ","")&amp;"고급유 "&amp;TEXT(IF($N225="",1/0,$N225*$B$5),"#,##0")&amp;"원","")&amp;IF($B$6&gt;0,IF(OR($B$4&gt;0,$B$5&gt;0)," / ","")&amp;"경유 "&amp;TEXT(IF($O225="",1/0,$O225*$B$6),"#,##0")&amp;"원",""),""))</f>
        <v/>
      </c>
      <c r="Q225" s="17" t="str">
        <f aca="false">IF($B$10=0,"",IFERROR(IF($B$4&gt;0,IF($M225="",1/0,$M225*$B$4),0)+IF($B$5&gt;0,IF($N225="",1/0,$N225*$B$5),0)+IF($B$6&gt;0,IF($O225="",1/0,$O225*$B$6),0),""))</f>
        <v/>
      </c>
      <c r="R225" s="17" t="s">
        <v>47</v>
      </c>
      <c r="S225" s="18" t="str">
        <f aca="false">IF($Q225="","",IF($R225="Y",IFERROR(VLOOKUP($B225,$C$4:$D$13,2,FALSE()),0),0))</f>
        <v/>
      </c>
      <c r="T225" s="17" t="str">
        <f aca="false">IF($Q225="","",ROUNDDOWN($Q225*$S225,0))</f>
        <v/>
      </c>
      <c r="U225" s="17" t="str">
        <f aca="false">IF($Q225="","",$Q225-$T225)</f>
        <v/>
      </c>
      <c r="V225" s="17" t="str">
        <f aca="false">IF($U225="","",IF($B$10=0,"",$U225/$B$10))</f>
        <v/>
      </c>
      <c r="W225" s="17" t="str">
        <f aca="false">IF($Q225="","",IF($B$10=0,"",$Q225/$B$10))</f>
        <v/>
      </c>
      <c r="X225" s="19" t="n">
        <f aca="false">IF($U225="",1000000000000000,$U225)</f>
        <v>1000000000000000</v>
      </c>
      <c r="XFC225" s="6"/>
    </row>
    <row r="226" s="5" customFormat="true" ht="28.5" hidden="false" customHeight="true" outlineLevel="0" collapsed="false">
      <c r="A226" s="16" t="str">
        <f aca="false">IF($U226="","",1+COUNTIF($X$15:$X$728,"&lt;"&amp;X226))</f>
        <v/>
      </c>
      <c r="B226" s="16" t="s">
        <v>10</v>
      </c>
      <c r="C226" s="16" t="s">
        <v>689</v>
      </c>
      <c r="D226" s="16" t="s">
        <v>51</v>
      </c>
      <c r="E226" s="16" t="s">
        <v>47</v>
      </c>
      <c r="F226" s="16" t="s">
        <v>690</v>
      </c>
      <c r="G226" s="16" t="s">
        <v>691</v>
      </c>
      <c r="H226" s="17" t="n">
        <v>1866</v>
      </c>
      <c r="I226" s="17"/>
      <c r="J226" s="17"/>
      <c r="K226" s="17" t="n">
        <v>1955</v>
      </c>
      <c r="L226" s="17" t="n">
        <f aca="false">IF(AND(IFERROR(SEARCH("현대오일뱅크",$C226),0)&gt;0,IFERROR(SEARCH("직영",$C226),0)&gt;0),$B$13,0)</f>
        <v>0</v>
      </c>
      <c r="M226" s="17" t="n">
        <f aca="false">IF($H226="","",$H226+$L226)</f>
        <v>1866</v>
      </c>
      <c r="N226" s="17" t="str">
        <f aca="false">IF($I226="","",$I226+$L226)</f>
        <v/>
      </c>
      <c r="O226" s="17" t="n">
        <f aca="false">IF($K226="","",$K226+$L226)</f>
        <v>1955</v>
      </c>
      <c r="P226" s="17" t="str">
        <f aca="false">IF($B$10=0,"",IFERROR(IF($B$4&gt;0,"휘발유 "&amp;TEXT(IF($M226="",1/0,$M226*$B$4),"#,##0")&amp;"원","")&amp;IF($B$5&gt;0,IF($B$4&gt;0," / ","")&amp;"고급유 "&amp;TEXT(IF($N226="",1/0,$N226*$B$5),"#,##0")&amp;"원","")&amp;IF($B$6&gt;0,IF(OR($B$4&gt;0,$B$5&gt;0)," / ","")&amp;"경유 "&amp;TEXT(IF($O226="",1/0,$O226*$B$6),"#,##0")&amp;"원",""),""))</f>
        <v/>
      </c>
      <c r="Q226" s="17" t="str">
        <f aca="false">IF($B$10=0,"",IFERROR(IF($B$4&gt;0,IF($M226="",1/0,$M226*$B$4),0)+IF($B$5&gt;0,IF($N226="",1/0,$N226*$B$5),0)+IF($B$6&gt;0,IF($O226="",1/0,$O226*$B$6),0),""))</f>
        <v/>
      </c>
      <c r="R226" s="17" t="s">
        <v>47</v>
      </c>
      <c r="S226" s="18" t="str">
        <f aca="false">IF($Q226="","",IF($R226="Y",IFERROR(VLOOKUP($B226,$C$4:$D$13,2,FALSE()),0),0))</f>
        <v/>
      </c>
      <c r="T226" s="17" t="str">
        <f aca="false">IF($Q226="","",ROUNDDOWN($Q226*$S226,0))</f>
        <v/>
      </c>
      <c r="U226" s="17" t="str">
        <f aca="false">IF($Q226="","",$Q226-$T226)</f>
        <v/>
      </c>
      <c r="V226" s="17" t="str">
        <f aca="false">IF($U226="","",IF($B$10=0,"",$U226/$B$10))</f>
        <v/>
      </c>
      <c r="W226" s="17" t="str">
        <f aca="false">IF($Q226="","",IF($B$10=0,"",$Q226/$B$10))</f>
        <v/>
      </c>
      <c r="X226" s="19" t="n">
        <f aca="false">IF($U226="",1000000000000000,$U226)</f>
        <v>1000000000000000</v>
      </c>
      <c r="XFC226" s="6"/>
    </row>
    <row r="227" s="5" customFormat="true" ht="28.5" hidden="false" customHeight="true" outlineLevel="0" collapsed="false">
      <c r="A227" s="16" t="str">
        <f aca="false">IF($U227="","",1+COUNTIF($X$15:$X$728,"&lt;"&amp;X227))</f>
        <v/>
      </c>
      <c r="B227" s="16" t="s">
        <v>14</v>
      </c>
      <c r="C227" s="16" t="s">
        <v>692</v>
      </c>
      <c r="D227" s="16" t="s">
        <v>58</v>
      </c>
      <c r="E227" s="16" t="s">
        <v>59</v>
      </c>
      <c r="F227" s="16" t="s">
        <v>693</v>
      </c>
      <c r="G227" s="16" t="s">
        <v>694</v>
      </c>
      <c r="H227" s="17" t="n">
        <v>1889</v>
      </c>
      <c r="I227" s="17"/>
      <c r="J227" s="17"/>
      <c r="K227" s="17" t="n">
        <v>1859</v>
      </c>
      <c r="L227" s="17" t="n">
        <f aca="false">IF(AND(IFERROR(SEARCH("현대오일뱅크",$C227),0)&gt;0,IFERROR(SEARCH("직영",$C227),0)&gt;0),$B$13,0)</f>
        <v>0</v>
      </c>
      <c r="M227" s="17" t="n">
        <f aca="false">IF($H227="","",$H227+$L227)</f>
        <v>1889</v>
      </c>
      <c r="N227" s="17" t="str">
        <f aca="false">IF($I227="","",$I227+$L227)</f>
        <v/>
      </c>
      <c r="O227" s="17" t="n">
        <f aca="false">IF($K227="","",$K227+$L227)</f>
        <v>1859</v>
      </c>
      <c r="P227" s="17" t="str">
        <f aca="false">IF($B$10=0,"",IFERROR(IF($B$4&gt;0,"휘발유 "&amp;TEXT(IF($M227="",1/0,$M227*$B$4),"#,##0")&amp;"원","")&amp;IF($B$5&gt;0,IF($B$4&gt;0," / ","")&amp;"고급유 "&amp;TEXT(IF($N227="",1/0,$N227*$B$5),"#,##0")&amp;"원","")&amp;IF($B$6&gt;0,IF(OR($B$4&gt;0,$B$5&gt;0)," / ","")&amp;"경유 "&amp;TEXT(IF($O227="",1/0,$O227*$B$6),"#,##0")&amp;"원",""),""))</f>
        <v/>
      </c>
      <c r="Q227" s="17" t="str">
        <f aca="false">IF($B$10=0,"",IFERROR(IF($B$4&gt;0,IF($M227="",1/0,$M227*$B$4),0)+IF($B$5&gt;0,IF($N227="",1/0,$N227*$B$5),0)+IF($B$6&gt;0,IF($O227="",1/0,$O227*$B$6),0),""))</f>
        <v/>
      </c>
      <c r="R227" s="17" t="s">
        <v>47</v>
      </c>
      <c r="S227" s="18" t="str">
        <f aca="false">IF($Q227="","",IF($R227="Y",IFERROR(VLOOKUP($B227,$C$4:$D$13,2,FALSE()),0),0))</f>
        <v/>
      </c>
      <c r="T227" s="17" t="str">
        <f aca="false">IF($Q227="","",ROUNDDOWN($Q227*$S227,0))</f>
        <v/>
      </c>
      <c r="U227" s="17" t="str">
        <f aca="false">IF($Q227="","",$Q227-$T227)</f>
        <v/>
      </c>
      <c r="V227" s="17" t="str">
        <f aca="false">IF($U227="","",IF($B$10=0,"",$U227/$B$10))</f>
        <v/>
      </c>
      <c r="W227" s="17" t="str">
        <f aca="false">IF($Q227="","",IF($B$10=0,"",$Q227/$B$10))</f>
        <v/>
      </c>
      <c r="X227" s="19" t="n">
        <f aca="false">IF($U227="",1000000000000000,$U227)</f>
        <v>1000000000000000</v>
      </c>
      <c r="XFC227" s="6"/>
    </row>
    <row r="228" s="5" customFormat="true" ht="28.5" hidden="false" customHeight="true" outlineLevel="0" collapsed="false">
      <c r="A228" s="16" t="str">
        <f aca="false">IF($U228="","",1+COUNTIF($X$15:$X$728,"&lt;"&amp;X228))</f>
        <v/>
      </c>
      <c r="B228" s="16" t="s">
        <v>10</v>
      </c>
      <c r="C228" s="16" t="s">
        <v>695</v>
      </c>
      <c r="D228" s="16" t="s">
        <v>51</v>
      </c>
      <c r="E228" s="16" t="s">
        <v>47</v>
      </c>
      <c r="F228" s="16" t="s">
        <v>696</v>
      </c>
      <c r="G228" s="16" t="s">
        <v>697</v>
      </c>
      <c r="H228" s="17" t="n">
        <v>1869</v>
      </c>
      <c r="I228" s="17"/>
      <c r="J228" s="17"/>
      <c r="K228" s="17" t="n">
        <v>1899</v>
      </c>
      <c r="L228" s="17" t="n">
        <f aca="false">IF(AND(IFERROR(SEARCH("현대오일뱅크",$C228),0)&gt;0,IFERROR(SEARCH("직영",$C228),0)&gt;0),$B$13,0)</f>
        <v>0</v>
      </c>
      <c r="M228" s="17" t="n">
        <f aca="false">IF($H228="","",$H228+$L228)</f>
        <v>1869</v>
      </c>
      <c r="N228" s="17" t="str">
        <f aca="false">IF($I228="","",$I228+$L228)</f>
        <v/>
      </c>
      <c r="O228" s="17" t="n">
        <f aca="false">IF($K228="","",$K228+$L228)</f>
        <v>1899</v>
      </c>
      <c r="P228" s="17" t="str">
        <f aca="false">IF($B$10=0,"",IFERROR(IF($B$4&gt;0,"휘발유 "&amp;TEXT(IF($M228="",1/0,$M228*$B$4),"#,##0")&amp;"원","")&amp;IF($B$5&gt;0,IF($B$4&gt;0," / ","")&amp;"고급유 "&amp;TEXT(IF($N228="",1/0,$N228*$B$5),"#,##0")&amp;"원","")&amp;IF($B$6&gt;0,IF(OR($B$4&gt;0,$B$5&gt;0)," / ","")&amp;"경유 "&amp;TEXT(IF($O228="",1/0,$O228*$B$6),"#,##0")&amp;"원",""),""))</f>
        <v/>
      </c>
      <c r="Q228" s="17" t="str">
        <f aca="false">IF($B$10=0,"",IFERROR(IF($B$4&gt;0,IF($M228="",1/0,$M228*$B$4),0)+IF($B$5&gt;0,IF($N228="",1/0,$N228*$B$5),0)+IF($B$6&gt;0,IF($O228="",1/0,$O228*$B$6),0),""))</f>
        <v/>
      </c>
      <c r="R228" s="17" t="s">
        <v>47</v>
      </c>
      <c r="S228" s="18" t="str">
        <f aca="false">IF($Q228="","",IF($R228="Y",IFERROR(VLOOKUP($B228,$C$4:$D$13,2,FALSE()),0),0))</f>
        <v/>
      </c>
      <c r="T228" s="17" t="str">
        <f aca="false">IF($Q228="","",ROUNDDOWN($Q228*$S228,0))</f>
        <v/>
      </c>
      <c r="U228" s="17" t="str">
        <f aca="false">IF($Q228="","",$Q228-$T228)</f>
        <v/>
      </c>
      <c r="V228" s="17" t="str">
        <f aca="false">IF($U228="","",IF($B$10=0,"",$U228/$B$10))</f>
        <v/>
      </c>
      <c r="W228" s="17" t="str">
        <f aca="false">IF($Q228="","",IF($B$10=0,"",$Q228/$B$10))</f>
        <v/>
      </c>
      <c r="X228" s="19" t="n">
        <f aca="false">IF($U228="",1000000000000000,$U228)</f>
        <v>1000000000000000</v>
      </c>
      <c r="XFC228" s="6"/>
    </row>
    <row r="229" s="5" customFormat="true" ht="28.5" hidden="false" customHeight="true" outlineLevel="0" collapsed="false">
      <c r="A229" s="16" t="str">
        <f aca="false">IF($U229="","",1+COUNTIF($X$15:$X$728,"&lt;"&amp;X229))</f>
        <v/>
      </c>
      <c r="B229" s="16" t="s">
        <v>18</v>
      </c>
      <c r="C229" s="16" t="s">
        <v>698</v>
      </c>
      <c r="D229" s="16" t="s">
        <v>112</v>
      </c>
      <c r="E229" s="16" t="s">
        <v>59</v>
      </c>
      <c r="F229" s="16" t="s">
        <v>699</v>
      </c>
      <c r="G229" s="16" t="s">
        <v>700</v>
      </c>
      <c r="H229" s="17" t="n">
        <v>1979</v>
      </c>
      <c r="I229" s="17"/>
      <c r="J229" s="17"/>
      <c r="K229" s="17" t="n">
        <v>1999</v>
      </c>
      <c r="L229" s="17" t="n">
        <f aca="false">IF(AND(IFERROR(SEARCH("현대오일뱅크",$C229),0)&gt;0,IFERROR(SEARCH("직영",$C229),0)&gt;0),$B$13,0)</f>
        <v>0</v>
      </c>
      <c r="M229" s="17" t="n">
        <f aca="false">IF($H229="","",$H229+$L229)</f>
        <v>1979</v>
      </c>
      <c r="N229" s="17" t="str">
        <f aca="false">IF($I229="","",$I229+$L229)</f>
        <v/>
      </c>
      <c r="O229" s="17" t="n">
        <f aca="false">IF($K229="","",$K229+$L229)</f>
        <v>1999</v>
      </c>
      <c r="P229" s="17" t="str">
        <f aca="false">IF($B$10=0,"",IFERROR(IF($B$4&gt;0,"휘발유 "&amp;TEXT(IF($M229="",1/0,$M229*$B$4),"#,##0")&amp;"원","")&amp;IF($B$5&gt;0,IF($B$4&gt;0," / ","")&amp;"고급유 "&amp;TEXT(IF($N229="",1/0,$N229*$B$5),"#,##0")&amp;"원","")&amp;IF($B$6&gt;0,IF(OR($B$4&gt;0,$B$5&gt;0)," / ","")&amp;"경유 "&amp;TEXT(IF($O229="",1/0,$O229*$B$6),"#,##0")&amp;"원",""),""))</f>
        <v/>
      </c>
      <c r="Q229" s="17" t="str">
        <f aca="false">IF($B$10=0,"",IFERROR(IF($B$4&gt;0,IF($M229="",1/0,$M229*$B$4),0)+IF($B$5&gt;0,IF($N229="",1/0,$N229*$B$5),0)+IF($B$6&gt;0,IF($O229="",1/0,$O229*$B$6),0),""))</f>
        <v/>
      </c>
      <c r="R229" s="17" t="s">
        <v>47</v>
      </c>
      <c r="S229" s="18" t="str">
        <f aca="false">IF($Q229="","",IF($R229="Y",IFERROR(VLOOKUP($B229,$C$4:$D$13,2,FALSE()),0),0))</f>
        <v/>
      </c>
      <c r="T229" s="17" t="str">
        <f aca="false">IF($Q229="","",ROUNDDOWN($Q229*$S229,0))</f>
        <v/>
      </c>
      <c r="U229" s="17" t="str">
        <f aca="false">IF($Q229="","",$Q229-$T229)</f>
        <v/>
      </c>
      <c r="V229" s="17" t="str">
        <f aca="false">IF($U229="","",IF($B$10=0,"",$U229/$B$10))</f>
        <v/>
      </c>
      <c r="W229" s="17" t="str">
        <f aca="false">IF($Q229="","",IF($B$10=0,"",$Q229/$B$10))</f>
        <v/>
      </c>
      <c r="X229" s="19" t="n">
        <f aca="false">IF($U229="",1000000000000000,$U229)</f>
        <v>1000000000000000</v>
      </c>
      <c r="XFC229" s="6"/>
    </row>
    <row r="230" s="5" customFormat="true" ht="28.5" hidden="false" customHeight="true" outlineLevel="0" collapsed="false">
      <c r="A230" s="16" t="str">
        <f aca="false">IF($U230="","",1+COUNTIF($X$15:$X$728,"&lt;"&amp;X230))</f>
        <v/>
      </c>
      <c r="B230" s="16" t="s">
        <v>18</v>
      </c>
      <c r="C230" s="16" t="s">
        <v>701</v>
      </c>
      <c r="D230" s="20" t="s">
        <v>108</v>
      </c>
      <c r="E230" s="16" t="s">
        <v>59</v>
      </c>
      <c r="F230" s="16" t="s">
        <v>702</v>
      </c>
      <c r="G230" s="16" t="s">
        <v>703</v>
      </c>
      <c r="H230" s="17" t="n">
        <v>1980</v>
      </c>
      <c r="I230" s="17"/>
      <c r="J230" s="17"/>
      <c r="K230" s="17" t="n">
        <v>1990</v>
      </c>
      <c r="L230" s="17" t="n">
        <f aca="false">IF(AND(IFERROR(SEARCH("현대오일뱅크",$C230),0)&gt;0,IFERROR(SEARCH("직영",$C230),0)&gt;0),$B$13,0)</f>
        <v>0</v>
      </c>
      <c r="M230" s="17" t="n">
        <f aca="false">IF($H230="","",$H230+$L230)</f>
        <v>1980</v>
      </c>
      <c r="N230" s="17" t="str">
        <f aca="false">IF($I230="","",$I230+$L230)</f>
        <v/>
      </c>
      <c r="O230" s="17" t="n">
        <f aca="false">IF($K230="","",$K230+$L230)</f>
        <v>1990</v>
      </c>
      <c r="P230" s="17" t="str">
        <f aca="false">IF($B$10=0,"",IFERROR(IF($B$4&gt;0,"휘발유 "&amp;TEXT(IF($M230="",1/0,$M230*$B$4),"#,##0")&amp;"원","")&amp;IF($B$5&gt;0,IF($B$4&gt;0," / ","")&amp;"고급유 "&amp;TEXT(IF($N230="",1/0,$N230*$B$5),"#,##0")&amp;"원","")&amp;IF($B$6&gt;0,IF(OR($B$4&gt;0,$B$5&gt;0)," / ","")&amp;"경유 "&amp;TEXT(IF($O230="",1/0,$O230*$B$6),"#,##0")&amp;"원",""),""))</f>
        <v/>
      </c>
      <c r="Q230" s="17" t="str">
        <f aca="false">IF($B$10=0,"",IFERROR(IF($B$4&gt;0,IF($M230="",1/0,$M230*$B$4),0)+IF($B$5&gt;0,IF($N230="",1/0,$N230*$B$5),0)+IF($B$6&gt;0,IF($O230="",1/0,$O230*$B$6),0),""))</f>
        <v/>
      </c>
      <c r="R230" s="17" t="s">
        <v>47</v>
      </c>
      <c r="S230" s="18" t="str">
        <f aca="false">IF($Q230="","",IF($R230="Y",IFERROR(VLOOKUP($B230,$C$4:$D$13,2,FALSE()),0),0))</f>
        <v/>
      </c>
      <c r="T230" s="17" t="str">
        <f aca="false">IF($Q230="","",ROUNDDOWN($Q230*$S230,0))</f>
        <v/>
      </c>
      <c r="U230" s="17" t="str">
        <f aca="false">IF($Q230="","",$Q230-$T230)</f>
        <v/>
      </c>
      <c r="V230" s="17" t="str">
        <f aca="false">IF($U230="","",IF($B$10=0,"",$U230/$B$10))</f>
        <v/>
      </c>
      <c r="W230" s="17" t="str">
        <f aca="false">IF($Q230="","",IF($B$10=0,"",$Q230/$B$10))</f>
        <v/>
      </c>
      <c r="X230" s="19" t="n">
        <f aca="false">IF($U230="",1000000000000000,$U230)</f>
        <v>1000000000000000</v>
      </c>
      <c r="XFC230" s="6"/>
    </row>
    <row r="231" s="5" customFormat="true" ht="28.5" hidden="false" customHeight="true" outlineLevel="0" collapsed="false">
      <c r="A231" s="16" t="str">
        <f aca="false">IF($U231="","",1+COUNTIF($X$15:$X$728,"&lt;"&amp;X231))</f>
        <v/>
      </c>
      <c r="B231" s="16" t="s">
        <v>18</v>
      </c>
      <c r="C231" s="16" t="s">
        <v>704</v>
      </c>
      <c r="D231" s="16" t="s">
        <v>112</v>
      </c>
      <c r="E231" s="16" t="s">
        <v>47</v>
      </c>
      <c r="F231" s="16" t="s">
        <v>705</v>
      </c>
      <c r="G231" s="16" t="s">
        <v>706</v>
      </c>
      <c r="H231" s="17" t="n">
        <v>1982</v>
      </c>
      <c r="I231" s="17"/>
      <c r="J231" s="17"/>
      <c r="K231" s="17" t="n">
        <v>1994</v>
      </c>
      <c r="L231" s="17" t="n">
        <f aca="false">IF(AND(IFERROR(SEARCH("현대오일뱅크",$C231),0)&gt;0,IFERROR(SEARCH("직영",$C231),0)&gt;0),$B$13,0)</f>
        <v>0</v>
      </c>
      <c r="M231" s="17" t="n">
        <f aca="false">IF($H231="","",$H231+$L231)</f>
        <v>1982</v>
      </c>
      <c r="N231" s="17" t="str">
        <f aca="false">IF($I231="","",$I231+$L231)</f>
        <v/>
      </c>
      <c r="O231" s="17" t="n">
        <f aca="false">IF($K231="","",$K231+$L231)</f>
        <v>1994</v>
      </c>
      <c r="P231" s="17" t="str">
        <f aca="false">IF($B$10=0,"",IFERROR(IF($B$4&gt;0,"휘발유 "&amp;TEXT(IF($M231="",1/0,$M231*$B$4),"#,##0")&amp;"원","")&amp;IF($B$5&gt;0,IF($B$4&gt;0," / ","")&amp;"고급유 "&amp;TEXT(IF($N231="",1/0,$N231*$B$5),"#,##0")&amp;"원","")&amp;IF($B$6&gt;0,IF(OR($B$4&gt;0,$B$5&gt;0)," / ","")&amp;"경유 "&amp;TEXT(IF($O231="",1/0,$O231*$B$6),"#,##0")&amp;"원",""),""))</f>
        <v/>
      </c>
      <c r="Q231" s="17" t="str">
        <f aca="false">IF($B$10=0,"",IFERROR(IF($B$4&gt;0,IF($M231="",1/0,$M231*$B$4),0)+IF($B$5&gt;0,IF($N231="",1/0,$N231*$B$5),0)+IF($B$6&gt;0,IF($O231="",1/0,$O231*$B$6),0),""))</f>
        <v/>
      </c>
      <c r="R231" s="17" t="s">
        <v>47</v>
      </c>
      <c r="S231" s="18" t="str">
        <f aca="false">IF($Q231="","",IF($R231="Y",IFERROR(VLOOKUP($B231,$C$4:$D$13,2,FALSE()),0),0))</f>
        <v/>
      </c>
      <c r="T231" s="17" t="str">
        <f aca="false">IF($Q231="","",ROUNDDOWN($Q231*$S231,0))</f>
        <v/>
      </c>
      <c r="U231" s="17" t="str">
        <f aca="false">IF($Q231="","",$Q231-$T231)</f>
        <v/>
      </c>
      <c r="V231" s="17" t="str">
        <f aca="false">IF($U231="","",IF($B$10=0,"",$U231/$B$10))</f>
        <v/>
      </c>
      <c r="W231" s="17" t="str">
        <f aca="false">IF($Q231="","",IF($B$10=0,"",$Q231/$B$10))</f>
        <v/>
      </c>
      <c r="X231" s="19" t="n">
        <f aca="false">IF($U231="",1000000000000000,$U231)</f>
        <v>1000000000000000</v>
      </c>
      <c r="XFC231" s="6"/>
    </row>
    <row r="232" s="5" customFormat="true" ht="28.5" hidden="false" customHeight="true" outlineLevel="0" collapsed="false">
      <c r="A232" s="16" t="str">
        <f aca="false">IF($U232="","",1+COUNTIF($X$15:$X$728,"&lt;"&amp;X232))</f>
        <v/>
      </c>
      <c r="B232" s="16" t="s">
        <v>18</v>
      </c>
      <c r="C232" s="16" t="s">
        <v>707</v>
      </c>
      <c r="D232" s="16" t="s">
        <v>708</v>
      </c>
      <c r="E232" s="16" t="s">
        <v>47</v>
      </c>
      <c r="F232" s="16" t="s">
        <v>709</v>
      </c>
      <c r="G232" s="16" t="s">
        <v>710</v>
      </c>
      <c r="H232" s="17" t="n">
        <v>1985</v>
      </c>
      <c r="I232" s="17"/>
      <c r="J232" s="17"/>
      <c r="K232" s="17" t="n">
        <v>1935</v>
      </c>
      <c r="L232" s="17" t="n">
        <f aca="false">IF(AND(IFERROR(SEARCH("현대오일뱅크",$C232),0)&gt;0,IFERROR(SEARCH("직영",$C232),0)&gt;0),$B$13,0)</f>
        <v>0</v>
      </c>
      <c r="M232" s="17" t="n">
        <f aca="false">IF($H232="","",$H232+$L232)</f>
        <v>1985</v>
      </c>
      <c r="N232" s="17" t="str">
        <f aca="false">IF($I232="","",$I232+$L232)</f>
        <v/>
      </c>
      <c r="O232" s="17" t="n">
        <f aca="false">IF($K232="","",$K232+$L232)</f>
        <v>1935</v>
      </c>
      <c r="P232" s="17" t="str">
        <f aca="false">IF($B$10=0,"",IFERROR(IF($B$4&gt;0,"휘발유 "&amp;TEXT(IF($M232="",1/0,$M232*$B$4),"#,##0")&amp;"원","")&amp;IF($B$5&gt;0,IF($B$4&gt;0," / ","")&amp;"고급유 "&amp;TEXT(IF($N232="",1/0,$N232*$B$5),"#,##0")&amp;"원","")&amp;IF($B$6&gt;0,IF(OR($B$4&gt;0,$B$5&gt;0)," / ","")&amp;"경유 "&amp;TEXT(IF($O232="",1/0,$O232*$B$6),"#,##0")&amp;"원",""),""))</f>
        <v/>
      </c>
      <c r="Q232" s="17" t="str">
        <f aca="false">IF($B$10=0,"",IFERROR(IF($B$4&gt;0,IF($M232="",1/0,$M232*$B$4),0)+IF($B$5&gt;0,IF($N232="",1/0,$N232*$B$5),0)+IF($B$6&gt;0,IF($O232="",1/0,$O232*$B$6),0),""))</f>
        <v/>
      </c>
      <c r="R232" s="17" t="s">
        <v>47</v>
      </c>
      <c r="S232" s="18" t="str">
        <f aca="false">IF($Q232="","",IF($R232="Y",IFERROR(VLOOKUP($B232,$C$4:$D$13,2,FALSE()),0),0))</f>
        <v/>
      </c>
      <c r="T232" s="17" t="str">
        <f aca="false">IF($Q232="","",ROUNDDOWN($Q232*$S232,0))</f>
        <v/>
      </c>
      <c r="U232" s="17" t="str">
        <f aca="false">IF($Q232="","",$Q232-$T232)</f>
        <v/>
      </c>
      <c r="V232" s="17" t="str">
        <f aca="false">IF($U232="","",IF($B$10=0,"",$U232/$B$10))</f>
        <v/>
      </c>
      <c r="W232" s="17" t="str">
        <f aca="false">IF($Q232="","",IF($B$10=0,"",$Q232/$B$10))</f>
        <v/>
      </c>
      <c r="X232" s="19" t="n">
        <f aca="false">IF($U232="",1000000000000000,$U232)</f>
        <v>1000000000000000</v>
      </c>
      <c r="XFC232" s="6"/>
    </row>
    <row r="233" s="5" customFormat="true" ht="28.5" hidden="false" customHeight="true" outlineLevel="0" collapsed="false">
      <c r="A233" s="16" t="str">
        <f aca="false">IF($U233="","",1+COUNTIF($X$15:$X$728,"&lt;"&amp;X233))</f>
        <v/>
      </c>
      <c r="B233" s="16" t="s">
        <v>18</v>
      </c>
      <c r="C233" s="16" t="s">
        <v>711</v>
      </c>
      <c r="D233" s="20" t="s">
        <v>108</v>
      </c>
      <c r="E233" s="16" t="s">
        <v>59</v>
      </c>
      <c r="F233" s="16" t="s">
        <v>712</v>
      </c>
      <c r="G233" s="16" t="s">
        <v>713</v>
      </c>
      <c r="H233" s="17" t="n">
        <v>1985</v>
      </c>
      <c r="I233" s="17"/>
      <c r="J233" s="17"/>
      <c r="K233" s="17" t="n">
        <v>1999</v>
      </c>
      <c r="L233" s="17" t="n">
        <f aca="false">IF(AND(IFERROR(SEARCH("현대오일뱅크",$C233),0)&gt;0,IFERROR(SEARCH("직영",$C233),0)&gt;0),$B$13,0)</f>
        <v>0</v>
      </c>
      <c r="M233" s="17" t="n">
        <f aca="false">IF($H233="","",$H233+$L233)</f>
        <v>1985</v>
      </c>
      <c r="N233" s="17" t="str">
        <f aca="false">IF($I233="","",$I233+$L233)</f>
        <v/>
      </c>
      <c r="O233" s="17" t="n">
        <f aca="false">IF($K233="","",$K233+$L233)</f>
        <v>1999</v>
      </c>
      <c r="P233" s="17" t="str">
        <f aca="false">IF($B$10=0,"",IFERROR(IF($B$4&gt;0,"휘발유 "&amp;TEXT(IF($M233="",1/0,$M233*$B$4),"#,##0")&amp;"원","")&amp;IF($B$5&gt;0,IF($B$4&gt;0," / ","")&amp;"고급유 "&amp;TEXT(IF($N233="",1/0,$N233*$B$5),"#,##0")&amp;"원","")&amp;IF($B$6&gt;0,IF(OR($B$4&gt;0,$B$5&gt;0)," / ","")&amp;"경유 "&amp;TEXT(IF($O233="",1/0,$O233*$B$6),"#,##0")&amp;"원",""),""))</f>
        <v/>
      </c>
      <c r="Q233" s="17" t="str">
        <f aca="false">IF($B$10=0,"",IFERROR(IF($B$4&gt;0,IF($M233="",1/0,$M233*$B$4),0)+IF($B$5&gt;0,IF($N233="",1/0,$N233*$B$5),0)+IF($B$6&gt;0,IF($O233="",1/0,$O233*$B$6),0),""))</f>
        <v/>
      </c>
      <c r="R233" s="17" t="s">
        <v>47</v>
      </c>
      <c r="S233" s="18" t="str">
        <f aca="false">IF($Q233="","",IF($R233="Y",IFERROR(VLOOKUP($B233,$C$4:$D$13,2,FALSE()),0),0))</f>
        <v/>
      </c>
      <c r="T233" s="17" t="str">
        <f aca="false">IF($Q233="","",ROUNDDOWN($Q233*$S233,0))</f>
        <v/>
      </c>
      <c r="U233" s="17" t="str">
        <f aca="false">IF($Q233="","",$Q233-$T233)</f>
        <v/>
      </c>
      <c r="V233" s="17" t="str">
        <f aca="false">IF($U233="","",IF($B$10=0,"",$U233/$B$10))</f>
        <v/>
      </c>
      <c r="W233" s="17" t="str">
        <f aca="false">IF($Q233="","",IF($B$10=0,"",$Q233/$B$10))</f>
        <v/>
      </c>
      <c r="X233" s="19" t="n">
        <f aca="false">IF($U233="",1000000000000000,$U233)</f>
        <v>1000000000000000</v>
      </c>
      <c r="XFC233" s="6"/>
    </row>
    <row r="234" s="5" customFormat="true" ht="28.5" hidden="false" customHeight="true" outlineLevel="0" collapsed="false">
      <c r="A234" s="16" t="str">
        <f aca="false">IF($U234="","",1+COUNTIF($X$15:$X$728,"&lt;"&amp;X234))</f>
        <v/>
      </c>
      <c r="B234" s="16" t="s">
        <v>10</v>
      </c>
      <c r="C234" s="16" t="s">
        <v>714</v>
      </c>
      <c r="D234" s="16" t="s">
        <v>51</v>
      </c>
      <c r="E234" s="16" t="s">
        <v>47</v>
      </c>
      <c r="F234" s="16" t="s">
        <v>715</v>
      </c>
      <c r="G234" s="16" t="s">
        <v>716</v>
      </c>
      <c r="H234" s="17" t="n">
        <v>1875</v>
      </c>
      <c r="I234" s="17"/>
      <c r="J234" s="17"/>
      <c r="K234" s="17" t="n">
        <v>1885</v>
      </c>
      <c r="L234" s="17" t="n">
        <f aca="false">IF(AND(IFERROR(SEARCH("현대오일뱅크",$C234),0)&gt;0,IFERROR(SEARCH("직영",$C234),0)&gt;0),$B$13,0)</f>
        <v>0</v>
      </c>
      <c r="M234" s="17" t="n">
        <f aca="false">IF($H234="","",$H234+$L234)</f>
        <v>1875</v>
      </c>
      <c r="N234" s="17" t="str">
        <f aca="false">IF($I234="","",$I234+$L234)</f>
        <v/>
      </c>
      <c r="O234" s="17" t="n">
        <f aca="false">IF($K234="","",$K234+$L234)</f>
        <v>1885</v>
      </c>
      <c r="P234" s="17" t="str">
        <f aca="false">IF($B$10=0,"",IFERROR(IF($B$4&gt;0,"휘발유 "&amp;TEXT(IF($M234="",1/0,$M234*$B$4),"#,##0")&amp;"원","")&amp;IF($B$5&gt;0,IF($B$4&gt;0," / ","")&amp;"고급유 "&amp;TEXT(IF($N234="",1/0,$N234*$B$5),"#,##0")&amp;"원","")&amp;IF($B$6&gt;0,IF(OR($B$4&gt;0,$B$5&gt;0)," / ","")&amp;"경유 "&amp;TEXT(IF($O234="",1/0,$O234*$B$6),"#,##0")&amp;"원",""),""))</f>
        <v/>
      </c>
      <c r="Q234" s="17" t="str">
        <f aca="false">IF($B$10=0,"",IFERROR(IF($B$4&gt;0,IF($M234="",1/0,$M234*$B$4),0)+IF($B$5&gt;0,IF($N234="",1/0,$N234*$B$5),0)+IF($B$6&gt;0,IF($O234="",1/0,$O234*$B$6),0),""))</f>
        <v/>
      </c>
      <c r="R234" s="17" t="s">
        <v>47</v>
      </c>
      <c r="S234" s="18" t="str">
        <f aca="false">IF($Q234="","",IF($R234="Y",IFERROR(VLOOKUP($B234,$C$4:$D$13,2,FALSE()),0),0))</f>
        <v/>
      </c>
      <c r="T234" s="17" t="str">
        <f aca="false">IF($Q234="","",ROUNDDOWN($Q234*$S234,0))</f>
        <v/>
      </c>
      <c r="U234" s="17" t="str">
        <f aca="false">IF($Q234="","",$Q234-$T234)</f>
        <v/>
      </c>
      <c r="V234" s="17" t="str">
        <f aca="false">IF($U234="","",IF($B$10=0,"",$U234/$B$10))</f>
        <v/>
      </c>
      <c r="W234" s="17" t="str">
        <f aca="false">IF($Q234="","",IF($B$10=0,"",$Q234/$B$10))</f>
        <v/>
      </c>
      <c r="X234" s="19" t="n">
        <f aca="false">IF($U234="",1000000000000000,$U234)</f>
        <v>1000000000000000</v>
      </c>
      <c r="XFC234" s="6"/>
    </row>
    <row r="235" s="5" customFormat="true" ht="28.5" hidden="false" customHeight="true" outlineLevel="0" collapsed="false">
      <c r="A235" s="16" t="str">
        <f aca="false">IF($U235="","",1+COUNTIF($X$15:$X$728,"&lt;"&amp;X235))</f>
        <v/>
      </c>
      <c r="B235" s="16" t="s">
        <v>18</v>
      </c>
      <c r="C235" s="16" t="s">
        <v>717</v>
      </c>
      <c r="D235" s="16" t="s">
        <v>51</v>
      </c>
      <c r="E235" s="16" t="s">
        <v>59</v>
      </c>
      <c r="F235" s="16" t="s">
        <v>718</v>
      </c>
      <c r="G235" s="16" t="s">
        <v>719</v>
      </c>
      <c r="H235" s="17" t="n">
        <v>1987</v>
      </c>
      <c r="I235" s="17"/>
      <c r="J235" s="17"/>
      <c r="K235" s="17" t="n">
        <v>2057</v>
      </c>
      <c r="L235" s="17" t="n">
        <f aca="false">IF(AND(IFERROR(SEARCH("현대오일뱅크",$C235),0)&gt;0,IFERROR(SEARCH("직영",$C235),0)&gt;0),$B$13,0)</f>
        <v>0</v>
      </c>
      <c r="M235" s="17" t="n">
        <f aca="false">IF($H235="","",$H235+$L235)</f>
        <v>1987</v>
      </c>
      <c r="N235" s="17" t="str">
        <f aca="false">IF($I235="","",$I235+$L235)</f>
        <v/>
      </c>
      <c r="O235" s="17" t="n">
        <f aca="false">IF($K235="","",$K235+$L235)</f>
        <v>2057</v>
      </c>
      <c r="P235" s="17" t="str">
        <f aca="false">IF($B$10=0,"",IFERROR(IF($B$4&gt;0,"휘발유 "&amp;TEXT(IF($M235="",1/0,$M235*$B$4),"#,##0")&amp;"원","")&amp;IF($B$5&gt;0,IF($B$4&gt;0," / ","")&amp;"고급유 "&amp;TEXT(IF($N235="",1/0,$N235*$B$5),"#,##0")&amp;"원","")&amp;IF($B$6&gt;0,IF(OR($B$4&gt;0,$B$5&gt;0)," / ","")&amp;"경유 "&amp;TEXT(IF($O235="",1/0,$O235*$B$6),"#,##0")&amp;"원",""),""))</f>
        <v/>
      </c>
      <c r="Q235" s="17" t="str">
        <f aca="false">IF($B$10=0,"",IFERROR(IF($B$4&gt;0,IF($M235="",1/0,$M235*$B$4),0)+IF($B$5&gt;0,IF($N235="",1/0,$N235*$B$5),0)+IF($B$6&gt;0,IF($O235="",1/0,$O235*$B$6),0),""))</f>
        <v/>
      </c>
      <c r="R235" s="17" t="s">
        <v>47</v>
      </c>
      <c r="S235" s="18" t="str">
        <f aca="false">IF($Q235="","",IF($R235="Y",IFERROR(VLOOKUP($B235,$C$4:$D$13,2,FALSE()),0),0))</f>
        <v/>
      </c>
      <c r="T235" s="17" t="str">
        <f aca="false">IF($Q235="","",ROUNDDOWN($Q235*$S235,0))</f>
        <v/>
      </c>
      <c r="U235" s="17" t="str">
        <f aca="false">IF($Q235="","",$Q235-$T235)</f>
        <v/>
      </c>
      <c r="V235" s="17" t="str">
        <f aca="false">IF($U235="","",IF($B$10=0,"",$U235/$B$10))</f>
        <v/>
      </c>
      <c r="W235" s="17" t="str">
        <f aca="false">IF($Q235="","",IF($B$10=0,"",$Q235/$B$10))</f>
        <v/>
      </c>
      <c r="X235" s="19" t="n">
        <f aca="false">IF($U235="",1000000000000000,$U235)</f>
        <v>1000000000000000</v>
      </c>
      <c r="XFC235" s="6"/>
    </row>
    <row r="236" s="5" customFormat="true" ht="28.5" hidden="false" customHeight="true" outlineLevel="0" collapsed="false">
      <c r="A236" s="16" t="str">
        <f aca="false">IF($U236="","",1+COUNTIF($X$15:$X$728,"&lt;"&amp;X236))</f>
        <v/>
      </c>
      <c r="B236" s="16" t="s">
        <v>14</v>
      </c>
      <c r="C236" s="16" t="s">
        <v>720</v>
      </c>
      <c r="D236" s="16" t="s">
        <v>51</v>
      </c>
      <c r="E236" s="16" t="s">
        <v>59</v>
      </c>
      <c r="F236" s="16" t="s">
        <v>721</v>
      </c>
      <c r="G236" s="16" t="s">
        <v>722</v>
      </c>
      <c r="H236" s="17" t="n">
        <v>1898</v>
      </c>
      <c r="I236" s="17"/>
      <c r="J236" s="17"/>
      <c r="K236" s="17" t="n">
        <v>1979</v>
      </c>
      <c r="L236" s="17" t="n">
        <f aca="false">IF(AND(IFERROR(SEARCH("현대오일뱅크",$C236),0)&gt;0,IFERROR(SEARCH("직영",$C236),0)&gt;0),$B$13,0)</f>
        <v>0</v>
      </c>
      <c r="M236" s="17" t="n">
        <f aca="false">IF($H236="","",$H236+$L236)</f>
        <v>1898</v>
      </c>
      <c r="N236" s="17" t="str">
        <f aca="false">IF($I236="","",$I236+$L236)</f>
        <v/>
      </c>
      <c r="O236" s="17" t="n">
        <f aca="false">IF($K236="","",$K236+$L236)</f>
        <v>1979</v>
      </c>
      <c r="P236" s="17" t="str">
        <f aca="false">IF($B$10=0,"",IFERROR(IF($B$4&gt;0,"휘발유 "&amp;TEXT(IF($M236="",1/0,$M236*$B$4),"#,##0")&amp;"원","")&amp;IF($B$5&gt;0,IF($B$4&gt;0," / ","")&amp;"고급유 "&amp;TEXT(IF($N236="",1/0,$N236*$B$5),"#,##0")&amp;"원","")&amp;IF($B$6&gt;0,IF(OR($B$4&gt;0,$B$5&gt;0)," / ","")&amp;"경유 "&amp;TEXT(IF($O236="",1/0,$O236*$B$6),"#,##0")&amp;"원",""),""))</f>
        <v/>
      </c>
      <c r="Q236" s="17" t="str">
        <f aca="false">IF($B$10=0,"",IFERROR(IF($B$4&gt;0,IF($M236="",1/0,$M236*$B$4),0)+IF($B$5&gt;0,IF($N236="",1/0,$N236*$B$5),0)+IF($B$6&gt;0,IF($O236="",1/0,$O236*$B$6),0),""))</f>
        <v/>
      </c>
      <c r="R236" s="17" t="s">
        <v>47</v>
      </c>
      <c r="S236" s="18" t="str">
        <f aca="false">IF($Q236="","",IF($R236="Y",IFERROR(VLOOKUP($B236,$C$4:$D$13,2,FALSE()),0),0))</f>
        <v/>
      </c>
      <c r="T236" s="17" t="str">
        <f aca="false">IF($Q236="","",ROUNDDOWN($Q236*$S236,0))</f>
        <v/>
      </c>
      <c r="U236" s="17" t="str">
        <f aca="false">IF($Q236="","",$Q236-$T236)</f>
        <v/>
      </c>
      <c r="V236" s="17" t="str">
        <f aca="false">IF($U236="","",IF($B$10=0,"",$U236/$B$10))</f>
        <v/>
      </c>
      <c r="W236" s="17" t="str">
        <f aca="false">IF($Q236="","",IF($B$10=0,"",$Q236/$B$10))</f>
        <v/>
      </c>
      <c r="X236" s="19" t="n">
        <f aca="false">IF($U236="",1000000000000000,$U236)</f>
        <v>1000000000000000</v>
      </c>
      <c r="XFC236" s="6"/>
    </row>
    <row r="237" s="5" customFormat="true" ht="28.5" hidden="false" customHeight="true" outlineLevel="0" collapsed="false">
      <c r="A237" s="16" t="str">
        <f aca="false">IF($U237="","",1+COUNTIF($X$15:$X$728,"&lt;"&amp;X237))</f>
        <v/>
      </c>
      <c r="B237" s="16" t="s">
        <v>14</v>
      </c>
      <c r="C237" s="16" t="s">
        <v>723</v>
      </c>
      <c r="D237" s="16" t="s">
        <v>112</v>
      </c>
      <c r="E237" s="16" t="s">
        <v>47</v>
      </c>
      <c r="F237" s="16" t="s">
        <v>724</v>
      </c>
      <c r="G237" s="16" t="s">
        <v>725</v>
      </c>
      <c r="H237" s="17" t="n">
        <v>1899</v>
      </c>
      <c r="I237" s="17"/>
      <c r="J237" s="17"/>
      <c r="K237" s="17" t="n">
        <v>1999</v>
      </c>
      <c r="L237" s="17" t="n">
        <f aca="false">IF(AND(IFERROR(SEARCH("현대오일뱅크",$C237),0)&gt;0,IFERROR(SEARCH("직영",$C237),0)&gt;0),$B$13,0)</f>
        <v>0</v>
      </c>
      <c r="M237" s="17" t="n">
        <f aca="false">IF($H237="","",$H237+$L237)</f>
        <v>1899</v>
      </c>
      <c r="N237" s="17" t="str">
        <f aca="false">IF($I237="","",$I237+$L237)</f>
        <v/>
      </c>
      <c r="O237" s="17" t="n">
        <f aca="false">IF($K237="","",$K237+$L237)</f>
        <v>1999</v>
      </c>
      <c r="P237" s="17" t="str">
        <f aca="false">IF($B$10=0,"",IFERROR(IF($B$4&gt;0,"휘발유 "&amp;TEXT(IF($M237="",1/0,$M237*$B$4),"#,##0")&amp;"원","")&amp;IF($B$5&gt;0,IF($B$4&gt;0," / ","")&amp;"고급유 "&amp;TEXT(IF($N237="",1/0,$N237*$B$5),"#,##0")&amp;"원","")&amp;IF($B$6&gt;0,IF(OR($B$4&gt;0,$B$5&gt;0)," / ","")&amp;"경유 "&amp;TEXT(IF($O237="",1/0,$O237*$B$6),"#,##0")&amp;"원",""),""))</f>
        <v/>
      </c>
      <c r="Q237" s="17" t="str">
        <f aca="false">IF($B$10=0,"",IFERROR(IF($B$4&gt;0,IF($M237="",1/0,$M237*$B$4),0)+IF($B$5&gt;0,IF($N237="",1/0,$N237*$B$5),0)+IF($B$6&gt;0,IF($O237="",1/0,$O237*$B$6),0),""))</f>
        <v/>
      </c>
      <c r="R237" s="17" t="s">
        <v>47</v>
      </c>
      <c r="S237" s="18" t="str">
        <f aca="false">IF($Q237="","",IF($R237="Y",IFERROR(VLOOKUP($B237,$C$4:$D$13,2,FALSE()),0),0))</f>
        <v/>
      </c>
      <c r="T237" s="17" t="str">
        <f aca="false">IF($Q237="","",ROUNDDOWN($Q237*$S237,0))</f>
        <v/>
      </c>
      <c r="U237" s="17" t="str">
        <f aca="false">IF($Q237="","",$Q237-$T237)</f>
        <v/>
      </c>
      <c r="V237" s="17" t="str">
        <f aca="false">IF($U237="","",IF($B$10=0,"",$U237/$B$10))</f>
        <v/>
      </c>
      <c r="W237" s="17" t="str">
        <f aca="false">IF($Q237="","",IF($B$10=0,"",$Q237/$B$10))</f>
        <v/>
      </c>
      <c r="X237" s="19" t="n">
        <f aca="false">IF($U237="",1000000000000000,$U237)</f>
        <v>1000000000000000</v>
      </c>
      <c r="XFC237" s="6"/>
    </row>
    <row r="238" s="5" customFormat="true" ht="28.5" hidden="false" customHeight="true" outlineLevel="0" collapsed="false">
      <c r="A238" s="16" t="str">
        <f aca="false">IF($U238="","",1+COUNTIF($X$15:$X$728,"&lt;"&amp;X238))</f>
        <v/>
      </c>
      <c r="B238" s="16" t="s">
        <v>14</v>
      </c>
      <c r="C238" s="16" t="s">
        <v>659</v>
      </c>
      <c r="D238" s="16" t="s">
        <v>58</v>
      </c>
      <c r="E238" s="16" t="s">
        <v>47</v>
      </c>
      <c r="F238" s="16" t="s">
        <v>726</v>
      </c>
      <c r="G238" s="16" t="s">
        <v>727</v>
      </c>
      <c r="H238" s="17" t="n">
        <v>1899</v>
      </c>
      <c r="I238" s="17"/>
      <c r="J238" s="17"/>
      <c r="K238" s="17" t="n">
        <v>1850</v>
      </c>
      <c r="L238" s="17" t="n">
        <f aca="false">IF(AND(IFERROR(SEARCH("현대오일뱅크",$C238),0)&gt;0,IFERROR(SEARCH("직영",$C238),0)&gt;0),$B$13,0)</f>
        <v>0</v>
      </c>
      <c r="M238" s="17" t="n">
        <f aca="false">IF($H238="","",$H238+$L238)</f>
        <v>1899</v>
      </c>
      <c r="N238" s="17" t="str">
        <f aca="false">IF($I238="","",$I238+$L238)</f>
        <v/>
      </c>
      <c r="O238" s="17" t="n">
        <f aca="false">IF($K238="","",$K238+$L238)</f>
        <v>1850</v>
      </c>
      <c r="P238" s="17" t="str">
        <f aca="false">IF($B$10=0,"",IFERROR(IF($B$4&gt;0,"휘발유 "&amp;TEXT(IF($M238="",1/0,$M238*$B$4),"#,##0")&amp;"원","")&amp;IF($B$5&gt;0,IF($B$4&gt;0," / ","")&amp;"고급유 "&amp;TEXT(IF($N238="",1/0,$N238*$B$5),"#,##0")&amp;"원","")&amp;IF($B$6&gt;0,IF(OR($B$4&gt;0,$B$5&gt;0)," / ","")&amp;"경유 "&amp;TEXT(IF($O238="",1/0,$O238*$B$6),"#,##0")&amp;"원",""),""))</f>
        <v/>
      </c>
      <c r="Q238" s="17" t="str">
        <f aca="false">IF($B$10=0,"",IFERROR(IF($B$4&gt;0,IF($M238="",1/0,$M238*$B$4),0)+IF($B$5&gt;0,IF($N238="",1/0,$N238*$B$5),0)+IF($B$6&gt;0,IF($O238="",1/0,$O238*$B$6),0),""))</f>
        <v/>
      </c>
      <c r="R238" s="17" t="s">
        <v>47</v>
      </c>
      <c r="S238" s="18" t="str">
        <f aca="false">IF($Q238="","",IF($R238="Y",IFERROR(VLOOKUP($B238,$C$4:$D$13,2,FALSE()),0),0))</f>
        <v/>
      </c>
      <c r="T238" s="17" t="str">
        <f aca="false">IF($Q238="","",ROUNDDOWN($Q238*$S238,0))</f>
        <v/>
      </c>
      <c r="U238" s="17" t="str">
        <f aca="false">IF($Q238="","",$Q238-$T238)</f>
        <v/>
      </c>
      <c r="V238" s="17" t="str">
        <f aca="false">IF($U238="","",IF($B$10=0,"",$U238/$B$10))</f>
        <v/>
      </c>
      <c r="W238" s="17" t="str">
        <f aca="false">IF($Q238="","",IF($B$10=0,"",$Q238/$B$10))</f>
        <v/>
      </c>
      <c r="X238" s="19" t="n">
        <f aca="false">IF($U238="",1000000000000000,$U238)</f>
        <v>1000000000000000</v>
      </c>
      <c r="XFC238" s="6"/>
    </row>
    <row r="239" s="5" customFormat="true" ht="28.5" hidden="false" customHeight="true" outlineLevel="0" collapsed="false">
      <c r="A239" s="16" t="str">
        <f aca="false">IF($U239="","",1+COUNTIF($X$15:$X$728,"&lt;"&amp;X239))</f>
        <v/>
      </c>
      <c r="B239" s="16" t="s">
        <v>14</v>
      </c>
      <c r="C239" s="16" t="s">
        <v>728</v>
      </c>
      <c r="D239" s="16" t="s">
        <v>629</v>
      </c>
      <c r="E239" s="16" t="s">
        <v>47</v>
      </c>
      <c r="F239" s="16" t="s">
        <v>729</v>
      </c>
      <c r="G239" s="16" t="s">
        <v>730</v>
      </c>
      <c r="H239" s="17" t="n">
        <v>1899</v>
      </c>
      <c r="I239" s="17"/>
      <c r="J239" s="17"/>
      <c r="K239" s="17" t="n">
        <v>1935</v>
      </c>
      <c r="L239" s="17" t="n">
        <f aca="false">IF(AND(IFERROR(SEARCH("현대오일뱅크",$C239),0)&gt;0,IFERROR(SEARCH("직영",$C239),0)&gt;0),$B$13,0)</f>
        <v>0</v>
      </c>
      <c r="M239" s="17" t="n">
        <f aca="false">IF($H239="","",$H239+$L239)</f>
        <v>1899</v>
      </c>
      <c r="N239" s="17" t="str">
        <f aca="false">IF($I239="","",$I239+$L239)</f>
        <v/>
      </c>
      <c r="O239" s="17" t="n">
        <f aca="false">IF($K239="","",$K239+$L239)</f>
        <v>1935</v>
      </c>
      <c r="P239" s="17" t="str">
        <f aca="false">IF($B$10=0,"",IFERROR(IF($B$4&gt;0,"휘발유 "&amp;TEXT(IF($M239="",1/0,$M239*$B$4),"#,##0")&amp;"원","")&amp;IF($B$5&gt;0,IF($B$4&gt;0," / ","")&amp;"고급유 "&amp;TEXT(IF($N239="",1/0,$N239*$B$5),"#,##0")&amp;"원","")&amp;IF($B$6&gt;0,IF(OR($B$4&gt;0,$B$5&gt;0)," / ","")&amp;"경유 "&amp;TEXT(IF($O239="",1/0,$O239*$B$6),"#,##0")&amp;"원",""),""))</f>
        <v/>
      </c>
      <c r="Q239" s="17" t="str">
        <f aca="false">IF($B$10=0,"",IFERROR(IF($B$4&gt;0,IF($M239="",1/0,$M239*$B$4),0)+IF($B$5&gt;0,IF($N239="",1/0,$N239*$B$5),0)+IF($B$6&gt;0,IF($O239="",1/0,$O239*$B$6),0),""))</f>
        <v/>
      </c>
      <c r="R239" s="17" t="s">
        <v>47</v>
      </c>
      <c r="S239" s="18" t="str">
        <f aca="false">IF($Q239="","",IF($R239="Y",IFERROR(VLOOKUP($B239,$C$4:$D$13,2,FALSE()),0),0))</f>
        <v/>
      </c>
      <c r="T239" s="17" t="str">
        <f aca="false">IF($Q239="","",ROUNDDOWN($Q239*$S239,0))</f>
        <v/>
      </c>
      <c r="U239" s="17" t="str">
        <f aca="false">IF($Q239="","",$Q239-$T239)</f>
        <v/>
      </c>
      <c r="V239" s="17" t="str">
        <f aca="false">IF($U239="","",IF($B$10=0,"",$U239/$B$10))</f>
        <v/>
      </c>
      <c r="W239" s="17" t="str">
        <f aca="false">IF($Q239="","",IF($B$10=0,"",$Q239/$B$10))</f>
        <v/>
      </c>
      <c r="X239" s="19" t="n">
        <f aca="false">IF($U239="",1000000000000000,$U239)</f>
        <v>1000000000000000</v>
      </c>
      <c r="XFC239" s="6"/>
    </row>
    <row r="240" s="5" customFormat="true" ht="28.5" hidden="false" customHeight="true" outlineLevel="0" collapsed="false">
      <c r="A240" s="16" t="str">
        <f aca="false">IF($U240="","",1+COUNTIF($X$15:$X$728,"&lt;"&amp;X240))</f>
        <v/>
      </c>
      <c r="B240" s="16" t="s">
        <v>14</v>
      </c>
      <c r="C240" s="16" t="s">
        <v>731</v>
      </c>
      <c r="D240" s="16" t="s">
        <v>58</v>
      </c>
      <c r="E240" s="16" t="s">
        <v>47</v>
      </c>
      <c r="F240" s="16" t="s">
        <v>732</v>
      </c>
      <c r="G240" s="16" t="s">
        <v>733</v>
      </c>
      <c r="H240" s="17" t="n">
        <v>1899</v>
      </c>
      <c r="I240" s="17"/>
      <c r="J240" s="17"/>
      <c r="K240" s="17" t="n">
        <v>1999</v>
      </c>
      <c r="L240" s="17" t="n">
        <f aca="false">IF(AND(IFERROR(SEARCH("현대오일뱅크",$C240),0)&gt;0,IFERROR(SEARCH("직영",$C240),0)&gt;0),$B$13,0)</f>
        <v>0</v>
      </c>
      <c r="M240" s="17" t="n">
        <f aca="false">IF($H240="","",$H240+$L240)</f>
        <v>1899</v>
      </c>
      <c r="N240" s="17" t="str">
        <f aca="false">IF($I240="","",$I240+$L240)</f>
        <v/>
      </c>
      <c r="O240" s="17" t="n">
        <f aca="false">IF($K240="","",$K240+$L240)</f>
        <v>1999</v>
      </c>
      <c r="P240" s="17" t="str">
        <f aca="false">IF($B$10=0,"",IFERROR(IF($B$4&gt;0,"휘발유 "&amp;TEXT(IF($M240="",1/0,$M240*$B$4),"#,##0")&amp;"원","")&amp;IF($B$5&gt;0,IF($B$4&gt;0," / ","")&amp;"고급유 "&amp;TEXT(IF($N240="",1/0,$N240*$B$5),"#,##0")&amp;"원","")&amp;IF($B$6&gt;0,IF(OR($B$4&gt;0,$B$5&gt;0)," / ","")&amp;"경유 "&amp;TEXT(IF($O240="",1/0,$O240*$B$6),"#,##0")&amp;"원",""),""))</f>
        <v/>
      </c>
      <c r="Q240" s="17" t="str">
        <f aca="false">IF($B$10=0,"",IFERROR(IF($B$4&gt;0,IF($M240="",1/0,$M240*$B$4),0)+IF($B$5&gt;0,IF($N240="",1/0,$N240*$B$5),0)+IF($B$6&gt;0,IF($O240="",1/0,$O240*$B$6),0),""))</f>
        <v/>
      </c>
      <c r="R240" s="17" t="s">
        <v>47</v>
      </c>
      <c r="S240" s="18" t="str">
        <f aca="false">IF($Q240="","",IF($R240="Y",IFERROR(VLOOKUP($B240,$C$4:$D$13,2,FALSE()),0),0))</f>
        <v/>
      </c>
      <c r="T240" s="17" t="str">
        <f aca="false">IF($Q240="","",ROUNDDOWN($Q240*$S240,0))</f>
        <v/>
      </c>
      <c r="U240" s="17" t="str">
        <f aca="false">IF($Q240="","",$Q240-$T240)</f>
        <v/>
      </c>
      <c r="V240" s="17" t="str">
        <f aca="false">IF($U240="","",IF($B$10=0,"",$U240/$B$10))</f>
        <v/>
      </c>
      <c r="W240" s="17" t="str">
        <f aca="false">IF($Q240="","",IF($B$10=0,"",$Q240/$B$10))</f>
        <v/>
      </c>
      <c r="X240" s="19" t="n">
        <f aca="false">IF($U240="",1000000000000000,$U240)</f>
        <v>1000000000000000</v>
      </c>
      <c r="XFC240" s="6"/>
    </row>
    <row r="241" s="5" customFormat="true" ht="28.5" hidden="false" customHeight="true" outlineLevel="0" collapsed="false">
      <c r="A241" s="16" t="str">
        <f aca="false">IF($U241="","",1+COUNTIF($X$15:$X$728,"&lt;"&amp;X241))</f>
        <v/>
      </c>
      <c r="B241" s="16" t="s">
        <v>12</v>
      </c>
      <c r="C241" s="16" t="s">
        <v>734</v>
      </c>
      <c r="D241" s="20" t="s">
        <v>294</v>
      </c>
      <c r="E241" s="16" t="s">
        <v>59</v>
      </c>
      <c r="F241" s="16" t="s">
        <v>735</v>
      </c>
      <c r="G241" s="16" t="s">
        <v>736</v>
      </c>
      <c r="H241" s="17" t="n">
        <v>1878</v>
      </c>
      <c r="I241" s="17"/>
      <c r="J241" s="17"/>
      <c r="K241" s="17" t="n">
        <v>1898</v>
      </c>
      <c r="L241" s="17" t="n">
        <f aca="false">IF(AND(IFERROR(SEARCH("현대오일뱅크",$C241),0)&gt;0,IFERROR(SEARCH("직영",$C241),0)&gt;0),$B$13,0)</f>
        <v>0</v>
      </c>
      <c r="M241" s="17" t="n">
        <f aca="false">IF($H241="","",$H241+$L241)</f>
        <v>1878</v>
      </c>
      <c r="N241" s="17" t="str">
        <f aca="false">IF($I241="","",$I241+$L241)</f>
        <v/>
      </c>
      <c r="O241" s="17" t="n">
        <f aca="false">IF($K241="","",$K241+$L241)</f>
        <v>1898</v>
      </c>
      <c r="P241" s="17" t="str">
        <f aca="false">IF($B$10=0,"",IFERROR(IF($B$4&gt;0,"휘발유 "&amp;TEXT(IF($M241="",1/0,$M241*$B$4),"#,##0")&amp;"원","")&amp;IF($B$5&gt;0,IF($B$4&gt;0," / ","")&amp;"고급유 "&amp;TEXT(IF($N241="",1/0,$N241*$B$5),"#,##0")&amp;"원","")&amp;IF($B$6&gt;0,IF(OR($B$4&gt;0,$B$5&gt;0)," / ","")&amp;"경유 "&amp;TEXT(IF($O241="",1/0,$O241*$B$6),"#,##0")&amp;"원",""),""))</f>
        <v/>
      </c>
      <c r="Q241" s="17" t="str">
        <f aca="false">IF($B$10=0,"",IFERROR(IF($B$4&gt;0,IF($M241="",1/0,$M241*$B$4),0)+IF($B$5&gt;0,IF($N241="",1/0,$N241*$B$5),0)+IF($B$6&gt;0,IF($O241="",1/0,$O241*$B$6),0),""))</f>
        <v/>
      </c>
      <c r="R241" s="17" t="s">
        <v>47</v>
      </c>
      <c r="S241" s="18" t="str">
        <f aca="false">IF($Q241="","",IF($R241="Y",IFERROR(VLOOKUP($B241,$C$4:$D$13,2,FALSE()),0),0))</f>
        <v/>
      </c>
      <c r="T241" s="17" t="str">
        <f aca="false">IF($Q241="","",ROUNDDOWN($Q241*$S241,0))</f>
        <v/>
      </c>
      <c r="U241" s="17" t="str">
        <f aca="false">IF($Q241="","",$Q241-$T241)</f>
        <v/>
      </c>
      <c r="V241" s="17" t="str">
        <f aca="false">IF($U241="","",IF($B$10=0,"",$U241/$B$10))</f>
        <v/>
      </c>
      <c r="W241" s="17" t="str">
        <f aca="false">IF($Q241="","",IF($B$10=0,"",$Q241/$B$10))</f>
        <v/>
      </c>
      <c r="X241" s="19" t="n">
        <f aca="false">IF($U241="",1000000000000000,$U241)</f>
        <v>1000000000000000</v>
      </c>
      <c r="XFC241" s="6"/>
    </row>
    <row r="242" s="5" customFormat="true" ht="28.5" hidden="false" customHeight="true" outlineLevel="0" collapsed="false">
      <c r="A242" s="16" t="str">
        <f aca="false">IF($U242="","",1+COUNTIF($X$15:$X$728,"&lt;"&amp;X242))</f>
        <v/>
      </c>
      <c r="B242" s="16" t="s">
        <v>18</v>
      </c>
      <c r="C242" s="16" t="s">
        <v>737</v>
      </c>
      <c r="D242" s="20" t="s">
        <v>108</v>
      </c>
      <c r="E242" s="16" t="s">
        <v>59</v>
      </c>
      <c r="F242" s="16" t="s">
        <v>738</v>
      </c>
      <c r="G242" s="16" t="s">
        <v>739</v>
      </c>
      <c r="H242" s="17" t="n">
        <v>1989</v>
      </c>
      <c r="I242" s="17"/>
      <c r="J242" s="17"/>
      <c r="K242" s="17" t="n">
        <v>2028</v>
      </c>
      <c r="L242" s="17" t="n">
        <f aca="false">IF(AND(IFERROR(SEARCH("현대오일뱅크",$C242),0)&gt;0,IFERROR(SEARCH("직영",$C242),0)&gt;0),$B$13,0)</f>
        <v>0</v>
      </c>
      <c r="M242" s="17" t="n">
        <f aca="false">IF($H242="","",$H242+$L242)</f>
        <v>1989</v>
      </c>
      <c r="N242" s="17" t="str">
        <f aca="false">IF($I242="","",$I242+$L242)</f>
        <v/>
      </c>
      <c r="O242" s="17" t="n">
        <f aca="false">IF($K242="","",$K242+$L242)</f>
        <v>2028</v>
      </c>
      <c r="P242" s="17" t="str">
        <f aca="false">IF($B$10=0,"",IFERROR(IF($B$4&gt;0,"휘발유 "&amp;TEXT(IF($M242="",1/0,$M242*$B$4),"#,##0")&amp;"원","")&amp;IF($B$5&gt;0,IF($B$4&gt;0," / ","")&amp;"고급유 "&amp;TEXT(IF($N242="",1/0,$N242*$B$5),"#,##0")&amp;"원","")&amp;IF($B$6&gt;0,IF(OR($B$4&gt;0,$B$5&gt;0)," / ","")&amp;"경유 "&amp;TEXT(IF($O242="",1/0,$O242*$B$6),"#,##0")&amp;"원",""),""))</f>
        <v/>
      </c>
      <c r="Q242" s="17" t="str">
        <f aca="false">IF($B$10=0,"",IFERROR(IF($B$4&gt;0,IF($M242="",1/0,$M242*$B$4),0)+IF($B$5&gt;0,IF($N242="",1/0,$N242*$B$5),0)+IF($B$6&gt;0,IF($O242="",1/0,$O242*$B$6),0),""))</f>
        <v/>
      </c>
      <c r="R242" s="17" t="s">
        <v>47</v>
      </c>
      <c r="S242" s="18" t="str">
        <f aca="false">IF($Q242="","",IF($R242="Y",IFERROR(VLOOKUP($B242,$C$4:$D$13,2,FALSE()),0),0))</f>
        <v/>
      </c>
      <c r="T242" s="17" t="str">
        <f aca="false">IF($Q242="","",ROUNDDOWN($Q242*$S242,0))</f>
        <v/>
      </c>
      <c r="U242" s="17" t="str">
        <f aca="false">IF($Q242="","",$Q242-$T242)</f>
        <v/>
      </c>
      <c r="V242" s="17" t="str">
        <f aca="false">IF($U242="","",IF($B$10=0,"",$U242/$B$10))</f>
        <v/>
      </c>
      <c r="W242" s="17" t="str">
        <f aca="false">IF($Q242="","",IF($B$10=0,"",$Q242/$B$10))</f>
        <v/>
      </c>
      <c r="X242" s="19" t="n">
        <f aca="false">IF($U242="",1000000000000000,$U242)</f>
        <v>1000000000000000</v>
      </c>
      <c r="XFC242" s="6"/>
    </row>
    <row r="243" s="5" customFormat="true" ht="28.5" hidden="false" customHeight="true" outlineLevel="0" collapsed="false">
      <c r="A243" s="16" t="str">
        <f aca="false">IF($U243="","",1+COUNTIF($X$15:$X$728,"&lt;"&amp;X243))</f>
        <v/>
      </c>
      <c r="B243" s="16" t="s">
        <v>18</v>
      </c>
      <c r="C243" s="16" t="s">
        <v>740</v>
      </c>
      <c r="D243" s="16" t="s">
        <v>112</v>
      </c>
      <c r="E243" s="16" t="s">
        <v>59</v>
      </c>
      <c r="F243" s="16" t="s">
        <v>741</v>
      </c>
      <c r="G243" s="16" t="s">
        <v>742</v>
      </c>
      <c r="H243" s="17" t="n">
        <v>1989</v>
      </c>
      <c r="I243" s="17"/>
      <c r="J243" s="17"/>
      <c r="K243" s="17" t="n">
        <v>1989</v>
      </c>
      <c r="L243" s="17" t="n">
        <f aca="false">IF(AND(IFERROR(SEARCH("현대오일뱅크",$C243),0)&gt;0,IFERROR(SEARCH("직영",$C243),0)&gt;0),$B$13,0)</f>
        <v>0</v>
      </c>
      <c r="M243" s="17" t="n">
        <f aca="false">IF($H243="","",$H243+$L243)</f>
        <v>1989</v>
      </c>
      <c r="N243" s="17" t="str">
        <f aca="false">IF($I243="","",$I243+$L243)</f>
        <v/>
      </c>
      <c r="O243" s="17" t="n">
        <f aca="false">IF($K243="","",$K243+$L243)</f>
        <v>1989</v>
      </c>
      <c r="P243" s="17" t="str">
        <f aca="false">IF($B$10=0,"",IFERROR(IF($B$4&gt;0,"휘발유 "&amp;TEXT(IF($M243="",1/0,$M243*$B$4),"#,##0")&amp;"원","")&amp;IF($B$5&gt;0,IF($B$4&gt;0," / ","")&amp;"고급유 "&amp;TEXT(IF($N243="",1/0,$N243*$B$5),"#,##0")&amp;"원","")&amp;IF($B$6&gt;0,IF(OR($B$4&gt;0,$B$5&gt;0)," / ","")&amp;"경유 "&amp;TEXT(IF($O243="",1/0,$O243*$B$6),"#,##0")&amp;"원",""),""))</f>
        <v/>
      </c>
      <c r="Q243" s="17" t="str">
        <f aca="false">IF($B$10=0,"",IFERROR(IF($B$4&gt;0,IF($M243="",1/0,$M243*$B$4),0)+IF($B$5&gt;0,IF($N243="",1/0,$N243*$B$5),0)+IF($B$6&gt;0,IF($O243="",1/0,$O243*$B$6),0),""))</f>
        <v/>
      </c>
      <c r="R243" s="17" t="s">
        <v>47</v>
      </c>
      <c r="S243" s="18" t="str">
        <f aca="false">IF($Q243="","",IF($R243="Y",IFERROR(VLOOKUP($B243,$C$4:$D$13,2,FALSE()),0),0))</f>
        <v/>
      </c>
      <c r="T243" s="17" t="str">
        <f aca="false">IF($Q243="","",ROUNDDOWN($Q243*$S243,0))</f>
        <v/>
      </c>
      <c r="U243" s="17" t="str">
        <f aca="false">IF($Q243="","",$Q243-$T243)</f>
        <v/>
      </c>
      <c r="V243" s="17" t="str">
        <f aca="false">IF($U243="","",IF($B$10=0,"",$U243/$B$10))</f>
        <v/>
      </c>
      <c r="W243" s="17" t="str">
        <f aca="false">IF($Q243="","",IF($B$10=0,"",$Q243/$B$10))</f>
        <v/>
      </c>
      <c r="X243" s="19" t="n">
        <f aca="false">IF($U243="",1000000000000000,$U243)</f>
        <v>1000000000000000</v>
      </c>
      <c r="XFC243" s="6"/>
    </row>
    <row r="244" s="5" customFormat="true" ht="28.5" hidden="false" customHeight="true" outlineLevel="0" collapsed="false">
      <c r="A244" s="16" t="str">
        <f aca="false">IF($U244="","",1+COUNTIF($X$15:$X$728,"&lt;"&amp;X244))</f>
        <v/>
      </c>
      <c r="B244" s="16" t="s">
        <v>10</v>
      </c>
      <c r="C244" s="16" t="s">
        <v>743</v>
      </c>
      <c r="D244" s="16" t="s">
        <v>58</v>
      </c>
      <c r="E244" s="16" t="s">
        <v>59</v>
      </c>
      <c r="F244" s="16" t="s">
        <v>744</v>
      </c>
      <c r="G244" s="16" t="s">
        <v>745</v>
      </c>
      <c r="H244" s="17" t="n">
        <v>1879</v>
      </c>
      <c r="I244" s="17"/>
      <c r="J244" s="17"/>
      <c r="K244" s="17" t="n">
        <v>1949</v>
      </c>
      <c r="L244" s="17" t="n">
        <f aca="false">IF(AND(IFERROR(SEARCH("현대오일뱅크",$C244),0)&gt;0,IFERROR(SEARCH("직영",$C244),0)&gt;0),$B$13,0)</f>
        <v>0</v>
      </c>
      <c r="M244" s="17" t="n">
        <f aca="false">IF($H244="","",$H244+$L244)</f>
        <v>1879</v>
      </c>
      <c r="N244" s="17" t="str">
        <f aca="false">IF($I244="","",$I244+$L244)</f>
        <v/>
      </c>
      <c r="O244" s="17" t="n">
        <f aca="false">IF($K244="","",$K244+$L244)</f>
        <v>1949</v>
      </c>
      <c r="P244" s="17" t="str">
        <f aca="false">IF($B$10=0,"",IFERROR(IF($B$4&gt;0,"휘발유 "&amp;TEXT(IF($M244="",1/0,$M244*$B$4),"#,##0")&amp;"원","")&amp;IF($B$5&gt;0,IF($B$4&gt;0," / ","")&amp;"고급유 "&amp;TEXT(IF($N244="",1/0,$N244*$B$5),"#,##0")&amp;"원","")&amp;IF($B$6&gt;0,IF(OR($B$4&gt;0,$B$5&gt;0)," / ","")&amp;"경유 "&amp;TEXT(IF($O244="",1/0,$O244*$B$6),"#,##0")&amp;"원",""),""))</f>
        <v/>
      </c>
      <c r="Q244" s="17" t="str">
        <f aca="false">IF($B$10=0,"",IFERROR(IF($B$4&gt;0,IF($M244="",1/0,$M244*$B$4),0)+IF($B$5&gt;0,IF($N244="",1/0,$N244*$B$5),0)+IF($B$6&gt;0,IF($O244="",1/0,$O244*$B$6),0),""))</f>
        <v/>
      </c>
      <c r="R244" s="17" t="s">
        <v>47</v>
      </c>
      <c r="S244" s="18" t="str">
        <f aca="false">IF($Q244="","",IF($R244="Y",IFERROR(VLOOKUP($B244,$C$4:$D$13,2,FALSE()),0),0))</f>
        <v/>
      </c>
      <c r="T244" s="17" t="str">
        <f aca="false">IF($Q244="","",ROUNDDOWN($Q244*$S244,0))</f>
        <v/>
      </c>
      <c r="U244" s="17" t="str">
        <f aca="false">IF($Q244="","",$Q244-$T244)</f>
        <v/>
      </c>
      <c r="V244" s="17" t="str">
        <f aca="false">IF($U244="","",IF($B$10=0,"",$U244/$B$10))</f>
        <v/>
      </c>
      <c r="W244" s="17" t="str">
        <f aca="false">IF($Q244="","",IF($B$10=0,"",$Q244/$B$10))</f>
        <v/>
      </c>
      <c r="X244" s="19" t="n">
        <f aca="false">IF($U244="",1000000000000000,$U244)</f>
        <v>1000000000000000</v>
      </c>
      <c r="XFC244" s="6"/>
    </row>
    <row r="245" s="5" customFormat="true" ht="28.5" hidden="false" customHeight="true" outlineLevel="0" collapsed="false">
      <c r="A245" s="16" t="str">
        <f aca="false">IF($U245="","",1+COUNTIF($X$15:$X$728,"&lt;"&amp;X245))</f>
        <v/>
      </c>
      <c r="B245" s="16" t="s">
        <v>8</v>
      </c>
      <c r="C245" s="16" t="s">
        <v>746</v>
      </c>
      <c r="D245" s="16" t="s">
        <v>58</v>
      </c>
      <c r="E245" s="16" t="s">
        <v>47</v>
      </c>
      <c r="F245" s="16" t="s">
        <v>747</v>
      </c>
      <c r="G245" s="16" t="s">
        <v>748</v>
      </c>
      <c r="H245" s="17" t="n">
        <v>1879</v>
      </c>
      <c r="I245" s="17"/>
      <c r="J245" s="17"/>
      <c r="K245" s="17" t="n">
        <v>1919</v>
      </c>
      <c r="L245" s="17" t="n">
        <f aca="false">IF(AND(IFERROR(SEARCH("현대오일뱅크",$C245),0)&gt;0,IFERROR(SEARCH("직영",$C245),0)&gt;0),$B$13,0)</f>
        <v>0</v>
      </c>
      <c r="M245" s="17" t="n">
        <f aca="false">IF($H245="","",$H245+$L245)</f>
        <v>1879</v>
      </c>
      <c r="N245" s="17" t="str">
        <f aca="false">IF($I245="","",$I245+$L245)</f>
        <v/>
      </c>
      <c r="O245" s="17" t="n">
        <f aca="false">IF($K245="","",$K245+$L245)</f>
        <v>1919</v>
      </c>
      <c r="P245" s="17" t="str">
        <f aca="false">IF($B$10=0,"",IFERROR(IF($B$4&gt;0,"휘발유 "&amp;TEXT(IF($M245="",1/0,$M245*$B$4),"#,##0")&amp;"원","")&amp;IF($B$5&gt;0,IF($B$4&gt;0," / ","")&amp;"고급유 "&amp;TEXT(IF($N245="",1/0,$N245*$B$5),"#,##0")&amp;"원","")&amp;IF($B$6&gt;0,IF(OR($B$4&gt;0,$B$5&gt;0)," / ","")&amp;"경유 "&amp;TEXT(IF($O245="",1/0,$O245*$B$6),"#,##0")&amp;"원",""),""))</f>
        <v/>
      </c>
      <c r="Q245" s="17" t="str">
        <f aca="false">IF($B$10=0,"",IFERROR(IF($B$4&gt;0,IF($M245="",1/0,$M245*$B$4),0)+IF($B$5&gt;0,IF($N245="",1/0,$N245*$B$5),0)+IF($B$6&gt;0,IF($O245="",1/0,$O245*$B$6),0),""))</f>
        <v/>
      </c>
      <c r="R245" s="17" t="s">
        <v>47</v>
      </c>
      <c r="S245" s="18" t="str">
        <f aca="false">IF($Q245="","",IF($R245="Y",IFERROR(VLOOKUP($B245,$C$4:$D$13,2,FALSE()),0),0))</f>
        <v/>
      </c>
      <c r="T245" s="17" t="str">
        <f aca="false">IF($Q245="","",ROUNDDOWN($Q245*$S245,0))</f>
        <v/>
      </c>
      <c r="U245" s="17" t="str">
        <f aca="false">IF($Q245="","",$Q245-$T245)</f>
        <v/>
      </c>
      <c r="V245" s="17" t="str">
        <f aca="false">IF($U245="","",IF($B$10=0,"",$U245/$B$10))</f>
        <v/>
      </c>
      <c r="W245" s="17" t="str">
        <f aca="false">IF($Q245="","",IF($B$10=0,"",$Q245/$B$10))</f>
        <v/>
      </c>
      <c r="X245" s="19" t="n">
        <f aca="false">IF($U245="",1000000000000000,$U245)</f>
        <v>1000000000000000</v>
      </c>
      <c r="XFC245" s="6"/>
    </row>
    <row r="246" s="5" customFormat="true" ht="28.5" hidden="false" customHeight="true" outlineLevel="0" collapsed="false">
      <c r="A246" s="16" t="str">
        <f aca="false">IF($U246="","",1+COUNTIF($X$15:$X$728,"&lt;"&amp;X246))</f>
        <v/>
      </c>
      <c r="B246" s="16" t="s">
        <v>10</v>
      </c>
      <c r="C246" s="16" t="s">
        <v>749</v>
      </c>
      <c r="D246" s="20" t="s">
        <v>108</v>
      </c>
      <c r="E246" s="16" t="s">
        <v>59</v>
      </c>
      <c r="F246" s="16" t="s">
        <v>750</v>
      </c>
      <c r="G246" s="16" t="s">
        <v>751</v>
      </c>
      <c r="H246" s="17" t="n">
        <v>1879</v>
      </c>
      <c r="I246" s="17"/>
      <c r="J246" s="17"/>
      <c r="K246" s="17" t="n">
        <v>1869</v>
      </c>
      <c r="L246" s="17" t="n">
        <f aca="false">IF(AND(IFERROR(SEARCH("현대오일뱅크",$C246),0)&gt;0,IFERROR(SEARCH("직영",$C246),0)&gt;0),$B$13,0)</f>
        <v>0</v>
      </c>
      <c r="M246" s="17" t="n">
        <f aca="false">IF($H246="","",$H246+$L246)</f>
        <v>1879</v>
      </c>
      <c r="N246" s="17" t="str">
        <f aca="false">IF($I246="","",$I246+$L246)</f>
        <v/>
      </c>
      <c r="O246" s="17" t="n">
        <f aca="false">IF($K246="","",$K246+$L246)</f>
        <v>1869</v>
      </c>
      <c r="P246" s="17" t="str">
        <f aca="false">IF($B$10=0,"",IFERROR(IF($B$4&gt;0,"휘발유 "&amp;TEXT(IF($M246="",1/0,$M246*$B$4),"#,##0")&amp;"원","")&amp;IF($B$5&gt;0,IF($B$4&gt;0," / ","")&amp;"고급유 "&amp;TEXT(IF($N246="",1/0,$N246*$B$5),"#,##0")&amp;"원","")&amp;IF($B$6&gt;0,IF(OR($B$4&gt;0,$B$5&gt;0)," / ","")&amp;"경유 "&amp;TEXT(IF($O246="",1/0,$O246*$B$6),"#,##0")&amp;"원",""),""))</f>
        <v/>
      </c>
      <c r="Q246" s="17" t="str">
        <f aca="false">IF($B$10=0,"",IFERROR(IF($B$4&gt;0,IF($M246="",1/0,$M246*$B$4),0)+IF($B$5&gt;0,IF($N246="",1/0,$N246*$B$5),0)+IF($B$6&gt;0,IF($O246="",1/0,$O246*$B$6),0),""))</f>
        <v/>
      </c>
      <c r="R246" s="17" t="s">
        <v>47</v>
      </c>
      <c r="S246" s="18" t="str">
        <f aca="false">IF($Q246="","",IF($R246="Y",IFERROR(VLOOKUP($B246,$C$4:$D$13,2,FALSE()),0),0))</f>
        <v/>
      </c>
      <c r="T246" s="17" t="str">
        <f aca="false">IF($Q246="","",ROUNDDOWN($Q246*$S246,0))</f>
        <v/>
      </c>
      <c r="U246" s="17" t="str">
        <f aca="false">IF($Q246="","",$Q246-$T246)</f>
        <v/>
      </c>
      <c r="V246" s="17" t="str">
        <f aca="false">IF($U246="","",IF($B$10=0,"",$U246/$B$10))</f>
        <v/>
      </c>
      <c r="W246" s="17" t="str">
        <f aca="false">IF($Q246="","",IF($B$10=0,"",$Q246/$B$10))</f>
        <v/>
      </c>
      <c r="X246" s="19" t="n">
        <f aca="false">IF($U246="",1000000000000000,$U246)</f>
        <v>1000000000000000</v>
      </c>
      <c r="XFC246" s="6"/>
    </row>
    <row r="247" s="5" customFormat="true" ht="28.5" hidden="false" customHeight="true" outlineLevel="0" collapsed="false">
      <c r="A247" s="16" t="str">
        <f aca="false">IF($U247="","",1+COUNTIF($X$15:$X$728,"&lt;"&amp;X247))</f>
        <v/>
      </c>
      <c r="B247" s="16" t="s">
        <v>18</v>
      </c>
      <c r="C247" s="16" t="s">
        <v>752</v>
      </c>
      <c r="D247" s="16" t="s">
        <v>112</v>
      </c>
      <c r="E247" s="16" t="s">
        <v>47</v>
      </c>
      <c r="F247" s="16" t="s">
        <v>753</v>
      </c>
      <c r="G247" s="16" t="s">
        <v>754</v>
      </c>
      <c r="H247" s="17" t="n">
        <v>1998</v>
      </c>
      <c r="I247" s="17"/>
      <c r="J247" s="17"/>
      <c r="K247" s="17" t="n">
        <v>2049</v>
      </c>
      <c r="L247" s="17" t="n">
        <f aca="false">IF(AND(IFERROR(SEARCH("현대오일뱅크",$C247),0)&gt;0,IFERROR(SEARCH("직영",$C247),0)&gt;0),$B$13,0)</f>
        <v>0</v>
      </c>
      <c r="M247" s="17" t="n">
        <f aca="false">IF($H247="","",$H247+$L247)</f>
        <v>1998</v>
      </c>
      <c r="N247" s="17" t="str">
        <f aca="false">IF($I247="","",$I247+$L247)</f>
        <v/>
      </c>
      <c r="O247" s="17" t="n">
        <f aca="false">IF($K247="","",$K247+$L247)</f>
        <v>2049</v>
      </c>
      <c r="P247" s="17" t="str">
        <f aca="false">IF($B$10=0,"",IFERROR(IF($B$4&gt;0,"휘발유 "&amp;TEXT(IF($M247="",1/0,$M247*$B$4),"#,##0")&amp;"원","")&amp;IF($B$5&gt;0,IF($B$4&gt;0," / ","")&amp;"고급유 "&amp;TEXT(IF($N247="",1/0,$N247*$B$5),"#,##0")&amp;"원","")&amp;IF($B$6&gt;0,IF(OR($B$4&gt;0,$B$5&gt;0)," / ","")&amp;"경유 "&amp;TEXT(IF($O247="",1/0,$O247*$B$6),"#,##0")&amp;"원",""),""))</f>
        <v/>
      </c>
      <c r="Q247" s="17" t="str">
        <f aca="false">IF($B$10=0,"",IFERROR(IF($B$4&gt;0,IF($M247="",1/0,$M247*$B$4),0)+IF($B$5&gt;0,IF($N247="",1/0,$N247*$B$5),0)+IF($B$6&gt;0,IF($O247="",1/0,$O247*$B$6),0),""))</f>
        <v/>
      </c>
      <c r="R247" s="17" t="s">
        <v>47</v>
      </c>
      <c r="S247" s="18" t="str">
        <f aca="false">IF($Q247="","",IF($R247="Y",IFERROR(VLOOKUP($B247,$C$4:$D$13,2,FALSE()),0),0))</f>
        <v/>
      </c>
      <c r="T247" s="17" t="str">
        <f aca="false">IF($Q247="","",ROUNDDOWN($Q247*$S247,0))</f>
        <v/>
      </c>
      <c r="U247" s="17" t="str">
        <f aca="false">IF($Q247="","",$Q247-$T247)</f>
        <v/>
      </c>
      <c r="V247" s="17" t="str">
        <f aca="false">IF($U247="","",IF($B$10=0,"",$U247/$B$10))</f>
        <v/>
      </c>
      <c r="W247" s="17" t="str">
        <f aca="false">IF($Q247="","",IF($B$10=0,"",$Q247/$B$10))</f>
        <v/>
      </c>
      <c r="X247" s="19" t="n">
        <f aca="false">IF($U247="",1000000000000000,$U247)</f>
        <v>1000000000000000</v>
      </c>
      <c r="XFC247" s="6"/>
    </row>
    <row r="248" s="5" customFormat="true" ht="28.5" hidden="false" customHeight="true" outlineLevel="0" collapsed="false">
      <c r="A248" s="16" t="str">
        <f aca="false">IF($U248="","",1+COUNTIF($X$15:$X$728,"&lt;"&amp;X248))</f>
        <v/>
      </c>
      <c r="B248" s="16" t="s">
        <v>6</v>
      </c>
      <c r="C248" s="16" t="s">
        <v>755</v>
      </c>
      <c r="D248" s="16" t="s">
        <v>58</v>
      </c>
      <c r="E248" s="16" t="s">
        <v>47</v>
      </c>
      <c r="F248" s="16" t="s">
        <v>756</v>
      </c>
      <c r="G248" s="16" t="s">
        <v>757</v>
      </c>
      <c r="H248" s="17" t="n">
        <v>1887</v>
      </c>
      <c r="I248" s="17"/>
      <c r="J248" s="17"/>
      <c r="K248" s="17" t="n">
        <v>1897</v>
      </c>
      <c r="L248" s="17" t="n">
        <f aca="false">IF(AND(IFERROR(SEARCH("현대오일뱅크",$C248),0)&gt;0,IFERROR(SEARCH("직영",$C248),0)&gt;0),$B$13,0)</f>
        <v>0</v>
      </c>
      <c r="M248" s="17" t="n">
        <f aca="false">IF($H248="","",$H248+$L248)</f>
        <v>1887</v>
      </c>
      <c r="N248" s="17" t="str">
        <f aca="false">IF($I248="","",$I248+$L248)</f>
        <v/>
      </c>
      <c r="O248" s="17" t="n">
        <f aca="false">IF($K248="","",$K248+$L248)</f>
        <v>1897</v>
      </c>
      <c r="P248" s="17" t="str">
        <f aca="false">IF($B$10=0,"",IFERROR(IF($B$4&gt;0,"휘발유 "&amp;TEXT(IF($M248="",1/0,$M248*$B$4),"#,##0")&amp;"원","")&amp;IF($B$5&gt;0,IF($B$4&gt;0," / ","")&amp;"고급유 "&amp;TEXT(IF($N248="",1/0,$N248*$B$5),"#,##0")&amp;"원","")&amp;IF($B$6&gt;0,IF(OR($B$4&gt;0,$B$5&gt;0)," / ","")&amp;"경유 "&amp;TEXT(IF($O248="",1/0,$O248*$B$6),"#,##0")&amp;"원",""),""))</f>
        <v/>
      </c>
      <c r="Q248" s="17" t="str">
        <f aca="false">IF($B$10=0,"",IFERROR(IF($B$4&gt;0,IF($M248="",1/0,$M248*$B$4),0)+IF($B$5&gt;0,IF($N248="",1/0,$N248*$B$5),0)+IF($B$6&gt;0,IF($O248="",1/0,$O248*$B$6),0),""))</f>
        <v/>
      </c>
      <c r="R248" s="17" t="s">
        <v>47</v>
      </c>
      <c r="S248" s="18" t="str">
        <f aca="false">IF($Q248="","",IF($R248="Y",IFERROR(VLOOKUP($B248,$C$4:$D$13,2,FALSE()),0),0))</f>
        <v/>
      </c>
      <c r="T248" s="17" t="str">
        <f aca="false">IF($Q248="","",ROUNDDOWN($Q248*$S248,0))</f>
        <v/>
      </c>
      <c r="U248" s="17" t="str">
        <f aca="false">IF($Q248="","",$Q248-$T248)</f>
        <v/>
      </c>
      <c r="V248" s="17" t="str">
        <f aca="false">IF($U248="","",IF($B$10=0,"",$U248/$B$10))</f>
        <v/>
      </c>
      <c r="W248" s="17" t="str">
        <f aca="false">IF($Q248="","",IF($B$10=0,"",$Q248/$B$10))</f>
        <v/>
      </c>
      <c r="X248" s="19" t="n">
        <f aca="false">IF($U248="",1000000000000000,$U248)</f>
        <v>1000000000000000</v>
      </c>
      <c r="XFC248" s="6"/>
    </row>
    <row r="249" s="5" customFormat="true" ht="28.5" hidden="false" customHeight="true" outlineLevel="0" collapsed="false">
      <c r="A249" s="16" t="str">
        <f aca="false">IF($U249="","",1+COUNTIF($X$15:$X$728,"&lt;"&amp;X249))</f>
        <v/>
      </c>
      <c r="B249" s="16" t="s">
        <v>14</v>
      </c>
      <c r="C249" s="16" t="s">
        <v>758</v>
      </c>
      <c r="D249" s="20" t="s">
        <v>108</v>
      </c>
      <c r="E249" s="16" t="s">
        <v>59</v>
      </c>
      <c r="F249" s="16" t="s">
        <v>759</v>
      </c>
      <c r="G249" s="16" t="s">
        <v>760</v>
      </c>
      <c r="H249" s="17" t="n">
        <v>1909</v>
      </c>
      <c r="I249" s="17"/>
      <c r="J249" s="17"/>
      <c r="K249" s="17" t="n">
        <v>1949</v>
      </c>
      <c r="L249" s="17" t="n">
        <f aca="false">IF(AND(IFERROR(SEARCH("현대오일뱅크",$C249),0)&gt;0,IFERROR(SEARCH("직영",$C249),0)&gt;0),$B$13,0)</f>
        <v>0</v>
      </c>
      <c r="M249" s="17" t="n">
        <f aca="false">IF($H249="","",$H249+$L249)</f>
        <v>1909</v>
      </c>
      <c r="N249" s="17" t="str">
        <f aca="false">IF($I249="","",$I249+$L249)</f>
        <v/>
      </c>
      <c r="O249" s="17" t="n">
        <f aca="false">IF($K249="","",$K249+$L249)</f>
        <v>1949</v>
      </c>
      <c r="P249" s="17" t="str">
        <f aca="false">IF($B$10=0,"",IFERROR(IF($B$4&gt;0,"휘발유 "&amp;TEXT(IF($M249="",1/0,$M249*$B$4),"#,##0")&amp;"원","")&amp;IF($B$5&gt;0,IF($B$4&gt;0," / ","")&amp;"고급유 "&amp;TEXT(IF($N249="",1/0,$N249*$B$5),"#,##0")&amp;"원","")&amp;IF($B$6&gt;0,IF(OR($B$4&gt;0,$B$5&gt;0)," / ","")&amp;"경유 "&amp;TEXT(IF($O249="",1/0,$O249*$B$6),"#,##0")&amp;"원",""),""))</f>
        <v/>
      </c>
      <c r="Q249" s="17" t="str">
        <f aca="false">IF($B$10=0,"",IFERROR(IF($B$4&gt;0,IF($M249="",1/0,$M249*$B$4),0)+IF($B$5&gt;0,IF($N249="",1/0,$N249*$B$5),0)+IF($B$6&gt;0,IF($O249="",1/0,$O249*$B$6),0),""))</f>
        <v/>
      </c>
      <c r="R249" s="17" t="s">
        <v>47</v>
      </c>
      <c r="S249" s="18" t="str">
        <f aca="false">IF($Q249="","",IF($R249="Y",IFERROR(VLOOKUP($B249,$C$4:$D$13,2,FALSE()),0),0))</f>
        <v/>
      </c>
      <c r="T249" s="17" t="str">
        <f aca="false">IF($Q249="","",ROUNDDOWN($Q249*$S249,0))</f>
        <v/>
      </c>
      <c r="U249" s="17" t="str">
        <f aca="false">IF($Q249="","",$Q249-$T249)</f>
        <v/>
      </c>
      <c r="V249" s="17" t="str">
        <f aca="false">IF($U249="","",IF($B$10=0,"",$U249/$B$10))</f>
        <v/>
      </c>
      <c r="W249" s="17" t="str">
        <f aca="false">IF($Q249="","",IF($B$10=0,"",$Q249/$B$10))</f>
        <v/>
      </c>
      <c r="X249" s="19" t="n">
        <f aca="false">IF($U249="",1000000000000000,$U249)</f>
        <v>1000000000000000</v>
      </c>
      <c r="XFC249" s="6"/>
    </row>
    <row r="250" s="5" customFormat="true" ht="28.5" hidden="false" customHeight="true" outlineLevel="0" collapsed="false">
      <c r="A250" s="16" t="str">
        <f aca="false">IF($U250="","",1+COUNTIF($X$15:$X$728,"&lt;"&amp;X250))</f>
        <v/>
      </c>
      <c r="B250" s="16" t="s">
        <v>10</v>
      </c>
      <c r="C250" s="16" t="s">
        <v>761</v>
      </c>
      <c r="D250" s="16" t="s">
        <v>112</v>
      </c>
      <c r="E250" s="16" t="s">
        <v>47</v>
      </c>
      <c r="F250" s="16" t="s">
        <v>762</v>
      </c>
      <c r="G250" s="16" t="s">
        <v>763</v>
      </c>
      <c r="H250" s="17" t="n">
        <v>1889</v>
      </c>
      <c r="I250" s="17"/>
      <c r="J250" s="17"/>
      <c r="K250" s="17" t="n">
        <v>1889</v>
      </c>
      <c r="L250" s="17" t="n">
        <f aca="false">IF(AND(IFERROR(SEARCH("현대오일뱅크",$C250),0)&gt;0,IFERROR(SEARCH("직영",$C250),0)&gt;0),$B$13,0)</f>
        <v>0</v>
      </c>
      <c r="M250" s="17" t="n">
        <f aca="false">IF($H250="","",$H250+$L250)</f>
        <v>1889</v>
      </c>
      <c r="N250" s="17" t="str">
        <f aca="false">IF($I250="","",$I250+$L250)</f>
        <v/>
      </c>
      <c r="O250" s="17" t="n">
        <f aca="false">IF($K250="","",$K250+$L250)</f>
        <v>1889</v>
      </c>
      <c r="P250" s="17" t="str">
        <f aca="false">IF($B$10=0,"",IFERROR(IF($B$4&gt;0,"휘발유 "&amp;TEXT(IF($M250="",1/0,$M250*$B$4),"#,##0")&amp;"원","")&amp;IF($B$5&gt;0,IF($B$4&gt;0," / ","")&amp;"고급유 "&amp;TEXT(IF($N250="",1/0,$N250*$B$5),"#,##0")&amp;"원","")&amp;IF($B$6&gt;0,IF(OR($B$4&gt;0,$B$5&gt;0)," / ","")&amp;"경유 "&amp;TEXT(IF($O250="",1/0,$O250*$B$6),"#,##0")&amp;"원",""),""))</f>
        <v/>
      </c>
      <c r="Q250" s="17" t="str">
        <f aca="false">IF($B$10=0,"",IFERROR(IF($B$4&gt;0,IF($M250="",1/0,$M250*$B$4),0)+IF($B$5&gt;0,IF($N250="",1/0,$N250*$B$5),0)+IF($B$6&gt;0,IF($O250="",1/0,$O250*$B$6),0),""))</f>
        <v/>
      </c>
      <c r="R250" s="17" t="s">
        <v>47</v>
      </c>
      <c r="S250" s="18" t="str">
        <f aca="false">IF($Q250="","",IF($R250="Y",IFERROR(VLOOKUP($B250,$C$4:$D$13,2,FALSE()),0),0))</f>
        <v/>
      </c>
      <c r="T250" s="17" t="str">
        <f aca="false">IF($Q250="","",ROUNDDOWN($Q250*$S250,0))</f>
        <v/>
      </c>
      <c r="U250" s="17" t="str">
        <f aca="false">IF($Q250="","",$Q250-$T250)</f>
        <v/>
      </c>
      <c r="V250" s="17" t="str">
        <f aca="false">IF($U250="","",IF($B$10=0,"",$U250/$B$10))</f>
        <v/>
      </c>
      <c r="W250" s="17" t="str">
        <f aca="false">IF($Q250="","",IF($B$10=0,"",$Q250/$B$10))</f>
        <v/>
      </c>
      <c r="X250" s="19" t="n">
        <f aca="false">IF($U250="",1000000000000000,$U250)</f>
        <v>1000000000000000</v>
      </c>
      <c r="XFC250" s="6"/>
    </row>
    <row r="251" s="5" customFormat="true" ht="28.5" hidden="false" customHeight="true" outlineLevel="0" collapsed="false">
      <c r="A251" s="16" t="str">
        <f aca="false">IF($U251="","",1+COUNTIF($X$15:$X$728,"&lt;"&amp;X251))</f>
        <v/>
      </c>
      <c r="B251" s="16" t="s">
        <v>6</v>
      </c>
      <c r="C251" s="16" t="s">
        <v>764</v>
      </c>
      <c r="D251" s="20" t="s">
        <v>108</v>
      </c>
      <c r="E251" s="16" t="s">
        <v>47</v>
      </c>
      <c r="F251" s="16" t="s">
        <v>765</v>
      </c>
      <c r="G251" s="16" t="s">
        <v>766</v>
      </c>
      <c r="H251" s="17" t="n">
        <v>1889</v>
      </c>
      <c r="I251" s="17"/>
      <c r="J251" s="17"/>
      <c r="K251" s="17" t="n">
        <v>1892</v>
      </c>
      <c r="L251" s="17" t="n">
        <f aca="false">IF(AND(IFERROR(SEARCH("현대오일뱅크",$C251),0)&gt;0,IFERROR(SEARCH("직영",$C251),0)&gt;0),$B$13,0)</f>
        <v>0</v>
      </c>
      <c r="M251" s="17" t="n">
        <f aca="false">IF($H251="","",$H251+$L251)</f>
        <v>1889</v>
      </c>
      <c r="N251" s="17" t="str">
        <f aca="false">IF($I251="","",$I251+$L251)</f>
        <v/>
      </c>
      <c r="O251" s="17" t="n">
        <f aca="false">IF($K251="","",$K251+$L251)</f>
        <v>1892</v>
      </c>
      <c r="P251" s="17" t="str">
        <f aca="false">IF($B$10=0,"",IFERROR(IF($B$4&gt;0,"휘발유 "&amp;TEXT(IF($M251="",1/0,$M251*$B$4),"#,##0")&amp;"원","")&amp;IF($B$5&gt;0,IF($B$4&gt;0," / ","")&amp;"고급유 "&amp;TEXT(IF($N251="",1/0,$N251*$B$5),"#,##0")&amp;"원","")&amp;IF($B$6&gt;0,IF(OR($B$4&gt;0,$B$5&gt;0)," / ","")&amp;"경유 "&amp;TEXT(IF($O251="",1/0,$O251*$B$6),"#,##0")&amp;"원",""),""))</f>
        <v/>
      </c>
      <c r="Q251" s="17" t="str">
        <f aca="false">IF($B$10=0,"",IFERROR(IF($B$4&gt;0,IF($M251="",1/0,$M251*$B$4),0)+IF($B$5&gt;0,IF($N251="",1/0,$N251*$B$5),0)+IF($B$6&gt;0,IF($O251="",1/0,$O251*$B$6),0),""))</f>
        <v/>
      </c>
      <c r="R251" s="17" t="s">
        <v>47</v>
      </c>
      <c r="S251" s="18" t="str">
        <f aca="false">IF($Q251="","",IF($R251="Y",IFERROR(VLOOKUP($B251,$C$4:$D$13,2,FALSE()),0),0))</f>
        <v/>
      </c>
      <c r="T251" s="17" t="str">
        <f aca="false">IF($Q251="","",ROUNDDOWN($Q251*$S251,0))</f>
        <v/>
      </c>
      <c r="U251" s="17" t="str">
        <f aca="false">IF($Q251="","",$Q251-$T251)</f>
        <v/>
      </c>
      <c r="V251" s="17" t="str">
        <f aca="false">IF($U251="","",IF($B$10=0,"",$U251/$B$10))</f>
        <v/>
      </c>
      <c r="W251" s="17" t="str">
        <f aca="false">IF($Q251="","",IF($B$10=0,"",$Q251/$B$10))</f>
        <v/>
      </c>
      <c r="X251" s="19" t="n">
        <f aca="false">IF($U251="",1000000000000000,$U251)</f>
        <v>1000000000000000</v>
      </c>
      <c r="XFC251" s="6"/>
    </row>
    <row r="252" s="5" customFormat="true" ht="28.5" hidden="false" customHeight="true" outlineLevel="0" collapsed="false">
      <c r="A252" s="16" t="str">
        <f aca="false">IF($U252="","",1+COUNTIF($X$15:$X$728,"&lt;"&amp;X252))</f>
        <v/>
      </c>
      <c r="B252" s="16" t="s">
        <v>6</v>
      </c>
      <c r="C252" s="16" t="s">
        <v>767</v>
      </c>
      <c r="D252" s="16" t="s">
        <v>46</v>
      </c>
      <c r="E252" s="16" t="s">
        <v>47</v>
      </c>
      <c r="F252" s="16" t="s">
        <v>768</v>
      </c>
      <c r="G252" s="16" t="s">
        <v>769</v>
      </c>
      <c r="H252" s="17" t="n">
        <v>1890</v>
      </c>
      <c r="I252" s="17"/>
      <c r="J252" s="17"/>
      <c r="K252" s="17" t="n">
        <v>1920</v>
      </c>
      <c r="L252" s="17" t="n">
        <f aca="false">IF(AND(IFERROR(SEARCH("현대오일뱅크",$C252),0)&gt;0,IFERROR(SEARCH("직영",$C252),0)&gt;0),$B$13,0)</f>
        <v>0</v>
      </c>
      <c r="M252" s="17" t="n">
        <f aca="false">IF($H252="","",$H252+$L252)</f>
        <v>1890</v>
      </c>
      <c r="N252" s="17" t="str">
        <f aca="false">IF($I252="","",$I252+$L252)</f>
        <v/>
      </c>
      <c r="O252" s="17" t="n">
        <f aca="false">IF($K252="","",$K252+$L252)</f>
        <v>1920</v>
      </c>
      <c r="P252" s="17" t="str">
        <f aca="false">IF($B$10=0,"",IFERROR(IF($B$4&gt;0,"휘발유 "&amp;TEXT(IF($M252="",1/0,$M252*$B$4),"#,##0")&amp;"원","")&amp;IF($B$5&gt;0,IF($B$4&gt;0," / ","")&amp;"고급유 "&amp;TEXT(IF($N252="",1/0,$N252*$B$5),"#,##0")&amp;"원","")&amp;IF($B$6&gt;0,IF(OR($B$4&gt;0,$B$5&gt;0)," / ","")&amp;"경유 "&amp;TEXT(IF($O252="",1/0,$O252*$B$6),"#,##0")&amp;"원",""),""))</f>
        <v/>
      </c>
      <c r="Q252" s="17" t="str">
        <f aca="false">IF($B$10=0,"",IFERROR(IF($B$4&gt;0,IF($M252="",1/0,$M252*$B$4),0)+IF($B$5&gt;0,IF($N252="",1/0,$N252*$B$5),0)+IF($B$6&gt;0,IF($O252="",1/0,$O252*$B$6),0),""))</f>
        <v/>
      </c>
      <c r="R252" s="17" t="s">
        <v>47</v>
      </c>
      <c r="S252" s="18" t="str">
        <f aca="false">IF($Q252="","",IF($R252="Y",IFERROR(VLOOKUP($B252,$C$4:$D$13,2,FALSE()),0),0))</f>
        <v/>
      </c>
      <c r="T252" s="17" t="str">
        <f aca="false">IF($Q252="","",ROUNDDOWN($Q252*$S252,0))</f>
        <v/>
      </c>
      <c r="U252" s="17" t="str">
        <f aca="false">IF($Q252="","",$Q252-$T252)</f>
        <v/>
      </c>
      <c r="V252" s="17" t="str">
        <f aca="false">IF($U252="","",IF($B$10=0,"",$U252/$B$10))</f>
        <v/>
      </c>
      <c r="W252" s="17" t="str">
        <f aca="false">IF($Q252="","",IF($B$10=0,"",$Q252/$B$10))</f>
        <v/>
      </c>
      <c r="X252" s="19" t="n">
        <f aca="false">IF($U252="",1000000000000000,$U252)</f>
        <v>1000000000000000</v>
      </c>
      <c r="XFC252" s="6"/>
    </row>
    <row r="253" s="5" customFormat="true" ht="28.5" hidden="false" customHeight="true" outlineLevel="0" collapsed="false">
      <c r="A253" s="16" t="str">
        <f aca="false">IF($U253="","",1+COUNTIF($X$15:$X$728,"&lt;"&amp;X253))</f>
        <v/>
      </c>
      <c r="B253" s="16" t="s">
        <v>8</v>
      </c>
      <c r="C253" s="16" t="s">
        <v>466</v>
      </c>
      <c r="D253" s="20" t="s">
        <v>108</v>
      </c>
      <c r="E253" s="16" t="s">
        <v>47</v>
      </c>
      <c r="F253" s="16" t="s">
        <v>770</v>
      </c>
      <c r="G253" s="16" t="s">
        <v>771</v>
      </c>
      <c r="H253" s="17" t="n">
        <v>1892</v>
      </c>
      <c r="I253" s="17"/>
      <c r="J253" s="17"/>
      <c r="K253" s="17" t="n">
        <v>1925</v>
      </c>
      <c r="L253" s="17" t="n">
        <f aca="false">IF(AND(IFERROR(SEARCH("현대오일뱅크",$C253),0)&gt;0,IFERROR(SEARCH("직영",$C253),0)&gt;0),$B$13,0)</f>
        <v>0</v>
      </c>
      <c r="M253" s="17" t="n">
        <f aca="false">IF($H253="","",$H253+$L253)</f>
        <v>1892</v>
      </c>
      <c r="N253" s="17" t="str">
        <f aca="false">IF($I253="","",$I253+$L253)</f>
        <v/>
      </c>
      <c r="O253" s="17" t="n">
        <f aca="false">IF($K253="","",$K253+$L253)</f>
        <v>1925</v>
      </c>
      <c r="P253" s="17" t="str">
        <f aca="false">IF($B$10=0,"",IFERROR(IF($B$4&gt;0,"휘발유 "&amp;TEXT(IF($M253="",1/0,$M253*$B$4),"#,##0")&amp;"원","")&amp;IF($B$5&gt;0,IF($B$4&gt;0," / ","")&amp;"고급유 "&amp;TEXT(IF($N253="",1/0,$N253*$B$5),"#,##0")&amp;"원","")&amp;IF($B$6&gt;0,IF(OR($B$4&gt;0,$B$5&gt;0)," / ","")&amp;"경유 "&amp;TEXT(IF($O253="",1/0,$O253*$B$6),"#,##0")&amp;"원",""),""))</f>
        <v/>
      </c>
      <c r="Q253" s="17" t="str">
        <f aca="false">IF($B$10=0,"",IFERROR(IF($B$4&gt;0,IF($M253="",1/0,$M253*$B$4),0)+IF($B$5&gt;0,IF($N253="",1/0,$N253*$B$5),0)+IF($B$6&gt;0,IF($O253="",1/0,$O253*$B$6),0),""))</f>
        <v/>
      </c>
      <c r="R253" s="17" t="s">
        <v>47</v>
      </c>
      <c r="S253" s="18" t="str">
        <f aca="false">IF($Q253="","",IF($R253="Y",IFERROR(VLOOKUP($B253,$C$4:$D$13,2,FALSE()),0),0))</f>
        <v/>
      </c>
      <c r="T253" s="17" t="str">
        <f aca="false">IF($Q253="","",ROUNDDOWN($Q253*$S253,0))</f>
        <v/>
      </c>
      <c r="U253" s="17" t="str">
        <f aca="false">IF($Q253="","",$Q253-$T253)</f>
        <v/>
      </c>
      <c r="V253" s="17" t="str">
        <f aca="false">IF($U253="","",IF($B$10=0,"",$U253/$B$10))</f>
        <v/>
      </c>
      <c r="W253" s="17" t="str">
        <f aca="false">IF($Q253="","",IF($B$10=0,"",$Q253/$B$10))</f>
        <v/>
      </c>
      <c r="X253" s="19" t="n">
        <f aca="false">IF($U253="",1000000000000000,$U253)</f>
        <v>1000000000000000</v>
      </c>
      <c r="XFC253" s="6"/>
    </row>
    <row r="254" s="5" customFormat="true" ht="28.5" hidden="false" customHeight="true" outlineLevel="0" collapsed="false">
      <c r="A254" s="16" t="str">
        <f aca="false">IF($U254="","",1+COUNTIF($X$15:$X$728,"&lt;"&amp;X254))</f>
        <v/>
      </c>
      <c r="B254" s="16" t="s">
        <v>16</v>
      </c>
      <c r="C254" s="16" t="s">
        <v>772</v>
      </c>
      <c r="D254" s="20" t="s">
        <v>108</v>
      </c>
      <c r="E254" s="16" t="s">
        <v>59</v>
      </c>
      <c r="F254" s="16" t="s">
        <v>773</v>
      </c>
      <c r="G254" s="16" t="s">
        <v>774</v>
      </c>
      <c r="H254" s="17" t="n">
        <v>1937</v>
      </c>
      <c r="I254" s="17"/>
      <c r="J254" s="17"/>
      <c r="K254" s="17" t="n">
        <v>1957</v>
      </c>
      <c r="L254" s="17" t="n">
        <f aca="false">IF(AND(IFERROR(SEARCH("현대오일뱅크",$C254),0)&gt;0,IFERROR(SEARCH("직영",$C254),0)&gt;0),$B$13,0)</f>
        <v>0</v>
      </c>
      <c r="M254" s="17" t="n">
        <f aca="false">IF($H254="","",$H254+$L254)</f>
        <v>1937</v>
      </c>
      <c r="N254" s="17" t="str">
        <f aca="false">IF($I254="","",$I254+$L254)</f>
        <v/>
      </c>
      <c r="O254" s="17" t="n">
        <f aca="false">IF($K254="","",$K254+$L254)</f>
        <v>1957</v>
      </c>
      <c r="P254" s="17" t="str">
        <f aca="false">IF($B$10=0,"",IFERROR(IF($B$4&gt;0,"휘발유 "&amp;TEXT(IF($M254="",1/0,$M254*$B$4),"#,##0")&amp;"원","")&amp;IF($B$5&gt;0,IF($B$4&gt;0," / ","")&amp;"고급유 "&amp;TEXT(IF($N254="",1/0,$N254*$B$5),"#,##0")&amp;"원","")&amp;IF($B$6&gt;0,IF(OR($B$4&gt;0,$B$5&gt;0)," / ","")&amp;"경유 "&amp;TEXT(IF($O254="",1/0,$O254*$B$6),"#,##0")&amp;"원",""),""))</f>
        <v/>
      </c>
      <c r="Q254" s="17" t="str">
        <f aca="false">IF($B$10=0,"",IFERROR(IF($B$4&gt;0,IF($M254="",1/0,$M254*$B$4),0)+IF($B$5&gt;0,IF($N254="",1/0,$N254*$B$5),0)+IF($B$6&gt;0,IF($O254="",1/0,$O254*$B$6),0),""))</f>
        <v/>
      </c>
      <c r="R254" s="17" t="s">
        <v>47</v>
      </c>
      <c r="S254" s="18" t="str">
        <f aca="false">IF($Q254="","",IF($R254="Y",IFERROR(VLOOKUP($B254,$C$4:$D$13,2,FALSE()),0),0))</f>
        <v/>
      </c>
      <c r="T254" s="17" t="str">
        <f aca="false">IF($Q254="","",ROUNDDOWN($Q254*$S254,0))</f>
        <v/>
      </c>
      <c r="U254" s="17" t="str">
        <f aca="false">IF($Q254="","",$Q254-$T254)</f>
        <v/>
      </c>
      <c r="V254" s="17" t="str">
        <f aca="false">IF($U254="","",IF($B$10=0,"",$U254/$B$10))</f>
        <v/>
      </c>
      <c r="W254" s="17" t="str">
        <f aca="false">IF($Q254="","",IF($B$10=0,"",$Q254/$B$10))</f>
        <v/>
      </c>
      <c r="X254" s="19" t="n">
        <f aca="false">IF($U254="",1000000000000000,$U254)</f>
        <v>1000000000000000</v>
      </c>
      <c r="XFC254" s="6"/>
    </row>
    <row r="255" s="5" customFormat="true" ht="28.5" hidden="false" customHeight="true" outlineLevel="0" collapsed="false">
      <c r="A255" s="16" t="str">
        <f aca="false">IF($U255="","",1+COUNTIF($X$15:$X$728,"&lt;"&amp;X255))</f>
        <v/>
      </c>
      <c r="B255" s="16" t="s">
        <v>6</v>
      </c>
      <c r="C255" s="16" t="s">
        <v>775</v>
      </c>
      <c r="D255" s="20" t="s">
        <v>108</v>
      </c>
      <c r="E255" s="16" t="s">
        <v>47</v>
      </c>
      <c r="F255" s="16" t="s">
        <v>776</v>
      </c>
      <c r="G255" s="16" t="s">
        <v>777</v>
      </c>
      <c r="H255" s="17" t="n">
        <v>1894</v>
      </c>
      <c r="I255" s="17"/>
      <c r="J255" s="17"/>
      <c r="K255" s="17" t="n">
        <v>1894</v>
      </c>
      <c r="L255" s="17" t="n">
        <f aca="false">IF(AND(IFERROR(SEARCH("현대오일뱅크",$C255),0)&gt;0,IFERROR(SEARCH("직영",$C255),0)&gt;0),$B$13,0)</f>
        <v>0</v>
      </c>
      <c r="M255" s="17" t="n">
        <f aca="false">IF($H255="","",$H255+$L255)</f>
        <v>1894</v>
      </c>
      <c r="N255" s="17" t="str">
        <f aca="false">IF($I255="","",$I255+$L255)</f>
        <v/>
      </c>
      <c r="O255" s="17" t="n">
        <f aca="false">IF($K255="","",$K255+$L255)</f>
        <v>1894</v>
      </c>
      <c r="P255" s="17" t="str">
        <f aca="false">IF($B$10=0,"",IFERROR(IF($B$4&gt;0,"휘발유 "&amp;TEXT(IF($M255="",1/0,$M255*$B$4),"#,##0")&amp;"원","")&amp;IF($B$5&gt;0,IF($B$4&gt;0," / ","")&amp;"고급유 "&amp;TEXT(IF($N255="",1/0,$N255*$B$5),"#,##0")&amp;"원","")&amp;IF($B$6&gt;0,IF(OR($B$4&gt;0,$B$5&gt;0)," / ","")&amp;"경유 "&amp;TEXT(IF($O255="",1/0,$O255*$B$6),"#,##0")&amp;"원",""),""))</f>
        <v/>
      </c>
      <c r="Q255" s="17" t="str">
        <f aca="false">IF($B$10=0,"",IFERROR(IF($B$4&gt;0,IF($M255="",1/0,$M255*$B$4),0)+IF($B$5&gt;0,IF($N255="",1/0,$N255*$B$5),0)+IF($B$6&gt;0,IF($O255="",1/0,$O255*$B$6),0),""))</f>
        <v/>
      </c>
      <c r="R255" s="17" t="s">
        <v>47</v>
      </c>
      <c r="S255" s="18" t="str">
        <f aca="false">IF($Q255="","",IF($R255="Y",IFERROR(VLOOKUP($B255,$C$4:$D$13,2,FALSE()),0),0))</f>
        <v/>
      </c>
      <c r="T255" s="17" t="str">
        <f aca="false">IF($Q255="","",ROUNDDOWN($Q255*$S255,0))</f>
        <v/>
      </c>
      <c r="U255" s="17" t="str">
        <f aca="false">IF($Q255="","",$Q255-$T255)</f>
        <v/>
      </c>
      <c r="V255" s="17" t="str">
        <f aca="false">IF($U255="","",IF($B$10=0,"",$U255/$B$10))</f>
        <v/>
      </c>
      <c r="W255" s="17" t="str">
        <f aca="false">IF($Q255="","",IF($B$10=0,"",$Q255/$B$10))</f>
        <v/>
      </c>
      <c r="X255" s="19" t="n">
        <f aca="false">IF($U255="",1000000000000000,$U255)</f>
        <v>1000000000000000</v>
      </c>
      <c r="XFC255" s="6"/>
    </row>
    <row r="256" s="5" customFormat="true" ht="28.5" hidden="false" customHeight="true" outlineLevel="0" collapsed="false">
      <c r="A256" s="16" t="str">
        <f aca="false">IF($U256="","",1+COUNTIF($X$15:$X$728,"&lt;"&amp;X256))</f>
        <v/>
      </c>
      <c r="B256" s="16" t="s">
        <v>6</v>
      </c>
      <c r="C256" s="16" t="s">
        <v>778</v>
      </c>
      <c r="D256" s="16" t="s">
        <v>112</v>
      </c>
      <c r="E256" s="16" t="s">
        <v>47</v>
      </c>
      <c r="F256" s="16" t="s">
        <v>779</v>
      </c>
      <c r="G256" s="16" t="s">
        <v>780</v>
      </c>
      <c r="H256" s="17" t="n">
        <v>1894</v>
      </c>
      <c r="I256" s="17"/>
      <c r="J256" s="17"/>
      <c r="K256" s="17" t="n">
        <v>1894</v>
      </c>
      <c r="L256" s="17" t="n">
        <f aca="false">IF(AND(IFERROR(SEARCH("현대오일뱅크",$C256),0)&gt;0,IFERROR(SEARCH("직영",$C256),0)&gt;0),$B$13,0)</f>
        <v>0</v>
      </c>
      <c r="M256" s="17" t="n">
        <f aca="false">IF($H256="","",$H256+$L256)</f>
        <v>1894</v>
      </c>
      <c r="N256" s="17" t="str">
        <f aca="false">IF($I256="","",$I256+$L256)</f>
        <v/>
      </c>
      <c r="O256" s="17" t="n">
        <f aca="false">IF($K256="","",$K256+$L256)</f>
        <v>1894</v>
      </c>
      <c r="P256" s="17" t="str">
        <f aca="false">IF($B$10=0,"",IFERROR(IF($B$4&gt;0,"휘발유 "&amp;TEXT(IF($M256="",1/0,$M256*$B$4),"#,##0")&amp;"원","")&amp;IF($B$5&gt;0,IF($B$4&gt;0," / ","")&amp;"고급유 "&amp;TEXT(IF($N256="",1/0,$N256*$B$5),"#,##0")&amp;"원","")&amp;IF($B$6&gt;0,IF(OR($B$4&gt;0,$B$5&gt;0)," / ","")&amp;"경유 "&amp;TEXT(IF($O256="",1/0,$O256*$B$6),"#,##0")&amp;"원",""),""))</f>
        <v/>
      </c>
      <c r="Q256" s="17" t="str">
        <f aca="false">IF($B$10=0,"",IFERROR(IF($B$4&gt;0,IF($M256="",1/0,$M256*$B$4),0)+IF($B$5&gt;0,IF($N256="",1/0,$N256*$B$5),0)+IF($B$6&gt;0,IF($O256="",1/0,$O256*$B$6),0),""))</f>
        <v/>
      </c>
      <c r="R256" s="17" t="s">
        <v>47</v>
      </c>
      <c r="S256" s="18" t="str">
        <f aca="false">IF($Q256="","",IF($R256="Y",IFERROR(VLOOKUP($B256,$C$4:$D$13,2,FALSE()),0),0))</f>
        <v/>
      </c>
      <c r="T256" s="17" t="str">
        <f aca="false">IF($Q256="","",ROUNDDOWN($Q256*$S256,0))</f>
        <v/>
      </c>
      <c r="U256" s="17" t="str">
        <f aca="false">IF($Q256="","",$Q256-$T256)</f>
        <v/>
      </c>
      <c r="V256" s="17" t="str">
        <f aca="false">IF($U256="","",IF($B$10=0,"",$U256/$B$10))</f>
        <v/>
      </c>
      <c r="W256" s="17" t="str">
        <f aca="false">IF($Q256="","",IF($B$10=0,"",$Q256/$B$10))</f>
        <v/>
      </c>
      <c r="X256" s="19" t="n">
        <f aca="false">IF($U256="",1000000000000000,$U256)</f>
        <v>1000000000000000</v>
      </c>
      <c r="XFC256" s="6"/>
    </row>
    <row r="257" s="5" customFormat="true" ht="28.5" hidden="false" customHeight="true" outlineLevel="0" collapsed="false">
      <c r="A257" s="16" t="str">
        <f aca="false">IF($U257="","",1+COUNTIF($X$15:$X$728,"&lt;"&amp;X257))</f>
        <v/>
      </c>
      <c r="B257" s="16" t="s">
        <v>6</v>
      </c>
      <c r="C257" s="16" t="s">
        <v>781</v>
      </c>
      <c r="D257" s="16" t="s">
        <v>51</v>
      </c>
      <c r="E257" s="16" t="s">
        <v>47</v>
      </c>
      <c r="F257" s="16" t="s">
        <v>782</v>
      </c>
      <c r="G257" s="16" t="s">
        <v>783</v>
      </c>
      <c r="H257" s="17" t="n">
        <v>1895</v>
      </c>
      <c r="I257" s="17"/>
      <c r="J257" s="17"/>
      <c r="K257" s="17" t="n">
        <v>1895</v>
      </c>
      <c r="L257" s="17" t="n">
        <f aca="false">IF(AND(IFERROR(SEARCH("현대오일뱅크",$C257),0)&gt;0,IFERROR(SEARCH("직영",$C257),0)&gt;0),$B$13,0)</f>
        <v>0</v>
      </c>
      <c r="M257" s="17" t="n">
        <f aca="false">IF($H257="","",$H257+$L257)</f>
        <v>1895</v>
      </c>
      <c r="N257" s="17" t="str">
        <f aca="false">IF($I257="","",$I257+$L257)</f>
        <v/>
      </c>
      <c r="O257" s="17" t="n">
        <f aca="false">IF($K257="","",$K257+$L257)</f>
        <v>1895</v>
      </c>
      <c r="P257" s="17" t="str">
        <f aca="false">IF($B$10=0,"",IFERROR(IF($B$4&gt;0,"휘발유 "&amp;TEXT(IF($M257="",1/0,$M257*$B$4),"#,##0")&amp;"원","")&amp;IF($B$5&gt;0,IF($B$4&gt;0," / ","")&amp;"고급유 "&amp;TEXT(IF($N257="",1/0,$N257*$B$5),"#,##0")&amp;"원","")&amp;IF($B$6&gt;0,IF(OR($B$4&gt;0,$B$5&gt;0)," / ","")&amp;"경유 "&amp;TEXT(IF($O257="",1/0,$O257*$B$6),"#,##0")&amp;"원",""),""))</f>
        <v/>
      </c>
      <c r="Q257" s="17" t="str">
        <f aca="false">IF($B$10=0,"",IFERROR(IF($B$4&gt;0,IF($M257="",1/0,$M257*$B$4),0)+IF($B$5&gt;0,IF($N257="",1/0,$N257*$B$5),0)+IF($B$6&gt;0,IF($O257="",1/0,$O257*$B$6),0),""))</f>
        <v/>
      </c>
      <c r="R257" s="17" t="s">
        <v>47</v>
      </c>
      <c r="S257" s="18" t="str">
        <f aca="false">IF($Q257="","",IF($R257="Y",IFERROR(VLOOKUP($B257,$C$4:$D$13,2,FALSE()),0),0))</f>
        <v/>
      </c>
      <c r="T257" s="17" t="str">
        <f aca="false">IF($Q257="","",ROUNDDOWN($Q257*$S257,0))</f>
        <v/>
      </c>
      <c r="U257" s="17" t="str">
        <f aca="false">IF($Q257="","",$Q257-$T257)</f>
        <v/>
      </c>
      <c r="V257" s="17" t="str">
        <f aca="false">IF($U257="","",IF($B$10=0,"",$U257/$B$10))</f>
        <v/>
      </c>
      <c r="W257" s="17" t="str">
        <f aca="false">IF($Q257="","",IF($B$10=0,"",$Q257/$B$10))</f>
        <v/>
      </c>
      <c r="X257" s="19" t="n">
        <f aca="false">IF($U257="",1000000000000000,$U257)</f>
        <v>1000000000000000</v>
      </c>
      <c r="XFC257" s="6"/>
    </row>
    <row r="258" s="5" customFormat="true" ht="28.5" hidden="false" customHeight="true" outlineLevel="0" collapsed="false">
      <c r="A258" s="16" t="str">
        <f aca="false">IF($U258="","",1+COUNTIF($X$15:$X$728,"&lt;"&amp;X258))</f>
        <v/>
      </c>
      <c r="B258" s="16" t="s">
        <v>10</v>
      </c>
      <c r="C258" s="16" t="s">
        <v>692</v>
      </c>
      <c r="D258" s="20" t="s">
        <v>108</v>
      </c>
      <c r="E258" s="16" t="s">
        <v>47</v>
      </c>
      <c r="F258" s="16" t="s">
        <v>784</v>
      </c>
      <c r="G258" s="16" t="s">
        <v>785</v>
      </c>
      <c r="H258" s="17" t="n">
        <v>1895</v>
      </c>
      <c r="I258" s="17"/>
      <c r="J258" s="17"/>
      <c r="K258" s="17" t="n">
        <v>1955</v>
      </c>
      <c r="L258" s="17" t="n">
        <f aca="false">IF(AND(IFERROR(SEARCH("현대오일뱅크",$C258),0)&gt;0,IFERROR(SEARCH("직영",$C258),0)&gt;0),$B$13,0)</f>
        <v>0</v>
      </c>
      <c r="M258" s="17" t="n">
        <f aca="false">IF($H258="","",$H258+$L258)</f>
        <v>1895</v>
      </c>
      <c r="N258" s="17" t="str">
        <f aca="false">IF($I258="","",$I258+$L258)</f>
        <v/>
      </c>
      <c r="O258" s="17" t="n">
        <f aca="false">IF($K258="","",$K258+$L258)</f>
        <v>1955</v>
      </c>
      <c r="P258" s="17" t="str">
        <f aca="false">IF($B$10=0,"",IFERROR(IF($B$4&gt;0,"휘발유 "&amp;TEXT(IF($M258="",1/0,$M258*$B$4),"#,##0")&amp;"원","")&amp;IF($B$5&gt;0,IF($B$4&gt;0," / ","")&amp;"고급유 "&amp;TEXT(IF($N258="",1/0,$N258*$B$5),"#,##0")&amp;"원","")&amp;IF($B$6&gt;0,IF(OR($B$4&gt;0,$B$5&gt;0)," / ","")&amp;"경유 "&amp;TEXT(IF($O258="",1/0,$O258*$B$6),"#,##0")&amp;"원",""),""))</f>
        <v/>
      </c>
      <c r="Q258" s="17" t="str">
        <f aca="false">IF($B$10=0,"",IFERROR(IF($B$4&gt;0,IF($M258="",1/0,$M258*$B$4),0)+IF($B$5&gt;0,IF($N258="",1/0,$N258*$B$5),0)+IF($B$6&gt;0,IF($O258="",1/0,$O258*$B$6),0),""))</f>
        <v/>
      </c>
      <c r="R258" s="17" t="s">
        <v>47</v>
      </c>
      <c r="S258" s="18" t="str">
        <f aca="false">IF($Q258="","",IF($R258="Y",IFERROR(VLOOKUP($B258,$C$4:$D$13,2,FALSE()),0),0))</f>
        <v/>
      </c>
      <c r="T258" s="17" t="str">
        <f aca="false">IF($Q258="","",ROUNDDOWN($Q258*$S258,0))</f>
        <v/>
      </c>
      <c r="U258" s="17" t="str">
        <f aca="false">IF($Q258="","",$Q258-$T258)</f>
        <v/>
      </c>
      <c r="V258" s="17" t="str">
        <f aca="false">IF($U258="","",IF($B$10=0,"",$U258/$B$10))</f>
        <v/>
      </c>
      <c r="W258" s="17" t="str">
        <f aca="false">IF($Q258="","",IF($B$10=0,"",$Q258/$B$10))</f>
        <v/>
      </c>
      <c r="X258" s="19" t="n">
        <f aca="false">IF($U258="",1000000000000000,$U258)</f>
        <v>1000000000000000</v>
      </c>
      <c r="XFC258" s="6"/>
    </row>
    <row r="259" s="5" customFormat="true" ht="28.5" hidden="false" customHeight="true" outlineLevel="0" collapsed="false">
      <c r="A259" s="16" t="str">
        <f aca="false">IF($U259="","",1+COUNTIF($X$15:$X$728,"&lt;"&amp;X259))</f>
        <v/>
      </c>
      <c r="B259" s="16" t="s">
        <v>6</v>
      </c>
      <c r="C259" s="16" t="s">
        <v>160</v>
      </c>
      <c r="D259" s="16" t="s">
        <v>46</v>
      </c>
      <c r="E259" s="16" t="s">
        <v>47</v>
      </c>
      <c r="F259" s="16" t="s">
        <v>786</v>
      </c>
      <c r="G259" s="16" t="s">
        <v>787</v>
      </c>
      <c r="H259" s="17" t="n">
        <v>1895</v>
      </c>
      <c r="I259" s="17"/>
      <c r="J259" s="17"/>
      <c r="K259" s="17" t="n">
        <v>1895</v>
      </c>
      <c r="L259" s="17" t="n">
        <f aca="false">IF(AND(IFERROR(SEARCH("현대오일뱅크",$C259),0)&gt;0,IFERROR(SEARCH("직영",$C259),0)&gt;0),$B$13,0)</f>
        <v>0</v>
      </c>
      <c r="M259" s="17" t="n">
        <f aca="false">IF($H259="","",$H259+$L259)</f>
        <v>1895</v>
      </c>
      <c r="N259" s="17" t="str">
        <f aca="false">IF($I259="","",$I259+$L259)</f>
        <v/>
      </c>
      <c r="O259" s="17" t="n">
        <f aca="false">IF($K259="","",$K259+$L259)</f>
        <v>1895</v>
      </c>
      <c r="P259" s="17" t="str">
        <f aca="false">IF($B$10=0,"",IFERROR(IF($B$4&gt;0,"휘발유 "&amp;TEXT(IF($M259="",1/0,$M259*$B$4),"#,##0")&amp;"원","")&amp;IF($B$5&gt;0,IF($B$4&gt;0," / ","")&amp;"고급유 "&amp;TEXT(IF($N259="",1/0,$N259*$B$5),"#,##0")&amp;"원","")&amp;IF($B$6&gt;0,IF(OR($B$4&gt;0,$B$5&gt;0)," / ","")&amp;"경유 "&amp;TEXT(IF($O259="",1/0,$O259*$B$6),"#,##0")&amp;"원",""),""))</f>
        <v/>
      </c>
      <c r="Q259" s="17" t="str">
        <f aca="false">IF($B$10=0,"",IFERROR(IF($B$4&gt;0,IF($M259="",1/0,$M259*$B$4),0)+IF($B$5&gt;0,IF($N259="",1/0,$N259*$B$5),0)+IF($B$6&gt;0,IF($O259="",1/0,$O259*$B$6),0),""))</f>
        <v/>
      </c>
      <c r="R259" s="17" t="s">
        <v>47</v>
      </c>
      <c r="S259" s="18" t="str">
        <f aca="false">IF($Q259="","",IF($R259="Y",IFERROR(VLOOKUP($B259,$C$4:$D$13,2,FALSE()),0),0))</f>
        <v/>
      </c>
      <c r="T259" s="17" t="str">
        <f aca="false">IF($Q259="","",ROUNDDOWN($Q259*$S259,0))</f>
        <v/>
      </c>
      <c r="U259" s="17" t="str">
        <f aca="false">IF($Q259="","",$Q259-$T259)</f>
        <v/>
      </c>
      <c r="V259" s="17" t="str">
        <f aca="false">IF($U259="","",IF($B$10=0,"",$U259/$B$10))</f>
        <v/>
      </c>
      <c r="W259" s="17" t="str">
        <f aca="false">IF($Q259="","",IF($B$10=0,"",$Q259/$B$10))</f>
        <v/>
      </c>
      <c r="X259" s="19" t="n">
        <f aca="false">IF($U259="",1000000000000000,$U259)</f>
        <v>1000000000000000</v>
      </c>
      <c r="XFC259" s="6"/>
    </row>
    <row r="260" s="5" customFormat="true" ht="28.5" hidden="false" customHeight="true" outlineLevel="0" collapsed="false">
      <c r="A260" s="16" t="str">
        <f aca="false">IF($U260="","",1+COUNTIF($X$15:$X$728,"&lt;"&amp;X260))</f>
        <v/>
      </c>
      <c r="B260" s="16" t="s">
        <v>6</v>
      </c>
      <c r="C260" s="16" t="s">
        <v>788</v>
      </c>
      <c r="D260" s="16" t="s">
        <v>46</v>
      </c>
      <c r="E260" s="16" t="s">
        <v>47</v>
      </c>
      <c r="F260" s="16" t="s">
        <v>789</v>
      </c>
      <c r="G260" s="16" t="s">
        <v>790</v>
      </c>
      <c r="H260" s="17" t="n">
        <v>1895</v>
      </c>
      <c r="I260" s="17"/>
      <c r="J260" s="17"/>
      <c r="K260" s="17" t="n">
        <v>1925</v>
      </c>
      <c r="L260" s="17" t="n">
        <f aca="false">IF(AND(IFERROR(SEARCH("현대오일뱅크",$C260),0)&gt;0,IFERROR(SEARCH("직영",$C260),0)&gt;0),$B$13,0)</f>
        <v>0</v>
      </c>
      <c r="M260" s="17" t="n">
        <f aca="false">IF($H260="","",$H260+$L260)</f>
        <v>1895</v>
      </c>
      <c r="N260" s="17" t="str">
        <f aca="false">IF($I260="","",$I260+$L260)</f>
        <v/>
      </c>
      <c r="O260" s="17" t="n">
        <f aca="false">IF($K260="","",$K260+$L260)</f>
        <v>1925</v>
      </c>
      <c r="P260" s="17" t="str">
        <f aca="false">IF($B$10=0,"",IFERROR(IF($B$4&gt;0,"휘발유 "&amp;TEXT(IF($M260="",1/0,$M260*$B$4),"#,##0")&amp;"원","")&amp;IF($B$5&gt;0,IF($B$4&gt;0," / ","")&amp;"고급유 "&amp;TEXT(IF($N260="",1/0,$N260*$B$5),"#,##0")&amp;"원","")&amp;IF($B$6&gt;0,IF(OR($B$4&gt;0,$B$5&gt;0)," / ","")&amp;"경유 "&amp;TEXT(IF($O260="",1/0,$O260*$B$6),"#,##0")&amp;"원",""),""))</f>
        <v/>
      </c>
      <c r="Q260" s="17" t="str">
        <f aca="false">IF($B$10=0,"",IFERROR(IF($B$4&gt;0,IF($M260="",1/0,$M260*$B$4),0)+IF($B$5&gt;0,IF($N260="",1/0,$N260*$B$5),0)+IF($B$6&gt;0,IF($O260="",1/0,$O260*$B$6),0),""))</f>
        <v/>
      </c>
      <c r="R260" s="17" t="s">
        <v>47</v>
      </c>
      <c r="S260" s="18" t="str">
        <f aca="false">IF($Q260="","",IF($R260="Y",IFERROR(VLOOKUP($B260,$C$4:$D$13,2,FALSE()),0),0))</f>
        <v/>
      </c>
      <c r="T260" s="17" t="str">
        <f aca="false">IF($Q260="","",ROUNDDOWN($Q260*$S260,0))</f>
        <v/>
      </c>
      <c r="U260" s="17" t="str">
        <f aca="false">IF($Q260="","",$Q260-$T260)</f>
        <v/>
      </c>
      <c r="V260" s="17" t="str">
        <f aca="false">IF($U260="","",IF($B$10=0,"",$U260/$B$10))</f>
        <v/>
      </c>
      <c r="W260" s="17" t="str">
        <f aca="false">IF($Q260="","",IF($B$10=0,"",$Q260/$B$10))</f>
        <v/>
      </c>
      <c r="X260" s="19" t="n">
        <f aca="false">IF($U260="",1000000000000000,$U260)</f>
        <v>1000000000000000</v>
      </c>
      <c r="XFC260" s="6"/>
    </row>
    <row r="261" s="5" customFormat="true" ht="28.5" hidden="false" customHeight="true" outlineLevel="0" collapsed="false">
      <c r="A261" s="16" t="str">
        <f aca="false">IF($U261="","",1+COUNTIF($X$15:$X$728,"&lt;"&amp;X261))</f>
        <v/>
      </c>
      <c r="B261" s="16" t="s">
        <v>10</v>
      </c>
      <c r="C261" s="16" t="s">
        <v>791</v>
      </c>
      <c r="D261" s="16" t="s">
        <v>58</v>
      </c>
      <c r="E261" s="16" t="s">
        <v>59</v>
      </c>
      <c r="F261" s="16" t="s">
        <v>792</v>
      </c>
      <c r="G261" s="16" t="s">
        <v>793</v>
      </c>
      <c r="H261" s="17" t="n">
        <v>1895</v>
      </c>
      <c r="I261" s="17"/>
      <c r="J261" s="17"/>
      <c r="K261" s="17" t="n">
        <v>1965</v>
      </c>
      <c r="L261" s="17" t="n">
        <f aca="false">IF(AND(IFERROR(SEARCH("현대오일뱅크",$C261),0)&gt;0,IFERROR(SEARCH("직영",$C261),0)&gt;0),$B$13,0)</f>
        <v>0</v>
      </c>
      <c r="M261" s="17" t="n">
        <f aca="false">IF($H261="","",$H261+$L261)</f>
        <v>1895</v>
      </c>
      <c r="N261" s="17" t="str">
        <f aca="false">IF($I261="","",$I261+$L261)</f>
        <v/>
      </c>
      <c r="O261" s="17" t="n">
        <f aca="false">IF($K261="","",$K261+$L261)</f>
        <v>1965</v>
      </c>
      <c r="P261" s="17" t="str">
        <f aca="false">IF($B$10=0,"",IFERROR(IF($B$4&gt;0,"휘발유 "&amp;TEXT(IF($M261="",1/0,$M261*$B$4),"#,##0")&amp;"원","")&amp;IF($B$5&gt;0,IF($B$4&gt;0," / ","")&amp;"고급유 "&amp;TEXT(IF($N261="",1/0,$N261*$B$5),"#,##0")&amp;"원","")&amp;IF($B$6&gt;0,IF(OR($B$4&gt;0,$B$5&gt;0)," / ","")&amp;"경유 "&amp;TEXT(IF($O261="",1/0,$O261*$B$6),"#,##0")&amp;"원",""),""))</f>
        <v/>
      </c>
      <c r="Q261" s="17" t="str">
        <f aca="false">IF($B$10=0,"",IFERROR(IF($B$4&gt;0,IF($M261="",1/0,$M261*$B$4),0)+IF($B$5&gt;0,IF($N261="",1/0,$N261*$B$5),0)+IF($B$6&gt;0,IF($O261="",1/0,$O261*$B$6),0),""))</f>
        <v/>
      </c>
      <c r="R261" s="17" t="s">
        <v>47</v>
      </c>
      <c r="S261" s="18" t="str">
        <f aca="false">IF($Q261="","",IF($R261="Y",IFERROR(VLOOKUP($B261,$C$4:$D$13,2,FALSE()),0),0))</f>
        <v/>
      </c>
      <c r="T261" s="17" t="str">
        <f aca="false">IF($Q261="","",ROUNDDOWN($Q261*$S261,0))</f>
        <v/>
      </c>
      <c r="U261" s="17" t="str">
        <f aca="false">IF($Q261="","",$Q261-$T261)</f>
        <v/>
      </c>
      <c r="V261" s="17" t="str">
        <f aca="false">IF($U261="","",IF($B$10=0,"",$U261/$B$10))</f>
        <v/>
      </c>
      <c r="W261" s="17" t="str">
        <f aca="false">IF($Q261="","",IF($B$10=0,"",$Q261/$B$10))</f>
        <v/>
      </c>
      <c r="X261" s="19" t="n">
        <f aca="false">IF($U261="",1000000000000000,$U261)</f>
        <v>1000000000000000</v>
      </c>
      <c r="XFC261" s="6"/>
    </row>
    <row r="262" s="5" customFormat="true" ht="28.5" hidden="false" customHeight="true" outlineLevel="0" collapsed="false">
      <c r="A262" s="16" t="str">
        <f aca="false">IF($U262="","",1+COUNTIF($X$15:$X$728,"&lt;"&amp;X262))</f>
        <v/>
      </c>
      <c r="B262" s="16" t="s">
        <v>8</v>
      </c>
      <c r="C262" s="16" t="s">
        <v>794</v>
      </c>
      <c r="D262" s="16" t="s">
        <v>112</v>
      </c>
      <c r="E262" s="16" t="s">
        <v>59</v>
      </c>
      <c r="F262" s="16" t="s">
        <v>795</v>
      </c>
      <c r="G262" s="16" t="s">
        <v>796</v>
      </c>
      <c r="H262" s="17" t="n">
        <v>1895</v>
      </c>
      <c r="I262" s="17"/>
      <c r="J262" s="17"/>
      <c r="K262" s="17" t="n">
        <v>1949</v>
      </c>
      <c r="L262" s="17" t="n">
        <f aca="false">IF(AND(IFERROR(SEARCH("현대오일뱅크",$C262),0)&gt;0,IFERROR(SEARCH("직영",$C262),0)&gt;0),$B$13,0)</f>
        <v>0</v>
      </c>
      <c r="M262" s="17" t="n">
        <f aca="false">IF($H262="","",$H262+$L262)</f>
        <v>1895</v>
      </c>
      <c r="N262" s="17" t="str">
        <f aca="false">IF($I262="","",$I262+$L262)</f>
        <v/>
      </c>
      <c r="O262" s="17" t="n">
        <f aca="false">IF($K262="","",$K262+$L262)</f>
        <v>1949</v>
      </c>
      <c r="P262" s="17" t="str">
        <f aca="false">IF($B$10=0,"",IFERROR(IF($B$4&gt;0,"휘발유 "&amp;TEXT(IF($M262="",1/0,$M262*$B$4),"#,##0")&amp;"원","")&amp;IF($B$5&gt;0,IF($B$4&gt;0," / ","")&amp;"고급유 "&amp;TEXT(IF($N262="",1/0,$N262*$B$5),"#,##0")&amp;"원","")&amp;IF($B$6&gt;0,IF(OR($B$4&gt;0,$B$5&gt;0)," / ","")&amp;"경유 "&amp;TEXT(IF($O262="",1/0,$O262*$B$6),"#,##0")&amp;"원",""),""))</f>
        <v/>
      </c>
      <c r="Q262" s="17" t="str">
        <f aca="false">IF($B$10=0,"",IFERROR(IF($B$4&gt;0,IF($M262="",1/0,$M262*$B$4),0)+IF($B$5&gt;0,IF($N262="",1/0,$N262*$B$5),0)+IF($B$6&gt;0,IF($O262="",1/0,$O262*$B$6),0),""))</f>
        <v/>
      </c>
      <c r="R262" s="17" t="s">
        <v>47</v>
      </c>
      <c r="S262" s="18" t="str">
        <f aca="false">IF($Q262="","",IF($R262="Y",IFERROR(VLOOKUP($B262,$C$4:$D$13,2,FALSE()),0),0))</f>
        <v/>
      </c>
      <c r="T262" s="17" t="str">
        <f aca="false">IF($Q262="","",ROUNDDOWN($Q262*$S262,0))</f>
        <v/>
      </c>
      <c r="U262" s="17" t="str">
        <f aca="false">IF($Q262="","",$Q262-$T262)</f>
        <v/>
      </c>
      <c r="V262" s="17" t="str">
        <f aca="false">IF($U262="","",IF($B$10=0,"",$U262/$B$10))</f>
        <v/>
      </c>
      <c r="W262" s="17" t="str">
        <f aca="false">IF($Q262="","",IF($B$10=0,"",$Q262/$B$10))</f>
        <v/>
      </c>
      <c r="X262" s="19" t="n">
        <f aca="false">IF($U262="",1000000000000000,$U262)</f>
        <v>1000000000000000</v>
      </c>
      <c r="XFC262" s="6"/>
    </row>
    <row r="263" s="5" customFormat="true" ht="28.5" hidden="false" customHeight="true" outlineLevel="0" collapsed="false">
      <c r="A263" s="16" t="str">
        <f aca="false">IF($U263="","",1+COUNTIF($X$15:$X$728,"&lt;"&amp;X263))</f>
        <v/>
      </c>
      <c r="B263" s="16" t="s">
        <v>10</v>
      </c>
      <c r="C263" s="16" t="s">
        <v>797</v>
      </c>
      <c r="D263" s="16" t="s">
        <v>112</v>
      </c>
      <c r="E263" s="16" t="s">
        <v>47</v>
      </c>
      <c r="F263" s="16" t="s">
        <v>798</v>
      </c>
      <c r="G263" s="16" t="s">
        <v>799</v>
      </c>
      <c r="H263" s="17" t="n">
        <v>1895</v>
      </c>
      <c r="I263" s="17"/>
      <c r="J263" s="17"/>
      <c r="K263" s="17" t="n">
        <v>1895</v>
      </c>
      <c r="L263" s="17" t="n">
        <f aca="false">IF(AND(IFERROR(SEARCH("현대오일뱅크",$C263),0)&gt;0,IFERROR(SEARCH("직영",$C263),0)&gt;0),$B$13,0)</f>
        <v>0</v>
      </c>
      <c r="M263" s="17" t="n">
        <f aca="false">IF($H263="","",$H263+$L263)</f>
        <v>1895</v>
      </c>
      <c r="N263" s="17" t="str">
        <f aca="false">IF($I263="","",$I263+$L263)</f>
        <v/>
      </c>
      <c r="O263" s="17" t="n">
        <f aca="false">IF($K263="","",$K263+$L263)</f>
        <v>1895</v>
      </c>
      <c r="P263" s="17" t="str">
        <f aca="false">IF($B$10=0,"",IFERROR(IF($B$4&gt;0,"휘발유 "&amp;TEXT(IF($M263="",1/0,$M263*$B$4),"#,##0")&amp;"원","")&amp;IF($B$5&gt;0,IF($B$4&gt;0," / ","")&amp;"고급유 "&amp;TEXT(IF($N263="",1/0,$N263*$B$5),"#,##0")&amp;"원","")&amp;IF($B$6&gt;0,IF(OR($B$4&gt;0,$B$5&gt;0)," / ","")&amp;"경유 "&amp;TEXT(IF($O263="",1/0,$O263*$B$6),"#,##0")&amp;"원",""),""))</f>
        <v/>
      </c>
      <c r="Q263" s="17" t="str">
        <f aca="false">IF($B$10=0,"",IFERROR(IF($B$4&gt;0,IF($M263="",1/0,$M263*$B$4),0)+IF($B$5&gt;0,IF($N263="",1/0,$N263*$B$5),0)+IF($B$6&gt;0,IF($O263="",1/0,$O263*$B$6),0),""))</f>
        <v/>
      </c>
      <c r="R263" s="17" t="s">
        <v>47</v>
      </c>
      <c r="S263" s="18" t="str">
        <f aca="false">IF($Q263="","",IF($R263="Y",IFERROR(VLOOKUP($B263,$C$4:$D$13,2,FALSE()),0),0))</f>
        <v/>
      </c>
      <c r="T263" s="17" t="str">
        <f aca="false">IF($Q263="","",ROUNDDOWN($Q263*$S263,0))</f>
        <v/>
      </c>
      <c r="U263" s="17" t="str">
        <f aca="false">IF($Q263="","",$Q263-$T263)</f>
        <v/>
      </c>
      <c r="V263" s="17" t="str">
        <f aca="false">IF($U263="","",IF($B$10=0,"",$U263/$B$10))</f>
        <v/>
      </c>
      <c r="W263" s="17" t="str">
        <f aca="false">IF($Q263="","",IF($B$10=0,"",$Q263/$B$10))</f>
        <v/>
      </c>
      <c r="X263" s="19" t="n">
        <f aca="false">IF($U263="",1000000000000000,$U263)</f>
        <v>1000000000000000</v>
      </c>
      <c r="XFC263" s="6"/>
    </row>
    <row r="264" s="5" customFormat="true" ht="28.5" hidden="false" customHeight="true" outlineLevel="0" collapsed="false">
      <c r="A264" s="16" t="str">
        <f aca="false">IF($U264="","",1+COUNTIF($X$15:$X$728,"&lt;"&amp;X264))</f>
        <v/>
      </c>
      <c r="B264" s="16" t="s">
        <v>8</v>
      </c>
      <c r="C264" s="16" t="s">
        <v>800</v>
      </c>
      <c r="D264" s="16" t="s">
        <v>112</v>
      </c>
      <c r="E264" s="16" t="s">
        <v>47</v>
      </c>
      <c r="F264" s="16" t="s">
        <v>801</v>
      </c>
      <c r="G264" s="16" t="s">
        <v>802</v>
      </c>
      <c r="H264" s="17" t="n">
        <v>1895</v>
      </c>
      <c r="I264" s="17"/>
      <c r="J264" s="17"/>
      <c r="K264" s="17" t="n">
        <v>1925</v>
      </c>
      <c r="L264" s="17" t="n">
        <f aca="false">IF(AND(IFERROR(SEARCH("현대오일뱅크",$C264),0)&gt;0,IFERROR(SEARCH("직영",$C264),0)&gt;0),$B$13,0)</f>
        <v>0</v>
      </c>
      <c r="M264" s="17" t="n">
        <f aca="false">IF($H264="","",$H264+$L264)</f>
        <v>1895</v>
      </c>
      <c r="N264" s="17" t="str">
        <f aca="false">IF($I264="","",$I264+$L264)</f>
        <v/>
      </c>
      <c r="O264" s="17" t="n">
        <f aca="false">IF($K264="","",$K264+$L264)</f>
        <v>1925</v>
      </c>
      <c r="P264" s="17" t="str">
        <f aca="false">IF($B$10=0,"",IFERROR(IF($B$4&gt;0,"휘발유 "&amp;TEXT(IF($M264="",1/0,$M264*$B$4),"#,##0")&amp;"원","")&amp;IF($B$5&gt;0,IF($B$4&gt;0," / ","")&amp;"고급유 "&amp;TEXT(IF($N264="",1/0,$N264*$B$5),"#,##0")&amp;"원","")&amp;IF($B$6&gt;0,IF(OR($B$4&gt;0,$B$5&gt;0)," / ","")&amp;"경유 "&amp;TEXT(IF($O264="",1/0,$O264*$B$6),"#,##0")&amp;"원",""),""))</f>
        <v/>
      </c>
      <c r="Q264" s="17" t="str">
        <f aca="false">IF($B$10=0,"",IFERROR(IF($B$4&gt;0,IF($M264="",1/0,$M264*$B$4),0)+IF($B$5&gt;0,IF($N264="",1/0,$N264*$B$5),0)+IF($B$6&gt;0,IF($O264="",1/0,$O264*$B$6),0),""))</f>
        <v/>
      </c>
      <c r="R264" s="17" t="s">
        <v>47</v>
      </c>
      <c r="S264" s="18" t="str">
        <f aca="false">IF($Q264="","",IF($R264="Y",IFERROR(VLOOKUP($B264,$C$4:$D$13,2,FALSE()),0),0))</f>
        <v/>
      </c>
      <c r="T264" s="17" t="str">
        <f aca="false">IF($Q264="","",ROUNDDOWN($Q264*$S264,0))</f>
        <v/>
      </c>
      <c r="U264" s="17" t="str">
        <f aca="false">IF($Q264="","",$Q264-$T264)</f>
        <v/>
      </c>
      <c r="V264" s="17" t="str">
        <f aca="false">IF($U264="","",IF($B$10=0,"",$U264/$B$10))</f>
        <v/>
      </c>
      <c r="W264" s="17" t="str">
        <f aca="false">IF($Q264="","",IF($B$10=0,"",$Q264/$B$10))</f>
        <v/>
      </c>
      <c r="X264" s="19" t="n">
        <f aca="false">IF($U264="",1000000000000000,$U264)</f>
        <v>1000000000000000</v>
      </c>
      <c r="XFC264" s="6"/>
    </row>
    <row r="265" s="5" customFormat="true" ht="28.5" hidden="false" customHeight="true" outlineLevel="0" collapsed="false">
      <c r="A265" s="16" t="str">
        <f aca="false">IF($U265="","",1+COUNTIF($X$15:$X$728,"&lt;"&amp;X265))</f>
        <v/>
      </c>
      <c r="B265" s="16" t="s">
        <v>16</v>
      </c>
      <c r="C265" s="16" t="s">
        <v>803</v>
      </c>
      <c r="D265" s="16" t="s">
        <v>51</v>
      </c>
      <c r="E265" s="16" t="s">
        <v>47</v>
      </c>
      <c r="F265" s="16" t="s">
        <v>804</v>
      </c>
      <c r="G265" s="16" t="s">
        <v>805</v>
      </c>
      <c r="H265" s="17" t="n">
        <v>1940</v>
      </c>
      <c r="I265" s="17"/>
      <c r="J265" s="17"/>
      <c r="K265" s="17" t="n">
        <v>1940</v>
      </c>
      <c r="L265" s="17" t="n">
        <f aca="false">IF(AND(IFERROR(SEARCH("현대오일뱅크",$C265),0)&gt;0,IFERROR(SEARCH("직영",$C265),0)&gt;0),$B$13,0)</f>
        <v>0</v>
      </c>
      <c r="M265" s="17" t="n">
        <f aca="false">IF($H265="","",$H265+$L265)</f>
        <v>1940</v>
      </c>
      <c r="N265" s="17" t="str">
        <f aca="false">IF($I265="","",$I265+$L265)</f>
        <v/>
      </c>
      <c r="O265" s="17" t="n">
        <f aca="false">IF($K265="","",$K265+$L265)</f>
        <v>1940</v>
      </c>
      <c r="P265" s="17" t="str">
        <f aca="false">IF($B$10=0,"",IFERROR(IF($B$4&gt;0,"휘발유 "&amp;TEXT(IF($M265="",1/0,$M265*$B$4),"#,##0")&amp;"원","")&amp;IF($B$5&gt;0,IF($B$4&gt;0," / ","")&amp;"고급유 "&amp;TEXT(IF($N265="",1/0,$N265*$B$5),"#,##0")&amp;"원","")&amp;IF($B$6&gt;0,IF(OR($B$4&gt;0,$B$5&gt;0)," / ","")&amp;"경유 "&amp;TEXT(IF($O265="",1/0,$O265*$B$6),"#,##0")&amp;"원",""),""))</f>
        <v/>
      </c>
      <c r="Q265" s="17" t="str">
        <f aca="false">IF($B$10=0,"",IFERROR(IF($B$4&gt;0,IF($M265="",1/0,$M265*$B$4),0)+IF($B$5&gt;0,IF($N265="",1/0,$N265*$B$5),0)+IF($B$6&gt;0,IF($O265="",1/0,$O265*$B$6),0),""))</f>
        <v/>
      </c>
      <c r="R265" s="17" t="s">
        <v>47</v>
      </c>
      <c r="S265" s="18" t="str">
        <f aca="false">IF($Q265="","",IF($R265="Y",IFERROR(VLOOKUP($B265,$C$4:$D$13,2,FALSE()),0),0))</f>
        <v/>
      </c>
      <c r="T265" s="17" t="str">
        <f aca="false">IF($Q265="","",ROUNDDOWN($Q265*$S265,0))</f>
        <v/>
      </c>
      <c r="U265" s="17" t="str">
        <f aca="false">IF($Q265="","",$Q265-$T265)</f>
        <v/>
      </c>
      <c r="V265" s="17" t="str">
        <f aca="false">IF($U265="","",IF($B$10=0,"",$U265/$B$10))</f>
        <v/>
      </c>
      <c r="W265" s="17" t="str">
        <f aca="false">IF($Q265="","",IF($B$10=0,"",$Q265/$B$10))</f>
        <v/>
      </c>
      <c r="X265" s="19" t="n">
        <f aca="false">IF($U265="",1000000000000000,$U265)</f>
        <v>1000000000000000</v>
      </c>
      <c r="XFC265" s="6"/>
    </row>
    <row r="266" s="5" customFormat="true" ht="28.5" hidden="false" customHeight="true" outlineLevel="0" collapsed="false">
      <c r="A266" s="16" t="str">
        <f aca="false">IF($U266="","",1+COUNTIF($X$15:$X$728,"&lt;"&amp;X266))</f>
        <v/>
      </c>
      <c r="B266" s="16" t="s">
        <v>14</v>
      </c>
      <c r="C266" s="16" t="s">
        <v>806</v>
      </c>
      <c r="D266" s="16" t="s">
        <v>58</v>
      </c>
      <c r="E266" s="16" t="s">
        <v>59</v>
      </c>
      <c r="F266" s="16" t="s">
        <v>807</v>
      </c>
      <c r="G266" s="16" t="s">
        <v>808</v>
      </c>
      <c r="H266" s="17" t="n">
        <v>1919</v>
      </c>
      <c r="I266" s="17"/>
      <c r="J266" s="17"/>
      <c r="K266" s="17" t="n">
        <v>1959</v>
      </c>
      <c r="L266" s="17" t="n">
        <f aca="false">IF(AND(IFERROR(SEARCH("현대오일뱅크",$C266),0)&gt;0,IFERROR(SEARCH("직영",$C266),0)&gt;0),$B$13,0)</f>
        <v>0</v>
      </c>
      <c r="M266" s="17" t="n">
        <f aca="false">IF($H266="","",$H266+$L266)</f>
        <v>1919</v>
      </c>
      <c r="N266" s="17" t="str">
        <f aca="false">IF($I266="","",$I266+$L266)</f>
        <v/>
      </c>
      <c r="O266" s="17" t="n">
        <f aca="false">IF($K266="","",$K266+$L266)</f>
        <v>1959</v>
      </c>
      <c r="P266" s="17" t="str">
        <f aca="false">IF($B$10=0,"",IFERROR(IF($B$4&gt;0,"휘발유 "&amp;TEXT(IF($M266="",1/0,$M266*$B$4),"#,##0")&amp;"원","")&amp;IF($B$5&gt;0,IF($B$4&gt;0," / ","")&amp;"고급유 "&amp;TEXT(IF($N266="",1/0,$N266*$B$5),"#,##0")&amp;"원","")&amp;IF($B$6&gt;0,IF(OR($B$4&gt;0,$B$5&gt;0)," / ","")&amp;"경유 "&amp;TEXT(IF($O266="",1/0,$O266*$B$6),"#,##0")&amp;"원",""),""))</f>
        <v/>
      </c>
      <c r="Q266" s="17" t="str">
        <f aca="false">IF($B$10=0,"",IFERROR(IF($B$4&gt;0,IF($M266="",1/0,$M266*$B$4),0)+IF($B$5&gt;0,IF($N266="",1/0,$N266*$B$5),0)+IF($B$6&gt;0,IF($O266="",1/0,$O266*$B$6),0),""))</f>
        <v/>
      </c>
      <c r="R266" s="17" t="s">
        <v>47</v>
      </c>
      <c r="S266" s="18" t="str">
        <f aca="false">IF($Q266="","",IF($R266="Y",IFERROR(VLOOKUP($B266,$C$4:$D$13,2,FALSE()),0),0))</f>
        <v/>
      </c>
      <c r="T266" s="17" t="str">
        <f aca="false">IF($Q266="","",ROUNDDOWN($Q266*$S266,0))</f>
        <v/>
      </c>
      <c r="U266" s="17" t="str">
        <f aca="false">IF($Q266="","",$Q266-$T266)</f>
        <v/>
      </c>
      <c r="V266" s="17" t="str">
        <f aca="false">IF($U266="","",IF($B$10=0,"",$U266/$B$10))</f>
        <v/>
      </c>
      <c r="W266" s="17" t="str">
        <f aca="false">IF($Q266="","",IF($B$10=0,"",$Q266/$B$10))</f>
        <v/>
      </c>
      <c r="X266" s="19" t="n">
        <f aca="false">IF($U266="",1000000000000000,$U266)</f>
        <v>1000000000000000</v>
      </c>
      <c r="XFC266" s="6"/>
    </row>
    <row r="267" s="5" customFormat="true" ht="28.5" hidden="false" customHeight="true" outlineLevel="0" collapsed="false">
      <c r="A267" s="16" t="str">
        <f aca="false">IF($U267="","",1+COUNTIF($X$15:$X$728,"&lt;"&amp;X267))</f>
        <v/>
      </c>
      <c r="B267" s="16" t="s">
        <v>10</v>
      </c>
      <c r="C267" s="16" t="s">
        <v>553</v>
      </c>
      <c r="D267" s="20" t="s">
        <v>108</v>
      </c>
      <c r="E267" s="16" t="s">
        <v>47</v>
      </c>
      <c r="F267" s="16" t="s">
        <v>809</v>
      </c>
      <c r="G267" s="16" t="s">
        <v>810</v>
      </c>
      <c r="H267" s="17" t="n">
        <v>1898</v>
      </c>
      <c r="I267" s="17"/>
      <c r="J267" s="17"/>
      <c r="K267" s="17" t="n">
        <v>1978</v>
      </c>
      <c r="L267" s="17" t="n">
        <f aca="false">IF(AND(IFERROR(SEARCH("현대오일뱅크",$C267),0)&gt;0,IFERROR(SEARCH("직영",$C267),0)&gt;0),$B$13,0)</f>
        <v>0</v>
      </c>
      <c r="M267" s="17" t="n">
        <f aca="false">IF($H267="","",$H267+$L267)</f>
        <v>1898</v>
      </c>
      <c r="N267" s="17" t="str">
        <f aca="false">IF($I267="","",$I267+$L267)</f>
        <v/>
      </c>
      <c r="O267" s="17" t="n">
        <f aca="false">IF($K267="","",$K267+$L267)</f>
        <v>1978</v>
      </c>
      <c r="P267" s="17" t="str">
        <f aca="false">IF($B$10=0,"",IFERROR(IF($B$4&gt;0,"휘발유 "&amp;TEXT(IF($M267="",1/0,$M267*$B$4),"#,##0")&amp;"원","")&amp;IF($B$5&gt;0,IF($B$4&gt;0," / ","")&amp;"고급유 "&amp;TEXT(IF($N267="",1/0,$N267*$B$5),"#,##0")&amp;"원","")&amp;IF($B$6&gt;0,IF(OR($B$4&gt;0,$B$5&gt;0)," / ","")&amp;"경유 "&amp;TEXT(IF($O267="",1/0,$O267*$B$6),"#,##0")&amp;"원",""),""))</f>
        <v/>
      </c>
      <c r="Q267" s="17" t="str">
        <f aca="false">IF($B$10=0,"",IFERROR(IF($B$4&gt;0,IF($M267="",1/0,$M267*$B$4),0)+IF($B$5&gt;0,IF($N267="",1/0,$N267*$B$5),0)+IF($B$6&gt;0,IF($O267="",1/0,$O267*$B$6),0),""))</f>
        <v/>
      </c>
      <c r="R267" s="17" t="s">
        <v>47</v>
      </c>
      <c r="S267" s="18" t="str">
        <f aca="false">IF($Q267="","",IF($R267="Y",IFERROR(VLOOKUP($B267,$C$4:$D$13,2,FALSE()),0),0))</f>
        <v/>
      </c>
      <c r="T267" s="17" t="str">
        <f aca="false">IF($Q267="","",ROUNDDOWN($Q267*$S267,0))</f>
        <v/>
      </c>
      <c r="U267" s="17" t="str">
        <f aca="false">IF($Q267="","",$Q267-$T267)</f>
        <v/>
      </c>
      <c r="V267" s="17" t="str">
        <f aca="false">IF($U267="","",IF($B$10=0,"",$U267/$B$10))</f>
        <v/>
      </c>
      <c r="W267" s="17" t="str">
        <f aca="false">IF($Q267="","",IF($B$10=0,"",$Q267/$B$10))</f>
        <v/>
      </c>
      <c r="X267" s="19" t="n">
        <f aca="false">IF($U267="",1000000000000000,$U267)</f>
        <v>1000000000000000</v>
      </c>
      <c r="XFC267" s="6"/>
    </row>
    <row r="268" s="5" customFormat="true" ht="28.5" hidden="false" customHeight="true" outlineLevel="0" collapsed="false">
      <c r="A268" s="16" t="str">
        <f aca="false">IF($U268="","",1+COUNTIF($X$15:$X$728,"&lt;"&amp;X268))</f>
        <v/>
      </c>
      <c r="B268" s="16" t="s">
        <v>10</v>
      </c>
      <c r="C268" s="16" t="s">
        <v>811</v>
      </c>
      <c r="D268" s="16" t="s">
        <v>708</v>
      </c>
      <c r="E268" s="16" t="s">
        <v>47</v>
      </c>
      <c r="F268" s="16" t="s">
        <v>812</v>
      </c>
      <c r="G268" s="16" t="s">
        <v>813</v>
      </c>
      <c r="H268" s="17" t="n">
        <v>1898</v>
      </c>
      <c r="I268" s="17"/>
      <c r="J268" s="17"/>
      <c r="K268" s="17" t="n">
        <v>1948</v>
      </c>
      <c r="L268" s="17" t="n">
        <f aca="false">IF(AND(IFERROR(SEARCH("현대오일뱅크",$C268),0)&gt;0,IFERROR(SEARCH("직영",$C268),0)&gt;0),$B$13,0)</f>
        <v>0</v>
      </c>
      <c r="M268" s="17" t="n">
        <f aca="false">IF($H268="","",$H268+$L268)</f>
        <v>1898</v>
      </c>
      <c r="N268" s="17" t="str">
        <f aca="false">IF($I268="","",$I268+$L268)</f>
        <v/>
      </c>
      <c r="O268" s="17" t="n">
        <f aca="false">IF($K268="","",$K268+$L268)</f>
        <v>1948</v>
      </c>
      <c r="P268" s="17" t="str">
        <f aca="false">IF($B$10=0,"",IFERROR(IF($B$4&gt;0,"휘발유 "&amp;TEXT(IF($M268="",1/0,$M268*$B$4),"#,##0")&amp;"원","")&amp;IF($B$5&gt;0,IF($B$4&gt;0," / ","")&amp;"고급유 "&amp;TEXT(IF($N268="",1/0,$N268*$B$5),"#,##0")&amp;"원","")&amp;IF($B$6&gt;0,IF(OR($B$4&gt;0,$B$5&gt;0)," / ","")&amp;"경유 "&amp;TEXT(IF($O268="",1/0,$O268*$B$6),"#,##0")&amp;"원",""),""))</f>
        <v/>
      </c>
      <c r="Q268" s="17" t="str">
        <f aca="false">IF($B$10=0,"",IFERROR(IF($B$4&gt;0,IF($M268="",1/0,$M268*$B$4),0)+IF($B$5&gt;0,IF($N268="",1/0,$N268*$B$5),0)+IF($B$6&gt;0,IF($O268="",1/0,$O268*$B$6),0),""))</f>
        <v/>
      </c>
      <c r="R268" s="17" t="s">
        <v>47</v>
      </c>
      <c r="S268" s="18" t="str">
        <f aca="false">IF($Q268="","",IF($R268="Y",IFERROR(VLOOKUP($B268,$C$4:$D$13,2,FALSE()),0),0))</f>
        <v/>
      </c>
      <c r="T268" s="17" t="str">
        <f aca="false">IF($Q268="","",ROUNDDOWN($Q268*$S268,0))</f>
        <v/>
      </c>
      <c r="U268" s="17" t="str">
        <f aca="false">IF($Q268="","",$Q268-$T268)</f>
        <v/>
      </c>
      <c r="V268" s="17" t="str">
        <f aca="false">IF($U268="","",IF($B$10=0,"",$U268/$B$10))</f>
        <v/>
      </c>
      <c r="W268" s="17" t="str">
        <f aca="false">IF($Q268="","",IF($B$10=0,"",$Q268/$B$10))</f>
        <v/>
      </c>
      <c r="X268" s="19" t="n">
        <f aca="false">IF($U268="",1000000000000000,$U268)</f>
        <v>1000000000000000</v>
      </c>
      <c r="XFC268" s="6"/>
    </row>
    <row r="269" s="5" customFormat="true" ht="28.5" hidden="false" customHeight="true" outlineLevel="0" collapsed="false">
      <c r="A269" s="16" t="str">
        <f aca="false">IF($U269="","",1+COUNTIF($X$15:$X$728,"&lt;"&amp;X269))</f>
        <v/>
      </c>
      <c r="B269" s="16" t="s">
        <v>10</v>
      </c>
      <c r="C269" s="16" t="s">
        <v>814</v>
      </c>
      <c r="D269" s="16" t="s">
        <v>112</v>
      </c>
      <c r="E269" s="16" t="s">
        <v>47</v>
      </c>
      <c r="F269" s="16" t="s">
        <v>815</v>
      </c>
      <c r="G269" s="16" t="s">
        <v>816</v>
      </c>
      <c r="H269" s="17" t="n">
        <v>1898</v>
      </c>
      <c r="I269" s="17"/>
      <c r="J269" s="17"/>
      <c r="K269" s="17" t="n">
        <v>1955</v>
      </c>
      <c r="L269" s="17" t="n">
        <f aca="false">IF(AND(IFERROR(SEARCH("현대오일뱅크",$C269),0)&gt;0,IFERROR(SEARCH("직영",$C269),0)&gt;0),$B$13,0)</f>
        <v>0</v>
      </c>
      <c r="M269" s="17" t="n">
        <f aca="false">IF($H269="","",$H269+$L269)</f>
        <v>1898</v>
      </c>
      <c r="N269" s="17" t="str">
        <f aca="false">IF($I269="","",$I269+$L269)</f>
        <v/>
      </c>
      <c r="O269" s="17" t="n">
        <f aca="false">IF($K269="","",$K269+$L269)</f>
        <v>1955</v>
      </c>
      <c r="P269" s="17" t="str">
        <f aca="false">IF($B$10=0,"",IFERROR(IF($B$4&gt;0,"휘발유 "&amp;TEXT(IF($M269="",1/0,$M269*$B$4),"#,##0")&amp;"원","")&amp;IF($B$5&gt;0,IF($B$4&gt;0," / ","")&amp;"고급유 "&amp;TEXT(IF($N269="",1/0,$N269*$B$5),"#,##0")&amp;"원","")&amp;IF($B$6&gt;0,IF(OR($B$4&gt;0,$B$5&gt;0)," / ","")&amp;"경유 "&amp;TEXT(IF($O269="",1/0,$O269*$B$6),"#,##0")&amp;"원",""),""))</f>
        <v/>
      </c>
      <c r="Q269" s="17" t="str">
        <f aca="false">IF($B$10=0,"",IFERROR(IF($B$4&gt;0,IF($M269="",1/0,$M269*$B$4),0)+IF($B$5&gt;0,IF($N269="",1/0,$N269*$B$5),0)+IF($B$6&gt;0,IF($O269="",1/0,$O269*$B$6),0),""))</f>
        <v/>
      </c>
      <c r="R269" s="17" t="s">
        <v>47</v>
      </c>
      <c r="S269" s="18" t="str">
        <f aca="false">IF($Q269="","",IF($R269="Y",IFERROR(VLOOKUP($B269,$C$4:$D$13,2,FALSE()),0),0))</f>
        <v/>
      </c>
      <c r="T269" s="17" t="str">
        <f aca="false">IF($Q269="","",ROUNDDOWN($Q269*$S269,0))</f>
        <v/>
      </c>
      <c r="U269" s="17" t="str">
        <f aca="false">IF($Q269="","",$Q269-$T269)</f>
        <v/>
      </c>
      <c r="V269" s="17" t="str">
        <f aca="false">IF($U269="","",IF($B$10=0,"",$U269/$B$10))</f>
        <v/>
      </c>
      <c r="W269" s="17" t="str">
        <f aca="false">IF($Q269="","",IF($B$10=0,"",$Q269/$B$10))</f>
        <v/>
      </c>
      <c r="X269" s="19" t="n">
        <f aca="false">IF($U269="",1000000000000000,$U269)</f>
        <v>1000000000000000</v>
      </c>
      <c r="XFC269" s="6"/>
    </row>
    <row r="270" s="5" customFormat="true" ht="28.5" hidden="false" customHeight="true" outlineLevel="0" collapsed="false">
      <c r="A270" s="16" t="str">
        <f aca="false">IF($U270="","",1+COUNTIF($X$15:$X$728,"&lt;"&amp;X270))</f>
        <v/>
      </c>
      <c r="B270" s="16" t="s">
        <v>10</v>
      </c>
      <c r="C270" s="16" t="s">
        <v>817</v>
      </c>
      <c r="D270" s="16" t="s">
        <v>112</v>
      </c>
      <c r="E270" s="16" t="s">
        <v>47</v>
      </c>
      <c r="F270" s="16" t="s">
        <v>818</v>
      </c>
      <c r="G270" s="16" t="s">
        <v>819</v>
      </c>
      <c r="H270" s="17" t="n">
        <v>1898</v>
      </c>
      <c r="I270" s="17"/>
      <c r="J270" s="17"/>
      <c r="K270" s="17" t="n">
        <v>1998</v>
      </c>
      <c r="L270" s="17" t="n">
        <f aca="false">IF(AND(IFERROR(SEARCH("현대오일뱅크",$C270),0)&gt;0,IFERROR(SEARCH("직영",$C270),0)&gt;0),$B$13,0)</f>
        <v>0</v>
      </c>
      <c r="M270" s="17" t="n">
        <f aca="false">IF($H270="","",$H270+$L270)</f>
        <v>1898</v>
      </c>
      <c r="N270" s="17" t="str">
        <f aca="false">IF($I270="","",$I270+$L270)</f>
        <v/>
      </c>
      <c r="O270" s="17" t="n">
        <f aca="false">IF($K270="","",$K270+$L270)</f>
        <v>1998</v>
      </c>
      <c r="P270" s="17" t="str">
        <f aca="false">IF($B$10=0,"",IFERROR(IF($B$4&gt;0,"휘발유 "&amp;TEXT(IF($M270="",1/0,$M270*$B$4),"#,##0")&amp;"원","")&amp;IF($B$5&gt;0,IF($B$4&gt;0," / ","")&amp;"고급유 "&amp;TEXT(IF($N270="",1/0,$N270*$B$5),"#,##0")&amp;"원","")&amp;IF($B$6&gt;0,IF(OR($B$4&gt;0,$B$5&gt;0)," / ","")&amp;"경유 "&amp;TEXT(IF($O270="",1/0,$O270*$B$6),"#,##0")&amp;"원",""),""))</f>
        <v/>
      </c>
      <c r="Q270" s="17" t="str">
        <f aca="false">IF($B$10=0,"",IFERROR(IF($B$4&gt;0,IF($M270="",1/0,$M270*$B$4),0)+IF($B$5&gt;0,IF($N270="",1/0,$N270*$B$5),0)+IF($B$6&gt;0,IF($O270="",1/0,$O270*$B$6),0),""))</f>
        <v/>
      </c>
      <c r="R270" s="17" t="s">
        <v>47</v>
      </c>
      <c r="S270" s="18" t="str">
        <f aca="false">IF($Q270="","",IF($R270="Y",IFERROR(VLOOKUP($B270,$C$4:$D$13,2,FALSE()),0),0))</f>
        <v/>
      </c>
      <c r="T270" s="17" t="str">
        <f aca="false">IF($Q270="","",ROUNDDOWN($Q270*$S270,0))</f>
        <v/>
      </c>
      <c r="U270" s="17" t="str">
        <f aca="false">IF($Q270="","",$Q270-$T270)</f>
        <v/>
      </c>
      <c r="V270" s="17" t="str">
        <f aca="false">IF($U270="","",IF($B$10=0,"",$U270/$B$10))</f>
        <v/>
      </c>
      <c r="W270" s="17" t="str">
        <f aca="false">IF($Q270="","",IF($B$10=0,"",$Q270/$B$10))</f>
        <v/>
      </c>
      <c r="X270" s="19" t="n">
        <f aca="false">IF($U270="",1000000000000000,$U270)</f>
        <v>1000000000000000</v>
      </c>
      <c r="XFC270" s="6"/>
    </row>
    <row r="271" s="5" customFormat="true" ht="28.5" hidden="false" customHeight="true" outlineLevel="0" collapsed="false">
      <c r="A271" s="16" t="str">
        <f aca="false">IF($U271="","",1+COUNTIF($X$15:$X$728,"&lt;"&amp;X271))</f>
        <v/>
      </c>
      <c r="B271" s="16" t="s">
        <v>10</v>
      </c>
      <c r="C271" s="16" t="s">
        <v>820</v>
      </c>
      <c r="D271" s="20" t="s">
        <v>108</v>
      </c>
      <c r="E271" s="16" t="s">
        <v>47</v>
      </c>
      <c r="F271" s="16" t="s">
        <v>821</v>
      </c>
      <c r="G271" s="16" t="s">
        <v>822</v>
      </c>
      <c r="H271" s="17" t="n">
        <v>1899</v>
      </c>
      <c r="I271" s="17"/>
      <c r="J271" s="17"/>
      <c r="K271" s="17" t="n">
        <v>1959</v>
      </c>
      <c r="L271" s="17" t="n">
        <f aca="false">IF(AND(IFERROR(SEARCH("현대오일뱅크",$C271),0)&gt;0,IFERROR(SEARCH("직영",$C271),0)&gt;0),$B$13,0)</f>
        <v>0</v>
      </c>
      <c r="M271" s="17" t="n">
        <f aca="false">IF($H271="","",$H271+$L271)</f>
        <v>1899</v>
      </c>
      <c r="N271" s="17" t="str">
        <f aca="false">IF($I271="","",$I271+$L271)</f>
        <v/>
      </c>
      <c r="O271" s="17" t="n">
        <f aca="false">IF($K271="","",$K271+$L271)</f>
        <v>1959</v>
      </c>
      <c r="P271" s="17" t="str">
        <f aca="false">IF($B$10=0,"",IFERROR(IF($B$4&gt;0,"휘발유 "&amp;TEXT(IF($M271="",1/0,$M271*$B$4),"#,##0")&amp;"원","")&amp;IF($B$5&gt;0,IF($B$4&gt;0," / ","")&amp;"고급유 "&amp;TEXT(IF($N271="",1/0,$N271*$B$5),"#,##0")&amp;"원","")&amp;IF($B$6&gt;0,IF(OR($B$4&gt;0,$B$5&gt;0)," / ","")&amp;"경유 "&amp;TEXT(IF($O271="",1/0,$O271*$B$6),"#,##0")&amp;"원",""),""))</f>
        <v/>
      </c>
      <c r="Q271" s="17" t="str">
        <f aca="false">IF($B$10=0,"",IFERROR(IF($B$4&gt;0,IF($M271="",1/0,$M271*$B$4),0)+IF($B$5&gt;0,IF($N271="",1/0,$N271*$B$5),0)+IF($B$6&gt;0,IF($O271="",1/0,$O271*$B$6),0),""))</f>
        <v/>
      </c>
      <c r="R271" s="17" t="s">
        <v>47</v>
      </c>
      <c r="S271" s="18" t="str">
        <f aca="false">IF($Q271="","",IF($R271="Y",IFERROR(VLOOKUP($B271,$C$4:$D$13,2,FALSE()),0),0))</f>
        <v/>
      </c>
      <c r="T271" s="17" t="str">
        <f aca="false">IF($Q271="","",ROUNDDOWN($Q271*$S271,0))</f>
        <v/>
      </c>
      <c r="U271" s="17" t="str">
        <f aca="false">IF($Q271="","",$Q271-$T271)</f>
        <v/>
      </c>
      <c r="V271" s="17" t="str">
        <f aca="false">IF($U271="","",IF($B$10=0,"",$U271/$B$10))</f>
        <v/>
      </c>
      <c r="W271" s="17" t="str">
        <f aca="false">IF($Q271="","",IF($B$10=0,"",$Q271/$B$10))</f>
        <v/>
      </c>
      <c r="X271" s="19" t="n">
        <f aca="false">IF($U271="",1000000000000000,$U271)</f>
        <v>1000000000000000</v>
      </c>
      <c r="XFC271" s="6"/>
    </row>
    <row r="272" s="5" customFormat="true" ht="28.5" hidden="false" customHeight="true" outlineLevel="0" collapsed="false">
      <c r="A272" s="16" t="str">
        <f aca="false">IF($U272="","",1+COUNTIF($X$15:$X$728,"&lt;"&amp;X272))</f>
        <v/>
      </c>
      <c r="B272" s="16" t="s">
        <v>10</v>
      </c>
      <c r="C272" s="16" t="s">
        <v>823</v>
      </c>
      <c r="D272" s="20" t="s">
        <v>108</v>
      </c>
      <c r="E272" s="16" t="s">
        <v>59</v>
      </c>
      <c r="F272" s="16" t="s">
        <v>824</v>
      </c>
      <c r="G272" s="16" t="s">
        <v>825</v>
      </c>
      <c r="H272" s="17" t="n">
        <v>1899</v>
      </c>
      <c r="I272" s="17"/>
      <c r="J272" s="17"/>
      <c r="K272" s="17" t="n">
        <v>1959</v>
      </c>
      <c r="L272" s="17" t="n">
        <f aca="false">IF(AND(IFERROR(SEARCH("현대오일뱅크",$C272),0)&gt;0,IFERROR(SEARCH("직영",$C272),0)&gt;0),$B$13,0)</f>
        <v>0</v>
      </c>
      <c r="M272" s="17" t="n">
        <f aca="false">IF($H272="","",$H272+$L272)</f>
        <v>1899</v>
      </c>
      <c r="N272" s="17" t="str">
        <f aca="false">IF($I272="","",$I272+$L272)</f>
        <v/>
      </c>
      <c r="O272" s="17" t="n">
        <f aca="false">IF($K272="","",$K272+$L272)</f>
        <v>1959</v>
      </c>
      <c r="P272" s="17" t="str">
        <f aca="false">IF($B$10=0,"",IFERROR(IF($B$4&gt;0,"휘발유 "&amp;TEXT(IF($M272="",1/0,$M272*$B$4),"#,##0")&amp;"원","")&amp;IF($B$5&gt;0,IF($B$4&gt;0," / ","")&amp;"고급유 "&amp;TEXT(IF($N272="",1/0,$N272*$B$5),"#,##0")&amp;"원","")&amp;IF($B$6&gt;0,IF(OR($B$4&gt;0,$B$5&gt;0)," / ","")&amp;"경유 "&amp;TEXT(IF($O272="",1/0,$O272*$B$6),"#,##0")&amp;"원",""),""))</f>
        <v/>
      </c>
      <c r="Q272" s="17" t="str">
        <f aca="false">IF($B$10=0,"",IFERROR(IF($B$4&gt;0,IF($M272="",1/0,$M272*$B$4),0)+IF($B$5&gt;0,IF($N272="",1/0,$N272*$B$5),0)+IF($B$6&gt;0,IF($O272="",1/0,$O272*$B$6),0),""))</f>
        <v/>
      </c>
      <c r="R272" s="17" t="s">
        <v>47</v>
      </c>
      <c r="S272" s="18" t="str">
        <f aca="false">IF($Q272="","",IF($R272="Y",IFERROR(VLOOKUP($B272,$C$4:$D$13,2,FALSE()),0),0))</f>
        <v/>
      </c>
      <c r="T272" s="17" t="str">
        <f aca="false">IF($Q272="","",ROUNDDOWN($Q272*$S272,0))</f>
        <v/>
      </c>
      <c r="U272" s="17" t="str">
        <f aca="false">IF($Q272="","",$Q272-$T272)</f>
        <v/>
      </c>
      <c r="V272" s="17" t="str">
        <f aca="false">IF($U272="","",IF($B$10=0,"",$U272/$B$10))</f>
        <v/>
      </c>
      <c r="W272" s="17" t="str">
        <f aca="false">IF($Q272="","",IF($B$10=0,"",$Q272/$B$10))</f>
        <v/>
      </c>
      <c r="X272" s="19" t="n">
        <f aca="false">IF($U272="",1000000000000000,$U272)</f>
        <v>1000000000000000</v>
      </c>
      <c r="XFC272" s="6"/>
    </row>
    <row r="273" s="5" customFormat="true" ht="28.5" hidden="false" customHeight="true" outlineLevel="0" collapsed="false">
      <c r="A273" s="16" t="str">
        <f aca="false">IF($U273="","",1+COUNTIF($X$15:$X$728,"&lt;"&amp;X273))</f>
        <v/>
      </c>
      <c r="B273" s="16" t="s">
        <v>10</v>
      </c>
      <c r="C273" s="16" t="s">
        <v>826</v>
      </c>
      <c r="D273" s="16" t="s">
        <v>112</v>
      </c>
      <c r="E273" s="16" t="s">
        <v>47</v>
      </c>
      <c r="F273" s="16" t="s">
        <v>827</v>
      </c>
      <c r="G273" s="16" t="s">
        <v>828</v>
      </c>
      <c r="H273" s="17" t="n">
        <v>1899</v>
      </c>
      <c r="I273" s="17"/>
      <c r="J273" s="17"/>
      <c r="K273" s="17" t="n">
        <v>1899</v>
      </c>
      <c r="L273" s="17" t="n">
        <f aca="false">IF(AND(IFERROR(SEARCH("현대오일뱅크",$C273),0)&gt;0,IFERROR(SEARCH("직영",$C273),0)&gt;0),$B$13,0)</f>
        <v>0</v>
      </c>
      <c r="M273" s="17" t="n">
        <f aca="false">IF($H273="","",$H273+$L273)</f>
        <v>1899</v>
      </c>
      <c r="N273" s="17" t="str">
        <f aca="false">IF($I273="","",$I273+$L273)</f>
        <v/>
      </c>
      <c r="O273" s="17" t="n">
        <f aca="false">IF($K273="","",$K273+$L273)</f>
        <v>1899</v>
      </c>
      <c r="P273" s="17" t="str">
        <f aca="false">IF($B$10=0,"",IFERROR(IF($B$4&gt;0,"휘발유 "&amp;TEXT(IF($M273="",1/0,$M273*$B$4),"#,##0")&amp;"원","")&amp;IF($B$5&gt;0,IF($B$4&gt;0," / ","")&amp;"고급유 "&amp;TEXT(IF($N273="",1/0,$N273*$B$5),"#,##0")&amp;"원","")&amp;IF($B$6&gt;0,IF(OR($B$4&gt;0,$B$5&gt;0)," / ","")&amp;"경유 "&amp;TEXT(IF($O273="",1/0,$O273*$B$6),"#,##0")&amp;"원",""),""))</f>
        <v/>
      </c>
      <c r="Q273" s="17" t="str">
        <f aca="false">IF($B$10=0,"",IFERROR(IF($B$4&gt;0,IF($M273="",1/0,$M273*$B$4),0)+IF($B$5&gt;0,IF($N273="",1/0,$N273*$B$5),0)+IF($B$6&gt;0,IF($O273="",1/0,$O273*$B$6),0),""))</f>
        <v/>
      </c>
      <c r="R273" s="17" t="s">
        <v>47</v>
      </c>
      <c r="S273" s="18" t="str">
        <f aca="false">IF($Q273="","",IF($R273="Y",IFERROR(VLOOKUP($B273,$C$4:$D$13,2,FALSE()),0),0))</f>
        <v/>
      </c>
      <c r="T273" s="17" t="str">
        <f aca="false">IF($Q273="","",ROUNDDOWN($Q273*$S273,0))</f>
        <v/>
      </c>
      <c r="U273" s="17" t="str">
        <f aca="false">IF($Q273="","",$Q273-$T273)</f>
        <v/>
      </c>
      <c r="V273" s="17" t="str">
        <f aca="false">IF($U273="","",IF($B$10=0,"",$U273/$B$10))</f>
        <v/>
      </c>
      <c r="W273" s="17" t="str">
        <f aca="false">IF($Q273="","",IF($B$10=0,"",$Q273/$B$10))</f>
        <v/>
      </c>
      <c r="X273" s="19" t="n">
        <f aca="false">IF($U273="",1000000000000000,$U273)</f>
        <v>1000000000000000</v>
      </c>
      <c r="XFC273" s="6"/>
    </row>
    <row r="274" s="5" customFormat="true" ht="28.5" hidden="false" customHeight="true" outlineLevel="0" collapsed="false">
      <c r="A274" s="16" t="str">
        <f aca="false">IF($U274="","",1+COUNTIF($X$15:$X$728,"&lt;"&amp;X274))</f>
        <v/>
      </c>
      <c r="B274" s="16" t="s">
        <v>10</v>
      </c>
      <c r="C274" s="16" t="s">
        <v>829</v>
      </c>
      <c r="D274" s="16" t="s">
        <v>58</v>
      </c>
      <c r="E274" s="16" t="s">
        <v>59</v>
      </c>
      <c r="F274" s="16" t="s">
        <v>830</v>
      </c>
      <c r="G274" s="16" t="s">
        <v>831</v>
      </c>
      <c r="H274" s="17" t="n">
        <v>1899</v>
      </c>
      <c r="I274" s="17"/>
      <c r="J274" s="17"/>
      <c r="K274" s="17" t="n">
        <v>1959</v>
      </c>
      <c r="L274" s="17" t="n">
        <f aca="false">IF(AND(IFERROR(SEARCH("현대오일뱅크",$C274),0)&gt;0,IFERROR(SEARCH("직영",$C274),0)&gt;0),$B$13,0)</f>
        <v>0</v>
      </c>
      <c r="M274" s="17" t="n">
        <f aca="false">IF($H274="","",$H274+$L274)</f>
        <v>1899</v>
      </c>
      <c r="N274" s="17" t="str">
        <f aca="false">IF($I274="","",$I274+$L274)</f>
        <v/>
      </c>
      <c r="O274" s="17" t="n">
        <f aca="false">IF($K274="","",$K274+$L274)</f>
        <v>1959</v>
      </c>
      <c r="P274" s="17" t="str">
        <f aca="false">IF($B$10=0,"",IFERROR(IF($B$4&gt;0,"휘발유 "&amp;TEXT(IF($M274="",1/0,$M274*$B$4),"#,##0")&amp;"원","")&amp;IF($B$5&gt;0,IF($B$4&gt;0," / ","")&amp;"고급유 "&amp;TEXT(IF($N274="",1/0,$N274*$B$5),"#,##0")&amp;"원","")&amp;IF($B$6&gt;0,IF(OR($B$4&gt;0,$B$5&gt;0)," / ","")&amp;"경유 "&amp;TEXT(IF($O274="",1/0,$O274*$B$6),"#,##0")&amp;"원",""),""))</f>
        <v/>
      </c>
      <c r="Q274" s="17" t="str">
        <f aca="false">IF($B$10=0,"",IFERROR(IF($B$4&gt;0,IF($M274="",1/0,$M274*$B$4),0)+IF($B$5&gt;0,IF($N274="",1/0,$N274*$B$5),0)+IF($B$6&gt;0,IF($O274="",1/0,$O274*$B$6),0),""))</f>
        <v/>
      </c>
      <c r="R274" s="17" t="s">
        <v>47</v>
      </c>
      <c r="S274" s="18" t="str">
        <f aca="false">IF($Q274="","",IF($R274="Y",IFERROR(VLOOKUP($B274,$C$4:$D$13,2,FALSE()),0),0))</f>
        <v/>
      </c>
      <c r="T274" s="17" t="str">
        <f aca="false">IF($Q274="","",ROUNDDOWN($Q274*$S274,0))</f>
        <v/>
      </c>
      <c r="U274" s="17" t="str">
        <f aca="false">IF($Q274="","",$Q274-$T274)</f>
        <v/>
      </c>
      <c r="V274" s="17" t="str">
        <f aca="false">IF($U274="","",IF($B$10=0,"",$U274/$B$10))</f>
        <v/>
      </c>
      <c r="W274" s="17" t="str">
        <f aca="false">IF($Q274="","",IF($B$10=0,"",$Q274/$B$10))</f>
        <v/>
      </c>
      <c r="X274" s="19" t="n">
        <f aca="false">IF($U274="",1000000000000000,$U274)</f>
        <v>1000000000000000</v>
      </c>
      <c r="XFC274" s="6"/>
    </row>
    <row r="275" s="5" customFormat="true" ht="28.5" hidden="false" customHeight="true" outlineLevel="0" collapsed="false">
      <c r="A275" s="16" t="str">
        <f aca="false">IF($U275="","",1+COUNTIF($X$15:$X$728,"&lt;"&amp;X275))</f>
        <v/>
      </c>
      <c r="B275" s="16" t="s">
        <v>6</v>
      </c>
      <c r="C275" s="16" t="s">
        <v>832</v>
      </c>
      <c r="D275" s="16" t="s">
        <v>51</v>
      </c>
      <c r="E275" s="16" t="s">
        <v>47</v>
      </c>
      <c r="F275" s="16" t="s">
        <v>833</v>
      </c>
      <c r="G275" s="16" t="s">
        <v>834</v>
      </c>
      <c r="H275" s="17" t="n">
        <v>1899</v>
      </c>
      <c r="I275" s="17"/>
      <c r="J275" s="17"/>
      <c r="K275" s="17" t="n">
        <v>1939</v>
      </c>
      <c r="L275" s="17" t="n">
        <f aca="false">IF(AND(IFERROR(SEARCH("현대오일뱅크",$C275),0)&gt;0,IFERROR(SEARCH("직영",$C275),0)&gt;0),$B$13,0)</f>
        <v>0</v>
      </c>
      <c r="M275" s="17" t="n">
        <f aca="false">IF($H275="","",$H275+$L275)</f>
        <v>1899</v>
      </c>
      <c r="N275" s="17" t="str">
        <f aca="false">IF($I275="","",$I275+$L275)</f>
        <v/>
      </c>
      <c r="O275" s="17" t="n">
        <f aca="false">IF($K275="","",$K275+$L275)</f>
        <v>1939</v>
      </c>
      <c r="P275" s="17" t="str">
        <f aca="false">IF($B$10=0,"",IFERROR(IF($B$4&gt;0,"휘발유 "&amp;TEXT(IF($M275="",1/0,$M275*$B$4),"#,##0")&amp;"원","")&amp;IF($B$5&gt;0,IF($B$4&gt;0," / ","")&amp;"고급유 "&amp;TEXT(IF($N275="",1/0,$N275*$B$5),"#,##0")&amp;"원","")&amp;IF($B$6&gt;0,IF(OR($B$4&gt;0,$B$5&gt;0)," / ","")&amp;"경유 "&amp;TEXT(IF($O275="",1/0,$O275*$B$6),"#,##0")&amp;"원",""),""))</f>
        <v/>
      </c>
      <c r="Q275" s="17" t="str">
        <f aca="false">IF($B$10=0,"",IFERROR(IF($B$4&gt;0,IF($M275="",1/0,$M275*$B$4),0)+IF($B$5&gt;0,IF($N275="",1/0,$N275*$B$5),0)+IF($B$6&gt;0,IF($O275="",1/0,$O275*$B$6),0),""))</f>
        <v/>
      </c>
      <c r="R275" s="17" t="s">
        <v>47</v>
      </c>
      <c r="S275" s="18" t="str">
        <f aca="false">IF($Q275="","",IF($R275="Y",IFERROR(VLOOKUP($B275,$C$4:$D$13,2,FALSE()),0),0))</f>
        <v/>
      </c>
      <c r="T275" s="17" t="str">
        <f aca="false">IF($Q275="","",ROUNDDOWN($Q275*$S275,0))</f>
        <v/>
      </c>
      <c r="U275" s="17" t="str">
        <f aca="false">IF($Q275="","",$Q275-$T275)</f>
        <v/>
      </c>
      <c r="V275" s="17" t="str">
        <f aca="false">IF($U275="","",IF($B$10=0,"",$U275/$B$10))</f>
        <v/>
      </c>
      <c r="W275" s="17" t="str">
        <f aca="false">IF($Q275="","",IF($B$10=0,"",$Q275/$B$10))</f>
        <v/>
      </c>
      <c r="X275" s="19" t="n">
        <f aca="false">IF($U275="",1000000000000000,$U275)</f>
        <v>1000000000000000</v>
      </c>
      <c r="XFC275" s="6"/>
    </row>
    <row r="276" s="5" customFormat="true" ht="28.5" hidden="false" customHeight="true" outlineLevel="0" collapsed="false">
      <c r="A276" s="16" t="str">
        <f aca="false">IF($U276="","",1+COUNTIF($X$15:$X$728,"&lt;"&amp;X276))</f>
        <v/>
      </c>
      <c r="B276" s="16" t="s">
        <v>6</v>
      </c>
      <c r="C276" s="16" t="s">
        <v>835</v>
      </c>
      <c r="D276" s="16" t="s">
        <v>46</v>
      </c>
      <c r="E276" s="16" t="s">
        <v>47</v>
      </c>
      <c r="F276" s="16" t="s">
        <v>836</v>
      </c>
      <c r="G276" s="16" t="s">
        <v>837</v>
      </c>
      <c r="H276" s="17" t="n">
        <v>1899</v>
      </c>
      <c r="I276" s="17"/>
      <c r="J276" s="17"/>
      <c r="K276" s="17" t="n">
        <v>1899</v>
      </c>
      <c r="L276" s="17" t="n">
        <f aca="false">IF(AND(IFERROR(SEARCH("현대오일뱅크",$C276),0)&gt;0,IFERROR(SEARCH("직영",$C276),0)&gt;0),$B$13,0)</f>
        <v>0</v>
      </c>
      <c r="M276" s="17" t="n">
        <f aca="false">IF($H276="","",$H276+$L276)</f>
        <v>1899</v>
      </c>
      <c r="N276" s="17" t="str">
        <f aca="false">IF($I276="","",$I276+$L276)</f>
        <v/>
      </c>
      <c r="O276" s="17" t="n">
        <f aca="false">IF($K276="","",$K276+$L276)</f>
        <v>1899</v>
      </c>
      <c r="P276" s="17" t="str">
        <f aca="false">IF($B$10=0,"",IFERROR(IF($B$4&gt;0,"휘발유 "&amp;TEXT(IF($M276="",1/0,$M276*$B$4),"#,##0")&amp;"원","")&amp;IF($B$5&gt;0,IF($B$4&gt;0," / ","")&amp;"고급유 "&amp;TEXT(IF($N276="",1/0,$N276*$B$5),"#,##0")&amp;"원","")&amp;IF($B$6&gt;0,IF(OR($B$4&gt;0,$B$5&gt;0)," / ","")&amp;"경유 "&amp;TEXT(IF($O276="",1/0,$O276*$B$6),"#,##0")&amp;"원",""),""))</f>
        <v/>
      </c>
      <c r="Q276" s="17" t="str">
        <f aca="false">IF($B$10=0,"",IFERROR(IF($B$4&gt;0,IF($M276="",1/0,$M276*$B$4),0)+IF($B$5&gt;0,IF($N276="",1/0,$N276*$B$5),0)+IF($B$6&gt;0,IF($O276="",1/0,$O276*$B$6),0),""))</f>
        <v/>
      </c>
      <c r="R276" s="17" t="s">
        <v>47</v>
      </c>
      <c r="S276" s="18" t="str">
        <f aca="false">IF($Q276="","",IF($R276="Y",IFERROR(VLOOKUP($B276,$C$4:$D$13,2,FALSE()),0),0))</f>
        <v/>
      </c>
      <c r="T276" s="17" t="str">
        <f aca="false">IF($Q276="","",ROUNDDOWN($Q276*$S276,0))</f>
        <v/>
      </c>
      <c r="U276" s="17" t="str">
        <f aca="false">IF($Q276="","",$Q276-$T276)</f>
        <v/>
      </c>
      <c r="V276" s="17" t="str">
        <f aca="false">IF($U276="","",IF($B$10=0,"",$U276/$B$10))</f>
        <v/>
      </c>
      <c r="W276" s="17" t="str">
        <f aca="false">IF($Q276="","",IF($B$10=0,"",$Q276/$B$10))</f>
        <v/>
      </c>
      <c r="X276" s="19" t="n">
        <f aca="false">IF($U276="",1000000000000000,$U276)</f>
        <v>1000000000000000</v>
      </c>
      <c r="XFC276" s="6"/>
    </row>
    <row r="277" s="5" customFormat="true" ht="28.5" hidden="false" customHeight="true" outlineLevel="0" collapsed="false">
      <c r="A277" s="16" t="str">
        <f aca="false">IF($U277="","",1+COUNTIF($X$15:$X$728,"&lt;"&amp;X277))</f>
        <v/>
      </c>
      <c r="B277" s="16" t="s">
        <v>8</v>
      </c>
      <c r="C277" s="16" t="s">
        <v>838</v>
      </c>
      <c r="D277" s="16" t="s">
        <v>58</v>
      </c>
      <c r="E277" s="16" t="s">
        <v>47</v>
      </c>
      <c r="F277" s="16" t="s">
        <v>839</v>
      </c>
      <c r="G277" s="16" t="s">
        <v>840</v>
      </c>
      <c r="H277" s="17" t="n">
        <v>1899</v>
      </c>
      <c r="I277" s="17"/>
      <c r="J277" s="17"/>
      <c r="K277" s="17" t="n">
        <v>1949</v>
      </c>
      <c r="L277" s="17" t="n">
        <f aca="false">IF(AND(IFERROR(SEARCH("현대오일뱅크",$C277),0)&gt;0,IFERROR(SEARCH("직영",$C277),0)&gt;0),$B$13,0)</f>
        <v>0</v>
      </c>
      <c r="M277" s="17" t="n">
        <f aca="false">IF($H277="","",$H277+$L277)</f>
        <v>1899</v>
      </c>
      <c r="N277" s="17" t="str">
        <f aca="false">IF($I277="","",$I277+$L277)</f>
        <v/>
      </c>
      <c r="O277" s="17" t="n">
        <f aca="false">IF($K277="","",$K277+$L277)</f>
        <v>1949</v>
      </c>
      <c r="P277" s="17" t="str">
        <f aca="false">IF($B$10=0,"",IFERROR(IF($B$4&gt;0,"휘발유 "&amp;TEXT(IF($M277="",1/0,$M277*$B$4),"#,##0")&amp;"원","")&amp;IF($B$5&gt;0,IF($B$4&gt;0," / ","")&amp;"고급유 "&amp;TEXT(IF($N277="",1/0,$N277*$B$5),"#,##0")&amp;"원","")&amp;IF($B$6&gt;0,IF(OR($B$4&gt;0,$B$5&gt;0)," / ","")&amp;"경유 "&amp;TEXT(IF($O277="",1/0,$O277*$B$6),"#,##0")&amp;"원",""),""))</f>
        <v/>
      </c>
      <c r="Q277" s="17" t="str">
        <f aca="false">IF($B$10=0,"",IFERROR(IF($B$4&gt;0,IF($M277="",1/0,$M277*$B$4),0)+IF($B$5&gt;0,IF($N277="",1/0,$N277*$B$5),0)+IF($B$6&gt;0,IF($O277="",1/0,$O277*$B$6),0),""))</f>
        <v/>
      </c>
      <c r="R277" s="17" t="s">
        <v>47</v>
      </c>
      <c r="S277" s="18" t="str">
        <f aca="false">IF($Q277="","",IF($R277="Y",IFERROR(VLOOKUP($B277,$C$4:$D$13,2,FALSE()),0),0))</f>
        <v/>
      </c>
      <c r="T277" s="17" t="str">
        <f aca="false">IF($Q277="","",ROUNDDOWN($Q277*$S277,0))</f>
        <v/>
      </c>
      <c r="U277" s="17" t="str">
        <f aca="false">IF($Q277="","",$Q277-$T277)</f>
        <v/>
      </c>
      <c r="V277" s="17" t="str">
        <f aca="false">IF($U277="","",IF($B$10=0,"",$U277/$B$10))</f>
        <v/>
      </c>
      <c r="W277" s="17" t="str">
        <f aca="false">IF($Q277="","",IF($B$10=0,"",$Q277/$B$10))</f>
        <v/>
      </c>
      <c r="X277" s="19" t="n">
        <f aca="false">IF($U277="",1000000000000000,$U277)</f>
        <v>1000000000000000</v>
      </c>
      <c r="XFC277" s="6"/>
    </row>
    <row r="278" s="5" customFormat="true" ht="28.5" hidden="false" customHeight="true" outlineLevel="0" collapsed="false">
      <c r="A278" s="16" t="str">
        <f aca="false">IF($U278="","",1+COUNTIF($X$15:$X$728,"&lt;"&amp;X278))</f>
        <v/>
      </c>
      <c r="B278" s="16" t="s">
        <v>10</v>
      </c>
      <c r="C278" s="16" t="s">
        <v>841</v>
      </c>
      <c r="D278" s="16" t="s">
        <v>112</v>
      </c>
      <c r="E278" s="16" t="s">
        <v>59</v>
      </c>
      <c r="F278" s="16" t="s">
        <v>842</v>
      </c>
      <c r="G278" s="16" t="s">
        <v>843</v>
      </c>
      <c r="H278" s="17" t="n">
        <v>1900</v>
      </c>
      <c r="I278" s="17"/>
      <c r="J278" s="17"/>
      <c r="K278" s="17" t="n">
        <v>1900</v>
      </c>
      <c r="L278" s="17" t="n">
        <f aca="false">IF(AND(IFERROR(SEARCH("현대오일뱅크",$C278),0)&gt;0,IFERROR(SEARCH("직영",$C278),0)&gt;0),$B$13,0)</f>
        <v>0</v>
      </c>
      <c r="M278" s="17" t="n">
        <f aca="false">IF($H278="","",$H278+$L278)</f>
        <v>1900</v>
      </c>
      <c r="N278" s="17" t="str">
        <f aca="false">IF($I278="","",$I278+$L278)</f>
        <v/>
      </c>
      <c r="O278" s="17" t="n">
        <f aca="false">IF($K278="","",$K278+$L278)</f>
        <v>1900</v>
      </c>
      <c r="P278" s="17" t="str">
        <f aca="false">IF($B$10=0,"",IFERROR(IF($B$4&gt;0,"휘발유 "&amp;TEXT(IF($M278="",1/0,$M278*$B$4),"#,##0")&amp;"원","")&amp;IF($B$5&gt;0,IF($B$4&gt;0," / ","")&amp;"고급유 "&amp;TEXT(IF($N278="",1/0,$N278*$B$5),"#,##0")&amp;"원","")&amp;IF($B$6&gt;0,IF(OR($B$4&gt;0,$B$5&gt;0)," / ","")&amp;"경유 "&amp;TEXT(IF($O278="",1/0,$O278*$B$6),"#,##0")&amp;"원",""),""))</f>
        <v/>
      </c>
      <c r="Q278" s="17" t="str">
        <f aca="false">IF($B$10=0,"",IFERROR(IF($B$4&gt;0,IF($M278="",1/0,$M278*$B$4),0)+IF($B$5&gt;0,IF($N278="",1/0,$N278*$B$5),0)+IF($B$6&gt;0,IF($O278="",1/0,$O278*$B$6),0),""))</f>
        <v/>
      </c>
      <c r="R278" s="17" t="s">
        <v>47</v>
      </c>
      <c r="S278" s="18" t="str">
        <f aca="false">IF($Q278="","",IF($R278="Y",IFERROR(VLOOKUP($B278,$C$4:$D$13,2,FALSE()),0),0))</f>
        <v/>
      </c>
      <c r="T278" s="17" t="str">
        <f aca="false">IF($Q278="","",ROUNDDOWN($Q278*$S278,0))</f>
        <v/>
      </c>
      <c r="U278" s="17" t="str">
        <f aca="false">IF($Q278="","",$Q278-$T278)</f>
        <v/>
      </c>
      <c r="V278" s="17" t="str">
        <f aca="false">IF($U278="","",IF($B$10=0,"",$U278/$B$10))</f>
        <v/>
      </c>
      <c r="W278" s="17" t="str">
        <f aca="false">IF($Q278="","",IF($B$10=0,"",$Q278/$B$10))</f>
        <v/>
      </c>
      <c r="X278" s="19" t="n">
        <f aca="false">IF($U278="",1000000000000000,$U278)</f>
        <v>1000000000000000</v>
      </c>
      <c r="XFC278" s="6"/>
    </row>
    <row r="279" s="5" customFormat="true" ht="28.5" hidden="false" customHeight="true" outlineLevel="0" collapsed="false">
      <c r="A279" s="16" t="str">
        <f aca="false">IF($U279="","",1+COUNTIF($X$15:$X$728,"&lt;"&amp;X279))</f>
        <v/>
      </c>
      <c r="B279" s="16" t="s">
        <v>16</v>
      </c>
      <c r="C279" s="16" t="s">
        <v>844</v>
      </c>
      <c r="D279" s="20" t="s">
        <v>108</v>
      </c>
      <c r="E279" s="16" t="s">
        <v>59</v>
      </c>
      <c r="F279" s="16" t="s">
        <v>845</v>
      </c>
      <c r="G279" s="16" t="s">
        <v>846</v>
      </c>
      <c r="H279" s="17" t="n">
        <v>1949</v>
      </c>
      <c r="I279" s="17"/>
      <c r="J279" s="17"/>
      <c r="K279" s="17" t="n">
        <v>1949</v>
      </c>
      <c r="L279" s="17" t="n">
        <f aca="false">IF(AND(IFERROR(SEARCH("현대오일뱅크",$C279),0)&gt;0,IFERROR(SEARCH("직영",$C279),0)&gt;0),$B$13,0)</f>
        <v>0</v>
      </c>
      <c r="M279" s="17" t="n">
        <f aca="false">IF($H279="","",$H279+$L279)</f>
        <v>1949</v>
      </c>
      <c r="N279" s="17" t="str">
        <f aca="false">IF($I279="","",$I279+$L279)</f>
        <v/>
      </c>
      <c r="O279" s="17" t="n">
        <f aca="false">IF($K279="","",$K279+$L279)</f>
        <v>1949</v>
      </c>
      <c r="P279" s="17" t="str">
        <f aca="false">IF($B$10=0,"",IFERROR(IF($B$4&gt;0,"휘발유 "&amp;TEXT(IF($M279="",1/0,$M279*$B$4),"#,##0")&amp;"원","")&amp;IF($B$5&gt;0,IF($B$4&gt;0," / ","")&amp;"고급유 "&amp;TEXT(IF($N279="",1/0,$N279*$B$5),"#,##0")&amp;"원","")&amp;IF($B$6&gt;0,IF(OR($B$4&gt;0,$B$5&gt;0)," / ","")&amp;"경유 "&amp;TEXT(IF($O279="",1/0,$O279*$B$6),"#,##0")&amp;"원",""),""))</f>
        <v/>
      </c>
      <c r="Q279" s="17" t="str">
        <f aca="false">IF($B$10=0,"",IFERROR(IF($B$4&gt;0,IF($M279="",1/0,$M279*$B$4),0)+IF($B$5&gt;0,IF($N279="",1/0,$N279*$B$5),0)+IF($B$6&gt;0,IF($O279="",1/0,$O279*$B$6),0),""))</f>
        <v/>
      </c>
      <c r="R279" s="17" t="s">
        <v>47</v>
      </c>
      <c r="S279" s="18" t="str">
        <f aca="false">IF($Q279="","",IF($R279="Y",IFERROR(VLOOKUP($B279,$C$4:$D$13,2,FALSE()),0),0))</f>
        <v/>
      </c>
      <c r="T279" s="17" t="str">
        <f aca="false">IF($Q279="","",ROUNDDOWN($Q279*$S279,0))</f>
        <v/>
      </c>
      <c r="U279" s="17" t="str">
        <f aca="false">IF($Q279="","",$Q279-$T279)</f>
        <v/>
      </c>
      <c r="V279" s="17" t="str">
        <f aca="false">IF($U279="","",IF($B$10=0,"",$U279/$B$10))</f>
        <v/>
      </c>
      <c r="W279" s="17" t="str">
        <f aca="false">IF($Q279="","",IF($B$10=0,"",$Q279/$B$10))</f>
        <v/>
      </c>
      <c r="X279" s="19" t="n">
        <f aca="false">IF($U279="",1000000000000000,$U279)</f>
        <v>1000000000000000</v>
      </c>
      <c r="XFC279" s="6"/>
    </row>
    <row r="280" s="5" customFormat="true" ht="28.5" hidden="false" customHeight="true" outlineLevel="0" collapsed="false">
      <c r="A280" s="16" t="str">
        <f aca="false">IF($U280="","",1+COUNTIF($X$15:$X$728,"&lt;"&amp;X280))</f>
        <v/>
      </c>
      <c r="B280" s="16" t="s">
        <v>16</v>
      </c>
      <c r="C280" s="16" t="s">
        <v>847</v>
      </c>
      <c r="D280" s="16" t="s">
        <v>58</v>
      </c>
      <c r="E280" s="16" t="s">
        <v>59</v>
      </c>
      <c r="F280" s="16" t="s">
        <v>848</v>
      </c>
      <c r="G280" s="16" t="s">
        <v>849</v>
      </c>
      <c r="H280" s="17" t="n">
        <v>1950</v>
      </c>
      <c r="I280" s="17"/>
      <c r="J280" s="17"/>
      <c r="K280" s="17" t="n">
        <v>1950</v>
      </c>
      <c r="L280" s="17" t="n">
        <f aca="false">IF(AND(IFERROR(SEARCH("현대오일뱅크",$C280),0)&gt;0,IFERROR(SEARCH("직영",$C280),0)&gt;0),$B$13,0)</f>
        <v>0</v>
      </c>
      <c r="M280" s="17" t="n">
        <f aca="false">IF($H280="","",$H280+$L280)</f>
        <v>1950</v>
      </c>
      <c r="N280" s="17" t="str">
        <f aca="false">IF($I280="","",$I280+$L280)</f>
        <v/>
      </c>
      <c r="O280" s="17" t="n">
        <f aca="false">IF($K280="","",$K280+$L280)</f>
        <v>1950</v>
      </c>
      <c r="P280" s="17" t="str">
        <f aca="false">IF($B$10=0,"",IFERROR(IF($B$4&gt;0,"휘발유 "&amp;TEXT(IF($M280="",1/0,$M280*$B$4),"#,##0")&amp;"원","")&amp;IF($B$5&gt;0,IF($B$4&gt;0," / ","")&amp;"고급유 "&amp;TEXT(IF($N280="",1/0,$N280*$B$5),"#,##0")&amp;"원","")&amp;IF($B$6&gt;0,IF(OR($B$4&gt;0,$B$5&gt;0)," / ","")&amp;"경유 "&amp;TEXT(IF($O280="",1/0,$O280*$B$6),"#,##0")&amp;"원",""),""))</f>
        <v/>
      </c>
      <c r="Q280" s="17" t="str">
        <f aca="false">IF($B$10=0,"",IFERROR(IF($B$4&gt;0,IF($M280="",1/0,$M280*$B$4),0)+IF($B$5&gt;0,IF($N280="",1/0,$N280*$B$5),0)+IF($B$6&gt;0,IF($O280="",1/0,$O280*$B$6),0),""))</f>
        <v/>
      </c>
      <c r="R280" s="17" t="s">
        <v>47</v>
      </c>
      <c r="S280" s="18" t="str">
        <f aca="false">IF($Q280="","",IF($R280="Y",IFERROR(VLOOKUP($B280,$C$4:$D$13,2,FALSE()),0),0))</f>
        <v/>
      </c>
      <c r="T280" s="17" t="str">
        <f aca="false">IF($Q280="","",ROUNDDOWN($Q280*$S280,0))</f>
        <v/>
      </c>
      <c r="U280" s="17" t="str">
        <f aca="false">IF($Q280="","",$Q280-$T280)</f>
        <v/>
      </c>
      <c r="V280" s="17" t="str">
        <f aca="false">IF($U280="","",IF($B$10=0,"",$U280/$B$10))</f>
        <v/>
      </c>
      <c r="W280" s="17" t="str">
        <f aca="false">IF($Q280="","",IF($B$10=0,"",$Q280/$B$10))</f>
        <v/>
      </c>
      <c r="X280" s="19" t="n">
        <f aca="false">IF($U280="",1000000000000000,$U280)</f>
        <v>1000000000000000</v>
      </c>
      <c r="XFC280" s="6"/>
    </row>
    <row r="281" s="5" customFormat="true" ht="28.5" hidden="false" customHeight="true" outlineLevel="0" collapsed="false">
      <c r="A281" s="16" t="str">
        <f aca="false">IF($U281="","",1+COUNTIF($X$15:$X$728,"&lt;"&amp;X281))</f>
        <v/>
      </c>
      <c r="B281" s="16" t="s">
        <v>16</v>
      </c>
      <c r="C281" s="16" t="s">
        <v>850</v>
      </c>
      <c r="D281" s="16" t="s">
        <v>51</v>
      </c>
      <c r="E281" s="16" t="s">
        <v>59</v>
      </c>
      <c r="F281" s="16" t="s">
        <v>851</v>
      </c>
      <c r="G281" s="16" t="s">
        <v>852</v>
      </c>
      <c r="H281" s="17" t="n">
        <v>1950</v>
      </c>
      <c r="I281" s="17"/>
      <c r="J281" s="17"/>
      <c r="K281" s="17" t="n">
        <v>1940</v>
      </c>
      <c r="L281" s="17" t="n">
        <f aca="false">IF(AND(IFERROR(SEARCH("현대오일뱅크",$C281),0)&gt;0,IFERROR(SEARCH("직영",$C281),0)&gt;0),$B$13,0)</f>
        <v>0</v>
      </c>
      <c r="M281" s="17" t="n">
        <f aca="false">IF($H281="","",$H281+$L281)</f>
        <v>1950</v>
      </c>
      <c r="N281" s="17" t="str">
        <f aca="false">IF($I281="","",$I281+$L281)</f>
        <v/>
      </c>
      <c r="O281" s="17" t="n">
        <f aca="false">IF($K281="","",$K281+$L281)</f>
        <v>1940</v>
      </c>
      <c r="P281" s="17" t="str">
        <f aca="false">IF($B$10=0,"",IFERROR(IF($B$4&gt;0,"휘발유 "&amp;TEXT(IF($M281="",1/0,$M281*$B$4),"#,##0")&amp;"원","")&amp;IF($B$5&gt;0,IF($B$4&gt;0," / ","")&amp;"고급유 "&amp;TEXT(IF($N281="",1/0,$N281*$B$5),"#,##0")&amp;"원","")&amp;IF($B$6&gt;0,IF(OR($B$4&gt;0,$B$5&gt;0)," / ","")&amp;"경유 "&amp;TEXT(IF($O281="",1/0,$O281*$B$6),"#,##0")&amp;"원",""),""))</f>
        <v/>
      </c>
      <c r="Q281" s="17" t="str">
        <f aca="false">IF($B$10=0,"",IFERROR(IF($B$4&gt;0,IF($M281="",1/0,$M281*$B$4),0)+IF($B$5&gt;0,IF($N281="",1/0,$N281*$B$5),0)+IF($B$6&gt;0,IF($O281="",1/0,$O281*$B$6),0),""))</f>
        <v/>
      </c>
      <c r="R281" s="17" t="s">
        <v>47</v>
      </c>
      <c r="S281" s="18" t="str">
        <f aca="false">IF($Q281="","",IF($R281="Y",IFERROR(VLOOKUP($B281,$C$4:$D$13,2,FALSE()),0),0))</f>
        <v/>
      </c>
      <c r="T281" s="17" t="str">
        <f aca="false">IF($Q281="","",ROUNDDOWN($Q281*$S281,0))</f>
        <v/>
      </c>
      <c r="U281" s="17" t="str">
        <f aca="false">IF($Q281="","",$Q281-$T281)</f>
        <v/>
      </c>
      <c r="V281" s="17" t="str">
        <f aca="false">IF($U281="","",IF($B$10=0,"",$U281/$B$10))</f>
        <v/>
      </c>
      <c r="W281" s="17" t="str">
        <f aca="false">IF($Q281="","",IF($B$10=0,"",$Q281/$B$10))</f>
        <v/>
      </c>
      <c r="X281" s="19" t="n">
        <f aca="false">IF($U281="",1000000000000000,$U281)</f>
        <v>1000000000000000</v>
      </c>
      <c r="XFC281" s="6"/>
    </row>
    <row r="282" s="5" customFormat="true" ht="28.5" hidden="false" customHeight="true" outlineLevel="0" collapsed="false">
      <c r="A282" s="16" t="str">
        <f aca="false">IF($U282="","",1+COUNTIF($X$15:$X$728,"&lt;"&amp;X282))</f>
        <v/>
      </c>
      <c r="B282" s="16" t="s">
        <v>16</v>
      </c>
      <c r="C282" s="16" t="s">
        <v>853</v>
      </c>
      <c r="D282" s="16" t="s">
        <v>58</v>
      </c>
      <c r="E282" s="16" t="s">
        <v>47</v>
      </c>
      <c r="F282" s="16" t="s">
        <v>854</v>
      </c>
      <c r="G282" s="16" t="s">
        <v>855</v>
      </c>
      <c r="H282" s="17" t="n">
        <v>1950</v>
      </c>
      <c r="I282" s="17"/>
      <c r="J282" s="17"/>
      <c r="K282" s="17" t="n">
        <v>1950</v>
      </c>
      <c r="L282" s="17" t="n">
        <f aca="false">IF(AND(IFERROR(SEARCH("현대오일뱅크",$C282),0)&gt;0,IFERROR(SEARCH("직영",$C282),0)&gt;0),$B$13,0)</f>
        <v>0</v>
      </c>
      <c r="M282" s="17" t="n">
        <f aca="false">IF($H282="","",$H282+$L282)</f>
        <v>1950</v>
      </c>
      <c r="N282" s="17" t="str">
        <f aca="false">IF($I282="","",$I282+$L282)</f>
        <v/>
      </c>
      <c r="O282" s="17" t="n">
        <f aca="false">IF($K282="","",$K282+$L282)</f>
        <v>1950</v>
      </c>
      <c r="P282" s="17" t="str">
        <f aca="false">IF($B$10=0,"",IFERROR(IF($B$4&gt;0,"휘발유 "&amp;TEXT(IF($M282="",1/0,$M282*$B$4),"#,##0")&amp;"원","")&amp;IF($B$5&gt;0,IF($B$4&gt;0," / ","")&amp;"고급유 "&amp;TEXT(IF($N282="",1/0,$N282*$B$5),"#,##0")&amp;"원","")&amp;IF($B$6&gt;0,IF(OR($B$4&gt;0,$B$5&gt;0)," / ","")&amp;"경유 "&amp;TEXT(IF($O282="",1/0,$O282*$B$6),"#,##0")&amp;"원",""),""))</f>
        <v/>
      </c>
      <c r="Q282" s="17" t="str">
        <f aca="false">IF($B$10=0,"",IFERROR(IF($B$4&gt;0,IF($M282="",1/0,$M282*$B$4),0)+IF($B$5&gt;0,IF($N282="",1/0,$N282*$B$5),0)+IF($B$6&gt;0,IF($O282="",1/0,$O282*$B$6),0),""))</f>
        <v/>
      </c>
      <c r="R282" s="17" t="s">
        <v>47</v>
      </c>
      <c r="S282" s="18" t="str">
        <f aca="false">IF($Q282="","",IF($R282="Y",IFERROR(VLOOKUP($B282,$C$4:$D$13,2,FALSE()),0),0))</f>
        <v/>
      </c>
      <c r="T282" s="17" t="str">
        <f aca="false">IF($Q282="","",ROUNDDOWN($Q282*$S282,0))</f>
        <v/>
      </c>
      <c r="U282" s="17" t="str">
        <f aca="false">IF($Q282="","",$Q282-$T282)</f>
        <v/>
      </c>
      <c r="V282" s="17" t="str">
        <f aca="false">IF($U282="","",IF($B$10=0,"",$U282/$B$10))</f>
        <v/>
      </c>
      <c r="W282" s="17" t="str">
        <f aca="false">IF($Q282="","",IF($B$10=0,"",$Q282/$B$10))</f>
        <v/>
      </c>
      <c r="X282" s="19" t="n">
        <f aca="false">IF($U282="",1000000000000000,$U282)</f>
        <v>1000000000000000</v>
      </c>
      <c r="XFC282" s="6"/>
    </row>
    <row r="283" s="5" customFormat="true" ht="28.5" hidden="false" customHeight="true" outlineLevel="0" collapsed="false">
      <c r="A283" s="16" t="str">
        <f aca="false">IF($U283="","",1+COUNTIF($X$15:$X$728,"&lt;"&amp;X283))</f>
        <v/>
      </c>
      <c r="B283" s="16" t="s">
        <v>14</v>
      </c>
      <c r="C283" s="16" t="s">
        <v>856</v>
      </c>
      <c r="D283" s="16" t="s">
        <v>112</v>
      </c>
      <c r="E283" s="16" t="s">
        <v>59</v>
      </c>
      <c r="F283" s="16" t="s">
        <v>857</v>
      </c>
      <c r="G283" s="16" t="s">
        <v>858</v>
      </c>
      <c r="H283" s="17" t="n">
        <v>1930</v>
      </c>
      <c r="I283" s="17"/>
      <c r="J283" s="17"/>
      <c r="K283" s="17" t="n">
        <v>1990</v>
      </c>
      <c r="L283" s="17" t="n">
        <f aca="false">IF(AND(IFERROR(SEARCH("현대오일뱅크",$C283),0)&gt;0,IFERROR(SEARCH("직영",$C283),0)&gt;0),$B$13,0)</f>
        <v>0</v>
      </c>
      <c r="M283" s="17" t="n">
        <f aca="false">IF($H283="","",$H283+$L283)</f>
        <v>1930</v>
      </c>
      <c r="N283" s="17" t="str">
        <f aca="false">IF($I283="","",$I283+$L283)</f>
        <v/>
      </c>
      <c r="O283" s="17" t="n">
        <f aca="false">IF($K283="","",$K283+$L283)</f>
        <v>1990</v>
      </c>
      <c r="P283" s="17" t="str">
        <f aca="false">IF($B$10=0,"",IFERROR(IF($B$4&gt;0,"휘발유 "&amp;TEXT(IF($M283="",1/0,$M283*$B$4),"#,##0")&amp;"원","")&amp;IF($B$5&gt;0,IF($B$4&gt;0," / ","")&amp;"고급유 "&amp;TEXT(IF($N283="",1/0,$N283*$B$5),"#,##0")&amp;"원","")&amp;IF($B$6&gt;0,IF(OR($B$4&gt;0,$B$5&gt;0)," / ","")&amp;"경유 "&amp;TEXT(IF($O283="",1/0,$O283*$B$6),"#,##0")&amp;"원",""),""))</f>
        <v/>
      </c>
      <c r="Q283" s="17" t="str">
        <f aca="false">IF($B$10=0,"",IFERROR(IF($B$4&gt;0,IF($M283="",1/0,$M283*$B$4),0)+IF($B$5&gt;0,IF($N283="",1/0,$N283*$B$5),0)+IF($B$6&gt;0,IF($O283="",1/0,$O283*$B$6),0),""))</f>
        <v/>
      </c>
      <c r="R283" s="17" t="s">
        <v>47</v>
      </c>
      <c r="S283" s="18" t="str">
        <f aca="false">IF($Q283="","",IF($R283="Y",IFERROR(VLOOKUP($B283,$C$4:$D$13,2,FALSE()),0),0))</f>
        <v/>
      </c>
      <c r="T283" s="17" t="str">
        <f aca="false">IF($Q283="","",ROUNDDOWN($Q283*$S283,0))</f>
        <v/>
      </c>
      <c r="U283" s="17" t="str">
        <f aca="false">IF($Q283="","",$Q283-$T283)</f>
        <v/>
      </c>
      <c r="V283" s="17" t="str">
        <f aca="false">IF($U283="","",IF($B$10=0,"",$U283/$B$10))</f>
        <v/>
      </c>
      <c r="W283" s="17" t="str">
        <f aca="false">IF($Q283="","",IF($B$10=0,"",$Q283/$B$10))</f>
        <v/>
      </c>
      <c r="X283" s="19" t="n">
        <f aca="false">IF($U283="",1000000000000000,$U283)</f>
        <v>1000000000000000</v>
      </c>
      <c r="XFC283" s="6"/>
    </row>
    <row r="284" s="5" customFormat="true" ht="28.5" hidden="false" customHeight="true" outlineLevel="0" collapsed="false">
      <c r="A284" s="16" t="str">
        <f aca="false">IF($U284="","",1+COUNTIF($X$15:$X$728,"&lt;"&amp;X284))</f>
        <v/>
      </c>
      <c r="B284" s="16" t="s">
        <v>6</v>
      </c>
      <c r="C284" s="16" t="s">
        <v>859</v>
      </c>
      <c r="D284" s="16" t="s">
        <v>51</v>
      </c>
      <c r="E284" s="16" t="s">
        <v>59</v>
      </c>
      <c r="F284" s="16" t="s">
        <v>860</v>
      </c>
      <c r="G284" s="16" t="s">
        <v>861</v>
      </c>
      <c r="H284" s="17" t="n">
        <v>1909</v>
      </c>
      <c r="I284" s="17"/>
      <c r="J284" s="17"/>
      <c r="K284" s="17" t="n">
        <v>1899</v>
      </c>
      <c r="L284" s="17" t="n">
        <f aca="false">IF(AND(IFERROR(SEARCH("현대오일뱅크",$C284),0)&gt;0,IFERROR(SEARCH("직영",$C284),0)&gt;0),$B$13,0)</f>
        <v>0</v>
      </c>
      <c r="M284" s="17" t="n">
        <f aca="false">IF($H284="","",$H284+$L284)</f>
        <v>1909</v>
      </c>
      <c r="N284" s="17" t="str">
        <f aca="false">IF($I284="","",$I284+$L284)</f>
        <v/>
      </c>
      <c r="O284" s="17" t="n">
        <f aca="false">IF($K284="","",$K284+$L284)</f>
        <v>1899</v>
      </c>
      <c r="P284" s="17" t="str">
        <f aca="false">IF($B$10=0,"",IFERROR(IF($B$4&gt;0,"휘발유 "&amp;TEXT(IF($M284="",1/0,$M284*$B$4),"#,##0")&amp;"원","")&amp;IF($B$5&gt;0,IF($B$4&gt;0," / ","")&amp;"고급유 "&amp;TEXT(IF($N284="",1/0,$N284*$B$5),"#,##0")&amp;"원","")&amp;IF($B$6&gt;0,IF(OR($B$4&gt;0,$B$5&gt;0)," / ","")&amp;"경유 "&amp;TEXT(IF($O284="",1/0,$O284*$B$6),"#,##0")&amp;"원",""),""))</f>
        <v/>
      </c>
      <c r="Q284" s="17" t="str">
        <f aca="false">IF($B$10=0,"",IFERROR(IF($B$4&gt;0,IF($M284="",1/0,$M284*$B$4),0)+IF($B$5&gt;0,IF($N284="",1/0,$N284*$B$5),0)+IF($B$6&gt;0,IF($O284="",1/0,$O284*$B$6),0),""))</f>
        <v/>
      </c>
      <c r="R284" s="17" t="s">
        <v>47</v>
      </c>
      <c r="S284" s="18" t="str">
        <f aca="false">IF($Q284="","",IF($R284="Y",IFERROR(VLOOKUP($B284,$C$4:$D$13,2,FALSE()),0),0))</f>
        <v/>
      </c>
      <c r="T284" s="17" t="str">
        <f aca="false">IF($Q284="","",ROUNDDOWN($Q284*$S284,0))</f>
        <v/>
      </c>
      <c r="U284" s="17" t="str">
        <f aca="false">IF($Q284="","",$Q284-$T284)</f>
        <v/>
      </c>
      <c r="V284" s="17" t="str">
        <f aca="false">IF($U284="","",IF($B$10=0,"",$U284/$B$10))</f>
        <v/>
      </c>
      <c r="W284" s="17" t="str">
        <f aca="false">IF($Q284="","",IF($B$10=0,"",$Q284/$B$10))</f>
        <v/>
      </c>
      <c r="X284" s="19" t="n">
        <f aca="false">IF($U284="",1000000000000000,$U284)</f>
        <v>1000000000000000</v>
      </c>
      <c r="XFC284" s="6"/>
    </row>
    <row r="285" s="5" customFormat="true" ht="28.5" hidden="false" customHeight="true" outlineLevel="0" collapsed="false">
      <c r="A285" s="16" t="str">
        <f aca="false">IF($U285="","",1+COUNTIF($X$15:$X$728,"&lt;"&amp;X285))</f>
        <v/>
      </c>
      <c r="B285" s="16" t="s">
        <v>6</v>
      </c>
      <c r="C285" s="16" t="s">
        <v>862</v>
      </c>
      <c r="D285" s="16" t="s">
        <v>58</v>
      </c>
      <c r="E285" s="16" t="s">
        <v>47</v>
      </c>
      <c r="F285" s="16" t="s">
        <v>863</v>
      </c>
      <c r="G285" s="16" t="s">
        <v>864</v>
      </c>
      <c r="H285" s="17" t="n">
        <v>1909</v>
      </c>
      <c r="I285" s="17"/>
      <c r="J285" s="17"/>
      <c r="K285" s="17" t="n">
        <v>1945</v>
      </c>
      <c r="L285" s="17" t="n">
        <f aca="false">IF(AND(IFERROR(SEARCH("현대오일뱅크",$C285),0)&gt;0,IFERROR(SEARCH("직영",$C285),0)&gt;0),$B$13,0)</f>
        <v>0</v>
      </c>
      <c r="M285" s="17" t="n">
        <f aca="false">IF($H285="","",$H285+$L285)</f>
        <v>1909</v>
      </c>
      <c r="N285" s="17" t="str">
        <f aca="false">IF($I285="","",$I285+$L285)</f>
        <v/>
      </c>
      <c r="O285" s="17" t="n">
        <f aca="false">IF($K285="","",$K285+$L285)</f>
        <v>1945</v>
      </c>
      <c r="P285" s="17" t="str">
        <f aca="false">IF($B$10=0,"",IFERROR(IF($B$4&gt;0,"휘발유 "&amp;TEXT(IF($M285="",1/0,$M285*$B$4),"#,##0")&amp;"원","")&amp;IF($B$5&gt;0,IF($B$4&gt;0," / ","")&amp;"고급유 "&amp;TEXT(IF($N285="",1/0,$N285*$B$5),"#,##0")&amp;"원","")&amp;IF($B$6&gt;0,IF(OR($B$4&gt;0,$B$5&gt;0)," / ","")&amp;"경유 "&amp;TEXT(IF($O285="",1/0,$O285*$B$6),"#,##0")&amp;"원",""),""))</f>
        <v/>
      </c>
      <c r="Q285" s="17" t="str">
        <f aca="false">IF($B$10=0,"",IFERROR(IF($B$4&gt;0,IF($M285="",1/0,$M285*$B$4),0)+IF($B$5&gt;0,IF($N285="",1/0,$N285*$B$5),0)+IF($B$6&gt;0,IF($O285="",1/0,$O285*$B$6),0),""))</f>
        <v/>
      </c>
      <c r="R285" s="17" t="s">
        <v>47</v>
      </c>
      <c r="S285" s="18" t="str">
        <f aca="false">IF($Q285="","",IF($R285="Y",IFERROR(VLOOKUP($B285,$C$4:$D$13,2,FALSE()),0),0))</f>
        <v/>
      </c>
      <c r="T285" s="17" t="str">
        <f aca="false">IF($Q285="","",ROUNDDOWN($Q285*$S285,0))</f>
        <v/>
      </c>
      <c r="U285" s="17" t="str">
        <f aca="false">IF($Q285="","",$Q285-$T285)</f>
        <v/>
      </c>
      <c r="V285" s="17" t="str">
        <f aca="false">IF($U285="","",IF($B$10=0,"",$U285/$B$10))</f>
        <v/>
      </c>
      <c r="W285" s="17" t="str">
        <f aca="false">IF($Q285="","",IF($B$10=0,"",$Q285/$B$10))</f>
        <v/>
      </c>
      <c r="X285" s="19" t="n">
        <f aca="false">IF($U285="",1000000000000000,$U285)</f>
        <v>1000000000000000</v>
      </c>
      <c r="XFC285" s="6"/>
    </row>
    <row r="286" s="5" customFormat="true" ht="28.5" hidden="false" customHeight="true" outlineLevel="0" collapsed="false">
      <c r="A286" s="16" t="str">
        <f aca="false">IF($U286="","",1+COUNTIF($X$15:$X$728,"&lt;"&amp;X286))</f>
        <v/>
      </c>
      <c r="B286" s="16" t="s">
        <v>8</v>
      </c>
      <c r="C286" s="16" t="s">
        <v>865</v>
      </c>
      <c r="D286" s="16" t="s">
        <v>58</v>
      </c>
      <c r="E286" s="16" t="s">
        <v>59</v>
      </c>
      <c r="F286" s="16" t="s">
        <v>866</v>
      </c>
      <c r="G286" s="16" t="s">
        <v>867</v>
      </c>
      <c r="H286" s="17" t="n">
        <v>1910</v>
      </c>
      <c r="I286" s="17"/>
      <c r="J286" s="17"/>
      <c r="K286" s="17" t="n">
        <v>1920</v>
      </c>
      <c r="L286" s="17" t="n">
        <f aca="false">IF(AND(IFERROR(SEARCH("현대오일뱅크",$C286),0)&gt;0,IFERROR(SEARCH("직영",$C286),0)&gt;0),$B$13,0)</f>
        <v>0</v>
      </c>
      <c r="M286" s="17" t="n">
        <f aca="false">IF($H286="","",$H286+$L286)</f>
        <v>1910</v>
      </c>
      <c r="N286" s="17" t="str">
        <f aca="false">IF($I286="","",$I286+$L286)</f>
        <v/>
      </c>
      <c r="O286" s="17" t="n">
        <f aca="false">IF($K286="","",$K286+$L286)</f>
        <v>1920</v>
      </c>
      <c r="P286" s="17" t="str">
        <f aca="false">IF($B$10=0,"",IFERROR(IF($B$4&gt;0,"휘발유 "&amp;TEXT(IF($M286="",1/0,$M286*$B$4),"#,##0")&amp;"원","")&amp;IF($B$5&gt;0,IF($B$4&gt;0," / ","")&amp;"고급유 "&amp;TEXT(IF($N286="",1/0,$N286*$B$5),"#,##0")&amp;"원","")&amp;IF($B$6&gt;0,IF(OR($B$4&gt;0,$B$5&gt;0)," / ","")&amp;"경유 "&amp;TEXT(IF($O286="",1/0,$O286*$B$6),"#,##0")&amp;"원",""),""))</f>
        <v/>
      </c>
      <c r="Q286" s="17" t="str">
        <f aca="false">IF($B$10=0,"",IFERROR(IF($B$4&gt;0,IF($M286="",1/0,$M286*$B$4),0)+IF($B$5&gt;0,IF($N286="",1/0,$N286*$B$5),0)+IF($B$6&gt;0,IF($O286="",1/0,$O286*$B$6),0),""))</f>
        <v/>
      </c>
      <c r="R286" s="17" t="s">
        <v>47</v>
      </c>
      <c r="S286" s="18" t="str">
        <f aca="false">IF($Q286="","",IF($R286="Y",IFERROR(VLOOKUP($B286,$C$4:$D$13,2,FALSE()),0),0))</f>
        <v/>
      </c>
      <c r="T286" s="17" t="str">
        <f aca="false">IF($Q286="","",ROUNDDOWN($Q286*$S286,0))</f>
        <v/>
      </c>
      <c r="U286" s="17" t="str">
        <f aca="false">IF($Q286="","",$Q286-$T286)</f>
        <v/>
      </c>
      <c r="V286" s="17" t="str">
        <f aca="false">IF($U286="","",IF($B$10=0,"",$U286/$B$10))</f>
        <v/>
      </c>
      <c r="W286" s="17" t="str">
        <f aca="false">IF($Q286="","",IF($B$10=0,"",$Q286/$B$10))</f>
        <v/>
      </c>
      <c r="X286" s="19" t="n">
        <f aca="false">IF($U286="",1000000000000000,$U286)</f>
        <v>1000000000000000</v>
      </c>
      <c r="XFC286" s="6"/>
    </row>
    <row r="287" s="5" customFormat="true" ht="28.5" hidden="false" customHeight="true" outlineLevel="0" collapsed="false">
      <c r="A287" s="16" t="str">
        <f aca="false">IF($U287="","",1+COUNTIF($X$15:$X$728,"&lt;"&amp;X287))</f>
        <v/>
      </c>
      <c r="B287" s="16" t="s">
        <v>10</v>
      </c>
      <c r="C287" s="16" t="s">
        <v>868</v>
      </c>
      <c r="D287" s="16" t="s">
        <v>58</v>
      </c>
      <c r="E287" s="16" t="s">
        <v>47</v>
      </c>
      <c r="F287" s="16" t="s">
        <v>869</v>
      </c>
      <c r="G287" s="16" t="s">
        <v>870</v>
      </c>
      <c r="H287" s="17" t="n">
        <v>1914</v>
      </c>
      <c r="I287" s="17"/>
      <c r="J287" s="17"/>
      <c r="K287" s="17" t="n">
        <v>1957</v>
      </c>
      <c r="L287" s="17" t="n">
        <f aca="false">IF(AND(IFERROR(SEARCH("현대오일뱅크",$C287),0)&gt;0,IFERROR(SEARCH("직영",$C287),0)&gt;0),$B$13,0)</f>
        <v>0</v>
      </c>
      <c r="M287" s="17" t="n">
        <f aca="false">IF($H287="","",$H287+$L287)</f>
        <v>1914</v>
      </c>
      <c r="N287" s="17" t="str">
        <f aca="false">IF($I287="","",$I287+$L287)</f>
        <v/>
      </c>
      <c r="O287" s="17" t="n">
        <f aca="false">IF($K287="","",$K287+$L287)</f>
        <v>1957</v>
      </c>
      <c r="P287" s="17" t="str">
        <f aca="false">IF($B$10=0,"",IFERROR(IF($B$4&gt;0,"휘발유 "&amp;TEXT(IF($M287="",1/0,$M287*$B$4),"#,##0")&amp;"원","")&amp;IF($B$5&gt;0,IF($B$4&gt;0," / ","")&amp;"고급유 "&amp;TEXT(IF($N287="",1/0,$N287*$B$5),"#,##0")&amp;"원","")&amp;IF($B$6&gt;0,IF(OR($B$4&gt;0,$B$5&gt;0)," / ","")&amp;"경유 "&amp;TEXT(IF($O287="",1/0,$O287*$B$6),"#,##0")&amp;"원",""),""))</f>
        <v/>
      </c>
      <c r="Q287" s="17" t="str">
        <f aca="false">IF($B$10=0,"",IFERROR(IF($B$4&gt;0,IF($M287="",1/0,$M287*$B$4),0)+IF($B$5&gt;0,IF($N287="",1/0,$N287*$B$5),0)+IF($B$6&gt;0,IF($O287="",1/0,$O287*$B$6),0),""))</f>
        <v/>
      </c>
      <c r="R287" s="17" t="s">
        <v>47</v>
      </c>
      <c r="S287" s="18" t="str">
        <f aca="false">IF($Q287="","",IF($R287="Y",IFERROR(VLOOKUP($B287,$C$4:$D$13,2,FALSE()),0),0))</f>
        <v/>
      </c>
      <c r="T287" s="17" t="str">
        <f aca="false">IF($Q287="","",ROUNDDOWN($Q287*$S287,0))</f>
        <v/>
      </c>
      <c r="U287" s="17" t="str">
        <f aca="false">IF($Q287="","",$Q287-$T287)</f>
        <v/>
      </c>
      <c r="V287" s="17" t="str">
        <f aca="false">IF($U287="","",IF($B$10=0,"",$U287/$B$10))</f>
        <v/>
      </c>
      <c r="W287" s="17" t="str">
        <f aca="false">IF($Q287="","",IF($B$10=0,"",$Q287/$B$10))</f>
        <v/>
      </c>
      <c r="X287" s="19" t="n">
        <f aca="false">IF($U287="",1000000000000000,$U287)</f>
        <v>1000000000000000</v>
      </c>
      <c r="XFC287" s="6"/>
    </row>
    <row r="288" s="5" customFormat="true" ht="28.5" hidden="false" customHeight="true" outlineLevel="0" collapsed="false">
      <c r="A288" s="16" t="str">
        <f aca="false">IF($U288="","",1+COUNTIF($X$15:$X$728,"&lt;"&amp;X288))</f>
        <v/>
      </c>
      <c r="B288" s="16" t="s">
        <v>6</v>
      </c>
      <c r="C288" s="16" t="s">
        <v>871</v>
      </c>
      <c r="D288" s="16" t="s">
        <v>58</v>
      </c>
      <c r="E288" s="16" t="s">
        <v>47</v>
      </c>
      <c r="F288" s="16" t="s">
        <v>872</v>
      </c>
      <c r="G288" s="16" t="s">
        <v>873</v>
      </c>
      <c r="H288" s="17" t="n">
        <v>1915</v>
      </c>
      <c r="I288" s="17"/>
      <c r="J288" s="17"/>
      <c r="K288" s="17" t="n">
        <v>1935</v>
      </c>
      <c r="L288" s="17" t="n">
        <f aca="false">IF(AND(IFERROR(SEARCH("현대오일뱅크",$C288),0)&gt;0,IFERROR(SEARCH("직영",$C288),0)&gt;0),$B$13,0)</f>
        <v>0</v>
      </c>
      <c r="M288" s="17" t="n">
        <f aca="false">IF($H288="","",$H288+$L288)</f>
        <v>1915</v>
      </c>
      <c r="N288" s="17" t="str">
        <f aca="false">IF($I288="","",$I288+$L288)</f>
        <v/>
      </c>
      <c r="O288" s="17" t="n">
        <f aca="false">IF($K288="","",$K288+$L288)</f>
        <v>1935</v>
      </c>
      <c r="P288" s="17" t="str">
        <f aca="false">IF($B$10=0,"",IFERROR(IF($B$4&gt;0,"휘발유 "&amp;TEXT(IF($M288="",1/0,$M288*$B$4),"#,##0")&amp;"원","")&amp;IF($B$5&gt;0,IF($B$4&gt;0," / ","")&amp;"고급유 "&amp;TEXT(IF($N288="",1/0,$N288*$B$5),"#,##0")&amp;"원","")&amp;IF($B$6&gt;0,IF(OR($B$4&gt;0,$B$5&gt;0)," / ","")&amp;"경유 "&amp;TEXT(IF($O288="",1/0,$O288*$B$6),"#,##0")&amp;"원",""),""))</f>
        <v/>
      </c>
      <c r="Q288" s="17" t="str">
        <f aca="false">IF($B$10=0,"",IFERROR(IF($B$4&gt;0,IF($M288="",1/0,$M288*$B$4),0)+IF($B$5&gt;0,IF($N288="",1/0,$N288*$B$5),0)+IF($B$6&gt;0,IF($O288="",1/0,$O288*$B$6),0),""))</f>
        <v/>
      </c>
      <c r="R288" s="17" t="s">
        <v>47</v>
      </c>
      <c r="S288" s="18" t="str">
        <f aca="false">IF($Q288="","",IF($R288="Y",IFERROR(VLOOKUP($B288,$C$4:$D$13,2,FALSE()),0),0))</f>
        <v/>
      </c>
      <c r="T288" s="17" t="str">
        <f aca="false">IF($Q288="","",ROUNDDOWN($Q288*$S288,0))</f>
        <v/>
      </c>
      <c r="U288" s="17" t="str">
        <f aca="false">IF($Q288="","",$Q288-$T288)</f>
        <v/>
      </c>
      <c r="V288" s="17" t="str">
        <f aca="false">IF($U288="","",IF($B$10=0,"",$U288/$B$10))</f>
        <v/>
      </c>
      <c r="W288" s="17" t="str">
        <f aca="false">IF($Q288="","",IF($B$10=0,"",$Q288/$B$10))</f>
        <v/>
      </c>
      <c r="X288" s="19" t="n">
        <f aca="false">IF($U288="",1000000000000000,$U288)</f>
        <v>1000000000000000</v>
      </c>
      <c r="XFC288" s="6"/>
    </row>
    <row r="289" s="5" customFormat="true" ht="28.5" hidden="false" customHeight="true" outlineLevel="0" collapsed="false">
      <c r="A289" s="16" t="str">
        <f aca="false">IF($U289="","",1+COUNTIF($X$15:$X$728,"&lt;"&amp;X289))</f>
        <v/>
      </c>
      <c r="B289" s="16" t="s">
        <v>6</v>
      </c>
      <c r="C289" s="16" t="s">
        <v>874</v>
      </c>
      <c r="D289" s="16" t="s">
        <v>629</v>
      </c>
      <c r="E289" s="16" t="s">
        <v>47</v>
      </c>
      <c r="F289" s="16" t="s">
        <v>875</v>
      </c>
      <c r="G289" s="16" t="s">
        <v>876</v>
      </c>
      <c r="H289" s="17" t="n">
        <v>1915</v>
      </c>
      <c r="I289" s="17"/>
      <c r="J289" s="17"/>
      <c r="K289" s="17" t="n">
        <v>1925</v>
      </c>
      <c r="L289" s="17" t="n">
        <f aca="false">IF(AND(IFERROR(SEARCH("현대오일뱅크",$C289),0)&gt;0,IFERROR(SEARCH("직영",$C289),0)&gt;0),$B$13,0)</f>
        <v>0</v>
      </c>
      <c r="M289" s="17" t="n">
        <f aca="false">IF($H289="","",$H289+$L289)</f>
        <v>1915</v>
      </c>
      <c r="N289" s="17" t="str">
        <f aca="false">IF($I289="","",$I289+$L289)</f>
        <v/>
      </c>
      <c r="O289" s="17" t="n">
        <f aca="false">IF($K289="","",$K289+$L289)</f>
        <v>1925</v>
      </c>
      <c r="P289" s="17" t="str">
        <f aca="false">IF($B$10=0,"",IFERROR(IF($B$4&gt;0,"휘발유 "&amp;TEXT(IF($M289="",1/0,$M289*$B$4),"#,##0")&amp;"원","")&amp;IF($B$5&gt;0,IF($B$4&gt;0," / ","")&amp;"고급유 "&amp;TEXT(IF($N289="",1/0,$N289*$B$5),"#,##0")&amp;"원","")&amp;IF($B$6&gt;0,IF(OR($B$4&gt;0,$B$5&gt;0)," / ","")&amp;"경유 "&amp;TEXT(IF($O289="",1/0,$O289*$B$6),"#,##0")&amp;"원",""),""))</f>
        <v/>
      </c>
      <c r="Q289" s="17" t="str">
        <f aca="false">IF($B$10=0,"",IFERROR(IF($B$4&gt;0,IF($M289="",1/0,$M289*$B$4),0)+IF($B$5&gt;0,IF($N289="",1/0,$N289*$B$5),0)+IF($B$6&gt;0,IF($O289="",1/0,$O289*$B$6),0),""))</f>
        <v/>
      </c>
      <c r="R289" s="17" t="s">
        <v>47</v>
      </c>
      <c r="S289" s="18" t="str">
        <f aca="false">IF($Q289="","",IF($R289="Y",IFERROR(VLOOKUP($B289,$C$4:$D$13,2,FALSE()),0),0))</f>
        <v/>
      </c>
      <c r="T289" s="17" t="str">
        <f aca="false">IF($Q289="","",ROUNDDOWN($Q289*$S289,0))</f>
        <v/>
      </c>
      <c r="U289" s="17" t="str">
        <f aca="false">IF($Q289="","",$Q289-$T289)</f>
        <v/>
      </c>
      <c r="V289" s="17" t="str">
        <f aca="false">IF($U289="","",IF($B$10=0,"",$U289/$B$10))</f>
        <v/>
      </c>
      <c r="W289" s="17" t="str">
        <f aca="false">IF($Q289="","",IF($B$10=0,"",$Q289/$B$10))</f>
        <v/>
      </c>
      <c r="X289" s="19" t="n">
        <f aca="false">IF($U289="",1000000000000000,$U289)</f>
        <v>1000000000000000</v>
      </c>
      <c r="XFC289" s="6"/>
    </row>
    <row r="290" s="5" customFormat="true" ht="28.5" hidden="false" customHeight="true" outlineLevel="0" collapsed="false">
      <c r="A290" s="16" t="str">
        <f aca="false">IF($U290="","",1+COUNTIF($X$15:$X$728,"&lt;"&amp;X290))</f>
        <v/>
      </c>
      <c r="B290" s="16" t="s">
        <v>16</v>
      </c>
      <c r="C290" s="16" t="s">
        <v>877</v>
      </c>
      <c r="D290" s="20" t="s">
        <v>108</v>
      </c>
      <c r="E290" s="16" t="s">
        <v>47</v>
      </c>
      <c r="F290" s="16" t="s">
        <v>878</v>
      </c>
      <c r="G290" s="16" t="s">
        <v>879</v>
      </c>
      <c r="H290" s="17" t="n">
        <v>1959</v>
      </c>
      <c r="I290" s="17"/>
      <c r="J290" s="17"/>
      <c r="K290" s="17" t="n">
        <v>1949</v>
      </c>
      <c r="L290" s="17" t="n">
        <f aca="false">IF(AND(IFERROR(SEARCH("현대오일뱅크",$C290),0)&gt;0,IFERROR(SEARCH("직영",$C290),0)&gt;0),$B$13,0)</f>
        <v>0</v>
      </c>
      <c r="M290" s="17" t="n">
        <f aca="false">IF($H290="","",$H290+$L290)</f>
        <v>1959</v>
      </c>
      <c r="N290" s="17" t="str">
        <f aca="false">IF($I290="","",$I290+$L290)</f>
        <v/>
      </c>
      <c r="O290" s="17" t="n">
        <f aca="false">IF($K290="","",$K290+$L290)</f>
        <v>1949</v>
      </c>
      <c r="P290" s="17" t="str">
        <f aca="false">IF($B$10=0,"",IFERROR(IF($B$4&gt;0,"휘발유 "&amp;TEXT(IF($M290="",1/0,$M290*$B$4),"#,##0")&amp;"원","")&amp;IF($B$5&gt;0,IF($B$4&gt;0," / ","")&amp;"고급유 "&amp;TEXT(IF($N290="",1/0,$N290*$B$5),"#,##0")&amp;"원","")&amp;IF($B$6&gt;0,IF(OR($B$4&gt;0,$B$5&gt;0)," / ","")&amp;"경유 "&amp;TEXT(IF($O290="",1/0,$O290*$B$6),"#,##0")&amp;"원",""),""))</f>
        <v/>
      </c>
      <c r="Q290" s="17" t="str">
        <f aca="false">IF($B$10=0,"",IFERROR(IF($B$4&gt;0,IF($M290="",1/0,$M290*$B$4),0)+IF($B$5&gt;0,IF($N290="",1/0,$N290*$B$5),0)+IF($B$6&gt;0,IF($O290="",1/0,$O290*$B$6),0),""))</f>
        <v/>
      </c>
      <c r="R290" s="17" t="s">
        <v>47</v>
      </c>
      <c r="S290" s="18" t="str">
        <f aca="false">IF($Q290="","",IF($R290="Y",IFERROR(VLOOKUP($B290,$C$4:$D$13,2,FALSE()),0),0))</f>
        <v/>
      </c>
      <c r="T290" s="17" t="str">
        <f aca="false">IF($Q290="","",ROUNDDOWN($Q290*$S290,0))</f>
        <v/>
      </c>
      <c r="U290" s="17" t="str">
        <f aca="false">IF($Q290="","",$Q290-$T290)</f>
        <v/>
      </c>
      <c r="V290" s="17" t="str">
        <f aca="false">IF($U290="","",IF($B$10=0,"",$U290/$B$10))</f>
        <v/>
      </c>
      <c r="W290" s="17" t="str">
        <f aca="false">IF($Q290="","",IF($B$10=0,"",$Q290/$B$10))</f>
        <v/>
      </c>
      <c r="X290" s="19" t="n">
        <f aca="false">IF($U290="",1000000000000000,$U290)</f>
        <v>1000000000000000</v>
      </c>
      <c r="XFC290" s="6"/>
    </row>
    <row r="291" s="5" customFormat="true" ht="28.5" hidden="false" customHeight="true" outlineLevel="0" collapsed="false">
      <c r="A291" s="16" t="str">
        <f aca="false">IF($U291="","",1+COUNTIF($X$15:$X$728,"&lt;"&amp;X291))</f>
        <v/>
      </c>
      <c r="B291" s="16" t="s">
        <v>16</v>
      </c>
      <c r="C291" s="16" t="s">
        <v>880</v>
      </c>
      <c r="D291" s="16" t="s">
        <v>58</v>
      </c>
      <c r="E291" s="16" t="s">
        <v>59</v>
      </c>
      <c r="F291" s="16" t="s">
        <v>881</v>
      </c>
      <c r="G291" s="16" t="s">
        <v>882</v>
      </c>
      <c r="H291" s="17" t="n">
        <v>1959</v>
      </c>
      <c r="I291" s="17"/>
      <c r="J291" s="17"/>
      <c r="K291" s="17" t="n">
        <v>1989</v>
      </c>
      <c r="L291" s="17" t="n">
        <f aca="false">IF(AND(IFERROR(SEARCH("현대오일뱅크",$C291),0)&gt;0,IFERROR(SEARCH("직영",$C291),0)&gt;0),$B$13,0)</f>
        <v>0</v>
      </c>
      <c r="M291" s="17" t="n">
        <f aca="false">IF($H291="","",$H291+$L291)</f>
        <v>1959</v>
      </c>
      <c r="N291" s="17" t="str">
        <f aca="false">IF($I291="","",$I291+$L291)</f>
        <v/>
      </c>
      <c r="O291" s="17" t="n">
        <f aca="false">IF($K291="","",$K291+$L291)</f>
        <v>1989</v>
      </c>
      <c r="P291" s="17" t="str">
        <f aca="false">IF($B$10=0,"",IFERROR(IF($B$4&gt;0,"휘발유 "&amp;TEXT(IF($M291="",1/0,$M291*$B$4),"#,##0")&amp;"원","")&amp;IF($B$5&gt;0,IF($B$4&gt;0," / ","")&amp;"고급유 "&amp;TEXT(IF($N291="",1/0,$N291*$B$5),"#,##0")&amp;"원","")&amp;IF($B$6&gt;0,IF(OR($B$4&gt;0,$B$5&gt;0)," / ","")&amp;"경유 "&amp;TEXT(IF($O291="",1/0,$O291*$B$6),"#,##0")&amp;"원",""),""))</f>
        <v/>
      </c>
      <c r="Q291" s="17" t="str">
        <f aca="false">IF($B$10=0,"",IFERROR(IF($B$4&gt;0,IF($M291="",1/0,$M291*$B$4),0)+IF($B$5&gt;0,IF($N291="",1/0,$N291*$B$5),0)+IF($B$6&gt;0,IF($O291="",1/0,$O291*$B$6),0),""))</f>
        <v/>
      </c>
      <c r="R291" s="17" t="s">
        <v>47</v>
      </c>
      <c r="S291" s="18" t="str">
        <f aca="false">IF($Q291="","",IF($R291="Y",IFERROR(VLOOKUP($B291,$C$4:$D$13,2,FALSE()),0),0))</f>
        <v/>
      </c>
      <c r="T291" s="17" t="str">
        <f aca="false">IF($Q291="","",ROUNDDOWN($Q291*$S291,0))</f>
        <v/>
      </c>
      <c r="U291" s="17" t="str">
        <f aca="false">IF($Q291="","",$Q291-$T291)</f>
        <v/>
      </c>
      <c r="V291" s="17" t="str">
        <f aca="false">IF($U291="","",IF($B$10=0,"",$U291/$B$10))</f>
        <v/>
      </c>
      <c r="W291" s="17" t="str">
        <f aca="false">IF($Q291="","",IF($B$10=0,"",$Q291/$B$10))</f>
        <v/>
      </c>
      <c r="X291" s="19" t="n">
        <f aca="false">IF($U291="",1000000000000000,$U291)</f>
        <v>1000000000000000</v>
      </c>
      <c r="XFC291" s="6"/>
    </row>
    <row r="292" s="5" customFormat="true" ht="28.5" hidden="false" customHeight="true" outlineLevel="0" collapsed="false">
      <c r="A292" s="16" t="str">
        <f aca="false">IF($U292="","",1+COUNTIF($X$15:$X$728,"&lt;"&amp;X292))</f>
        <v/>
      </c>
      <c r="B292" s="16" t="s">
        <v>16</v>
      </c>
      <c r="C292" s="16" t="s">
        <v>883</v>
      </c>
      <c r="D292" s="16" t="s">
        <v>58</v>
      </c>
      <c r="E292" s="16" t="s">
        <v>47</v>
      </c>
      <c r="F292" s="16" t="s">
        <v>884</v>
      </c>
      <c r="G292" s="16" t="s">
        <v>885</v>
      </c>
      <c r="H292" s="17" t="n">
        <v>1960</v>
      </c>
      <c r="I292" s="17"/>
      <c r="J292" s="17"/>
      <c r="K292" s="17" t="n">
        <v>1970</v>
      </c>
      <c r="L292" s="17" t="n">
        <f aca="false">IF(AND(IFERROR(SEARCH("현대오일뱅크",$C292),0)&gt;0,IFERROR(SEARCH("직영",$C292),0)&gt;0),$B$13,0)</f>
        <v>0</v>
      </c>
      <c r="M292" s="17" t="n">
        <f aca="false">IF($H292="","",$H292+$L292)</f>
        <v>1960</v>
      </c>
      <c r="N292" s="17" t="str">
        <f aca="false">IF($I292="","",$I292+$L292)</f>
        <v/>
      </c>
      <c r="O292" s="17" t="n">
        <f aca="false">IF($K292="","",$K292+$L292)</f>
        <v>1970</v>
      </c>
      <c r="P292" s="17" t="str">
        <f aca="false">IF($B$10=0,"",IFERROR(IF($B$4&gt;0,"휘발유 "&amp;TEXT(IF($M292="",1/0,$M292*$B$4),"#,##0")&amp;"원","")&amp;IF($B$5&gt;0,IF($B$4&gt;0," / ","")&amp;"고급유 "&amp;TEXT(IF($N292="",1/0,$N292*$B$5),"#,##0")&amp;"원","")&amp;IF($B$6&gt;0,IF(OR($B$4&gt;0,$B$5&gt;0)," / ","")&amp;"경유 "&amp;TEXT(IF($O292="",1/0,$O292*$B$6),"#,##0")&amp;"원",""),""))</f>
        <v/>
      </c>
      <c r="Q292" s="17" t="str">
        <f aca="false">IF($B$10=0,"",IFERROR(IF($B$4&gt;0,IF($M292="",1/0,$M292*$B$4),0)+IF($B$5&gt;0,IF($N292="",1/0,$N292*$B$5),0)+IF($B$6&gt;0,IF($O292="",1/0,$O292*$B$6),0),""))</f>
        <v/>
      </c>
      <c r="R292" s="17" t="s">
        <v>47</v>
      </c>
      <c r="S292" s="18" t="str">
        <f aca="false">IF($Q292="","",IF($R292="Y",IFERROR(VLOOKUP($B292,$C$4:$D$13,2,FALSE()),0),0))</f>
        <v/>
      </c>
      <c r="T292" s="17" t="str">
        <f aca="false">IF($Q292="","",ROUNDDOWN($Q292*$S292,0))</f>
        <v/>
      </c>
      <c r="U292" s="17" t="str">
        <f aca="false">IF($Q292="","",$Q292-$T292)</f>
        <v/>
      </c>
      <c r="V292" s="17" t="str">
        <f aca="false">IF($U292="","",IF($B$10=0,"",$U292/$B$10))</f>
        <v/>
      </c>
      <c r="W292" s="17" t="str">
        <f aca="false">IF($Q292="","",IF($B$10=0,"",$Q292/$B$10))</f>
        <v/>
      </c>
      <c r="X292" s="19" t="n">
        <f aca="false">IF($U292="",1000000000000000,$U292)</f>
        <v>1000000000000000</v>
      </c>
      <c r="XFC292" s="6"/>
    </row>
    <row r="293" s="5" customFormat="true" ht="28.5" hidden="false" customHeight="true" outlineLevel="0" collapsed="false">
      <c r="A293" s="16" t="str">
        <f aca="false">IF($U293="","",1+COUNTIF($X$15:$X$728,"&lt;"&amp;X293))</f>
        <v/>
      </c>
      <c r="B293" s="16" t="s">
        <v>6</v>
      </c>
      <c r="C293" s="16" t="s">
        <v>886</v>
      </c>
      <c r="D293" s="16" t="s">
        <v>51</v>
      </c>
      <c r="E293" s="16" t="s">
        <v>47</v>
      </c>
      <c r="F293" s="16" t="s">
        <v>887</v>
      </c>
      <c r="G293" s="16" t="s">
        <v>888</v>
      </c>
      <c r="H293" s="17" t="n">
        <v>1917</v>
      </c>
      <c r="I293" s="17"/>
      <c r="J293" s="17"/>
      <c r="K293" s="17" t="n">
        <v>1945</v>
      </c>
      <c r="L293" s="17" t="n">
        <f aca="false">IF(AND(IFERROR(SEARCH("현대오일뱅크",$C293),0)&gt;0,IFERROR(SEARCH("직영",$C293),0)&gt;0),$B$13,0)</f>
        <v>0</v>
      </c>
      <c r="M293" s="17" t="n">
        <f aca="false">IF($H293="","",$H293+$L293)</f>
        <v>1917</v>
      </c>
      <c r="N293" s="17" t="str">
        <f aca="false">IF($I293="","",$I293+$L293)</f>
        <v/>
      </c>
      <c r="O293" s="17" t="n">
        <f aca="false">IF($K293="","",$K293+$L293)</f>
        <v>1945</v>
      </c>
      <c r="P293" s="17" t="str">
        <f aca="false">IF($B$10=0,"",IFERROR(IF($B$4&gt;0,"휘발유 "&amp;TEXT(IF($M293="",1/0,$M293*$B$4),"#,##0")&amp;"원","")&amp;IF($B$5&gt;0,IF($B$4&gt;0," / ","")&amp;"고급유 "&amp;TEXT(IF($N293="",1/0,$N293*$B$5),"#,##0")&amp;"원","")&amp;IF($B$6&gt;0,IF(OR($B$4&gt;0,$B$5&gt;0)," / ","")&amp;"경유 "&amp;TEXT(IF($O293="",1/0,$O293*$B$6),"#,##0")&amp;"원",""),""))</f>
        <v/>
      </c>
      <c r="Q293" s="17" t="str">
        <f aca="false">IF($B$10=0,"",IFERROR(IF($B$4&gt;0,IF($M293="",1/0,$M293*$B$4),0)+IF($B$5&gt;0,IF($N293="",1/0,$N293*$B$5),0)+IF($B$6&gt;0,IF($O293="",1/0,$O293*$B$6),0),""))</f>
        <v/>
      </c>
      <c r="R293" s="17" t="s">
        <v>47</v>
      </c>
      <c r="S293" s="18" t="str">
        <f aca="false">IF($Q293="","",IF($R293="Y",IFERROR(VLOOKUP($B293,$C$4:$D$13,2,FALSE()),0),0))</f>
        <v/>
      </c>
      <c r="T293" s="17" t="str">
        <f aca="false">IF($Q293="","",ROUNDDOWN($Q293*$S293,0))</f>
        <v/>
      </c>
      <c r="U293" s="17" t="str">
        <f aca="false">IF($Q293="","",$Q293-$T293)</f>
        <v/>
      </c>
      <c r="V293" s="17" t="str">
        <f aca="false">IF($U293="","",IF($B$10=0,"",$U293/$B$10))</f>
        <v/>
      </c>
      <c r="W293" s="17" t="str">
        <f aca="false">IF($Q293="","",IF($B$10=0,"",$Q293/$B$10))</f>
        <v/>
      </c>
      <c r="X293" s="19" t="n">
        <f aca="false">IF($U293="",1000000000000000,$U293)</f>
        <v>1000000000000000</v>
      </c>
      <c r="XFC293" s="6"/>
    </row>
    <row r="294" s="5" customFormat="true" ht="28.5" hidden="false" customHeight="true" outlineLevel="0" collapsed="false">
      <c r="A294" s="16" t="str">
        <f aca="false">IF($U294="","",1+COUNTIF($X$15:$X$728,"&lt;"&amp;X294))</f>
        <v/>
      </c>
      <c r="B294" s="16" t="s">
        <v>6</v>
      </c>
      <c r="C294" s="16" t="s">
        <v>632</v>
      </c>
      <c r="D294" s="16" t="s">
        <v>112</v>
      </c>
      <c r="E294" s="16" t="s">
        <v>47</v>
      </c>
      <c r="F294" s="16" t="s">
        <v>889</v>
      </c>
      <c r="G294" s="16" t="s">
        <v>890</v>
      </c>
      <c r="H294" s="17" t="n">
        <v>1917</v>
      </c>
      <c r="I294" s="17"/>
      <c r="J294" s="17"/>
      <c r="K294" s="17" t="n">
        <v>1949</v>
      </c>
      <c r="L294" s="17" t="n">
        <f aca="false">IF(AND(IFERROR(SEARCH("현대오일뱅크",$C294),0)&gt;0,IFERROR(SEARCH("직영",$C294),0)&gt;0),$B$13,0)</f>
        <v>0</v>
      </c>
      <c r="M294" s="17" t="n">
        <f aca="false">IF($H294="","",$H294+$L294)</f>
        <v>1917</v>
      </c>
      <c r="N294" s="17" t="str">
        <f aca="false">IF($I294="","",$I294+$L294)</f>
        <v/>
      </c>
      <c r="O294" s="17" t="n">
        <f aca="false">IF($K294="","",$K294+$L294)</f>
        <v>1949</v>
      </c>
      <c r="P294" s="17" t="str">
        <f aca="false">IF($B$10=0,"",IFERROR(IF($B$4&gt;0,"휘발유 "&amp;TEXT(IF($M294="",1/0,$M294*$B$4),"#,##0")&amp;"원","")&amp;IF($B$5&gt;0,IF($B$4&gt;0," / ","")&amp;"고급유 "&amp;TEXT(IF($N294="",1/0,$N294*$B$5),"#,##0")&amp;"원","")&amp;IF($B$6&gt;0,IF(OR($B$4&gt;0,$B$5&gt;0)," / ","")&amp;"경유 "&amp;TEXT(IF($O294="",1/0,$O294*$B$6),"#,##0")&amp;"원",""),""))</f>
        <v/>
      </c>
      <c r="Q294" s="17" t="str">
        <f aca="false">IF($B$10=0,"",IFERROR(IF($B$4&gt;0,IF($M294="",1/0,$M294*$B$4),0)+IF($B$5&gt;0,IF($N294="",1/0,$N294*$B$5),0)+IF($B$6&gt;0,IF($O294="",1/0,$O294*$B$6),0),""))</f>
        <v/>
      </c>
      <c r="R294" s="17" t="s">
        <v>47</v>
      </c>
      <c r="S294" s="18" t="str">
        <f aca="false">IF($Q294="","",IF($R294="Y",IFERROR(VLOOKUP($B294,$C$4:$D$13,2,FALSE()),0),0))</f>
        <v/>
      </c>
      <c r="T294" s="17" t="str">
        <f aca="false">IF($Q294="","",ROUNDDOWN($Q294*$S294,0))</f>
        <v/>
      </c>
      <c r="U294" s="17" t="str">
        <f aca="false">IF($Q294="","",$Q294-$T294)</f>
        <v/>
      </c>
      <c r="V294" s="17" t="str">
        <f aca="false">IF($U294="","",IF($B$10=0,"",$U294/$B$10))</f>
        <v/>
      </c>
      <c r="W294" s="17" t="str">
        <f aca="false">IF($Q294="","",IF($B$10=0,"",$Q294/$B$10))</f>
        <v/>
      </c>
      <c r="X294" s="19" t="n">
        <f aca="false">IF($U294="",1000000000000000,$U294)</f>
        <v>1000000000000000</v>
      </c>
      <c r="XFC294" s="6"/>
    </row>
    <row r="295" s="5" customFormat="true" ht="28.5" hidden="false" customHeight="true" outlineLevel="0" collapsed="false">
      <c r="A295" s="16" t="str">
        <f aca="false">IF($U295="","",1+COUNTIF($X$15:$X$728,"&lt;"&amp;X295))</f>
        <v/>
      </c>
      <c r="B295" s="16" t="s">
        <v>14</v>
      </c>
      <c r="C295" s="16" t="s">
        <v>891</v>
      </c>
      <c r="D295" s="16" t="s">
        <v>112</v>
      </c>
      <c r="E295" s="16" t="s">
        <v>47</v>
      </c>
      <c r="F295" s="16" t="s">
        <v>892</v>
      </c>
      <c r="G295" s="16" t="s">
        <v>893</v>
      </c>
      <c r="H295" s="17" t="n">
        <v>1939</v>
      </c>
      <c r="I295" s="17"/>
      <c r="J295" s="17"/>
      <c r="K295" s="17" t="n">
        <v>1939</v>
      </c>
      <c r="L295" s="17" t="n">
        <f aca="false">IF(AND(IFERROR(SEARCH("현대오일뱅크",$C295),0)&gt;0,IFERROR(SEARCH("직영",$C295),0)&gt;0),$B$13,0)</f>
        <v>0</v>
      </c>
      <c r="M295" s="17" t="n">
        <f aca="false">IF($H295="","",$H295+$L295)</f>
        <v>1939</v>
      </c>
      <c r="N295" s="17" t="str">
        <f aca="false">IF($I295="","",$I295+$L295)</f>
        <v/>
      </c>
      <c r="O295" s="17" t="n">
        <f aca="false">IF($K295="","",$K295+$L295)</f>
        <v>1939</v>
      </c>
      <c r="P295" s="17" t="str">
        <f aca="false">IF($B$10=0,"",IFERROR(IF($B$4&gt;0,"휘발유 "&amp;TEXT(IF($M295="",1/0,$M295*$B$4),"#,##0")&amp;"원","")&amp;IF($B$5&gt;0,IF($B$4&gt;0," / ","")&amp;"고급유 "&amp;TEXT(IF($N295="",1/0,$N295*$B$5),"#,##0")&amp;"원","")&amp;IF($B$6&gt;0,IF(OR($B$4&gt;0,$B$5&gt;0)," / ","")&amp;"경유 "&amp;TEXT(IF($O295="",1/0,$O295*$B$6),"#,##0")&amp;"원",""),""))</f>
        <v/>
      </c>
      <c r="Q295" s="17" t="str">
        <f aca="false">IF($B$10=0,"",IFERROR(IF($B$4&gt;0,IF($M295="",1/0,$M295*$B$4),0)+IF($B$5&gt;0,IF($N295="",1/0,$N295*$B$5),0)+IF($B$6&gt;0,IF($O295="",1/0,$O295*$B$6),0),""))</f>
        <v/>
      </c>
      <c r="R295" s="17" t="s">
        <v>47</v>
      </c>
      <c r="S295" s="18" t="str">
        <f aca="false">IF($Q295="","",IF($R295="Y",IFERROR(VLOOKUP($B295,$C$4:$D$13,2,FALSE()),0),0))</f>
        <v/>
      </c>
      <c r="T295" s="17" t="str">
        <f aca="false">IF($Q295="","",ROUNDDOWN($Q295*$S295,0))</f>
        <v/>
      </c>
      <c r="U295" s="17" t="str">
        <f aca="false">IF($Q295="","",$Q295-$T295)</f>
        <v/>
      </c>
      <c r="V295" s="17" t="str">
        <f aca="false">IF($U295="","",IF($B$10=0,"",$U295/$B$10))</f>
        <v/>
      </c>
      <c r="W295" s="17" t="str">
        <f aca="false">IF($Q295="","",IF($B$10=0,"",$Q295/$B$10))</f>
        <v/>
      </c>
      <c r="X295" s="19" t="n">
        <f aca="false">IF($U295="",1000000000000000,$U295)</f>
        <v>1000000000000000</v>
      </c>
      <c r="XFC295" s="6"/>
    </row>
    <row r="296" s="5" customFormat="true" ht="28.5" hidden="false" customHeight="true" outlineLevel="0" collapsed="false">
      <c r="A296" s="16" t="str">
        <f aca="false">IF($U296="","",1+COUNTIF($X$15:$X$728,"&lt;"&amp;X296))</f>
        <v/>
      </c>
      <c r="B296" s="16" t="s">
        <v>14</v>
      </c>
      <c r="C296" s="16" t="s">
        <v>894</v>
      </c>
      <c r="D296" s="16" t="s">
        <v>51</v>
      </c>
      <c r="E296" s="16" t="s">
        <v>47</v>
      </c>
      <c r="F296" s="16" t="s">
        <v>895</v>
      </c>
      <c r="G296" s="16" t="s">
        <v>896</v>
      </c>
      <c r="H296" s="17" t="n">
        <v>1939</v>
      </c>
      <c r="I296" s="17"/>
      <c r="J296" s="17"/>
      <c r="K296" s="17" t="n">
        <v>1957</v>
      </c>
      <c r="L296" s="17" t="n">
        <f aca="false">IF(AND(IFERROR(SEARCH("현대오일뱅크",$C296),0)&gt;0,IFERROR(SEARCH("직영",$C296),0)&gt;0),$B$13,0)</f>
        <v>0</v>
      </c>
      <c r="M296" s="17" t="n">
        <f aca="false">IF($H296="","",$H296+$L296)</f>
        <v>1939</v>
      </c>
      <c r="N296" s="17" t="str">
        <f aca="false">IF($I296="","",$I296+$L296)</f>
        <v/>
      </c>
      <c r="O296" s="17" t="n">
        <f aca="false">IF($K296="","",$K296+$L296)</f>
        <v>1957</v>
      </c>
      <c r="P296" s="17" t="str">
        <f aca="false">IF($B$10=0,"",IFERROR(IF($B$4&gt;0,"휘발유 "&amp;TEXT(IF($M296="",1/0,$M296*$B$4),"#,##0")&amp;"원","")&amp;IF($B$5&gt;0,IF($B$4&gt;0," / ","")&amp;"고급유 "&amp;TEXT(IF($N296="",1/0,$N296*$B$5),"#,##0")&amp;"원","")&amp;IF($B$6&gt;0,IF(OR($B$4&gt;0,$B$5&gt;0)," / ","")&amp;"경유 "&amp;TEXT(IF($O296="",1/0,$O296*$B$6),"#,##0")&amp;"원",""),""))</f>
        <v/>
      </c>
      <c r="Q296" s="17" t="str">
        <f aca="false">IF($B$10=0,"",IFERROR(IF($B$4&gt;0,IF($M296="",1/0,$M296*$B$4),0)+IF($B$5&gt;0,IF($N296="",1/0,$N296*$B$5),0)+IF($B$6&gt;0,IF($O296="",1/0,$O296*$B$6),0),""))</f>
        <v/>
      </c>
      <c r="R296" s="17" t="s">
        <v>47</v>
      </c>
      <c r="S296" s="18" t="str">
        <f aca="false">IF($Q296="","",IF($R296="Y",IFERROR(VLOOKUP($B296,$C$4:$D$13,2,FALSE()),0),0))</f>
        <v/>
      </c>
      <c r="T296" s="17" t="str">
        <f aca="false">IF($Q296="","",ROUNDDOWN($Q296*$S296,0))</f>
        <v/>
      </c>
      <c r="U296" s="17" t="str">
        <f aca="false">IF($Q296="","",$Q296-$T296)</f>
        <v/>
      </c>
      <c r="V296" s="17" t="str">
        <f aca="false">IF($U296="","",IF($B$10=0,"",$U296/$B$10))</f>
        <v/>
      </c>
      <c r="W296" s="17" t="str">
        <f aca="false">IF($Q296="","",IF($B$10=0,"",$Q296/$B$10))</f>
        <v/>
      </c>
      <c r="X296" s="19" t="n">
        <f aca="false">IF($U296="",1000000000000000,$U296)</f>
        <v>1000000000000000</v>
      </c>
      <c r="XFC296" s="6"/>
    </row>
    <row r="297" s="5" customFormat="true" ht="28.5" hidden="false" customHeight="true" outlineLevel="0" collapsed="false">
      <c r="A297" s="16" t="str">
        <f aca="false">IF($U297="","",1+COUNTIF($X$15:$X$728,"&lt;"&amp;X297))</f>
        <v/>
      </c>
      <c r="B297" s="16" t="s">
        <v>6</v>
      </c>
      <c r="C297" s="16" t="s">
        <v>897</v>
      </c>
      <c r="D297" s="16" t="s">
        <v>112</v>
      </c>
      <c r="E297" s="16" t="s">
        <v>47</v>
      </c>
      <c r="F297" s="16" t="s">
        <v>898</v>
      </c>
      <c r="G297" s="16" t="s">
        <v>899</v>
      </c>
      <c r="H297" s="17" t="n">
        <v>1919</v>
      </c>
      <c r="I297" s="17"/>
      <c r="J297" s="17"/>
      <c r="K297" s="17" t="n">
        <v>1919</v>
      </c>
      <c r="L297" s="17" t="n">
        <f aca="false">IF(AND(IFERROR(SEARCH("현대오일뱅크",$C297),0)&gt;0,IFERROR(SEARCH("직영",$C297),0)&gt;0),$B$13,0)</f>
        <v>0</v>
      </c>
      <c r="M297" s="17" t="n">
        <f aca="false">IF($H297="","",$H297+$L297)</f>
        <v>1919</v>
      </c>
      <c r="N297" s="17" t="str">
        <f aca="false">IF($I297="","",$I297+$L297)</f>
        <v/>
      </c>
      <c r="O297" s="17" t="n">
        <f aca="false">IF($K297="","",$K297+$L297)</f>
        <v>1919</v>
      </c>
      <c r="P297" s="17" t="str">
        <f aca="false">IF($B$10=0,"",IFERROR(IF($B$4&gt;0,"휘발유 "&amp;TEXT(IF($M297="",1/0,$M297*$B$4),"#,##0")&amp;"원","")&amp;IF($B$5&gt;0,IF($B$4&gt;0," / ","")&amp;"고급유 "&amp;TEXT(IF($N297="",1/0,$N297*$B$5),"#,##0")&amp;"원","")&amp;IF($B$6&gt;0,IF(OR($B$4&gt;0,$B$5&gt;0)," / ","")&amp;"경유 "&amp;TEXT(IF($O297="",1/0,$O297*$B$6),"#,##0")&amp;"원",""),""))</f>
        <v/>
      </c>
      <c r="Q297" s="17" t="str">
        <f aca="false">IF($B$10=0,"",IFERROR(IF($B$4&gt;0,IF($M297="",1/0,$M297*$B$4),0)+IF($B$5&gt;0,IF($N297="",1/0,$N297*$B$5),0)+IF($B$6&gt;0,IF($O297="",1/0,$O297*$B$6),0),""))</f>
        <v/>
      </c>
      <c r="R297" s="17" t="s">
        <v>47</v>
      </c>
      <c r="S297" s="18" t="str">
        <f aca="false">IF($Q297="","",IF($R297="Y",IFERROR(VLOOKUP($B297,$C$4:$D$13,2,FALSE()),0),0))</f>
        <v/>
      </c>
      <c r="T297" s="17" t="str">
        <f aca="false">IF($Q297="","",ROUNDDOWN($Q297*$S297,0))</f>
        <v/>
      </c>
      <c r="U297" s="17" t="str">
        <f aca="false">IF($Q297="","",$Q297-$T297)</f>
        <v/>
      </c>
      <c r="V297" s="17" t="str">
        <f aca="false">IF($U297="","",IF($B$10=0,"",$U297/$B$10))</f>
        <v/>
      </c>
      <c r="W297" s="17" t="str">
        <f aca="false">IF($Q297="","",IF($B$10=0,"",$Q297/$B$10))</f>
        <v/>
      </c>
      <c r="X297" s="19" t="n">
        <f aca="false">IF($U297="",1000000000000000,$U297)</f>
        <v>1000000000000000</v>
      </c>
      <c r="XFC297" s="6"/>
    </row>
    <row r="298" s="5" customFormat="true" ht="28.5" hidden="false" customHeight="true" outlineLevel="0" collapsed="false">
      <c r="A298" s="16" t="str">
        <f aca="false">IF($U298="","",1+COUNTIF($X$15:$X$728,"&lt;"&amp;X298))</f>
        <v/>
      </c>
      <c r="B298" s="16" t="s">
        <v>12</v>
      </c>
      <c r="C298" s="16" t="s">
        <v>900</v>
      </c>
      <c r="D298" s="20" t="s">
        <v>108</v>
      </c>
      <c r="E298" s="16" t="s">
        <v>47</v>
      </c>
      <c r="F298" s="16" t="s">
        <v>901</v>
      </c>
      <c r="G298" s="16" t="s">
        <v>902</v>
      </c>
      <c r="H298" s="17" t="n">
        <v>1919</v>
      </c>
      <c r="I298" s="17"/>
      <c r="J298" s="17"/>
      <c r="K298" s="17" t="n">
        <v>1959</v>
      </c>
      <c r="L298" s="17" t="n">
        <f aca="false">IF(AND(IFERROR(SEARCH("현대오일뱅크",$C298),0)&gt;0,IFERROR(SEARCH("직영",$C298),0)&gt;0),$B$13,0)</f>
        <v>0</v>
      </c>
      <c r="M298" s="17" t="n">
        <f aca="false">IF($H298="","",$H298+$L298)</f>
        <v>1919</v>
      </c>
      <c r="N298" s="17" t="str">
        <f aca="false">IF($I298="","",$I298+$L298)</f>
        <v/>
      </c>
      <c r="O298" s="17" t="n">
        <f aca="false">IF($K298="","",$K298+$L298)</f>
        <v>1959</v>
      </c>
      <c r="P298" s="17" t="str">
        <f aca="false">IF($B$10=0,"",IFERROR(IF($B$4&gt;0,"휘발유 "&amp;TEXT(IF($M298="",1/0,$M298*$B$4),"#,##0")&amp;"원","")&amp;IF($B$5&gt;0,IF($B$4&gt;0," / ","")&amp;"고급유 "&amp;TEXT(IF($N298="",1/0,$N298*$B$5),"#,##0")&amp;"원","")&amp;IF($B$6&gt;0,IF(OR($B$4&gt;0,$B$5&gt;0)," / ","")&amp;"경유 "&amp;TEXT(IF($O298="",1/0,$O298*$B$6),"#,##0")&amp;"원",""),""))</f>
        <v/>
      </c>
      <c r="Q298" s="17" t="str">
        <f aca="false">IF($B$10=0,"",IFERROR(IF($B$4&gt;0,IF($M298="",1/0,$M298*$B$4),0)+IF($B$5&gt;0,IF($N298="",1/0,$N298*$B$5),0)+IF($B$6&gt;0,IF($O298="",1/0,$O298*$B$6),0),""))</f>
        <v/>
      </c>
      <c r="R298" s="17" t="s">
        <v>47</v>
      </c>
      <c r="S298" s="18" t="str">
        <f aca="false">IF($Q298="","",IF($R298="Y",IFERROR(VLOOKUP($B298,$C$4:$D$13,2,FALSE()),0),0))</f>
        <v/>
      </c>
      <c r="T298" s="17" t="str">
        <f aca="false">IF($Q298="","",ROUNDDOWN($Q298*$S298,0))</f>
        <v/>
      </c>
      <c r="U298" s="17" t="str">
        <f aca="false">IF($Q298="","",$Q298-$T298)</f>
        <v/>
      </c>
      <c r="V298" s="17" t="str">
        <f aca="false">IF($U298="","",IF($B$10=0,"",$U298/$B$10))</f>
        <v/>
      </c>
      <c r="W298" s="17" t="str">
        <f aca="false">IF($Q298="","",IF($B$10=0,"",$Q298/$B$10))</f>
        <v/>
      </c>
      <c r="X298" s="19" t="n">
        <f aca="false">IF($U298="",1000000000000000,$U298)</f>
        <v>1000000000000000</v>
      </c>
      <c r="XFC298" s="6"/>
    </row>
    <row r="299" s="5" customFormat="true" ht="28.5" hidden="false" customHeight="true" outlineLevel="0" collapsed="false">
      <c r="A299" s="16" t="str">
        <f aca="false">IF($U299="","",1+COUNTIF($X$15:$X$728,"&lt;"&amp;X299))</f>
        <v/>
      </c>
      <c r="B299" s="16" t="s">
        <v>8</v>
      </c>
      <c r="C299" s="16" t="s">
        <v>903</v>
      </c>
      <c r="D299" s="16" t="s">
        <v>58</v>
      </c>
      <c r="E299" s="16" t="s">
        <v>59</v>
      </c>
      <c r="F299" s="16" t="s">
        <v>904</v>
      </c>
      <c r="G299" s="16" t="s">
        <v>905</v>
      </c>
      <c r="H299" s="17" t="n">
        <v>1919</v>
      </c>
      <c r="I299" s="17"/>
      <c r="J299" s="17"/>
      <c r="K299" s="17" t="n">
        <v>1949</v>
      </c>
      <c r="L299" s="17" t="n">
        <f aca="false">IF(AND(IFERROR(SEARCH("현대오일뱅크",$C299),0)&gt;0,IFERROR(SEARCH("직영",$C299),0)&gt;0),$B$13,0)</f>
        <v>0</v>
      </c>
      <c r="M299" s="17" t="n">
        <f aca="false">IF($H299="","",$H299+$L299)</f>
        <v>1919</v>
      </c>
      <c r="N299" s="17" t="str">
        <f aca="false">IF($I299="","",$I299+$L299)</f>
        <v/>
      </c>
      <c r="O299" s="17" t="n">
        <f aca="false">IF($K299="","",$K299+$L299)</f>
        <v>1949</v>
      </c>
      <c r="P299" s="17" t="str">
        <f aca="false">IF($B$10=0,"",IFERROR(IF($B$4&gt;0,"휘발유 "&amp;TEXT(IF($M299="",1/0,$M299*$B$4),"#,##0")&amp;"원","")&amp;IF($B$5&gt;0,IF($B$4&gt;0," / ","")&amp;"고급유 "&amp;TEXT(IF($N299="",1/0,$N299*$B$5),"#,##0")&amp;"원","")&amp;IF($B$6&gt;0,IF(OR($B$4&gt;0,$B$5&gt;0)," / ","")&amp;"경유 "&amp;TEXT(IF($O299="",1/0,$O299*$B$6),"#,##0")&amp;"원",""),""))</f>
        <v/>
      </c>
      <c r="Q299" s="17" t="str">
        <f aca="false">IF($B$10=0,"",IFERROR(IF($B$4&gt;0,IF($M299="",1/0,$M299*$B$4),0)+IF($B$5&gt;0,IF($N299="",1/0,$N299*$B$5),0)+IF($B$6&gt;0,IF($O299="",1/0,$O299*$B$6),0),""))</f>
        <v/>
      </c>
      <c r="R299" s="17" t="s">
        <v>47</v>
      </c>
      <c r="S299" s="18" t="str">
        <f aca="false">IF($Q299="","",IF($R299="Y",IFERROR(VLOOKUP($B299,$C$4:$D$13,2,FALSE()),0),0))</f>
        <v/>
      </c>
      <c r="T299" s="17" t="str">
        <f aca="false">IF($Q299="","",ROUNDDOWN($Q299*$S299,0))</f>
        <v/>
      </c>
      <c r="U299" s="17" t="str">
        <f aca="false">IF($Q299="","",$Q299-$T299)</f>
        <v/>
      </c>
      <c r="V299" s="17" t="str">
        <f aca="false">IF($U299="","",IF($B$10=0,"",$U299/$B$10))</f>
        <v/>
      </c>
      <c r="W299" s="17" t="str">
        <f aca="false">IF($Q299="","",IF($B$10=0,"",$Q299/$B$10))</f>
        <v/>
      </c>
      <c r="X299" s="19" t="n">
        <f aca="false">IF($U299="",1000000000000000,$U299)</f>
        <v>1000000000000000</v>
      </c>
      <c r="XFC299" s="6"/>
    </row>
    <row r="300" s="5" customFormat="true" ht="28.5" hidden="false" customHeight="true" outlineLevel="0" collapsed="false">
      <c r="A300" s="16" t="str">
        <f aca="false">IF($U300="","",1+COUNTIF($X$15:$X$728,"&lt;"&amp;X300))</f>
        <v/>
      </c>
      <c r="B300" s="16" t="s">
        <v>12</v>
      </c>
      <c r="C300" s="16" t="s">
        <v>906</v>
      </c>
      <c r="D300" s="20" t="s">
        <v>294</v>
      </c>
      <c r="E300" s="16" t="s">
        <v>47</v>
      </c>
      <c r="F300" s="16" t="s">
        <v>907</v>
      </c>
      <c r="G300" s="16" t="s">
        <v>908</v>
      </c>
      <c r="H300" s="17" t="n">
        <v>1919</v>
      </c>
      <c r="I300" s="17"/>
      <c r="J300" s="17"/>
      <c r="K300" s="17" t="n">
        <v>1959</v>
      </c>
      <c r="L300" s="17" t="n">
        <f aca="false">IF(AND(IFERROR(SEARCH("현대오일뱅크",$C300),0)&gt;0,IFERROR(SEARCH("직영",$C300),0)&gt;0),$B$13,0)</f>
        <v>0</v>
      </c>
      <c r="M300" s="17" t="n">
        <f aca="false">IF($H300="","",$H300+$L300)</f>
        <v>1919</v>
      </c>
      <c r="N300" s="17" t="str">
        <f aca="false">IF($I300="","",$I300+$L300)</f>
        <v/>
      </c>
      <c r="O300" s="17" t="n">
        <f aca="false">IF($K300="","",$K300+$L300)</f>
        <v>1959</v>
      </c>
      <c r="P300" s="17" t="str">
        <f aca="false">IF($B$10=0,"",IFERROR(IF($B$4&gt;0,"휘발유 "&amp;TEXT(IF($M300="",1/0,$M300*$B$4),"#,##0")&amp;"원","")&amp;IF($B$5&gt;0,IF($B$4&gt;0," / ","")&amp;"고급유 "&amp;TEXT(IF($N300="",1/0,$N300*$B$5),"#,##0")&amp;"원","")&amp;IF($B$6&gt;0,IF(OR($B$4&gt;0,$B$5&gt;0)," / ","")&amp;"경유 "&amp;TEXT(IF($O300="",1/0,$O300*$B$6),"#,##0")&amp;"원",""),""))</f>
        <v/>
      </c>
      <c r="Q300" s="17" t="str">
        <f aca="false">IF($B$10=0,"",IFERROR(IF($B$4&gt;0,IF($M300="",1/0,$M300*$B$4),0)+IF($B$5&gt;0,IF($N300="",1/0,$N300*$B$5),0)+IF($B$6&gt;0,IF($O300="",1/0,$O300*$B$6),0),""))</f>
        <v/>
      </c>
      <c r="R300" s="17" t="s">
        <v>47</v>
      </c>
      <c r="S300" s="18" t="str">
        <f aca="false">IF($Q300="","",IF($R300="Y",IFERROR(VLOOKUP($B300,$C$4:$D$13,2,FALSE()),0),0))</f>
        <v/>
      </c>
      <c r="T300" s="17" t="str">
        <f aca="false">IF($Q300="","",ROUNDDOWN($Q300*$S300,0))</f>
        <v/>
      </c>
      <c r="U300" s="17" t="str">
        <f aca="false">IF($Q300="","",$Q300-$T300)</f>
        <v/>
      </c>
      <c r="V300" s="17" t="str">
        <f aca="false">IF($U300="","",IF($B$10=0,"",$U300/$B$10))</f>
        <v/>
      </c>
      <c r="W300" s="17" t="str">
        <f aca="false">IF($Q300="","",IF($B$10=0,"",$Q300/$B$10))</f>
        <v/>
      </c>
      <c r="X300" s="19" t="n">
        <f aca="false">IF($U300="",1000000000000000,$U300)</f>
        <v>1000000000000000</v>
      </c>
      <c r="XFC300" s="6"/>
    </row>
    <row r="301" s="5" customFormat="true" ht="28.5" hidden="false" customHeight="true" outlineLevel="0" collapsed="false">
      <c r="A301" s="16" t="str">
        <f aca="false">IF($U301="","",1+COUNTIF($X$15:$X$728,"&lt;"&amp;X301))</f>
        <v/>
      </c>
      <c r="B301" s="16" t="s">
        <v>6</v>
      </c>
      <c r="C301" s="16" t="s">
        <v>909</v>
      </c>
      <c r="D301" s="16" t="s">
        <v>51</v>
      </c>
      <c r="E301" s="16" t="s">
        <v>47</v>
      </c>
      <c r="F301" s="16" t="s">
        <v>910</v>
      </c>
      <c r="G301" s="16" t="s">
        <v>911</v>
      </c>
      <c r="H301" s="17" t="n">
        <v>1919</v>
      </c>
      <c r="I301" s="17"/>
      <c r="J301" s="17"/>
      <c r="K301" s="17" t="n">
        <v>1919</v>
      </c>
      <c r="L301" s="17" t="n">
        <f aca="false">IF(AND(IFERROR(SEARCH("현대오일뱅크",$C301),0)&gt;0,IFERROR(SEARCH("직영",$C301),0)&gt;0),$B$13,0)</f>
        <v>0</v>
      </c>
      <c r="M301" s="17" t="n">
        <f aca="false">IF($H301="","",$H301+$L301)</f>
        <v>1919</v>
      </c>
      <c r="N301" s="17" t="str">
        <f aca="false">IF($I301="","",$I301+$L301)</f>
        <v/>
      </c>
      <c r="O301" s="17" t="n">
        <f aca="false">IF($K301="","",$K301+$L301)</f>
        <v>1919</v>
      </c>
      <c r="P301" s="17" t="str">
        <f aca="false">IF($B$10=0,"",IFERROR(IF($B$4&gt;0,"휘발유 "&amp;TEXT(IF($M301="",1/0,$M301*$B$4),"#,##0")&amp;"원","")&amp;IF($B$5&gt;0,IF($B$4&gt;0," / ","")&amp;"고급유 "&amp;TEXT(IF($N301="",1/0,$N301*$B$5),"#,##0")&amp;"원","")&amp;IF($B$6&gt;0,IF(OR($B$4&gt;0,$B$5&gt;0)," / ","")&amp;"경유 "&amp;TEXT(IF($O301="",1/0,$O301*$B$6),"#,##0")&amp;"원",""),""))</f>
        <v/>
      </c>
      <c r="Q301" s="17" t="str">
        <f aca="false">IF($B$10=0,"",IFERROR(IF($B$4&gt;0,IF($M301="",1/0,$M301*$B$4),0)+IF($B$5&gt;0,IF($N301="",1/0,$N301*$B$5),0)+IF($B$6&gt;0,IF($O301="",1/0,$O301*$B$6),0),""))</f>
        <v/>
      </c>
      <c r="R301" s="17" t="s">
        <v>47</v>
      </c>
      <c r="S301" s="18" t="str">
        <f aca="false">IF($Q301="","",IF($R301="Y",IFERROR(VLOOKUP($B301,$C$4:$D$13,2,FALSE()),0),0))</f>
        <v/>
      </c>
      <c r="T301" s="17" t="str">
        <f aca="false">IF($Q301="","",ROUNDDOWN($Q301*$S301,0))</f>
        <v/>
      </c>
      <c r="U301" s="17" t="str">
        <f aca="false">IF($Q301="","",$Q301-$T301)</f>
        <v/>
      </c>
      <c r="V301" s="17" t="str">
        <f aca="false">IF($U301="","",IF($B$10=0,"",$U301/$B$10))</f>
        <v/>
      </c>
      <c r="W301" s="17" t="str">
        <f aca="false">IF($Q301="","",IF($B$10=0,"",$Q301/$B$10))</f>
        <v/>
      </c>
      <c r="X301" s="19" t="n">
        <f aca="false">IF($U301="",1000000000000000,$U301)</f>
        <v>1000000000000000</v>
      </c>
      <c r="XFC301" s="6"/>
    </row>
    <row r="302" s="5" customFormat="true" ht="28.5" hidden="false" customHeight="true" outlineLevel="0" collapsed="false">
      <c r="A302" s="16" t="str">
        <f aca="false">IF($U302="","",1+COUNTIF($X$15:$X$728,"&lt;"&amp;X302))</f>
        <v/>
      </c>
      <c r="B302" s="16" t="s">
        <v>8</v>
      </c>
      <c r="C302" s="16" t="s">
        <v>912</v>
      </c>
      <c r="D302" s="20" t="s">
        <v>108</v>
      </c>
      <c r="E302" s="16" t="s">
        <v>59</v>
      </c>
      <c r="F302" s="16" t="s">
        <v>913</v>
      </c>
      <c r="G302" s="16" t="s">
        <v>914</v>
      </c>
      <c r="H302" s="17" t="n">
        <v>1920</v>
      </c>
      <c r="I302" s="17"/>
      <c r="J302" s="17"/>
      <c r="K302" s="17" t="n">
        <v>1970</v>
      </c>
      <c r="L302" s="17" t="n">
        <f aca="false">IF(AND(IFERROR(SEARCH("현대오일뱅크",$C302),0)&gt;0,IFERROR(SEARCH("직영",$C302),0)&gt;0),$B$13,0)</f>
        <v>0</v>
      </c>
      <c r="M302" s="17" t="n">
        <f aca="false">IF($H302="","",$H302+$L302)</f>
        <v>1920</v>
      </c>
      <c r="N302" s="17" t="str">
        <f aca="false">IF($I302="","",$I302+$L302)</f>
        <v/>
      </c>
      <c r="O302" s="17" t="n">
        <f aca="false">IF($K302="","",$K302+$L302)</f>
        <v>1970</v>
      </c>
      <c r="P302" s="17" t="str">
        <f aca="false">IF($B$10=0,"",IFERROR(IF($B$4&gt;0,"휘발유 "&amp;TEXT(IF($M302="",1/0,$M302*$B$4),"#,##0")&amp;"원","")&amp;IF($B$5&gt;0,IF($B$4&gt;0," / ","")&amp;"고급유 "&amp;TEXT(IF($N302="",1/0,$N302*$B$5),"#,##0")&amp;"원","")&amp;IF($B$6&gt;0,IF(OR($B$4&gt;0,$B$5&gt;0)," / ","")&amp;"경유 "&amp;TEXT(IF($O302="",1/0,$O302*$B$6),"#,##0")&amp;"원",""),""))</f>
        <v/>
      </c>
      <c r="Q302" s="17" t="str">
        <f aca="false">IF($B$10=0,"",IFERROR(IF($B$4&gt;0,IF($M302="",1/0,$M302*$B$4),0)+IF($B$5&gt;0,IF($N302="",1/0,$N302*$B$5),0)+IF($B$6&gt;0,IF($O302="",1/0,$O302*$B$6),0),""))</f>
        <v/>
      </c>
      <c r="R302" s="17" t="s">
        <v>47</v>
      </c>
      <c r="S302" s="18" t="str">
        <f aca="false">IF($Q302="","",IF($R302="Y",IFERROR(VLOOKUP($B302,$C$4:$D$13,2,FALSE()),0),0))</f>
        <v/>
      </c>
      <c r="T302" s="17" t="str">
        <f aca="false">IF($Q302="","",ROUNDDOWN($Q302*$S302,0))</f>
        <v/>
      </c>
      <c r="U302" s="17" t="str">
        <f aca="false">IF($Q302="","",$Q302-$T302)</f>
        <v/>
      </c>
      <c r="V302" s="17" t="str">
        <f aca="false">IF($U302="","",IF($B$10=0,"",$U302/$B$10))</f>
        <v/>
      </c>
      <c r="W302" s="17" t="str">
        <f aca="false">IF($Q302="","",IF($B$10=0,"",$Q302/$B$10))</f>
        <v/>
      </c>
      <c r="X302" s="19" t="n">
        <f aca="false">IF($U302="",1000000000000000,$U302)</f>
        <v>1000000000000000</v>
      </c>
      <c r="XFC302" s="6"/>
    </row>
    <row r="303" s="5" customFormat="true" ht="28.5" hidden="false" customHeight="true" outlineLevel="0" collapsed="false">
      <c r="A303" s="16" t="str">
        <f aca="false">IF($U303="","",1+COUNTIF($X$15:$X$728,"&lt;"&amp;X303))</f>
        <v/>
      </c>
      <c r="B303" s="16" t="s">
        <v>8</v>
      </c>
      <c r="C303" s="16" t="s">
        <v>565</v>
      </c>
      <c r="D303" s="16" t="s">
        <v>112</v>
      </c>
      <c r="E303" s="16" t="s">
        <v>59</v>
      </c>
      <c r="F303" s="16" t="s">
        <v>915</v>
      </c>
      <c r="G303" s="16" t="s">
        <v>916</v>
      </c>
      <c r="H303" s="17" t="n">
        <v>1920</v>
      </c>
      <c r="I303" s="17"/>
      <c r="J303" s="17"/>
      <c r="K303" s="17" t="n">
        <v>1965</v>
      </c>
      <c r="L303" s="17" t="n">
        <f aca="false">IF(AND(IFERROR(SEARCH("현대오일뱅크",$C303),0)&gt;0,IFERROR(SEARCH("직영",$C303),0)&gt;0),$B$13,0)</f>
        <v>0</v>
      </c>
      <c r="M303" s="17" t="n">
        <f aca="false">IF($H303="","",$H303+$L303)</f>
        <v>1920</v>
      </c>
      <c r="N303" s="17" t="str">
        <f aca="false">IF($I303="","",$I303+$L303)</f>
        <v/>
      </c>
      <c r="O303" s="17" t="n">
        <f aca="false">IF($K303="","",$K303+$L303)</f>
        <v>1965</v>
      </c>
      <c r="P303" s="17" t="str">
        <f aca="false">IF($B$10=0,"",IFERROR(IF($B$4&gt;0,"휘발유 "&amp;TEXT(IF($M303="",1/0,$M303*$B$4),"#,##0")&amp;"원","")&amp;IF($B$5&gt;0,IF($B$4&gt;0," / ","")&amp;"고급유 "&amp;TEXT(IF($N303="",1/0,$N303*$B$5),"#,##0")&amp;"원","")&amp;IF($B$6&gt;0,IF(OR($B$4&gt;0,$B$5&gt;0)," / ","")&amp;"경유 "&amp;TEXT(IF($O303="",1/0,$O303*$B$6),"#,##0")&amp;"원",""),""))</f>
        <v/>
      </c>
      <c r="Q303" s="17" t="str">
        <f aca="false">IF($B$10=0,"",IFERROR(IF($B$4&gt;0,IF($M303="",1/0,$M303*$B$4),0)+IF($B$5&gt;0,IF($N303="",1/0,$N303*$B$5),0)+IF($B$6&gt;0,IF($O303="",1/0,$O303*$B$6),0),""))</f>
        <v/>
      </c>
      <c r="R303" s="17" t="s">
        <v>47</v>
      </c>
      <c r="S303" s="18" t="str">
        <f aca="false">IF($Q303="","",IF($R303="Y",IFERROR(VLOOKUP($B303,$C$4:$D$13,2,FALSE()),0),0))</f>
        <v/>
      </c>
      <c r="T303" s="17" t="str">
        <f aca="false">IF($Q303="","",ROUNDDOWN($Q303*$S303,0))</f>
        <v/>
      </c>
      <c r="U303" s="17" t="str">
        <f aca="false">IF($Q303="","",$Q303-$T303)</f>
        <v/>
      </c>
      <c r="V303" s="17" t="str">
        <f aca="false">IF($U303="","",IF($B$10=0,"",$U303/$B$10))</f>
        <v/>
      </c>
      <c r="W303" s="17" t="str">
        <f aca="false">IF($Q303="","",IF($B$10=0,"",$Q303/$B$10))</f>
        <v/>
      </c>
      <c r="X303" s="19" t="n">
        <f aca="false">IF($U303="",1000000000000000,$U303)</f>
        <v>1000000000000000</v>
      </c>
      <c r="XFC303" s="6"/>
    </row>
    <row r="304" s="5" customFormat="true" ht="28.5" hidden="false" customHeight="true" outlineLevel="0" collapsed="false">
      <c r="A304" s="16" t="str">
        <f aca="false">IF($U304="","",1+COUNTIF($X$15:$X$728,"&lt;"&amp;X304))</f>
        <v/>
      </c>
      <c r="B304" s="16" t="s">
        <v>6</v>
      </c>
      <c r="C304" s="16" t="s">
        <v>917</v>
      </c>
      <c r="D304" s="16" t="s">
        <v>46</v>
      </c>
      <c r="E304" s="16" t="s">
        <v>47</v>
      </c>
      <c r="F304" s="16" t="s">
        <v>918</v>
      </c>
      <c r="G304" s="16" t="s">
        <v>919</v>
      </c>
      <c r="H304" s="17" t="n">
        <v>1923</v>
      </c>
      <c r="I304" s="17"/>
      <c r="J304" s="17"/>
      <c r="K304" s="17" t="n">
        <v>1935</v>
      </c>
      <c r="L304" s="17" t="n">
        <f aca="false">IF(AND(IFERROR(SEARCH("현대오일뱅크",$C304),0)&gt;0,IFERROR(SEARCH("직영",$C304),0)&gt;0),$B$13,0)</f>
        <v>0</v>
      </c>
      <c r="M304" s="17" t="n">
        <f aca="false">IF($H304="","",$H304+$L304)</f>
        <v>1923</v>
      </c>
      <c r="N304" s="17" t="str">
        <f aca="false">IF($I304="","",$I304+$L304)</f>
        <v/>
      </c>
      <c r="O304" s="17" t="n">
        <f aca="false">IF($K304="","",$K304+$L304)</f>
        <v>1935</v>
      </c>
      <c r="P304" s="17" t="str">
        <f aca="false">IF($B$10=0,"",IFERROR(IF($B$4&gt;0,"휘발유 "&amp;TEXT(IF($M304="",1/0,$M304*$B$4),"#,##0")&amp;"원","")&amp;IF($B$5&gt;0,IF($B$4&gt;0," / ","")&amp;"고급유 "&amp;TEXT(IF($N304="",1/0,$N304*$B$5),"#,##0")&amp;"원","")&amp;IF($B$6&gt;0,IF(OR($B$4&gt;0,$B$5&gt;0)," / ","")&amp;"경유 "&amp;TEXT(IF($O304="",1/0,$O304*$B$6),"#,##0")&amp;"원",""),""))</f>
        <v/>
      </c>
      <c r="Q304" s="17" t="str">
        <f aca="false">IF($B$10=0,"",IFERROR(IF($B$4&gt;0,IF($M304="",1/0,$M304*$B$4),0)+IF($B$5&gt;0,IF($N304="",1/0,$N304*$B$5),0)+IF($B$6&gt;0,IF($O304="",1/0,$O304*$B$6),0),""))</f>
        <v/>
      </c>
      <c r="R304" s="17" t="s">
        <v>47</v>
      </c>
      <c r="S304" s="18" t="str">
        <f aca="false">IF($Q304="","",IF($R304="Y",IFERROR(VLOOKUP($B304,$C$4:$D$13,2,FALSE()),0),0))</f>
        <v/>
      </c>
      <c r="T304" s="17" t="str">
        <f aca="false">IF($Q304="","",ROUNDDOWN($Q304*$S304,0))</f>
        <v/>
      </c>
      <c r="U304" s="17" t="str">
        <f aca="false">IF($Q304="","",$Q304-$T304)</f>
        <v/>
      </c>
      <c r="V304" s="17" t="str">
        <f aca="false">IF($U304="","",IF($B$10=0,"",$U304/$B$10))</f>
        <v/>
      </c>
      <c r="W304" s="17" t="str">
        <f aca="false">IF($Q304="","",IF($B$10=0,"",$Q304/$B$10))</f>
        <v/>
      </c>
      <c r="X304" s="19" t="n">
        <f aca="false">IF($U304="",1000000000000000,$U304)</f>
        <v>1000000000000000</v>
      </c>
      <c r="XFC304" s="6"/>
    </row>
    <row r="305" s="5" customFormat="true" ht="28.5" hidden="false" customHeight="true" outlineLevel="0" collapsed="false">
      <c r="A305" s="16" t="str">
        <f aca="false">IF($U305="","",1+COUNTIF($X$15:$X$728,"&lt;"&amp;X305))</f>
        <v/>
      </c>
      <c r="B305" s="16" t="s">
        <v>14</v>
      </c>
      <c r="C305" s="16" t="s">
        <v>920</v>
      </c>
      <c r="D305" s="16" t="s">
        <v>112</v>
      </c>
      <c r="E305" s="16" t="s">
        <v>47</v>
      </c>
      <c r="F305" s="16" t="s">
        <v>921</v>
      </c>
      <c r="G305" s="16" t="s">
        <v>922</v>
      </c>
      <c r="H305" s="17" t="n">
        <v>1945</v>
      </c>
      <c r="I305" s="17"/>
      <c r="J305" s="17"/>
      <c r="K305" s="17" t="n">
        <v>1959</v>
      </c>
      <c r="L305" s="17" t="n">
        <f aca="false">IF(AND(IFERROR(SEARCH("현대오일뱅크",$C305),0)&gt;0,IFERROR(SEARCH("직영",$C305),0)&gt;0),$B$13,0)</f>
        <v>0</v>
      </c>
      <c r="M305" s="17" t="n">
        <f aca="false">IF($H305="","",$H305+$L305)</f>
        <v>1945</v>
      </c>
      <c r="N305" s="17" t="str">
        <f aca="false">IF($I305="","",$I305+$L305)</f>
        <v/>
      </c>
      <c r="O305" s="17" t="n">
        <f aca="false">IF($K305="","",$K305+$L305)</f>
        <v>1959</v>
      </c>
      <c r="P305" s="17" t="str">
        <f aca="false">IF($B$10=0,"",IFERROR(IF($B$4&gt;0,"휘발유 "&amp;TEXT(IF($M305="",1/0,$M305*$B$4),"#,##0")&amp;"원","")&amp;IF($B$5&gt;0,IF($B$4&gt;0," / ","")&amp;"고급유 "&amp;TEXT(IF($N305="",1/0,$N305*$B$5),"#,##0")&amp;"원","")&amp;IF($B$6&gt;0,IF(OR($B$4&gt;0,$B$5&gt;0)," / ","")&amp;"경유 "&amp;TEXT(IF($O305="",1/0,$O305*$B$6),"#,##0")&amp;"원",""),""))</f>
        <v/>
      </c>
      <c r="Q305" s="17" t="str">
        <f aca="false">IF($B$10=0,"",IFERROR(IF($B$4&gt;0,IF($M305="",1/0,$M305*$B$4),0)+IF($B$5&gt;0,IF($N305="",1/0,$N305*$B$5),0)+IF($B$6&gt;0,IF($O305="",1/0,$O305*$B$6),0),""))</f>
        <v/>
      </c>
      <c r="R305" s="17" t="s">
        <v>47</v>
      </c>
      <c r="S305" s="18" t="str">
        <f aca="false">IF($Q305="","",IF($R305="Y",IFERROR(VLOOKUP($B305,$C$4:$D$13,2,FALSE()),0),0))</f>
        <v/>
      </c>
      <c r="T305" s="17" t="str">
        <f aca="false">IF($Q305="","",ROUNDDOWN($Q305*$S305,0))</f>
        <v/>
      </c>
      <c r="U305" s="17" t="str">
        <f aca="false">IF($Q305="","",$Q305-$T305)</f>
        <v/>
      </c>
      <c r="V305" s="17" t="str">
        <f aca="false">IF($U305="","",IF($B$10=0,"",$U305/$B$10))</f>
        <v/>
      </c>
      <c r="W305" s="17" t="str">
        <f aca="false">IF($Q305="","",IF($B$10=0,"",$Q305/$B$10))</f>
        <v/>
      </c>
      <c r="X305" s="19" t="n">
        <f aca="false">IF($U305="",1000000000000000,$U305)</f>
        <v>1000000000000000</v>
      </c>
      <c r="XFC305" s="6"/>
    </row>
    <row r="306" s="5" customFormat="true" ht="28.5" hidden="false" customHeight="true" outlineLevel="0" collapsed="false">
      <c r="A306" s="16" t="str">
        <f aca="false">IF($U306="","",1+COUNTIF($X$15:$X$728,"&lt;"&amp;X306))</f>
        <v/>
      </c>
      <c r="B306" s="16" t="s">
        <v>14</v>
      </c>
      <c r="C306" s="16" t="s">
        <v>923</v>
      </c>
      <c r="D306" s="16" t="s">
        <v>58</v>
      </c>
      <c r="E306" s="16" t="s">
        <v>47</v>
      </c>
      <c r="F306" s="16" t="s">
        <v>924</v>
      </c>
      <c r="G306" s="16" t="s">
        <v>925</v>
      </c>
      <c r="H306" s="17" t="n">
        <v>1945</v>
      </c>
      <c r="I306" s="17"/>
      <c r="J306" s="17"/>
      <c r="K306" s="17" t="n">
        <v>1985</v>
      </c>
      <c r="L306" s="17" t="n">
        <f aca="false">IF(AND(IFERROR(SEARCH("현대오일뱅크",$C306),0)&gt;0,IFERROR(SEARCH("직영",$C306),0)&gt;0),$B$13,0)</f>
        <v>0</v>
      </c>
      <c r="M306" s="17" t="n">
        <f aca="false">IF($H306="","",$H306+$L306)</f>
        <v>1945</v>
      </c>
      <c r="N306" s="17" t="str">
        <f aca="false">IF($I306="","",$I306+$L306)</f>
        <v/>
      </c>
      <c r="O306" s="17" t="n">
        <f aca="false">IF($K306="","",$K306+$L306)</f>
        <v>1985</v>
      </c>
      <c r="P306" s="17" t="str">
        <f aca="false">IF($B$10=0,"",IFERROR(IF($B$4&gt;0,"휘발유 "&amp;TEXT(IF($M306="",1/0,$M306*$B$4),"#,##0")&amp;"원","")&amp;IF($B$5&gt;0,IF($B$4&gt;0," / ","")&amp;"고급유 "&amp;TEXT(IF($N306="",1/0,$N306*$B$5),"#,##0")&amp;"원","")&amp;IF($B$6&gt;0,IF(OR($B$4&gt;0,$B$5&gt;0)," / ","")&amp;"경유 "&amp;TEXT(IF($O306="",1/0,$O306*$B$6),"#,##0")&amp;"원",""),""))</f>
        <v/>
      </c>
      <c r="Q306" s="17" t="str">
        <f aca="false">IF($B$10=0,"",IFERROR(IF($B$4&gt;0,IF($M306="",1/0,$M306*$B$4),0)+IF($B$5&gt;0,IF($N306="",1/0,$N306*$B$5),0)+IF($B$6&gt;0,IF($O306="",1/0,$O306*$B$6),0),""))</f>
        <v/>
      </c>
      <c r="R306" s="17" t="s">
        <v>47</v>
      </c>
      <c r="S306" s="18" t="str">
        <f aca="false">IF($Q306="","",IF($R306="Y",IFERROR(VLOOKUP($B306,$C$4:$D$13,2,FALSE()),0),0))</f>
        <v/>
      </c>
      <c r="T306" s="17" t="str">
        <f aca="false">IF($Q306="","",ROUNDDOWN($Q306*$S306,0))</f>
        <v/>
      </c>
      <c r="U306" s="17" t="str">
        <f aca="false">IF($Q306="","",$Q306-$T306)</f>
        <v/>
      </c>
      <c r="V306" s="17" t="str">
        <f aca="false">IF($U306="","",IF($B$10=0,"",$U306/$B$10))</f>
        <v/>
      </c>
      <c r="W306" s="17" t="str">
        <f aca="false">IF($Q306="","",IF($B$10=0,"",$Q306/$B$10))</f>
        <v/>
      </c>
      <c r="X306" s="19" t="n">
        <f aca="false">IF($U306="",1000000000000000,$U306)</f>
        <v>1000000000000000</v>
      </c>
      <c r="XFC306" s="6"/>
    </row>
    <row r="307" s="5" customFormat="true" ht="28.5" hidden="false" customHeight="true" outlineLevel="0" collapsed="false">
      <c r="A307" s="16" t="str">
        <f aca="false">IF($U307="","",1+COUNTIF($X$15:$X$728,"&lt;"&amp;X307))</f>
        <v/>
      </c>
      <c r="B307" s="16" t="s">
        <v>6</v>
      </c>
      <c r="C307" s="16" t="s">
        <v>926</v>
      </c>
      <c r="D307" s="16" t="s">
        <v>58</v>
      </c>
      <c r="E307" s="16" t="s">
        <v>47</v>
      </c>
      <c r="F307" s="16" t="s">
        <v>927</v>
      </c>
      <c r="G307" s="16" t="s">
        <v>928</v>
      </c>
      <c r="H307" s="17" t="n">
        <v>1925</v>
      </c>
      <c r="I307" s="17"/>
      <c r="J307" s="17"/>
      <c r="K307" s="17" t="n">
        <v>1945</v>
      </c>
      <c r="L307" s="17" t="n">
        <f aca="false">IF(AND(IFERROR(SEARCH("현대오일뱅크",$C307),0)&gt;0,IFERROR(SEARCH("직영",$C307),0)&gt;0),$B$13,0)</f>
        <v>0</v>
      </c>
      <c r="M307" s="17" t="n">
        <f aca="false">IF($H307="","",$H307+$L307)</f>
        <v>1925</v>
      </c>
      <c r="N307" s="17" t="str">
        <f aca="false">IF($I307="","",$I307+$L307)</f>
        <v/>
      </c>
      <c r="O307" s="17" t="n">
        <f aca="false">IF($K307="","",$K307+$L307)</f>
        <v>1945</v>
      </c>
      <c r="P307" s="17" t="str">
        <f aca="false">IF($B$10=0,"",IFERROR(IF($B$4&gt;0,"휘발유 "&amp;TEXT(IF($M307="",1/0,$M307*$B$4),"#,##0")&amp;"원","")&amp;IF($B$5&gt;0,IF($B$4&gt;0," / ","")&amp;"고급유 "&amp;TEXT(IF($N307="",1/0,$N307*$B$5),"#,##0")&amp;"원","")&amp;IF($B$6&gt;0,IF(OR($B$4&gt;0,$B$5&gt;0)," / ","")&amp;"경유 "&amp;TEXT(IF($O307="",1/0,$O307*$B$6),"#,##0")&amp;"원",""),""))</f>
        <v/>
      </c>
      <c r="Q307" s="17" t="str">
        <f aca="false">IF($B$10=0,"",IFERROR(IF($B$4&gt;0,IF($M307="",1/0,$M307*$B$4),0)+IF($B$5&gt;0,IF($N307="",1/0,$N307*$B$5),0)+IF($B$6&gt;0,IF($O307="",1/0,$O307*$B$6),0),""))</f>
        <v/>
      </c>
      <c r="R307" s="17" t="s">
        <v>47</v>
      </c>
      <c r="S307" s="18" t="str">
        <f aca="false">IF($Q307="","",IF($R307="Y",IFERROR(VLOOKUP($B307,$C$4:$D$13,2,FALSE()),0),0))</f>
        <v/>
      </c>
      <c r="T307" s="17" t="str">
        <f aca="false">IF($Q307="","",ROUNDDOWN($Q307*$S307,0))</f>
        <v/>
      </c>
      <c r="U307" s="17" t="str">
        <f aca="false">IF($Q307="","",$Q307-$T307)</f>
        <v/>
      </c>
      <c r="V307" s="17" t="str">
        <f aca="false">IF($U307="","",IF($B$10=0,"",$U307/$B$10))</f>
        <v/>
      </c>
      <c r="W307" s="17" t="str">
        <f aca="false">IF($Q307="","",IF($B$10=0,"",$Q307/$B$10))</f>
        <v/>
      </c>
      <c r="X307" s="19" t="n">
        <f aca="false">IF($U307="",1000000000000000,$U307)</f>
        <v>1000000000000000</v>
      </c>
      <c r="XFC307" s="6"/>
    </row>
    <row r="308" s="5" customFormat="true" ht="28.5" hidden="false" customHeight="true" outlineLevel="0" collapsed="false">
      <c r="A308" s="16" t="str">
        <f aca="false">IF($U308="","",1+COUNTIF($X$15:$X$728,"&lt;"&amp;X308))</f>
        <v/>
      </c>
      <c r="B308" s="16" t="s">
        <v>8</v>
      </c>
      <c r="C308" s="16" t="s">
        <v>929</v>
      </c>
      <c r="D308" s="16" t="s">
        <v>112</v>
      </c>
      <c r="E308" s="16" t="s">
        <v>47</v>
      </c>
      <c r="F308" s="16" t="s">
        <v>930</v>
      </c>
      <c r="G308" s="16" t="s">
        <v>931</v>
      </c>
      <c r="H308" s="17" t="n">
        <v>1925</v>
      </c>
      <c r="I308" s="17"/>
      <c r="J308" s="17"/>
      <c r="K308" s="17" t="n">
        <v>1955</v>
      </c>
      <c r="L308" s="17" t="n">
        <f aca="false">IF(AND(IFERROR(SEARCH("현대오일뱅크",$C308),0)&gt;0,IFERROR(SEARCH("직영",$C308),0)&gt;0),$B$13,0)</f>
        <v>0</v>
      </c>
      <c r="M308" s="17" t="n">
        <f aca="false">IF($H308="","",$H308+$L308)</f>
        <v>1925</v>
      </c>
      <c r="N308" s="17" t="str">
        <f aca="false">IF($I308="","",$I308+$L308)</f>
        <v/>
      </c>
      <c r="O308" s="17" t="n">
        <f aca="false">IF($K308="","",$K308+$L308)</f>
        <v>1955</v>
      </c>
      <c r="P308" s="17" t="str">
        <f aca="false">IF($B$10=0,"",IFERROR(IF($B$4&gt;0,"휘발유 "&amp;TEXT(IF($M308="",1/0,$M308*$B$4),"#,##0")&amp;"원","")&amp;IF($B$5&gt;0,IF($B$4&gt;0," / ","")&amp;"고급유 "&amp;TEXT(IF($N308="",1/0,$N308*$B$5),"#,##0")&amp;"원","")&amp;IF($B$6&gt;0,IF(OR($B$4&gt;0,$B$5&gt;0)," / ","")&amp;"경유 "&amp;TEXT(IF($O308="",1/0,$O308*$B$6),"#,##0")&amp;"원",""),""))</f>
        <v/>
      </c>
      <c r="Q308" s="17" t="str">
        <f aca="false">IF($B$10=0,"",IFERROR(IF($B$4&gt;0,IF($M308="",1/0,$M308*$B$4),0)+IF($B$5&gt;0,IF($N308="",1/0,$N308*$B$5),0)+IF($B$6&gt;0,IF($O308="",1/0,$O308*$B$6),0),""))</f>
        <v/>
      </c>
      <c r="R308" s="17" t="s">
        <v>47</v>
      </c>
      <c r="S308" s="18" t="str">
        <f aca="false">IF($Q308="","",IF($R308="Y",IFERROR(VLOOKUP($B308,$C$4:$D$13,2,FALSE()),0),0))</f>
        <v/>
      </c>
      <c r="T308" s="17" t="str">
        <f aca="false">IF($Q308="","",ROUNDDOWN($Q308*$S308,0))</f>
        <v/>
      </c>
      <c r="U308" s="17" t="str">
        <f aca="false">IF($Q308="","",$Q308-$T308)</f>
        <v/>
      </c>
      <c r="V308" s="17" t="str">
        <f aca="false">IF($U308="","",IF($B$10=0,"",$U308/$B$10))</f>
        <v/>
      </c>
      <c r="W308" s="17" t="str">
        <f aca="false">IF($Q308="","",IF($B$10=0,"",$Q308/$B$10))</f>
        <v/>
      </c>
      <c r="X308" s="19" t="n">
        <f aca="false">IF($U308="",1000000000000000,$U308)</f>
        <v>1000000000000000</v>
      </c>
      <c r="XFC308" s="6"/>
    </row>
    <row r="309" s="5" customFormat="true" ht="28.5" hidden="false" customHeight="true" outlineLevel="0" collapsed="false">
      <c r="A309" s="16" t="str">
        <f aca="false">IF($U309="","",1+COUNTIF($X$15:$X$728,"&lt;"&amp;X309))</f>
        <v/>
      </c>
      <c r="B309" s="16" t="s">
        <v>6</v>
      </c>
      <c r="C309" s="16" t="s">
        <v>932</v>
      </c>
      <c r="D309" s="16" t="s">
        <v>112</v>
      </c>
      <c r="E309" s="16" t="s">
        <v>59</v>
      </c>
      <c r="F309" s="16" t="s">
        <v>933</v>
      </c>
      <c r="G309" s="16" t="s">
        <v>934</v>
      </c>
      <c r="H309" s="17" t="n">
        <v>1925</v>
      </c>
      <c r="I309" s="17"/>
      <c r="J309" s="17"/>
      <c r="K309" s="17" t="n">
        <v>1945</v>
      </c>
      <c r="L309" s="17" t="n">
        <f aca="false">IF(AND(IFERROR(SEARCH("현대오일뱅크",$C309),0)&gt;0,IFERROR(SEARCH("직영",$C309),0)&gt;0),$B$13,0)</f>
        <v>0</v>
      </c>
      <c r="M309" s="17" t="n">
        <f aca="false">IF($H309="","",$H309+$L309)</f>
        <v>1925</v>
      </c>
      <c r="N309" s="17" t="str">
        <f aca="false">IF($I309="","",$I309+$L309)</f>
        <v/>
      </c>
      <c r="O309" s="17" t="n">
        <f aca="false">IF($K309="","",$K309+$L309)</f>
        <v>1945</v>
      </c>
      <c r="P309" s="17" t="str">
        <f aca="false">IF($B$10=0,"",IFERROR(IF($B$4&gt;0,"휘발유 "&amp;TEXT(IF($M309="",1/0,$M309*$B$4),"#,##0")&amp;"원","")&amp;IF($B$5&gt;0,IF($B$4&gt;0," / ","")&amp;"고급유 "&amp;TEXT(IF($N309="",1/0,$N309*$B$5),"#,##0")&amp;"원","")&amp;IF($B$6&gt;0,IF(OR($B$4&gt;0,$B$5&gt;0)," / ","")&amp;"경유 "&amp;TEXT(IF($O309="",1/0,$O309*$B$6),"#,##0")&amp;"원",""),""))</f>
        <v/>
      </c>
      <c r="Q309" s="17" t="str">
        <f aca="false">IF($B$10=0,"",IFERROR(IF($B$4&gt;0,IF($M309="",1/0,$M309*$B$4),0)+IF($B$5&gt;0,IF($N309="",1/0,$N309*$B$5),0)+IF($B$6&gt;0,IF($O309="",1/0,$O309*$B$6),0),""))</f>
        <v/>
      </c>
      <c r="R309" s="17" t="s">
        <v>47</v>
      </c>
      <c r="S309" s="18" t="str">
        <f aca="false">IF($Q309="","",IF($R309="Y",IFERROR(VLOOKUP($B309,$C$4:$D$13,2,FALSE()),0),0))</f>
        <v/>
      </c>
      <c r="T309" s="17" t="str">
        <f aca="false">IF($Q309="","",ROUNDDOWN($Q309*$S309,0))</f>
        <v/>
      </c>
      <c r="U309" s="17" t="str">
        <f aca="false">IF($Q309="","",$Q309-$T309)</f>
        <v/>
      </c>
      <c r="V309" s="17" t="str">
        <f aca="false">IF($U309="","",IF($B$10=0,"",$U309/$B$10))</f>
        <v/>
      </c>
      <c r="W309" s="17" t="str">
        <f aca="false">IF($Q309="","",IF($B$10=0,"",$Q309/$B$10))</f>
        <v/>
      </c>
      <c r="X309" s="19" t="n">
        <f aca="false">IF($U309="",1000000000000000,$U309)</f>
        <v>1000000000000000</v>
      </c>
      <c r="XFC309" s="6"/>
    </row>
    <row r="310" s="5" customFormat="true" ht="28.5" hidden="false" customHeight="true" outlineLevel="0" collapsed="false">
      <c r="A310" s="16" t="str">
        <f aca="false">IF($U310="","",1+COUNTIF($X$15:$X$728,"&lt;"&amp;X310))</f>
        <v/>
      </c>
      <c r="B310" s="16" t="s">
        <v>6</v>
      </c>
      <c r="C310" s="16" t="s">
        <v>935</v>
      </c>
      <c r="D310" s="16" t="s">
        <v>51</v>
      </c>
      <c r="E310" s="16" t="s">
        <v>47</v>
      </c>
      <c r="F310" s="16" t="s">
        <v>936</v>
      </c>
      <c r="G310" s="16" t="s">
        <v>937</v>
      </c>
      <c r="H310" s="17" t="n">
        <v>1925</v>
      </c>
      <c r="I310" s="17"/>
      <c r="J310" s="17"/>
      <c r="K310" s="17" t="n">
        <v>1945</v>
      </c>
      <c r="L310" s="17" t="n">
        <f aca="false">IF(AND(IFERROR(SEARCH("현대오일뱅크",$C310),0)&gt;0,IFERROR(SEARCH("직영",$C310),0)&gt;0),$B$13,0)</f>
        <v>0</v>
      </c>
      <c r="M310" s="17" t="n">
        <f aca="false">IF($H310="","",$H310+$L310)</f>
        <v>1925</v>
      </c>
      <c r="N310" s="17" t="str">
        <f aca="false">IF($I310="","",$I310+$L310)</f>
        <v/>
      </c>
      <c r="O310" s="17" t="n">
        <f aca="false">IF($K310="","",$K310+$L310)</f>
        <v>1945</v>
      </c>
      <c r="P310" s="17" t="str">
        <f aca="false">IF($B$10=0,"",IFERROR(IF($B$4&gt;0,"휘발유 "&amp;TEXT(IF($M310="",1/0,$M310*$B$4),"#,##0")&amp;"원","")&amp;IF($B$5&gt;0,IF($B$4&gt;0," / ","")&amp;"고급유 "&amp;TEXT(IF($N310="",1/0,$N310*$B$5),"#,##0")&amp;"원","")&amp;IF($B$6&gt;0,IF(OR($B$4&gt;0,$B$5&gt;0)," / ","")&amp;"경유 "&amp;TEXT(IF($O310="",1/0,$O310*$B$6),"#,##0")&amp;"원",""),""))</f>
        <v/>
      </c>
      <c r="Q310" s="17" t="str">
        <f aca="false">IF($B$10=0,"",IFERROR(IF($B$4&gt;0,IF($M310="",1/0,$M310*$B$4),0)+IF($B$5&gt;0,IF($N310="",1/0,$N310*$B$5),0)+IF($B$6&gt;0,IF($O310="",1/0,$O310*$B$6),0),""))</f>
        <v/>
      </c>
      <c r="R310" s="17" t="s">
        <v>47</v>
      </c>
      <c r="S310" s="18" t="str">
        <f aca="false">IF($Q310="","",IF($R310="Y",IFERROR(VLOOKUP($B310,$C$4:$D$13,2,FALSE()),0),0))</f>
        <v/>
      </c>
      <c r="T310" s="17" t="str">
        <f aca="false">IF($Q310="","",ROUNDDOWN($Q310*$S310,0))</f>
        <v/>
      </c>
      <c r="U310" s="17" t="str">
        <f aca="false">IF($Q310="","",$Q310-$T310)</f>
        <v/>
      </c>
      <c r="V310" s="17" t="str">
        <f aca="false">IF($U310="","",IF($B$10=0,"",$U310/$B$10))</f>
        <v/>
      </c>
      <c r="W310" s="17" t="str">
        <f aca="false">IF($Q310="","",IF($B$10=0,"",$Q310/$B$10))</f>
        <v/>
      </c>
      <c r="X310" s="19" t="n">
        <f aca="false">IF($U310="",1000000000000000,$U310)</f>
        <v>1000000000000000</v>
      </c>
      <c r="XFC310" s="6"/>
    </row>
    <row r="311" s="5" customFormat="true" ht="28.5" hidden="false" customHeight="true" outlineLevel="0" collapsed="false">
      <c r="A311" s="16" t="str">
        <f aca="false">IF($U311="","",1+COUNTIF($X$15:$X$728,"&lt;"&amp;X311))</f>
        <v/>
      </c>
      <c r="B311" s="16" t="s">
        <v>6</v>
      </c>
      <c r="C311" s="16" t="s">
        <v>938</v>
      </c>
      <c r="D311" s="16" t="s">
        <v>58</v>
      </c>
      <c r="E311" s="16" t="s">
        <v>47</v>
      </c>
      <c r="F311" s="16" t="s">
        <v>939</v>
      </c>
      <c r="G311" s="16" t="s">
        <v>940</v>
      </c>
      <c r="H311" s="17" t="n">
        <v>1925</v>
      </c>
      <c r="I311" s="17"/>
      <c r="J311" s="17"/>
      <c r="K311" s="17" t="n">
        <v>2049</v>
      </c>
      <c r="L311" s="17" t="n">
        <f aca="false">IF(AND(IFERROR(SEARCH("현대오일뱅크",$C311),0)&gt;0,IFERROR(SEARCH("직영",$C311),0)&gt;0),$B$13,0)</f>
        <v>0</v>
      </c>
      <c r="M311" s="17" t="n">
        <f aca="false">IF($H311="","",$H311+$L311)</f>
        <v>1925</v>
      </c>
      <c r="N311" s="17" t="str">
        <f aca="false">IF($I311="","",$I311+$L311)</f>
        <v/>
      </c>
      <c r="O311" s="17" t="n">
        <f aca="false">IF($K311="","",$K311+$L311)</f>
        <v>2049</v>
      </c>
      <c r="P311" s="17" t="str">
        <f aca="false">IF($B$10=0,"",IFERROR(IF($B$4&gt;0,"휘발유 "&amp;TEXT(IF($M311="",1/0,$M311*$B$4),"#,##0")&amp;"원","")&amp;IF($B$5&gt;0,IF($B$4&gt;0," / ","")&amp;"고급유 "&amp;TEXT(IF($N311="",1/0,$N311*$B$5),"#,##0")&amp;"원","")&amp;IF($B$6&gt;0,IF(OR($B$4&gt;0,$B$5&gt;0)," / ","")&amp;"경유 "&amp;TEXT(IF($O311="",1/0,$O311*$B$6),"#,##0")&amp;"원",""),""))</f>
        <v/>
      </c>
      <c r="Q311" s="17" t="str">
        <f aca="false">IF($B$10=0,"",IFERROR(IF($B$4&gt;0,IF($M311="",1/0,$M311*$B$4),0)+IF($B$5&gt;0,IF($N311="",1/0,$N311*$B$5),0)+IF($B$6&gt;0,IF($O311="",1/0,$O311*$B$6),0),""))</f>
        <v/>
      </c>
      <c r="R311" s="17" t="s">
        <v>47</v>
      </c>
      <c r="S311" s="18" t="str">
        <f aca="false">IF($Q311="","",IF($R311="Y",IFERROR(VLOOKUP($B311,$C$4:$D$13,2,FALSE()),0),0))</f>
        <v/>
      </c>
      <c r="T311" s="17" t="str">
        <f aca="false">IF($Q311="","",ROUNDDOWN($Q311*$S311,0))</f>
        <v/>
      </c>
      <c r="U311" s="17" t="str">
        <f aca="false">IF($Q311="","",$Q311-$T311)</f>
        <v/>
      </c>
      <c r="V311" s="17" t="str">
        <f aca="false">IF($U311="","",IF($B$10=0,"",$U311/$B$10))</f>
        <v/>
      </c>
      <c r="W311" s="17" t="str">
        <f aca="false">IF($Q311="","",IF($B$10=0,"",$Q311/$B$10))</f>
        <v/>
      </c>
      <c r="X311" s="19" t="n">
        <f aca="false">IF($U311="",1000000000000000,$U311)</f>
        <v>1000000000000000</v>
      </c>
      <c r="XFC311" s="6"/>
    </row>
    <row r="312" s="5" customFormat="true" ht="28.5" hidden="false" customHeight="true" outlineLevel="0" collapsed="false">
      <c r="A312" s="16" t="str">
        <f aca="false">IF($U312="","",1+COUNTIF($X$15:$X$728,"&lt;"&amp;X312))</f>
        <v/>
      </c>
      <c r="B312" s="16" t="s">
        <v>8</v>
      </c>
      <c r="C312" s="16" t="s">
        <v>941</v>
      </c>
      <c r="D312" s="16" t="s">
        <v>51</v>
      </c>
      <c r="E312" s="16" t="s">
        <v>47</v>
      </c>
      <c r="F312" s="16" t="s">
        <v>942</v>
      </c>
      <c r="G312" s="16" t="s">
        <v>943</v>
      </c>
      <c r="H312" s="17" t="n">
        <v>1925</v>
      </c>
      <c r="I312" s="17"/>
      <c r="J312" s="17"/>
      <c r="K312" s="17" t="n">
        <v>1945</v>
      </c>
      <c r="L312" s="17" t="n">
        <f aca="false">IF(AND(IFERROR(SEARCH("현대오일뱅크",$C312),0)&gt;0,IFERROR(SEARCH("직영",$C312),0)&gt;0),$B$13,0)</f>
        <v>0</v>
      </c>
      <c r="M312" s="17" t="n">
        <f aca="false">IF($H312="","",$H312+$L312)</f>
        <v>1925</v>
      </c>
      <c r="N312" s="17" t="str">
        <f aca="false">IF($I312="","",$I312+$L312)</f>
        <v/>
      </c>
      <c r="O312" s="17" t="n">
        <f aca="false">IF($K312="","",$K312+$L312)</f>
        <v>1945</v>
      </c>
      <c r="P312" s="17" t="str">
        <f aca="false">IF($B$10=0,"",IFERROR(IF($B$4&gt;0,"휘발유 "&amp;TEXT(IF($M312="",1/0,$M312*$B$4),"#,##0")&amp;"원","")&amp;IF($B$5&gt;0,IF($B$4&gt;0," / ","")&amp;"고급유 "&amp;TEXT(IF($N312="",1/0,$N312*$B$5),"#,##0")&amp;"원","")&amp;IF($B$6&gt;0,IF(OR($B$4&gt;0,$B$5&gt;0)," / ","")&amp;"경유 "&amp;TEXT(IF($O312="",1/0,$O312*$B$6),"#,##0")&amp;"원",""),""))</f>
        <v/>
      </c>
      <c r="Q312" s="17" t="str">
        <f aca="false">IF($B$10=0,"",IFERROR(IF($B$4&gt;0,IF($M312="",1/0,$M312*$B$4),0)+IF($B$5&gt;0,IF($N312="",1/0,$N312*$B$5),0)+IF($B$6&gt;0,IF($O312="",1/0,$O312*$B$6),0),""))</f>
        <v/>
      </c>
      <c r="R312" s="17" t="s">
        <v>47</v>
      </c>
      <c r="S312" s="18" t="str">
        <f aca="false">IF($Q312="","",IF($R312="Y",IFERROR(VLOOKUP($B312,$C$4:$D$13,2,FALSE()),0),0))</f>
        <v/>
      </c>
      <c r="T312" s="17" t="str">
        <f aca="false">IF($Q312="","",ROUNDDOWN($Q312*$S312,0))</f>
        <v/>
      </c>
      <c r="U312" s="17" t="str">
        <f aca="false">IF($Q312="","",$Q312-$T312)</f>
        <v/>
      </c>
      <c r="V312" s="17" t="str">
        <f aca="false">IF($U312="","",IF($B$10=0,"",$U312/$B$10))</f>
        <v/>
      </c>
      <c r="W312" s="17" t="str">
        <f aca="false">IF($Q312="","",IF($B$10=0,"",$Q312/$B$10))</f>
        <v/>
      </c>
      <c r="X312" s="19" t="n">
        <f aca="false">IF($U312="",1000000000000000,$U312)</f>
        <v>1000000000000000</v>
      </c>
      <c r="XFC312" s="6"/>
    </row>
    <row r="313" s="5" customFormat="true" ht="28.5" hidden="false" customHeight="true" outlineLevel="0" collapsed="false">
      <c r="A313" s="16" t="str">
        <f aca="false">IF($U313="","",1+COUNTIF($X$15:$X$728,"&lt;"&amp;X313))</f>
        <v/>
      </c>
      <c r="B313" s="16" t="s">
        <v>6</v>
      </c>
      <c r="C313" s="16" t="s">
        <v>944</v>
      </c>
      <c r="D313" s="20" t="s">
        <v>108</v>
      </c>
      <c r="E313" s="16" t="s">
        <v>47</v>
      </c>
      <c r="F313" s="16" t="s">
        <v>945</v>
      </c>
      <c r="G313" s="16" t="s">
        <v>946</v>
      </c>
      <c r="H313" s="17" t="n">
        <v>1925</v>
      </c>
      <c r="I313" s="17"/>
      <c r="J313" s="17"/>
      <c r="K313" s="17" t="n">
        <v>1995</v>
      </c>
      <c r="L313" s="17" t="n">
        <f aca="false">IF(AND(IFERROR(SEARCH("현대오일뱅크",$C313),0)&gt;0,IFERROR(SEARCH("직영",$C313),0)&gt;0),$B$13,0)</f>
        <v>0</v>
      </c>
      <c r="M313" s="17" t="n">
        <f aca="false">IF($H313="","",$H313+$L313)</f>
        <v>1925</v>
      </c>
      <c r="N313" s="17" t="str">
        <f aca="false">IF($I313="","",$I313+$L313)</f>
        <v/>
      </c>
      <c r="O313" s="17" t="n">
        <f aca="false">IF($K313="","",$K313+$L313)</f>
        <v>1995</v>
      </c>
      <c r="P313" s="17" t="str">
        <f aca="false">IF($B$10=0,"",IFERROR(IF($B$4&gt;0,"휘발유 "&amp;TEXT(IF($M313="",1/0,$M313*$B$4),"#,##0")&amp;"원","")&amp;IF($B$5&gt;0,IF($B$4&gt;0," / ","")&amp;"고급유 "&amp;TEXT(IF($N313="",1/0,$N313*$B$5),"#,##0")&amp;"원","")&amp;IF($B$6&gt;0,IF(OR($B$4&gt;0,$B$5&gt;0)," / ","")&amp;"경유 "&amp;TEXT(IF($O313="",1/0,$O313*$B$6),"#,##0")&amp;"원",""),""))</f>
        <v/>
      </c>
      <c r="Q313" s="17" t="str">
        <f aca="false">IF($B$10=0,"",IFERROR(IF($B$4&gt;0,IF($M313="",1/0,$M313*$B$4),0)+IF($B$5&gt;0,IF($N313="",1/0,$N313*$B$5),0)+IF($B$6&gt;0,IF($O313="",1/0,$O313*$B$6),0),""))</f>
        <v/>
      </c>
      <c r="R313" s="17" t="s">
        <v>47</v>
      </c>
      <c r="S313" s="18" t="str">
        <f aca="false">IF($Q313="","",IF($R313="Y",IFERROR(VLOOKUP($B313,$C$4:$D$13,2,FALSE()),0),0))</f>
        <v/>
      </c>
      <c r="T313" s="17" t="str">
        <f aca="false">IF($Q313="","",ROUNDDOWN($Q313*$S313,0))</f>
        <v/>
      </c>
      <c r="U313" s="17" t="str">
        <f aca="false">IF($Q313="","",$Q313-$T313)</f>
        <v/>
      </c>
      <c r="V313" s="17" t="str">
        <f aca="false">IF($U313="","",IF($B$10=0,"",$U313/$B$10))</f>
        <v/>
      </c>
      <c r="W313" s="17" t="str">
        <f aca="false">IF($Q313="","",IF($B$10=0,"",$Q313/$B$10))</f>
        <v/>
      </c>
      <c r="X313" s="19" t="n">
        <f aca="false">IF($U313="",1000000000000000,$U313)</f>
        <v>1000000000000000</v>
      </c>
      <c r="XFC313" s="6"/>
    </row>
    <row r="314" s="5" customFormat="true" ht="28.5" hidden="false" customHeight="true" outlineLevel="0" collapsed="false">
      <c r="A314" s="16" t="str">
        <f aca="false">IF($U314="","",1+COUNTIF($X$15:$X$728,"&lt;"&amp;X314))</f>
        <v/>
      </c>
      <c r="B314" s="16" t="s">
        <v>6</v>
      </c>
      <c r="C314" s="16" t="s">
        <v>947</v>
      </c>
      <c r="D314" s="16" t="s">
        <v>112</v>
      </c>
      <c r="E314" s="16" t="s">
        <v>47</v>
      </c>
      <c r="F314" s="16" t="s">
        <v>948</v>
      </c>
      <c r="G314" s="16" t="s">
        <v>949</v>
      </c>
      <c r="H314" s="17" t="n">
        <v>1923</v>
      </c>
      <c r="I314" s="17"/>
      <c r="J314" s="17"/>
      <c r="K314" s="17" t="n">
        <v>1927</v>
      </c>
      <c r="L314" s="17" t="n">
        <f aca="false">IF(AND(IFERROR(SEARCH("현대오일뱅크",$C314),0)&gt;0,IFERROR(SEARCH("직영",$C314),0)&gt;0),$B$13,0)</f>
        <v>0</v>
      </c>
      <c r="M314" s="17" t="n">
        <f aca="false">IF($H314="","",$H314+$L314)</f>
        <v>1923</v>
      </c>
      <c r="N314" s="17" t="str">
        <f aca="false">IF($I314="","",$I314+$L314)</f>
        <v/>
      </c>
      <c r="O314" s="17" t="n">
        <f aca="false">IF($K314="","",$K314+$L314)</f>
        <v>1927</v>
      </c>
      <c r="P314" s="17" t="str">
        <f aca="false">IF($B$10=0,"",IFERROR(IF($B$4&gt;0,"휘발유 "&amp;TEXT(IF($M314="",1/0,$M314*$B$4),"#,##0")&amp;"원","")&amp;IF($B$5&gt;0,IF($B$4&gt;0," / ","")&amp;"고급유 "&amp;TEXT(IF($N314="",1/0,$N314*$B$5),"#,##0")&amp;"원","")&amp;IF($B$6&gt;0,IF(OR($B$4&gt;0,$B$5&gt;0)," / ","")&amp;"경유 "&amp;TEXT(IF($O314="",1/0,$O314*$B$6),"#,##0")&amp;"원",""),""))</f>
        <v/>
      </c>
      <c r="Q314" s="17" t="str">
        <f aca="false">IF($B$10=0,"",IFERROR(IF($B$4&gt;0,IF($M314="",1/0,$M314*$B$4),0)+IF($B$5&gt;0,IF($N314="",1/0,$N314*$B$5),0)+IF($B$6&gt;0,IF($O314="",1/0,$O314*$B$6),0),""))</f>
        <v/>
      </c>
      <c r="R314" s="17" t="s">
        <v>47</v>
      </c>
      <c r="S314" s="18" t="str">
        <f aca="false">IF($Q314="","",IF($R314="Y",IFERROR(VLOOKUP($B314,$C$4:$D$13,2,FALSE()),0),0))</f>
        <v/>
      </c>
      <c r="T314" s="17" t="str">
        <f aca="false">IF($Q314="","",ROUNDDOWN($Q314*$S314,0))</f>
        <v/>
      </c>
      <c r="U314" s="17" t="str">
        <f aca="false">IF($Q314="","",$Q314-$T314)</f>
        <v/>
      </c>
      <c r="V314" s="17" t="str">
        <f aca="false">IF($U314="","",IF($B$10=0,"",$U314/$B$10))</f>
        <v/>
      </c>
      <c r="W314" s="17" t="str">
        <f aca="false">IF($Q314="","",IF($B$10=0,"",$Q314/$B$10))</f>
        <v/>
      </c>
      <c r="X314" s="19" t="n">
        <f aca="false">IF($U314="",1000000000000000,$U314)</f>
        <v>1000000000000000</v>
      </c>
      <c r="XFC314" s="6"/>
    </row>
    <row r="315" s="5" customFormat="true" ht="28.5" hidden="false" customHeight="true" outlineLevel="0" collapsed="false">
      <c r="A315" s="16" t="str">
        <f aca="false">IF($U315="","",1+COUNTIF($X$15:$X$728,"&lt;"&amp;X315))</f>
        <v/>
      </c>
      <c r="B315" s="16" t="s">
        <v>14</v>
      </c>
      <c r="C315" s="16" t="s">
        <v>950</v>
      </c>
      <c r="D315" s="16" t="s">
        <v>58</v>
      </c>
      <c r="E315" s="16" t="s">
        <v>47</v>
      </c>
      <c r="F315" s="16" t="s">
        <v>951</v>
      </c>
      <c r="G315" s="16" t="s">
        <v>952</v>
      </c>
      <c r="H315" s="17" t="n">
        <v>1949</v>
      </c>
      <c r="I315" s="17"/>
      <c r="J315" s="17"/>
      <c r="K315" s="17" t="n">
        <v>2069</v>
      </c>
      <c r="L315" s="17" t="n">
        <f aca="false">IF(AND(IFERROR(SEARCH("현대오일뱅크",$C315),0)&gt;0,IFERROR(SEARCH("직영",$C315),0)&gt;0),$B$13,0)</f>
        <v>0</v>
      </c>
      <c r="M315" s="17" t="n">
        <f aca="false">IF($H315="","",$H315+$L315)</f>
        <v>1949</v>
      </c>
      <c r="N315" s="17" t="str">
        <f aca="false">IF($I315="","",$I315+$L315)</f>
        <v/>
      </c>
      <c r="O315" s="17" t="n">
        <f aca="false">IF($K315="","",$K315+$L315)</f>
        <v>2069</v>
      </c>
      <c r="P315" s="17" t="str">
        <f aca="false">IF($B$10=0,"",IFERROR(IF($B$4&gt;0,"휘발유 "&amp;TEXT(IF($M315="",1/0,$M315*$B$4),"#,##0")&amp;"원","")&amp;IF($B$5&gt;0,IF($B$4&gt;0," / ","")&amp;"고급유 "&amp;TEXT(IF($N315="",1/0,$N315*$B$5),"#,##0")&amp;"원","")&amp;IF($B$6&gt;0,IF(OR($B$4&gt;0,$B$5&gt;0)," / ","")&amp;"경유 "&amp;TEXT(IF($O315="",1/0,$O315*$B$6),"#,##0")&amp;"원",""),""))</f>
        <v/>
      </c>
      <c r="Q315" s="17" t="str">
        <f aca="false">IF($B$10=0,"",IFERROR(IF($B$4&gt;0,IF($M315="",1/0,$M315*$B$4),0)+IF($B$5&gt;0,IF($N315="",1/0,$N315*$B$5),0)+IF($B$6&gt;0,IF($O315="",1/0,$O315*$B$6),0),""))</f>
        <v/>
      </c>
      <c r="R315" s="17" t="s">
        <v>47</v>
      </c>
      <c r="S315" s="18" t="str">
        <f aca="false">IF($Q315="","",IF($R315="Y",IFERROR(VLOOKUP($B315,$C$4:$D$13,2,FALSE()),0),0))</f>
        <v/>
      </c>
      <c r="T315" s="17" t="str">
        <f aca="false">IF($Q315="","",ROUNDDOWN($Q315*$S315,0))</f>
        <v/>
      </c>
      <c r="U315" s="17" t="str">
        <f aca="false">IF($Q315="","",$Q315-$T315)</f>
        <v/>
      </c>
      <c r="V315" s="17" t="str">
        <f aca="false">IF($U315="","",IF($B$10=0,"",$U315/$B$10))</f>
        <v/>
      </c>
      <c r="W315" s="17" t="str">
        <f aca="false">IF($Q315="","",IF($B$10=0,"",$Q315/$B$10))</f>
        <v/>
      </c>
      <c r="X315" s="19" t="n">
        <f aca="false">IF($U315="",1000000000000000,$U315)</f>
        <v>1000000000000000</v>
      </c>
      <c r="XFC315" s="6"/>
    </row>
    <row r="316" s="5" customFormat="true" ht="28.5" hidden="false" customHeight="true" outlineLevel="0" collapsed="false">
      <c r="A316" s="16" t="str">
        <f aca="false">IF($U316="","",1+COUNTIF($X$15:$X$728,"&lt;"&amp;X316))</f>
        <v/>
      </c>
      <c r="B316" s="16" t="s">
        <v>6</v>
      </c>
      <c r="C316" s="16" t="s">
        <v>953</v>
      </c>
      <c r="D316" s="16" t="s">
        <v>51</v>
      </c>
      <c r="E316" s="16" t="s">
        <v>47</v>
      </c>
      <c r="F316" s="16" t="s">
        <v>954</v>
      </c>
      <c r="G316" s="16" t="s">
        <v>955</v>
      </c>
      <c r="H316" s="17" t="n">
        <v>1928</v>
      </c>
      <c r="I316" s="17"/>
      <c r="J316" s="17"/>
      <c r="K316" s="17" t="n">
        <v>1948</v>
      </c>
      <c r="L316" s="17" t="n">
        <f aca="false">IF(AND(IFERROR(SEARCH("현대오일뱅크",$C316),0)&gt;0,IFERROR(SEARCH("직영",$C316),0)&gt;0),$B$13,0)</f>
        <v>0</v>
      </c>
      <c r="M316" s="17" t="n">
        <f aca="false">IF($H316="","",$H316+$L316)</f>
        <v>1928</v>
      </c>
      <c r="N316" s="17" t="str">
        <f aca="false">IF($I316="","",$I316+$L316)</f>
        <v/>
      </c>
      <c r="O316" s="17" t="n">
        <f aca="false">IF($K316="","",$K316+$L316)</f>
        <v>1948</v>
      </c>
      <c r="P316" s="17" t="str">
        <f aca="false">IF($B$10=0,"",IFERROR(IF($B$4&gt;0,"휘발유 "&amp;TEXT(IF($M316="",1/0,$M316*$B$4),"#,##0")&amp;"원","")&amp;IF($B$5&gt;0,IF($B$4&gt;0," / ","")&amp;"고급유 "&amp;TEXT(IF($N316="",1/0,$N316*$B$5),"#,##0")&amp;"원","")&amp;IF($B$6&gt;0,IF(OR($B$4&gt;0,$B$5&gt;0)," / ","")&amp;"경유 "&amp;TEXT(IF($O316="",1/0,$O316*$B$6),"#,##0")&amp;"원",""),""))</f>
        <v/>
      </c>
      <c r="Q316" s="17" t="str">
        <f aca="false">IF($B$10=0,"",IFERROR(IF($B$4&gt;0,IF($M316="",1/0,$M316*$B$4),0)+IF($B$5&gt;0,IF($N316="",1/0,$N316*$B$5),0)+IF($B$6&gt;0,IF($O316="",1/0,$O316*$B$6),0),""))</f>
        <v/>
      </c>
      <c r="R316" s="17" t="s">
        <v>47</v>
      </c>
      <c r="S316" s="18" t="str">
        <f aca="false">IF($Q316="","",IF($R316="Y",IFERROR(VLOOKUP($B316,$C$4:$D$13,2,FALSE()),0),0))</f>
        <v/>
      </c>
      <c r="T316" s="17" t="str">
        <f aca="false">IF($Q316="","",ROUNDDOWN($Q316*$S316,0))</f>
        <v/>
      </c>
      <c r="U316" s="17" t="str">
        <f aca="false">IF($Q316="","",$Q316-$T316)</f>
        <v/>
      </c>
      <c r="V316" s="17" t="str">
        <f aca="false">IF($U316="","",IF($B$10=0,"",$U316/$B$10))</f>
        <v/>
      </c>
      <c r="W316" s="17" t="str">
        <f aca="false">IF($Q316="","",IF($B$10=0,"",$Q316/$B$10))</f>
        <v/>
      </c>
      <c r="X316" s="19" t="n">
        <f aca="false">IF($U316="",1000000000000000,$U316)</f>
        <v>1000000000000000</v>
      </c>
      <c r="XFC316" s="6"/>
    </row>
    <row r="317" s="5" customFormat="true" ht="28.5" hidden="false" customHeight="true" outlineLevel="0" collapsed="false">
      <c r="A317" s="16" t="str">
        <f aca="false">IF($U317="","",1+COUNTIF($X$15:$X$728,"&lt;"&amp;X317))</f>
        <v/>
      </c>
      <c r="B317" s="16" t="s">
        <v>10</v>
      </c>
      <c r="C317" s="16" t="s">
        <v>956</v>
      </c>
      <c r="D317" s="16" t="s">
        <v>58</v>
      </c>
      <c r="E317" s="16" t="s">
        <v>59</v>
      </c>
      <c r="F317" s="16" t="s">
        <v>957</v>
      </c>
      <c r="G317" s="16" t="s">
        <v>958</v>
      </c>
      <c r="H317" s="17" t="n">
        <v>1928</v>
      </c>
      <c r="I317" s="17"/>
      <c r="J317" s="17"/>
      <c r="K317" s="17" t="n">
        <v>1958</v>
      </c>
      <c r="L317" s="17" t="n">
        <f aca="false">IF(AND(IFERROR(SEARCH("현대오일뱅크",$C317),0)&gt;0,IFERROR(SEARCH("직영",$C317),0)&gt;0),$B$13,0)</f>
        <v>0</v>
      </c>
      <c r="M317" s="17" t="n">
        <f aca="false">IF($H317="","",$H317+$L317)</f>
        <v>1928</v>
      </c>
      <c r="N317" s="17" t="str">
        <f aca="false">IF($I317="","",$I317+$L317)</f>
        <v/>
      </c>
      <c r="O317" s="17" t="n">
        <f aca="false">IF($K317="","",$K317+$L317)</f>
        <v>1958</v>
      </c>
      <c r="P317" s="17" t="str">
        <f aca="false">IF($B$10=0,"",IFERROR(IF($B$4&gt;0,"휘발유 "&amp;TEXT(IF($M317="",1/0,$M317*$B$4),"#,##0")&amp;"원","")&amp;IF($B$5&gt;0,IF($B$4&gt;0," / ","")&amp;"고급유 "&amp;TEXT(IF($N317="",1/0,$N317*$B$5),"#,##0")&amp;"원","")&amp;IF($B$6&gt;0,IF(OR($B$4&gt;0,$B$5&gt;0)," / ","")&amp;"경유 "&amp;TEXT(IF($O317="",1/0,$O317*$B$6),"#,##0")&amp;"원",""),""))</f>
        <v/>
      </c>
      <c r="Q317" s="17" t="str">
        <f aca="false">IF($B$10=0,"",IFERROR(IF($B$4&gt;0,IF($M317="",1/0,$M317*$B$4),0)+IF($B$5&gt;0,IF($N317="",1/0,$N317*$B$5),0)+IF($B$6&gt;0,IF($O317="",1/0,$O317*$B$6),0),""))</f>
        <v/>
      </c>
      <c r="R317" s="17" t="s">
        <v>47</v>
      </c>
      <c r="S317" s="18" t="str">
        <f aca="false">IF($Q317="","",IF($R317="Y",IFERROR(VLOOKUP($B317,$C$4:$D$13,2,FALSE()),0),0))</f>
        <v/>
      </c>
      <c r="T317" s="17" t="str">
        <f aca="false">IF($Q317="","",ROUNDDOWN($Q317*$S317,0))</f>
        <v/>
      </c>
      <c r="U317" s="17" t="str">
        <f aca="false">IF($Q317="","",$Q317-$T317)</f>
        <v/>
      </c>
      <c r="V317" s="17" t="str">
        <f aca="false">IF($U317="","",IF($B$10=0,"",$U317/$B$10))</f>
        <v/>
      </c>
      <c r="W317" s="17" t="str">
        <f aca="false">IF($Q317="","",IF($B$10=0,"",$Q317/$B$10))</f>
        <v/>
      </c>
      <c r="X317" s="19" t="n">
        <f aca="false">IF($U317="",1000000000000000,$U317)</f>
        <v>1000000000000000</v>
      </c>
      <c r="XFC317" s="6"/>
    </row>
    <row r="318" s="5" customFormat="true" ht="28.5" hidden="false" customHeight="true" outlineLevel="0" collapsed="false">
      <c r="A318" s="16" t="str">
        <f aca="false">IF($U318="","",1+COUNTIF($X$15:$X$728,"&lt;"&amp;X318))</f>
        <v/>
      </c>
      <c r="B318" s="16" t="s">
        <v>6</v>
      </c>
      <c r="C318" s="16" t="s">
        <v>959</v>
      </c>
      <c r="D318" s="16" t="s">
        <v>112</v>
      </c>
      <c r="E318" s="16" t="s">
        <v>47</v>
      </c>
      <c r="F318" s="16" t="s">
        <v>960</v>
      </c>
      <c r="G318" s="16" t="s">
        <v>961</v>
      </c>
      <c r="H318" s="17" t="n">
        <v>1928</v>
      </c>
      <c r="I318" s="17"/>
      <c r="J318" s="17"/>
      <c r="K318" s="17" t="n">
        <v>1968</v>
      </c>
      <c r="L318" s="17" t="n">
        <f aca="false">IF(AND(IFERROR(SEARCH("현대오일뱅크",$C318),0)&gt;0,IFERROR(SEARCH("직영",$C318),0)&gt;0),$B$13,0)</f>
        <v>0</v>
      </c>
      <c r="M318" s="17" t="n">
        <f aca="false">IF($H318="","",$H318+$L318)</f>
        <v>1928</v>
      </c>
      <c r="N318" s="17" t="str">
        <f aca="false">IF($I318="","",$I318+$L318)</f>
        <v/>
      </c>
      <c r="O318" s="17" t="n">
        <f aca="false">IF($K318="","",$K318+$L318)</f>
        <v>1968</v>
      </c>
      <c r="P318" s="17" t="str">
        <f aca="false">IF($B$10=0,"",IFERROR(IF($B$4&gt;0,"휘발유 "&amp;TEXT(IF($M318="",1/0,$M318*$B$4),"#,##0")&amp;"원","")&amp;IF($B$5&gt;0,IF($B$4&gt;0," / ","")&amp;"고급유 "&amp;TEXT(IF($N318="",1/0,$N318*$B$5),"#,##0")&amp;"원","")&amp;IF($B$6&gt;0,IF(OR($B$4&gt;0,$B$5&gt;0)," / ","")&amp;"경유 "&amp;TEXT(IF($O318="",1/0,$O318*$B$6),"#,##0")&amp;"원",""),""))</f>
        <v/>
      </c>
      <c r="Q318" s="17" t="str">
        <f aca="false">IF($B$10=0,"",IFERROR(IF($B$4&gt;0,IF($M318="",1/0,$M318*$B$4),0)+IF($B$5&gt;0,IF($N318="",1/0,$N318*$B$5),0)+IF($B$6&gt;0,IF($O318="",1/0,$O318*$B$6),0),""))</f>
        <v/>
      </c>
      <c r="R318" s="17" t="s">
        <v>47</v>
      </c>
      <c r="S318" s="18" t="str">
        <f aca="false">IF($Q318="","",IF($R318="Y",IFERROR(VLOOKUP($B318,$C$4:$D$13,2,FALSE()),0),0))</f>
        <v/>
      </c>
      <c r="T318" s="17" t="str">
        <f aca="false">IF($Q318="","",ROUNDDOWN($Q318*$S318,0))</f>
        <v/>
      </c>
      <c r="U318" s="17" t="str">
        <f aca="false">IF($Q318="","",$Q318-$T318)</f>
        <v/>
      </c>
      <c r="V318" s="17" t="str">
        <f aca="false">IF($U318="","",IF($B$10=0,"",$U318/$B$10))</f>
        <v/>
      </c>
      <c r="W318" s="17" t="str">
        <f aca="false">IF($Q318="","",IF($B$10=0,"",$Q318/$B$10))</f>
        <v/>
      </c>
      <c r="X318" s="19" t="n">
        <f aca="false">IF($U318="",1000000000000000,$U318)</f>
        <v>1000000000000000</v>
      </c>
      <c r="XFC318" s="6"/>
    </row>
    <row r="319" s="5" customFormat="true" ht="28.5" hidden="false" customHeight="true" outlineLevel="0" collapsed="false">
      <c r="A319" s="16" t="str">
        <f aca="false">IF($U319="","",1+COUNTIF($X$15:$X$728,"&lt;"&amp;X319))</f>
        <v/>
      </c>
      <c r="B319" s="16" t="s">
        <v>12</v>
      </c>
      <c r="C319" s="16" t="s">
        <v>962</v>
      </c>
      <c r="D319" s="20" t="s">
        <v>248</v>
      </c>
      <c r="E319" s="16" t="s">
        <v>47</v>
      </c>
      <c r="F319" s="16" t="s">
        <v>963</v>
      </c>
      <c r="G319" s="16" t="s">
        <v>964</v>
      </c>
      <c r="H319" s="17" t="n">
        <v>1929</v>
      </c>
      <c r="I319" s="17"/>
      <c r="J319" s="17"/>
      <c r="K319" s="17" t="n">
        <v>1969</v>
      </c>
      <c r="L319" s="17" t="n">
        <f aca="false">IF(AND(IFERROR(SEARCH("현대오일뱅크",$C319),0)&gt;0,IFERROR(SEARCH("직영",$C319),0)&gt;0),$B$13,0)</f>
        <v>0</v>
      </c>
      <c r="M319" s="17" t="n">
        <f aca="false">IF($H319="","",$H319+$L319)</f>
        <v>1929</v>
      </c>
      <c r="N319" s="17" t="str">
        <f aca="false">IF($I319="","",$I319+$L319)</f>
        <v/>
      </c>
      <c r="O319" s="17" t="n">
        <f aca="false">IF($K319="","",$K319+$L319)</f>
        <v>1969</v>
      </c>
      <c r="P319" s="17" t="str">
        <f aca="false">IF($B$10=0,"",IFERROR(IF($B$4&gt;0,"휘발유 "&amp;TEXT(IF($M319="",1/0,$M319*$B$4),"#,##0")&amp;"원","")&amp;IF($B$5&gt;0,IF($B$4&gt;0," / ","")&amp;"고급유 "&amp;TEXT(IF($N319="",1/0,$N319*$B$5),"#,##0")&amp;"원","")&amp;IF($B$6&gt;0,IF(OR($B$4&gt;0,$B$5&gt;0)," / ","")&amp;"경유 "&amp;TEXT(IF($O319="",1/0,$O319*$B$6),"#,##0")&amp;"원",""),""))</f>
        <v/>
      </c>
      <c r="Q319" s="17" t="str">
        <f aca="false">IF($B$10=0,"",IFERROR(IF($B$4&gt;0,IF($M319="",1/0,$M319*$B$4),0)+IF($B$5&gt;0,IF($N319="",1/0,$N319*$B$5),0)+IF($B$6&gt;0,IF($O319="",1/0,$O319*$B$6),0),""))</f>
        <v/>
      </c>
      <c r="R319" s="17" t="s">
        <v>47</v>
      </c>
      <c r="S319" s="18" t="str">
        <f aca="false">IF($Q319="","",IF($R319="Y",IFERROR(VLOOKUP($B319,$C$4:$D$13,2,FALSE()),0),0))</f>
        <v/>
      </c>
      <c r="T319" s="17" t="str">
        <f aca="false">IF($Q319="","",ROUNDDOWN($Q319*$S319,0))</f>
        <v/>
      </c>
      <c r="U319" s="17" t="str">
        <f aca="false">IF($Q319="","",$Q319-$T319)</f>
        <v/>
      </c>
      <c r="V319" s="17" t="str">
        <f aca="false">IF($U319="","",IF($B$10=0,"",$U319/$B$10))</f>
        <v/>
      </c>
      <c r="W319" s="17" t="str">
        <f aca="false">IF($Q319="","",IF($B$10=0,"",$Q319/$B$10))</f>
        <v/>
      </c>
      <c r="X319" s="19" t="n">
        <f aca="false">IF($U319="",1000000000000000,$U319)</f>
        <v>1000000000000000</v>
      </c>
      <c r="XFC319" s="6"/>
    </row>
    <row r="320" s="5" customFormat="true" ht="28.5" hidden="false" customHeight="true" outlineLevel="0" collapsed="false">
      <c r="A320" s="16" t="str">
        <f aca="false">IF($U320="","",1+COUNTIF($X$15:$X$728,"&lt;"&amp;X320))</f>
        <v/>
      </c>
      <c r="B320" s="16" t="s">
        <v>6</v>
      </c>
      <c r="C320" s="16" t="s">
        <v>965</v>
      </c>
      <c r="D320" s="16" t="s">
        <v>58</v>
      </c>
      <c r="E320" s="16" t="s">
        <v>47</v>
      </c>
      <c r="F320" s="16" t="s">
        <v>966</v>
      </c>
      <c r="G320" s="16" t="s">
        <v>967</v>
      </c>
      <c r="H320" s="17" t="n">
        <v>1929</v>
      </c>
      <c r="I320" s="17"/>
      <c r="J320" s="17"/>
      <c r="K320" s="17" t="n">
        <v>1969</v>
      </c>
      <c r="L320" s="17" t="n">
        <f aca="false">IF(AND(IFERROR(SEARCH("현대오일뱅크",$C320),0)&gt;0,IFERROR(SEARCH("직영",$C320),0)&gt;0),$B$13,0)</f>
        <v>0</v>
      </c>
      <c r="M320" s="17" t="n">
        <f aca="false">IF($H320="","",$H320+$L320)</f>
        <v>1929</v>
      </c>
      <c r="N320" s="17" t="str">
        <f aca="false">IF($I320="","",$I320+$L320)</f>
        <v/>
      </c>
      <c r="O320" s="17" t="n">
        <f aca="false">IF($K320="","",$K320+$L320)</f>
        <v>1969</v>
      </c>
      <c r="P320" s="17" t="str">
        <f aca="false">IF($B$10=0,"",IFERROR(IF($B$4&gt;0,"휘발유 "&amp;TEXT(IF($M320="",1/0,$M320*$B$4),"#,##0")&amp;"원","")&amp;IF($B$5&gt;0,IF($B$4&gt;0," / ","")&amp;"고급유 "&amp;TEXT(IF($N320="",1/0,$N320*$B$5),"#,##0")&amp;"원","")&amp;IF($B$6&gt;0,IF(OR($B$4&gt;0,$B$5&gt;0)," / ","")&amp;"경유 "&amp;TEXT(IF($O320="",1/0,$O320*$B$6),"#,##0")&amp;"원",""),""))</f>
        <v/>
      </c>
      <c r="Q320" s="17" t="str">
        <f aca="false">IF($B$10=0,"",IFERROR(IF($B$4&gt;0,IF($M320="",1/0,$M320*$B$4),0)+IF($B$5&gt;0,IF($N320="",1/0,$N320*$B$5),0)+IF($B$6&gt;0,IF($O320="",1/0,$O320*$B$6),0),""))</f>
        <v/>
      </c>
      <c r="R320" s="17" t="s">
        <v>47</v>
      </c>
      <c r="S320" s="18" t="str">
        <f aca="false">IF($Q320="","",IF($R320="Y",IFERROR(VLOOKUP($B320,$C$4:$D$13,2,FALSE()),0),0))</f>
        <v/>
      </c>
      <c r="T320" s="17" t="str">
        <f aca="false">IF($Q320="","",ROUNDDOWN($Q320*$S320,0))</f>
        <v/>
      </c>
      <c r="U320" s="17" t="str">
        <f aca="false">IF($Q320="","",$Q320-$T320)</f>
        <v/>
      </c>
      <c r="V320" s="17" t="str">
        <f aca="false">IF($U320="","",IF($B$10=0,"",$U320/$B$10))</f>
        <v/>
      </c>
      <c r="W320" s="17" t="str">
        <f aca="false">IF($Q320="","",IF($B$10=0,"",$Q320/$B$10))</f>
        <v/>
      </c>
      <c r="X320" s="19" t="n">
        <f aca="false">IF($U320="",1000000000000000,$U320)</f>
        <v>1000000000000000</v>
      </c>
      <c r="XFC320" s="6"/>
    </row>
    <row r="321" s="5" customFormat="true" ht="28.5" hidden="false" customHeight="true" outlineLevel="0" collapsed="false">
      <c r="A321" s="16" t="str">
        <f aca="false">IF($U321="","",1+COUNTIF($X$15:$X$728,"&lt;"&amp;X321))</f>
        <v/>
      </c>
      <c r="B321" s="16" t="s">
        <v>6</v>
      </c>
      <c r="C321" s="16" t="s">
        <v>968</v>
      </c>
      <c r="D321" s="16" t="s">
        <v>112</v>
      </c>
      <c r="E321" s="16" t="s">
        <v>47</v>
      </c>
      <c r="F321" s="16" t="s">
        <v>969</v>
      </c>
      <c r="G321" s="16" t="s">
        <v>970</v>
      </c>
      <c r="H321" s="17" t="n">
        <v>1929</v>
      </c>
      <c r="I321" s="17"/>
      <c r="J321" s="17"/>
      <c r="K321" s="17" t="n">
        <v>1949</v>
      </c>
      <c r="L321" s="17" t="n">
        <f aca="false">IF(AND(IFERROR(SEARCH("현대오일뱅크",$C321),0)&gt;0,IFERROR(SEARCH("직영",$C321),0)&gt;0),$B$13,0)</f>
        <v>0</v>
      </c>
      <c r="M321" s="17" t="n">
        <f aca="false">IF($H321="","",$H321+$L321)</f>
        <v>1929</v>
      </c>
      <c r="N321" s="17" t="str">
        <f aca="false">IF($I321="","",$I321+$L321)</f>
        <v/>
      </c>
      <c r="O321" s="17" t="n">
        <f aca="false">IF($K321="","",$K321+$L321)</f>
        <v>1949</v>
      </c>
      <c r="P321" s="17" t="str">
        <f aca="false">IF($B$10=0,"",IFERROR(IF($B$4&gt;0,"휘발유 "&amp;TEXT(IF($M321="",1/0,$M321*$B$4),"#,##0")&amp;"원","")&amp;IF($B$5&gt;0,IF($B$4&gt;0," / ","")&amp;"고급유 "&amp;TEXT(IF($N321="",1/0,$N321*$B$5),"#,##0")&amp;"원","")&amp;IF($B$6&gt;0,IF(OR($B$4&gt;0,$B$5&gt;0)," / ","")&amp;"경유 "&amp;TEXT(IF($O321="",1/0,$O321*$B$6),"#,##0")&amp;"원",""),""))</f>
        <v/>
      </c>
      <c r="Q321" s="17" t="str">
        <f aca="false">IF($B$10=0,"",IFERROR(IF($B$4&gt;0,IF($M321="",1/0,$M321*$B$4),0)+IF($B$5&gt;0,IF($N321="",1/0,$N321*$B$5),0)+IF($B$6&gt;0,IF($O321="",1/0,$O321*$B$6),0),""))</f>
        <v/>
      </c>
      <c r="R321" s="17" t="s">
        <v>47</v>
      </c>
      <c r="S321" s="18" t="str">
        <f aca="false">IF($Q321="","",IF($R321="Y",IFERROR(VLOOKUP($B321,$C$4:$D$13,2,FALSE()),0),0))</f>
        <v/>
      </c>
      <c r="T321" s="17" t="str">
        <f aca="false">IF($Q321="","",ROUNDDOWN($Q321*$S321,0))</f>
        <v/>
      </c>
      <c r="U321" s="17" t="str">
        <f aca="false">IF($Q321="","",$Q321-$T321)</f>
        <v/>
      </c>
      <c r="V321" s="17" t="str">
        <f aca="false">IF($U321="","",IF($B$10=0,"",$U321/$B$10))</f>
        <v/>
      </c>
      <c r="W321" s="17" t="str">
        <f aca="false">IF($Q321="","",IF($B$10=0,"",$Q321/$B$10))</f>
        <v/>
      </c>
      <c r="X321" s="19" t="n">
        <f aca="false">IF($U321="",1000000000000000,$U321)</f>
        <v>1000000000000000</v>
      </c>
      <c r="XFC321" s="6"/>
    </row>
    <row r="322" s="5" customFormat="true" ht="28.5" hidden="false" customHeight="true" outlineLevel="0" collapsed="false">
      <c r="A322" s="16" t="str">
        <f aca="false">IF($U322="","",1+COUNTIF($X$15:$X$728,"&lt;"&amp;X322))</f>
        <v/>
      </c>
      <c r="B322" s="16" t="s">
        <v>6</v>
      </c>
      <c r="C322" s="16" t="s">
        <v>535</v>
      </c>
      <c r="D322" s="16" t="s">
        <v>58</v>
      </c>
      <c r="E322" s="16" t="s">
        <v>47</v>
      </c>
      <c r="F322" s="16" t="s">
        <v>971</v>
      </c>
      <c r="G322" s="16" t="s">
        <v>972</v>
      </c>
      <c r="H322" s="17" t="n">
        <v>1929</v>
      </c>
      <c r="I322" s="17"/>
      <c r="J322" s="17"/>
      <c r="K322" s="17" t="n">
        <v>1979</v>
      </c>
      <c r="L322" s="17" t="n">
        <f aca="false">IF(AND(IFERROR(SEARCH("현대오일뱅크",$C322),0)&gt;0,IFERROR(SEARCH("직영",$C322),0)&gt;0),$B$13,0)</f>
        <v>0</v>
      </c>
      <c r="M322" s="17" t="n">
        <f aca="false">IF($H322="","",$H322+$L322)</f>
        <v>1929</v>
      </c>
      <c r="N322" s="17" t="str">
        <f aca="false">IF($I322="","",$I322+$L322)</f>
        <v/>
      </c>
      <c r="O322" s="17" t="n">
        <f aca="false">IF($K322="","",$K322+$L322)</f>
        <v>1979</v>
      </c>
      <c r="P322" s="17" t="str">
        <f aca="false">IF($B$10=0,"",IFERROR(IF($B$4&gt;0,"휘발유 "&amp;TEXT(IF($M322="",1/0,$M322*$B$4),"#,##0")&amp;"원","")&amp;IF($B$5&gt;0,IF($B$4&gt;0," / ","")&amp;"고급유 "&amp;TEXT(IF($N322="",1/0,$N322*$B$5),"#,##0")&amp;"원","")&amp;IF($B$6&gt;0,IF(OR($B$4&gt;0,$B$5&gt;0)," / ","")&amp;"경유 "&amp;TEXT(IF($O322="",1/0,$O322*$B$6),"#,##0")&amp;"원",""),""))</f>
        <v/>
      </c>
      <c r="Q322" s="17" t="str">
        <f aca="false">IF($B$10=0,"",IFERROR(IF($B$4&gt;0,IF($M322="",1/0,$M322*$B$4),0)+IF($B$5&gt;0,IF($N322="",1/0,$N322*$B$5),0)+IF($B$6&gt;0,IF($O322="",1/0,$O322*$B$6),0),""))</f>
        <v/>
      </c>
      <c r="R322" s="17" t="s">
        <v>47</v>
      </c>
      <c r="S322" s="18" t="str">
        <f aca="false">IF($Q322="","",IF($R322="Y",IFERROR(VLOOKUP($B322,$C$4:$D$13,2,FALSE()),0),0))</f>
        <v/>
      </c>
      <c r="T322" s="17" t="str">
        <f aca="false">IF($Q322="","",ROUNDDOWN($Q322*$S322,0))</f>
        <v/>
      </c>
      <c r="U322" s="17" t="str">
        <f aca="false">IF($Q322="","",$Q322-$T322)</f>
        <v/>
      </c>
      <c r="V322" s="17" t="str">
        <f aca="false">IF($U322="","",IF($B$10=0,"",$U322/$B$10))</f>
        <v/>
      </c>
      <c r="W322" s="17" t="str">
        <f aca="false">IF($Q322="","",IF($B$10=0,"",$Q322/$B$10))</f>
        <v/>
      </c>
      <c r="X322" s="19" t="n">
        <f aca="false">IF($U322="",1000000000000000,$U322)</f>
        <v>1000000000000000</v>
      </c>
      <c r="XFC322" s="6"/>
    </row>
    <row r="323" s="5" customFormat="true" ht="28.5" hidden="false" customHeight="true" outlineLevel="0" collapsed="false">
      <c r="A323" s="16" t="str">
        <f aca="false">IF($U323="","",1+COUNTIF($X$15:$X$728,"&lt;"&amp;X323))</f>
        <v/>
      </c>
      <c r="B323" s="16" t="s">
        <v>8</v>
      </c>
      <c r="C323" s="16" t="s">
        <v>973</v>
      </c>
      <c r="D323" s="16" t="s">
        <v>112</v>
      </c>
      <c r="E323" s="16" t="s">
        <v>59</v>
      </c>
      <c r="F323" s="16" t="s">
        <v>974</v>
      </c>
      <c r="G323" s="16" t="s">
        <v>975</v>
      </c>
      <c r="H323" s="17" t="n">
        <v>1929</v>
      </c>
      <c r="I323" s="17"/>
      <c r="J323" s="17"/>
      <c r="K323" s="17" t="n">
        <v>1949</v>
      </c>
      <c r="L323" s="17" t="n">
        <f aca="false">IF(AND(IFERROR(SEARCH("현대오일뱅크",$C323),0)&gt;0,IFERROR(SEARCH("직영",$C323),0)&gt;0),$B$13,0)</f>
        <v>0</v>
      </c>
      <c r="M323" s="17" t="n">
        <f aca="false">IF($H323="","",$H323+$L323)</f>
        <v>1929</v>
      </c>
      <c r="N323" s="17" t="str">
        <f aca="false">IF($I323="","",$I323+$L323)</f>
        <v/>
      </c>
      <c r="O323" s="17" t="n">
        <f aca="false">IF($K323="","",$K323+$L323)</f>
        <v>1949</v>
      </c>
      <c r="P323" s="17" t="str">
        <f aca="false">IF($B$10=0,"",IFERROR(IF($B$4&gt;0,"휘발유 "&amp;TEXT(IF($M323="",1/0,$M323*$B$4),"#,##0")&amp;"원","")&amp;IF($B$5&gt;0,IF($B$4&gt;0," / ","")&amp;"고급유 "&amp;TEXT(IF($N323="",1/0,$N323*$B$5),"#,##0")&amp;"원","")&amp;IF($B$6&gt;0,IF(OR($B$4&gt;0,$B$5&gt;0)," / ","")&amp;"경유 "&amp;TEXT(IF($O323="",1/0,$O323*$B$6),"#,##0")&amp;"원",""),""))</f>
        <v/>
      </c>
      <c r="Q323" s="17" t="str">
        <f aca="false">IF($B$10=0,"",IFERROR(IF($B$4&gt;0,IF($M323="",1/0,$M323*$B$4),0)+IF($B$5&gt;0,IF($N323="",1/0,$N323*$B$5),0)+IF($B$6&gt;0,IF($O323="",1/0,$O323*$B$6),0),""))</f>
        <v/>
      </c>
      <c r="R323" s="17" t="s">
        <v>47</v>
      </c>
      <c r="S323" s="18" t="str">
        <f aca="false">IF($Q323="","",IF($R323="Y",IFERROR(VLOOKUP($B323,$C$4:$D$13,2,FALSE()),0),0))</f>
        <v/>
      </c>
      <c r="T323" s="17" t="str">
        <f aca="false">IF($Q323="","",ROUNDDOWN($Q323*$S323,0))</f>
        <v/>
      </c>
      <c r="U323" s="17" t="str">
        <f aca="false">IF($Q323="","",$Q323-$T323)</f>
        <v/>
      </c>
      <c r="V323" s="17" t="str">
        <f aca="false">IF($U323="","",IF($B$10=0,"",$U323/$B$10))</f>
        <v/>
      </c>
      <c r="W323" s="17" t="str">
        <f aca="false">IF($Q323="","",IF($B$10=0,"",$Q323/$B$10))</f>
        <v/>
      </c>
      <c r="X323" s="19" t="n">
        <f aca="false">IF($U323="",1000000000000000,$U323)</f>
        <v>1000000000000000</v>
      </c>
      <c r="XFC323" s="6"/>
    </row>
    <row r="324" s="5" customFormat="true" ht="28.5" hidden="false" customHeight="true" outlineLevel="0" collapsed="false">
      <c r="A324" s="16" t="str">
        <f aca="false">IF($U324="","",1+COUNTIF($X$15:$X$728,"&lt;"&amp;X324))</f>
        <v/>
      </c>
      <c r="B324" s="16" t="s">
        <v>10</v>
      </c>
      <c r="C324" s="16" t="s">
        <v>976</v>
      </c>
      <c r="D324" s="16" t="s">
        <v>51</v>
      </c>
      <c r="E324" s="16" t="s">
        <v>59</v>
      </c>
      <c r="F324" s="16" t="s">
        <v>977</v>
      </c>
      <c r="G324" s="16" t="s">
        <v>978</v>
      </c>
      <c r="H324" s="17" t="n">
        <v>1929</v>
      </c>
      <c r="I324" s="17"/>
      <c r="J324" s="17"/>
      <c r="K324" s="17" t="n">
        <v>1969</v>
      </c>
      <c r="L324" s="17" t="n">
        <f aca="false">IF(AND(IFERROR(SEARCH("현대오일뱅크",$C324),0)&gt;0,IFERROR(SEARCH("직영",$C324),0)&gt;0),$B$13,0)</f>
        <v>0</v>
      </c>
      <c r="M324" s="17" t="n">
        <f aca="false">IF($H324="","",$H324+$L324)</f>
        <v>1929</v>
      </c>
      <c r="N324" s="17" t="str">
        <f aca="false">IF($I324="","",$I324+$L324)</f>
        <v/>
      </c>
      <c r="O324" s="17" t="n">
        <f aca="false">IF($K324="","",$K324+$L324)</f>
        <v>1969</v>
      </c>
      <c r="P324" s="17" t="str">
        <f aca="false">IF($B$10=0,"",IFERROR(IF($B$4&gt;0,"휘발유 "&amp;TEXT(IF($M324="",1/0,$M324*$B$4),"#,##0")&amp;"원","")&amp;IF($B$5&gt;0,IF($B$4&gt;0," / ","")&amp;"고급유 "&amp;TEXT(IF($N324="",1/0,$N324*$B$5),"#,##0")&amp;"원","")&amp;IF($B$6&gt;0,IF(OR($B$4&gt;0,$B$5&gt;0)," / ","")&amp;"경유 "&amp;TEXT(IF($O324="",1/0,$O324*$B$6),"#,##0")&amp;"원",""),""))</f>
        <v/>
      </c>
      <c r="Q324" s="17" t="str">
        <f aca="false">IF($B$10=0,"",IFERROR(IF($B$4&gt;0,IF($M324="",1/0,$M324*$B$4),0)+IF($B$5&gt;0,IF($N324="",1/0,$N324*$B$5),0)+IF($B$6&gt;0,IF($O324="",1/0,$O324*$B$6),0),""))</f>
        <v/>
      </c>
      <c r="R324" s="17" t="s">
        <v>47</v>
      </c>
      <c r="S324" s="18" t="str">
        <f aca="false">IF($Q324="","",IF($R324="Y",IFERROR(VLOOKUP($B324,$C$4:$D$13,2,FALSE()),0),0))</f>
        <v/>
      </c>
      <c r="T324" s="17" t="str">
        <f aca="false">IF($Q324="","",ROUNDDOWN($Q324*$S324,0))</f>
        <v/>
      </c>
      <c r="U324" s="17" t="str">
        <f aca="false">IF($Q324="","",$Q324-$T324)</f>
        <v/>
      </c>
      <c r="V324" s="17" t="str">
        <f aca="false">IF($U324="","",IF($B$10=0,"",$U324/$B$10))</f>
        <v/>
      </c>
      <c r="W324" s="17" t="str">
        <f aca="false">IF($Q324="","",IF($B$10=0,"",$Q324/$B$10))</f>
        <v/>
      </c>
      <c r="X324" s="19" t="n">
        <f aca="false">IF($U324="",1000000000000000,$U324)</f>
        <v>1000000000000000</v>
      </c>
      <c r="XFC324" s="6"/>
    </row>
    <row r="325" s="5" customFormat="true" ht="28.5" hidden="false" customHeight="true" outlineLevel="0" collapsed="false">
      <c r="A325" s="16" t="str">
        <f aca="false">IF($U325="","",1+COUNTIF($X$15:$X$728,"&lt;"&amp;X325))</f>
        <v/>
      </c>
      <c r="B325" s="16" t="s">
        <v>8</v>
      </c>
      <c r="C325" s="16" t="s">
        <v>761</v>
      </c>
      <c r="D325" s="16" t="s">
        <v>58</v>
      </c>
      <c r="E325" s="16" t="s">
        <v>47</v>
      </c>
      <c r="F325" s="16" t="s">
        <v>979</v>
      </c>
      <c r="G325" s="16" t="s">
        <v>980</v>
      </c>
      <c r="H325" s="17" t="n">
        <v>1929</v>
      </c>
      <c r="I325" s="17"/>
      <c r="J325" s="17"/>
      <c r="K325" s="17" t="n">
        <v>1979</v>
      </c>
      <c r="L325" s="17" t="n">
        <f aca="false">IF(AND(IFERROR(SEARCH("현대오일뱅크",$C325),0)&gt;0,IFERROR(SEARCH("직영",$C325),0)&gt;0),$B$13,0)</f>
        <v>0</v>
      </c>
      <c r="M325" s="17" t="n">
        <f aca="false">IF($H325="","",$H325+$L325)</f>
        <v>1929</v>
      </c>
      <c r="N325" s="17" t="str">
        <f aca="false">IF($I325="","",$I325+$L325)</f>
        <v/>
      </c>
      <c r="O325" s="17" t="n">
        <f aca="false">IF($K325="","",$K325+$L325)</f>
        <v>1979</v>
      </c>
      <c r="P325" s="17" t="str">
        <f aca="false">IF($B$10=0,"",IFERROR(IF($B$4&gt;0,"휘발유 "&amp;TEXT(IF($M325="",1/0,$M325*$B$4),"#,##0")&amp;"원","")&amp;IF($B$5&gt;0,IF($B$4&gt;0," / ","")&amp;"고급유 "&amp;TEXT(IF($N325="",1/0,$N325*$B$5),"#,##0")&amp;"원","")&amp;IF($B$6&gt;0,IF(OR($B$4&gt;0,$B$5&gt;0)," / ","")&amp;"경유 "&amp;TEXT(IF($O325="",1/0,$O325*$B$6),"#,##0")&amp;"원",""),""))</f>
        <v/>
      </c>
      <c r="Q325" s="17" t="str">
        <f aca="false">IF($B$10=0,"",IFERROR(IF($B$4&gt;0,IF($M325="",1/0,$M325*$B$4),0)+IF($B$5&gt;0,IF($N325="",1/0,$N325*$B$5),0)+IF($B$6&gt;0,IF($O325="",1/0,$O325*$B$6),0),""))</f>
        <v/>
      </c>
      <c r="R325" s="17" t="s">
        <v>47</v>
      </c>
      <c r="S325" s="18" t="str">
        <f aca="false">IF($Q325="","",IF($R325="Y",IFERROR(VLOOKUP($B325,$C$4:$D$13,2,FALSE()),0),0))</f>
        <v/>
      </c>
      <c r="T325" s="17" t="str">
        <f aca="false">IF($Q325="","",ROUNDDOWN($Q325*$S325,0))</f>
        <v/>
      </c>
      <c r="U325" s="17" t="str">
        <f aca="false">IF($Q325="","",$Q325-$T325)</f>
        <v/>
      </c>
      <c r="V325" s="17" t="str">
        <f aca="false">IF($U325="","",IF($B$10=0,"",$U325/$B$10))</f>
        <v/>
      </c>
      <c r="W325" s="17" t="str">
        <f aca="false">IF($Q325="","",IF($B$10=0,"",$Q325/$B$10))</f>
        <v/>
      </c>
      <c r="X325" s="19" t="n">
        <f aca="false">IF($U325="",1000000000000000,$U325)</f>
        <v>1000000000000000</v>
      </c>
      <c r="XFC325" s="6"/>
    </row>
    <row r="326" s="5" customFormat="true" ht="28.5" hidden="false" customHeight="true" outlineLevel="0" collapsed="false">
      <c r="A326" s="16" t="str">
        <f aca="false">IF($U326="","",1+COUNTIF($X$15:$X$728,"&lt;"&amp;X326))</f>
        <v/>
      </c>
      <c r="B326" s="16" t="s">
        <v>8</v>
      </c>
      <c r="C326" s="16" t="s">
        <v>981</v>
      </c>
      <c r="D326" s="16" t="s">
        <v>58</v>
      </c>
      <c r="E326" s="16" t="s">
        <v>47</v>
      </c>
      <c r="F326" s="16" t="s">
        <v>982</v>
      </c>
      <c r="G326" s="16" t="s">
        <v>983</v>
      </c>
      <c r="H326" s="17" t="n">
        <v>1929</v>
      </c>
      <c r="I326" s="17"/>
      <c r="J326" s="17"/>
      <c r="K326" s="17" t="n">
        <v>1949</v>
      </c>
      <c r="L326" s="17" t="n">
        <f aca="false">IF(AND(IFERROR(SEARCH("현대오일뱅크",$C326),0)&gt;0,IFERROR(SEARCH("직영",$C326),0)&gt;0),$B$13,0)</f>
        <v>0</v>
      </c>
      <c r="M326" s="17" t="n">
        <f aca="false">IF($H326="","",$H326+$L326)</f>
        <v>1929</v>
      </c>
      <c r="N326" s="17" t="str">
        <f aca="false">IF($I326="","",$I326+$L326)</f>
        <v/>
      </c>
      <c r="O326" s="17" t="n">
        <f aca="false">IF($K326="","",$K326+$L326)</f>
        <v>1949</v>
      </c>
      <c r="P326" s="17" t="str">
        <f aca="false">IF($B$10=0,"",IFERROR(IF($B$4&gt;0,"휘발유 "&amp;TEXT(IF($M326="",1/0,$M326*$B$4),"#,##0")&amp;"원","")&amp;IF($B$5&gt;0,IF($B$4&gt;0," / ","")&amp;"고급유 "&amp;TEXT(IF($N326="",1/0,$N326*$B$5),"#,##0")&amp;"원","")&amp;IF($B$6&gt;0,IF(OR($B$4&gt;0,$B$5&gt;0)," / ","")&amp;"경유 "&amp;TEXT(IF($O326="",1/0,$O326*$B$6),"#,##0")&amp;"원",""),""))</f>
        <v/>
      </c>
      <c r="Q326" s="17" t="str">
        <f aca="false">IF($B$10=0,"",IFERROR(IF($B$4&gt;0,IF($M326="",1/0,$M326*$B$4),0)+IF($B$5&gt;0,IF($N326="",1/0,$N326*$B$5),0)+IF($B$6&gt;0,IF($O326="",1/0,$O326*$B$6),0),""))</f>
        <v/>
      </c>
      <c r="R326" s="17" t="s">
        <v>47</v>
      </c>
      <c r="S326" s="18" t="str">
        <f aca="false">IF($Q326="","",IF($R326="Y",IFERROR(VLOOKUP($B326,$C$4:$D$13,2,FALSE()),0),0))</f>
        <v/>
      </c>
      <c r="T326" s="17" t="str">
        <f aca="false">IF($Q326="","",ROUNDDOWN($Q326*$S326,0))</f>
        <v/>
      </c>
      <c r="U326" s="17" t="str">
        <f aca="false">IF($Q326="","",$Q326-$T326)</f>
        <v/>
      </c>
      <c r="V326" s="17" t="str">
        <f aca="false">IF($U326="","",IF($B$10=0,"",$U326/$B$10))</f>
        <v/>
      </c>
      <c r="W326" s="17" t="str">
        <f aca="false">IF($Q326="","",IF($B$10=0,"",$Q326/$B$10))</f>
        <v/>
      </c>
      <c r="X326" s="19" t="n">
        <f aca="false">IF($U326="",1000000000000000,$U326)</f>
        <v>1000000000000000</v>
      </c>
      <c r="XFC326" s="6"/>
    </row>
    <row r="327" s="5" customFormat="true" ht="28.5" hidden="false" customHeight="true" outlineLevel="0" collapsed="false">
      <c r="A327" s="16" t="str">
        <f aca="false">IF($U327="","",1+COUNTIF($X$15:$X$728,"&lt;"&amp;X327))</f>
        <v/>
      </c>
      <c r="B327" s="16" t="s">
        <v>6</v>
      </c>
      <c r="C327" s="16" t="s">
        <v>984</v>
      </c>
      <c r="D327" s="16" t="s">
        <v>51</v>
      </c>
      <c r="E327" s="16" t="s">
        <v>47</v>
      </c>
      <c r="F327" s="16" t="s">
        <v>985</v>
      </c>
      <c r="G327" s="16" t="s">
        <v>986</v>
      </c>
      <c r="H327" s="17" t="n">
        <v>1929</v>
      </c>
      <c r="I327" s="17"/>
      <c r="J327" s="17"/>
      <c r="K327" s="17" t="n">
        <v>1969</v>
      </c>
      <c r="L327" s="17" t="n">
        <f aca="false">IF(AND(IFERROR(SEARCH("현대오일뱅크",$C327),0)&gt;0,IFERROR(SEARCH("직영",$C327),0)&gt;0),$B$13,0)</f>
        <v>0</v>
      </c>
      <c r="M327" s="17" t="n">
        <f aca="false">IF($H327="","",$H327+$L327)</f>
        <v>1929</v>
      </c>
      <c r="N327" s="17" t="str">
        <f aca="false">IF($I327="","",$I327+$L327)</f>
        <v/>
      </c>
      <c r="O327" s="17" t="n">
        <f aca="false">IF($K327="","",$K327+$L327)</f>
        <v>1969</v>
      </c>
      <c r="P327" s="17" t="str">
        <f aca="false">IF($B$10=0,"",IFERROR(IF($B$4&gt;0,"휘발유 "&amp;TEXT(IF($M327="",1/0,$M327*$B$4),"#,##0")&amp;"원","")&amp;IF($B$5&gt;0,IF($B$4&gt;0," / ","")&amp;"고급유 "&amp;TEXT(IF($N327="",1/0,$N327*$B$5),"#,##0")&amp;"원","")&amp;IF($B$6&gt;0,IF(OR($B$4&gt;0,$B$5&gt;0)," / ","")&amp;"경유 "&amp;TEXT(IF($O327="",1/0,$O327*$B$6),"#,##0")&amp;"원",""),""))</f>
        <v/>
      </c>
      <c r="Q327" s="17" t="str">
        <f aca="false">IF($B$10=0,"",IFERROR(IF($B$4&gt;0,IF($M327="",1/0,$M327*$B$4),0)+IF($B$5&gt;0,IF($N327="",1/0,$N327*$B$5),0)+IF($B$6&gt;0,IF($O327="",1/0,$O327*$B$6),0),""))</f>
        <v/>
      </c>
      <c r="R327" s="17" t="s">
        <v>47</v>
      </c>
      <c r="S327" s="18" t="str">
        <f aca="false">IF($Q327="","",IF($R327="Y",IFERROR(VLOOKUP($B327,$C$4:$D$13,2,FALSE()),0),0))</f>
        <v/>
      </c>
      <c r="T327" s="17" t="str">
        <f aca="false">IF($Q327="","",ROUNDDOWN($Q327*$S327,0))</f>
        <v/>
      </c>
      <c r="U327" s="17" t="str">
        <f aca="false">IF($Q327="","",$Q327-$T327)</f>
        <v/>
      </c>
      <c r="V327" s="17" t="str">
        <f aca="false">IF($U327="","",IF($B$10=0,"",$U327/$B$10))</f>
        <v/>
      </c>
      <c r="W327" s="17" t="str">
        <f aca="false">IF($Q327="","",IF($B$10=0,"",$Q327/$B$10))</f>
        <v/>
      </c>
      <c r="X327" s="19" t="n">
        <f aca="false">IF($U327="",1000000000000000,$U327)</f>
        <v>1000000000000000</v>
      </c>
      <c r="XFC327" s="6"/>
    </row>
    <row r="328" s="5" customFormat="true" ht="28.5" hidden="false" customHeight="true" outlineLevel="0" collapsed="false">
      <c r="A328" s="16" t="str">
        <f aca="false">IF($U328="","",1+COUNTIF($X$15:$X$728,"&lt;"&amp;X328))</f>
        <v/>
      </c>
      <c r="B328" s="16" t="s">
        <v>10</v>
      </c>
      <c r="C328" s="16" t="s">
        <v>987</v>
      </c>
      <c r="D328" s="16" t="s">
        <v>58</v>
      </c>
      <c r="E328" s="16" t="s">
        <v>59</v>
      </c>
      <c r="F328" s="16" t="s">
        <v>988</v>
      </c>
      <c r="G328" s="16" t="s">
        <v>989</v>
      </c>
      <c r="H328" s="17" t="n">
        <v>1929</v>
      </c>
      <c r="I328" s="17"/>
      <c r="J328" s="17"/>
      <c r="K328" s="17" t="n">
        <v>1949</v>
      </c>
      <c r="L328" s="17" t="n">
        <f aca="false">IF(AND(IFERROR(SEARCH("현대오일뱅크",$C328),0)&gt;0,IFERROR(SEARCH("직영",$C328),0)&gt;0),$B$13,0)</f>
        <v>0</v>
      </c>
      <c r="M328" s="17" t="n">
        <f aca="false">IF($H328="","",$H328+$L328)</f>
        <v>1929</v>
      </c>
      <c r="N328" s="17" t="str">
        <f aca="false">IF($I328="","",$I328+$L328)</f>
        <v/>
      </c>
      <c r="O328" s="17" t="n">
        <f aca="false">IF($K328="","",$K328+$L328)</f>
        <v>1949</v>
      </c>
      <c r="P328" s="17" t="str">
        <f aca="false">IF($B$10=0,"",IFERROR(IF($B$4&gt;0,"휘발유 "&amp;TEXT(IF($M328="",1/0,$M328*$B$4),"#,##0")&amp;"원","")&amp;IF($B$5&gt;0,IF($B$4&gt;0," / ","")&amp;"고급유 "&amp;TEXT(IF($N328="",1/0,$N328*$B$5),"#,##0")&amp;"원","")&amp;IF($B$6&gt;0,IF(OR($B$4&gt;0,$B$5&gt;0)," / ","")&amp;"경유 "&amp;TEXT(IF($O328="",1/0,$O328*$B$6),"#,##0")&amp;"원",""),""))</f>
        <v/>
      </c>
      <c r="Q328" s="17" t="str">
        <f aca="false">IF($B$10=0,"",IFERROR(IF($B$4&gt;0,IF($M328="",1/0,$M328*$B$4),0)+IF($B$5&gt;0,IF($N328="",1/0,$N328*$B$5),0)+IF($B$6&gt;0,IF($O328="",1/0,$O328*$B$6),0),""))</f>
        <v/>
      </c>
      <c r="R328" s="17" t="s">
        <v>47</v>
      </c>
      <c r="S328" s="18" t="str">
        <f aca="false">IF($Q328="","",IF($R328="Y",IFERROR(VLOOKUP($B328,$C$4:$D$13,2,FALSE()),0),0))</f>
        <v/>
      </c>
      <c r="T328" s="17" t="str">
        <f aca="false">IF($Q328="","",ROUNDDOWN($Q328*$S328,0))</f>
        <v/>
      </c>
      <c r="U328" s="17" t="str">
        <f aca="false">IF($Q328="","",$Q328-$T328)</f>
        <v/>
      </c>
      <c r="V328" s="17" t="str">
        <f aca="false">IF($U328="","",IF($B$10=0,"",$U328/$B$10))</f>
        <v/>
      </c>
      <c r="W328" s="17" t="str">
        <f aca="false">IF($Q328="","",IF($B$10=0,"",$Q328/$B$10))</f>
        <v/>
      </c>
      <c r="X328" s="19" t="n">
        <f aca="false">IF($U328="",1000000000000000,$U328)</f>
        <v>1000000000000000</v>
      </c>
      <c r="XFC328" s="6"/>
    </row>
    <row r="329" s="5" customFormat="true" ht="28.5" hidden="false" customHeight="true" outlineLevel="0" collapsed="false">
      <c r="A329" s="16" t="str">
        <f aca="false">IF($U329="","",1+COUNTIF($X$15:$X$728,"&lt;"&amp;X329))</f>
        <v/>
      </c>
      <c r="B329" s="16" t="s">
        <v>10</v>
      </c>
      <c r="C329" s="16" t="s">
        <v>990</v>
      </c>
      <c r="D329" s="20" t="s">
        <v>108</v>
      </c>
      <c r="E329" s="16" t="s">
        <v>59</v>
      </c>
      <c r="F329" s="16" t="s">
        <v>991</v>
      </c>
      <c r="G329" s="16" t="s">
        <v>992</v>
      </c>
      <c r="H329" s="17" t="n">
        <v>1929</v>
      </c>
      <c r="I329" s="17"/>
      <c r="J329" s="17"/>
      <c r="K329" s="17" t="n">
        <v>1949</v>
      </c>
      <c r="L329" s="17" t="n">
        <f aca="false">IF(AND(IFERROR(SEARCH("현대오일뱅크",$C329),0)&gt;0,IFERROR(SEARCH("직영",$C329),0)&gt;0),$B$13,0)</f>
        <v>0</v>
      </c>
      <c r="M329" s="17" t="n">
        <f aca="false">IF($H329="","",$H329+$L329)</f>
        <v>1929</v>
      </c>
      <c r="N329" s="17" t="str">
        <f aca="false">IF($I329="","",$I329+$L329)</f>
        <v/>
      </c>
      <c r="O329" s="17" t="n">
        <f aca="false">IF($K329="","",$K329+$L329)</f>
        <v>1949</v>
      </c>
      <c r="P329" s="17" t="str">
        <f aca="false">IF($B$10=0,"",IFERROR(IF($B$4&gt;0,"휘발유 "&amp;TEXT(IF($M329="",1/0,$M329*$B$4),"#,##0")&amp;"원","")&amp;IF($B$5&gt;0,IF($B$4&gt;0," / ","")&amp;"고급유 "&amp;TEXT(IF($N329="",1/0,$N329*$B$5),"#,##0")&amp;"원","")&amp;IF($B$6&gt;0,IF(OR($B$4&gt;0,$B$5&gt;0)," / ","")&amp;"경유 "&amp;TEXT(IF($O329="",1/0,$O329*$B$6),"#,##0")&amp;"원",""),""))</f>
        <v/>
      </c>
      <c r="Q329" s="17" t="str">
        <f aca="false">IF($B$10=0,"",IFERROR(IF($B$4&gt;0,IF($M329="",1/0,$M329*$B$4),0)+IF($B$5&gt;0,IF($N329="",1/0,$N329*$B$5),0)+IF($B$6&gt;0,IF($O329="",1/0,$O329*$B$6),0),""))</f>
        <v/>
      </c>
      <c r="R329" s="17" t="s">
        <v>47</v>
      </c>
      <c r="S329" s="18" t="str">
        <f aca="false">IF($Q329="","",IF($R329="Y",IFERROR(VLOOKUP($B329,$C$4:$D$13,2,FALSE()),0),0))</f>
        <v/>
      </c>
      <c r="T329" s="17" t="str">
        <f aca="false">IF($Q329="","",ROUNDDOWN($Q329*$S329,0))</f>
        <v/>
      </c>
      <c r="U329" s="17" t="str">
        <f aca="false">IF($Q329="","",$Q329-$T329)</f>
        <v/>
      </c>
      <c r="V329" s="17" t="str">
        <f aca="false">IF($U329="","",IF($B$10=0,"",$U329/$B$10))</f>
        <v/>
      </c>
      <c r="W329" s="17" t="str">
        <f aca="false">IF($Q329="","",IF($B$10=0,"",$Q329/$B$10))</f>
        <v/>
      </c>
      <c r="X329" s="19" t="n">
        <f aca="false">IF($U329="",1000000000000000,$U329)</f>
        <v>1000000000000000</v>
      </c>
      <c r="XFC329" s="6"/>
    </row>
    <row r="330" s="5" customFormat="true" ht="28.5" hidden="false" customHeight="true" outlineLevel="0" collapsed="false">
      <c r="A330" s="16" t="str">
        <f aca="false">IF($U330="","",1+COUNTIF($X$15:$X$728,"&lt;"&amp;X330))</f>
        <v/>
      </c>
      <c r="B330" s="16" t="s">
        <v>14</v>
      </c>
      <c r="C330" s="16" t="s">
        <v>993</v>
      </c>
      <c r="D330" s="16" t="s">
        <v>58</v>
      </c>
      <c r="E330" s="16" t="s">
        <v>47</v>
      </c>
      <c r="F330" s="16" t="s">
        <v>994</v>
      </c>
      <c r="G330" s="16" t="s">
        <v>995</v>
      </c>
      <c r="H330" s="17" t="n">
        <v>1954</v>
      </c>
      <c r="I330" s="17"/>
      <c r="J330" s="17"/>
      <c r="K330" s="17" t="n">
        <v>2045</v>
      </c>
      <c r="L330" s="17" t="n">
        <f aca="false">IF(AND(IFERROR(SEARCH("현대오일뱅크",$C330),0)&gt;0,IFERROR(SEARCH("직영",$C330),0)&gt;0),$B$13,0)</f>
        <v>0</v>
      </c>
      <c r="M330" s="17" t="n">
        <f aca="false">IF($H330="","",$H330+$L330)</f>
        <v>1954</v>
      </c>
      <c r="N330" s="17" t="str">
        <f aca="false">IF($I330="","",$I330+$L330)</f>
        <v/>
      </c>
      <c r="O330" s="17" t="n">
        <f aca="false">IF($K330="","",$K330+$L330)</f>
        <v>2045</v>
      </c>
      <c r="P330" s="17" t="str">
        <f aca="false">IF($B$10=0,"",IFERROR(IF($B$4&gt;0,"휘발유 "&amp;TEXT(IF($M330="",1/0,$M330*$B$4),"#,##0")&amp;"원","")&amp;IF($B$5&gt;0,IF($B$4&gt;0," / ","")&amp;"고급유 "&amp;TEXT(IF($N330="",1/0,$N330*$B$5),"#,##0")&amp;"원","")&amp;IF($B$6&gt;0,IF(OR($B$4&gt;0,$B$5&gt;0)," / ","")&amp;"경유 "&amp;TEXT(IF($O330="",1/0,$O330*$B$6),"#,##0")&amp;"원",""),""))</f>
        <v/>
      </c>
      <c r="Q330" s="17" t="str">
        <f aca="false">IF($B$10=0,"",IFERROR(IF($B$4&gt;0,IF($M330="",1/0,$M330*$B$4),0)+IF($B$5&gt;0,IF($N330="",1/0,$N330*$B$5),0)+IF($B$6&gt;0,IF($O330="",1/0,$O330*$B$6),0),""))</f>
        <v/>
      </c>
      <c r="R330" s="17" t="s">
        <v>47</v>
      </c>
      <c r="S330" s="18" t="str">
        <f aca="false">IF($Q330="","",IF($R330="Y",IFERROR(VLOOKUP($B330,$C$4:$D$13,2,FALSE()),0),0))</f>
        <v/>
      </c>
      <c r="T330" s="17" t="str">
        <f aca="false">IF($Q330="","",ROUNDDOWN($Q330*$S330,0))</f>
        <v/>
      </c>
      <c r="U330" s="17" t="str">
        <f aca="false">IF($Q330="","",$Q330-$T330)</f>
        <v/>
      </c>
      <c r="V330" s="17" t="str">
        <f aca="false">IF($U330="","",IF($B$10=0,"",$U330/$B$10))</f>
        <v/>
      </c>
      <c r="W330" s="17" t="str">
        <f aca="false">IF($Q330="","",IF($B$10=0,"",$Q330/$B$10))</f>
        <v/>
      </c>
      <c r="X330" s="19" t="n">
        <f aca="false">IF($U330="",1000000000000000,$U330)</f>
        <v>1000000000000000</v>
      </c>
      <c r="XFC330" s="6"/>
    </row>
    <row r="331" s="5" customFormat="true" ht="28.5" hidden="false" customHeight="true" outlineLevel="0" collapsed="false">
      <c r="A331" s="16" t="str">
        <f aca="false">IF($U331="","",1+COUNTIF($X$15:$X$728,"&lt;"&amp;X331))</f>
        <v/>
      </c>
      <c r="B331" s="16" t="s">
        <v>14</v>
      </c>
      <c r="C331" s="16" t="s">
        <v>996</v>
      </c>
      <c r="D331" s="16" t="s">
        <v>51</v>
      </c>
      <c r="E331" s="16" t="s">
        <v>59</v>
      </c>
      <c r="F331" s="16" t="s">
        <v>997</v>
      </c>
      <c r="G331" s="16" t="s">
        <v>998</v>
      </c>
      <c r="H331" s="17" t="n">
        <v>1955</v>
      </c>
      <c r="I331" s="17"/>
      <c r="J331" s="17"/>
      <c r="K331" s="17" t="n">
        <v>1895</v>
      </c>
      <c r="L331" s="17" t="n">
        <f aca="false">IF(AND(IFERROR(SEARCH("현대오일뱅크",$C331),0)&gt;0,IFERROR(SEARCH("직영",$C331),0)&gt;0),$B$13,0)</f>
        <v>0</v>
      </c>
      <c r="M331" s="17" t="n">
        <f aca="false">IF($H331="","",$H331+$L331)</f>
        <v>1955</v>
      </c>
      <c r="N331" s="17" t="str">
        <f aca="false">IF($I331="","",$I331+$L331)</f>
        <v/>
      </c>
      <c r="O331" s="17" t="n">
        <f aca="false">IF($K331="","",$K331+$L331)</f>
        <v>1895</v>
      </c>
      <c r="P331" s="17" t="str">
        <f aca="false">IF($B$10=0,"",IFERROR(IF($B$4&gt;0,"휘발유 "&amp;TEXT(IF($M331="",1/0,$M331*$B$4),"#,##0")&amp;"원","")&amp;IF($B$5&gt;0,IF($B$4&gt;0," / ","")&amp;"고급유 "&amp;TEXT(IF($N331="",1/0,$N331*$B$5),"#,##0")&amp;"원","")&amp;IF($B$6&gt;0,IF(OR($B$4&gt;0,$B$5&gt;0)," / ","")&amp;"경유 "&amp;TEXT(IF($O331="",1/0,$O331*$B$6),"#,##0")&amp;"원",""),""))</f>
        <v/>
      </c>
      <c r="Q331" s="17" t="str">
        <f aca="false">IF($B$10=0,"",IFERROR(IF($B$4&gt;0,IF($M331="",1/0,$M331*$B$4),0)+IF($B$5&gt;0,IF($N331="",1/0,$N331*$B$5),0)+IF($B$6&gt;0,IF($O331="",1/0,$O331*$B$6),0),""))</f>
        <v/>
      </c>
      <c r="R331" s="17" t="s">
        <v>47</v>
      </c>
      <c r="S331" s="18" t="str">
        <f aca="false">IF($Q331="","",IF($R331="Y",IFERROR(VLOOKUP($B331,$C$4:$D$13,2,FALSE()),0),0))</f>
        <v/>
      </c>
      <c r="T331" s="17" t="str">
        <f aca="false">IF($Q331="","",ROUNDDOWN($Q331*$S331,0))</f>
        <v/>
      </c>
      <c r="U331" s="17" t="str">
        <f aca="false">IF($Q331="","",$Q331-$T331)</f>
        <v/>
      </c>
      <c r="V331" s="17" t="str">
        <f aca="false">IF($U331="","",IF($B$10=0,"",$U331/$B$10))</f>
        <v/>
      </c>
      <c r="W331" s="17" t="str">
        <f aca="false">IF($Q331="","",IF($B$10=0,"",$Q331/$B$10))</f>
        <v/>
      </c>
      <c r="X331" s="19" t="n">
        <f aca="false">IF($U331="",1000000000000000,$U331)</f>
        <v>1000000000000000</v>
      </c>
      <c r="XFC331" s="6"/>
    </row>
    <row r="332" s="5" customFormat="true" ht="28.5" hidden="false" customHeight="true" outlineLevel="0" collapsed="false">
      <c r="A332" s="16" t="str">
        <f aca="false">IF($U332="","",1+COUNTIF($X$15:$X$728,"&lt;"&amp;X332))</f>
        <v/>
      </c>
      <c r="B332" s="16" t="s">
        <v>6</v>
      </c>
      <c r="C332" s="16" t="s">
        <v>999</v>
      </c>
      <c r="D332" s="16" t="s">
        <v>58</v>
      </c>
      <c r="E332" s="16" t="s">
        <v>47</v>
      </c>
      <c r="F332" s="16" t="s">
        <v>1000</v>
      </c>
      <c r="G332" s="16" t="s">
        <v>1001</v>
      </c>
      <c r="H332" s="17" t="n">
        <v>1934</v>
      </c>
      <c r="I332" s="17"/>
      <c r="J332" s="17"/>
      <c r="K332" s="17" t="n">
        <v>1944</v>
      </c>
      <c r="L332" s="17" t="n">
        <f aca="false">IF(AND(IFERROR(SEARCH("현대오일뱅크",$C332),0)&gt;0,IFERROR(SEARCH("직영",$C332),0)&gt;0),$B$13,0)</f>
        <v>0</v>
      </c>
      <c r="M332" s="17" t="n">
        <f aca="false">IF($H332="","",$H332+$L332)</f>
        <v>1934</v>
      </c>
      <c r="N332" s="17" t="str">
        <f aca="false">IF($I332="","",$I332+$L332)</f>
        <v/>
      </c>
      <c r="O332" s="17" t="n">
        <f aca="false">IF($K332="","",$K332+$L332)</f>
        <v>1944</v>
      </c>
      <c r="P332" s="17" t="str">
        <f aca="false">IF($B$10=0,"",IFERROR(IF($B$4&gt;0,"휘발유 "&amp;TEXT(IF($M332="",1/0,$M332*$B$4),"#,##0")&amp;"원","")&amp;IF($B$5&gt;0,IF($B$4&gt;0," / ","")&amp;"고급유 "&amp;TEXT(IF($N332="",1/0,$N332*$B$5),"#,##0")&amp;"원","")&amp;IF($B$6&gt;0,IF(OR($B$4&gt;0,$B$5&gt;0)," / ","")&amp;"경유 "&amp;TEXT(IF($O332="",1/0,$O332*$B$6),"#,##0")&amp;"원",""),""))</f>
        <v/>
      </c>
      <c r="Q332" s="17" t="str">
        <f aca="false">IF($B$10=0,"",IFERROR(IF($B$4&gt;0,IF($M332="",1/0,$M332*$B$4),0)+IF($B$5&gt;0,IF($N332="",1/0,$N332*$B$5),0)+IF($B$6&gt;0,IF($O332="",1/0,$O332*$B$6),0),""))</f>
        <v/>
      </c>
      <c r="R332" s="17" t="s">
        <v>47</v>
      </c>
      <c r="S332" s="18" t="str">
        <f aca="false">IF($Q332="","",IF($R332="Y",IFERROR(VLOOKUP($B332,$C$4:$D$13,2,FALSE()),0),0))</f>
        <v/>
      </c>
      <c r="T332" s="17" t="str">
        <f aca="false">IF($Q332="","",ROUNDDOWN($Q332*$S332,0))</f>
        <v/>
      </c>
      <c r="U332" s="17" t="str">
        <f aca="false">IF($Q332="","",$Q332-$T332)</f>
        <v/>
      </c>
      <c r="V332" s="17" t="str">
        <f aca="false">IF($U332="","",IF($B$10=0,"",$U332/$B$10))</f>
        <v/>
      </c>
      <c r="W332" s="17" t="str">
        <f aca="false">IF($Q332="","",IF($B$10=0,"",$Q332/$B$10))</f>
        <v/>
      </c>
      <c r="X332" s="19" t="n">
        <f aca="false">IF($U332="",1000000000000000,$U332)</f>
        <v>1000000000000000</v>
      </c>
      <c r="XFC332" s="6"/>
    </row>
    <row r="333" s="5" customFormat="true" ht="28.5" hidden="false" customHeight="true" outlineLevel="0" collapsed="false">
      <c r="A333" s="16" t="str">
        <f aca="false">IF($U333="","",1+COUNTIF($X$15:$X$728,"&lt;"&amp;X333))</f>
        <v/>
      </c>
      <c r="B333" s="16" t="s">
        <v>6</v>
      </c>
      <c r="C333" s="16" t="s">
        <v>1002</v>
      </c>
      <c r="D333" s="16" t="s">
        <v>58</v>
      </c>
      <c r="E333" s="16" t="s">
        <v>47</v>
      </c>
      <c r="F333" s="16" t="s">
        <v>1003</v>
      </c>
      <c r="G333" s="16" t="s">
        <v>159</v>
      </c>
      <c r="H333" s="17" t="n">
        <v>1935</v>
      </c>
      <c r="I333" s="17"/>
      <c r="J333" s="17"/>
      <c r="K333" s="17" t="n">
        <v>1985</v>
      </c>
      <c r="L333" s="17" t="n">
        <f aca="false">IF(AND(IFERROR(SEARCH("현대오일뱅크",$C333),0)&gt;0,IFERROR(SEARCH("직영",$C333),0)&gt;0),$B$13,0)</f>
        <v>0</v>
      </c>
      <c r="M333" s="17" t="n">
        <f aca="false">IF($H333="","",$H333+$L333)</f>
        <v>1935</v>
      </c>
      <c r="N333" s="17" t="str">
        <f aca="false">IF($I333="","",$I333+$L333)</f>
        <v/>
      </c>
      <c r="O333" s="17" t="n">
        <f aca="false">IF($K333="","",$K333+$L333)</f>
        <v>1985</v>
      </c>
      <c r="P333" s="17" t="str">
        <f aca="false">IF($B$10=0,"",IFERROR(IF($B$4&gt;0,"휘발유 "&amp;TEXT(IF($M333="",1/0,$M333*$B$4),"#,##0")&amp;"원","")&amp;IF($B$5&gt;0,IF($B$4&gt;0," / ","")&amp;"고급유 "&amp;TEXT(IF($N333="",1/0,$N333*$B$5),"#,##0")&amp;"원","")&amp;IF($B$6&gt;0,IF(OR($B$4&gt;0,$B$5&gt;0)," / ","")&amp;"경유 "&amp;TEXT(IF($O333="",1/0,$O333*$B$6),"#,##0")&amp;"원",""),""))</f>
        <v/>
      </c>
      <c r="Q333" s="17" t="str">
        <f aca="false">IF($B$10=0,"",IFERROR(IF($B$4&gt;0,IF($M333="",1/0,$M333*$B$4),0)+IF($B$5&gt;0,IF($N333="",1/0,$N333*$B$5),0)+IF($B$6&gt;0,IF($O333="",1/0,$O333*$B$6),0),""))</f>
        <v/>
      </c>
      <c r="R333" s="17" t="s">
        <v>47</v>
      </c>
      <c r="S333" s="18" t="str">
        <f aca="false">IF($Q333="","",IF($R333="Y",IFERROR(VLOOKUP($B333,$C$4:$D$13,2,FALSE()),0),0))</f>
        <v/>
      </c>
      <c r="T333" s="17" t="str">
        <f aca="false">IF($Q333="","",ROUNDDOWN($Q333*$S333,0))</f>
        <v/>
      </c>
      <c r="U333" s="17" t="str">
        <f aca="false">IF($Q333="","",$Q333-$T333)</f>
        <v/>
      </c>
      <c r="V333" s="17" t="str">
        <f aca="false">IF($U333="","",IF($B$10=0,"",$U333/$B$10))</f>
        <v/>
      </c>
      <c r="W333" s="17" t="str">
        <f aca="false">IF($Q333="","",IF($B$10=0,"",$Q333/$B$10))</f>
        <v/>
      </c>
      <c r="X333" s="19" t="n">
        <f aca="false">IF($U333="",1000000000000000,$U333)</f>
        <v>1000000000000000</v>
      </c>
      <c r="XFC333" s="6"/>
    </row>
    <row r="334" s="5" customFormat="true" ht="28.5" hidden="false" customHeight="true" outlineLevel="0" collapsed="false">
      <c r="A334" s="16" t="str">
        <f aca="false">IF($U334="","",1+COUNTIF($X$15:$X$728,"&lt;"&amp;X334))</f>
        <v/>
      </c>
      <c r="B334" s="16" t="s">
        <v>6</v>
      </c>
      <c r="C334" s="16" t="s">
        <v>1004</v>
      </c>
      <c r="D334" s="20" t="s">
        <v>108</v>
      </c>
      <c r="E334" s="16" t="s">
        <v>47</v>
      </c>
      <c r="F334" s="16" t="s">
        <v>1005</v>
      </c>
      <c r="G334" s="16" t="s">
        <v>1006</v>
      </c>
      <c r="H334" s="17" t="n">
        <v>1935</v>
      </c>
      <c r="I334" s="17"/>
      <c r="J334" s="17"/>
      <c r="K334" s="17" t="n">
        <v>1935</v>
      </c>
      <c r="L334" s="17" t="n">
        <f aca="false">IF(AND(IFERROR(SEARCH("현대오일뱅크",$C334),0)&gt;0,IFERROR(SEARCH("직영",$C334),0)&gt;0),$B$13,0)</f>
        <v>0</v>
      </c>
      <c r="M334" s="17" t="n">
        <f aca="false">IF($H334="","",$H334+$L334)</f>
        <v>1935</v>
      </c>
      <c r="N334" s="17" t="str">
        <f aca="false">IF($I334="","",$I334+$L334)</f>
        <v/>
      </c>
      <c r="O334" s="17" t="n">
        <f aca="false">IF($K334="","",$K334+$L334)</f>
        <v>1935</v>
      </c>
      <c r="P334" s="17" t="str">
        <f aca="false">IF($B$10=0,"",IFERROR(IF($B$4&gt;0,"휘발유 "&amp;TEXT(IF($M334="",1/0,$M334*$B$4),"#,##0")&amp;"원","")&amp;IF($B$5&gt;0,IF($B$4&gt;0," / ","")&amp;"고급유 "&amp;TEXT(IF($N334="",1/0,$N334*$B$5),"#,##0")&amp;"원","")&amp;IF($B$6&gt;0,IF(OR($B$4&gt;0,$B$5&gt;0)," / ","")&amp;"경유 "&amp;TEXT(IF($O334="",1/0,$O334*$B$6),"#,##0")&amp;"원",""),""))</f>
        <v/>
      </c>
      <c r="Q334" s="17" t="str">
        <f aca="false">IF($B$10=0,"",IFERROR(IF($B$4&gt;0,IF($M334="",1/0,$M334*$B$4),0)+IF($B$5&gt;0,IF($N334="",1/0,$N334*$B$5),0)+IF($B$6&gt;0,IF($O334="",1/0,$O334*$B$6),0),""))</f>
        <v/>
      </c>
      <c r="R334" s="17" t="s">
        <v>47</v>
      </c>
      <c r="S334" s="18" t="str">
        <f aca="false">IF($Q334="","",IF($R334="Y",IFERROR(VLOOKUP($B334,$C$4:$D$13,2,FALSE()),0),0))</f>
        <v/>
      </c>
      <c r="T334" s="17" t="str">
        <f aca="false">IF($Q334="","",ROUNDDOWN($Q334*$S334,0))</f>
        <v/>
      </c>
      <c r="U334" s="17" t="str">
        <f aca="false">IF($Q334="","",$Q334-$T334)</f>
        <v/>
      </c>
      <c r="V334" s="17" t="str">
        <f aca="false">IF($U334="","",IF($B$10=0,"",$U334/$B$10))</f>
        <v/>
      </c>
      <c r="W334" s="17" t="str">
        <f aca="false">IF($Q334="","",IF($B$10=0,"",$Q334/$B$10))</f>
        <v/>
      </c>
      <c r="X334" s="19" t="n">
        <f aca="false">IF($U334="",1000000000000000,$U334)</f>
        <v>1000000000000000</v>
      </c>
      <c r="XFC334" s="6"/>
    </row>
    <row r="335" s="5" customFormat="true" ht="28.5" hidden="false" customHeight="true" outlineLevel="0" collapsed="false">
      <c r="A335" s="16" t="str">
        <f aca="false">IF($U335="","",1+COUNTIF($X$15:$X$728,"&lt;"&amp;X335))</f>
        <v/>
      </c>
      <c r="B335" s="16" t="s">
        <v>6</v>
      </c>
      <c r="C335" s="16" t="s">
        <v>1007</v>
      </c>
      <c r="D335" s="20" t="s">
        <v>108</v>
      </c>
      <c r="E335" s="16" t="s">
        <v>47</v>
      </c>
      <c r="F335" s="16" t="s">
        <v>1008</v>
      </c>
      <c r="G335" s="16" t="s">
        <v>1009</v>
      </c>
      <c r="H335" s="17" t="n">
        <v>1925</v>
      </c>
      <c r="I335" s="17"/>
      <c r="J335" s="17"/>
      <c r="K335" s="17" t="n">
        <v>1945</v>
      </c>
      <c r="L335" s="17" t="n">
        <f aca="false">IF(AND(IFERROR(SEARCH("현대오일뱅크",$C335),0)&gt;0,IFERROR(SEARCH("직영",$C335),0)&gt;0),$B$13,0)</f>
        <v>0</v>
      </c>
      <c r="M335" s="17" t="n">
        <f aca="false">IF($H335="","",$H335+$L335)</f>
        <v>1925</v>
      </c>
      <c r="N335" s="17" t="str">
        <f aca="false">IF($I335="","",$I335+$L335)</f>
        <v/>
      </c>
      <c r="O335" s="17" t="n">
        <f aca="false">IF($K335="","",$K335+$L335)</f>
        <v>1945</v>
      </c>
      <c r="P335" s="17" t="str">
        <f aca="false">IF($B$10=0,"",IFERROR(IF($B$4&gt;0,"휘발유 "&amp;TEXT(IF($M335="",1/0,$M335*$B$4),"#,##0")&amp;"원","")&amp;IF($B$5&gt;0,IF($B$4&gt;0," / ","")&amp;"고급유 "&amp;TEXT(IF($N335="",1/0,$N335*$B$5),"#,##0")&amp;"원","")&amp;IF($B$6&gt;0,IF(OR($B$4&gt;0,$B$5&gt;0)," / ","")&amp;"경유 "&amp;TEXT(IF($O335="",1/0,$O335*$B$6),"#,##0")&amp;"원",""),""))</f>
        <v/>
      </c>
      <c r="Q335" s="17" t="str">
        <f aca="false">IF($B$10=0,"",IFERROR(IF($B$4&gt;0,IF($M335="",1/0,$M335*$B$4),0)+IF($B$5&gt;0,IF($N335="",1/0,$N335*$B$5),0)+IF($B$6&gt;0,IF($O335="",1/0,$O335*$B$6),0),""))</f>
        <v/>
      </c>
      <c r="R335" s="17" t="s">
        <v>47</v>
      </c>
      <c r="S335" s="18" t="str">
        <f aca="false">IF($Q335="","",IF($R335="Y",IFERROR(VLOOKUP($B335,$C$4:$D$13,2,FALSE()),0),0))</f>
        <v/>
      </c>
      <c r="T335" s="17" t="str">
        <f aca="false">IF($Q335="","",ROUNDDOWN($Q335*$S335,0))</f>
        <v/>
      </c>
      <c r="U335" s="17" t="str">
        <f aca="false">IF($Q335="","",$Q335-$T335)</f>
        <v/>
      </c>
      <c r="V335" s="17" t="str">
        <f aca="false">IF($U335="","",IF($B$10=0,"",$U335/$B$10))</f>
        <v/>
      </c>
      <c r="W335" s="17" t="str">
        <f aca="false">IF($Q335="","",IF($B$10=0,"",$Q335/$B$10))</f>
        <v/>
      </c>
      <c r="X335" s="19" t="n">
        <f aca="false">IF($U335="",1000000000000000,$U335)</f>
        <v>1000000000000000</v>
      </c>
      <c r="XFC335" s="6"/>
    </row>
    <row r="336" s="5" customFormat="true" ht="28.5" hidden="false" customHeight="true" outlineLevel="0" collapsed="false">
      <c r="A336" s="16" t="str">
        <f aca="false">IF($U336="","",1+COUNTIF($X$15:$X$728,"&lt;"&amp;X336))</f>
        <v/>
      </c>
      <c r="B336" s="16" t="s">
        <v>6</v>
      </c>
      <c r="C336" s="16" t="s">
        <v>1010</v>
      </c>
      <c r="D336" s="16" t="s">
        <v>51</v>
      </c>
      <c r="E336" s="16" t="s">
        <v>47</v>
      </c>
      <c r="F336" s="16" t="s">
        <v>1011</v>
      </c>
      <c r="G336" s="16" t="s">
        <v>1012</v>
      </c>
      <c r="H336" s="17" t="n">
        <v>1935</v>
      </c>
      <c r="I336" s="17"/>
      <c r="J336" s="17"/>
      <c r="K336" s="17" t="n">
        <v>1895</v>
      </c>
      <c r="L336" s="17" t="n">
        <f aca="false">IF(AND(IFERROR(SEARCH("현대오일뱅크",$C336),0)&gt;0,IFERROR(SEARCH("직영",$C336),0)&gt;0),$B$13,0)</f>
        <v>0</v>
      </c>
      <c r="M336" s="17" t="n">
        <f aca="false">IF($H336="","",$H336+$L336)</f>
        <v>1935</v>
      </c>
      <c r="N336" s="17" t="str">
        <f aca="false">IF($I336="","",$I336+$L336)</f>
        <v/>
      </c>
      <c r="O336" s="17" t="n">
        <f aca="false">IF($K336="","",$K336+$L336)</f>
        <v>1895</v>
      </c>
      <c r="P336" s="17" t="str">
        <f aca="false">IF($B$10=0,"",IFERROR(IF($B$4&gt;0,"휘발유 "&amp;TEXT(IF($M336="",1/0,$M336*$B$4),"#,##0")&amp;"원","")&amp;IF($B$5&gt;0,IF($B$4&gt;0," / ","")&amp;"고급유 "&amp;TEXT(IF($N336="",1/0,$N336*$B$5),"#,##0")&amp;"원","")&amp;IF($B$6&gt;0,IF(OR($B$4&gt;0,$B$5&gt;0)," / ","")&amp;"경유 "&amp;TEXT(IF($O336="",1/0,$O336*$B$6),"#,##0")&amp;"원",""),""))</f>
        <v/>
      </c>
      <c r="Q336" s="17" t="str">
        <f aca="false">IF($B$10=0,"",IFERROR(IF($B$4&gt;0,IF($M336="",1/0,$M336*$B$4),0)+IF($B$5&gt;0,IF($N336="",1/0,$N336*$B$5),0)+IF($B$6&gt;0,IF($O336="",1/0,$O336*$B$6),0),""))</f>
        <v/>
      </c>
      <c r="R336" s="17" t="s">
        <v>47</v>
      </c>
      <c r="S336" s="18" t="str">
        <f aca="false">IF($Q336="","",IF($R336="Y",IFERROR(VLOOKUP($B336,$C$4:$D$13,2,FALSE()),0),0))</f>
        <v/>
      </c>
      <c r="T336" s="17" t="str">
        <f aca="false">IF($Q336="","",ROUNDDOWN($Q336*$S336,0))</f>
        <v/>
      </c>
      <c r="U336" s="17" t="str">
        <f aca="false">IF($Q336="","",$Q336-$T336)</f>
        <v/>
      </c>
      <c r="V336" s="17" t="str">
        <f aca="false">IF($U336="","",IF($B$10=0,"",$U336/$B$10))</f>
        <v/>
      </c>
      <c r="W336" s="17" t="str">
        <f aca="false">IF($Q336="","",IF($B$10=0,"",$Q336/$B$10))</f>
        <v/>
      </c>
      <c r="X336" s="19" t="n">
        <f aca="false">IF($U336="",1000000000000000,$U336)</f>
        <v>1000000000000000</v>
      </c>
      <c r="XFC336" s="6"/>
    </row>
    <row r="337" s="5" customFormat="true" ht="28.5" hidden="false" customHeight="true" outlineLevel="0" collapsed="false">
      <c r="A337" s="16" t="str">
        <f aca="false">IF($U337="","",1+COUNTIF($X$15:$X$728,"&lt;"&amp;X337))</f>
        <v/>
      </c>
      <c r="B337" s="16" t="s">
        <v>14</v>
      </c>
      <c r="C337" s="16" t="s">
        <v>1013</v>
      </c>
      <c r="D337" s="16" t="s">
        <v>112</v>
      </c>
      <c r="E337" s="16" t="s">
        <v>47</v>
      </c>
      <c r="F337" s="16" t="s">
        <v>1014</v>
      </c>
      <c r="G337" s="16" t="s">
        <v>1015</v>
      </c>
      <c r="H337" s="17" t="n">
        <v>1958</v>
      </c>
      <c r="I337" s="17"/>
      <c r="J337" s="17"/>
      <c r="K337" s="17" t="n">
        <v>1995</v>
      </c>
      <c r="L337" s="17" t="n">
        <f aca="false">IF(AND(IFERROR(SEARCH("현대오일뱅크",$C337),0)&gt;0,IFERROR(SEARCH("직영",$C337),0)&gt;0),$B$13,0)</f>
        <v>0</v>
      </c>
      <c r="M337" s="17" t="n">
        <f aca="false">IF($H337="","",$H337+$L337)</f>
        <v>1958</v>
      </c>
      <c r="N337" s="17" t="str">
        <f aca="false">IF($I337="","",$I337+$L337)</f>
        <v/>
      </c>
      <c r="O337" s="17" t="n">
        <f aca="false">IF($K337="","",$K337+$L337)</f>
        <v>1995</v>
      </c>
      <c r="P337" s="17" t="str">
        <f aca="false">IF($B$10=0,"",IFERROR(IF($B$4&gt;0,"휘발유 "&amp;TEXT(IF($M337="",1/0,$M337*$B$4),"#,##0")&amp;"원","")&amp;IF($B$5&gt;0,IF($B$4&gt;0," / ","")&amp;"고급유 "&amp;TEXT(IF($N337="",1/0,$N337*$B$5),"#,##0")&amp;"원","")&amp;IF($B$6&gt;0,IF(OR($B$4&gt;0,$B$5&gt;0)," / ","")&amp;"경유 "&amp;TEXT(IF($O337="",1/0,$O337*$B$6),"#,##0")&amp;"원",""),""))</f>
        <v/>
      </c>
      <c r="Q337" s="17" t="str">
        <f aca="false">IF($B$10=0,"",IFERROR(IF($B$4&gt;0,IF($M337="",1/0,$M337*$B$4),0)+IF($B$5&gt;0,IF($N337="",1/0,$N337*$B$5),0)+IF($B$6&gt;0,IF($O337="",1/0,$O337*$B$6),0),""))</f>
        <v/>
      </c>
      <c r="R337" s="17" t="s">
        <v>47</v>
      </c>
      <c r="S337" s="18" t="str">
        <f aca="false">IF($Q337="","",IF($R337="Y",IFERROR(VLOOKUP($B337,$C$4:$D$13,2,FALSE()),0),0))</f>
        <v/>
      </c>
      <c r="T337" s="17" t="str">
        <f aca="false">IF($Q337="","",ROUNDDOWN($Q337*$S337,0))</f>
        <v/>
      </c>
      <c r="U337" s="17" t="str">
        <f aca="false">IF($Q337="","",$Q337-$T337)</f>
        <v/>
      </c>
      <c r="V337" s="17" t="str">
        <f aca="false">IF($U337="","",IF($B$10=0,"",$U337/$B$10))</f>
        <v/>
      </c>
      <c r="W337" s="17" t="str">
        <f aca="false">IF($Q337="","",IF($B$10=0,"",$Q337/$B$10))</f>
        <v/>
      </c>
      <c r="X337" s="19" t="n">
        <f aca="false">IF($U337="",1000000000000000,$U337)</f>
        <v>1000000000000000</v>
      </c>
      <c r="XFC337" s="6"/>
    </row>
    <row r="338" s="5" customFormat="true" ht="28.5" hidden="false" customHeight="true" outlineLevel="0" collapsed="false">
      <c r="A338" s="16" t="str">
        <f aca="false">IF($U338="","",1+COUNTIF($X$15:$X$728,"&lt;"&amp;X338))</f>
        <v/>
      </c>
      <c r="B338" s="16" t="s">
        <v>14</v>
      </c>
      <c r="C338" s="16" t="s">
        <v>1016</v>
      </c>
      <c r="D338" s="16" t="s">
        <v>51</v>
      </c>
      <c r="E338" s="16" t="s">
        <v>59</v>
      </c>
      <c r="F338" s="16" t="s">
        <v>1017</v>
      </c>
      <c r="G338" s="16" t="s">
        <v>1018</v>
      </c>
      <c r="H338" s="17" t="n">
        <v>1958</v>
      </c>
      <c r="I338" s="17"/>
      <c r="J338" s="17"/>
      <c r="K338" s="17" t="n">
        <v>1998</v>
      </c>
      <c r="L338" s="17" t="n">
        <f aca="false">IF(AND(IFERROR(SEARCH("현대오일뱅크",$C338),0)&gt;0,IFERROR(SEARCH("직영",$C338),0)&gt;0),$B$13,0)</f>
        <v>0</v>
      </c>
      <c r="M338" s="17" t="n">
        <f aca="false">IF($H338="","",$H338+$L338)</f>
        <v>1958</v>
      </c>
      <c r="N338" s="17" t="str">
        <f aca="false">IF($I338="","",$I338+$L338)</f>
        <v/>
      </c>
      <c r="O338" s="17" t="n">
        <f aca="false">IF($K338="","",$K338+$L338)</f>
        <v>1998</v>
      </c>
      <c r="P338" s="17" t="str">
        <f aca="false">IF($B$10=0,"",IFERROR(IF($B$4&gt;0,"휘발유 "&amp;TEXT(IF($M338="",1/0,$M338*$B$4),"#,##0")&amp;"원","")&amp;IF($B$5&gt;0,IF($B$4&gt;0," / ","")&amp;"고급유 "&amp;TEXT(IF($N338="",1/0,$N338*$B$5),"#,##0")&amp;"원","")&amp;IF($B$6&gt;0,IF(OR($B$4&gt;0,$B$5&gt;0)," / ","")&amp;"경유 "&amp;TEXT(IF($O338="",1/0,$O338*$B$6),"#,##0")&amp;"원",""),""))</f>
        <v/>
      </c>
      <c r="Q338" s="17" t="str">
        <f aca="false">IF($B$10=0,"",IFERROR(IF($B$4&gt;0,IF($M338="",1/0,$M338*$B$4),0)+IF($B$5&gt;0,IF($N338="",1/0,$N338*$B$5),0)+IF($B$6&gt;0,IF($O338="",1/0,$O338*$B$6),0),""))</f>
        <v/>
      </c>
      <c r="R338" s="17" t="s">
        <v>47</v>
      </c>
      <c r="S338" s="18" t="str">
        <f aca="false">IF($Q338="","",IF($R338="Y",IFERROR(VLOOKUP($B338,$C$4:$D$13,2,FALSE()),0),0))</f>
        <v/>
      </c>
      <c r="T338" s="17" t="str">
        <f aca="false">IF($Q338="","",ROUNDDOWN($Q338*$S338,0))</f>
        <v/>
      </c>
      <c r="U338" s="17" t="str">
        <f aca="false">IF($Q338="","",$Q338-$T338)</f>
        <v/>
      </c>
      <c r="V338" s="17" t="str">
        <f aca="false">IF($U338="","",IF($B$10=0,"",$U338/$B$10))</f>
        <v/>
      </c>
      <c r="W338" s="17" t="str">
        <f aca="false">IF($Q338="","",IF($B$10=0,"",$Q338/$B$10))</f>
        <v/>
      </c>
      <c r="X338" s="19" t="n">
        <f aca="false">IF($U338="",1000000000000000,$U338)</f>
        <v>1000000000000000</v>
      </c>
      <c r="XFC338" s="6"/>
    </row>
    <row r="339" s="5" customFormat="true" ht="28.5" hidden="false" customHeight="true" outlineLevel="0" collapsed="false">
      <c r="A339" s="16" t="str">
        <f aca="false">IF($U339="","",1+COUNTIF($X$15:$X$728,"&lt;"&amp;X339))</f>
        <v/>
      </c>
      <c r="B339" s="16" t="s">
        <v>14</v>
      </c>
      <c r="C339" s="16" t="s">
        <v>1019</v>
      </c>
      <c r="D339" s="16" t="s">
        <v>112</v>
      </c>
      <c r="E339" s="16" t="s">
        <v>59</v>
      </c>
      <c r="F339" s="16" t="s">
        <v>1020</v>
      </c>
      <c r="G339" s="16" t="s">
        <v>1021</v>
      </c>
      <c r="H339" s="17" t="n">
        <v>1958</v>
      </c>
      <c r="I339" s="17"/>
      <c r="J339" s="17"/>
      <c r="K339" s="17" t="n">
        <v>1998</v>
      </c>
      <c r="L339" s="17" t="n">
        <f aca="false">IF(AND(IFERROR(SEARCH("현대오일뱅크",$C339),0)&gt;0,IFERROR(SEARCH("직영",$C339),0)&gt;0),$B$13,0)</f>
        <v>0</v>
      </c>
      <c r="M339" s="17" t="n">
        <f aca="false">IF($H339="","",$H339+$L339)</f>
        <v>1958</v>
      </c>
      <c r="N339" s="17" t="str">
        <f aca="false">IF($I339="","",$I339+$L339)</f>
        <v/>
      </c>
      <c r="O339" s="17" t="n">
        <f aca="false">IF($K339="","",$K339+$L339)</f>
        <v>1998</v>
      </c>
      <c r="P339" s="17" t="str">
        <f aca="false">IF($B$10=0,"",IFERROR(IF($B$4&gt;0,"휘발유 "&amp;TEXT(IF($M339="",1/0,$M339*$B$4),"#,##0")&amp;"원","")&amp;IF($B$5&gt;0,IF($B$4&gt;0," / ","")&amp;"고급유 "&amp;TEXT(IF($N339="",1/0,$N339*$B$5),"#,##0")&amp;"원","")&amp;IF($B$6&gt;0,IF(OR($B$4&gt;0,$B$5&gt;0)," / ","")&amp;"경유 "&amp;TEXT(IF($O339="",1/0,$O339*$B$6),"#,##0")&amp;"원",""),""))</f>
        <v/>
      </c>
      <c r="Q339" s="17" t="str">
        <f aca="false">IF($B$10=0,"",IFERROR(IF($B$4&gt;0,IF($M339="",1/0,$M339*$B$4),0)+IF($B$5&gt;0,IF($N339="",1/0,$N339*$B$5),0)+IF($B$6&gt;0,IF($O339="",1/0,$O339*$B$6),0),""))</f>
        <v/>
      </c>
      <c r="R339" s="17" t="s">
        <v>47</v>
      </c>
      <c r="S339" s="18" t="str">
        <f aca="false">IF($Q339="","",IF($R339="Y",IFERROR(VLOOKUP($B339,$C$4:$D$13,2,FALSE()),0),0))</f>
        <v/>
      </c>
      <c r="T339" s="17" t="str">
        <f aca="false">IF($Q339="","",ROUNDDOWN($Q339*$S339,0))</f>
        <v/>
      </c>
      <c r="U339" s="17" t="str">
        <f aca="false">IF($Q339="","",$Q339-$T339)</f>
        <v/>
      </c>
      <c r="V339" s="17" t="str">
        <f aca="false">IF($U339="","",IF($B$10=0,"",$U339/$B$10))</f>
        <v/>
      </c>
      <c r="W339" s="17" t="str">
        <f aca="false">IF($Q339="","",IF($B$10=0,"",$Q339/$B$10))</f>
        <v/>
      </c>
      <c r="X339" s="19" t="n">
        <f aca="false">IF($U339="",1000000000000000,$U339)</f>
        <v>1000000000000000</v>
      </c>
      <c r="XFC339" s="6"/>
    </row>
    <row r="340" s="5" customFormat="true" ht="28.5" hidden="false" customHeight="true" outlineLevel="0" collapsed="false">
      <c r="A340" s="16" t="str">
        <f aca="false">IF($U340="","",1+COUNTIF($X$15:$X$728,"&lt;"&amp;X340))</f>
        <v/>
      </c>
      <c r="B340" s="16" t="s">
        <v>12</v>
      </c>
      <c r="C340" s="16" t="s">
        <v>1022</v>
      </c>
      <c r="D340" s="20" t="s">
        <v>108</v>
      </c>
      <c r="E340" s="16" t="s">
        <v>47</v>
      </c>
      <c r="F340" s="16" t="s">
        <v>1023</v>
      </c>
      <c r="G340" s="16" t="s">
        <v>1024</v>
      </c>
      <c r="H340" s="17" t="n">
        <v>1937</v>
      </c>
      <c r="I340" s="17"/>
      <c r="J340" s="17"/>
      <c r="K340" s="17" t="n">
        <v>1947</v>
      </c>
      <c r="L340" s="17" t="n">
        <f aca="false">IF(AND(IFERROR(SEARCH("현대오일뱅크",$C340),0)&gt;0,IFERROR(SEARCH("직영",$C340),0)&gt;0),$B$13,0)</f>
        <v>0</v>
      </c>
      <c r="M340" s="17" t="n">
        <f aca="false">IF($H340="","",$H340+$L340)</f>
        <v>1937</v>
      </c>
      <c r="N340" s="17" t="str">
        <f aca="false">IF($I340="","",$I340+$L340)</f>
        <v/>
      </c>
      <c r="O340" s="17" t="n">
        <f aca="false">IF($K340="","",$K340+$L340)</f>
        <v>1947</v>
      </c>
      <c r="P340" s="17" t="str">
        <f aca="false">IF($B$10=0,"",IFERROR(IF($B$4&gt;0,"휘발유 "&amp;TEXT(IF($M340="",1/0,$M340*$B$4),"#,##0")&amp;"원","")&amp;IF($B$5&gt;0,IF($B$4&gt;0," / ","")&amp;"고급유 "&amp;TEXT(IF($N340="",1/0,$N340*$B$5),"#,##0")&amp;"원","")&amp;IF($B$6&gt;0,IF(OR($B$4&gt;0,$B$5&gt;0)," / ","")&amp;"경유 "&amp;TEXT(IF($O340="",1/0,$O340*$B$6),"#,##0")&amp;"원",""),""))</f>
        <v/>
      </c>
      <c r="Q340" s="17" t="str">
        <f aca="false">IF($B$10=0,"",IFERROR(IF($B$4&gt;0,IF($M340="",1/0,$M340*$B$4),0)+IF($B$5&gt;0,IF($N340="",1/0,$N340*$B$5),0)+IF($B$6&gt;0,IF($O340="",1/0,$O340*$B$6),0),""))</f>
        <v/>
      </c>
      <c r="R340" s="17" t="s">
        <v>47</v>
      </c>
      <c r="S340" s="18" t="str">
        <f aca="false">IF($Q340="","",IF($R340="Y",IFERROR(VLOOKUP($B340,$C$4:$D$13,2,FALSE()),0),0))</f>
        <v/>
      </c>
      <c r="T340" s="17" t="str">
        <f aca="false">IF($Q340="","",ROUNDDOWN($Q340*$S340,0))</f>
        <v/>
      </c>
      <c r="U340" s="17" t="str">
        <f aca="false">IF($Q340="","",$Q340-$T340)</f>
        <v/>
      </c>
      <c r="V340" s="17" t="str">
        <f aca="false">IF($U340="","",IF($B$10=0,"",$U340/$B$10))</f>
        <v/>
      </c>
      <c r="W340" s="17" t="str">
        <f aca="false">IF($Q340="","",IF($B$10=0,"",$Q340/$B$10))</f>
        <v/>
      </c>
      <c r="X340" s="19" t="n">
        <f aca="false">IF($U340="",1000000000000000,$U340)</f>
        <v>1000000000000000</v>
      </c>
      <c r="XFC340" s="6"/>
    </row>
    <row r="341" s="5" customFormat="true" ht="28.5" hidden="false" customHeight="true" outlineLevel="0" collapsed="false">
      <c r="A341" s="16" t="str">
        <f aca="false">IF($U341="","",1+COUNTIF($X$15:$X$728,"&lt;"&amp;X341))</f>
        <v/>
      </c>
      <c r="B341" s="16" t="s">
        <v>10</v>
      </c>
      <c r="C341" s="16" t="s">
        <v>1025</v>
      </c>
      <c r="D341" s="16" t="s">
        <v>51</v>
      </c>
      <c r="E341" s="16" t="s">
        <v>47</v>
      </c>
      <c r="F341" s="16" t="s">
        <v>1026</v>
      </c>
      <c r="G341" s="16" t="s">
        <v>1027</v>
      </c>
      <c r="H341" s="17" t="n">
        <v>1937</v>
      </c>
      <c r="I341" s="17"/>
      <c r="J341" s="17"/>
      <c r="K341" s="17" t="n">
        <v>1987</v>
      </c>
      <c r="L341" s="17" t="n">
        <f aca="false">IF(AND(IFERROR(SEARCH("현대오일뱅크",$C341),0)&gt;0,IFERROR(SEARCH("직영",$C341),0)&gt;0),$B$13,0)</f>
        <v>0</v>
      </c>
      <c r="M341" s="17" t="n">
        <f aca="false">IF($H341="","",$H341+$L341)</f>
        <v>1937</v>
      </c>
      <c r="N341" s="17" t="str">
        <f aca="false">IF($I341="","",$I341+$L341)</f>
        <v/>
      </c>
      <c r="O341" s="17" t="n">
        <f aca="false">IF($K341="","",$K341+$L341)</f>
        <v>1987</v>
      </c>
      <c r="P341" s="17" t="str">
        <f aca="false">IF($B$10=0,"",IFERROR(IF($B$4&gt;0,"휘발유 "&amp;TEXT(IF($M341="",1/0,$M341*$B$4),"#,##0")&amp;"원","")&amp;IF($B$5&gt;0,IF($B$4&gt;0," / ","")&amp;"고급유 "&amp;TEXT(IF($N341="",1/0,$N341*$B$5),"#,##0")&amp;"원","")&amp;IF($B$6&gt;0,IF(OR($B$4&gt;0,$B$5&gt;0)," / ","")&amp;"경유 "&amp;TEXT(IF($O341="",1/0,$O341*$B$6),"#,##0")&amp;"원",""),""))</f>
        <v/>
      </c>
      <c r="Q341" s="17" t="str">
        <f aca="false">IF($B$10=0,"",IFERROR(IF($B$4&gt;0,IF($M341="",1/0,$M341*$B$4),0)+IF($B$5&gt;0,IF($N341="",1/0,$N341*$B$5),0)+IF($B$6&gt;0,IF($O341="",1/0,$O341*$B$6),0),""))</f>
        <v/>
      </c>
      <c r="R341" s="17" t="s">
        <v>47</v>
      </c>
      <c r="S341" s="18" t="str">
        <f aca="false">IF($Q341="","",IF($R341="Y",IFERROR(VLOOKUP($B341,$C$4:$D$13,2,FALSE()),0),0))</f>
        <v/>
      </c>
      <c r="T341" s="17" t="str">
        <f aca="false">IF($Q341="","",ROUNDDOWN($Q341*$S341,0))</f>
        <v/>
      </c>
      <c r="U341" s="17" t="str">
        <f aca="false">IF($Q341="","",$Q341-$T341)</f>
        <v/>
      </c>
      <c r="V341" s="17" t="str">
        <f aca="false">IF($U341="","",IF($B$10=0,"",$U341/$B$10))</f>
        <v/>
      </c>
      <c r="W341" s="17" t="str">
        <f aca="false">IF($Q341="","",IF($B$10=0,"",$Q341/$B$10))</f>
        <v/>
      </c>
      <c r="X341" s="19" t="n">
        <f aca="false">IF($U341="",1000000000000000,$U341)</f>
        <v>1000000000000000</v>
      </c>
      <c r="XFC341" s="6"/>
    </row>
    <row r="342" s="5" customFormat="true" ht="28.5" hidden="false" customHeight="true" outlineLevel="0" collapsed="false">
      <c r="A342" s="16" t="str">
        <f aca="false">IF($U342="","",1+COUNTIF($X$15:$X$728,"&lt;"&amp;X342))</f>
        <v/>
      </c>
      <c r="B342" s="16" t="s">
        <v>10</v>
      </c>
      <c r="C342" s="16" t="s">
        <v>1028</v>
      </c>
      <c r="D342" s="20" t="s">
        <v>108</v>
      </c>
      <c r="E342" s="16" t="s">
        <v>47</v>
      </c>
      <c r="F342" s="16" t="s">
        <v>1029</v>
      </c>
      <c r="G342" s="16" t="s">
        <v>1030</v>
      </c>
      <c r="H342" s="17" t="n">
        <v>1937</v>
      </c>
      <c r="I342" s="17"/>
      <c r="J342" s="17"/>
      <c r="K342" s="17" t="n">
        <v>1985</v>
      </c>
      <c r="L342" s="17" t="n">
        <f aca="false">IF(AND(IFERROR(SEARCH("현대오일뱅크",$C342),0)&gt;0,IFERROR(SEARCH("직영",$C342),0)&gt;0),$B$13,0)</f>
        <v>0</v>
      </c>
      <c r="M342" s="17" t="n">
        <f aca="false">IF($H342="","",$H342+$L342)</f>
        <v>1937</v>
      </c>
      <c r="N342" s="17" t="str">
        <f aca="false">IF($I342="","",$I342+$L342)</f>
        <v/>
      </c>
      <c r="O342" s="17" t="n">
        <f aca="false">IF($K342="","",$K342+$L342)</f>
        <v>1985</v>
      </c>
      <c r="P342" s="17" t="str">
        <f aca="false">IF($B$10=0,"",IFERROR(IF($B$4&gt;0,"휘발유 "&amp;TEXT(IF($M342="",1/0,$M342*$B$4),"#,##0")&amp;"원","")&amp;IF($B$5&gt;0,IF($B$4&gt;0," / ","")&amp;"고급유 "&amp;TEXT(IF($N342="",1/0,$N342*$B$5),"#,##0")&amp;"원","")&amp;IF($B$6&gt;0,IF(OR($B$4&gt;0,$B$5&gt;0)," / ","")&amp;"경유 "&amp;TEXT(IF($O342="",1/0,$O342*$B$6),"#,##0")&amp;"원",""),""))</f>
        <v/>
      </c>
      <c r="Q342" s="17" t="str">
        <f aca="false">IF($B$10=0,"",IFERROR(IF($B$4&gt;0,IF($M342="",1/0,$M342*$B$4),0)+IF($B$5&gt;0,IF($N342="",1/0,$N342*$B$5),0)+IF($B$6&gt;0,IF($O342="",1/0,$O342*$B$6),0),""))</f>
        <v/>
      </c>
      <c r="R342" s="17" t="s">
        <v>47</v>
      </c>
      <c r="S342" s="18" t="str">
        <f aca="false">IF($Q342="","",IF($R342="Y",IFERROR(VLOOKUP($B342,$C$4:$D$13,2,FALSE()),0),0))</f>
        <v/>
      </c>
      <c r="T342" s="17" t="str">
        <f aca="false">IF($Q342="","",ROUNDDOWN($Q342*$S342,0))</f>
        <v/>
      </c>
      <c r="U342" s="17" t="str">
        <f aca="false">IF($Q342="","",$Q342-$T342)</f>
        <v/>
      </c>
      <c r="V342" s="17" t="str">
        <f aca="false">IF($U342="","",IF($B$10=0,"",$U342/$B$10))</f>
        <v/>
      </c>
      <c r="W342" s="17" t="str">
        <f aca="false">IF($Q342="","",IF($B$10=0,"",$Q342/$B$10))</f>
        <v/>
      </c>
      <c r="X342" s="19" t="n">
        <f aca="false">IF($U342="",1000000000000000,$U342)</f>
        <v>1000000000000000</v>
      </c>
      <c r="XFC342" s="6"/>
    </row>
    <row r="343" s="5" customFormat="true" ht="28.5" hidden="false" customHeight="true" outlineLevel="0" collapsed="false">
      <c r="A343" s="16" t="str">
        <f aca="false">IF($U343="","",1+COUNTIF($X$15:$X$728,"&lt;"&amp;X343))</f>
        <v/>
      </c>
      <c r="B343" s="16" t="s">
        <v>8</v>
      </c>
      <c r="C343" s="16" t="s">
        <v>1031</v>
      </c>
      <c r="D343" s="16" t="s">
        <v>51</v>
      </c>
      <c r="E343" s="16" t="s">
        <v>47</v>
      </c>
      <c r="F343" s="16" t="s">
        <v>1032</v>
      </c>
      <c r="G343" s="16" t="s">
        <v>1033</v>
      </c>
      <c r="H343" s="17" t="n">
        <v>1937</v>
      </c>
      <c r="I343" s="17"/>
      <c r="J343" s="17"/>
      <c r="K343" s="17" t="n">
        <v>1937</v>
      </c>
      <c r="L343" s="17" t="n">
        <f aca="false">IF(AND(IFERROR(SEARCH("현대오일뱅크",$C343),0)&gt;0,IFERROR(SEARCH("직영",$C343),0)&gt;0),$B$13,0)</f>
        <v>0</v>
      </c>
      <c r="M343" s="17" t="n">
        <f aca="false">IF($H343="","",$H343+$L343)</f>
        <v>1937</v>
      </c>
      <c r="N343" s="17" t="str">
        <f aca="false">IF($I343="","",$I343+$L343)</f>
        <v/>
      </c>
      <c r="O343" s="17" t="n">
        <f aca="false">IF($K343="","",$K343+$L343)</f>
        <v>1937</v>
      </c>
      <c r="P343" s="17" t="str">
        <f aca="false">IF($B$10=0,"",IFERROR(IF($B$4&gt;0,"휘발유 "&amp;TEXT(IF($M343="",1/0,$M343*$B$4),"#,##0")&amp;"원","")&amp;IF($B$5&gt;0,IF($B$4&gt;0," / ","")&amp;"고급유 "&amp;TEXT(IF($N343="",1/0,$N343*$B$5),"#,##0")&amp;"원","")&amp;IF($B$6&gt;0,IF(OR($B$4&gt;0,$B$5&gt;0)," / ","")&amp;"경유 "&amp;TEXT(IF($O343="",1/0,$O343*$B$6),"#,##0")&amp;"원",""),""))</f>
        <v/>
      </c>
      <c r="Q343" s="17" t="str">
        <f aca="false">IF($B$10=0,"",IFERROR(IF($B$4&gt;0,IF($M343="",1/0,$M343*$B$4),0)+IF($B$5&gt;0,IF($N343="",1/0,$N343*$B$5),0)+IF($B$6&gt;0,IF($O343="",1/0,$O343*$B$6),0),""))</f>
        <v/>
      </c>
      <c r="R343" s="17" t="s">
        <v>47</v>
      </c>
      <c r="S343" s="18" t="str">
        <f aca="false">IF($Q343="","",IF($R343="Y",IFERROR(VLOOKUP($B343,$C$4:$D$13,2,FALSE()),0),0))</f>
        <v/>
      </c>
      <c r="T343" s="17" t="str">
        <f aca="false">IF($Q343="","",ROUNDDOWN($Q343*$S343,0))</f>
        <v/>
      </c>
      <c r="U343" s="17" t="str">
        <f aca="false">IF($Q343="","",$Q343-$T343)</f>
        <v/>
      </c>
      <c r="V343" s="17" t="str">
        <f aca="false">IF($U343="","",IF($B$10=0,"",$U343/$B$10))</f>
        <v/>
      </c>
      <c r="W343" s="17" t="str">
        <f aca="false">IF($Q343="","",IF($B$10=0,"",$Q343/$B$10))</f>
        <v/>
      </c>
      <c r="X343" s="19" t="n">
        <f aca="false">IF($U343="",1000000000000000,$U343)</f>
        <v>1000000000000000</v>
      </c>
      <c r="XFC343" s="6"/>
    </row>
    <row r="344" s="5" customFormat="true" ht="28.5" hidden="false" customHeight="true" outlineLevel="0" collapsed="false">
      <c r="A344" s="16" t="str">
        <f aca="false">IF($U344="","",1+COUNTIF($X$15:$X$728,"&lt;"&amp;X344))</f>
        <v/>
      </c>
      <c r="B344" s="16" t="s">
        <v>6</v>
      </c>
      <c r="C344" s="16" t="s">
        <v>1034</v>
      </c>
      <c r="D344" s="16" t="s">
        <v>46</v>
      </c>
      <c r="E344" s="16" t="s">
        <v>47</v>
      </c>
      <c r="F344" s="16" t="s">
        <v>1035</v>
      </c>
      <c r="G344" s="16" t="s">
        <v>1036</v>
      </c>
      <c r="H344" s="17" t="n">
        <v>1938</v>
      </c>
      <c r="I344" s="17"/>
      <c r="J344" s="17"/>
      <c r="K344" s="17" t="n">
        <v>1992</v>
      </c>
      <c r="L344" s="17" t="n">
        <f aca="false">IF(AND(IFERROR(SEARCH("현대오일뱅크",$C344),0)&gt;0,IFERROR(SEARCH("직영",$C344),0)&gt;0),$B$13,0)</f>
        <v>0</v>
      </c>
      <c r="M344" s="17" t="n">
        <f aca="false">IF($H344="","",$H344+$L344)</f>
        <v>1938</v>
      </c>
      <c r="N344" s="17" t="str">
        <f aca="false">IF($I344="","",$I344+$L344)</f>
        <v/>
      </c>
      <c r="O344" s="17" t="n">
        <f aca="false">IF($K344="","",$K344+$L344)</f>
        <v>1992</v>
      </c>
      <c r="P344" s="17" t="str">
        <f aca="false">IF($B$10=0,"",IFERROR(IF($B$4&gt;0,"휘발유 "&amp;TEXT(IF($M344="",1/0,$M344*$B$4),"#,##0")&amp;"원","")&amp;IF($B$5&gt;0,IF($B$4&gt;0," / ","")&amp;"고급유 "&amp;TEXT(IF($N344="",1/0,$N344*$B$5),"#,##0")&amp;"원","")&amp;IF($B$6&gt;0,IF(OR($B$4&gt;0,$B$5&gt;0)," / ","")&amp;"경유 "&amp;TEXT(IF($O344="",1/0,$O344*$B$6),"#,##0")&amp;"원",""),""))</f>
        <v/>
      </c>
      <c r="Q344" s="17" t="str">
        <f aca="false">IF($B$10=0,"",IFERROR(IF($B$4&gt;0,IF($M344="",1/0,$M344*$B$4),0)+IF($B$5&gt;0,IF($N344="",1/0,$N344*$B$5),0)+IF($B$6&gt;0,IF($O344="",1/0,$O344*$B$6),0),""))</f>
        <v/>
      </c>
      <c r="R344" s="17" t="s">
        <v>47</v>
      </c>
      <c r="S344" s="18" t="str">
        <f aca="false">IF($Q344="","",IF($R344="Y",IFERROR(VLOOKUP($B344,$C$4:$D$13,2,FALSE()),0),0))</f>
        <v/>
      </c>
      <c r="T344" s="17" t="str">
        <f aca="false">IF($Q344="","",ROUNDDOWN($Q344*$S344,0))</f>
        <v/>
      </c>
      <c r="U344" s="17" t="str">
        <f aca="false">IF($Q344="","",$Q344-$T344)</f>
        <v/>
      </c>
      <c r="V344" s="17" t="str">
        <f aca="false">IF($U344="","",IF($B$10=0,"",$U344/$B$10))</f>
        <v/>
      </c>
      <c r="W344" s="17" t="str">
        <f aca="false">IF($Q344="","",IF($B$10=0,"",$Q344/$B$10))</f>
        <v/>
      </c>
      <c r="X344" s="19" t="n">
        <f aca="false">IF($U344="",1000000000000000,$U344)</f>
        <v>1000000000000000</v>
      </c>
      <c r="XFC344" s="6"/>
    </row>
    <row r="345" s="5" customFormat="true" ht="28.5" hidden="false" customHeight="true" outlineLevel="0" collapsed="false">
      <c r="A345" s="16" t="str">
        <f aca="false">IF($U345="","",1+COUNTIF($X$15:$X$728,"&lt;"&amp;X345))</f>
        <v/>
      </c>
      <c r="B345" s="16" t="s">
        <v>12</v>
      </c>
      <c r="C345" s="16" t="s">
        <v>1037</v>
      </c>
      <c r="D345" s="20" t="s">
        <v>248</v>
      </c>
      <c r="E345" s="16" t="s">
        <v>47</v>
      </c>
      <c r="F345" s="16" t="s">
        <v>1038</v>
      </c>
      <c r="G345" s="16" t="s">
        <v>1039</v>
      </c>
      <c r="H345" s="17" t="n">
        <v>1938</v>
      </c>
      <c r="I345" s="17"/>
      <c r="J345" s="17"/>
      <c r="K345" s="17" t="n">
        <v>1978</v>
      </c>
      <c r="L345" s="17" t="n">
        <f aca="false">IF(AND(IFERROR(SEARCH("현대오일뱅크",$C345),0)&gt;0,IFERROR(SEARCH("직영",$C345),0)&gt;0),$B$13,0)</f>
        <v>0</v>
      </c>
      <c r="M345" s="17" t="n">
        <f aca="false">IF($H345="","",$H345+$L345)</f>
        <v>1938</v>
      </c>
      <c r="N345" s="17" t="str">
        <f aca="false">IF($I345="","",$I345+$L345)</f>
        <v/>
      </c>
      <c r="O345" s="17" t="n">
        <f aca="false">IF($K345="","",$K345+$L345)</f>
        <v>1978</v>
      </c>
      <c r="P345" s="17" t="str">
        <f aca="false">IF($B$10=0,"",IFERROR(IF($B$4&gt;0,"휘발유 "&amp;TEXT(IF($M345="",1/0,$M345*$B$4),"#,##0")&amp;"원","")&amp;IF($B$5&gt;0,IF($B$4&gt;0," / ","")&amp;"고급유 "&amp;TEXT(IF($N345="",1/0,$N345*$B$5),"#,##0")&amp;"원","")&amp;IF($B$6&gt;0,IF(OR($B$4&gt;0,$B$5&gt;0)," / ","")&amp;"경유 "&amp;TEXT(IF($O345="",1/0,$O345*$B$6),"#,##0")&amp;"원",""),""))</f>
        <v/>
      </c>
      <c r="Q345" s="17" t="str">
        <f aca="false">IF($B$10=0,"",IFERROR(IF($B$4&gt;0,IF($M345="",1/0,$M345*$B$4),0)+IF($B$5&gt;0,IF($N345="",1/0,$N345*$B$5),0)+IF($B$6&gt;0,IF($O345="",1/0,$O345*$B$6),0),""))</f>
        <v/>
      </c>
      <c r="R345" s="17" t="s">
        <v>47</v>
      </c>
      <c r="S345" s="18" t="str">
        <f aca="false">IF($Q345="","",IF($R345="Y",IFERROR(VLOOKUP($B345,$C$4:$D$13,2,FALSE()),0),0))</f>
        <v/>
      </c>
      <c r="T345" s="17" t="str">
        <f aca="false">IF($Q345="","",ROUNDDOWN($Q345*$S345,0))</f>
        <v/>
      </c>
      <c r="U345" s="17" t="str">
        <f aca="false">IF($Q345="","",$Q345-$T345)</f>
        <v/>
      </c>
      <c r="V345" s="17" t="str">
        <f aca="false">IF($U345="","",IF($B$10=0,"",$U345/$B$10))</f>
        <v/>
      </c>
      <c r="W345" s="17" t="str">
        <f aca="false">IF($Q345="","",IF($B$10=0,"",$Q345/$B$10))</f>
        <v/>
      </c>
      <c r="X345" s="19" t="n">
        <f aca="false">IF($U345="",1000000000000000,$U345)</f>
        <v>1000000000000000</v>
      </c>
      <c r="XFC345" s="6"/>
    </row>
    <row r="346" s="5" customFormat="true" ht="28.5" hidden="false" customHeight="true" outlineLevel="0" collapsed="false">
      <c r="A346" s="16" t="str">
        <f aca="false">IF($U346="","",1+COUNTIF($X$15:$X$728,"&lt;"&amp;X346))</f>
        <v/>
      </c>
      <c r="B346" s="16" t="s">
        <v>10</v>
      </c>
      <c r="C346" s="16" t="s">
        <v>1040</v>
      </c>
      <c r="D346" s="20" t="s">
        <v>108</v>
      </c>
      <c r="E346" s="16" t="s">
        <v>59</v>
      </c>
      <c r="F346" s="16" t="s">
        <v>1041</v>
      </c>
      <c r="G346" s="16" t="s">
        <v>1042</v>
      </c>
      <c r="H346" s="17" t="n">
        <v>1938</v>
      </c>
      <c r="I346" s="17"/>
      <c r="J346" s="17"/>
      <c r="K346" s="17" t="n">
        <v>1968</v>
      </c>
      <c r="L346" s="17" t="n">
        <f aca="false">IF(AND(IFERROR(SEARCH("현대오일뱅크",$C346),0)&gt;0,IFERROR(SEARCH("직영",$C346),0)&gt;0),$B$13,0)</f>
        <v>0</v>
      </c>
      <c r="M346" s="17" t="n">
        <f aca="false">IF($H346="","",$H346+$L346)</f>
        <v>1938</v>
      </c>
      <c r="N346" s="17" t="str">
        <f aca="false">IF($I346="","",$I346+$L346)</f>
        <v/>
      </c>
      <c r="O346" s="17" t="n">
        <f aca="false">IF($K346="","",$K346+$L346)</f>
        <v>1968</v>
      </c>
      <c r="P346" s="17" t="str">
        <f aca="false">IF($B$10=0,"",IFERROR(IF($B$4&gt;0,"휘발유 "&amp;TEXT(IF($M346="",1/0,$M346*$B$4),"#,##0")&amp;"원","")&amp;IF($B$5&gt;0,IF($B$4&gt;0," / ","")&amp;"고급유 "&amp;TEXT(IF($N346="",1/0,$N346*$B$5),"#,##0")&amp;"원","")&amp;IF($B$6&gt;0,IF(OR($B$4&gt;0,$B$5&gt;0)," / ","")&amp;"경유 "&amp;TEXT(IF($O346="",1/0,$O346*$B$6),"#,##0")&amp;"원",""),""))</f>
        <v/>
      </c>
      <c r="Q346" s="17" t="str">
        <f aca="false">IF($B$10=0,"",IFERROR(IF($B$4&gt;0,IF($M346="",1/0,$M346*$B$4),0)+IF($B$5&gt;0,IF($N346="",1/0,$N346*$B$5),0)+IF($B$6&gt;0,IF($O346="",1/0,$O346*$B$6),0),""))</f>
        <v/>
      </c>
      <c r="R346" s="17" t="s">
        <v>47</v>
      </c>
      <c r="S346" s="18" t="str">
        <f aca="false">IF($Q346="","",IF($R346="Y",IFERROR(VLOOKUP($B346,$C$4:$D$13,2,FALSE()),0),0))</f>
        <v/>
      </c>
      <c r="T346" s="17" t="str">
        <f aca="false">IF($Q346="","",ROUNDDOWN($Q346*$S346,0))</f>
        <v/>
      </c>
      <c r="U346" s="17" t="str">
        <f aca="false">IF($Q346="","",$Q346-$T346)</f>
        <v/>
      </c>
      <c r="V346" s="17" t="str">
        <f aca="false">IF($U346="","",IF($B$10=0,"",$U346/$B$10))</f>
        <v/>
      </c>
      <c r="W346" s="17" t="str">
        <f aca="false">IF($Q346="","",IF($B$10=0,"",$Q346/$B$10))</f>
        <v/>
      </c>
      <c r="X346" s="19" t="n">
        <f aca="false">IF($U346="",1000000000000000,$U346)</f>
        <v>1000000000000000</v>
      </c>
      <c r="XFC346" s="6"/>
    </row>
    <row r="347" s="5" customFormat="true" ht="28.5" hidden="false" customHeight="true" outlineLevel="0" collapsed="false">
      <c r="A347" s="16" t="str">
        <f aca="false">IF($U347="","",1+COUNTIF($X$15:$X$728,"&lt;"&amp;X347))</f>
        <v/>
      </c>
      <c r="B347" s="16" t="s">
        <v>6</v>
      </c>
      <c r="C347" s="16" t="s">
        <v>1043</v>
      </c>
      <c r="D347" s="16" t="s">
        <v>112</v>
      </c>
      <c r="E347" s="16" t="s">
        <v>47</v>
      </c>
      <c r="F347" s="16" t="s">
        <v>1044</v>
      </c>
      <c r="G347" s="16" t="s">
        <v>1045</v>
      </c>
      <c r="H347" s="17" t="n">
        <v>1939</v>
      </c>
      <c r="I347" s="17"/>
      <c r="J347" s="17"/>
      <c r="K347" s="17" t="n">
        <v>1969</v>
      </c>
      <c r="L347" s="17" t="n">
        <f aca="false">IF(AND(IFERROR(SEARCH("현대오일뱅크",$C347),0)&gt;0,IFERROR(SEARCH("직영",$C347),0)&gt;0),$B$13,0)</f>
        <v>0</v>
      </c>
      <c r="M347" s="17" t="n">
        <f aca="false">IF($H347="","",$H347+$L347)</f>
        <v>1939</v>
      </c>
      <c r="N347" s="17" t="str">
        <f aca="false">IF($I347="","",$I347+$L347)</f>
        <v/>
      </c>
      <c r="O347" s="17" t="n">
        <f aca="false">IF($K347="","",$K347+$L347)</f>
        <v>1969</v>
      </c>
      <c r="P347" s="17" t="str">
        <f aca="false">IF($B$10=0,"",IFERROR(IF($B$4&gt;0,"휘발유 "&amp;TEXT(IF($M347="",1/0,$M347*$B$4),"#,##0")&amp;"원","")&amp;IF($B$5&gt;0,IF($B$4&gt;0," / ","")&amp;"고급유 "&amp;TEXT(IF($N347="",1/0,$N347*$B$5),"#,##0")&amp;"원","")&amp;IF($B$6&gt;0,IF(OR($B$4&gt;0,$B$5&gt;0)," / ","")&amp;"경유 "&amp;TEXT(IF($O347="",1/0,$O347*$B$6),"#,##0")&amp;"원",""),""))</f>
        <v/>
      </c>
      <c r="Q347" s="17" t="str">
        <f aca="false">IF($B$10=0,"",IFERROR(IF($B$4&gt;0,IF($M347="",1/0,$M347*$B$4),0)+IF($B$5&gt;0,IF($N347="",1/0,$N347*$B$5),0)+IF($B$6&gt;0,IF($O347="",1/0,$O347*$B$6),0),""))</f>
        <v/>
      </c>
      <c r="R347" s="17" t="s">
        <v>47</v>
      </c>
      <c r="S347" s="18" t="str">
        <f aca="false">IF($Q347="","",IF($R347="Y",IFERROR(VLOOKUP($B347,$C$4:$D$13,2,FALSE()),0),0))</f>
        <v/>
      </c>
      <c r="T347" s="17" t="str">
        <f aca="false">IF($Q347="","",ROUNDDOWN($Q347*$S347,0))</f>
        <v/>
      </c>
      <c r="U347" s="17" t="str">
        <f aca="false">IF($Q347="","",$Q347-$T347)</f>
        <v/>
      </c>
      <c r="V347" s="17" t="str">
        <f aca="false">IF($U347="","",IF($B$10=0,"",$U347/$B$10))</f>
        <v/>
      </c>
      <c r="W347" s="17" t="str">
        <f aca="false">IF($Q347="","",IF($B$10=0,"",$Q347/$B$10))</f>
        <v/>
      </c>
      <c r="X347" s="19" t="n">
        <f aca="false">IF($U347="",1000000000000000,$U347)</f>
        <v>1000000000000000</v>
      </c>
      <c r="XFC347" s="6"/>
    </row>
    <row r="348" s="5" customFormat="true" ht="28.5" hidden="false" customHeight="true" outlineLevel="0" collapsed="false">
      <c r="A348" s="16" t="str">
        <f aca="false">IF($U348="","",1+COUNTIF($X$15:$X$728,"&lt;"&amp;X348))</f>
        <v/>
      </c>
      <c r="B348" s="16" t="s">
        <v>6</v>
      </c>
      <c r="C348" s="16" t="s">
        <v>1046</v>
      </c>
      <c r="D348" s="20" t="s">
        <v>108</v>
      </c>
      <c r="E348" s="16" t="s">
        <v>47</v>
      </c>
      <c r="F348" s="16" t="s">
        <v>1047</v>
      </c>
      <c r="G348" s="16" t="s">
        <v>1048</v>
      </c>
      <c r="H348" s="17" t="n">
        <v>1939</v>
      </c>
      <c r="I348" s="17"/>
      <c r="J348" s="17"/>
      <c r="K348" s="17" t="n">
        <v>1959</v>
      </c>
      <c r="L348" s="17" t="n">
        <f aca="false">IF(AND(IFERROR(SEARCH("현대오일뱅크",$C348),0)&gt;0,IFERROR(SEARCH("직영",$C348),0)&gt;0),$B$13,0)</f>
        <v>0</v>
      </c>
      <c r="M348" s="17" t="n">
        <f aca="false">IF($H348="","",$H348+$L348)</f>
        <v>1939</v>
      </c>
      <c r="N348" s="17" t="str">
        <f aca="false">IF($I348="","",$I348+$L348)</f>
        <v/>
      </c>
      <c r="O348" s="17" t="n">
        <f aca="false">IF($K348="","",$K348+$L348)</f>
        <v>1959</v>
      </c>
      <c r="P348" s="17" t="str">
        <f aca="false">IF($B$10=0,"",IFERROR(IF($B$4&gt;0,"휘발유 "&amp;TEXT(IF($M348="",1/0,$M348*$B$4),"#,##0")&amp;"원","")&amp;IF($B$5&gt;0,IF($B$4&gt;0," / ","")&amp;"고급유 "&amp;TEXT(IF($N348="",1/0,$N348*$B$5),"#,##0")&amp;"원","")&amp;IF($B$6&gt;0,IF(OR($B$4&gt;0,$B$5&gt;0)," / ","")&amp;"경유 "&amp;TEXT(IF($O348="",1/0,$O348*$B$6),"#,##0")&amp;"원",""),""))</f>
        <v/>
      </c>
      <c r="Q348" s="17" t="str">
        <f aca="false">IF($B$10=0,"",IFERROR(IF($B$4&gt;0,IF($M348="",1/0,$M348*$B$4),0)+IF($B$5&gt;0,IF($N348="",1/0,$N348*$B$5),0)+IF($B$6&gt;0,IF($O348="",1/0,$O348*$B$6),0),""))</f>
        <v/>
      </c>
      <c r="R348" s="17" t="s">
        <v>47</v>
      </c>
      <c r="S348" s="18" t="str">
        <f aca="false">IF($Q348="","",IF($R348="Y",IFERROR(VLOOKUP($B348,$C$4:$D$13,2,FALSE()),0),0))</f>
        <v/>
      </c>
      <c r="T348" s="17" t="str">
        <f aca="false">IF($Q348="","",ROUNDDOWN($Q348*$S348,0))</f>
        <v/>
      </c>
      <c r="U348" s="17" t="str">
        <f aca="false">IF($Q348="","",$Q348-$T348)</f>
        <v/>
      </c>
      <c r="V348" s="17" t="str">
        <f aca="false">IF($U348="","",IF($B$10=0,"",$U348/$B$10))</f>
        <v/>
      </c>
      <c r="W348" s="17" t="str">
        <f aca="false">IF($Q348="","",IF($B$10=0,"",$Q348/$B$10))</f>
        <v/>
      </c>
      <c r="X348" s="19" t="n">
        <f aca="false">IF($U348="",1000000000000000,$U348)</f>
        <v>1000000000000000</v>
      </c>
      <c r="XFC348" s="6"/>
    </row>
    <row r="349" s="5" customFormat="true" ht="28.5" hidden="false" customHeight="true" outlineLevel="0" collapsed="false">
      <c r="A349" s="16" t="str">
        <f aca="false">IF($U349="","",1+COUNTIF($X$15:$X$728,"&lt;"&amp;X349))</f>
        <v/>
      </c>
      <c r="B349" s="16" t="s">
        <v>12</v>
      </c>
      <c r="C349" s="16" t="s">
        <v>1049</v>
      </c>
      <c r="D349" s="20" t="s">
        <v>108</v>
      </c>
      <c r="E349" s="16" t="s">
        <v>59</v>
      </c>
      <c r="F349" s="16" t="s">
        <v>1050</v>
      </c>
      <c r="G349" s="16" t="s">
        <v>1051</v>
      </c>
      <c r="H349" s="17" t="n">
        <v>1939</v>
      </c>
      <c r="I349" s="17"/>
      <c r="J349" s="17"/>
      <c r="K349" s="17" t="n">
        <v>1999</v>
      </c>
      <c r="L349" s="17" t="n">
        <f aca="false">IF(AND(IFERROR(SEARCH("현대오일뱅크",$C349),0)&gt;0,IFERROR(SEARCH("직영",$C349),0)&gt;0),$B$13,0)</f>
        <v>0</v>
      </c>
      <c r="M349" s="17" t="n">
        <f aca="false">IF($H349="","",$H349+$L349)</f>
        <v>1939</v>
      </c>
      <c r="N349" s="17" t="str">
        <f aca="false">IF($I349="","",$I349+$L349)</f>
        <v/>
      </c>
      <c r="O349" s="17" t="n">
        <f aca="false">IF($K349="","",$K349+$L349)</f>
        <v>1999</v>
      </c>
      <c r="P349" s="17" t="str">
        <f aca="false">IF($B$10=0,"",IFERROR(IF($B$4&gt;0,"휘발유 "&amp;TEXT(IF($M349="",1/0,$M349*$B$4),"#,##0")&amp;"원","")&amp;IF($B$5&gt;0,IF($B$4&gt;0," / ","")&amp;"고급유 "&amp;TEXT(IF($N349="",1/0,$N349*$B$5),"#,##0")&amp;"원","")&amp;IF($B$6&gt;0,IF(OR($B$4&gt;0,$B$5&gt;0)," / ","")&amp;"경유 "&amp;TEXT(IF($O349="",1/0,$O349*$B$6),"#,##0")&amp;"원",""),""))</f>
        <v/>
      </c>
      <c r="Q349" s="17" t="str">
        <f aca="false">IF($B$10=0,"",IFERROR(IF($B$4&gt;0,IF($M349="",1/0,$M349*$B$4),0)+IF($B$5&gt;0,IF($N349="",1/0,$N349*$B$5),0)+IF($B$6&gt;0,IF($O349="",1/0,$O349*$B$6),0),""))</f>
        <v/>
      </c>
      <c r="R349" s="17" t="s">
        <v>47</v>
      </c>
      <c r="S349" s="18" t="str">
        <f aca="false">IF($Q349="","",IF($R349="Y",IFERROR(VLOOKUP($B349,$C$4:$D$13,2,FALSE()),0),0))</f>
        <v/>
      </c>
      <c r="T349" s="17" t="str">
        <f aca="false">IF($Q349="","",ROUNDDOWN($Q349*$S349,0))</f>
        <v/>
      </c>
      <c r="U349" s="17" t="str">
        <f aca="false">IF($Q349="","",$Q349-$T349)</f>
        <v/>
      </c>
      <c r="V349" s="17" t="str">
        <f aca="false">IF($U349="","",IF($B$10=0,"",$U349/$B$10))</f>
        <v/>
      </c>
      <c r="W349" s="17" t="str">
        <f aca="false">IF($Q349="","",IF($B$10=0,"",$Q349/$B$10))</f>
        <v/>
      </c>
      <c r="X349" s="19" t="n">
        <f aca="false">IF($U349="",1000000000000000,$U349)</f>
        <v>1000000000000000</v>
      </c>
      <c r="XFC349" s="6"/>
    </row>
    <row r="350" s="5" customFormat="true" ht="28.5" hidden="false" customHeight="true" outlineLevel="0" collapsed="false">
      <c r="A350" s="16" t="str">
        <f aca="false">IF($U350="","",1+COUNTIF($X$15:$X$728,"&lt;"&amp;X350))</f>
        <v/>
      </c>
      <c r="B350" s="16" t="s">
        <v>6</v>
      </c>
      <c r="C350" s="16" t="s">
        <v>1052</v>
      </c>
      <c r="D350" s="16" t="s">
        <v>112</v>
      </c>
      <c r="E350" s="16" t="s">
        <v>47</v>
      </c>
      <c r="F350" s="16" t="s">
        <v>1053</v>
      </c>
      <c r="G350" s="16" t="s">
        <v>1054</v>
      </c>
      <c r="H350" s="17" t="n">
        <v>1939</v>
      </c>
      <c r="I350" s="17"/>
      <c r="J350" s="17"/>
      <c r="K350" s="17" t="n">
        <v>1969</v>
      </c>
      <c r="L350" s="17" t="n">
        <f aca="false">IF(AND(IFERROR(SEARCH("현대오일뱅크",$C350),0)&gt;0,IFERROR(SEARCH("직영",$C350),0)&gt;0),$B$13,0)</f>
        <v>0</v>
      </c>
      <c r="M350" s="17" t="n">
        <f aca="false">IF($H350="","",$H350+$L350)</f>
        <v>1939</v>
      </c>
      <c r="N350" s="17" t="str">
        <f aca="false">IF($I350="","",$I350+$L350)</f>
        <v/>
      </c>
      <c r="O350" s="17" t="n">
        <f aca="false">IF($K350="","",$K350+$L350)</f>
        <v>1969</v>
      </c>
      <c r="P350" s="17" t="str">
        <f aca="false">IF($B$10=0,"",IFERROR(IF($B$4&gt;0,"휘발유 "&amp;TEXT(IF($M350="",1/0,$M350*$B$4),"#,##0")&amp;"원","")&amp;IF($B$5&gt;0,IF($B$4&gt;0," / ","")&amp;"고급유 "&amp;TEXT(IF($N350="",1/0,$N350*$B$5),"#,##0")&amp;"원","")&amp;IF($B$6&gt;0,IF(OR($B$4&gt;0,$B$5&gt;0)," / ","")&amp;"경유 "&amp;TEXT(IF($O350="",1/0,$O350*$B$6),"#,##0")&amp;"원",""),""))</f>
        <v/>
      </c>
      <c r="Q350" s="17" t="str">
        <f aca="false">IF($B$10=0,"",IFERROR(IF($B$4&gt;0,IF($M350="",1/0,$M350*$B$4),0)+IF($B$5&gt;0,IF($N350="",1/0,$N350*$B$5),0)+IF($B$6&gt;0,IF($O350="",1/0,$O350*$B$6),0),""))</f>
        <v/>
      </c>
      <c r="R350" s="17" t="s">
        <v>47</v>
      </c>
      <c r="S350" s="18" t="str">
        <f aca="false">IF($Q350="","",IF($R350="Y",IFERROR(VLOOKUP($B350,$C$4:$D$13,2,FALSE()),0),0))</f>
        <v/>
      </c>
      <c r="T350" s="17" t="str">
        <f aca="false">IF($Q350="","",ROUNDDOWN($Q350*$S350,0))</f>
        <v/>
      </c>
      <c r="U350" s="17" t="str">
        <f aca="false">IF($Q350="","",$Q350-$T350)</f>
        <v/>
      </c>
      <c r="V350" s="17" t="str">
        <f aca="false">IF($U350="","",IF($B$10=0,"",$U350/$B$10))</f>
        <v/>
      </c>
      <c r="W350" s="17" t="str">
        <f aca="false">IF($Q350="","",IF($B$10=0,"",$Q350/$B$10))</f>
        <v/>
      </c>
      <c r="X350" s="19" t="n">
        <f aca="false">IF($U350="",1000000000000000,$U350)</f>
        <v>1000000000000000</v>
      </c>
      <c r="XFC350" s="6"/>
    </row>
    <row r="351" s="5" customFormat="true" ht="28.5" hidden="false" customHeight="true" outlineLevel="0" collapsed="false">
      <c r="A351" s="16" t="str">
        <f aca="false">IF($U351="","",1+COUNTIF($X$15:$X$728,"&lt;"&amp;X351))</f>
        <v/>
      </c>
      <c r="B351" s="16" t="s">
        <v>6</v>
      </c>
      <c r="C351" s="16" t="s">
        <v>1055</v>
      </c>
      <c r="D351" s="20" t="s">
        <v>108</v>
      </c>
      <c r="E351" s="16" t="s">
        <v>47</v>
      </c>
      <c r="F351" s="16" t="s">
        <v>1056</v>
      </c>
      <c r="G351" s="16" t="s">
        <v>1057</v>
      </c>
      <c r="H351" s="17" t="n">
        <v>1939</v>
      </c>
      <c r="I351" s="17"/>
      <c r="J351" s="17"/>
      <c r="K351" s="17" t="n">
        <v>1999</v>
      </c>
      <c r="L351" s="17" t="n">
        <f aca="false">IF(AND(IFERROR(SEARCH("현대오일뱅크",$C351),0)&gt;0,IFERROR(SEARCH("직영",$C351),0)&gt;0),$B$13,0)</f>
        <v>0</v>
      </c>
      <c r="M351" s="17" t="n">
        <f aca="false">IF($H351="","",$H351+$L351)</f>
        <v>1939</v>
      </c>
      <c r="N351" s="17" t="str">
        <f aca="false">IF($I351="","",$I351+$L351)</f>
        <v/>
      </c>
      <c r="O351" s="17" t="n">
        <f aca="false">IF($K351="","",$K351+$L351)</f>
        <v>1999</v>
      </c>
      <c r="P351" s="17" t="str">
        <f aca="false">IF($B$10=0,"",IFERROR(IF($B$4&gt;0,"휘발유 "&amp;TEXT(IF($M351="",1/0,$M351*$B$4),"#,##0")&amp;"원","")&amp;IF($B$5&gt;0,IF($B$4&gt;0," / ","")&amp;"고급유 "&amp;TEXT(IF($N351="",1/0,$N351*$B$5),"#,##0")&amp;"원","")&amp;IF($B$6&gt;0,IF(OR($B$4&gt;0,$B$5&gt;0)," / ","")&amp;"경유 "&amp;TEXT(IF($O351="",1/0,$O351*$B$6),"#,##0")&amp;"원",""),""))</f>
        <v/>
      </c>
      <c r="Q351" s="17" t="str">
        <f aca="false">IF($B$10=0,"",IFERROR(IF($B$4&gt;0,IF($M351="",1/0,$M351*$B$4),0)+IF($B$5&gt;0,IF($N351="",1/0,$N351*$B$5),0)+IF($B$6&gt;0,IF($O351="",1/0,$O351*$B$6),0),""))</f>
        <v/>
      </c>
      <c r="R351" s="17" t="s">
        <v>47</v>
      </c>
      <c r="S351" s="18" t="str">
        <f aca="false">IF($Q351="","",IF($R351="Y",IFERROR(VLOOKUP($B351,$C$4:$D$13,2,FALSE()),0),0))</f>
        <v/>
      </c>
      <c r="T351" s="17" t="str">
        <f aca="false">IF($Q351="","",ROUNDDOWN($Q351*$S351,0))</f>
        <v/>
      </c>
      <c r="U351" s="17" t="str">
        <f aca="false">IF($Q351="","",$Q351-$T351)</f>
        <v/>
      </c>
      <c r="V351" s="17" t="str">
        <f aca="false">IF($U351="","",IF($B$10=0,"",$U351/$B$10))</f>
        <v/>
      </c>
      <c r="W351" s="17" t="str">
        <f aca="false">IF($Q351="","",IF($B$10=0,"",$Q351/$B$10))</f>
        <v/>
      </c>
      <c r="X351" s="19" t="n">
        <f aca="false">IF($U351="",1000000000000000,$U351)</f>
        <v>1000000000000000</v>
      </c>
      <c r="XFC351" s="6"/>
    </row>
    <row r="352" s="5" customFormat="true" ht="28.5" hidden="false" customHeight="true" outlineLevel="0" collapsed="false">
      <c r="A352" s="16" t="str">
        <f aca="false">IF($U352="","",1+COUNTIF($X$15:$X$728,"&lt;"&amp;X352))</f>
        <v/>
      </c>
      <c r="B352" s="16" t="s">
        <v>10</v>
      </c>
      <c r="C352" s="16" t="s">
        <v>1058</v>
      </c>
      <c r="D352" s="16" t="s">
        <v>112</v>
      </c>
      <c r="E352" s="16" t="s">
        <v>59</v>
      </c>
      <c r="F352" s="16" t="s">
        <v>1059</v>
      </c>
      <c r="G352" s="16" t="s">
        <v>1060</v>
      </c>
      <c r="H352" s="17" t="n">
        <v>1940</v>
      </c>
      <c r="I352" s="17"/>
      <c r="J352" s="17"/>
      <c r="K352" s="17" t="n">
        <v>1960</v>
      </c>
      <c r="L352" s="17" t="n">
        <f aca="false">IF(AND(IFERROR(SEARCH("현대오일뱅크",$C352),0)&gt;0,IFERROR(SEARCH("직영",$C352),0)&gt;0),$B$13,0)</f>
        <v>0</v>
      </c>
      <c r="M352" s="17" t="n">
        <f aca="false">IF($H352="","",$H352+$L352)</f>
        <v>1940</v>
      </c>
      <c r="N352" s="17" t="str">
        <f aca="false">IF($I352="","",$I352+$L352)</f>
        <v/>
      </c>
      <c r="O352" s="17" t="n">
        <f aca="false">IF($K352="","",$K352+$L352)</f>
        <v>1960</v>
      </c>
      <c r="P352" s="17" t="str">
        <f aca="false">IF($B$10=0,"",IFERROR(IF($B$4&gt;0,"휘발유 "&amp;TEXT(IF($M352="",1/0,$M352*$B$4),"#,##0")&amp;"원","")&amp;IF($B$5&gt;0,IF($B$4&gt;0," / ","")&amp;"고급유 "&amp;TEXT(IF($N352="",1/0,$N352*$B$5),"#,##0")&amp;"원","")&amp;IF($B$6&gt;0,IF(OR($B$4&gt;0,$B$5&gt;0)," / ","")&amp;"경유 "&amp;TEXT(IF($O352="",1/0,$O352*$B$6),"#,##0")&amp;"원",""),""))</f>
        <v/>
      </c>
      <c r="Q352" s="17" t="str">
        <f aca="false">IF($B$10=0,"",IFERROR(IF($B$4&gt;0,IF($M352="",1/0,$M352*$B$4),0)+IF($B$5&gt;0,IF($N352="",1/0,$N352*$B$5),0)+IF($B$6&gt;0,IF($O352="",1/0,$O352*$B$6),0),""))</f>
        <v/>
      </c>
      <c r="R352" s="17" t="s">
        <v>47</v>
      </c>
      <c r="S352" s="18" t="str">
        <f aca="false">IF($Q352="","",IF($R352="Y",IFERROR(VLOOKUP($B352,$C$4:$D$13,2,FALSE()),0),0))</f>
        <v/>
      </c>
      <c r="T352" s="17" t="str">
        <f aca="false">IF($Q352="","",ROUNDDOWN($Q352*$S352,0))</f>
        <v/>
      </c>
      <c r="U352" s="17" t="str">
        <f aca="false">IF($Q352="","",$Q352-$T352)</f>
        <v/>
      </c>
      <c r="V352" s="17" t="str">
        <f aca="false">IF($U352="","",IF($B$10=0,"",$U352/$B$10))</f>
        <v/>
      </c>
      <c r="W352" s="17" t="str">
        <f aca="false">IF($Q352="","",IF($B$10=0,"",$Q352/$B$10))</f>
        <v/>
      </c>
      <c r="X352" s="19" t="n">
        <f aca="false">IF($U352="",1000000000000000,$U352)</f>
        <v>1000000000000000</v>
      </c>
      <c r="XFC352" s="6"/>
    </row>
    <row r="353" s="5" customFormat="true" ht="28.5" hidden="false" customHeight="true" outlineLevel="0" collapsed="false">
      <c r="A353" s="16" t="str">
        <f aca="false">IF($U353="","",1+COUNTIF($X$15:$X$728,"&lt;"&amp;X353))</f>
        <v/>
      </c>
      <c r="B353" s="16" t="s">
        <v>6</v>
      </c>
      <c r="C353" s="16" t="s">
        <v>1061</v>
      </c>
      <c r="D353" s="16" t="s">
        <v>58</v>
      </c>
      <c r="E353" s="16" t="s">
        <v>59</v>
      </c>
      <c r="F353" s="16" t="s">
        <v>1062</v>
      </c>
      <c r="G353" s="16" t="s">
        <v>1063</v>
      </c>
      <c r="H353" s="17" t="n">
        <v>1940</v>
      </c>
      <c r="I353" s="17"/>
      <c r="J353" s="17"/>
      <c r="K353" s="17" t="n">
        <v>1950</v>
      </c>
      <c r="L353" s="17" t="n">
        <f aca="false">IF(AND(IFERROR(SEARCH("현대오일뱅크",$C353),0)&gt;0,IFERROR(SEARCH("직영",$C353),0)&gt;0),$B$13,0)</f>
        <v>0</v>
      </c>
      <c r="M353" s="17" t="n">
        <f aca="false">IF($H353="","",$H353+$L353)</f>
        <v>1940</v>
      </c>
      <c r="N353" s="17" t="str">
        <f aca="false">IF($I353="","",$I353+$L353)</f>
        <v/>
      </c>
      <c r="O353" s="17" t="n">
        <f aca="false">IF($K353="","",$K353+$L353)</f>
        <v>1950</v>
      </c>
      <c r="P353" s="17" t="str">
        <f aca="false">IF($B$10=0,"",IFERROR(IF($B$4&gt;0,"휘발유 "&amp;TEXT(IF($M353="",1/0,$M353*$B$4),"#,##0")&amp;"원","")&amp;IF($B$5&gt;0,IF($B$4&gt;0," / ","")&amp;"고급유 "&amp;TEXT(IF($N353="",1/0,$N353*$B$5),"#,##0")&amp;"원","")&amp;IF($B$6&gt;0,IF(OR($B$4&gt;0,$B$5&gt;0)," / ","")&amp;"경유 "&amp;TEXT(IF($O353="",1/0,$O353*$B$6),"#,##0")&amp;"원",""),""))</f>
        <v/>
      </c>
      <c r="Q353" s="17" t="str">
        <f aca="false">IF($B$10=0,"",IFERROR(IF($B$4&gt;0,IF($M353="",1/0,$M353*$B$4),0)+IF($B$5&gt;0,IF($N353="",1/0,$N353*$B$5),0)+IF($B$6&gt;0,IF($O353="",1/0,$O353*$B$6),0),""))</f>
        <v/>
      </c>
      <c r="R353" s="17" t="s">
        <v>47</v>
      </c>
      <c r="S353" s="18" t="str">
        <f aca="false">IF($Q353="","",IF($R353="Y",IFERROR(VLOOKUP($B353,$C$4:$D$13,2,FALSE()),0),0))</f>
        <v/>
      </c>
      <c r="T353" s="17" t="str">
        <f aca="false">IF($Q353="","",ROUNDDOWN($Q353*$S353,0))</f>
        <v/>
      </c>
      <c r="U353" s="17" t="str">
        <f aca="false">IF($Q353="","",$Q353-$T353)</f>
        <v/>
      </c>
      <c r="V353" s="17" t="str">
        <f aca="false">IF($U353="","",IF($B$10=0,"",$U353/$B$10))</f>
        <v/>
      </c>
      <c r="W353" s="17" t="str">
        <f aca="false">IF($Q353="","",IF($B$10=0,"",$Q353/$B$10))</f>
        <v/>
      </c>
      <c r="X353" s="19" t="n">
        <f aca="false">IF($U353="",1000000000000000,$U353)</f>
        <v>1000000000000000</v>
      </c>
      <c r="XFC353" s="6"/>
    </row>
    <row r="354" s="5" customFormat="true" ht="28.5" hidden="false" customHeight="true" outlineLevel="0" collapsed="false">
      <c r="A354" s="16" t="str">
        <f aca="false">IF($U354="","",1+COUNTIF($X$15:$X$728,"&lt;"&amp;X354))</f>
        <v/>
      </c>
      <c r="B354" s="16" t="s">
        <v>10</v>
      </c>
      <c r="C354" s="16" t="s">
        <v>1064</v>
      </c>
      <c r="D354" s="16" t="s">
        <v>112</v>
      </c>
      <c r="E354" s="16" t="s">
        <v>47</v>
      </c>
      <c r="F354" s="16" t="s">
        <v>1065</v>
      </c>
      <c r="G354" s="16" t="s">
        <v>1066</v>
      </c>
      <c r="H354" s="17" t="n">
        <v>1940</v>
      </c>
      <c r="I354" s="17"/>
      <c r="J354" s="17"/>
      <c r="K354" s="17" t="n">
        <v>1960</v>
      </c>
      <c r="L354" s="17" t="n">
        <f aca="false">IF(AND(IFERROR(SEARCH("현대오일뱅크",$C354),0)&gt;0,IFERROR(SEARCH("직영",$C354),0)&gt;0),$B$13,0)</f>
        <v>0</v>
      </c>
      <c r="M354" s="17" t="n">
        <f aca="false">IF($H354="","",$H354+$L354)</f>
        <v>1940</v>
      </c>
      <c r="N354" s="17" t="str">
        <f aca="false">IF($I354="","",$I354+$L354)</f>
        <v/>
      </c>
      <c r="O354" s="17" t="n">
        <f aca="false">IF($K354="","",$K354+$L354)</f>
        <v>1960</v>
      </c>
      <c r="P354" s="17" t="str">
        <f aca="false">IF($B$10=0,"",IFERROR(IF($B$4&gt;0,"휘발유 "&amp;TEXT(IF($M354="",1/0,$M354*$B$4),"#,##0")&amp;"원","")&amp;IF($B$5&gt;0,IF($B$4&gt;0," / ","")&amp;"고급유 "&amp;TEXT(IF($N354="",1/0,$N354*$B$5),"#,##0")&amp;"원","")&amp;IF($B$6&gt;0,IF(OR($B$4&gt;0,$B$5&gt;0)," / ","")&amp;"경유 "&amp;TEXT(IF($O354="",1/0,$O354*$B$6),"#,##0")&amp;"원",""),""))</f>
        <v/>
      </c>
      <c r="Q354" s="17" t="str">
        <f aca="false">IF($B$10=0,"",IFERROR(IF($B$4&gt;0,IF($M354="",1/0,$M354*$B$4),0)+IF($B$5&gt;0,IF($N354="",1/0,$N354*$B$5),0)+IF($B$6&gt;0,IF($O354="",1/0,$O354*$B$6),0),""))</f>
        <v/>
      </c>
      <c r="R354" s="17" t="s">
        <v>47</v>
      </c>
      <c r="S354" s="18" t="str">
        <f aca="false">IF($Q354="","",IF($R354="Y",IFERROR(VLOOKUP($B354,$C$4:$D$13,2,FALSE()),0),0))</f>
        <v/>
      </c>
      <c r="T354" s="17" t="str">
        <f aca="false">IF($Q354="","",ROUNDDOWN($Q354*$S354,0))</f>
        <v/>
      </c>
      <c r="U354" s="17" t="str">
        <f aca="false">IF($Q354="","",$Q354-$T354)</f>
        <v/>
      </c>
      <c r="V354" s="17" t="str">
        <f aca="false">IF($U354="","",IF($B$10=0,"",$U354/$B$10))</f>
        <v/>
      </c>
      <c r="W354" s="17" t="str">
        <f aca="false">IF($Q354="","",IF($B$10=0,"",$Q354/$B$10))</f>
        <v/>
      </c>
      <c r="X354" s="19" t="n">
        <f aca="false">IF($U354="",1000000000000000,$U354)</f>
        <v>1000000000000000</v>
      </c>
      <c r="XFC354" s="6"/>
    </row>
    <row r="355" s="5" customFormat="true" ht="28.5" hidden="false" customHeight="true" outlineLevel="0" collapsed="false">
      <c r="A355" s="16" t="str">
        <f aca="false">IF($U355="","",1+COUNTIF($X$15:$X$728,"&lt;"&amp;X355))</f>
        <v/>
      </c>
      <c r="B355" s="16" t="s">
        <v>10</v>
      </c>
      <c r="C355" s="16" t="s">
        <v>1067</v>
      </c>
      <c r="D355" s="16" t="s">
        <v>51</v>
      </c>
      <c r="E355" s="16" t="s">
        <v>59</v>
      </c>
      <c r="F355" s="16" t="s">
        <v>1068</v>
      </c>
      <c r="G355" s="16" t="s">
        <v>1069</v>
      </c>
      <c r="H355" s="17" t="n">
        <v>1940</v>
      </c>
      <c r="I355" s="17"/>
      <c r="J355" s="17"/>
      <c r="K355" s="17" t="n">
        <v>1960</v>
      </c>
      <c r="L355" s="17" t="n">
        <f aca="false">IF(AND(IFERROR(SEARCH("현대오일뱅크",$C355),0)&gt;0,IFERROR(SEARCH("직영",$C355),0)&gt;0),$B$13,0)</f>
        <v>0</v>
      </c>
      <c r="M355" s="17" t="n">
        <f aca="false">IF($H355="","",$H355+$L355)</f>
        <v>1940</v>
      </c>
      <c r="N355" s="17" t="str">
        <f aca="false">IF($I355="","",$I355+$L355)</f>
        <v/>
      </c>
      <c r="O355" s="17" t="n">
        <f aca="false">IF($K355="","",$K355+$L355)</f>
        <v>1960</v>
      </c>
      <c r="P355" s="17" t="str">
        <f aca="false">IF($B$10=0,"",IFERROR(IF($B$4&gt;0,"휘발유 "&amp;TEXT(IF($M355="",1/0,$M355*$B$4),"#,##0")&amp;"원","")&amp;IF($B$5&gt;0,IF($B$4&gt;0," / ","")&amp;"고급유 "&amp;TEXT(IF($N355="",1/0,$N355*$B$5),"#,##0")&amp;"원","")&amp;IF($B$6&gt;0,IF(OR($B$4&gt;0,$B$5&gt;0)," / ","")&amp;"경유 "&amp;TEXT(IF($O355="",1/0,$O355*$B$6),"#,##0")&amp;"원",""),""))</f>
        <v/>
      </c>
      <c r="Q355" s="17" t="str">
        <f aca="false">IF($B$10=0,"",IFERROR(IF($B$4&gt;0,IF($M355="",1/0,$M355*$B$4),0)+IF($B$5&gt;0,IF($N355="",1/0,$N355*$B$5),0)+IF($B$6&gt;0,IF($O355="",1/0,$O355*$B$6),0),""))</f>
        <v/>
      </c>
      <c r="R355" s="17" t="s">
        <v>47</v>
      </c>
      <c r="S355" s="18" t="str">
        <f aca="false">IF($Q355="","",IF($R355="Y",IFERROR(VLOOKUP($B355,$C$4:$D$13,2,FALSE()),0),0))</f>
        <v/>
      </c>
      <c r="T355" s="17" t="str">
        <f aca="false">IF($Q355="","",ROUNDDOWN($Q355*$S355,0))</f>
        <v/>
      </c>
      <c r="U355" s="17" t="str">
        <f aca="false">IF($Q355="","",$Q355-$T355)</f>
        <v/>
      </c>
      <c r="V355" s="17" t="str">
        <f aca="false">IF($U355="","",IF($B$10=0,"",$U355/$B$10))</f>
        <v/>
      </c>
      <c r="W355" s="17" t="str">
        <f aca="false">IF($Q355="","",IF($B$10=0,"",$Q355/$B$10))</f>
        <v/>
      </c>
      <c r="X355" s="19" t="n">
        <f aca="false">IF($U355="",1000000000000000,$U355)</f>
        <v>1000000000000000</v>
      </c>
      <c r="XFC355" s="6"/>
    </row>
    <row r="356" s="5" customFormat="true" ht="28.5" hidden="false" customHeight="true" outlineLevel="0" collapsed="false">
      <c r="A356" s="16" t="str">
        <f aca="false">IF($U356="","",1+COUNTIF($X$15:$X$728,"&lt;"&amp;X356))</f>
        <v/>
      </c>
      <c r="B356" s="16" t="s">
        <v>6</v>
      </c>
      <c r="C356" s="16" t="s">
        <v>1070</v>
      </c>
      <c r="D356" s="16" t="s">
        <v>51</v>
      </c>
      <c r="E356" s="16" t="s">
        <v>59</v>
      </c>
      <c r="F356" s="16" t="s">
        <v>1071</v>
      </c>
      <c r="G356" s="16" t="s">
        <v>1072</v>
      </c>
      <c r="H356" s="17" t="n">
        <v>1943</v>
      </c>
      <c r="I356" s="17"/>
      <c r="J356" s="17"/>
      <c r="K356" s="17" t="n">
        <v>1943</v>
      </c>
      <c r="L356" s="17" t="n">
        <f aca="false">IF(AND(IFERROR(SEARCH("현대오일뱅크",$C356),0)&gt;0,IFERROR(SEARCH("직영",$C356),0)&gt;0),$B$13,0)</f>
        <v>0</v>
      </c>
      <c r="M356" s="17" t="n">
        <f aca="false">IF($H356="","",$H356+$L356)</f>
        <v>1943</v>
      </c>
      <c r="N356" s="17" t="str">
        <f aca="false">IF($I356="","",$I356+$L356)</f>
        <v/>
      </c>
      <c r="O356" s="17" t="n">
        <f aca="false">IF($K356="","",$K356+$L356)</f>
        <v>1943</v>
      </c>
      <c r="P356" s="17" t="str">
        <f aca="false">IF($B$10=0,"",IFERROR(IF($B$4&gt;0,"휘발유 "&amp;TEXT(IF($M356="",1/0,$M356*$B$4),"#,##0")&amp;"원","")&amp;IF($B$5&gt;0,IF($B$4&gt;0," / ","")&amp;"고급유 "&amp;TEXT(IF($N356="",1/0,$N356*$B$5),"#,##0")&amp;"원","")&amp;IF($B$6&gt;0,IF(OR($B$4&gt;0,$B$5&gt;0)," / ","")&amp;"경유 "&amp;TEXT(IF($O356="",1/0,$O356*$B$6),"#,##0")&amp;"원",""),""))</f>
        <v/>
      </c>
      <c r="Q356" s="17" t="str">
        <f aca="false">IF($B$10=0,"",IFERROR(IF($B$4&gt;0,IF($M356="",1/0,$M356*$B$4),0)+IF($B$5&gt;0,IF($N356="",1/0,$N356*$B$5),0)+IF($B$6&gt;0,IF($O356="",1/0,$O356*$B$6),0),""))</f>
        <v/>
      </c>
      <c r="R356" s="17" t="s">
        <v>47</v>
      </c>
      <c r="S356" s="18" t="str">
        <f aca="false">IF($Q356="","",IF($R356="Y",IFERROR(VLOOKUP($B356,$C$4:$D$13,2,FALSE()),0),0))</f>
        <v/>
      </c>
      <c r="T356" s="17" t="str">
        <f aca="false">IF($Q356="","",ROUNDDOWN($Q356*$S356,0))</f>
        <v/>
      </c>
      <c r="U356" s="17" t="str">
        <f aca="false">IF($Q356="","",$Q356-$T356)</f>
        <v/>
      </c>
      <c r="V356" s="17" t="str">
        <f aca="false">IF($U356="","",IF($B$10=0,"",$U356/$B$10))</f>
        <v/>
      </c>
      <c r="W356" s="17" t="str">
        <f aca="false">IF($Q356="","",IF($B$10=0,"",$Q356/$B$10))</f>
        <v/>
      </c>
      <c r="X356" s="19" t="n">
        <f aca="false">IF($U356="",1000000000000000,$U356)</f>
        <v>1000000000000000</v>
      </c>
      <c r="XFC356" s="6"/>
    </row>
    <row r="357" s="5" customFormat="true" ht="28.5" hidden="false" customHeight="true" outlineLevel="0" collapsed="false">
      <c r="A357" s="16" t="str">
        <f aca="false">IF($U357="","",1+COUNTIF($X$15:$X$728,"&lt;"&amp;X357))</f>
        <v/>
      </c>
      <c r="B357" s="16" t="s">
        <v>10</v>
      </c>
      <c r="C357" s="16" t="s">
        <v>1073</v>
      </c>
      <c r="D357" s="20" t="s">
        <v>108</v>
      </c>
      <c r="E357" s="16" t="s">
        <v>47</v>
      </c>
      <c r="F357" s="16" t="s">
        <v>1074</v>
      </c>
      <c r="G357" s="16" t="s">
        <v>1075</v>
      </c>
      <c r="H357" s="17" t="n">
        <v>1943</v>
      </c>
      <c r="I357" s="17"/>
      <c r="J357" s="17"/>
      <c r="K357" s="17" t="n">
        <v>1898</v>
      </c>
      <c r="L357" s="17" t="n">
        <f aca="false">IF(AND(IFERROR(SEARCH("현대오일뱅크",$C357),0)&gt;0,IFERROR(SEARCH("직영",$C357),0)&gt;0),$B$13,0)</f>
        <v>0</v>
      </c>
      <c r="M357" s="17" t="n">
        <f aca="false">IF($H357="","",$H357+$L357)</f>
        <v>1943</v>
      </c>
      <c r="N357" s="17" t="str">
        <f aca="false">IF($I357="","",$I357+$L357)</f>
        <v/>
      </c>
      <c r="O357" s="17" t="n">
        <f aca="false">IF($K357="","",$K357+$L357)</f>
        <v>1898</v>
      </c>
      <c r="P357" s="17" t="str">
        <f aca="false">IF($B$10=0,"",IFERROR(IF($B$4&gt;0,"휘발유 "&amp;TEXT(IF($M357="",1/0,$M357*$B$4),"#,##0")&amp;"원","")&amp;IF($B$5&gt;0,IF($B$4&gt;0," / ","")&amp;"고급유 "&amp;TEXT(IF($N357="",1/0,$N357*$B$5),"#,##0")&amp;"원","")&amp;IF($B$6&gt;0,IF(OR($B$4&gt;0,$B$5&gt;0)," / ","")&amp;"경유 "&amp;TEXT(IF($O357="",1/0,$O357*$B$6),"#,##0")&amp;"원",""),""))</f>
        <v/>
      </c>
      <c r="Q357" s="17" t="str">
        <f aca="false">IF($B$10=0,"",IFERROR(IF($B$4&gt;0,IF($M357="",1/0,$M357*$B$4),0)+IF($B$5&gt;0,IF($N357="",1/0,$N357*$B$5),0)+IF($B$6&gt;0,IF($O357="",1/0,$O357*$B$6),0),""))</f>
        <v/>
      </c>
      <c r="R357" s="17" t="s">
        <v>47</v>
      </c>
      <c r="S357" s="18" t="str">
        <f aca="false">IF($Q357="","",IF($R357="Y",IFERROR(VLOOKUP($B357,$C$4:$D$13,2,FALSE()),0),0))</f>
        <v/>
      </c>
      <c r="T357" s="17" t="str">
        <f aca="false">IF($Q357="","",ROUNDDOWN($Q357*$S357,0))</f>
        <v/>
      </c>
      <c r="U357" s="17" t="str">
        <f aca="false">IF($Q357="","",$Q357-$T357)</f>
        <v/>
      </c>
      <c r="V357" s="17" t="str">
        <f aca="false">IF($U357="","",IF($B$10=0,"",$U357/$B$10))</f>
        <v/>
      </c>
      <c r="W357" s="17" t="str">
        <f aca="false">IF($Q357="","",IF($B$10=0,"",$Q357/$B$10))</f>
        <v/>
      </c>
      <c r="X357" s="19" t="n">
        <f aca="false">IF($U357="",1000000000000000,$U357)</f>
        <v>1000000000000000</v>
      </c>
      <c r="XFC357" s="6"/>
    </row>
    <row r="358" s="5" customFormat="true" ht="28.5" hidden="false" customHeight="true" outlineLevel="0" collapsed="false">
      <c r="A358" s="16" t="str">
        <f aca="false">IF($U358="","",1+COUNTIF($X$15:$X$728,"&lt;"&amp;X358))</f>
        <v/>
      </c>
      <c r="B358" s="16" t="s">
        <v>6</v>
      </c>
      <c r="C358" s="16" t="s">
        <v>1076</v>
      </c>
      <c r="D358" s="20" t="s">
        <v>108</v>
      </c>
      <c r="E358" s="16" t="s">
        <v>47</v>
      </c>
      <c r="F358" s="16" t="s">
        <v>1077</v>
      </c>
      <c r="G358" s="16" t="s">
        <v>1078</v>
      </c>
      <c r="H358" s="17" t="n">
        <v>1944</v>
      </c>
      <c r="I358" s="17"/>
      <c r="J358" s="17"/>
      <c r="K358" s="17" t="n">
        <v>1994</v>
      </c>
      <c r="L358" s="17" t="n">
        <f aca="false">IF(AND(IFERROR(SEARCH("현대오일뱅크",$C358),0)&gt;0,IFERROR(SEARCH("직영",$C358),0)&gt;0),$B$13,0)</f>
        <v>0</v>
      </c>
      <c r="M358" s="17" t="n">
        <f aca="false">IF($H358="","",$H358+$L358)</f>
        <v>1944</v>
      </c>
      <c r="N358" s="17" t="str">
        <f aca="false">IF($I358="","",$I358+$L358)</f>
        <v/>
      </c>
      <c r="O358" s="17" t="n">
        <f aca="false">IF($K358="","",$K358+$L358)</f>
        <v>1994</v>
      </c>
      <c r="P358" s="17" t="str">
        <f aca="false">IF($B$10=0,"",IFERROR(IF($B$4&gt;0,"휘발유 "&amp;TEXT(IF($M358="",1/0,$M358*$B$4),"#,##0")&amp;"원","")&amp;IF($B$5&gt;0,IF($B$4&gt;0," / ","")&amp;"고급유 "&amp;TEXT(IF($N358="",1/0,$N358*$B$5),"#,##0")&amp;"원","")&amp;IF($B$6&gt;0,IF(OR($B$4&gt;0,$B$5&gt;0)," / ","")&amp;"경유 "&amp;TEXT(IF($O358="",1/0,$O358*$B$6),"#,##0")&amp;"원",""),""))</f>
        <v/>
      </c>
      <c r="Q358" s="17" t="str">
        <f aca="false">IF($B$10=0,"",IFERROR(IF($B$4&gt;0,IF($M358="",1/0,$M358*$B$4),0)+IF($B$5&gt;0,IF($N358="",1/0,$N358*$B$5),0)+IF($B$6&gt;0,IF($O358="",1/0,$O358*$B$6),0),""))</f>
        <v/>
      </c>
      <c r="R358" s="17" t="s">
        <v>47</v>
      </c>
      <c r="S358" s="18" t="str">
        <f aca="false">IF($Q358="","",IF($R358="Y",IFERROR(VLOOKUP($B358,$C$4:$D$13,2,FALSE()),0),0))</f>
        <v/>
      </c>
      <c r="T358" s="17" t="str">
        <f aca="false">IF($Q358="","",ROUNDDOWN($Q358*$S358,0))</f>
        <v/>
      </c>
      <c r="U358" s="17" t="str">
        <f aca="false">IF($Q358="","",$Q358-$T358)</f>
        <v/>
      </c>
      <c r="V358" s="17" t="str">
        <f aca="false">IF($U358="","",IF($B$10=0,"",$U358/$B$10))</f>
        <v/>
      </c>
      <c r="W358" s="17" t="str">
        <f aca="false">IF($Q358="","",IF($B$10=0,"",$Q358/$B$10))</f>
        <v/>
      </c>
      <c r="X358" s="19" t="n">
        <f aca="false">IF($U358="",1000000000000000,$U358)</f>
        <v>1000000000000000</v>
      </c>
      <c r="XFC358" s="6"/>
    </row>
    <row r="359" s="5" customFormat="true" ht="28.5" hidden="false" customHeight="true" outlineLevel="0" collapsed="false">
      <c r="A359" s="16" t="str">
        <f aca="false">IF($U359="","",1+COUNTIF($X$15:$X$728,"&lt;"&amp;X359))</f>
        <v/>
      </c>
      <c r="B359" s="16" t="s">
        <v>6</v>
      </c>
      <c r="C359" s="16" t="s">
        <v>632</v>
      </c>
      <c r="D359" s="16" t="s">
        <v>58</v>
      </c>
      <c r="E359" s="16" t="s">
        <v>47</v>
      </c>
      <c r="F359" s="16" t="s">
        <v>1079</v>
      </c>
      <c r="G359" s="16" t="s">
        <v>1080</v>
      </c>
      <c r="H359" s="17" t="n">
        <v>1944</v>
      </c>
      <c r="I359" s="17"/>
      <c r="J359" s="17"/>
      <c r="K359" s="17" t="n">
        <v>1945</v>
      </c>
      <c r="L359" s="17" t="n">
        <f aca="false">IF(AND(IFERROR(SEARCH("현대오일뱅크",$C359),0)&gt;0,IFERROR(SEARCH("직영",$C359),0)&gt;0),$B$13,0)</f>
        <v>0</v>
      </c>
      <c r="M359" s="17" t="n">
        <f aca="false">IF($H359="","",$H359+$L359)</f>
        <v>1944</v>
      </c>
      <c r="N359" s="17" t="str">
        <f aca="false">IF($I359="","",$I359+$L359)</f>
        <v/>
      </c>
      <c r="O359" s="17" t="n">
        <f aca="false">IF($K359="","",$K359+$L359)</f>
        <v>1945</v>
      </c>
      <c r="P359" s="17" t="str">
        <f aca="false">IF($B$10=0,"",IFERROR(IF($B$4&gt;0,"휘발유 "&amp;TEXT(IF($M359="",1/0,$M359*$B$4),"#,##0")&amp;"원","")&amp;IF($B$5&gt;0,IF($B$4&gt;0," / ","")&amp;"고급유 "&amp;TEXT(IF($N359="",1/0,$N359*$B$5),"#,##0")&amp;"원","")&amp;IF($B$6&gt;0,IF(OR($B$4&gt;0,$B$5&gt;0)," / ","")&amp;"경유 "&amp;TEXT(IF($O359="",1/0,$O359*$B$6),"#,##0")&amp;"원",""),""))</f>
        <v/>
      </c>
      <c r="Q359" s="17" t="str">
        <f aca="false">IF($B$10=0,"",IFERROR(IF($B$4&gt;0,IF($M359="",1/0,$M359*$B$4),0)+IF($B$5&gt;0,IF($N359="",1/0,$N359*$B$5),0)+IF($B$6&gt;0,IF($O359="",1/0,$O359*$B$6),0),""))</f>
        <v/>
      </c>
      <c r="R359" s="17" t="s">
        <v>47</v>
      </c>
      <c r="S359" s="18" t="str">
        <f aca="false">IF($Q359="","",IF($R359="Y",IFERROR(VLOOKUP($B359,$C$4:$D$13,2,FALSE()),0),0))</f>
        <v/>
      </c>
      <c r="T359" s="17" t="str">
        <f aca="false">IF($Q359="","",ROUNDDOWN($Q359*$S359,0))</f>
        <v/>
      </c>
      <c r="U359" s="17" t="str">
        <f aca="false">IF($Q359="","",$Q359-$T359)</f>
        <v/>
      </c>
      <c r="V359" s="17" t="str">
        <f aca="false">IF($U359="","",IF($B$10=0,"",$U359/$B$10))</f>
        <v/>
      </c>
      <c r="W359" s="17" t="str">
        <f aca="false">IF($Q359="","",IF($B$10=0,"",$Q359/$B$10))</f>
        <v/>
      </c>
      <c r="X359" s="19" t="n">
        <f aca="false">IF($U359="",1000000000000000,$U359)</f>
        <v>1000000000000000</v>
      </c>
      <c r="XFC359" s="6"/>
    </row>
    <row r="360" s="5" customFormat="true" ht="28.5" hidden="false" customHeight="true" outlineLevel="0" collapsed="false">
      <c r="A360" s="16" t="str">
        <f aca="false">IF($U360="","",1+COUNTIF($X$15:$X$728,"&lt;"&amp;X360))</f>
        <v/>
      </c>
      <c r="B360" s="16" t="s">
        <v>6</v>
      </c>
      <c r="C360" s="16" t="s">
        <v>1081</v>
      </c>
      <c r="D360" s="16" t="s">
        <v>58</v>
      </c>
      <c r="E360" s="16" t="s">
        <v>47</v>
      </c>
      <c r="F360" s="16" t="s">
        <v>1082</v>
      </c>
      <c r="G360" s="16" t="s">
        <v>1083</v>
      </c>
      <c r="H360" s="17" t="n">
        <v>1944</v>
      </c>
      <c r="I360" s="17"/>
      <c r="J360" s="17"/>
      <c r="K360" s="17" t="n">
        <v>1945</v>
      </c>
      <c r="L360" s="17" t="n">
        <f aca="false">IF(AND(IFERROR(SEARCH("현대오일뱅크",$C360),0)&gt;0,IFERROR(SEARCH("직영",$C360),0)&gt;0),$B$13,0)</f>
        <v>0</v>
      </c>
      <c r="M360" s="17" t="n">
        <f aca="false">IF($H360="","",$H360+$L360)</f>
        <v>1944</v>
      </c>
      <c r="N360" s="17" t="str">
        <f aca="false">IF($I360="","",$I360+$L360)</f>
        <v/>
      </c>
      <c r="O360" s="17" t="n">
        <f aca="false">IF($K360="","",$K360+$L360)</f>
        <v>1945</v>
      </c>
      <c r="P360" s="17" t="str">
        <f aca="false">IF($B$10=0,"",IFERROR(IF($B$4&gt;0,"휘발유 "&amp;TEXT(IF($M360="",1/0,$M360*$B$4),"#,##0")&amp;"원","")&amp;IF($B$5&gt;0,IF($B$4&gt;0," / ","")&amp;"고급유 "&amp;TEXT(IF($N360="",1/0,$N360*$B$5),"#,##0")&amp;"원","")&amp;IF($B$6&gt;0,IF(OR($B$4&gt;0,$B$5&gt;0)," / ","")&amp;"경유 "&amp;TEXT(IF($O360="",1/0,$O360*$B$6),"#,##0")&amp;"원",""),""))</f>
        <v/>
      </c>
      <c r="Q360" s="17" t="str">
        <f aca="false">IF($B$10=0,"",IFERROR(IF($B$4&gt;0,IF($M360="",1/0,$M360*$B$4),0)+IF($B$5&gt;0,IF($N360="",1/0,$N360*$B$5),0)+IF($B$6&gt;0,IF($O360="",1/0,$O360*$B$6),0),""))</f>
        <v/>
      </c>
      <c r="R360" s="17" t="s">
        <v>47</v>
      </c>
      <c r="S360" s="18" t="str">
        <f aca="false">IF($Q360="","",IF($R360="Y",IFERROR(VLOOKUP($B360,$C$4:$D$13,2,FALSE()),0),0))</f>
        <v/>
      </c>
      <c r="T360" s="17" t="str">
        <f aca="false">IF($Q360="","",ROUNDDOWN($Q360*$S360,0))</f>
        <v/>
      </c>
      <c r="U360" s="17" t="str">
        <f aca="false">IF($Q360="","",$Q360-$T360)</f>
        <v/>
      </c>
      <c r="V360" s="17" t="str">
        <f aca="false">IF($U360="","",IF($B$10=0,"",$U360/$B$10))</f>
        <v/>
      </c>
      <c r="W360" s="17" t="str">
        <f aca="false">IF($Q360="","",IF($B$10=0,"",$Q360/$B$10))</f>
        <v/>
      </c>
      <c r="X360" s="19" t="n">
        <f aca="false">IF($U360="",1000000000000000,$U360)</f>
        <v>1000000000000000</v>
      </c>
      <c r="XFC360" s="6"/>
    </row>
    <row r="361" s="5" customFormat="true" ht="28.5" hidden="false" customHeight="true" outlineLevel="0" collapsed="false">
      <c r="A361" s="16" t="str">
        <f aca="false">IF($U361="","",1+COUNTIF($X$15:$X$728,"&lt;"&amp;X361))</f>
        <v/>
      </c>
      <c r="B361" s="16" t="s">
        <v>6</v>
      </c>
      <c r="C361" s="16" t="s">
        <v>1084</v>
      </c>
      <c r="D361" s="16" t="s">
        <v>708</v>
      </c>
      <c r="E361" s="16" t="s">
        <v>59</v>
      </c>
      <c r="F361" s="16" t="s">
        <v>1085</v>
      </c>
      <c r="G361" s="16" t="s">
        <v>1086</v>
      </c>
      <c r="H361" s="17" t="n">
        <v>1944</v>
      </c>
      <c r="I361" s="17"/>
      <c r="J361" s="17"/>
      <c r="K361" s="17" t="n">
        <v>1944</v>
      </c>
      <c r="L361" s="17" t="n">
        <f aca="false">IF(AND(IFERROR(SEARCH("현대오일뱅크",$C361),0)&gt;0,IFERROR(SEARCH("직영",$C361),0)&gt;0),$B$13,0)</f>
        <v>0</v>
      </c>
      <c r="M361" s="17" t="n">
        <f aca="false">IF($H361="","",$H361+$L361)</f>
        <v>1944</v>
      </c>
      <c r="N361" s="17" t="str">
        <f aca="false">IF($I361="","",$I361+$L361)</f>
        <v/>
      </c>
      <c r="O361" s="17" t="n">
        <f aca="false">IF($K361="","",$K361+$L361)</f>
        <v>1944</v>
      </c>
      <c r="P361" s="17" t="str">
        <f aca="false">IF($B$10=0,"",IFERROR(IF($B$4&gt;0,"휘발유 "&amp;TEXT(IF($M361="",1/0,$M361*$B$4),"#,##0")&amp;"원","")&amp;IF($B$5&gt;0,IF($B$4&gt;0," / ","")&amp;"고급유 "&amp;TEXT(IF($N361="",1/0,$N361*$B$5),"#,##0")&amp;"원","")&amp;IF($B$6&gt;0,IF(OR($B$4&gt;0,$B$5&gt;0)," / ","")&amp;"경유 "&amp;TEXT(IF($O361="",1/0,$O361*$B$6),"#,##0")&amp;"원",""),""))</f>
        <v/>
      </c>
      <c r="Q361" s="17" t="str">
        <f aca="false">IF($B$10=0,"",IFERROR(IF($B$4&gt;0,IF($M361="",1/0,$M361*$B$4),0)+IF($B$5&gt;0,IF($N361="",1/0,$N361*$B$5),0)+IF($B$6&gt;0,IF($O361="",1/0,$O361*$B$6),0),""))</f>
        <v/>
      </c>
      <c r="R361" s="17" t="s">
        <v>47</v>
      </c>
      <c r="S361" s="18" t="str">
        <f aca="false">IF($Q361="","",IF($R361="Y",IFERROR(VLOOKUP($B361,$C$4:$D$13,2,FALSE()),0),0))</f>
        <v/>
      </c>
      <c r="T361" s="17" t="str">
        <f aca="false">IF($Q361="","",ROUNDDOWN($Q361*$S361,0))</f>
        <v/>
      </c>
      <c r="U361" s="17" t="str">
        <f aca="false">IF($Q361="","",$Q361-$T361)</f>
        <v/>
      </c>
      <c r="V361" s="17" t="str">
        <f aca="false">IF($U361="","",IF($B$10=0,"",$U361/$B$10))</f>
        <v/>
      </c>
      <c r="W361" s="17" t="str">
        <f aca="false">IF($Q361="","",IF($B$10=0,"",$Q361/$B$10))</f>
        <v/>
      </c>
      <c r="X361" s="19" t="n">
        <f aca="false">IF($U361="",1000000000000000,$U361)</f>
        <v>1000000000000000</v>
      </c>
      <c r="XFC361" s="6"/>
    </row>
    <row r="362" s="5" customFormat="true" ht="28.5" hidden="false" customHeight="true" outlineLevel="0" collapsed="false">
      <c r="A362" s="16" t="str">
        <f aca="false">IF($U362="","",1+COUNTIF($X$15:$X$728,"&lt;"&amp;X362))</f>
        <v/>
      </c>
      <c r="B362" s="16" t="s">
        <v>6</v>
      </c>
      <c r="C362" s="16" t="s">
        <v>1087</v>
      </c>
      <c r="D362" s="16" t="s">
        <v>58</v>
      </c>
      <c r="E362" s="16" t="s">
        <v>47</v>
      </c>
      <c r="F362" s="16" t="s">
        <v>1088</v>
      </c>
      <c r="G362" s="16" t="s">
        <v>1089</v>
      </c>
      <c r="H362" s="17" t="n">
        <v>1944</v>
      </c>
      <c r="I362" s="17"/>
      <c r="J362" s="17"/>
      <c r="K362" s="17" t="n">
        <v>1994</v>
      </c>
      <c r="L362" s="17" t="n">
        <f aca="false">IF(AND(IFERROR(SEARCH("현대오일뱅크",$C362),0)&gt;0,IFERROR(SEARCH("직영",$C362),0)&gt;0),$B$13,0)</f>
        <v>0</v>
      </c>
      <c r="M362" s="17" t="n">
        <f aca="false">IF($H362="","",$H362+$L362)</f>
        <v>1944</v>
      </c>
      <c r="N362" s="17" t="str">
        <f aca="false">IF($I362="","",$I362+$L362)</f>
        <v/>
      </c>
      <c r="O362" s="17" t="n">
        <f aca="false">IF($K362="","",$K362+$L362)</f>
        <v>1994</v>
      </c>
      <c r="P362" s="17" t="str">
        <f aca="false">IF($B$10=0,"",IFERROR(IF($B$4&gt;0,"휘발유 "&amp;TEXT(IF($M362="",1/0,$M362*$B$4),"#,##0")&amp;"원","")&amp;IF($B$5&gt;0,IF($B$4&gt;0," / ","")&amp;"고급유 "&amp;TEXT(IF($N362="",1/0,$N362*$B$5),"#,##0")&amp;"원","")&amp;IF($B$6&gt;0,IF(OR($B$4&gt;0,$B$5&gt;0)," / ","")&amp;"경유 "&amp;TEXT(IF($O362="",1/0,$O362*$B$6),"#,##0")&amp;"원",""),""))</f>
        <v/>
      </c>
      <c r="Q362" s="17" t="str">
        <f aca="false">IF($B$10=0,"",IFERROR(IF($B$4&gt;0,IF($M362="",1/0,$M362*$B$4),0)+IF($B$5&gt;0,IF($N362="",1/0,$N362*$B$5),0)+IF($B$6&gt;0,IF($O362="",1/0,$O362*$B$6),0),""))</f>
        <v/>
      </c>
      <c r="R362" s="17" t="s">
        <v>47</v>
      </c>
      <c r="S362" s="18" t="str">
        <f aca="false">IF($Q362="","",IF($R362="Y",IFERROR(VLOOKUP($B362,$C$4:$D$13,2,FALSE()),0),0))</f>
        <v/>
      </c>
      <c r="T362" s="17" t="str">
        <f aca="false">IF($Q362="","",ROUNDDOWN($Q362*$S362,0))</f>
        <v/>
      </c>
      <c r="U362" s="17" t="str">
        <f aca="false">IF($Q362="","",$Q362-$T362)</f>
        <v/>
      </c>
      <c r="V362" s="17" t="str">
        <f aca="false">IF($U362="","",IF($B$10=0,"",$U362/$B$10))</f>
        <v/>
      </c>
      <c r="W362" s="17" t="str">
        <f aca="false">IF($Q362="","",IF($B$10=0,"",$Q362/$B$10))</f>
        <v/>
      </c>
      <c r="X362" s="19" t="n">
        <f aca="false">IF($U362="",1000000000000000,$U362)</f>
        <v>1000000000000000</v>
      </c>
      <c r="XFC362" s="6"/>
    </row>
    <row r="363" s="5" customFormat="true" ht="28.5" hidden="false" customHeight="true" outlineLevel="0" collapsed="false">
      <c r="A363" s="16" t="str">
        <f aca="false">IF($U363="","",1+COUNTIF($X$15:$X$728,"&lt;"&amp;X363))</f>
        <v/>
      </c>
      <c r="B363" s="16" t="s">
        <v>6</v>
      </c>
      <c r="C363" s="16" t="s">
        <v>1090</v>
      </c>
      <c r="D363" s="16" t="s">
        <v>58</v>
      </c>
      <c r="E363" s="16" t="s">
        <v>47</v>
      </c>
      <c r="F363" s="16" t="s">
        <v>1091</v>
      </c>
      <c r="G363" s="16" t="s">
        <v>1092</v>
      </c>
      <c r="H363" s="17" t="n">
        <v>1945</v>
      </c>
      <c r="I363" s="17"/>
      <c r="J363" s="17"/>
      <c r="K363" s="17" t="n">
        <v>1975</v>
      </c>
      <c r="L363" s="17" t="n">
        <f aca="false">IF(AND(IFERROR(SEARCH("현대오일뱅크",$C363),0)&gt;0,IFERROR(SEARCH("직영",$C363),0)&gt;0),$B$13,0)</f>
        <v>0</v>
      </c>
      <c r="M363" s="17" t="n">
        <f aca="false">IF($H363="","",$H363+$L363)</f>
        <v>1945</v>
      </c>
      <c r="N363" s="17" t="str">
        <f aca="false">IF($I363="","",$I363+$L363)</f>
        <v/>
      </c>
      <c r="O363" s="17" t="n">
        <f aca="false">IF($K363="","",$K363+$L363)</f>
        <v>1975</v>
      </c>
      <c r="P363" s="17" t="str">
        <f aca="false">IF($B$10=0,"",IFERROR(IF($B$4&gt;0,"휘발유 "&amp;TEXT(IF($M363="",1/0,$M363*$B$4),"#,##0")&amp;"원","")&amp;IF($B$5&gt;0,IF($B$4&gt;0," / ","")&amp;"고급유 "&amp;TEXT(IF($N363="",1/0,$N363*$B$5),"#,##0")&amp;"원","")&amp;IF($B$6&gt;0,IF(OR($B$4&gt;0,$B$5&gt;0)," / ","")&amp;"경유 "&amp;TEXT(IF($O363="",1/0,$O363*$B$6),"#,##0")&amp;"원",""),""))</f>
        <v/>
      </c>
      <c r="Q363" s="17" t="str">
        <f aca="false">IF($B$10=0,"",IFERROR(IF($B$4&gt;0,IF($M363="",1/0,$M363*$B$4),0)+IF($B$5&gt;0,IF($N363="",1/0,$N363*$B$5),0)+IF($B$6&gt;0,IF($O363="",1/0,$O363*$B$6),0),""))</f>
        <v/>
      </c>
      <c r="R363" s="17" t="s">
        <v>47</v>
      </c>
      <c r="S363" s="18" t="str">
        <f aca="false">IF($Q363="","",IF($R363="Y",IFERROR(VLOOKUP($B363,$C$4:$D$13,2,FALSE()),0),0))</f>
        <v/>
      </c>
      <c r="T363" s="17" t="str">
        <f aca="false">IF($Q363="","",ROUNDDOWN($Q363*$S363,0))</f>
        <v/>
      </c>
      <c r="U363" s="17" t="str">
        <f aca="false">IF($Q363="","",$Q363-$T363)</f>
        <v/>
      </c>
      <c r="V363" s="17" t="str">
        <f aca="false">IF($U363="","",IF($B$10=0,"",$U363/$B$10))</f>
        <v/>
      </c>
      <c r="W363" s="17" t="str">
        <f aca="false">IF($Q363="","",IF($B$10=0,"",$Q363/$B$10))</f>
        <v/>
      </c>
      <c r="X363" s="19" t="n">
        <f aca="false">IF($U363="",1000000000000000,$U363)</f>
        <v>1000000000000000</v>
      </c>
      <c r="XFC363" s="6"/>
    </row>
    <row r="364" s="5" customFormat="true" ht="28.5" hidden="false" customHeight="true" outlineLevel="0" collapsed="false">
      <c r="A364" s="16" t="str">
        <f aca="false">IF($U364="","",1+COUNTIF($X$15:$X$728,"&lt;"&amp;X364))</f>
        <v/>
      </c>
      <c r="B364" s="16" t="s">
        <v>6</v>
      </c>
      <c r="C364" s="16" t="s">
        <v>1093</v>
      </c>
      <c r="D364" s="16" t="s">
        <v>58</v>
      </c>
      <c r="E364" s="16" t="s">
        <v>47</v>
      </c>
      <c r="F364" s="16" t="s">
        <v>1094</v>
      </c>
      <c r="G364" s="16" t="s">
        <v>1095</v>
      </c>
      <c r="H364" s="17" t="n">
        <v>1945</v>
      </c>
      <c r="I364" s="17"/>
      <c r="J364" s="17"/>
      <c r="K364" s="17" t="n">
        <v>1995</v>
      </c>
      <c r="L364" s="17" t="n">
        <f aca="false">IF(AND(IFERROR(SEARCH("현대오일뱅크",$C364),0)&gt;0,IFERROR(SEARCH("직영",$C364),0)&gt;0),$B$13,0)</f>
        <v>0</v>
      </c>
      <c r="M364" s="17" t="n">
        <f aca="false">IF($H364="","",$H364+$L364)</f>
        <v>1945</v>
      </c>
      <c r="N364" s="17" t="str">
        <f aca="false">IF($I364="","",$I364+$L364)</f>
        <v/>
      </c>
      <c r="O364" s="17" t="n">
        <f aca="false">IF($K364="","",$K364+$L364)</f>
        <v>1995</v>
      </c>
      <c r="P364" s="17" t="str">
        <f aca="false">IF($B$10=0,"",IFERROR(IF($B$4&gt;0,"휘발유 "&amp;TEXT(IF($M364="",1/0,$M364*$B$4),"#,##0")&amp;"원","")&amp;IF($B$5&gt;0,IF($B$4&gt;0," / ","")&amp;"고급유 "&amp;TEXT(IF($N364="",1/0,$N364*$B$5),"#,##0")&amp;"원","")&amp;IF($B$6&gt;0,IF(OR($B$4&gt;0,$B$5&gt;0)," / ","")&amp;"경유 "&amp;TEXT(IF($O364="",1/0,$O364*$B$6),"#,##0")&amp;"원",""),""))</f>
        <v/>
      </c>
      <c r="Q364" s="17" t="str">
        <f aca="false">IF($B$10=0,"",IFERROR(IF($B$4&gt;0,IF($M364="",1/0,$M364*$B$4),0)+IF($B$5&gt;0,IF($N364="",1/0,$N364*$B$5),0)+IF($B$6&gt;0,IF($O364="",1/0,$O364*$B$6),0),""))</f>
        <v/>
      </c>
      <c r="R364" s="17" t="s">
        <v>47</v>
      </c>
      <c r="S364" s="18" t="str">
        <f aca="false">IF($Q364="","",IF($R364="Y",IFERROR(VLOOKUP($B364,$C$4:$D$13,2,FALSE()),0),0))</f>
        <v/>
      </c>
      <c r="T364" s="17" t="str">
        <f aca="false">IF($Q364="","",ROUNDDOWN($Q364*$S364,0))</f>
        <v/>
      </c>
      <c r="U364" s="17" t="str">
        <f aca="false">IF($Q364="","",$Q364-$T364)</f>
        <v/>
      </c>
      <c r="V364" s="17" t="str">
        <f aca="false">IF($U364="","",IF($B$10=0,"",$U364/$B$10))</f>
        <v/>
      </c>
      <c r="W364" s="17" t="str">
        <f aca="false">IF($Q364="","",IF($B$10=0,"",$Q364/$B$10))</f>
        <v/>
      </c>
      <c r="X364" s="19" t="n">
        <f aca="false">IF($U364="",1000000000000000,$U364)</f>
        <v>1000000000000000</v>
      </c>
      <c r="XFC364" s="6"/>
    </row>
    <row r="365" s="5" customFormat="true" ht="28.5" hidden="false" customHeight="true" outlineLevel="0" collapsed="false">
      <c r="A365" s="16" t="str">
        <f aca="false">IF($U365="","",1+COUNTIF($X$15:$X$728,"&lt;"&amp;X365))</f>
        <v/>
      </c>
      <c r="B365" s="16" t="s">
        <v>6</v>
      </c>
      <c r="C365" s="16" t="s">
        <v>1096</v>
      </c>
      <c r="D365" s="16" t="s">
        <v>51</v>
      </c>
      <c r="E365" s="16" t="s">
        <v>47</v>
      </c>
      <c r="F365" s="16" t="s">
        <v>1097</v>
      </c>
      <c r="G365" s="16" t="s">
        <v>1098</v>
      </c>
      <c r="H365" s="17" t="n">
        <v>1945</v>
      </c>
      <c r="I365" s="17"/>
      <c r="J365" s="17"/>
      <c r="K365" s="17" t="n">
        <v>1945</v>
      </c>
      <c r="L365" s="17" t="n">
        <f aca="false">IF(AND(IFERROR(SEARCH("현대오일뱅크",$C365),0)&gt;0,IFERROR(SEARCH("직영",$C365),0)&gt;0),$B$13,0)</f>
        <v>0</v>
      </c>
      <c r="M365" s="17" t="n">
        <f aca="false">IF($H365="","",$H365+$L365)</f>
        <v>1945</v>
      </c>
      <c r="N365" s="17" t="str">
        <f aca="false">IF($I365="","",$I365+$L365)</f>
        <v/>
      </c>
      <c r="O365" s="17" t="n">
        <f aca="false">IF($K365="","",$K365+$L365)</f>
        <v>1945</v>
      </c>
      <c r="P365" s="17" t="str">
        <f aca="false">IF($B$10=0,"",IFERROR(IF($B$4&gt;0,"휘발유 "&amp;TEXT(IF($M365="",1/0,$M365*$B$4),"#,##0")&amp;"원","")&amp;IF($B$5&gt;0,IF($B$4&gt;0," / ","")&amp;"고급유 "&amp;TEXT(IF($N365="",1/0,$N365*$B$5),"#,##0")&amp;"원","")&amp;IF($B$6&gt;0,IF(OR($B$4&gt;0,$B$5&gt;0)," / ","")&amp;"경유 "&amp;TEXT(IF($O365="",1/0,$O365*$B$6),"#,##0")&amp;"원",""),""))</f>
        <v/>
      </c>
      <c r="Q365" s="17" t="str">
        <f aca="false">IF($B$10=0,"",IFERROR(IF($B$4&gt;0,IF($M365="",1/0,$M365*$B$4),0)+IF($B$5&gt;0,IF($N365="",1/0,$N365*$B$5),0)+IF($B$6&gt;0,IF($O365="",1/0,$O365*$B$6),0),""))</f>
        <v/>
      </c>
      <c r="R365" s="17" t="s">
        <v>47</v>
      </c>
      <c r="S365" s="18" t="str">
        <f aca="false">IF($Q365="","",IF($R365="Y",IFERROR(VLOOKUP($B365,$C$4:$D$13,2,FALSE()),0),0))</f>
        <v/>
      </c>
      <c r="T365" s="17" t="str">
        <f aca="false">IF($Q365="","",ROUNDDOWN($Q365*$S365,0))</f>
        <v/>
      </c>
      <c r="U365" s="17" t="str">
        <f aca="false">IF($Q365="","",$Q365-$T365)</f>
        <v/>
      </c>
      <c r="V365" s="17" t="str">
        <f aca="false">IF($U365="","",IF($B$10=0,"",$U365/$B$10))</f>
        <v/>
      </c>
      <c r="W365" s="17" t="str">
        <f aca="false">IF($Q365="","",IF($B$10=0,"",$Q365/$B$10))</f>
        <v/>
      </c>
      <c r="X365" s="19" t="n">
        <f aca="false">IF($U365="",1000000000000000,$U365)</f>
        <v>1000000000000000</v>
      </c>
      <c r="XFC365" s="6"/>
    </row>
    <row r="366" s="5" customFormat="true" ht="28.5" hidden="false" customHeight="true" outlineLevel="0" collapsed="false">
      <c r="A366" s="16" t="str">
        <f aca="false">IF($U366="","",1+COUNTIF($X$15:$X$728,"&lt;"&amp;X366))</f>
        <v/>
      </c>
      <c r="B366" s="16" t="s">
        <v>6</v>
      </c>
      <c r="C366" s="16" t="s">
        <v>1099</v>
      </c>
      <c r="D366" s="16" t="s">
        <v>112</v>
      </c>
      <c r="E366" s="16" t="s">
        <v>47</v>
      </c>
      <c r="F366" s="16" t="s">
        <v>1100</v>
      </c>
      <c r="G366" s="16" t="s">
        <v>1101</v>
      </c>
      <c r="H366" s="17" t="n">
        <v>1945</v>
      </c>
      <c r="I366" s="17"/>
      <c r="J366" s="17"/>
      <c r="K366" s="17" t="n">
        <v>1995</v>
      </c>
      <c r="L366" s="17" t="n">
        <f aca="false">IF(AND(IFERROR(SEARCH("현대오일뱅크",$C366),0)&gt;0,IFERROR(SEARCH("직영",$C366),0)&gt;0),$B$13,0)</f>
        <v>0</v>
      </c>
      <c r="M366" s="17" t="n">
        <f aca="false">IF($H366="","",$H366+$L366)</f>
        <v>1945</v>
      </c>
      <c r="N366" s="17" t="str">
        <f aca="false">IF($I366="","",$I366+$L366)</f>
        <v/>
      </c>
      <c r="O366" s="17" t="n">
        <f aca="false">IF($K366="","",$K366+$L366)</f>
        <v>1995</v>
      </c>
      <c r="P366" s="17" t="str">
        <f aca="false">IF($B$10=0,"",IFERROR(IF($B$4&gt;0,"휘발유 "&amp;TEXT(IF($M366="",1/0,$M366*$B$4),"#,##0")&amp;"원","")&amp;IF($B$5&gt;0,IF($B$4&gt;0," / ","")&amp;"고급유 "&amp;TEXT(IF($N366="",1/0,$N366*$B$5),"#,##0")&amp;"원","")&amp;IF($B$6&gt;0,IF(OR($B$4&gt;0,$B$5&gt;0)," / ","")&amp;"경유 "&amp;TEXT(IF($O366="",1/0,$O366*$B$6),"#,##0")&amp;"원",""),""))</f>
        <v/>
      </c>
      <c r="Q366" s="17" t="str">
        <f aca="false">IF($B$10=0,"",IFERROR(IF($B$4&gt;0,IF($M366="",1/0,$M366*$B$4),0)+IF($B$5&gt;0,IF($N366="",1/0,$N366*$B$5),0)+IF($B$6&gt;0,IF($O366="",1/0,$O366*$B$6),0),""))</f>
        <v/>
      </c>
      <c r="R366" s="17" t="s">
        <v>47</v>
      </c>
      <c r="S366" s="18" t="str">
        <f aca="false">IF($Q366="","",IF($R366="Y",IFERROR(VLOOKUP($B366,$C$4:$D$13,2,FALSE()),0),0))</f>
        <v/>
      </c>
      <c r="T366" s="17" t="str">
        <f aca="false">IF($Q366="","",ROUNDDOWN($Q366*$S366,0))</f>
        <v/>
      </c>
      <c r="U366" s="17" t="str">
        <f aca="false">IF($Q366="","",$Q366-$T366)</f>
        <v/>
      </c>
      <c r="V366" s="17" t="str">
        <f aca="false">IF($U366="","",IF($B$10=0,"",$U366/$B$10))</f>
        <v/>
      </c>
      <c r="W366" s="17" t="str">
        <f aca="false">IF($Q366="","",IF($B$10=0,"",$Q366/$B$10))</f>
        <v/>
      </c>
      <c r="X366" s="19" t="n">
        <f aca="false">IF($U366="",1000000000000000,$U366)</f>
        <v>1000000000000000</v>
      </c>
      <c r="XFC366" s="6"/>
    </row>
    <row r="367" s="5" customFormat="true" ht="28.5" hidden="false" customHeight="true" outlineLevel="0" collapsed="false">
      <c r="A367" s="16" t="str">
        <f aca="false">IF($U367="","",1+COUNTIF($X$15:$X$728,"&lt;"&amp;X367))</f>
        <v/>
      </c>
      <c r="B367" s="16" t="s">
        <v>6</v>
      </c>
      <c r="C367" s="16" t="s">
        <v>1102</v>
      </c>
      <c r="D367" s="20" t="s">
        <v>108</v>
      </c>
      <c r="E367" s="16" t="s">
        <v>47</v>
      </c>
      <c r="F367" s="16" t="s">
        <v>1103</v>
      </c>
      <c r="G367" s="16" t="s">
        <v>1104</v>
      </c>
      <c r="H367" s="17" t="n">
        <v>1945</v>
      </c>
      <c r="I367" s="17"/>
      <c r="J367" s="17"/>
      <c r="K367" s="17" t="n">
        <v>1945</v>
      </c>
      <c r="L367" s="17" t="n">
        <f aca="false">IF(AND(IFERROR(SEARCH("현대오일뱅크",$C367),0)&gt;0,IFERROR(SEARCH("직영",$C367),0)&gt;0),$B$13,0)</f>
        <v>0</v>
      </c>
      <c r="M367" s="17" t="n">
        <f aca="false">IF($H367="","",$H367+$L367)</f>
        <v>1945</v>
      </c>
      <c r="N367" s="17" t="str">
        <f aca="false">IF($I367="","",$I367+$L367)</f>
        <v/>
      </c>
      <c r="O367" s="17" t="n">
        <f aca="false">IF($K367="","",$K367+$L367)</f>
        <v>1945</v>
      </c>
      <c r="P367" s="17" t="str">
        <f aca="false">IF($B$10=0,"",IFERROR(IF($B$4&gt;0,"휘발유 "&amp;TEXT(IF($M367="",1/0,$M367*$B$4),"#,##0")&amp;"원","")&amp;IF($B$5&gt;0,IF($B$4&gt;0," / ","")&amp;"고급유 "&amp;TEXT(IF($N367="",1/0,$N367*$B$5),"#,##0")&amp;"원","")&amp;IF($B$6&gt;0,IF(OR($B$4&gt;0,$B$5&gt;0)," / ","")&amp;"경유 "&amp;TEXT(IF($O367="",1/0,$O367*$B$6),"#,##0")&amp;"원",""),""))</f>
        <v/>
      </c>
      <c r="Q367" s="17" t="str">
        <f aca="false">IF($B$10=0,"",IFERROR(IF($B$4&gt;0,IF($M367="",1/0,$M367*$B$4),0)+IF($B$5&gt;0,IF($N367="",1/0,$N367*$B$5),0)+IF($B$6&gt;0,IF($O367="",1/0,$O367*$B$6),0),""))</f>
        <v/>
      </c>
      <c r="R367" s="17" t="s">
        <v>47</v>
      </c>
      <c r="S367" s="18" t="str">
        <f aca="false">IF($Q367="","",IF($R367="Y",IFERROR(VLOOKUP($B367,$C$4:$D$13,2,FALSE()),0),0))</f>
        <v/>
      </c>
      <c r="T367" s="17" t="str">
        <f aca="false">IF($Q367="","",ROUNDDOWN($Q367*$S367,0))</f>
        <v/>
      </c>
      <c r="U367" s="17" t="str">
        <f aca="false">IF($Q367="","",$Q367-$T367)</f>
        <v/>
      </c>
      <c r="V367" s="17" t="str">
        <f aca="false">IF($U367="","",IF($B$10=0,"",$U367/$B$10))</f>
        <v/>
      </c>
      <c r="W367" s="17" t="str">
        <f aca="false">IF($Q367="","",IF($B$10=0,"",$Q367/$B$10))</f>
        <v/>
      </c>
      <c r="X367" s="19" t="n">
        <f aca="false">IF($U367="",1000000000000000,$U367)</f>
        <v>1000000000000000</v>
      </c>
      <c r="XFC367" s="6"/>
    </row>
    <row r="368" s="5" customFormat="true" ht="28.5" hidden="false" customHeight="true" outlineLevel="0" collapsed="false">
      <c r="A368" s="16" t="str">
        <f aca="false">IF($U368="","",1+COUNTIF($X$15:$X$728,"&lt;"&amp;X368))</f>
        <v/>
      </c>
      <c r="B368" s="16" t="s">
        <v>6</v>
      </c>
      <c r="C368" s="16" t="s">
        <v>1105</v>
      </c>
      <c r="D368" s="16" t="s">
        <v>112</v>
      </c>
      <c r="E368" s="16" t="s">
        <v>47</v>
      </c>
      <c r="F368" s="16" t="s">
        <v>1106</v>
      </c>
      <c r="G368" s="16" t="s">
        <v>1107</v>
      </c>
      <c r="H368" s="17" t="n">
        <v>1945</v>
      </c>
      <c r="I368" s="17"/>
      <c r="J368" s="17"/>
      <c r="K368" s="17" t="n">
        <v>1995</v>
      </c>
      <c r="L368" s="17" t="n">
        <f aca="false">IF(AND(IFERROR(SEARCH("현대오일뱅크",$C368),0)&gt;0,IFERROR(SEARCH("직영",$C368),0)&gt;0),$B$13,0)</f>
        <v>0</v>
      </c>
      <c r="M368" s="17" t="n">
        <f aca="false">IF($H368="","",$H368+$L368)</f>
        <v>1945</v>
      </c>
      <c r="N368" s="17" t="str">
        <f aca="false">IF($I368="","",$I368+$L368)</f>
        <v/>
      </c>
      <c r="O368" s="17" t="n">
        <f aca="false">IF($K368="","",$K368+$L368)</f>
        <v>1995</v>
      </c>
      <c r="P368" s="17" t="str">
        <f aca="false">IF($B$10=0,"",IFERROR(IF($B$4&gt;0,"휘발유 "&amp;TEXT(IF($M368="",1/0,$M368*$B$4),"#,##0")&amp;"원","")&amp;IF($B$5&gt;0,IF($B$4&gt;0," / ","")&amp;"고급유 "&amp;TEXT(IF($N368="",1/0,$N368*$B$5),"#,##0")&amp;"원","")&amp;IF($B$6&gt;0,IF(OR($B$4&gt;0,$B$5&gt;0)," / ","")&amp;"경유 "&amp;TEXT(IF($O368="",1/0,$O368*$B$6),"#,##0")&amp;"원",""),""))</f>
        <v/>
      </c>
      <c r="Q368" s="17" t="str">
        <f aca="false">IF($B$10=0,"",IFERROR(IF($B$4&gt;0,IF($M368="",1/0,$M368*$B$4),0)+IF($B$5&gt;0,IF($N368="",1/0,$N368*$B$5),0)+IF($B$6&gt;0,IF($O368="",1/0,$O368*$B$6),0),""))</f>
        <v/>
      </c>
      <c r="R368" s="17" t="s">
        <v>47</v>
      </c>
      <c r="S368" s="18" t="str">
        <f aca="false">IF($Q368="","",IF($R368="Y",IFERROR(VLOOKUP($B368,$C$4:$D$13,2,FALSE()),0),0))</f>
        <v/>
      </c>
      <c r="T368" s="17" t="str">
        <f aca="false">IF($Q368="","",ROUNDDOWN($Q368*$S368,0))</f>
        <v/>
      </c>
      <c r="U368" s="17" t="str">
        <f aca="false">IF($Q368="","",$Q368-$T368)</f>
        <v/>
      </c>
      <c r="V368" s="17" t="str">
        <f aca="false">IF($U368="","",IF($B$10=0,"",$U368/$B$10))</f>
        <v/>
      </c>
      <c r="W368" s="17" t="str">
        <f aca="false">IF($Q368="","",IF($B$10=0,"",$Q368/$B$10))</f>
        <v/>
      </c>
      <c r="X368" s="19" t="n">
        <f aca="false">IF($U368="",1000000000000000,$U368)</f>
        <v>1000000000000000</v>
      </c>
      <c r="XFC368" s="6"/>
    </row>
    <row r="369" s="5" customFormat="true" ht="28.5" hidden="false" customHeight="true" outlineLevel="0" collapsed="false">
      <c r="A369" s="16" t="str">
        <f aca="false">IF($U369="","",1+COUNTIF($X$15:$X$728,"&lt;"&amp;X369))</f>
        <v/>
      </c>
      <c r="B369" s="16" t="s">
        <v>6</v>
      </c>
      <c r="C369" s="16" t="s">
        <v>823</v>
      </c>
      <c r="D369" s="20" t="s">
        <v>108</v>
      </c>
      <c r="E369" s="16" t="s">
        <v>47</v>
      </c>
      <c r="F369" s="16" t="s">
        <v>1108</v>
      </c>
      <c r="G369" s="16" t="s">
        <v>1109</v>
      </c>
      <c r="H369" s="17" t="n">
        <v>1945</v>
      </c>
      <c r="I369" s="17"/>
      <c r="J369" s="17"/>
      <c r="K369" s="17" t="n">
        <v>1994</v>
      </c>
      <c r="L369" s="17" t="n">
        <f aca="false">IF(AND(IFERROR(SEARCH("현대오일뱅크",$C369),0)&gt;0,IFERROR(SEARCH("직영",$C369),0)&gt;0),$B$13,0)</f>
        <v>0</v>
      </c>
      <c r="M369" s="17" t="n">
        <f aca="false">IF($H369="","",$H369+$L369)</f>
        <v>1945</v>
      </c>
      <c r="N369" s="17" t="str">
        <f aca="false">IF($I369="","",$I369+$L369)</f>
        <v/>
      </c>
      <c r="O369" s="17" t="n">
        <f aca="false">IF($K369="","",$K369+$L369)</f>
        <v>1994</v>
      </c>
      <c r="P369" s="17" t="str">
        <f aca="false">IF($B$10=0,"",IFERROR(IF($B$4&gt;0,"휘발유 "&amp;TEXT(IF($M369="",1/0,$M369*$B$4),"#,##0")&amp;"원","")&amp;IF($B$5&gt;0,IF($B$4&gt;0," / ","")&amp;"고급유 "&amp;TEXT(IF($N369="",1/0,$N369*$B$5),"#,##0")&amp;"원","")&amp;IF($B$6&gt;0,IF(OR($B$4&gt;0,$B$5&gt;0)," / ","")&amp;"경유 "&amp;TEXT(IF($O369="",1/0,$O369*$B$6),"#,##0")&amp;"원",""),""))</f>
        <v/>
      </c>
      <c r="Q369" s="17" t="str">
        <f aca="false">IF($B$10=0,"",IFERROR(IF($B$4&gt;0,IF($M369="",1/0,$M369*$B$4),0)+IF($B$5&gt;0,IF($N369="",1/0,$N369*$B$5),0)+IF($B$6&gt;0,IF($O369="",1/0,$O369*$B$6),0),""))</f>
        <v/>
      </c>
      <c r="R369" s="17" t="s">
        <v>47</v>
      </c>
      <c r="S369" s="18" t="str">
        <f aca="false">IF($Q369="","",IF($R369="Y",IFERROR(VLOOKUP($B369,$C$4:$D$13,2,FALSE()),0),0))</f>
        <v/>
      </c>
      <c r="T369" s="17" t="str">
        <f aca="false">IF($Q369="","",ROUNDDOWN($Q369*$S369,0))</f>
        <v/>
      </c>
      <c r="U369" s="17" t="str">
        <f aca="false">IF($Q369="","",$Q369-$T369)</f>
        <v/>
      </c>
      <c r="V369" s="17" t="str">
        <f aca="false">IF($U369="","",IF($B$10=0,"",$U369/$B$10))</f>
        <v/>
      </c>
      <c r="W369" s="17" t="str">
        <f aca="false">IF($Q369="","",IF($B$10=0,"",$Q369/$B$10))</f>
        <v/>
      </c>
      <c r="X369" s="19" t="n">
        <f aca="false">IF($U369="",1000000000000000,$U369)</f>
        <v>1000000000000000</v>
      </c>
      <c r="XFC369" s="6"/>
    </row>
    <row r="370" s="5" customFormat="true" ht="28.5" hidden="false" customHeight="true" outlineLevel="0" collapsed="false">
      <c r="A370" s="16" t="str">
        <f aca="false">IF($U370="","",1+COUNTIF($X$15:$X$728,"&lt;"&amp;X370))</f>
        <v/>
      </c>
      <c r="B370" s="16" t="s">
        <v>12</v>
      </c>
      <c r="C370" s="16" t="s">
        <v>1110</v>
      </c>
      <c r="D370" s="20" t="s">
        <v>294</v>
      </c>
      <c r="E370" s="16" t="s">
        <v>47</v>
      </c>
      <c r="F370" s="16" t="s">
        <v>1111</v>
      </c>
      <c r="G370" s="16" t="s">
        <v>1112</v>
      </c>
      <c r="H370" s="17" t="n">
        <v>1945</v>
      </c>
      <c r="I370" s="17"/>
      <c r="J370" s="17"/>
      <c r="K370" s="17" t="n">
        <v>1955</v>
      </c>
      <c r="L370" s="17" t="n">
        <f aca="false">IF(AND(IFERROR(SEARCH("현대오일뱅크",$C370),0)&gt;0,IFERROR(SEARCH("직영",$C370),0)&gt;0),$B$13,0)</f>
        <v>0</v>
      </c>
      <c r="M370" s="17" t="n">
        <f aca="false">IF($H370="","",$H370+$L370)</f>
        <v>1945</v>
      </c>
      <c r="N370" s="17" t="str">
        <f aca="false">IF($I370="","",$I370+$L370)</f>
        <v/>
      </c>
      <c r="O370" s="17" t="n">
        <f aca="false">IF($K370="","",$K370+$L370)</f>
        <v>1955</v>
      </c>
      <c r="P370" s="17" t="str">
        <f aca="false">IF($B$10=0,"",IFERROR(IF($B$4&gt;0,"휘발유 "&amp;TEXT(IF($M370="",1/0,$M370*$B$4),"#,##0")&amp;"원","")&amp;IF($B$5&gt;0,IF($B$4&gt;0," / ","")&amp;"고급유 "&amp;TEXT(IF($N370="",1/0,$N370*$B$5),"#,##0")&amp;"원","")&amp;IF($B$6&gt;0,IF(OR($B$4&gt;0,$B$5&gt;0)," / ","")&amp;"경유 "&amp;TEXT(IF($O370="",1/0,$O370*$B$6),"#,##0")&amp;"원",""),""))</f>
        <v/>
      </c>
      <c r="Q370" s="17" t="str">
        <f aca="false">IF($B$10=0,"",IFERROR(IF($B$4&gt;0,IF($M370="",1/0,$M370*$B$4),0)+IF($B$5&gt;0,IF($N370="",1/0,$N370*$B$5),0)+IF($B$6&gt;0,IF($O370="",1/0,$O370*$B$6),0),""))</f>
        <v/>
      </c>
      <c r="R370" s="17" t="s">
        <v>47</v>
      </c>
      <c r="S370" s="18" t="str">
        <f aca="false">IF($Q370="","",IF($R370="Y",IFERROR(VLOOKUP($B370,$C$4:$D$13,2,FALSE()),0),0))</f>
        <v/>
      </c>
      <c r="T370" s="17" t="str">
        <f aca="false">IF($Q370="","",ROUNDDOWN($Q370*$S370,0))</f>
        <v/>
      </c>
      <c r="U370" s="17" t="str">
        <f aca="false">IF($Q370="","",$Q370-$T370)</f>
        <v/>
      </c>
      <c r="V370" s="17" t="str">
        <f aca="false">IF($U370="","",IF($B$10=0,"",$U370/$B$10))</f>
        <v/>
      </c>
      <c r="W370" s="17" t="str">
        <f aca="false">IF($Q370="","",IF($B$10=0,"",$Q370/$B$10))</f>
        <v/>
      </c>
      <c r="X370" s="19" t="n">
        <f aca="false">IF($U370="",1000000000000000,$U370)</f>
        <v>1000000000000000</v>
      </c>
      <c r="XFC370" s="6"/>
    </row>
    <row r="371" s="5" customFormat="true" ht="28.5" hidden="false" customHeight="true" outlineLevel="0" collapsed="false">
      <c r="A371" s="16" t="str">
        <f aca="false">IF($U371="","",1+COUNTIF($X$15:$X$728,"&lt;"&amp;X371))</f>
        <v/>
      </c>
      <c r="B371" s="16" t="s">
        <v>6</v>
      </c>
      <c r="C371" s="16" t="s">
        <v>1113</v>
      </c>
      <c r="D371" s="20" t="s">
        <v>108</v>
      </c>
      <c r="E371" s="16" t="s">
        <v>47</v>
      </c>
      <c r="F371" s="16" t="s">
        <v>1114</v>
      </c>
      <c r="G371" s="16" t="s">
        <v>1115</v>
      </c>
      <c r="H371" s="17" t="n">
        <v>1945</v>
      </c>
      <c r="I371" s="17"/>
      <c r="J371" s="17"/>
      <c r="K371" s="17" t="n">
        <v>1995</v>
      </c>
      <c r="L371" s="17" t="n">
        <f aca="false">IF(AND(IFERROR(SEARCH("현대오일뱅크",$C371),0)&gt;0,IFERROR(SEARCH("직영",$C371),0)&gt;0),$B$13,0)</f>
        <v>0</v>
      </c>
      <c r="M371" s="17" t="n">
        <f aca="false">IF($H371="","",$H371+$L371)</f>
        <v>1945</v>
      </c>
      <c r="N371" s="17" t="str">
        <f aca="false">IF($I371="","",$I371+$L371)</f>
        <v/>
      </c>
      <c r="O371" s="17" t="n">
        <f aca="false">IF($K371="","",$K371+$L371)</f>
        <v>1995</v>
      </c>
      <c r="P371" s="17" t="str">
        <f aca="false">IF($B$10=0,"",IFERROR(IF($B$4&gt;0,"휘발유 "&amp;TEXT(IF($M371="",1/0,$M371*$B$4),"#,##0")&amp;"원","")&amp;IF($B$5&gt;0,IF($B$4&gt;0," / ","")&amp;"고급유 "&amp;TEXT(IF($N371="",1/0,$N371*$B$5),"#,##0")&amp;"원","")&amp;IF($B$6&gt;0,IF(OR($B$4&gt;0,$B$5&gt;0)," / ","")&amp;"경유 "&amp;TEXT(IF($O371="",1/0,$O371*$B$6),"#,##0")&amp;"원",""),""))</f>
        <v/>
      </c>
      <c r="Q371" s="17" t="str">
        <f aca="false">IF($B$10=0,"",IFERROR(IF($B$4&gt;0,IF($M371="",1/0,$M371*$B$4),0)+IF($B$5&gt;0,IF($N371="",1/0,$N371*$B$5),0)+IF($B$6&gt;0,IF($O371="",1/0,$O371*$B$6),0),""))</f>
        <v/>
      </c>
      <c r="R371" s="17" t="s">
        <v>47</v>
      </c>
      <c r="S371" s="18" t="str">
        <f aca="false">IF($Q371="","",IF($R371="Y",IFERROR(VLOOKUP($B371,$C$4:$D$13,2,FALSE()),0),0))</f>
        <v/>
      </c>
      <c r="T371" s="17" t="str">
        <f aca="false">IF($Q371="","",ROUNDDOWN($Q371*$S371,0))</f>
        <v/>
      </c>
      <c r="U371" s="17" t="str">
        <f aca="false">IF($Q371="","",$Q371-$T371)</f>
        <v/>
      </c>
      <c r="V371" s="17" t="str">
        <f aca="false">IF($U371="","",IF($B$10=0,"",$U371/$B$10))</f>
        <v/>
      </c>
      <c r="W371" s="17" t="str">
        <f aca="false">IF($Q371="","",IF($B$10=0,"",$Q371/$B$10))</f>
        <v/>
      </c>
      <c r="X371" s="19" t="n">
        <f aca="false">IF($U371="",1000000000000000,$U371)</f>
        <v>1000000000000000</v>
      </c>
      <c r="XFC371" s="6"/>
    </row>
    <row r="372" s="5" customFormat="true" ht="28.5" hidden="false" customHeight="true" outlineLevel="0" collapsed="false">
      <c r="A372" s="16" t="str">
        <f aca="false">IF($U372="","",1+COUNTIF($X$15:$X$728,"&lt;"&amp;X372))</f>
        <v/>
      </c>
      <c r="B372" s="16" t="s">
        <v>6</v>
      </c>
      <c r="C372" s="16" t="s">
        <v>1116</v>
      </c>
      <c r="D372" s="16" t="s">
        <v>112</v>
      </c>
      <c r="E372" s="16" t="s">
        <v>47</v>
      </c>
      <c r="F372" s="16" t="s">
        <v>1117</v>
      </c>
      <c r="G372" s="16" t="s">
        <v>1118</v>
      </c>
      <c r="H372" s="17" t="n">
        <v>1945</v>
      </c>
      <c r="I372" s="17"/>
      <c r="J372" s="17"/>
      <c r="K372" s="17" t="n">
        <v>1945</v>
      </c>
      <c r="L372" s="17" t="n">
        <f aca="false">IF(AND(IFERROR(SEARCH("현대오일뱅크",$C372),0)&gt;0,IFERROR(SEARCH("직영",$C372),0)&gt;0),$B$13,0)</f>
        <v>0</v>
      </c>
      <c r="M372" s="17" t="n">
        <f aca="false">IF($H372="","",$H372+$L372)</f>
        <v>1945</v>
      </c>
      <c r="N372" s="17" t="str">
        <f aca="false">IF($I372="","",$I372+$L372)</f>
        <v/>
      </c>
      <c r="O372" s="17" t="n">
        <f aca="false">IF($K372="","",$K372+$L372)</f>
        <v>1945</v>
      </c>
      <c r="P372" s="17" t="str">
        <f aca="false">IF($B$10=0,"",IFERROR(IF($B$4&gt;0,"휘발유 "&amp;TEXT(IF($M372="",1/0,$M372*$B$4),"#,##0")&amp;"원","")&amp;IF($B$5&gt;0,IF($B$4&gt;0," / ","")&amp;"고급유 "&amp;TEXT(IF($N372="",1/0,$N372*$B$5),"#,##0")&amp;"원","")&amp;IF($B$6&gt;0,IF(OR($B$4&gt;0,$B$5&gt;0)," / ","")&amp;"경유 "&amp;TEXT(IF($O372="",1/0,$O372*$B$6),"#,##0")&amp;"원",""),""))</f>
        <v/>
      </c>
      <c r="Q372" s="17" t="str">
        <f aca="false">IF($B$10=0,"",IFERROR(IF($B$4&gt;0,IF($M372="",1/0,$M372*$B$4),0)+IF($B$5&gt;0,IF($N372="",1/0,$N372*$B$5),0)+IF($B$6&gt;0,IF($O372="",1/0,$O372*$B$6),0),""))</f>
        <v/>
      </c>
      <c r="R372" s="17" t="s">
        <v>47</v>
      </c>
      <c r="S372" s="18" t="str">
        <f aca="false">IF($Q372="","",IF($R372="Y",IFERROR(VLOOKUP($B372,$C$4:$D$13,2,FALSE()),0),0))</f>
        <v/>
      </c>
      <c r="T372" s="17" t="str">
        <f aca="false">IF($Q372="","",ROUNDDOWN($Q372*$S372,0))</f>
        <v/>
      </c>
      <c r="U372" s="17" t="str">
        <f aca="false">IF($Q372="","",$Q372-$T372)</f>
        <v/>
      </c>
      <c r="V372" s="17" t="str">
        <f aca="false">IF($U372="","",IF($B$10=0,"",$U372/$B$10))</f>
        <v/>
      </c>
      <c r="W372" s="17" t="str">
        <f aca="false">IF($Q372="","",IF($B$10=0,"",$Q372/$B$10))</f>
        <v/>
      </c>
      <c r="X372" s="19" t="n">
        <f aca="false">IF($U372="",1000000000000000,$U372)</f>
        <v>1000000000000000</v>
      </c>
      <c r="XFC372" s="6"/>
    </row>
    <row r="373" s="5" customFormat="true" ht="28.5" hidden="false" customHeight="true" outlineLevel="0" collapsed="false">
      <c r="A373" s="16" t="str">
        <f aca="false">IF($U373="","",1+COUNTIF($X$15:$X$728,"&lt;"&amp;X373))</f>
        <v/>
      </c>
      <c r="B373" s="16" t="s">
        <v>6</v>
      </c>
      <c r="C373" s="16" t="s">
        <v>1119</v>
      </c>
      <c r="D373" s="20" t="s">
        <v>108</v>
      </c>
      <c r="E373" s="16" t="s">
        <v>47</v>
      </c>
      <c r="F373" s="16" t="s">
        <v>1120</v>
      </c>
      <c r="G373" s="16" t="s">
        <v>1121</v>
      </c>
      <c r="H373" s="17" t="n">
        <v>1945</v>
      </c>
      <c r="I373" s="17"/>
      <c r="J373" s="17"/>
      <c r="K373" s="17" t="n">
        <v>1985</v>
      </c>
      <c r="L373" s="17" t="n">
        <f aca="false">IF(AND(IFERROR(SEARCH("현대오일뱅크",$C373),0)&gt;0,IFERROR(SEARCH("직영",$C373),0)&gt;0),$B$13,0)</f>
        <v>0</v>
      </c>
      <c r="M373" s="17" t="n">
        <f aca="false">IF($H373="","",$H373+$L373)</f>
        <v>1945</v>
      </c>
      <c r="N373" s="17" t="str">
        <f aca="false">IF($I373="","",$I373+$L373)</f>
        <v/>
      </c>
      <c r="O373" s="17" t="n">
        <f aca="false">IF($K373="","",$K373+$L373)</f>
        <v>1985</v>
      </c>
      <c r="P373" s="17" t="str">
        <f aca="false">IF($B$10=0,"",IFERROR(IF($B$4&gt;0,"휘발유 "&amp;TEXT(IF($M373="",1/0,$M373*$B$4),"#,##0")&amp;"원","")&amp;IF($B$5&gt;0,IF($B$4&gt;0," / ","")&amp;"고급유 "&amp;TEXT(IF($N373="",1/0,$N373*$B$5),"#,##0")&amp;"원","")&amp;IF($B$6&gt;0,IF(OR($B$4&gt;0,$B$5&gt;0)," / ","")&amp;"경유 "&amp;TEXT(IF($O373="",1/0,$O373*$B$6),"#,##0")&amp;"원",""),""))</f>
        <v/>
      </c>
      <c r="Q373" s="17" t="str">
        <f aca="false">IF($B$10=0,"",IFERROR(IF($B$4&gt;0,IF($M373="",1/0,$M373*$B$4),0)+IF($B$5&gt;0,IF($N373="",1/0,$N373*$B$5),0)+IF($B$6&gt;0,IF($O373="",1/0,$O373*$B$6),0),""))</f>
        <v/>
      </c>
      <c r="R373" s="17" t="s">
        <v>47</v>
      </c>
      <c r="S373" s="18" t="str">
        <f aca="false">IF($Q373="","",IF($R373="Y",IFERROR(VLOOKUP($B373,$C$4:$D$13,2,FALSE()),0),0))</f>
        <v/>
      </c>
      <c r="T373" s="17" t="str">
        <f aca="false">IF($Q373="","",ROUNDDOWN($Q373*$S373,0))</f>
        <v/>
      </c>
      <c r="U373" s="17" t="str">
        <f aca="false">IF($Q373="","",$Q373-$T373)</f>
        <v/>
      </c>
      <c r="V373" s="17" t="str">
        <f aca="false">IF($U373="","",IF($B$10=0,"",$U373/$B$10))</f>
        <v/>
      </c>
      <c r="W373" s="17" t="str">
        <f aca="false">IF($Q373="","",IF($B$10=0,"",$Q373/$B$10))</f>
        <v/>
      </c>
      <c r="X373" s="19" t="n">
        <f aca="false">IF($U373="",1000000000000000,$U373)</f>
        <v>1000000000000000</v>
      </c>
      <c r="XFC373" s="6"/>
    </row>
    <row r="374" s="5" customFormat="true" ht="28.5" hidden="false" customHeight="true" outlineLevel="0" collapsed="false">
      <c r="A374" s="16" t="str">
        <f aca="false">IF($U374="","",1+COUNTIF($X$15:$X$728,"&lt;"&amp;X374))</f>
        <v/>
      </c>
      <c r="B374" s="16" t="s">
        <v>6</v>
      </c>
      <c r="C374" s="16" t="s">
        <v>1122</v>
      </c>
      <c r="D374" s="16" t="s">
        <v>112</v>
      </c>
      <c r="E374" s="16" t="s">
        <v>47</v>
      </c>
      <c r="F374" s="16" t="s">
        <v>1123</v>
      </c>
      <c r="G374" s="16" t="s">
        <v>1124</v>
      </c>
      <c r="H374" s="17" t="n">
        <v>1945</v>
      </c>
      <c r="I374" s="17"/>
      <c r="J374" s="17"/>
      <c r="K374" s="17" t="n">
        <v>1945</v>
      </c>
      <c r="L374" s="17" t="n">
        <f aca="false">IF(AND(IFERROR(SEARCH("현대오일뱅크",$C374),0)&gt;0,IFERROR(SEARCH("직영",$C374),0)&gt;0),$B$13,0)</f>
        <v>0</v>
      </c>
      <c r="M374" s="17" t="n">
        <f aca="false">IF($H374="","",$H374+$L374)</f>
        <v>1945</v>
      </c>
      <c r="N374" s="17" t="str">
        <f aca="false">IF($I374="","",$I374+$L374)</f>
        <v/>
      </c>
      <c r="O374" s="17" t="n">
        <f aca="false">IF($K374="","",$K374+$L374)</f>
        <v>1945</v>
      </c>
      <c r="P374" s="17" t="str">
        <f aca="false">IF($B$10=0,"",IFERROR(IF($B$4&gt;0,"휘발유 "&amp;TEXT(IF($M374="",1/0,$M374*$B$4),"#,##0")&amp;"원","")&amp;IF($B$5&gt;0,IF($B$4&gt;0," / ","")&amp;"고급유 "&amp;TEXT(IF($N374="",1/0,$N374*$B$5),"#,##0")&amp;"원","")&amp;IF($B$6&gt;0,IF(OR($B$4&gt;0,$B$5&gt;0)," / ","")&amp;"경유 "&amp;TEXT(IF($O374="",1/0,$O374*$B$6),"#,##0")&amp;"원",""),""))</f>
        <v/>
      </c>
      <c r="Q374" s="17" t="str">
        <f aca="false">IF($B$10=0,"",IFERROR(IF($B$4&gt;0,IF($M374="",1/0,$M374*$B$4),0)+IF($B$5&gt;0,IF($N374="",1/0,$N374*$B$5),0)+IF($B$6&gt;0,IF($O374="",1/0,$O374*$B$6),0),""))</f>
        <v/>
      </c>
      <c r="R374" s="17" t="s">
        <v>47</v>
      </c>
      <c r="S374" s="18" t="str">
        <f aca="false">IF($Q374="","",IF($R374="Y",IFERROR(VLOOKUP($B374,$C$4:$D$13,2,FALSE()),0),0))</f>
        <v/>
      </c>
      <c r="T374" s="17" t="str">
        <f aca="false">IF($Q374="","",ROUNDDOWN($Q374*$S374,0))</f>
        <v/>
      </c>
      <c r="U374" s="17" t="str">
        <f aca="false">IF($Q374="","",$Q374-$T374)</f>
        <v/>
      </c>
      <c r="V374" s="17" t="str">
        <f aca="false">IF($U374="","",IF($B$10=0,"",$U374/$B$10))</f>
        <v/>
      </c>
      <c r="W374" s="17" t="str">
        <f aca="false">IF($Q374="","",IF($B$10=0,"",$Q374/$B$10))</f>
        <v/>
      </c>
      <c r="X374" s="19" t="n">
        <f aca="false">IF($U374="",1000000000000000,$U374)</f>
        <v>1000000000000000</v>
      </c>
      <c r="XFC374" s="6"/>
    </row>
    <row r="375" s="5" customFormat="true" ht="28.5" hidden="false" customHeight="true" outlineLevel="0" collapsed="false">
      <c r="A375" s="16" t="str">
        <f aca="false">IF($U375="","",1+COUNTIF($X$15:$X$728,"&lt;"&amp;X375))</f>
        <v/>
      </c>
      <c r="B375" s="16" t="s">
        <v>6</v>
      </c>
      <c r="C375" s="16" t="s">
        <v>1125</v>
      </c>
      <c r="D375" s="20" t="s">
        <v>108</v>
      </c>
      <c r="E375" s="16" t="s">
        <v>47</v>
      </c>
      <c r="F375" s="16" t="s">
        <v>1126</v>
      </c>
      <c r="G375" s="16" t="s">
        <v>1127</v>
      </c>
      <c r="H375" s="17" t="n">
        <v>1945</v>
      </c>
      <c r="I375" s="17"/>
      <c r="J375" s="17"/>
      <c r="K375" s="17" t="n">
        <v>1945</v>
      </c>
      <c r="L375" s="17" t="n">
        <f aca="false">IF(AND(IFERROR(SEARCH("현대오일뱅크",$C375),0)&gt;0,IFERROR(SEARCH("직영",$C375),0)&gt;0),$B$13,0)</f>
        <v>0</v>
      </c>
      <c r="M375" s="17" t="n">
        <f aca="false">IF($H375="","",$H375+$L375)</f>
        <v>1945</v>
      </c>
      <c r="N375" s="17" t="str">
        <f aca="false">IF($I375="","",$I375+$L375)</f>
        <v/>
      </c>
      <c r="O375" s="17" t="n">
        <f aca="false">IF($K375="","",$K375+$L375)</f>
        <v>1945</v>
      </c>
      <c r="P375" s="17" t="str">
        <f aca="false">IF($B$10=0,"",IFERROR(IF($B$4&gt;0,"휘발유 "&amp;TEXT(IF($M375="",1/0,$M375*$B$4),"#,##0")&amp;"원","")&amp;IF($B$5&gt;0,IF($B$4&gt;0," / ","")&amp;"고급유 "&amp;TEXT(IF($N375="",1/0,$N375*$B$5),"#,##0")&amp;"원","")&amp;IF($B$6&gt;0,IF(OR($B$4&gt;0,$B$5&gt;0)," / ","")&amp;"경유 "&amp;TEXT(IF($O375="",1/0,$O375*$B$6),"#,##0")&amp;"원",""),""))</f>
        <v/>
      </c>
      <c r="Q375" s="17" t="str">
        <f aca="false">IF($B$10=0,"",IFERROR(IF($B$4&gt;0,IF($M375="",1/0,$M375*$B$4),0)+IF($B$5&gt;0,IF($N375="",1/0,$N375*$B$5),0)+IF($B$6&gt;0,IF($O375="",1/0,$O375*$B$6),0),""))</f>
        <v/>
      </c>
      <c r="R375" s="17" t="s">
        <v>47</v>
      </c>
      <c r="S375" s="18" t="str">
        <f aca="false">IF($Q375="","",IF($R375="Y",IFERROR(VLOOKUP($B375,$C$4:$D$13,2,FALSE()),0),0))</f>
        <v/>
      </c>
      <c r="T375" s="17" t="str">
        <f aca="false">IF($Q375="","",ROUNDDOWN($Q375*$S375,0))</f>
        <v/>
      </c>
      <c r="U375" s="17" t="str">
        <f aca="false">IF($Q375="","",$Q375-$T375)</f>
        <v/>
      </c>
      <c r="V375" s="17" t="str">
        <f aca="false">IF($U375="","",IF($B$10=0,"",$U375/$B$10))</f>
        <v/>
      </c>
      <c r="W375" s="17" t="str">
        <f aca="false">IF($Q375="","",IF($B$10=0,"",$Q375/$B$10))</f>
        <v/>
      </c>
      <c r="X375" s="19" t="n">
        <f aca="false">IF($U375="",1000000000000000,$U375)</f>
        <v>1000000000000000</v>
      </c>
      <c r="XFC375" s="6"/>
    </row>
    <row r="376" s="5" customFormat="true" ht="28.5" hidden="false" customHeight="true" outlineLevel="0" collapsed="false">
      <c r="A376" s="16" t="str">
        <f aca="false">IF($U376="","",1+COUNTIF($X$15:$X$728,"&lt;"&amp;X376))</f>
        <v/>
      </c>
      <c r="B376" s="16" t="s">
        <v>6</v>
      </c>
      <c r="C376" s="16" t="s">
        <v>1128</v>
      </c>
      <c r="D376" s="16" t="s">
        <v>112</v>
      </c>
      <c r="E376" s="16" t="s">
        <v>47</v>
      </c>
      <c r="F376" s="16" t="s">
        <v>1129</v>
      </c>
      <c r="G376" s="16" t="s">
        <v>1130</v>
      </c>
      <c r="H376" s="17" t="n">
        <v>1945</v>
      </c>
      <c r="I376" s="17"/>
      <c r="J376" s="17"/>
      <c r="K376" s="17" t="n">
        <v>1995</v>
      </c>
      <c r="L376" s="17" t="n">
        <f aca="false">IF(AND(IFERROR(SEARCH("현대오일뱅크",$C376),0)&gt;0,IFERROR(SEARCH("직영",$C376),0)&gt;0),$B$13,0)</f>
        <v>0</v>
      </c>
      <c r="M376" s="17" t="n">
        <f aca="false">IF($H376="","",$H376+$L376)</f>
        <v>1945</v>
      </c>
      <c r="N376" s="17" t="str">
        <f aca="false">IF($I376="","",$I376+$L376)</f>
        <v/>
      </c>
      <c r="O376" s="17" t="n">
        <f aca="false">IF($K376="","",$K376+$L376)</f>
        <v>1995</v>
      </c>
      <c r="P376" s="17" t="str">
        <f aca="false">IF($B$10=0,"",IFERROR(IF($B$4&gt;0,"휘발유 "&amp;TEXT(IF($M376="",1/0,$M376*$B$4),"#,##0")&amp;"원","")&amp;IF($B$5&gt;0,IF($B$4&gt;0," / ","")&amp;"고급유 "&amp;TEXT(IF($N376="",1/0,$N376*$B$5),"#,##0")&amp;"원","")&amp;IF($B$6&gt;0,IF(OR($B$4&gt;0,$B$5&gt;0)," / ","")&amp;"경유 "&amp;TEXT(IF($O376="",1/0,$O376*$B$6),"#,##0")&amp;"원",""),""))</f>
        <v/>
      </c>
      <c r="Q376" s="17" t="str">
        <f aca="false">IF($B$10=0,"",IFERROR(IF($B$4&gt;0,IF($M376="",1/0,$M376*$B$4),0)+IF($B$5&gt;0,IF($N376="",1/0,$N376*$B$5),0)+IF($B$6&gt;0,IF($O376="",1/0,$O376*$B$6),0),""))</f>
        <v/>
      </c>
      <c r="R376" s="17" t="s">
        <v>47</v>
      </c>
      <c r="S376" s="18" t="str">
        <f aca="false">IF($Q376="","",IF($R376="Y",IFERROR(VLOOKUP($B376,$C$4:$D$13,2,FALSE()),0),0))</f>
        <v/>
      </c>
      <c r="T376" s="17" t="str">
        <f aca="false">IF($Q376="","",ROUNDDOWN($Q376*$S376,0))</f>
        <v/>
      </c>
      <c r="U376" s="17" t="str">
        <f aca="false">IF($Q376="","",$Q376-$T376)</f>
        <v/>
      </c>
      <c r="V376" s="17" t="str">
        <f aca="false">IF($U376="","",IF($B$10=0,"",$U376/$B$10))</f>
        <v/>
      </c>
      <c r="W376" s="17" t="str">
        <f aca="false">IF($Q376="","",IF($B$10=0,"",$Q376/$B$10))</f>
        <v/>
      </c>
      <c r="X376" s="19" t="n">
        <f aca="false">IF($U376="",1000000000000000,$U376)</f>
        <v>1000000000000000</v>
      </c>
      <c r="XFC376" s="6"/>
    </row>
    <row r="377" s="5" customFormat="true" ht="28.5" hidden="false" customHeight="true" outlineLevel="0" collapsed="false">
      <c r="A377" s="16" t="str">
        <f aca="false">IF($U377="","",1+COUNTIF($X$15:$X$728,"&lt;"&amp;X377))</f>
        <v/>
      </c>
      <c r="B377" s="16" t="s">
        <v>6</v>
      </c>
      <c r="C377" s="16" t="s">
        <v>1131</v>
      </c>
      <c r="D377" s="16" t="s">
        <v>112</v>
      </c>
      <c r="E377" s="16" t="s">
        <v>47</v>
      </c>
      <c r="F377" s="16" t="s">
        <v>1132</v>
      </c>
      <c r="G377" s="16" t="s">
        <v>1133</v>
      </c>
      <c r="H377" s="17" t="n">
        <v>1945</v>
      </c>
      <c r="I377" s="17"/>
      <c r="J377" s="17"/>
      <c r="K377" s="17" t="n">
        <v>1995</v>
      </c>
      <c r="L377" s="17" t="n">
        <f aca="false">IF(AND(IFERROR(SEARCH("현대오일뱅크",$C377),0)&gt;0,IFERROR(SEARCH("직영",$C377),0)&gt;0),$B$13,0)</f>
        <v>0</v>
      </c>
      <c r="M377" s="17" t="n">
        <f aca="false">IF($H377="","",$H377+$L377)</f>
        <v>1945</v>
      </c>
      <c r="N377" s="17" t="str">
        <f aca="false">IF($I377="","",$I377+$L377)</f>
        <v/>
      </c>
      <c r="O377" s="17" t="n">
        <f aca="false">IF($K377="","",$K377+$L377)</f>
        <v>1995</v>
      </c>
      <c r="P377" s="17" t="str">
        <f aca="false">IF($B$10=0,"",IFERROR(IF($B$4&gt;0,"휘발유 "&amp;TEXT(IF($M377="",1/0,$M377*$B$4),"#,##0")&amp;"원","")&amp;IF($B$5&gt;0,IF($B$4&gt;0," / ","")&amp;"고급유 "&amp;TEXT(IF($N377="",1/0,$N377*$B$5),"#,##0")&amp;"원","")&amp;IF($B$6&gt;0,IF(OR($B$4&gt;0,$B$5&gt;0)," / ","")&amp;"경유 "&amp;TEXT(IF($O377="",1/0,$O377*$B$6),"#,##0")&amp;"원",""),""))</f>
        <v/>
      </c>
      <c r="Q377" s="17" t="str">
        <f aca="false">IF($B$10=0,"",IFERROR(IF($B$4&gt;0,IF($M377="",1/0,$M377*$B$4),0)+IF($B$5&gt;0,IF($N377="",1/0,$N377*$B$5),0)+IF($B$6&gt;0,IF($O377="",1/0,$O377*$B$6),0),""))</f>
        <v/>
      </c>
      <c r="R377" s="17" t="s">
        <v>47</v>
      </c>
      <c r="S377" s="18" t="str">
        <f aca="false">IF($Q377="","",IF($R377="Y",IFERROR(VLOOKUP($B377,$C$4:$D$13,2,FALSE()),0),0))</f>
        <v/>
      </c>
      <c r="T377" s="17" t="str">
        <f aca="false">IF($Q377="","",ROUNDDOWN($Q377*$S377,0))</f>
        <v/>
      </c>
      <c r="U377" s="17" t="str">
        <f aca="false">IF($Q377="","",$Q377-$T377)</f>
        <v/>
      </c>
      <c r="V377" s="17" t="str">
        <f aca="false">IF($U377="","",IF($B$10=0,"",$U377/$B$10))</f>
        <v/>
      </c>
      <c r="W377" s="17" t="str">
        <f aca="false">IF($Q377="","",IF($B$10=0,"",$Q377/$B$10))</f>
        <v/>
      </c>
      <c r="X377" s="19" t="n">
        <f aca="false">IF($U377="",1000000000000000,$U377)</f>
        <v>1000000000000000</v>
      </c>
      <c r="XFC377" s="6"/>
    </row>
    <row r="378" s="5" customFormat="true" ht="28.5" hidden="false" customHeight="true" outlineLevel="0" collapsed="false">
      <c r="A378" s="16" t="str">
        <f aca="false">IF($U378="","",1+COUNTIF($X$15:$X$728,"&lt;"&amp;X378))</f>
        <v/>
      </c>
      <c r="B378" s="16" t="s">
        <v>6</v>
      </c>
      <c r="C378" s="16" t="s">
        <v>1134</v>
      </c>
      <c r="D378" s="16" t="s">
        <v>112</v>
      </c>
      <c r="E378" s="16" t="s">
        <v>47</v>
      </c>
      <c r="F378" s="16" t="s">
        <v>1135</v>
      </c>
      <c r="G378" s="16" t="s">
        <v>1136</v>
      </c>
      <c r="H378" s="17" t="n">
        <v>1945</v>
      </c>
      <c r="I378" s="17"/>
      <c r="J378" s="17"/>
      <c r="K378" s="17" t="n">
        <v>1995</v>
      </c>
      <c r="L378" s="17" t="n">
        <f aca="false">IF(AND(IFERROR(SEARCH("현대오일뱅크",$C378),0)&gt;0,IFERROR(SEARCH("직영",$C378),0)&gt;0),$B$13,0)</f>
        <v>0</v>
      </c>
      <c r="M378" s="17" t="n">
        <f aca="false">IF($H378="","",$H378+$L378)</f>
        <v>1945</v>
      </c>
      <c r="N378" s="17" t="str">
        <f aca="false">IF($I378="","",$I378+$L378)</f>
        <v/>
      </c>
      <c r="O378" s="17" t="n">
        <f aca="false">IF($K378="","",$K378+$L378)</f>
        <v>1995</v>
      </c>
      <c r="P378" s="17" t="str">
        <f aca="false">IF($B$10=0,"",IFERROR(IF($B$4&gt;0,"휘발유 "&amp;TEXT(IF($M378="",1/0,$M378*$B$4),"#,##0")&amp;"원","")&amp;IF($B$5&gt;0,IF($B$4&gt;0," / ","")&amp;"고급유 "&amp;TEXT(IF($N378="",1/0,$N378*$B$5),"#,##0")&amp;"원","")&amp;IF($B$6&gt;0,IF(OR($B$4&gt;0,$B$5&gt;0)," / ","")&amp;"경유 "&amp;TEXT(IF($O378="",1/0,$O378*$B$6),"#,##0")&amp;"원",""),""))</f>
        <v/>
      </c>
      <c r="Q378" s="17" t="str">
        <f aca="false">IF($B$10=0,"",IFERROR(IF($B$4&gt;0,IF($M378="",1/0,$M378*$B$4),0)+IF($B$5&gt;0,IF($N378="",1/0,$N378*$B$5),0)+IF($B$6&gt;0,IF($O378="",1/0,$O378*$B$6),0),""))</f>
        <v/>
      </c>
      <c r="R378" s="17" t="s">
        <v>47</v>
      </c>
      <c r="S378" s="18" t="str">
        <f aca="false">IF($Q378="","",IF($R378="Y",IFERROR(VLOOKUP($B378,$C$4:$D$13,2,FALSE()),0),0))</f>
        <v/>
      </c>
      <c r="T378" s="17" t="str">
        <f aca="false">IF($Q378="","",ROUNDDOWN($Q378*$S378,0))</f>
        <v/>
      </c>
      <c r="U378" s="17" t="str">
        <f aca="false">IF($Q378="","",$Q378-$T378)</f>
        <v/>
      </c>
      <c r="V378" s="17" t="str">
        <f aca="false">IF($U378="","",IF($B$10=0,"",$U378/$B$10))</f>
        <v/>
      </c>
      <c r="W378" s="17" t="str">
        <f aca="false">IF($Q378="","",IF($B$10=0,"",$Q378/$B$10))</f>
        <v/>
      </c>
      <c r="X378" s="19" t="n">
        <f aca="false">IF($U378="",1000000000000000,$U378)</f>
        <v>1000000000000000</v>
      </c>
      <c r="XFC378" s="6"/>
    </row>
    <row r="379" s="5" customFormat="true" ht="28.5" hidden="false" customHeight="true" outlineLevel="0" collapsed="false">
      <c r="A379" s="16" t="str">
        <f aca="false">IF($U379="","",1+COUNTIF($X$15:$X$728,"&lt;"&amp;X379))</f>
        <v/>
      </c>
      <c r="B379" s="16" t="s">
        <v>6</v>
      </c>
      <c r="C379" s="16" t="s">
        <v>1137</v>
      </c>
      <c r="D379" s="16" t="s">
        <v>112</v>
      </c>
      <c r="E379" s="16" t="s">
        <v>47</v>
      </c>
      <c r="F379" s="16" t="s">
        <v>1138</v>
      </c>
      <c r="G379" s="16" t="s">
        <v>1139</v>
      </c>
      <c r="H379" s="17" t="n">
        <v>1945</v>
      </c>
      <c r="I379" s="17"/>
      <c r="J379" s="17"/>
      <c r="K379" s="17" t="n">
        <v>1945</v>
      </c>
      <c r="L379" s="17" t="n">
        <f aca="false">IF(AND(IFERROR(SEARCH("현대오일뱅크",$C379),0)&gt;0,IFERROR(SEARCH("직영",$C379),0)&gt;0),$B$13,0)</f>
        <v>0</v>
      </c>
      <c r="M379" s="17" t="n">
        <f aca="false">IF($H379="","",$H379+$L379)</f>
        <v>1945</v>
      </c>
      <c r="N379" s="17" t="str">
        <f aca="false">IF($I379="","",$I379+$L379)</f>
        <v/>
      </c>
      <c r="O379" s="17" t="n">
        <f aca="false">IF($K379="","",$K379+$L379)</f>
        <v>1945</v>
      </c>
      <c r="P379" s="17" t="str">
        <f aca="false">IF($B$10=0,"",IFERROR(IF($B$4&gt;0,"휘발유 "&amp;TEXT(IF($M379="",1/0,$M379*$B$4),"#,##0")&amp;"원","")&amp;IF($B$5&gt;0,IF($B$4&gt;0," / ","")&amp;"고급유 "&amp;TEXT(IF($N379="",1/0,$N379*$B$5),"#,##0")&amp;"원","")&amp;IF($B$6&gt;0,IF(OR($B$4&gt;0,$B$5&gt;0)," / ","")&amp;"경유 "&amp;TEXT(IF($O379="",1/0,$O379*$B$6),"#,##0")&amp;"원",""),""))</f>
        <v/>
      </c>
      <c r="Q379" s="17" t="str">
        <f aca="false">IF($B$10=0,"",IFERROR(IF($B$4&gt;0,IF($M379="",1/0,$M379*$B$4),0)+IF($B$5&gt;0,IF($N379="",1/0,$N379*$B$5),0)+IF($B$6&gt;0,IF($O379="",1/0,$O379*$B$6),0),""))</f>
        <v/>
      </c>
      <c r="R379" s="17" t="s">
        <v>47</v>
      </c>
      <c r="S379" s="18" t="str">
        <f aca="false">IF($Q379="","",IF($R379="Y",IFERROR(VLOOKUP($B379,$C$4:$D$13,2,FALSE()),0),0))</f>
        <v/>
      </c>
      <c r="T379" s="17" t="str">
        <f aca="false">IF($Q379="","",ROUNDDOWN($Q379*$S379,0))</f>
        <v/>
      </c>
      <c r="U379" s="17" t="str">
        <f aca="false">IF($Q379="","",$Q379-$T379)</f>
        <v/>
      </c>
      <c r="V379" s="17" t="str">
        <f aca="false">IF($U379="","",IF($B$10=0,"",$U379/$B$10))</f>
        <v/>
      </c>
      <c r="W379" s="17" t="str">
        <f aca="false">IF($Q379="","",IF($B$10=0,"",$Q379/$B$10))</f>
        <v/>
      </c>
      <c r="X379" s="19" t="n">
        <f aca="false">IF($U379="",1000000000000000,$U379)</f>
        <v>1000000000000000</v>
      </c>
      <c r="XFC379" s="6"/>
    </row>
    <row r="380" s="5" customFormat="true" ht="28.5" hidden="false" customHeight="true" outlineLevel="0" collapsed="false">
      <c r="A380" s="16" t="str">
        <f aca="false">IF($U380="","",1+COUNTIF($X$15:$X$728,"&lt;"&amp;X380))</f>
        <v/>
      </c>
      <c r="B380" s="16" t="s">
        <v>6</v>
      </c>
      <c r="C380" s="16" t="s">
        <v>1140</v>
      </c>
      <c r="D380" s="16" t="s">
        <v>112</v>
      </c>
      <c r="E380" s="16" t="s">
        <v>47</v>
      </c>
      <c r="F380" s="16" t="s">
        <v>1141</v>
      </c>
      <c r="G380" s="16" t="s">
        <v>1142</v>
      </c>
      <c r="H380" s="17" t="n">
        <v>1945</v>
      </c>
      <c r="I380" s="17"/>
      <c r="J380" s="17"/>
      <c r="K380" s="17" t="n">
        <v>1945</v>
      </c>
      <c r="L380" s="17" t="n">
        <f aca="false">IF(AND(IFERROR(SEARCH("현대오일뱅크",$C380),0)&gt;0,IFERROR(SEARCH("직영",$C380),0)&gt;0),$B$13,0)</f>
        <v>0</v>
      </c>
      <c r="M380" s="17" t="n">
        <f aca="false">IF($H380="","",$H380+$L380)</f>
        <v>1945</v>
      </c>
      <c r="N380" s="17" t="str">
        <f aca="false">IF($I380="","",$I380+$L380)</f>
        <v/>
      </c>
      <c r="O380" s="17" t="n">
        <f aca="false">IF($K380="","",$K380+$L380)</f>
        <v>1945</v>
      </c>
      <c r="P380" s="17" t="str">
        <f aca="false">IF($B$10=0,"",IFERROR(IF($B$4&gt;0,"휘발유 "&amp;TEXT(IF($M380="",1/0,$M380*$B$4),"#,##0")&amp;"원","")&amp;IF($B$5&gt;0,IF($B$4&gt;0," / ","")&amp;"고급유 "&amp;TEXT(IF($N380="",1/0,$N380*$B$5),"#,##0")&amp;"원","")&amp;IF($B$6&gt;0,IF(OR($B$4&gt;0,$B$5&gt;0)," / ","")&amp;"경유 "&amp;TEXT(IF($O380="",1/0,$O380*$B$6),"#,##0")&amp;"원",""),""))</f>
        <v/>
      </c>
      <c r="Q380" s="17" t="str">
        <f aca="false">IF($B$10=0,"",IFERROR(IF($B$4&gt;0,IF($M380="",1/0,$M380*$B$4),0)+IF($B$5&gt;0,IF($N380="",1/0,$N380*$B$5),0)+IF($B$6&gt;0,IF($O380="",1/0,$O380*$B$6),0),""))</f>
        <v/>
      </c>
      <c r="R380" s="17" t="s">
        <v>47</v>
      </c>
      <c r="S380" s="18" t="str">
        <f aca="false">IF($Q380="","",IF($R380="Y",IFERROR(VLOOKUP($B380,$C$4:$D$13,2,FALSE()),0),0))</f>
        <v/>
      </c>
      <c r="T380" s="17" t="str">
        <f aca="false">IF($Q380="","",ROUNDDOWN($Q380*$S380,0))</f>
        <v/>
      </c>
      <c r="U380" s="17" t="str">
        <f aca="false">IF($Q380="","",$Q380-$T380)</f>
        <v/>
      </c>
      <c r="V380" s="17" t="str">
        <f aca="false">IF($U380="","",IF($B$10=0,"",$U380/$B$10))</f>
        <v/>
      </c>
      <c r="W380" s="17" t="str">
        <f aca="false">IF($Q380="","",IF($B$10=0,"",$Q380/$B$10))</f>
        <v/>
      </c>
      <c r="X380" s="19" t="n">
        <f aca="false">IF($U380="",1000000000000000,$U380)</f>
        <v>1000000000000000</v>
      </c>
      <c r="XFC380" s="6"/>
    </row>
    <row r="381" s="5" customFormat="true" ht="28.5" hidden="false" customHeight="true" outlineLevel="0" collapsed="false">
      <c r="A381" s="16" t="str">
        <f aca="false">IF($U381="","",1+COUNTIF($X$15:$X$728,"&lt;"&amp;X381))</f>
        <v/>
      </c>
      <c r="B381" s="16" t="s">
        <v>6</v>
      </c>
      <c r="C381" s="16" t="s">
        <v>1143</v>
      </c>
      <c r="D381" s="20" t="s">
        <v>108</v>
      </c>
      <c r="E381" s="16" t="s">
        <v>47</v>
      </c>
      <c r="F381" s="16" t="s">
        <v>1144</v>
      </c>
      <c r="G381" s="16" t="s">
        <v>1145</v>
      </c>
      <c r="H381" s="17" t="n">
        <v>1945</v>
      </c>
      <c r="I381" s="17"/>
      <c r="J381" s="17"/>
      <c r="K381" s="17" t="n">
        <v>1985</v>
      </c>
      <c r="L381" s="17" t="n">
        <f aca="false">IF(AND(IFERROR(SEARCH("현대오일뱅크",$C381),0)&gt;0,IFERROR(SEARCH("직영",$C381),0)&gt;0),$B$13,0)</f>
        <v>0</v>
      </c>
      <c r="M381" s="17" t="n">
        <f aca="false">IF($H381="","",$H381+$L381)</f>
        <v>1945</v>
      </c>
      <c r="N381" s="17" t="str">
        <f aca="false">IF($I381="","",$I381+$L381)</f>
        <v/>
      </c>
      <c r="O381" s="17" t="n">
        <f aca="false">IF($K381="","",$K381+$L381)</f>
        <v>1985</v>
      </c>
      <c r="P381" s="17" t="str">
        <f aca="false">IF($B$10=0,"",IFERROR(IF($B$4&gt;0,"휘발유 "&amp;TEXT(IF($M381="",1/0,$M381*$B$4),"#,##0")&amp;"원","")&amp;IF($B$5&gt;0,IF($B$4&gt;0," / ","")&amp;"고급유 "&amp;TEXT(IF($N381="",1/0,$N381*$B$5),"#,##0")&amp;"원","")&amp;IF($B$6&gt;0,IF(OR($B$4&gt;0,$B$5&gt;0)," / ","")&amp;"경유 "&amp;TEXT(IF($O381="",1/0,$O381*$B$6),"#,##0")&amp;"원",""),""))</f>
        <v/>
      </c>
      <c r="Q381" s="17" t="str">
        <f aca="false">IF($B$10=0,"",IFERROR(IF($B$4&gt;0,IF($M381="",1/0,$M381*$B$4),0)+IF($B$5&gt;0,IF($N381="",1/0,$N381*$B$5),0)+IF($B$6&gt;0,IF($O381="",1/0,$O381*$B$6),0),""))</f>
        <v/>
      </c>
      <c r="R381" s="17" t="s">
        <v>47</v>
      </c>
      <c r="S381" s="18" t="str">
        <f aca="false">IF($Q381="","",IF($R381="Y",IFERROR(VLOOKUP($B381,$C$4:$D$13,2,FALSE()),0),0))</f>
        <v/>
      </c>
      <c r="T381" s="17" t="str">
        <f aca="false">IF($Q381="","",ROUNDDOWN($Q381*$S381,0))</f>
        <v/>
      </c>
      <c r="U381" s="17" t="str">
        <f aca="false">IF($Q381="","",$Q381-$T381)</f>
        <v/>
      </c>
      <c r="V381" s="17" t="str">
        <f aca="false">IF($U381="","",IF($B$10=0,"",$U381/$B$10))</f>
        <v/>
      </c>
      <c r="W381" s="17" t="str">
        <f aca="false">IF($Q381="","",IF($B$10=0,"",$Q381/$B$10))</f>
        <v/>
      </c>
      <c r="X381" s="19" t="n">
        <f aca="false">IF($U381="",1000000000000000,$U381)</f>
        <v>1000000000000000</v>
      </c>
      <c r="XFC381" s="6"/>
    </row>
    <row r="382" s="5" customFormat="true" ht="28.5" hidden="false" customHeight="true" outlineLevel="0" collapsed="false">
      <c r="A382" s="16" t="str">
        <f aca="false">IF($U382="","",1+COUNTIF($X$15:$X$728,"&lt;"&amp;X382))</f>
        <v/>
      </c>
      <c r="B382" s="16" t="s">
        <v>6</v>
      </c>
      <c r="C382" s="16" t="s">
        <v>1146</v>
      </c>
      <c r="D382" s="16" t="s">
        <v>58</v>
      </c>
      <c r="E382" s="16" t="s">
        <v>47</v>
      </c>
      <c r="F382" s="16" t="s">
        <v>1147</v>
      </c>
      <c r="G382" s="16" t="s">
        <v>1148</v>
      </c>
      <c r="H382" s="17" t="n">
        <v>1945</v>
      </c>
      <c r="I382" s="17"/>
      <c r="J382" s="17"/>
      <c r="K382" s="17" t="n">
        <v>1995</v>
      </c>
      <c r="L382" s="17" t="n">
        <f aca="false">IF(AND(IFERROR(SEARCH("현대오일뱅크",$C382),0)&gt;0,IFERROR(SEARCH("직영",$C382),0)&gt;0),$B$13,0)</f>
        <v>0</v>
      </c>
      <c r="M382" s="17" t="n">
        <f aca="false">IF($H382="","",$H382+$L382)</f>
        <v>1945</v>
      </c>
      <c r="N382" s="17" t="str">
        <f aca="false">IF($I382="","",$I382+$L382)</f>
        <v/>
      </c>
      <c r="O382" s="17" t="n">
        <f aca="false">IF($K382="","",$K382+$L382)</f>
        <v>1995</v>
      </c>
      <c r="P382" s="17" t="str">
        <f aca="false">IF($B$10=0,"",IFERROR(IF($B$4&gt;0,"휘발유 "&amp;TEXT(IF($M382="",1/0,$M382*$B$4),"#,##0")&amp;"원","")&amp;IF($B$5&gt;0,IF($B$4&gt;0," / ","")&amp;"고급유 "&amp;TEXT(IF($N382="",1/0,$N382*$B$5),"#,##0")&amp;"원","")&amp;IF($B$6&gt;0,IF(OR($B$4&gt;0,$B$5&gt;0)," / ","")&amp;"경유 "&amp;TEXT(IF($O382="",1/0,$O382*$B$6),"#,##0")&amp;"원",""),""))</f>
        <v/>
      </c>
      <c r="Q382" s="17" t="str">
        <f aca="false">IF($B$10=0,"",IFERROR(IF($B$4&gt;0,IF($M382="",1/0,$M382*$B$4),0)+IF($B$5&gt;0,IF($N382="",1/0,$N382*$B$5),0)+IF($B$6&gt;0,IF($O382="",1/0,$O382*$B$6),0),""))</f>
        <v/>
      </c>
      <c r="R382" s="17" t="s">
        <v>47</v>
      </c>
      <c r="S382" s="18" t="str">
        <f aca="false">IF($Q382="","",IF($R382="Y",IFERROR(VLOOKUP($B382,$C$4:$D$13,2,FALSE()),0),0))</f>
        <v/>
      </c>
      <c r="T382" s="17" t="str">
        <f aca="false">IF($Q382="","",ROUNDDOWN($Q382*$S382,0))</f>
        <v/>
      </c>
      <c r="U382" s="17" t="str">
        <f aca="false">IF($Q382="","",$Q382-$T382)</f>
        <v/>
      </c>
      <c r="V382" s="17" t="str">
        <f aca="false">IF($U382="","",IF($B$10=0,"",$U382/$B$10))</f>
        <v/>
      </c>
      <c r="W382" s="17" t="str">
        <f aca="false">IF($Q382="","",IF($B$10=0,"",$Q382/$B$10))</f>
        <v/>
      </c>
      <c r="X382" s="19" t="n">
        <f aca="false">IF($U382="",1000000000000000,$U382)</f>
        <v>1000000000000000</v>
      </c>
      <c r="XFC382" s="6"/>
    </row>
    <row r="383" s="5" customFormat="true" ht="28.5" hidden="false" customHeight="true" outlineLevel="0" collapsed="false">
      <c r="A383" s="16" t="str">
        <f aca="false">IF($U383="","",1+COUNTIF($X$15:$X$728,"&lt;"&amp;X383))</f>
        <v/>
      </c>
      <c r="B383" s="16" t="s">
        <v>6</v>
      </c>
      <c r="C383" s="16" t="s">
        <v>1149</v>
      </c>
      <c r="D383" s="20" t="s">
        <v>108</v>
      </c>
      <c r="E383" s="16" t="s">
        <v>47</v>
      </c>
      <c r="F383" s="16" t="s">
        <v>1150</v>
      </c>
      <c r="G383" s="16" t="s">
        <v>1151</v>
      </c>
      <c r="H383" s="17" t="n">
        <v>1945</v>
      </c>
      <c r="I383" s="17"/>
      <c r="J383" s="17"/>
      <c r="K383" s="17" t="n">
        <v>1995</v>
      </c>
      <c r="L383" s="17" t="n">
        <f aca="false">IF(AND(IFERROR(SEARCH("현대오일뱅크",$C383),0)&gt;0,IFERROR(SEARCH("직영",$C383),0)&gt;0),$B$13,0)</f>
        <v>0</v>
      </c>
      <c r="M383" s="17" t="n">
        <f aca="false">IF($H383="","",$H383+$L383)</f>
        <v>1945</v>
      </c>
      <c r="N383" s="17" t="str">
        <f aca="false">IF($I383="","",$I383+$L383)</f>
        <v/>
      </c>
      <c r="O383" s="17" t="n">
        <f aca="false">IF($K383="","",$K383+$L383)</f>
        <v>1995</v>
      </c>
      <c r="P383" s="17" t="str">
        <f aca="false">IF($B$10=0,"",IFERROR(IF($B$4&gt;0,"휘발유 "&amp;TEXT(IF($M383="",1/0,$M383*$B$4),"#,##0")&amp;"원","")&amp;IF($B$5&gt;0,IF($B$4&gt;0," / ","")&amp;"고급유 "&amp;TEXT(IF($N383="",1/0,$N383*$B$5),"#,##0")&amp;"원","")&amp;IF($B$6&gt;0,IF(OR($B$4&gt;0,$B$5&gt;0)," / ","")&amp;"경유 "&amp;TEXT(IF($O383="",1/0,$O383*$B$6),"#,##0")&amp;"원",""),""))</f>
        <v/>
      </c>
      <c r="Q383" s="17" t="str">
        <f aca="false">IF($B$10=0,"",IFERROR(IF($B$4&gt;0,IF($M383="",1/0,$M383*$B$4),0)+IF($B$5&gt;0,IF($N383="",1/0,$N383*$B$5),0)+IF($B$6&gt;0,IF($O383="",1/0,$O383*$B$6),0),""))</f>
        <v/>
      </c>
      <c r="R383" s="17" t="s">
        <v>47</v>
      </c>
      <c r="S383" s="18" t="str">
        <f aca="false">IF($Q383="","",IF($R383="Y",IFERROR(VLOOKUP($B383,$C$4:$D$13,2,FALSE()),0),0))</f>
        <v/>
      </c>
      <c r="T383" s="17" t="str">
        <f aca="false">IF($Q383="","",ROUNDDOWN($Q383*$S383,0))</f>
        <v/>
      </c>
      <c r="U383" s="17" t="str">
        <f aca="false">IF($Q383="","",$Q383-$T383)</f>
        <v/>
      </c>
      <c r="V383" s="17" t="str">
        <f aca="false">IF($U383="","",IF($B$10=0,"",$U383/$B$10))</f>
        <v/>
      </c>
      <c r="W383" s="17" t="str">
        <f aca="false">IF($Q383="","",IF($B$10=0,"",$Q383/$B$10))</f>
        <v/>
      </c>
      <c r="X383" s="19" t="n">
        <f aca="false">IF($U383="",1000000000000000,$U383)</f>
        <v>1000000000000000</v>
      </c>
      <c r="XFC383" s="6"/>
    </row>
    <row r="384" s="5" customFormat="true" ht="28.5" hidden="false" customHeight="true" outlineLevel="0" collapsed="false">
      <c r="A384" s="16" t="str">
        <f aca="false">IF($U384="","",1+COUNTIF($X$15:$X$728,"&lt;"&amp;X384))</f>
        <v/>
      </c>
      <c r="B384" s="16" t="s">
        <v>6</v>
      </c>
      <c r="C384" s="16" t="s">
        <v>1152</v>
      </c>
      <c r="D384" s="16" t="s">
        <v>58</v>
      </c>
      <c r="E384" s="16" t="s">
        <v>47</v>
      </c>
      <c r="F384" s="16" t="s">
        <v>1153</v>
      </c>
      <c r="G384" s="16" t="s">
        <v>1154</v>
      </c>
      <c r="H384" s="17" t="n">
        <v>1945</v>
      </c>
      <c r="I384" s="17"/>
      <c r="J384" s="17"/>
      <c r="K384" s="17" t="n">
        <v>1995</v>
      </c>
      <c r="L384" s="17" t="n">
        <f aca="false">IF(AND(IFERROR(SEARCH("현대오일뱅크",$C384),0)&gt;0,IFERROR(SEARCH("직영",$C384),0)&gt;0),$B$13,0)</f>
        <v>0</v>
      </c>
      <c r="M384" s="17" t="n">
        <f aca="false">IF($H384="","",$H384+$L384)</f>
        <v>1945</v>
      </c>
      <c r="N384" s="17" t="str">
        <f aca="false">IF($I384="","",$I384+$L384)</f>
        <v/>
      </c>
      <c r="O384" s="17" t="n">
        <f aca="false">IF($K384="","",$K384+$L384)</f>
        <v>1995</v>
      </c>
      <c r="P384" s="17" t="str">
        <f aca="false">IF($B$10=0,"",IFERROR(IF($B$4&gt;0,"휘발유 "&amp;TEXT(IF($M384="",1/0,$M384*$B$4),"#,##0")&amp;"원","")&amp;IF($B$5&gt;0,IF($B$4&gt;0," / ","")&amp;"고급유 "&amp;TEXT(IF($N384="",1/0,$N384*$B$5),"#,##0")&amp;"원","")&amp;IF($B$6&gt;0,IF(OR($B$4&gt;0,$B$5&gt;0)," / ","")&amp;"경유 "&amp;TEXT(IF($O384="",1/0,$O384*$B$6),"#,##0")&amp;"원",""),""))</f>
        <v/>
      </c>
      <c r="Q384" s="17" t="str">
        <f aca="false">IF($B$10=0,"",IFERROR(IF($B$4&gt;0,IF($M384="",1/0,$M384*$B$4),0)+IF($B$5&gt;0,IF($N384="",1/0,$N384*$B$5),0)+IF($B$6&gt;0,IF($O384="",1/0,$O384*$B$6),0),""))</f>
        <v/>
      </c>
      <c r="R384" s="17" t="s">
        <v>47</v>
      </c>
      <c r="S384" s="18" t="str">
        <f aca="false">IF($Q384="","",IF($R384="Y",IFERROR(VLOOKUP($B384,$C$4:$D$13,2,FALSE()),0),0))</f>
        <v/>
      </c>
      <c r="T384" s="17" t="str">
        <f aca="false">IF($Q384="","",ROUNDDOWN($Q384*$S384,0))</f>
        <v/>
      </c>
      <c r="U384" s="17" t="str">
        <f aca="false">IF($Q384="","",$Q384-$T384)</f>
        <v/>
      </c>
      <c r="V384" s="17" t="str">
        <f aca="false">IF($U384="","",IF($B$10=0,"",$U384/$B$10))</f>
        <v/>
      </c>
      <c r="W384" s="17" t="str">
        <f aca="false">IF($Q384="","",IF($B$10=0,"",$Q384/$B$10))</f>
        <v/>
      </c>
      <c r="X384" s="19" t="n">
        <f aca="false">IF($U384="",1000000000000000,$U384)</f>
        <v>1000000000000000</v>
      </c>
      <c r="XFC384" s="6"/>
    </row>
    <row r="385" s="5" customFormat="true" ht="28.5" hidden="false" customHeight="true" outlineLevel="0" collapsed="false">
      <c r="A385" s="16" t="str">
        <f aca="false">IF($U385="","",1+COUNTIF($X$15:$X$728,"&lt;"&amp;X385))</f>
        <v/>
      </c>
      <c r="B385" s="16" t="s">
        <v>6</v>
      </c>
      <c r="C385" s="16" t="s">
        <v>1155</v>
      </c>
      <c r="D385" s="20" t="s">
        <v>108</v>
      </c>
      <c r="E385" s="16" t="s">
        <v>47</v>
      </c>
      <c r="F385" s="16" t="s">
        <v>1156</v>
      </c>
      <c r="G385" s="16" t="s">
        <v>1157</v>
      </c>
      <c r="H385" s="17" t="n">
        <v>1945</v>
      </c>
      <c r="I385" s="17"/>
      <c r="J385" s="17"/>
      <c r="K385" s="17" t="n">
        <v>1999</v>
      </c>
      <c r="L385" s="17" t="n">
        <f aca="false">IF(AND(IFERROR(SEARCH("현대오일뱅크",$C385),0)&gt;0,IFERROR(SEARCH("직영",$C385),0)&gt;0),$B$13,0)</f>
        <v>0</v>
      </c>
      <c r="M385" s="17" t="n">
        <f aca="false">IF($H385="","",$H385+$L385)</f>
        <v>1945</v>
      </c>
      <c r="N385" s="17" t="str">
        <f aca="false">IF($I385="","",$I385+$L385)</f>
        <v/>
      </c>
      <c r="O385" s="17" t="n">
        <f aca="false">IF($K385="","",$K385+$L385)</f>
        <v>1999</v>
      </c>
      <c r="P385" s="17" t="str">
        <f aca="false">IF($B$10=0,"",IFERROR(IF($B$4&gt;0,"휘발유 "&amp;TEXT(IF($M385="",1/0,$M385*$B$4),"#,##0")&amp;"원","")&amp;IF($B$5&gt;0,IF($B$4&gt;0," / ","")&amp;"고급유 "&amp;TEXT(IF($N385="",1/0,$N385*$B$5),"#,##0")&amp;"원","")&amp;IF($B$6&gt;0,IF(OR($B$4&gt;0,$B$5&gt;0)," / ","")&amp;"경유 "&amp;TEXT(IF($O385="",1/0,$O385*$B$6),"#,##0")&amp;"원",""),""))</f>
        <v/>
      </c>
      <c r="Q385" s="17" t="str">
        <f aca="false">IF($B$10=0,"",IFERROR(IF($B$4&gt;0,IF($M385="",1/0,$M385*$B$4),0)+IF($B$5&gt;0,IF($N385="",1/0,$N385*$B$5),0)+IF($B$6&gt;0,IF($O385="",1/0,$O385*$B$6),0),""))</f>
        <v/>
      </c>
      <c r="R385" s="17" t="s">
        <v>47</v>
      </c>
      <c r="S385" s="18" t="str">
        <f aca="false">IF($Q385="","",IF($R385="Y",IFERROR(VLOOKUP($B385,$C$4:$D$13,2,FALSE()),0),0))</f>
        <v/>
      </c>
      <c r="T385" s="17" t="str">
        <f aca="false">IF($Q385="","",ROUNDDOWN($Q385*$S385,0))</f>
        <v/>
      </c>
      <c r="U385" s="17" t="str">
        <f aca="false">IF($Q385="","",$Q385-$T385)</f>
        <v/>
      </c>
      <c r="V385" s="17" t="str">
        <f aca="false">IF($U385="","",IF($B$10=0,"",$U385/$B$10))</f>
        <v/>
      </c>
      <c r="W385" s="17" t="str">
        <f aca="false">IF($Q385="","",IF($B$10=0,"",$Q385/$B$10))</f>
        <v/>
      </c>
      <c r="X385" s="19" t="n">
        <f aca="false">IF($U385="",1000000000000000,$U385)</f>
        <v>1000000000000000</v>
      </c>
      <c r="XFC385" s="6"/>
    </row>
    <row r="386" s="5" customFormat="true" ht="28.5" hidden="false" customHeight="true" outlineLevel="0" collapsed="false">
      <c r="A386" s="16" t="str">
        <f aca="false">IF($U386="","",1+COUNTIF($X$15:$X$728,"&lt;"&amp;X386))</f>
        <v/>
      </c>
      <c r="B386" s="16" t="s">
        <v>6</v>
      </c>
      <c r="C386" s="16" t="s">
        <v>1158</v>
      </c>
      <c r="D386" s="20" t="s">
        <v>108</v>
      </c>
      <c r="E386" s="16" t="s">
        <v>47</v>
      </c>
      <c r="F386" s="16" t="s">
        <v>1159</v>
      </c>
      <c r="G386" s="16" t="s">
        <v>1160</v>
      </c>
      <c r="H386" s="17" t="n">
        <v>1947</v>
      </c>
      <c r="I386" s="17"/>
      <c r="J386" s="17"/>
      <c r="K386" s="17" t="n">
        <v>1942</v>
      </c>
      <c r="L386" s="17" t="n">
        <f aca="false">IF(AND(IFERROR(SEARCH("현대오일뱅크",$C386),0)&gt;0,IFERROR(SEARCH("직영",$C386),0)&gt;0),$B$13,0)</f>
        <v>0</v>
      </c>
      <c r="M386" s="17" t="n">
        <f aca="false">IF($H386="","",$H386+$L386)</f>
        <v>1947</v>
      </c>
      <c r="N386" s="17" t="str">
        <f aca="false">IF($I386="","",$I386+$L386)</f>
        <v/>
      </c>
      <c r="O386" s="17" t="n">
        <f aca="false">IF($K386="","",$K386+$L386)</f>
        <v>1942</v>
      </c>
      <c r="P386" s="17" t="str">
        <f aca="false">IF($B$10=0,"",IFERROR(IF($B$4&gt;0,"휘발유 "&amp;TEXT(IF($M386="",1/0,$M386*$B$4),"#,##0")&amp;"원","")&amp;IF($B$5&gt;0,IF($B$4&gt;0," / ","")&amp;"고급유 "&amp;TEXT(IF($N386="",1/0,$N386*$B$5),"#,##0")&amp;"원","")&amp;IF($B$6&gt;0,IF(OR($B$4&gt;0,$B$5&gt;0)," / ","")&amp;"경유 "&amp;TEXT(IF($O386="",1/0,$O386*$B$6),"#,##0")&amp;"원",""),""))</f>
        <v/>
      </c>
      <c r="Q386" s="17" t="str">
        <f aca="false">IF($B$10=0,"",IFERROR(IF($B$4&gt;0,IF($M386="",1/0,$M386*$B$4),0)+IF($B$5&gt;0,IF($N386="",1/0,$N386*$B$5),0)+IF($B$6&gt;0,IF($O386="",1/0,$O386*$B$6),0),""))</f>
        <v/>
      </c>
      <c r="R386" s="17" t="s">
        <v>47</v>
      </c>
      <c r="S386" s="18" t="str">
        <f aca="false">IF($Q386="","",IF($R386="Y",IFERROR(VLOOKUP($B386,$C$4:$D$13,2,FALSE()),0),0))</f>
        <v/>
      </c>
      <c r="T386" s="17" t="str">
        <f aca="false">IF($Q386="","",ROUNDDOWN($Q386*$S386,0))</f>
        <v/>
      </c>
      <c r="U386" s="17" t="str">
        <f aca="false">IF($Q386="","",$Q386-$T386)</f>
        <v/>
      </c>
      <c r="V386" s="17" t="str">
        <f aca="false">IF($U386="","",IF($B$10=0,"",$U386/$B$10))</f>
        <v/>
      </c>
      <c r="W386" s="17" t="str">
        <f aca="false">IF($Q386="","",IF($B$10=0,"",$Q386/$B$10))</f>
        <v/>
      </c>
      <c r="X386" s="19" t="n">
        <f aca="false">IF($U386="",1000000000000000,$U386)</f>
        <v>1000000000000000</v>
      </c>
      <c r="XFC386" s="6"/>
    </row>
    <row r="387" s="5" customFormat="true" ht="28.5" hidden="false" customHeight="true" outlineLevel="0" collapsed="false">
      <c r="A387" s="16" t="str">
        <f aca="false">IF($U387="","",1+COUNTIF($X$15:$X$728,"&lt;"&amp;X387))</f>
        <v/>
      </c>
      <c r="B387" s="16" t="s">
        <v>6</v>
      </c>
      <c r="C387" s="16" t="s">
        <v>1161</v>
      </c>
      <c r="D387" s="16" t="s">
        <v>58</v>
      </c>
      <c r="E387" s="16" t="s">
        <v>59</v>
      </c>
      <c r="F387" s="16" t="s">
        <v>1162</v>
      </c>
      <c r="G387" s="16" t="s">
        <v>1163</v>
      </c>
      <c r="H387" s="17" t="n">
        <v>1947</v>
      </c>
      <c r="I387" s="17"/>
      <c r="J387" s="17"/>
      <c r="K387" s="17" t="n">
        <v>1957</v>
      </c>
      <c r="L387" s="17" t="n">
        <f aca="false">IF(AND(IFERROR(SEARCH("현대오일뱅크",$C387),0)&gt;0,IFERROR(SEARCH("직영",$C387),0)&gt;0),$B$13,0)</f>
        <v>0</v>
      </c>
      <c r="M387" s="17" t="n">
        <f aca="false">IF($H387="","",$H387+$L387)</f>
        <v>1947</v>
      </c>
      <c r="N387" s="17" t="str">
        <f aca="false">IF($I387="","",$I387+$L387)</f>
        <v/>
      </c>
      <c r="O387" s="17" t="n">
        <f aca="false">IF($K387="","",$K387+$L387)</f>
        <v>1957</v>
      </c>
      <c r="P387" s="17" t="str">
        <f aca="false">IF($B$10=0,"",IFERROR(IF($B$4&gt;0,"휘발유 "&amp;TEXT(IF($M387="",1/0,$M387*$B$4),"#,##0")&amp;"원","")&amp;IF($B$5&gt;0,IF($B$4&gt;0," / ","")&amp;"고급유 "&amp;TEXT(IF($N387="",1/0,$N387*$B$5),"#,##0")&amp;"원","")&amp;IF($B$6&gt;0,IF(OR($B$4&gt;0,$B$5&gt;0)," / ","")&amp;"경유 "&amp;TEXT(IF($O387="",1/0,$O387*$B$6),"#,##0")&amp;"원",""),""))</f>
        <v/>
      </c>
      <c r="Q387" s="17" t="str">
        <f aca="false">IF($B$10=0,"",IFERROR(IF($B$4&gt;0,IF($M387="",1/0,$M387*$B$4),0)+IF($B$5&gt;0,IF($N387="",1/0,$N387*$B$5),0)+IF($B$6&gt;0,IF($O387="",1/0,$O387*$B$6),0),""))</f>
        <v/>
      </c>
      <c r="R387" s="17" t="s">
        <v>47</v>
      </c>
      <c r="S387" s="18" t="str">
        <f aca="false">IF($Q387="","",IF($R387="Y",IFERROR(VLOOKUP($B387,$C$4:$D$13,2,FALSE()),0),0))</f>
        <v/>
      </c>
      <c r="T387" s="17" t="str">
        <f aca="false">IF($Q387="","",ROUNDDOWN($Q387*$S387,0))</f>
        <v/>
      </c>
      <c r="U387" s="17" t="str">
        <f aca="false">IF($Q387="","",$Q387-$T387)</f>
        <v/>
      </c>
      <c r="V387" s="17" t="str">
        <f aca="false">IF($U387="","",IF($B$10=0,"",$U387/$B$10))</f>
        <v/>
      </c>
      <c r="W387" s="17" t="str">
        <f aca="false">IF($Q387="","",IF($B$10=0,"",$Q387/$B$10))</f>
        <v/>
      </c>
      <c r="X387" s="19" t="n">
        <f aca="false">IF($U387="",1000000000000000,$U387)</f>
        <v>1000000000000000</v>
      </c>
      <c r="XFC387" s="6"/>
    </row>
    <row r="388" s="5" customFormat="true" ht="28.5" hidden="false" customHeight="true" outlineLevel="0" collapsed="false">
      <c r="A388" s="16" t="str">
        <f aca="false">IF($U388="","",1+COUNTIF($X$15:$X$728,"&lt;"&amp;X388))</f>
        <v/>
      </c>
      <c r="B388" s="16" t="s">
        <v>12</v>
      </c>
      <c r="C388" s="16" t="s">
        <v>1164</v>
      </c>
      <c r="D388" s="20" t="s">
        <v>112</v>
      </c>
      <c r="E388" s="16" t="s">
        <v>47</v>
      </c>
      <c r="F388" s="16" t="s">
        <v>1165</v>
      </c>
      <c r="G388" s="16" t="s">
        <v>1166</v>
      </c>
      <c r="H388" s="17" t="n">
        <v>1947</v>
      </c>
      <c r="I388" s="17"/>
      <c r="J388" s="17"/>
      <c r="K388" s="17" t="n">
        <v>1957</v>
      </c>
      <c r="L388" s="17" t="n">
        <f aca="false">IF(AND(IFERROR(SEARCH("현대오일뱅크",$C388),0)&gt;0,IFERROR(SEARCH("직영",$C388),0)&gt;0),$B$13,0)</f>
        <v>0</v>
      </c>
      <c r="M388" s="17" t="n">
        <f aca="false">IF($H388="","",$H388+$L388)</f>
        <v>1947</v>
      </c>
      <c r="N388" s="17" t="str">
        <f aca="false">IF($I388="","",$I388+$L388)</f>
        <v/>
      </c>
      <c r="O388" s="17" t="n">
        <f aca="false">IF($K388="","",$K388+$L388)</f>
        <v>1957</v>
      </c>
      <c r="P388" s="17" t="str">
        <f aca="false">IF($B$10=0,"",IFERROR(IF($B$4&gt;0,"휘발유 "&amp;TEXT(IF($M388="",1/0,$M388*$B$4),"#,##0")&amp;"원","")&amp;IF($B$5&gt;0,IF($B$4&gt;0," / ","")&amp;"고급유 "&amp;TEXT(IF($N388="",1/0,$N388*$B$5),"#,##0")&amp;"원","")&amp;IF($B$6&gt;0,IF(OR($B$4&gt;0,$B$5&gt;0)," / ","")&amp;"경유 "&amp;TEXT(IF($O388="",1/0,$O388*$B$6),"#,##0")&amp;"원",""),""))</f>
        <v/>
      </c>
      <c r="Q388" s="17" t="str">
        <f aca="false">IF($B$10=0,"",IFERROR(IF($B$4&gt;0,IF($M388="",1/0,$M388*$B$4),0)+IF($B$5&gt;0,IF($N388="",1/0,$N388*$B$5),0)+IF($B$6&gt;0,IF($O388="",1/0,$O388*$B$6),0),""))</f>
        <v/>
      </c>
      <c r="R388" s="17" t="s">
        <v>47</v>
      </c>
      <c r="S388" s="18" t="str">
        <f aca="false">IF($Q388="","",IF($R388="Y",IFERROR(VLOOKUP($B388,$C$4:$D$13,2,FALSE()),0),0))</f>
        <v/>
      </c>
      <c r="T388" s="17" t="str">
        <f aca="false">IF($Q388="","",ROUNDDOWN($Q388*$S388,0))</f>
        <v/>
      </c>
      <c r="U388" s="17" t="str">
        <f aca="false">IF($Q388="","",$Q388-$T388)</f>
        <v/>
      </c>
      <c r="V388" s="17" t="str">
        <f aca="false">IF($U388="","",IF($B$10=0,"",$U388/$B$10))</f>
        <v/>
      </c>
      <c r="W388" s="17" t="str">
        <f aca="false">IF($Q388="","",IF($B$10=0,"",$Q388/$B$10))</f>
        <v/>
      </c>
      <c r="X388" s="19" t="n">
        <f aca="false">IF($U388="",1000000000000000,$U388)</f>
        <v>1000000000000000</v>
      </c>
      <c r="XFC388" s="6"/>
    </row>
    <row r="389" s="5" customFormat="true" ht="28.5" hidden="false" customHeight="true" outlineLevel="0" collapsed="false">
      <c r="A389" s="16" t="str">
        <f aca="false">IF($U389="","",1+COUNTIF($X$15:$X$728,"&lt;"&amp;X389))</f>
        <v/>
      </c>
      <c r="B389" s="16" t="s">
        <v>6</v>
      </c>
      <c r="C389" s="16" t="s">
        <v>868</v>
      </c>
      <c r="D389" s="20" t="s">
        <v>108</v>
      </c>
      <c r="E389" s="16" t="s">
        <v>47</v>
      </c>
      <c r="F389" s="16" t="s">
        <v>1167</v>
      </c>
      <c r="G389" s="16" t="s">
        <v>1168</v>
      </c>
      <c r="H389" s="17" t="n">
        <v>1947</v>
      </c>
      <c r="I389" s="17"/>
      <c r="J389" s="17"/>
      <c r="K389" s="17" t="n">
        <v>1987</v>
      </c>
      <c r="L389" s="17" t="n">
        <f aca="false">IF(AND(IFERROR(SEARCH("현대오일뱅크",$C389),0)&gt;0,IFERROR(SEARCH("직영",$C389),0)&gt;0),$B$13,0)</f>
        <v>0</v>
      </c>
      <c r="M389" s="17" t="n">
        <f aca="false">IF($H389="","",$H389+$L389)</f>
        <v>1947</v>
      </c>
      <c r="N389" s="17" t="str">
        <f aca="false">IF($I389="","",$I389+$L389)</f>
        <v/>
      </c>
      <c r="O389" s="17" t="n">
        <f aca="false">IF($K389="","",$K389+$L389)</f>
        <v>1987</v>
      </c>
      <c r="P389" s="17" t="str">
        <f aca="false">IF($B$10=0,"",IFERROR(IF($B$4&gt;0,"휘발유 "&amp;TEXT(IF($M389="",1/0,$M389*$B$4),"#,##0")&amp;"원","")&amp;IF($B$5&gt;0,IF($B$4&gt;0," / ","")&amp;"고급유 "&amp;TEXT(IF($N389="",1/0,$N389*$B$5),"#,##0")&amp;"원","")&amp;IF($B$6&gt;0,IF(OR($B$4&gt;0,$B$5&gt;0)," / ","")&amp;"경유 "&amp;TEXT(IF($O389="",1/0,$O389*$B$6),"#,##0")&amp;"원",""),""))</f>
        <v/>
      </c>
      <c r="Q389" s="17" t="str">
        <f aca="false">IF($B$10=0,"",IFERROR(IF($B$4&gt;0,IF($M389="",1/0,$M389*$B$4),0)+IF($B$5&gt;0,IF($N389="",1/0,$N389*$B$5),0)+IF($B$6&gt;0,IF($O389="",1/0,$O389*$B$6),0),""))</f>
        <v/>
      </c>
      <c r="R389" s="17" t="s">
        <v>47</v>
      </c>
      <c r="S389" s="18" t="str">
        <f aca="false">IF($Q389="","",IF($R389="Y",IFERROR(VLOOKUP($B389,$C$4:$D$13,2,FALSE()),0),0))</f>
        <v/>
      </c>
      <c r="T389" s="17" t="str">
        <f aca="false">IF($Q389="","",ROUNDDOWN($Q389*$S389,0))</f>
        <v/>
      </c>
      <c r="U389" s="17" t="str">
        <f aca="false">IF($Q389="","",$Q389-$T389)</f>
        <v/>
      </c>
      <c r="V389" s="17" t="str">
        <f aca="false">IF($U389="","",IF($B$10=0,"",$U389/$B$10))</f>
        <v/>
      </c>
      <c r="W389" s="17" t="str">
        <f aca="false">IF($Q389="","",IF($B$10=0,"",$Q389/$B$10))</f>
        <v/>
      </c>
      <c r="X389" s="19" t="n">
        <f aca="false">IF($U389="",1000000000000000,$U389)</f>
        <v>1000000000000000</v>
      </c>
      <c r="XFC389" s="6"/>
    </row>
    <row r="390" s="5" customFormat="true" ht="28.5" hidden="false" customHeight="true" outlineLevel="0" collapsed="false">
      <c r="A390" s="16" t="str">
        <f aca="false">IF($U390="","",1+COUNTIF($X$15:$X$728,"&lt;"&amp;X390))</f>
        <v/>
      </c>
      <c r="B390" s="16" t="s">
        <v>14</v>
      </c>
      <c r="C390" s="16" t="s">
        <v>1169</v>
      </c>
      <c r="D390" s="16" t="s">
        <v>112</v>
      </c>
      <c r="E390" s="16" t="s">
        <v>59</v>
      </c>
      <c r="F390" s="16" t="s">
        <v>1170</v>
      </c>
      <c r="G390" s="16" t="s">
        <v>1171</v>
      </c>
      <c r="H390" s="17" t="n">
        <v>1969</v>
      </c>
      <c r="I390" s="17"/>
      <c r="J390" s="17"/>
      <c r="K390" s="17" t="n">
        <v>1999</v>
      </c>
      <c r="L390" s="17" t="n">
        <f aca="false">IF(AND(IFERROR(SEARCH("현대오일뱅크",$C390),0)&gt;0,IFERROR(SEARCH("직영",$C390),0)&gt;0),$B$13,0)</f>
        <v>0</v>
      </c>
      <c r="M390" s="17" t="n">
        <f aca="false">IF($H390="","",$H390+$L390)</f>
        <v>1969</v>
      </c>
      <c r="N390" s="17" t="str">
        <f aca="false">IF($I390="","",$I390+$L390)</f>
        <v/>
      </c>
      <c r="O390" s="17" t="n">
        <f aca="false">IF($K390="","",$K390+$L390)</f>
        <v>1999</v>
      </c>
      <c r="P390" s="17" t="str">
        <f aca="false">IF($B$10=0,"",IFERROR(IF($B$4&gt;0,"휘발유 "&amp;TEXT(IF($M390="",1/0,$M390*$B$4),"#,##0")&amp;"원","")&amp;IF($B$5&gt;0,IF($B$4&gt;0," / ","")&amp;"고급유 "&amp;TEXT(IF($N390="",1/0,$N390*$B$5),"#,##0")&amp;"원","")&amp;IF($B$6&gt;0,IF(OR($B$4&gt;0,$B$5&gt;0)," / ","")&amp;"경유 "&amp;TEXT(IF($O390="",1/0,$O390*$B$6),"#,##0")&amp;"원",""),""))</f>
        <v/>
      </c>
      <c r="Q390" s="17" t="str">
        <f aca="false">IF($B$10=0,"",IFERROR(IF($B$4&gt;0,IF($M390="",1/0,$M390*$B$4),0)+IF($B$5&gt;0,IF($N390="",1/0,$N390*$B$5),0)+IF($B$6&gt;0,IF($O390="",1/0,$O390*$B$6),0),""))</f>
        <v/>
      </c>
      <c r="R390" s="17" t="s">
        <v>47</v>
      </c>
      <c r="S390" s="18" t="str">
        <f aca="false">IF($Q390="","",IF($R390="Y",IFERROR(VLOOKUP($B390,$C$4:$D$13,2,FALSE()),0),0))</f>
        <v/>
      </c>
      <c r="T390" s="17" t="str">
        <f aca="false">IF($Q390="","",ROUNDDOWN($Q390*$S390,0))</f>
        <v/>
      </c>
      <c r="U390" s="17" t="str">
        <f aca="false">IF($Q390="","",$Q390-$T390)</f>
        <v/>
      </c>
      <c r="V390" s="17" t="str">
        <f aca="false">IF($U390="","",IF($B$10=0,"",$U390/$B$10))</f>
        <v/>
      </c>
      <c r="W390" s="17" t="str">
        <f aca="false">IF($Q390="","",IF($B$10=0,"",$Q390/$B$10))</f>
        <v/>
      </c>
      <c r="X390" s="19" t="n">
        <f aca="false">IF($U390="",1000000000000000,$U390)</f>
        <v>1000000000000000</v>
      </c>
      <c r="XFC390" s="6"/>
    </row>
    <row r="391" s="5" customFormat="true" ht="28.5" hidden="false" customHeight="true" outlineLevel="0" collapsed="false">
      <c r="A391" s="16" t="str">
        <f aca="false">IF($U391="","",1+COUNTIF($X$15:$X$728,"&lt;"&amp;X391))</f>
        <v/>
      </c>
      <c r="B391" s="16" t="s">
        <v>12</v>
      </c>
      <c r="C391" s="16" t="s">
        <v>1172</v>
      </c>
      <c r="D391" s="20" t="s">
        <v>294</v>
      </c>
      <c r="E391" s="16" t="s">
        <v>47</v>
      </c>
      <c r="F391" s="16" t="s">
        <v>1173</v>
      </c>
      <c r="G391" s="16" t="s">
        <v>1174</v>
      </c>
      <c r="H391" s="17" t="n">
        <v>1948</v>
      </c>
      <c r="I391" s="17"/>
      <c r="J391" s="17"/>
      <c r="K391" s="17" t="n">
        <v>1998</v>
      </c>
      <c r="L391" s="17" t="n">
        <f aca="false">IF(AND(IFERROR(SEARCH("현대오일뱅크",$C391),0)&gt;0,IFERROR(SEARCH("직영",$C391),0)&gt;0),$B$13,0)</f>
        <v>0</v>
      </c>
      <c r="M391" s="17" t="n">
        <f aca="false">IF($H391="","",$H391+$L391)</f>
        <v>1948</v>
      </c>
      <c r="N391" s="17" t="str">
        <f aca="false">IF($I391="","",$I391+$L391)</f>
        <v/>
      </c>
      <c r="O391" s="17" t="n">
        <f aca="false">IF($K391="","",$K391+$L391)</f>
        <v>1998</v>
      </c>
      <c r="P391" s="17" t="str">
        <f aca="false">IF($B$10=0,"",IFERROR(IF($B$4&gt;0,"휘발유 "&amp;TEXT(IF($M391="",1/0,$M391*$B$4),"#,##0")&amp;"원","")&amp;IF($B$5&gt;0,IF($B$4&gt;0," / ","")&amp;"고급유 "&amp;TEXT(IF($N391="",1/0,$N391*$B$5),"#,##0")&amp;"원","")&amp;IF($B$6&gt;0,IF(OR($B$4&gt;0,$B$5&gt;0)," / ","")&amp;"경유 "&amp;TEXT(IF($O391="",1/0,$O391*$B$6),"#,##0")&amp;"원",""),""))</f>
        <v/>
      </c>
      <c r="Q391" s="17" t="str">
        <f aca="false">IF($B$10=0,"",IFERROR(IF($B$4&gt;0,IF($M391="",1/0,$M391*$B$4),0)+IF($B$5&gt;0,IF($N391="",1/0,$N391*$B$5),0)+IF($B$6&gt;0,IF($O391="",1/0,$O391*$B$6),0),""))</f>
        <v/>
      </c>
      <c r="R391" s="17" t="s">
        <v>47</v>
      </c>
      <c r="S391" s="18" t="str">
        <f aca="false">IF($Q391="","",IF($R391="Y",IFERROR(VLOOKUP($B391,$C$4:$D$13,2,FALSE()),0),0))</f>
        <v/>
      </c>
      <c r="T391" s="17" t="str">
        <f aca="false">IF($Q391="","",ROUNDDOWN($Q391*$S391,0))</f>
        <v/>
      </c>
      <c r="U391" s="17" t="str">
        <f aca="false">IF($Q391="","",$Q391-$T391)</f>
        <v/>
      </c>
      <c r="V391" s="17" t="str">
        <f aca="false">IF($U391="","",IF($B$10=0,"",$U391/$B$10))</f>
        <v/>
      </c>
      <c r="W391" s="17" t="str">
        <f aca="false">IF($Q391="","",IF($B$10=0,"",$Q391/$B$10))</f>
        <v/>
      </c>
      <c r="X391" s="19" t="n">
        <f aca="false">IF($U391="",1000000000000000,$U391)</f>
        <v>1000000000000000</v>
      </c>
      <c r="XFC391" s="6"/>
    </row>
    <row r="392" s="5" customFormat="true" ht="28.5" hidden="false" customHeight="true" outlineLevel="0" collapsed="false">
      <c r="A392" s="16" t="str">
        <f aca="false">IF($U392="","",1+COUNTIF($X$15:$X$728,"&lt;"&amp;X392))</f>
        <v/>
      </c>
      <c r="B392" s="16" t="s">
        <v>6</v>
      </c>
      <c r="C392" s="16" t="s">
        <v>1175</v>
      </c>
      <c r="D392" s="16" t="s">
        <v>51</v>
      </c>
      <c r="E392" s="16" t="s">
        <v>47</v>
      </c>
      <c r="F392" s="16" t="s">
        <v>1176</v>
      </c>
      <c r="G392" s="16" t="s">
        <v>1177</v>
      </c>
      <c r="H392" s="17" t="n">
        <v>1948</v>
      </c>
      <c r="I392" s="17"/>
      <c r="J392" s="17"/>
      <c r="K392" s="17" t="n">
        <v>1998</v>
      </c>
      <c r="L392" s="17" t="n">
        <f aca="false">IF(AND(IFERROR(SEARCH("현대오일뱅크",$C392),0)&gt;0,IFERROR(SEARCH("직영",$C392),0)&gt;0),$B$13,0)</f>
        <v>0</v>
      </c>
      <c r="M392" s="17" t="n">
        <f aca="false">IF($H392="","",$H392+$L392)</f>
        <v>1948</v>
      </c>
      <c r="N392" s="17" t="str">
        <f aca="false">IF($I392="","",$I392+$L392)</f>
        <v/>
      </c>
      <c r="O392" s="17" t="n">
        <f aca="false">IF($K392="","",$K392+$L392)</f>
        <v>1998</v>
      </c>
      <c r="P392" s="17" t="str">
        <f aca="false">IF($B$10=0,"",IFERROR(IF($B$4&gt;0,"휘발유 "&amp;TEXT(IF($M392="",1/0,$M392*$B$4),"#,##0")&amp;"원","")&amp;IF($B$5&gt;0,IF($B$4&gt;0," / ","")&amp;"고급유 "&amp;TEXT(IF($N392="",1/0,$N392*$B$5),"#,##0")&amp;"원","")&amp;IF($B$6&gt;0,IF(OR($B$4&gt;0,$B$5&gt;0)," / ","")&amp;"경유 "&amp;TEXT(IF($O392="",1/0,$O392*$B$6),"#,##0")&amp;"원",""),""))</f>
        <v/>
      </c>
      <c r="Q392" s="17" t="str">
        <f aca="false">IF($B$10=0,"",IFERROR(IF($B$4&gt;0,IF($M392="",1/0,$M392*$B$4),0)+IF($B$5&gt;0,IF($N392="",1/0,$N392*$B$5),0)+IF($B$6&gt;0,IF($O392="",1/0,$O392*$B$6),0),""))</f>
        <v/>
      </c>
      <c r="R392" s="17" t="s">
        <v>47</v>
      </c>
      <c r="S392" s="18" t="str">
        <f aca="false">IF($Q392="","",IF($R392="Y",IFERROR(VLOOKUP($B392,$C$4:$D$13,2,FALSE()),0),0))</f>
        <v/>
      </c>
      <c r="T392" s="17" t="str">
        <f aca="false">IF($Q392="","",ROUNDDOWN($Q392*$S392,0))</f>
        <v/>
      </c>
      <c r="U392" s="17" t="str">
        <f aca="false">IF($Q392="","",$Q392-$T392)</f>
        <v/>
      </c>
      <c r="V392" s="17" t="str">
        <f aca="false">IF($U392="","",IF($B$10=0,"",$U392/$B$10))</f>
        <v/>
      </c>
      <c r="W392" s="17" t="str">
        <f aca="false">IF($Q392="","",IF($B$10=0,"",$Q392/$B$10))</f>
        <v/>
      </c>
      <c r="X392" s="19" t="n">
        <f aca="false">IF($U392="",1000000000000000,$U392)</f>
        <v>1000000000000000</v>
      </c>
      <c r="XFC392" s="6"/>
    </row>
    <row r="393" s="5" customFormat="true" ht="28.5" hidden="false" customHeight="true" outlineLevel="0" collapsed="false">
      <c r="A393" s="16" t="str">
        <f aca="false">IF($U393="","",1+COUNTIF($X$15:$X$728,"&lt;"&amp;X393))</f>
        <v/>
      </c>
      <c r="B393" s="16" t="s">
        <v>6</v>
      </c>
      <c r="C393" s="16" t="s">
        <v>1178</v>
      </c>
      <c r="D393" s="16" t="s">
        <v>112</v>
      </c>
      <c r="E393" s="16" t="s">
        <v>47</v>
      </c>
      <c r="F393" s="16" t="s">
        <v>1179</v>
      </c>
      <c r="G393" s="16" t="s">
        <v>1180</v>
      </c>
      <c r="H393" s="17" t="n">
        <v>1948</v>
      </c>
      <c r="I393" s="17"/>
      <c r="J393" s="17"/>
      <c r="K393" s="17" t="n">
        <v>1998</v>
      </c>
      <c r="L393" s="17" t="n">
        <f aca="false">IF(AND(IFERROR(SEARCH("현대오일뱅크",$C393),0)&gt;0,IFERROR(SEARCH("직영",$C393),0)&gt;0),$B$13,0)</f>
        <v>0</v>
      </c>
      <c r="M393" s="17" t="n">
        <f aca="false">IF($H393="","",$H393+$L393)</f>
        <v>1948</v>
      </c>
      <c r="N393" s="17" t="str">
        <f aca="false">IF($I393="","",$I393+$L393)</f>
        <v/>
      </c>
      <c r="O393" s="17" t="n">
        <f aca="false">IF($K393="","",$K393+$L393)</f>
        <v>1998</v>
      </c>
      <c r="P393" s="17" t="str">
        <f aca="false">IF($B$10=0,"",IFERROR(IF($B$4&gt;0,"휘발유 "&amp;TEXT(IF($M393="",1/0,$M393*$B$4),"#,##0")&amp;"원","")&amp;IF($B$5&gt;0,IF($B$4&gt;0," / ","")&amp;"고급유 "&amp;TEXT(IF($N393="",1/0,$N393*$B$5),"#,##0")&amp;"원","")&amp;IF($B$6&gt;0,IF(OR($B$4&gt;0,$B$5&gt;0)," / ","")&amp;"경유 "&amp;TEXT(IF($O393="",1/0,$O393*$B$6),"#,##0")&amp;"원",""),""))</f>
        <v/>
      </c>
      <c r="Q393" s="17" t="str">
        <f aca="false">IF($B$10=0,"",IFERROR(IF($B$4&gt;0,IF($M393="",1/0,$M393*$B$4),0)+IF($B$5&gt;0,IF($N393="",1/0,$N393*$B$5),0)+IF($B$6&gt;0,IF($O393="",1/0,$O393*$B$6),0),""))</f>
        <v/>
      </c>
      <c r="R393" s="17" t="s">
        <v>47</v>
      </c>
      <c r="S393" s="18" t="str">
        <f aca="false">IF($Q393="","",IF($R393="Y",IFERROR(VLOOKUP($B393,$C$4:$D$13,2,FALSE()),0),0))</f>
        <v/>
      </c>
      <c r="T393" s="17" t="str">
        <f aca="false">IF($Q393="","",ROUNDDOWN($Q393*$S393,0))</f>
        <v/>
      </c>
      <c r="U393" s="17" t="str">
        <f aca="false">IF($Q393="","",$Q393-$T393)</f>
        <v/>
      </c>
      <c r="V393" s="17" t="str">
        <f aca="false">IF($U393="","",IF($B$10=0,"",$U393/$B$10))</f>
        <v/>
      </c>
      <c r="W393" s="17" t="str">
        <f aca="false">IF($Q393="","",IF($B$10=0,"",$Q393/$B$10))</f>
        <v/>
      </c>
      <c r="X393" s="19" t="n">
        <f aca="false">IF($U393="",1000000000000000,$U393)</f>
        <v>1000000000000000</v>
      </c>
      <c r="XFC393" s="6"/>
    </row>
    <row r="394" s="5" customFormat="true" ht="28.5" hidden="false" customHeight="true" outlineLevel="0" collapsed="false">
      <c r="A394" s="16" t="str">
        <f aca="false">IF($U394="","",1+COUNTIF($X$15:$X$728,"&lt;"&amp;X394))</f>
        <v/>
      </c>
      <c r="B394" s="16" t="s">
        <v>10</v>
      </c>
      <c r="C394" s="16" t="s">
        <v>1181</v>
      </c>
      <c r="D394" s="16" t="s">
        <v>58</v>
      </c>
      <c r="E394" s="16" t="s">
        <v>47</v>
      </c>
      <c r="F394" s="16" t="s">
        <v>1182</v>
      </c>
      <c r="G394" s="16" t="s">
        <v>1183</v>
      </c>
      <c r="H394" s="17" t="n">
        <v>1948</v>
      </c>
      <c r="I394" s="17"/>
      <c r="J394" s="17"/>
      <c r="K394" s="17" t="n">
        <v>1985</v>
      </c>
      <c r="L394" s="17" t="n">
        <f aca="false">IF(AND(IFERROR(SEARCH("현대오일뱅크",$C394),0)&gt;0,IFERROR(SEARCH("직영",$C394),0)&gt;0),$B$13,0)</f>
        <v>0</v>
      </c>
      <c r="M394" s="17" t="n">
        <f aca="false">IF($H394="","",$H394+$L394)</f>
        <v>1948</v>
      </c>
      <c r="N394" s="17" t="str">
        <f aca="false">IF($I394="","",$I394+$L394)</f>
        <v/>
      </c>
      <c r="O394" s="17" t="n">
        <f aca="false">IF($K394="","",$K394+$L394)</f>
        <v>1985</v>
      </c>
      <c r="P394" s="17" t="str">
        <f aca="false">IF($B$10=0,"",IFERROR(IF($B$4&gt;0,"휘발유 "&amp;TEXT(IF($M394="",1/0,$M394*$B$4),"#,##0")&amp;"원","")&amp;IF($B$5&gt;0,IF($B$4&gt;0," / ","")&amp;"고급유 "&amp;TEXT(IF($N394="",1/0,$N394*$B$5),"#,##0")&amp;"원","")&amp;IF($B$6&gt;0,IF(OR($B$4&gt;0,$B$5&gt;0)," / ","")&amp;"경유 "&amp;TEXT(IF($O394="",1/0,$O394*$B$6),"#,##0")&amp;"원",""),""))</f>
        <v/>
      </c>
      <c r="Q394" s="17" t="str">
        <f aca="false">IF($B$10=0,"",IFERROR(IF($B$4&gt;0,IF($M394="",1/0,$M394*$B$4),0)+IF($B$5&gt;0,IF($N394="",1/0,$N394*$B$5),0)+IF($B$6&gt;0,IF($O394="",1/0,$O394*$B$6),0),""))</f>
        <v/>
      </c>
      <c r="R394" s="17" t="s">
        <v>47</v>
      </c>
      <c r="S394" s="18" t="str">
        <f aca="false">IF($Q394="","",IF($R394="Y",IFERROR(VLOOKUP($B394,$C$4:$D$13,2,FALSE()),0),0))</f>
        <v/>
      </c>
      <c r="T394" s="17" t="str">
        <f aca="false">IF($Q394="","",ROUNDDOWN($Q394*$S394,0))</f>
        <v/>
      </c>
      <c r="U394" s="17" t="str">
        <f aca="false">IF($Q394="","",$Q394-$T394)</f>
        <v/>
      </c>
      <c r="V394" s="17" t="str">
        <f aca="false">IF($U394="","",IF($B$10=0,"",$U394/$B$10))</f>
        <v/>
      </c>
      <c r="W394" s="17" t="str">
        <f aca="false">IF($Q394="","",IF($B$10=0,"",$Q394/$B$10))</f>
        <v/>
      </c>
      <c r="X394" s="19" t="n">
        <f aca="false">IF($U394="",1000000000000000,$U394)</f>
        <v>1000000000000000</v>
      </c>
      <c r="XFC394" s="6"/>
    </row>
    <row r="395" s="5" customFormat="true" ht="28.5" hidden="false" customHeight="true" outlineLevel="0" collapsed="false">
      <c r="A395" s="16" t="str">
        <f aca="false">IF($U395="","",1+COUNTIF($X$15:$X$728,"&lt;"&amp;X395))</f>
        <v/>
      </c>
      <c r="B395" s="16" t="s">
        <v>6</v>
      </c>
      <c r="C395" s="16" t="s">
        <v>1184</v>
      </c>
      <c r="D395" s="16" t="s">
        <v>58</v>
      </c>
      <c r="E395" s="16" t="s">
        <v>47</v>
      </c>
      <c r="F395" s="16" t="s">
        <v>1185</v>
      </c>
      <c r="G395" s="16" t="s">
        <v>1186</v>
      </c>
      <c r="H395" s="17" t="n">
        <v>1948</v>
      </c>
      <c r="I395" s="17"/>
      <c r="J395" s="17"/>
      <c r="K395" s="17" t="n">
        <v>1998</v>
      </c>
      <c r="L395" s="17" t="n">
        <f aca="false">IF(AND(IFERROR(SEARCH("현대오일뱅크",$C395),0)&gt;0,IFERROR(SEARCH("직영",$C395),0)&gt;0),$B$13,0)</f>
        <v>0</v>
      </c>
      <c r="M395" s="17" t="n">
        <f aca="false">IF($H395="","",$H395+$L395)</f>
        <v>1948</v>
      </c>
      <c r="N395" s="17" t="str">
        <f aca="false">IF($I395="","",$I395+$L395)</f>
        <v/>
      </c>
      <c r="O395" s="17" t="n">
        <f aca="false">IF($K395="","",$K395+$L395)</f>
        <v>1998</v>
      </c>
      <c r="P395" s="17" t="str">
        <f aca="false">IF($B$10=0,"",IFERROR(IF($B$4&gt;0,"휘발유 "&amp;TEXT(IF($M395="",1/0,$M395*$B$4),"#,##0")&amp;"원","")&amp;IF($B$5&gt;0,IF($B$4&gt;0," / ","")&amp;"고급유 "&amp;TEXT(IF($N395="",1/0,$N395*$B$5),"#,##0")&amp;"원","")&amp;IF($B$6&gt;0,IF(OR($B$4&gt;0,$B$5&gt;0)," / ","")&amp;"경유 "&amp;TEXT(IF($O395="",1/0,$O395*$B$6),"#,##0")&amp;"원",""),""))</f>
        <v/>
      </c>
      <c r="Q395" s="17" t="str">
        <f aca="false">IF($B$10=0,"",IFERROR(IF($B$4&gt;0,IF($M395="",1/0,$M395*$B$4),0)+IF($B$5&gt;0,IF($N395="",1/0,$N395*$B$5),0)+IF($B$6&gt;0,IF($O395="",1/0,$O395*$B$6),0),""))</f>
        <v/>
      </c>
      <c r="R395" s="17" t="s">
        <v>47</v>
      </c>
      <c r="S395" s="18" t="str">
        <f aca="false">IF($Q395="","",IF($R395="Y",IFERROR(VLOOKUP($B395,$C$4:$D$13,2,FALSE()),0),0))</f>
        <v/>
      </c>
      <c r="T395" s="17" t="str">
        <f aca="false">IF($Q395="","",ROUNDDOWN($Q395*$S395,0))</f>
        <v/>
      </c>
      <c r="U395" s="17" t="str">
        <f aca="false">IF($Q395="","",$Q395-$T395)</f>
        <v/>
      </c>
      <c r="V395" s="17" t="str">
        <f aca="false">IF($U395="","",IF($B$10=0,"",$U395/$B$10))</f>
        <v/>
      </c>
      <c r="W395" s="17" t="str">
        <f aca="false">IF($Q395="","",IF($B$10=0,"",$Q395/$B$10))</f>
        <v/>
      </c>
      <c r="X395" s="19" t="n">
        <f aca="false">IF($U395="",1000000000000000,$U395)</f>
        <v>1000000000000000</v>
      </c>
      <c r="XFC395" s="6"/>
    </row>
    <row r="396" s="5" customFormat="true" ht="28.5" hidden="false" customHeight="true" outlineLevel="0" collapsed="false">
      <c r="A396" s="16" t="str">
        <f aca="false">IF($U396="","",1+COUNTIF($X$15:$X$728,"&lt;"&amp;X396))</f>
        <v/>
      </c>
      <c r="B396" s="16" t="s">
        <v>6</v>
      </c>
      <c r="C396" s="16" t="s">
        <v>1187</v>
      </c>
      <c r="D396" s="20" t="s">
        <v>108</v>
      </c>
      <c r="E396" s="16" t="s">
        <v>59</v>
      </c>
      <c r="F396" s="16" t="s">
        <v>1188</v>
      </c>
      <c r="G396" s="16" t="s">
        <v>1189</v>
      </c>
      <c r="H396" s="17" t="n">
        <v>1948</v>
      </c>
      <c r="I396" s="17"/>
      <c r="J396" s="17"/>
      <c r="K396" s="17" t="n">
        <v>1968</v>
      </c>
      <c r="L396" s="17" t="n">
        <f aca="false">IF(AND(IFERROR(SEARCH("현대오일뱅크",$C396),0)&gt;0,IFERROR(SEARCH("직영",$C396),0)&gt;0),$B$13,0)</f>
        <v>0</v>
      </c>
      <c r="M396" s="17" t="n">
        <f aca="false">IF($H396="","",$H396+$L396)</f>
        <v>1948</v>
      </c>
      <c r="N396" s="17" t="str">
        <f aca="false">IF($I396="","",$I396+$L396)</f>
        <v/>
      </c>
      <c r="O396" s="17" t="n">
        <f aca="false">IF($K396="","",$K396+$L396)</f>
        <v>1968</v>
      </c>
      <c r="P396" s="17" t="str">
        <f aca="false">IF($B$10=0,"",IFERROR(IF($B$4&gt;0,"휘발유 "&amp;TEXT(IF($M396="",1/0,$M396*$B$4),"#,##0")&amp;"원","")&amp;IF($B$5&gt;0,IF($B$4&gt;0," / ","")&amp;"고급유 "&amp;TEXT(IF($N396="",1/0,$N396*$B$5),"#,##0")&amp;"원","")&amp;IF($B$6&gt;0,IF(OR($B$4&gt;0,$B$5&gt;0)," / ","")&amp;"경유 "&amp;TEXT(IF($O396="",1/0,$O396*$B$6),"#,##0")&amp;"원",""),""))</f>
        <v/>
      </c>
      <c r="Q396" s="17" t="str">
        <f aca="false">IF($B$10=0,"",IFERROR(IF($B$4&gt;0,IF($M396="",1/0,$M396*$B$4),0)+IF($B$5&gt;0,IF($N396="",1/0,$N396*$B$5),0)+IF($B$6&gt;0,IF($O396="",1/0,$O396*$B$6),0),""))</f>
        <v/>
      </c>
      <c r="R396" s="17" t="s">
        <v>47</v>
      </c>
      <c r="S396" s="18" t="str">
        <f aca="false">IF($Q396="","",IF($R396="Y",IFERROR(VLOOKUP($B396,$C$4:$D$13,2,FALSE()),0),0))</f>
        <v/>
      </c>
      <c r="T396" s="17" t="str">
        <f aca="false">IF($Q396="","",ROUNDDOWN($Q396*$S396,0))</f>
        <v/>
      </c>
      <c r="U396" s="17" t="str">
        <f aca="false">IF($Q396="","",$Q396-$T396)</f>
        <v/>
      </c>
      <c r="V396" s="17" t="str">
        <f aca="false">IF($U396="","",IF($B$10=0,"",$U396/$B$10))</f>
        <v/>
      </c>
      <c r="W396" s="17" t="str">
        <f aca="false">IF($Q396="","",IF($B$10=0,"",$Q396/$B$10))</f>
        <v/>
      </c>
      <c r="X396" s="19" t="n">
        <f aca="false">IF($U396="",1000000000000000,$U396)</f>
        <v>1000000000000000</v>
      </c>
      <c r="XFC396" s="6"/>
    </row>
    <row r="397" s="5" customFormat="true" ht="28.5" hidden="false" customHeight="true" outlineLevel="0" collapsed="false">
      <c r="A397" s="16" t="str">
        <f aca="false">IF($U397="","",1+COUNTIF($X$15:$X$728,"&lt;"&amp;X397))</f>
        <v/>
      </c>
      <c r="B397" s="16" t="s">
        <v>6</v>
      </c>
      <c r="C397" s="16" t="s">
        <v>1190</v>
      </c>
      <c r="D397" s="16" t="s">
        <v>708</v>
      </c>
      <c r="E397" s="16" t="s">
        <v>59</v>
      </c>
      <c r="F397" s="16" t="s">
        <v>1191</v>
      </c>
      <c r="G397" s="16" t="s">
        <v>1192</v>
      </c>
      <c r="H397" s="17" t="n">
        <v>1948</v>
      </c>
      <c r="I397" s="17"/>
      <c r="J397" s="17"/>
      <c r="K397" s="17" t="n">
        <v>1937</v>
      </c>
      <c r="L397" s="17" t="n">
        <f aca="false">IF(AND(IFERROR(SEARCH("현대오일뱅크",$C397),0)&gt;0,IFERROR(SEARCH("직영",$C397),0)&gt;0),$B$13,0)</f>
        <v>0</v>
      </c>
      <c r="M397" s="17" t="n">
        <f aca="false">IF($H397="","",$H397+$L397)</f>
        <v>1948</v>
      </c>
      <c r="N397" s="17" t="str">
        <f aca="false">IF($I397="","",$I397+$L397)</f>
        <v/>
      </c>
      <c r="O397" s="17" t="n">
        <f aca="false">IF($K397="","",$K397+$L397)</f>
        <v>1937</v>
      </c>
      <c r="P397" s="17" t="str">
        <f aca="false">IF($B$10=0,"",IFERROR(IF($B$4&gt;0,"휘발유 "&amp;TEXT(IF($M397="",1/0,$M397*$B$4),"#,##0")&amp;"원","")&amp;IF($B$5&gt;0,IF($B$4&gt;0," / ","")&amp;"고급유 "&amp;TEXT(IF($N397="",1/0,$N397*$B$5),"#,##0")&amp;"원","")&amp;IF($B$6&gt;0,IF(OR($B$4&gt;0,$B$5&gt;0)," / ","")&amp;"경유 "&amp;TEXT(IF($O397="",1/0,$O397*$B$6),"#,##0")&amp;"원",""),""))</f>
        <v/>
      </c>
      <c r="Q397" s="17" t="str">
        <f aca="false">IF($B$10=0,"",IFERROR(IF($B$4&gt;0,IF($M397="",1/0,$M397*$B$4),0)+IF($B$5&gt;0,IF($N397="",1/0,$N397*$B$5),0)+IF($B$6&gt;0,IF($O397="",1/0,$O397*$B$6),0),""))</f>
        <v/>
      </c>
      <c r="R397" s="17" t="s">
        <v>47</v>
      </c>
      <c r="S397" s="18" t="str">
        <f aca="false">IF($Q397="","",IF($R397="Y",IFERROR(VLOOKUP($B397,$C$4:$D$13,2,FALSE()),0),0))</f>
        <v/>
      </c>
      <c r="T397" s="17" t="str">
        <f aca="false">IF($Q397="","",ROUNDDOWN($Q397*$S397,0))</f>
        <v/>
      </c>
      <c r="U397" s="17" t="str">
        <f aca="false">IF($Q397="","",$Q397-$T397)</f>
        <v/>
      </c>
      <c r="V397" s="17" t="str">
        <f aca="false">IF($U397="","",IF($B$10=0,"",$U397/$B$10))</f>
        <v/>
      </c>
      <c r="W397" s="17" t="str">
        <f aca="false">IF($Q397="","",IF($B$10=0,"",$Q397/$B$10))</f>
        <v/>
      </c>
      <c r="X397" s="19" t="n">
        <f aca="false">IF($U397="",1000000000000000,$U397)</f>
        <v>1000000000000000</v>
      </c>
      <c r="XFC397" s="6"/>
    </row>
    <row r="398" s="5" customFormat="true" ht="28.5" hidden="false" customHeight="true" outlineLevel="0" collapsed="false">
      <c r="A398" s="16" t="str">
        <f aca="false">IF($U398="","",1+COUNTIF($X$15:$X$728,"&lt;"&amp;X398))</f>
        <v/>
      </c>
      <c r="B398" s="16" t="s">
        <v>10</v>
      </c>
      <c r="C398" s="16" t="s">
        <v>1193</v>
      </c>
      <c r="D398" s="16" t="s">
        <v>51</v>
      </c>
      <c r="E398" s="16" t="s">
        <v>59</v>
      </c>
      <c r="F398" s="16" t="s">
        <v>1194</v>
      </c>
      <c r="G398" s="16" t="s">
        <v>1195</v>
      </c>
      <c r="H398" s="17" t="n">
        <v>1754</v>
      </c>
      <c r="I398" s="17"/>
      <c r="J398" s="17"/>
      <c r="K398" s="17" t="n">
        <v>1730</v>
      </c>
      <c r="L398" s="17" t="n">
        <f aca="false">IF(AND(IFERROR(SEARCH("현대오일뱅크",$C398),0)&gt;0,IFERROR(SEARCH("직영",$C398),0)&gt;0),$B$13,0)</f>
        <v>0</v>
      </c>
      <c r="M398" s="17" t="n">
        <f aca="false">IF($H398="","",$H398+$L398)</f>
        <v>1754</v>
      </c>
      <c r="N398" s="17" t="str">
        <f aca="false">IF($I398="","",$I398+$L398)</f>
        <v/>
      </c>
      <c r="O398" s="17" t="n">
        <f aca="false">IF($K398="","",$K398+$L398)</f>
        <v>1730</v>
      </c>
      <c r="P398" s="17" t="str">
        <f aca="false">IF($B$10=0,"",IFERROR(IF($B$4&gt;0,"휘발유 "&amp;TEXT(IF($M398="",1/0,$M398*$B$4),"#,##0")&amp;"원","")&amp;IF($B$5&gt;0,IF($B$4&gt;0," / ","")&amp;"고급유 "&amp;TEXT(IF($N398="",1/0,$N398*$B$5),"#,##0")&amp;"원","")&amp;IF($B$6&gt;0,IF(OR($B$4&gt;0,$B$5&gt;0)," / ","")&amp;"경유 "&amp;TEXT(IF($O398="",1/0,$O398*$B$6),"#,##0")&amp;"원",""),""))</f>
        <v/>
      </c>
      <c r="Q398" s="17" t="str">
        <f aca="false">IF($B$10=0,"",IFERROR(IF($B$4&gt;0,IF($M398="",1/0,$M398*$B$4),0)+IF($B$5&gt;0,IF($N398="",1/0,$N398*$B$5),0)+IF($B$6&gt;0,IF($O398="",1/0,$O398*$B$6),0),""))</f>
        <v/>
      </c>
      <c r="R398" s="17"/>
      <c r="S398" s="18" t="str">
        <f aca="false">IF($Q398="","",IF($R398="Y",IFERROR(VLOOKUP($B398,$C$4:$D$13,2,FALSE()),0),0))</f>
        <v/>
      </c>
      <c r="T398" s="17" t="str">
        <f aca="false">IF($Q398="","",ROUNDDOWN($Q398*$S398,0))</f>
        <v/>
      </c>
      <c r="U398" s="17" t="str">
        <f aca="false">IF($Q398="","",$Q398-$T398)</f>
        <v/>
      </c>
      <c r="V398" s="17" t="str">
        <f aca="false">IF($U398="","",IF($B$10=0,"",$U398/$B$10))</f>
        <v/>
      </c>
      <c r="W398" s="17" t="str">
        <f aca="false">IF($Q398="","",IF($B$10=0,"",$Q398/$B$10))</f>
        <v/>
      </c>
      <c r="X398" s="19" t="n">
        <f aca="false">IF($U398="",1000000000000000,$U398)</f>
        <v>1000000000000000</v>
      </c>
      <c r="XFC398" s="6"/>
    </row>
    <row r="399" s="5" customFormat="true" ht="28.5" hidden="false" customHeight="true" outlineLevel="0" collapsed="false">
      <c r="A399" s="16" t="str">
        <f aca="false">IF($U399="","",1+COUNTIF($X$15:$X$728,"&lt;"&amp;X399))</f>
        <v/>
      </c>
      <c r="B399" s="16" t="s">
        <v>6</v>
      </c>
      <c r="C399" s="16" t="s">
        <v>1196</v>
      </c>
      <c r="D399" s="16" t="s">
        <v>58</v>
      </c>
      <c r="E399" s="16" t="s">
        <v>47</v>
      </c>
      <c r="F399" s="16" t="s">
        <v>1197</v>
      </c>
      <c r="G399" s="16" t="s">
        <v>1198</v>
      </c>
      <c r="H399" s="17" t="n">
        <v>1949</v>
      </c>
      <c r="I399" s="17"/>
      <c r="J399" s="17"/>
      <c r="K399" s="17" t="n">
        <v>1989</v>
      </c>
      <c r="L399" s="17" t="n">
        <f aca="false">IF(AND(IFERROR(SEARCH("현대오일뱅크",$C399),0)&gt;0,IFERROR(SEARCH("직영",$C399),0)&gt;0),$B$13,0)</f>
        <v>0</v>
      </c>
      <c r="M399" s="17" t="n">
        <f aca="false">IF($H399="","",$H399+$L399)</f>
        <v>1949</v>
      </c>
      <c r="N399" s="17" t="str">
        <f aca="false">IF($I399="","",$I399+$L399)</f>
        <v/>
      </c>
      <c r="O399" s="17" t="n">
        <f aca="false">IF($K399="","",$K399+$L399)</f>
        <v>1989</v>
      </c>
      <c r="P399" s="17" t="str">
        <f aca="false">IF($B$10=0,"",IFERROR(IF($B$4&gt;0,"휘발유 "&amp;TEXT(IF($M399="",1/0,$M399*$B$4),"#,##0")&amp;"원","")&amp;IF($B$5&gt;0,IF($B$4&gt;0," / ","")&amp;"고급유 "&amp;TEXT(IF($N399="",1/0,$N399*$B$5),"#,##0")&amp;"원","")&amp;IF($B$6&gt;0,IF(OR($B$4&gt;0,$B$5&gt;0)," / ","")&amp;"경유 "&amp;TEXT(IF($O399="",1/0,$O399*$B$6),"#,##0")&amp;"원",""),""))</f>
        <v/>
      </c>
      <c r="Q399" s="17" t="str">
        <f aca="false">IF($B$10=0,"",IFERROR(IF($B$4&gt;0,IF($M399="",1/0,$M399*$B$4),0)+IF($B$5&gt;0,IF($N399="",1/0,$N399*$B$5),0)+IF($B$6&gt;0,IF($O399="",1/0,$O399*$B$6),0),""))</f>
        <v/>
      </c>
      <c r="R399" s="17" t="s">
        <v>47</v>
      </c>
      <c r="S399" s="18" t="str">
        <f aca="false">IF($Q399="","",IF($R399="Y",IFERROR(VLOOKUP($B399,$C$4:$D$13,2,FALSE()),0),0))</f>
        <v/>
      </c>
      <c r="T399" s="17" t="str">
        <f aca="false">IF($Q399="","",ROUNDDOWN($Q399*$S399,0))</f>
        <v/>
      </c>
      <c r="U399" s="17" t="str">
        <f aca="false">IF($Q399="","",$Q399-$T399)</f>
        <v/>
      </c>
      <c r="V399" s="17" t="str">
        <f aca="false">IF($U399="","",IF($B$10=0,"",$U399/$B$10))</f>
        <v/>
      </c>
      <c r="W399" s="17" t="str">
        <f aca="false">IF($Q399="","",IF($B$10=0,"",$Q399/$B$10))</f>
        <v/>
      </c>
      <c r="X399" s="19" t="n">
        <f aca="false">IF($U399="",1000000000000000,$U399)</f>
        <v>1000000000000000</v>
      </c>
      <c r="XFC399" s="6"/>
    </row>
    <row r="400" s="5" customFormat="true" ht="28.5" hidden="false" customHeight="true" outlineLevel="0" collapsed="false">
      <c r="A400" s="16" t="str">
        <f aca="false">IF($U400="","",1+COUNTIF($X$15:$X$728,"&lt;"&amp;X400))</f>
        <v/>
      </c>
      <c r="B400" s="16" t="s">
        <v>6</v>
      </c>
      <c r="C400" s="16" t="s">
        <v>1199</v>
      </c>
      <c r="D400" s="16" t="s">
        <v>58</v>
      </c>
      <c r="E400" s="16" t="s">
        <v>59</v>
      </c>
      <c r="F400" s="16" t="s">
        <v>1200</v>
      </c>
      <c r="G400" s="16" t="s">
        <v>1201</v>
      </c>
      <c r="H400" s="17" t="n">
        <v>1949</v>
      </c>
      <c r="I400" s="17"/>
      <c r="J400" s="17"/>
      <c r="K400" s="17" t="n">
        <v>1989</v>
      </c>
      <c r="L400" s="17" t="n">
        <f aca="false">IF(AND(IFERROR(SEARCH("현대오일뱅크",$C400),0)&gt;0,IFERROR(SEARCH("직영",$C400),0)&gt;0),$B$13,0)</f>
        <v>0</v>
      </c>
      <c r="M400" s="17" t="n">
        <f aca="false">IF($H400="","",$H400+$L400)</f>
        <v>1949</v>
      </c>
      <c r="N400" s="17" t="str">
        <f aca="false">IF($I400="","",$I400+$L400)</f>
        <v/>
      </c>
      <c r="O400" s="17" t="n">
        <f aca="false">IF($K400="","",$K400+$L400)</f>
        <v>1989</v>
      </c>
      <c r="P400" s="17" t="str">
        <f aca="false">IF($B$10=0,"",IFERROR(IF($B$4&gt;0,"휘발유 "&amp;TEXT(IF($M400="",1/0,$M400*$B$4),"#,##0")&amp;"원","")&amp;IF($B$5&gt;0,IF($B$4&gt;0," / ","")&amp;"고급유 "&amp;TEXT(IF($N400="",1/0,$N400*$B$5),"#,##0")&amp;"원","")&amp;IF($B$6&gt;0,IF(OR($B$4&gt;0,$B$5&gt;0)," / ","")&amp;"경유 "&amp;TEXT(IF($O400="",1/0,$O400*$B$6),"#,##0")&amp;"원",""),""))</f>
        <v/>
      </c>
      <c r="Q400" s="17" t="str">
        <f aca="false">IF($B$10=0,"",IFERROR(IF($B$4&gt;0,IF($M400="",1/0,$M400*$B$4),0)+IF($B$5&gt;0,IF($N400="",1/0,$N400*$B$5),0)+IF($B$6&gt;0,IF($O400="",1/0,$O400*$B$6),0),""))</f>
        <v/>
      </c>
      <c r="R400" s="17" t="s">
        <v>47</v>
      </c>
      <c r="S400" s="18" t="str">
        <f aca="false">IF($Q400="","",IF($R400="Y",IFERROR(VLOOKUP($B400,$C$4:$D$13,2,FALSE()),0),0))</f>
        <v/>
      </c>
      <c r="T400" s="17" t="str">
        <f aca="false">IF($Q400="","",ROUNDDOWN($Q400*$S400,0))</f>
        <v/>
      </c>
      <c r="U400" s="17" t="str">
        <f aca="false">IF($Q400="","",$Q400-$T400)</f>
        <v/>
      </c>
      <c r="V400" s="17" t="str">
        <f aca="false">IF($U400="","",IF($B$10=0,"",$U400/$B$10))</f>
        <v/>
      </c>
      <c r="W400" s="17" t="str">
        <f aca="false">IF($Q400="","",IF($B$10=0,"",$Q400/$B$10))</f>
        <v/>
      </c>
      <c r="X400" s="19" t="n">
        <f aca="false">IF($U400="",1000000000000000,$U400)</f>
        <v>1000000000000000</v>
      </c>
      <c r="XFC400" s="6"/>
    </row>
    <row r="401" s="5" customFormat="true" ht="28.5" hidden="false" customHeight="true" outlineLevel="0" collapsed="false">
      <c r="A401" s="16" t="str">
        <f aca="false">IF($U401="","",1+COUNTIF($X$15:$X$728,"&lt;"&amp;X401))</f>
        <v/>
      </c>
      <c r="B401" s="16" t="s">
        <v>12</v>
      </c>
      <c r="C401" s="16" t="s">
        <v>1202</v>
      </c>
      <c r="D401" s="20" t="s">
        <v>112</v>
      </c>
      <c r="E401" s="16" t="s">
        <v>47</v>
      </c>
      <c r="F401" s="16" t="s">
        <v>1203</v>
      </c>
      <c r="G401" s="16" t="s">
        <v>1204</v>
      </c>
      <c r="H401" s="17" t="n">
        <v>1949</v>
      </c>
      <c r="I401" s="17"/>
      <c r="J401" s="17"/>
      <c r="K401" s="17" t="n">
        <v>1999</v>
      </c>
      <c r="L401" s="17" t="n">
        <f aca="false">IF(AND(IFERROR(SEARCH("현대오일뱅크",$C401),0)&gt;0,IFERROR(SEARCH("직영",$C401),0)&gt;0),$B$13,0)</f>
        <v>0</v>
      </c>
      <c r="M401" s="17" t="n">
        <f aca="false">IF($H401="","",$H401+$L401)</f>
        <v>1949</v>
      </c>
      <c r="N401" s="17" t="str">
        <f aca="false">IF($I401="","",$I401+$L401)</f>
        <v/>
      </c>
      <c r="O401" s="17" t="n">
        <f aca="false">IF($K401="","",$K401+$L401)</f>
        <v>1999</v>
      </c>
      <c r="P401" s="17" t="str">
        <f aca="false">IF($B$10=0,"",IFERROR(IF($B$4&gt;0,"휘발유 "&amp;TEXT(IF($M401="",1/0,$M401*$B$4),"#,##0")&amp;"원","")&amp;IF($B$5&gt;0,IF($B$4&gt;0," / ","")&amp;"고급유 "&amp;TEXT(IF($N401="",1/0,$N401*$B$5),"#,##0")&amp;"원","")&amp;IF($B$6&gt;0,IF(OR($B$4&gt;0,$B$5&gt;0)," / ","")&amp;"경유 "&amp;TEXT(IF($O401="",1/0,$O401*$B$6),"#,##0")&amp;"원",""),""))</f>
        <v/>
      </c>
      <c r="Q401" s="17" t="str">
        <f aca="false">IF($B$10=0,"",IFERROR(IF($B$4&gt;0,IF($M401="",1/0,$M401*$B$4),0)+IF($B$5&gt;0,IF($N401="",1/0,$N401*$B$5),0)+IF($B$6&gt;0,IF($O401="",1/0,$O401*$B$6),0),""))</f>
        <v/>
      </c>
      <c r="R401" s="17" t="s">
        <v>47</v>
      </c>
      <c r="S401" s="18" t="str">
        <f aca="false">IF($Q401="","",IF($R401="Y",IFERROR(VLOOKUP($B401,$C$4:$D$13,2,FALSE()),0),0))</f>
        <v/>
      </c>
      <c r="T401" s="17" t="str">
        <f aca="false">IF($Q401="","",ROUNDDOWN($Q401*$S401,0))</f>
        <v/>
      </c>
      <c r="U401" s="17" t="str">
        <f aca="false">IF($Q401="","",$Q401-$T401)</f>
        <v/>
      </c>
      <c r="V401" s="17" t="str">
        <f aca="false">IF($U401="","",IF($B$10=0,"",$U401/$B$10))</f>
        <v/>
      </c>
      <c r="W401" s="17" t="str">
        <f aca="false">IF($Q401="","",IF($B$10=0,"",$Q401/$B$10))</f>
        <v/>
      </c>
      <c r="X401" s="19" t="n">
        <f aca="false">IF($U401="",1000000000000000,$U401)</f>
        <v>1000000000000000</v>
      </c>
      <c r="XFC401" s="6"/>
    </row>
    <row r="402" s="5" customFormat="true" ht="28.5" hidden="false" customHeight="true" outlineLevel="0" collapsed="false">
      <c r="A402" s="16" t="str">
        <f aca="false">IF($U402="","",1+COUNTIF($X$15:$X$728,"&lt;"&amp;X402))</f>
        <v/>
      </c>
      <c r="B402" s="16" t="s">
        <v>6</v>
      </c>
      <c r="C402" s="16" t="s">
        <v>1205</v>
      </c>
      <c r="D402" s="16" t="s">
        <v>51</v>
      </c>
      <c r="E402" s="16" t="s">
        <v>59</v>
      </c>
      <c r="F402" s="16" t="s">
        <v>1206</v>
      </c>
      <c r="G402" s="16" t="s">
        <v>1207</v>
      </c>
      <c r="H402" s="17" t="n">
        <v>1949</v>
      </c>
      <c r="I402" s="17"/>
      <c r="J402" s="17"/>
      <c r="K402" s="17" t="n">
        <v>1949</v>
      </c>
      <c r="L402" s="17" t="n">
        <f aca="false">IF(AND(IFERROR(SEARCH("현대오일뱅크",$C402),0)&gt;0,IFERROR(SEARCH("직영",$C402),0)&gt;0),$B$13,0)</f>
        <v>0</v>
      </c>
      <c r="M402" s="17" t="n">
        <f aca="false">IF($H402="","",$H402+$L402)</f>
        <v>1949</v>
      </c>
      <c r="N402" s="17" t="str">
        <f aca="false">IF($I402="","",$I402+$L402)</f>
        <v/>
      </c>
      <c r="O402" s="17" t="n">
        <f aca="false">IF($K402="","",$K402+$L402)</f>
        <v>1949</v>
      </c>
      <c r="P402" s="17" t="str">
        <f aca="false">IF($B$10=0,"",IFERROR(IF($B$4&gt;0,"휘발유 "&amp;TEXT(IF($M402="",1/0,$M402*$B$4),"#,##0")&amp;"원","")&amp;IF($B$5&gt;0,IF($B$4&gt;0," / ","")&amp;"고급유 "&amp;TEXT(IF($N402="",1/0,$N402*$B$5),"#,##0")&amp;"원","")&amp;IF($B$6&gt;0,IF(OR($B$4&gt;0,$B$5&gt;0)," / ","")&amp;"경유 "&amp;TEXT(IF($O402="",1/0,$O402*$B$6),"#,##0")&amp;"원",""),""))</f>
        <v/>
      </c>
      <c r="Q402" s="17" t="str">
        <f aca="false">IF($B$10=0,"",IFERROR(IF($B$4&gt;0,IF($M402="",1/0,$M402*$B$4),0)+IF($B$5&gt;0,IF($N402="",1/0,$N402*$B$5),0)+IF($B$6&gt;0,IF($O402="",1/0,$O402*$B$6),0),""))</f>
        <v/>
      </c>
      <c r="R402" s="17" t="s">
        <v>47</v>
      </c>
      <c r="S402" s="18" t="str">
        <f aca="false">IF($Q402="","",IF($R402="Y",IFERROR(VLOOKUP($B402,$C$4:$D$13,2,FALSE()),0),0))</f>
        <v/>
      </c>
      <c r="T402" s="17" t="str">
        <f aca="false">IF($Q402="","",ROUNDDOWN($Q402*$S402,0))</f>
        <v/>
      </c>
      <c r="U402" s="17" t="str">
        <f aca="false">IF($Q402="","",$Q402-$T402)</f>
        <v/>
      </c>
      <c r="V402" s="17" t="str">
        <f aca="false">IF($U402="","",IF($B$10=0,"",$U402/$B$10))</f>
        <v/>
      </c>
      <c r="W402" s="17" t="str">
        <f aca="false">IF($Q402="","",IF($B$10=0,"",$Q402/$B$10))</f>
        <v/>
      </c>
      <c r="X402" s="19" t="n">
        <f aca="false">IF($U402="",1000000000000000,$U402)</f>
        <v>1000000000000000</v>
      </c>
      <c r="XFC402" s="6"/>
    </row>
    <row r="403" s="5" customFormat="true" ht="28.5" hidden="false" customHeight="true" outlineLevel="0" collapsed="false">
      <c r="A403" s="16" t="str">
        <f aca="false">IF($U403="","",1+COUNTIF($X$15:$X$728,"&lt;"&amp;X403))</f>
        <v/>
      </c>
      <c r="B403" s="16" t="s">
        <v>10</v>
      </c>
      <c r="C403" s="16" t="s">
        <v>1208</v>
      </c>
      <c r="D403" s="16" t="s">
        <v>51</v>
      </c>
      <c r="E403" s="16" t="s">
        <v>59</v>
      </c>
      <c r="F403" s="16" t="s">
        <v>1209</v>
      </c>
      <c r="G403" s="16" t="s">
        <v>1210</v>
      </c>
      <c r="H403" s="17" t="n">
        <v>1949</v>
      </c>
      <c r="I403" s="17"/>
      <c r="J403" s="17"/>
      <c r="K403" s="17" t="n">
        <v>1949</v>
      </c>
      <c r="L403" s="17" t="n">
        <f aca="false">IF(AND(IFERROR(SEARCH("현대오일뱅크",$C403),0)&gt;0,IFERROR(SEARCH("직영",$C403),0)&gt;0),$B$13,0)</f>
        <v>0</v>
      </c>
      <c r="M403" s="17" t="n">
        <f aca="false">IF($H403="","",$H403+$L403)</f>
        <v>1949</v>
      </c>
      <c r="N403" s="17" t="str">
        <f aca="false">IF($I403="","",$I403+$L403)</f>
        <v/>
      </c>
      <c r="O403" s="17" t="n">
        <f aca="false">IF($K403="","",$K403+$L403)</f>
        <v>1949</v>
      </c>
      <c r="P403" s="17" t="str">
        <f aca="false">IF($B$10=0,"",IFERROR(IF($B$4&gt;0,"휘발유 "&amp;TEXT(IF($M403="",1/0,$M403*$B$4),"#,##0")&amp;"원","")&amp;IF($B$5&gt;0,IF($B$4&gt;0," / ","")&amp;"고급유 "&amp;TEXT(IF($N403="",1/0,$N403*$B$5),"#,##0")&amp;"원","")&amp;IF($B$6&gt;0,IF(OR($B$4&gt;0,$B$5&gt;0)," / ","")&amp;"경유 "&amp;TEXT(IF($O403="",1/0,$O403*$B$6),"#,##0")&amp;"원",""),""))</f>
        <v/>
      </c>
      <c r="Q403" s="17" t="str">
        <f aca="false">IF($B$10=0,"",IFERROR(IF($B$4&gt;0,IF($M403="",1/0,$M403*$B$4),0)+IF($B$5&gt;0,IF($N403="",1/0,$N403*$B$5),0)+IF($B$6&gt;0,IF($O403="",1/0,$O403*$B$6),0),""))</f>
        <v/>
      </c>
      <c r="R403" s="17" t="s">
        <v>47</v>
      </c>
      <c r="S403" s="18" t="str">
        <f aca="false">IF($Q403="","",IF($R403="Y",IFERROR(VLOOKUP($B403,$C$4:$D$13,2,FALSE()),0),0))</f>
        <v/>
      </c>
      <c r="T403" s="17" t="str">
        <f aca="false">IF($Q403="","",ROUNDDOWN($Q403*$S403,0))</f>
        <v/>
      </c>
      <c r="U403" s="17" t="str">
        <f aca="false">IF($Q403="","",$Q403-$T403)</f>
        <v/>
      </c>
      <c r="V403" s="17" t="str">
        <f aca="false">IF($U403="","",IF($B$10=0,"",$U403/$B$10))</f>
        <v/>
      </c>
      <c r="W403" s="17" t="str">
        <f aca="false">IF($Q403="","",IF($B$10=0,"",$Q403/$B$10))</f>
        <v/>
      </c>
      <c r="X403" s="19" t="n">
        <f aca="false">IF($U403="",1000000000000000,$U403)</f>
        <v>1000000000000000</v>
      </c>
      <c r="XFC403" s="6"/>
    </row>
    <row r="404" s="5" customFormat="true" ht="28.5" hidden="false" customHeight="true" outlineLevel="0" collapsed="false">
      <c r="A404" s="16" t="str">
        <f aca="false">IF($U404="","",1+COUNTIF($X$15:$X$728,"&lt;"&amp;X404))</f>
        <v/>
      </c>
      <c r="B404" s="16" t="s">
        <v>6</v>
      </c>
      <c r="C404" s="16" t="s">
        <v>814</v>
      </c>
      <c r="D404" s="16" t="s">
        <v>112</v>
      </c>
      <c r="E404" s="16" t="s">
        <v>47</v>
      </c>
      <c r="F404" s="16" t="s">
        <v>1211</v>
      </c>
      <c r="G404" s="16" t="s">
        <v>1212</v>
      </c>
      <c r="H404" s="17" t="n">
        <v>1949</v>
      </c>
      <c r="I404" s="17"/>
      <c r="J404" s="17"/>
      <c r="K404" s="17" t="n">
        <v>1999</v>
      </c>
      <c r="L404" s="17" t="n">
        <f aca="false">IF(AND(IFERROR(SEARCH("현대오일뱅크",$C404),0)&gt;0,IFERROR(SEARCH("직영",$C404),0)&gt;0),$B$13,0)</f>
        <v>0</v>
      </c>
      <c r="M404" s="17" t="n">
        <f aca="false">IF($H404="","",$H404+$L404)</f>
        <v>1949</v>
      </c>
      <c r="N404" s="17" t="str">
        <f aca="false">IF($I404="","",$I404+$L404)</f>
        <v/>
      </c>
      <c r="O404" s="17" t="n">
        <f aca="false">IF($K404="","",$K404+$L404)</f>
        <v>1999</v>
      </c>
      <c r="P404" s="17" t="str">
        <f aca="false">IF($B$10=0,"",IFERROR(IF($B$4&gt;0,"휘발유 "&amp;TEXT(IF($M404="",1/0,$M404*$B$4),"#,##0")&amp;"원","")&amp;IF($B$5&gt;0,IF($B$4&gt;0," / ","")&amp;"고급유 "&amp;TEXT(IF($N404="",1/0,$N404*$B$5),"#,##0")&amp;"원","")&amp;IF($B$6&gt;0,IF(OR($B$4&gt;0,$B$5&gt;0)," / ","")&amp;"경유 "&amp;TEXT(IF($O404="",1/0,$O404*$B$6),"#,##0")&amp;"원",""),""))</f>
        <v/>
      </c>
      <c r="Q404" s="17" t="str">
        <f aca="false">IF($B$10=0,"",IFERROR(IF($B$4&gt;0,IF($M404="",1/0,$M404*$B$4),0)+IF($B$5&gt;0,IF($N404="",1/0,$N404*$B$5),0)+IF($B$6&gt;0,IF($O404="",1/0,$O404*$B$6),0),""))</f>
        <v/>
      </c>
      <c r="R404" s="17" t="s">
        <v>47</v>
      </c>
      <c r="S404" s="18" t="str">
        <f aca="false">IF($Q404="","",IF($R404="Y",IFERROR(VLOOKUP($B404,$C$4:$D$13,2,FALSE()),0),0))</f>
        <v/>
      </c>
      <c r="T404" s="17" t="str">
        <f aca="false">IF($Q404="","",ROUNDDOWN($Q404*$S404,0))</f>
        <v/>
      </c>
      <c r="U404" s="17" t="str">
        <f aca="false">IF($Q404="","",$Q404-$T404)</f>
        <v/>
      </c>
      <c r="V404" s="17" t="str">
        <f aca="false">IF($U404="","",IF($B$10=0,"",$U404/$B$10))</f>
        <v/>
      </c>
      <c r="W404" s="17" t="str">
        <f aca="false">IF($Q404="","",IF($B$10=0,"",$Q404/$B$10))</f>
        <v/>
      </c>
      <c r="X404" s="19" t="n">
        <f aca="false">IF($U404="",1000000000000000,$U404)</f>
        <v>1000000000000000</v>
      </c>
      <c r="XFC404" s="6"/>
    </row>
    <row r="405" s="5" customFormat="true" ht="28.5" hidden="false" customHeight="true" outlineLevel="0" collapsed="false">
      <c r="A405" s="16" t="str">
        <f aca="false">IF($U405="","",1+COUNTIF($X$15:$X$728,"&lt;"&amp;X405))</f>
        <v/>
      </c>
      <c r="B405" s="16" t="s">
        <v>10</v>
      </c>
      <c r="C405" s="16" t="s">
        <v>1213</v>
      </c>
      <c r="D405" s="16" t="s">
        <v>58</v>
      </c>
      <c r="E405" s="16" t="s">
        <v>47</v>
      </c>
      <c r="F405" s="16" t="s">
        <v>1214</v>
      </c>
      <c r="G405" s="16" t="s">
        <v>1215</v>
      </c>
      <c r="H405" s="17" t="n">
        <v>1950</v>
      </c>
      <c r="I405" s="17"/>
      <c r="J405" s="17"/>
      <c r="K405" s="17" t="n">
        <v>1950</v>
      </c>
      <c r="L405" s="17" t="n">
        <f aca="false">IF(AND(IFERROR(SEARCH("현대오일뱅크",$C405),0)&gt;0,IFERROR(SEARCH("직영",$C405),0)&gt;0),$B$13,0)</f>
        <v>0</v>
      </c>
      <c r="M405" s="17" t="n">
        <f aca="false">IF($H405="","",$H405+$L405)</f>
        <v>1950</v>
      </c>
      <c r="N405" s="17" t="str">
        <f aca="false">IF($I405="","",$I405+$L405)</f>
        <v/>
      </c>
      <c r="O405" s="17" t="n">
        <f aca="false">IF($K405="","",$K405+$L405)</f>
        <v>1950</v>
      </c>
      <c r="P405" s="17" t="str">
        <f aca="false">IF($B$10=0,"",IFERROR(IF($B$4&gt;0,"휘발유 "&amp;TEXT(IF($M405="",1/0,$M405*$B$4),"#,##0")&amp;"원","")&amp;IF($B$5&gt;0,IF($B$4&gt;0," / ","")&amp;"고급유 "&amp;TEXT(IF($N405="",1/0,$N405*$B$5),"#,##0")&amp;"원","")&amp;IF($B$6&gt;0,IF(OR($B$4&gt;0,$B$5&gt;0)," / ","")&amp;"경유 "&amp;TEXT(IF($O405="",1/0,$O405*$B$6),"#,##0")&amp;"원",""),""))</f>
        <v/>
      </c>
      <c r="Q405" s="17" t="str">
        <f aca="false">IF($B$10=0,"",IFERROR(IF($B$4&gt;0,IF($M405="",1/0,$M405*$B$4),0)+IF($B$5&gt;0,IF($N405="",1/0,$N405*$B$5),0)+IF($B$6&gt;0,IF($O405="",1/0,$O405*$B$6),0),""))</f>
        <v/>
      </c>
      <c r="R405" s="17" t="s">
        <v>47</v>
      </c>
      <c r="S405" s="18" t="str">
        <f aca="false">IF($Q405="","",IF($R405="Y",IFERROR(VLOOKUP($B405,$C$4:$D$13,2,FALSE()),0),0))</f>
        <v/>
      </c>
      <c r="T405" s="17" t="str">
        <f aca="false">IF($Q405="","",ROUNDDOWN($Q405*$S405,0))</f>
        <v/>
      </c>
      <c r="U405" s="17" t="str">
        <f aca="false">IF($Q405="","",$Q405-$T405)</f>
        <v/>
      </c>
      <c r="V405" s="17" t="str">
        <f aca="false">IF($U405="","",IF($B$10=0,"",$U405/$B$10))</f>
        <v/>
      </c>
      <c r="W405" s="17" t="str">
        <f aca="false">IF($Q405="","",IF($B$10=0,"",$Q405/$B$10))</f>
        <v/>
      </c>
      <c r="X405" s="19" t="n">
        <f aca="false">IF($U405="",1000000000000000,$U405)</f>
        <v>1000000000000000</v>
      </c>
      <c r="XFC405" s="6"/>
    </row>
    <row r="406" s="5" customFormat="true" ht="28.5" hidden="false" customHeight="true" outlineLevel="0" collapsed="false">
      <c r="A406" s="16" t="str">
        <f aca="false">IF($U406="","",1+COUNTIF($X$15:$X$728,"&lt;"&amp;X406))</f>
        <v/>
      </c>
      <c r="B406" s="16" t="s">
        <v>6</v>
      </c>
      <c r="C406" s="16" t="s">
        <v>1216</v>
      </c>
      <c r="D406" s="20" t="s">
        <v>108</v>
      </c>
      <c r="E406" s="16" t="s">
        <v>47</v>
      </c>
      <c r="F406" s="16" t="s">
        <v>1217</v>
      </c>
      <c r="G406" s="16" t="s">
        <v>1218</v>
      </c>
      <c r="H406" s="17" t="n">
        <v>1950</v>
      </c>
      <c r="I406" s="17"/>
      <c r="J406" s="17"/>
      <c r="K406" s="17" t="n">
        <v>1950</v>
      </c>
      <c r="L406" s="17" t="n">
        <f aca="false">IF(AND(IFERROR(SEARCH("현대오일뱅크",$C406),0)&gt;0,IFERROR(SEARCH("직영",$C406),0)&gt;0),$B$13,0)</f>
        <v>0</v>
      </c>
      <c r="M406" s="17" t="n">
        <f aca="false">IF($H406="","",$H406+$L406)</f>
        <v>1950</v>
      </c>
      <c r="N406" s="17" t="str">
        <f aca="false">IF($I406="","",$I406+$L406)</f>
        <v/>
      </c>
      <c r="O406" s="17" t="n">
        <f aca="false">IF($K406="","",$K406+$L406)</f>
        <v>1950</v>
      </c>
      <c r="P406" s="17" t="str">
        <f aca="false">IF($B$10=0,"",IFERROR(IF($B$4&gt;0,"휘발유 "&amp;TEXT(IF($M406="",1/0,$M406*$B$4),"#,##0")&amp;"원","")&amp;IF($B$5&gt;0,IF($B$4&gt;0," / ","")&amp;"고급유 "&amp;TEXT(IF($N406="",1/0,$N406*$B$5),"#,##0")&amp;"원","")&amp;IF($B$6&gt;0,IF(OR($B$4&gt;0,$B$5&gt;0)," / ","")&amp;"경유 "&amp;TEXT(IF($O406="",1/0,$O406*$B$6),"#,##0")&amp;"원",""),""))</f>
        <v/>
      </c>
      <c r="Q406" s="17" t="str">
        <f aca="false">IF($B$10=0,"",IFERROR(IF($B$4&gt;0,IF($M406="",1/0,$M406*$B$4),0)+IF($B$5&gt;0,IF($N406="",1/0,$N406*$B$5),0)+IF($B$6&gt;0,IF($O406="",1/0,$O406*$B$6),0),""))</f>
        <v/>
      </c>
      <c r="R406" s="17" t="s">
        <v>47</v>
      </c>
      <c r="S406" s="18" t="str">
        <f aca="false">IF($Q406="","",IF($R406="Y",IFERROR(VLOOKUP($B406,$C$4:$D$13,2,FALSE()),0),0))</f>
        <v/>
      </c>
      <c r="T406" s="17" t="str">
        <f aca="false">IF($Q406="","",ROUNDDOWN($Q406*$S406,0))</f>
        <v/>
      </c>
      <c r="U406" s="17" t="str">
        <f aca="false">IF($Q406="","",$Q406-$T406)</f>
        <v/>
      </c>
      <c r="V406" s="17" t="str">
        <f aca="false">IF($U406="","",IF($B$10=0,"",$U406/$B$10))</f>
        <v/>
      </c>
      <c r="W406" s="17" t="str">
        <f aca="false">IF($Q406="","",IF($B$10=0,"",$Q406/$B$10))</f>
        <v/>
      </c>
      <c r="X406" s="19" t="n">
        <f aca="false">IF($U406="",1000000000000000,$U406)</f>
        <v>1000000000000000</v>
      </c>
      <c r="XFC406" s="6"/>
    </row>
    <row r="407" s="5" customFormat="true" ht="28.5" hidden="false" customHeight="true" outlineLevel="0" collapsed="false">
      <c r="A407" s="16" t="str">
        <f aca="false">IF($U407="","",1+COUNTIF($X$15:$X$728,"&lt;"&amp;X407))</f>
        <v/>
      </c>
      <c r="B407" s="16" t="s">
        <v>16</v>
      </c>
      <c r="C407" s="16" t="s">
        <v>1219</v>
      </c>
      <c r="D407" s="16" t="s">
        <v>112</v>
      </c>
      <c r="E407" s="16" t="s">
        <v>47</v>
      </c>
      <c r="F407" s="16" t="s">
        <v>1220</v>
      </c>
      <c r="G407" s="16" t="s">
        <v>1221</v>
      </c>
      <c r="H407" s="17" t="n">
        <v>1995</v>
      </c>
      <c r="I407" s="17"/>
      <c r="J407" s="17"/>
      <c r="K407" s="17" t="n">
        <v>1995</v>
      </c>
      <c r="L407" s="17" t="n">
        <f aca="false">IF(AND(IFERROR(SEARCH("현대오일뱅크",$C407),0)&gt;0,IFERROR(SEARCH("직영",$C407),0)&gt;0),$B$13,0)</f>
        <v>0</v>
      </c>
      <c r="M407" s="17" t="n">
        <f aca="false">IF($H407="","",$H407+$L407)</f>
        <v>1995</v>
      </c>
      <c r="N407" s="17" t="str">
        <f aca="false">IF($I407="","",$I407+$L407)</f>
        <v/>
      </c>
      <c r="O407" s="17" t="n">
        <f aca="false">IF($K407="","",$K407+$L407)</f>
        <v>1995</v>
      </c>
      <c r="P407" s="17" t="str">
        <f aca="false">IF($B$10=0,"",IFERROR(IF($B$4&gt;0,"휘발유 "&amp;TEXT(IF($M407="",1/0,$M407*$B$4),"#,##0")&amp;"원","")&amp;IF($B$5&gt;0,IF($B$4&gt;0," / ","")&amp;"고급유 "&amp;TEXT(IF($N407="",1/0,$N407*$B$5),"#,##0")&amp;"원","")&amp;IF($B$6&gt;0,IF(OR($B$4&gt;0,$B$5&gt;0)," / ","")&amp;"경유 "&amp;TEXT(IF($O407="",1/0,$O407*$B$6),"#,##0")&amp;"원",""),""))</f>
        <v/>
      </c>
      <c r="Q407" s="17" t="str">
        <f aca="false">IF($B$10=0,"",IFERROR(IF($B$4&gt;0,IF($M407="",1/0,$M407*$B$4),0)+IF($B$5&gt;0,IF($N407="",1/0,$N407*$B$5),0)+IF($B$6&gt;0,IF($O407="",1/0,$O407*$B$6),0),""))</f>
        <v/>
      </c>
      <c r="R407" s="17" t="s">
        <v>47</v>
      </c>
      <c r="S407" s="18" t="str">
        <f aca="false">IF($Q407="","",IF($R407="Y",IFERROR(VLOOKUP($B407,$C$4:$D$13,2,FALSE()),0),0))</f>
        <v/>
      </c>
      <c r="T407" s="17" t="str">
        <f aca="false">IF($Q407="","",ROUNDDOWN($Q407*$S407,0))</f>
        <v/>
      </c>
      <c r="U407" s="17" t="str">
        <f aca="false">IF($Q407="","",$Q407-$T407)</f>
        <v/>
      </c>
      <c r="V407" s="17" t="str">
        <f aca="false">IF($U407="","",IF($B$10=0,"",$U407/$B$10))</f>
        <v/>
      </c>
      <c r="W407" s="17" t="str">
        <f aca="false">IF($Q407="","",IF($B$10=0,"",$Q407/$B$10))</f>
        <v/>
      </c>
      <c r="X407" s="19" t="n">
        <f aca="false">IF($U407="",1000000000000000,$U407)</f>
        <v>1000000000000000</v>
      </c>
      <c r="XFC407" s="6"/>
    </row>
    <row r="408" s="5" customFormat="true" ht="28.5" hidden="false" customHeight="true" outlineLevel="0" collapsed="false">
      <c r="A408" s="16" t="str">
        <f aca="false">IF($U408="","",1+COUNTIF($X$15:$X$728,"&lt;"&amp;X408))</f>
        <v/>
      </c>
      <c r="B408" s="16" t="s">
        <v>6</v>
      </c>
      <c r="C408" s="16" t="s">
        <v>604</v>
      </c>
      <c r="D408" s="16" t="s">
        <v>58</v>
      </c>
      <c r="E408" s="16" t="s">
        <v>47</v>
      </c>
      <c r="F408" s="16" t="s">
        <v>1222</v>
      </c>
      <c r="G408" s="16" t="s">
        <v>1223</v>
      </c>
      <c r="H408" s="17" t="n">
        <v>1952</v>
      </c>
      <c r="I408" s="17"/>
      <c r="J408" s="17"/>
      <c r="K408" s="17" t="n">
        <v>1992</v>
      </c>
      <c r="L408" s="17" t="n">
        <f aca="false">IF(AND(IFERROR(SEARCH("현대오일뱅크",$C408),0)&gt;0,IFERROR(SEARCH("직영",$C408),0)&gt;0),$B$13,0)</f>
        <v>0</v>
      </c>
      <c r="M408" s="17" t="n">
        <f aca="false">IF($H408="","",$H408+$L408)</f>
        <v>1952</v>
      </c>
      <c r="N408" s="17" t="str">
        <f aca="false">IF($I408="","",$I408+$L408)</f>
        <v/>
      </c>
      <c r="O408" s="17" t="n">
        <f aca="false">IF($K408="","",$K408+$L408)</f>
        <v>1992</v>
      </c>
      <c r="P408" s="17" t="str">
        <f aca="false">IF($B$10=0,"",IFERROR(IF($B$4&gt;0,"휘발유 "&amp;TEXT(IF($M408="",1/0,$M408*$B$4),"#,##0")&amp;"원","")&amp;IF($B$5&gt;0,IF($B$4&gt;0," / ","")&amp;"고급유 "&amp;TEXT(IF($N408="",1/0,$N408*$B$5),"#,##0")&amp;"원","")&amp;IF($B$6&gt;0,IF(OR($B$4&gt;0,$B$5&gt;0)," / ","")&amp;"경유 "&amp;TEXT(IF($O408="",1/0,$O408*$B$6),"#,##0")&amp;"원",""),""))</f>
        <v/>
      </c>
      <c r="Q408" s="17" t="str">
        <f aca="false">IF($B$10=0,"",IFERROR(IF($B$4&gt;0,IF($M408="",1/0,$M408*$B$4),0)+IF($B$5&gt;0,IF($N408="",1/0,$N408*$B$5),0)+IF($B$6&gt;0,IF($O408="",1/0,$O408*$B$6),0),""))</f>
        <v/>
      </c>
      <c r="R408" s="17" t="s">
        <v>47</v>
      </c>
      <c r="S408" s="18" t="str">
        <f aca="false">IF($Q408="","",IF($R408="Y",IFERROR(VLOOKUP($B408,$C$4:$D$13,2,FALSE()),0),0))</f>
        <v/>
      </c>
      <c r="T408" s="17" t="str">
        <f aca="false">IF($Q408="","",ROUNDDOWN($Q408*$S408,0))</f>
        <v/>
      </c>
      <c r="U408" s="17" t="str">
        <f aca="false">IF($Q408="","",$Q408-$T408)</f>
        <v/>
      </c>
      <c r="V408" s="17" t="str">
        <f aca="false">IF($U408="","",IF($B$10=0,"",$U408/$B$10))</f>
        <v/>
      </c>
      <c r="W408" s="17" t="str">
        <f aca="false">IF($Q408="","",IF($B$10=0,"",$Q408/$B$10))</f>
        <v/>
      </c>
      <c r="X408" s="19" t="n">
        <f aca="false">IF($U408="",1000000000000000,$U408)</f>
        <v>1000000000000000</v>
      </c>
      <c r="XFC408" s="6"/>
    </row>
    <row r="409" s="5" customFormat="true" ht="28.5" hidden="false" customHeight="true" outlineLevel="0" collapsed="false">
      <c r="A409" s="16" t="str">
        <f aca="false">IF($U409="","",1+COUNTIF($X$15:$X$728,"&lt;"&amp;X409))</f>
        <v/>
      </c>
      <c r="B409" s="16" t="s">
        <v>6</v>
      </c>
      <c r="C409" s="16" t="s">
        <v>1224</v>
      </c>
      <c r="D409" s="16" t="s">
        <v>58</v>
      </c>
      <c r="E409" s="16" t="s">
        <v>47</v>
      </c>
      <c r="F409" s="16" t="s">
        <v>1225</v>
      </c>
      <c r="G409" s="16" t="s">
        <v>1226</v>
      </c>
      <c r="H409" s="17" t="n">
        <v>1954</v>
      </c>
      <c r="I409" s="17"/>
      <c r="J409" s="17"/>
      <c r="K409" s="17" t="n">
        <v>1994</v>
      </c>
      <c r="L409" s="17" t="n">
        <f aca="false">IF(AND(IFERROR(SEARCH("현대오일뱅크",$C409),0)&gt;0,IFERROR(SEARCH("직영",$C409),0)&gt;0),$B$13,0)</f>
        <v>0</v>
      </c>
      <c r="M409" s="17" t="n">
        <f aca="false">IF($H409="","",$H409+$L409)</f>
        <v>1954</v>
      </c>
      <c r="N409" s="17" t="str">
        <f aca="false">IF($I409="","",$I409+$L409)</f>
        <v/>
      </c>
      <c r="O409" s="17" t="n">
        <f aca="false">IF($K409="","",$K409+$L409)</f>
        <v>1994</v>
      </c>
      <c r="P409" s="17" t="str">
        <f aca="false">IF($B$10=0,"",IFERROR(IF($B$4&gt;0,"휘발유 "&amp;TEXT(IF($M409="",1/0,$M409*$B$4),"#,##0")&amp;"원","")&amp;IF($B$5&gt;0,IF($B$4&gt;0," / ","")&amp;"고급유 "&amp;TEXT(IF($N409="",1/0,$N409*$B$5),"#,##0")&amp;"원","")&amp;IF($B$6&gt;0,IF(OR($B$4&gt;0,$B$5&gt;0)," / ","")&amp;"경유 "&amp;TEXT(IF($O409="",1/0,$O409*$B$6),"#,##0")&amp;"원",""),""))</f>
        <v/>
      </c>
      <c r="Q409" s="17" t="str">
        <f aca="false">IF($B$10=0,"",IFERROR(IF($B$4&gt;0,IF($M409="",1/0,$M409*$B$4),0)+IF($B$5&gt;0,IF($N409="",1/0,$N409*$B$5),0)+IF($B$6&gt;0,IF($O409="",1/0,$O409*$B$6),0),""))</f>
        <v/>
      </c>
      <c r="R409" s="17" t="s">
        <v>47</v>
      </c>
      <c r="S409" s="18" t="str">
        <f aca="false">IF($Q409="","",IF($R409="Y",IFERROR(VLOOKUP($B409,$C$4:$D$13,2,FALSE()),0),0))</f>
        <v/>
      </c>
      <c r="T409" s="17" t="str">
        <f aca="false">IF($Q409="","",ROUNDDOWN($Q409*$S409,0))</f>
        <v/>
      </c>
      <c r="U409" s="17" t="str">
        <f aca="false">IF($Q409="","",$Q409-$T409)</f>
        <v/>
      </c>
      <c r="V409" s="17" t="str">
        <f aca="false">IF($U409="","",IF($B$10=0,"",$U409/$B$10))</f>
        <v/>
      </c>
      <c r="W409" s="17" t="str">
        <f aca="false">IF($Q409="","",IF($B$10=0,"",$Q409/$B$10))</f>
        <v/>
      </c>
      <c r="X409" s="19" t="n">
        <f aca="false">IF($U409="",1000000000000000,$U409)</f>
        <v>1000000000000000</v>
      </c>
      <c r="XFC409" s="6"/>
    </row>
    <row r="410" s="5" customFormat="true" ht="28.5" hidden="false" customHeight="true" outlineLevel="0" collapsed="false">
      <c r="A410" s="16" t="str">
        <f aca="false">IF($U410="","",1+COUNTIF($X$15:$X$728,"&lt;"&amp;X410))</f>
        <v/>
      </c>
      <c r="B410" s="16" t="s">
        <v>6</v>
      </c>
      <c r="C410" s="16" t="s">
        <v>1227</v>
      </c>
      <c r="D410" s="16" t="s">
        <v>58</v>
      </c>
      <c r="E410" s="16" t="s">
        <v>47</v>
      </c>
      <c r="F410" s="16" t="s">
        <v>1228</v>
      </c>
      <c r="G410" s="16" t="s">
        <v>1229</v>
      </c>
      <c r="H410" s="17" t="n">
        <v>1954</v>
      </c>
      <c r="I410" s="17"/>
      <c r="J410" s="17"/>
      <c r="K410" s="17" t="n">
        <v>1994</v>
      </c>
      <c r="L410" s="17" t="n">
        <f aca="false">IF(AND(IFERROR(SEARCH("현대오일뱅크",$C410),0)&gt;0,IFERROR(SEARCH("직영",$C410),0)&gt;0),$B$13,0)</f>
        <v>0</v>
      </c>
      <c r="M410" s="17" t="n">
        <f aca="false">IF($H410="","",$H410+$L410)</f>
        <v>1954</v>
      </c>
      <c r="N410" s="17" t="str">
        <f aca="false">IF($I410="","",$I410+$L410)</f>
        <v/>
      </c>
      <c r="O410" s="17" t="n">
        <f aca="false">IF($K410="","",$K410+$L410)</f>
        <v>1994</v>
      </c>
      <c r="P410" s="17" t="str">
        <f aca="false">IF($B$10=0,"",IFERROR(IF($B$4&gt;0,"휘발유 "&amp;TEXT(IF($M410="",1/0,$M410*$B$4),"#,##0")&amp;"원","")&amp;IF($B$5&gt;0,IF($B$4&gt;0," / ","")&amp;"고급유 "&amp;TEXT(IF($N410="",1/0,$N410*$B$5),"#,##0")&amp;"원","")&amp;IF($B$6&gt;0,IF(OR($B$4&gt;0,$B$5&gt;0)," / ","")&amp;"경유 "&amp;TEXT(IF($O410="",1/0,$O410*$B$6),"#,##0")&amp;"원",""),""))</f>
        <v/>
      </c>
      <c r="Q410" s="17" t="str">
        <f aca="false">IF($B$10=0,"",IFERROR(IF($B$4&gt;0,IF($M410="",1/0,$M410*$B$4),0)+IF($B$5&gt;0,IF($N410="",1/0,$N410*$B$5),0)+IF($B$6&gt;0,IF($O410="",1/0,$O410*$B$6),0),""))</f>
        <v/>
      </c>
      <c r="R410" s="17" t="s">
        <v>47</v>
      </c>
      <c r="S410" s="18" t="str">
        <f aca="false">IF($Q410="","",IF($R410="Y",IFERROR(VLOOKUP($B410,$C$4:$D$13,2,FALSE()),0),0))</f>
        <v/>
      </c>
      <c r="T410" s="17" t="str">
        <f aca="false">IF($Q410="","",ROUNDDOWN($Q410*$S410,0))</f>
        <v/>
      </c>
      <c r="U410" s="17" t="str">
        <f aca="false">IF($Q410="","",$Q410-$T410)</f>
        <v/>
      </c>
      <c r="V410" s="17" t="str">
        <f aca="false">IF($U410="","",IF($B$10=0,"",$U410/$B$10))</f>
        <v/>
      </c>
      <c r="W410" s="17" t="str">
        <f aca="false">IF($Q410="","",IF($B$10=0,"",$Q410/$B$10))</f>
        <v/>
      </c>
      <c r="X410" s="19" t="n">
        <f aca="false">IF($U410="",1000000000000000,$U410)</f>
        <v>1000000000000000</v>
      </c>
      <c r="XFC410" s="6"/>
    </row>
    <row r="411" s="5" customFormat="true" ht="28.5" hidden="false" customHeight="true" outlineLevel="0" collapsed="false">
      <c r="A411" s="16" t="str">
        <f aca="false">IF($U411="","",1+COUNTIF($X$15:$X$728,"&lt;"&amp;X411))</f>
        <v/>
      </c>
      <c r="B411" s="16" t="s">
        <v>6</v>
      </c>
      <c r="C411" s="16" t="s">
        <v>1230</v>
      </c>
      <c r="D411" s="20" t="s">
        <v>108</v>
      </c>
      <c r="E411" s="16" t="s">
        <v>47</v>
      </c>
      <c r="F411" s="16" t="s">
        <v>1231</v>
      </c>
      <c r="G411" s="16" t="s">
        <v>1232</v>
      </c>
      <c r="H411" s="17" t="n">
        <v>1954</v>
      </c>
      <c r="I411" s="17"/>
      <c r="J411" s="17"/>
      <c r="K411" s="17" t="n">
        <v>1997</v>
      </c>
      <c r="L411" s="17" t="n">
        <f aca="false">IF(AND(IFERROR(SEARCH("현대오일뱅크",$C411),0)&gt;0,IFERROR(SEARCH("직영",$C411),0)&gt;0),$B$13,0)</f>
        <v>0</v>
      </c>
      <c r="M411" s="17" t="n">
        <f aca="false">IF($H411="","",$H411+$L411)</f>
        <v>1954</v>
      </c>
      <c r="N411" s="17" t="str">
        <f aca="false">IF($I411="","",$I411+$L411)</f>
        <v/>
      </c>
      <c r="O411" s="17" t="n">
        <f aca="false">IF($K411="","",$K411+$L411)</f>
        <v>1997</v>
      </c>
      <c r="P411" s="17" t="str">
        <f aca="false">IF($B$10=0,"",IFERROR(IF($B$4&gt;0,"휘발유 "&amp;TEXT(IF($M411="",1/0,$M411*$B$4),"#,##0")&amp;"원","")&amp;IF($B$5&gt;0,IF($B$4&gt;0," / ","")&amp;"고급유 "&amp;TEXT(IF($N411="",1/0,$N411*$B$5),"#,##0")&amp;"원","")&amp;IF($B$6&gt;0,IF(OR($B$4&gt;0,$B$5&gt;0)," / ","")&amp;"경유 "&amp;TEXT(IF($O411="",1/0,$O411*$B$6),"#,##0")&amp;"원",""),""))</f>
        <v/>
      </c>
      <c r="Q411" s="17" t="str">
        <f aca="false">IF($B$10=0,"",IFERROR(IF($B$4&gt;0,IF($M411="",1/0,$M411*$B$4),0)+IF($B$5&gt;0,IF($N411="",1/0,$N411*$B$5),0)+IF($B$6&gt;0,IF($O411="",1/0,$O411*$B$6),0),""))</f>
        <v/>
      </c>
      <c r="R411" s="17" t="s">
        <v>47</v>
      </c>
      <c r="S411" s="18" t="str">
        <f aca="false">IF($Q411="","",IF($R411="Y",IFERROR(VLOOKUP($B411,$C$4:$D$13,2,FALSE()),0),0))</f>
        <v/>
      </c>
      <c r="T411" s="17" t="str">
        <f aca="false">IF($Q411="","",ROUNDDOWN($Q411*$S411,0))</f>
        <v/>
      </c>
      <c r="U411" s="17" t="str">
        <f aca="false">IF($Q411="","",$Q411-$T411)</f>
        <v/>
      </c>
      <c r="V411" s="17" t="str">
        <f aca="false">IF($U411="","",IF($B$10=0,"",$U411/$B$10))</f>
        <v/>
      </c>
      <c r="W411" s="17" t="str">
        <f aca="false">IF($Q411="","",IF($B$10=0,"",$Q411/$B$10))</f>
        <v/>
      </c>
      <c r="X411" s="19" t="n">
        <f aca="false">IF($U411="",1000000000000000,$U411)</f>
        <v>1000000000000000</v>
      </c>
      <c r="XFC411" s="6"/>
    </row>
    <row r="412" s="5" customFormat="true" ht="28.5" hidden="false" customHeight="true" outlineLevel="0" collapsed="false">
      <c r="A412" s="16" t="str">
        <f aca="false">IF($U412="","",1+COUNTIF($X$15:$X$728,"&lt;"&amp;X412))</f>
        <v/>
      </c>
      <c r="B412" s="16" t="s">
        <v>12</v>
      </c>
      <c r="C412" s="16" t="s">
        <v>891</v>
      </c>
      <c r="D412" s="20" t="s">
        <v>108</v>
      </c>
      <c r="E412" s="16" t="s">
        <v>47</v>
      </c>
      <c r="F412" s="16" t="s">
        <v>1233</v>
      </c>
      <c r="G412" s="16" t="s">
        <v>1234</v>
      </c>
      <c r="H412" s="17" t="n">
        <v>1954</v>
      </c>
      <c r="I412" s="17"/>
      <c r="J412" s="17"/>
      <c r="K412" s="17" t="n">
        <v>2094</v>
      </c>
      <c r="L412" s="17" t="n">
        <f aca="false">IF(AND(IFERROR(SEARCH("현대오일뱅크",$C412),0)&gt;0,IFERROR(SEARCH("직영",$C412),0)&gt;0),$B$13,0)</f>
        <v>0</v>
      </c>
      <c r="M412" s="17" t="n">
        <f aca="false">IF($H412="","",$H412+$L412)</f>
        <v>1954</v>
      </c>
      <c r="N412" s="17" t="str">
        <f aca="false">IF($I412="","",$I412+$L412)</f>
        <v/>
      </c>
      <c r="O412" s="17" t="n">
        <f aca="false">IF($K412="","",$K412+$L412)</f>
        <v>2094</v>
      </c>
      <c r="P412" s="17" t="str">
        <f aca="false">IF($B$10=0,"",IFERROR(IF($B$4&gt;0,"휘발유 "&amp;TEXT(IF($M412="",1/0,$M412*$B$4),"#,##0")&amp;"원","")&amp;IF($B$5&gt;0,IF($B$4&gt;0," / ","")&amp;"고급유 "&amp;TEXT(IF($N412="",1/0,$N412*$B$5),"#,##0")&amp;"원","")&amp;IF($B$6&gt;0,IF(OR($B$4&gt;0,$B$5&gt;0)," / ","")&amp;"경유 "&amp;TEXT(IF($O412="",1/0,$O412*$B$6),"#,##0")&amp;"원",""),""))</f>
        <v/>
      </c>
      <c r="Q412" s="17" t="str">
        <f aca="false">IF($B$10=0,"",IFERROR(IF($B$4&gt;0,IF($M412="",1/0,$M412*$B$4),0)+IF($B$5&gt;0,IF($N412="",1/0,$N412*$B$5),0)+IF($B$6&gt;0,IF($O412="",1/0,$O412*$B$6),0),""))</f>
        <v/>
      </c>
      <c r="R412" s="17" t="s">
        <v>47</v>
      </c>
      <c r="S412" s="18" t="str">
        <f aca="false">IF($Q412="","",IF($R412="Y",IFERROR(VLOOKUP($B412,$C$4:$D$13,2,FALSE()),0),0))</f>
        <v/>
      </c>
      <c r="T412" s="17" t="str">
        <f aca="false">IF($Q412="","",ROUNDDOWN($Q412*$S412,0))</f>
        <v/>
      </c>
      <c r="U412" s="17" t="str">
        <f aca="false">IF($Q412="","",$Q412-$T412)</f>
        <v/>
      </c>
      <c r="V412" s="17" t="str">
        <f aca="false">IF($U412="","",IF($B$10=0,"",$U412/$B$10))</f>
        <v/>
      </c>
      <c r="W412" s="17" t="str">
        <f aca="false">IF($Q412="","",IF($B$10=0,"",$Q412/$B$10))</f>
        <v/>
      </c>
      <c r="X412" s="19" t="n">
        <f aca="false">IF($U412="",1000000000000000,$U412)</f>
        <v>1000000000000000</v>
      </c>
      <c r="XFC412" s="6"/>
    </row>
    <row r="413" s="5" customFormat="true" ht="28.5" hidden="false" customHeight="true" outlineLevel="0" collapsed="false">
      <c r="A413" s="16" t="str">
        <f aca="false">IF($U413="","",1+COUNTIF($X$15:$X$728,"&lt;"&amp;X413))</f>
        <v/>
      </c>
      <c r="B413" s="16" t="s">
        <v>6</v>
      </c>
      <c r="C413" s="16" t="s">
        <v>1235</v>
      </c>
      <c r="D413" s="16" t="s">
        <v>58</v>
      </c>
      <c r="E413" s="16" t="s">
        <v>47</v>
      </c>
      <c r="F413" s="16" t="s">
        <v>1236</v>
      </c>
      <c r="G413" s="16" t="s">
        <v>1237</v>
      </c>
      <c r="H413" s="17" t="n">
        <v>1954</v>
      </c>
      <c r="I413" s="17"/>
      <c r="J413" s="17"/>
      <c r="K413" s="17" t="n">
        <v>2014</v>
      </c>
      <c r="L413" s="17" t="n">
        <f aca="false">IF(AND(IFERROR(SEARCH("현대오일뱅크",$C413),0)&gt;0,IFERROR(SEARCH("직영",$C413),0)&gt;0),$B$13,0)</f>
        <v>0</v>
      </c>
      <c r="M413" s="17" t="n">
        <f aca="false">IF($H413="","",$H413+$L413)</f>
        <v>1954</v>
      </c>
      <c r="N413" s="17" t="str">
        <f aca="false">IF($I413="","",$I413+$L413)</f>
        <v/>
      </c>
      <c r="O413" s="17" t="n">
        <f aca="false">IF($K413="","",$K413+$L413)</f>
        <v>2014</v>
      </c>
      <c r="P413" s="17" t="str">
        <f aca="false">IF($B$10=0,"",IFERROR(IF($B$4&gt;0,"휘발유 "&amp;TEXT(IF($M413="",1/0,$M413*$B$4),"#,##0")&amp;"원","")&amp;IF($B$5&gt;0,IF($B$4&gt;0," / ","")&amp;"고급유 "&amp;TEXT(IF($N413="",1/0,$N413*$B$5),"#,##0")&amp;"원","")&amp;IF($B$6&gt;0,IF(OR($B$4&gt;0,$B$5&gt;0)," / ","")&amp;"경유 "&amp;TEXT(IF($O413="",1/0,$O413*$B$6),"#,##0")&amp;"원",""),""))</f>
        <v/>
      </c>
      <c r="Q413" s="17" t="str">
        <f aca="false">IF($B$10=0,"",IFERROR(IF($B$4&gt;0,IF($M413="",1/0,$M413*$B$4),0)+IF($B$5&gt;0,IF($N413="",1/0,$N413*$B$5),0)+IF($B$6&gt;0,IF($O413="",1/0,$O413*$B$6),0),""))</f>
        <v/>
      </c>
      <c r="R413" s="17" t="s">
        <v>47</v>
      </c>
      <c r="S413" s="18" t="str">
        <f aca="false">IF($Q413="","",IF($R413="Y",IFERROR(VLOOKUP($B413,$C$4:$D$13,2,FALSE()),0),0))</f>
        <v/>
      </c>
      <c r="T413" s="17" t="str">
        <f aca="false">IF($Q413="","",ROUNDDOWN($Q413*$S413,0))</f>
        <v/>
      </c>
      <c r="U413" s="17" t="str">
        <f aca="false">IF($Q413="","",$Q413-$T413)</f>
        <v/>
      </c>
      <c r="V413" s="17" t="str">
        <f aca="false">IF($U413="","",IF($B$10=0,"",$U413/$B$10))</f>
        <v/>
      </c>
      <c r="W413" s="17" t="str">
        <f aca="false">IF($Q413="","",IF($B$10=0,"",$Q413/$B$10))</f>
        <v/>
      </c>
      <c r="X413" s="19" t="n">
        <f aca="false">IF($U413="",1000000000000000,$U413)</f>
        <v>1000000000000000</v>
      </c>
      <c r="XFC413" s="6"/>
    </row>
    <row r="414" s="5" customFormat="true" ht="28.5" hidden="false" customHeight="true" outlineLevel="0" collapsed="false">
      <c r="A414" s="16" t="str">
        <f aca="false">IF($U414="","",1+COUNTIF($X$15:$X$728,"&lt;"&amp;X414))</f>
        <v/>
      </c>
      <c r="B414" s="16" t="s">
        <v>6</v>
      </c>
      <c r="C414" s="16" t="s">
        <v>1238</v>
      </c>
      <c r="D414" s="16" t="s">
        <v>112</v>
      </c>
      <c r="E414" s="16" t="s">
        <v>47</v>
      </c>
      <c r="F414" s="16" t="s">
        <v>1239</v>
      </c>
      <c r="G414" s="16" t="s">
        <v>1240</v>
      </c>
      <c r="H414" s="17" t="n">
        <v>1954</v>
      </c>
      <c r="I414" s="17"/>
      <c r="J414" s="17"/>
      <c r="K414" s="17" t="n">
        <v>1998</v>
      </c>
      <c r="L414" s="17" t="n">
        <f aca="false">IF(AND(IFERROR(SEARCH("현대오일뱅크",$C414),0)&gt;0,IFERROR(SEARCH("직영",$C414),0)&gt;0),$B$13,0)</f>
        <v>0</v>
      </c>
      <c r="M414" s="17" t="n">
        <f aca="false">IF($H414="","",$H414+$L414)</f>
        <v>1954</v>
      </c>
      <c r="N414" s="17" t="str">
        <f aca="false">IF($I414="","",$I414+$L414)</f>
        <v/>
      </c>
      <c r="O414" s="17" t="n">
        <f aca="false">IF($K414="","",$K414+$L414)</f>
        <v>1998</v>
      </c>
      <c r="P414" s="17" t="str">
        <f aca="false">IF($B$10=0,"",IFERROR(IF($B$4&gt;0,"휘발유 "&amp;TEXT(IF($M414="",1/0,$M414*$B$4),"#,##0")&amp;"원","")&amp;IF($B$5&gt;0,IF($B$4&gt;0," / ","")&amp;"고급유 "&amp;TEXT(IF($N414="",1/0,$N414*$B$5),"#,##0")&amp;"원","")&amp;IF($B$6&gt;0,IF(OR($B$4&gt;0,$B$5&gt;0)," / ","")&amp;"경유 "&amp;TEXT(IF($O414="",1/0,$O414*$B$6),"#,##0")&amp;"원",""),""))</f>
        <v/>
      </c>
      <c r="Q414" s="17" t="str">
        <f aca="false">IF($B$10=0,"",IFERROR(IF($B$4&gt;0,IF($M414="",1/0,$M414*$B$4),0)+IF($B$5&gt;0,IF($N414="",1/0,$N414*$B$5),0)+IF($B$6&gt;0,IF($O414="",1/0,$O414*$B$6),0),""))</f>
        <v/>
      </c>
      <c r="R414" s="17" t="s">
        <v>47</v>
      </c>
      <c r="S414" s="18" t="str">
        <f aca="false">IF($Q414="","",IF($R414="Y",IFERROR(VLOOKUP($B414,$C$4:$D$13,2,FALSE()),0),0))</f>
        <v/>
      </c>
      <c r="T414" s="17" t="str">
        <f aca="false">IF($Q414="","",ROUNDDOWN($Q414*$S414,0))</f>
        <v/>
      </c>
      <c r="U414" s="17" t="str">
        <f aca="false">IF($Q414="","",$Q414-$T414)</f>
        <v/>
      </c>
      <c r="V414" s="17" t="str">
        <f aca="false">IF($U414="","",IF($B$10=0,"",$U414/$B$10))</f>
        <v/>
      </c>
      <c r="W414" s="17" t="str">
        <f aca="false">IF($Q414="","",IF($B$10=0,"",$Q414/$B$10))</f>
        <v/>
      </c>
      <c r="X414" s="19" t="n">
        <f aca="false">IF($U414="",1000000000000000,$U414)</f>
        <v>1000000000000000</v>
      </c>
      <c r="XFC414" s="6"/>
    </row>
    <row r="415" s="5" customFormat="true" ht="28.5" hidden="false" customHeight="true" outlineLevel="0" collapsed="false">
      <c r="A415" s="16" t="str">
        <f aca="false">IF($U415="","",1+COUNTIF($X$15:$X$728,"&lt;"&amp;X415))</f>
        <v/>
      </c>
      <c r="B415" s="16" t="s">
        <v>12</v>
      </c>
      <c r="C415" s="16" t="s">
        <v>1241</v>
      </c>
      <c r="D415" s="20" t="s">
        <v>294</v>
      </c>
      <c r="E415" s="16" t="s">
        <v>47</v>
      </c>
      <c r="F415" s="16" t="s">
        <v>1242</v>
      </c>
      <c r="G415" s="16" t="s">
        <v>1243</v>
      </c>
      <c r="H415" s="17" t="n">
        <v>1954</v>
      </c>
      <c r="I415" s="17"/>
      <c r="J415" s="17"/>
      <c r="K415" s="17" t="n">
        <v>2034</v>
      </c>
      <c r="L415" s="17" t="n">
        <f aca="false">IF(AND(IFERROR(SEARCH("현대오일뱅크",$C415),0)&gt;0,IFERROR(SEARCH("직영",$C415),0)&gt;0),$B$13,0)</f>
        <v>0</v>
      </c>
      <c r="M415" s="17" t="n">
        <f aca="false">IF($H415="","",$H415+$L415)</f>
        <v>1954</v>
      </c>
      <c r="N415" s="17" t="str">
        <f aca="false">IF($I415="","",$I415+$L415)</f>
        <v/>
      </c>
      <c r="O415" s="17" t="n">
        <f aca="false">IF($K415="","",$K415+$L415)</f>
        <v>2034</v>
      </c>
      <c r="P415" s="17" t="str">
        <f aca="false">IF($B$10=0,"",IFERROR(IF($B$4&gt;0,"휘발유 "&amp;TEXT(IF($M415="",1/0,$M415*$B$4),"#,##0")&amp;"원","")&amp;IF($B$5&gt;0,IF($B$4&gt;0," / ","")&amp;"고급유 "&amp;TEXT(IF($N415="",1/0,$N415*$B$5),"#,##0")&amp;"원","")&amp;IF($B$6&gt;0,IF(OR($B$4&gt;0,$B$5&gt;0)," / ","")&amp;"경유 "&amp;TEXT(IF($O415="",1/0,$O415*$B$6),"#,##0")&amp;"원",""),""))</f>
        <v/>
      </c>
      <c r="Q415" s="17" t="str">
        <f aca="false">IF($B$10=0,"",IFERROR(IF($B$4&gt;0,IF($M415="",1/0,$M415*$B$4),0)+IF($B$5&gt;0,IF($N415="",1/0,$N415*$B$5),0)+IF($B$6&gt;0,IF($O415="",1/0,$O415*$B$6),0),""))</f>
        <v/>
      </c>
      <c r="R415" s="17" t="s">
        <v>47</v>
      </c>
      <c r="S415" s="18" t="str">
        <f aca="false">IF($Q415="","",IF($R415="Y",IFERROR(VLOOKUP($B415,$C$4:$D$13,2,FALSE()),0),0))</f>
        <v/>
      </c>
      <c r="T415" s="17" t="str">
        <f aca="false">IF($Q415="","",ROUNDDOWN($Q415*$S415,0))</f>
        <v/>
      </c>
      <c r="U415" s="17" t="str">
        <f aca="false">IF($Q415="","",$Q415-$T415)</f>
        <v/>
      </c>
      <c r="V415" s="17" t="str">
        <f aca="false">IF($U415="","",IF($B$10=0,"",$U415/$B$10))</f>
        <v/>
      </c>
      <c r="W415" s="17" t="str">
        <f aca="false">IF($Q415="","",IF($B$10=0,"",$Q415/$B$10))</f>
        <v/>
      </c>
      <c r="X415" s="19" t="n">
        <f aca="false">IF($U415="",1000000000000000,$U415)</f>
        <v>1000000000000000</v>
      </c>
      <c r="XFC415" s="6"/>
    </row>
    <row r="416" s="5" customFormat="true" ht="28.5" hidden="false" customHeight="true" outlineLevel="0" collapsed="false">
      <c r="A416" s="16" t="str">
        <f aca="false">IF($U416="","",1+COUNTIF($X$15:$X$728,"&lt;"&amp;X416))</f>
        <v/>
      </c>
      <c r="B416" s="16" t="s">
        <v>6</v>
      </c>
      <c r="C416" s="16" t="s">
        <v>1244</v>
      </c>
      <c r="D416" s="16" t="s">
        <v>51</v>
      </c>
      <c r="E416" s="16" t="s">
        <v>47</v>
      </c>
      <c r="F416" s="16" t="s">
        <v>1245</v>
      </c>
      <c r="G416" s="16" t="s">
        <v>1246</v>
      </c>
      <c r="H416" s="17" t="n">
        <v>1954</v>
      </c>
      <c r="I416" s="17"/>
      <c r="J416" s="17"/>
      <c r="K416" s="17" t="n">
        <v>1974</v>
      </c>
      <c r="L416" s="17" t="n">
        <f aca="false">IF(AND(IFERROR(SEARCH("현대오일뱅크",$C416),0)&gt;0,IFERROR(SEARCH("직영",$C416),0)&gt;0),$B$13,0)</f>
        <v>0</v>
      </c>
      <c r="M416" s="17" t="n">
        <f aca="false">IF($H416="","",$H416+$L416)</f>
        <v>1954</v>
      </c>
      <c r="N416" s="17" t="str">
        <f aca="false">IF($I416="","",$I416+$L416)</f>
        <v/>
      </c>
      <c r="O416" s="17" t="n">
        <f aca="false">IF($K416="","",$K416+$L416)</f>
        <v>1974</v>
      </c>
      <c r="P416" s="17" t="str">
        <f aca="false">IF($B$10=0,"",IFERROR(IF($B$4&gt;0,"휘발유 "&amp;TEXT(IF($M416="",1/0,$M416*$B$4),"#,##0")&amp;"원","")&amp;IF($B$5&gt;0,IF($B$4&gt;0," / ","")&amp;"고급유 "&amp;TEXT(IF($N416="",1/0,$N416*$B$5),"#,##0")&amp;"원","")&amp;IF($B$6&gt;0,IF(OR($B$4&gt;0,$B$5&gt;0)," / ","")&amp;"경유 "&amp;TEXT(IF($O416="",1/0,$O416*$B$6),"#,##0")&amp;"원",""),""))</f>
        <v/>
      </c>
      <c r="Q416" s="17" t="str">
        <f aca="false">IF($B$10=0,"",IFERROR(IF($B$4&gt;0,IF($M416="",1/0,$M416*$B$4),0)+IF($B$5&gt;0,IF($N416="",1/0,$N416*$B$5),0)+IF($B$6&gt;0,IF($O416="",1/0,$O416*$B$6),0),""))</f>
        <v/>
      </c>
      <c r="R416" s="17" t="s">
        <v>47</v>
      </c>
      <c r="S416" s="18" t="str">
        <f aca="false">IF($Q416="","",IF($R416="Y",IFERROR(VLOOKUP($B416,$C$4:$D$13,2,FALSE()),0),0))</f>
        <v/>
      </c>
      <c r="T416" s="17" t="str">
        <f aca="false">IF($Q416="","",ROUNDDOWN($Q416*$S416,0))</f>
        <v/>
      </c>
      <c r="U416" s="17" t="str">
        <f aca="false">IF($Q416="","",$Q416-$T416)</f>
        <v/>
      </c>
      <c r="V416" s="17" t="str">
        <f aca="false">IF($U416="","",IF($B$10=0,"",$U416/$B$10))</f>
        <v/>
      </c>
      <c r="W416" s="17" t="str">
        <f aca="false">IF($Q416="","",IF($B$10=0,"",$Q416/$B$10))</f>
        <v/>
      </c>
      <c r="X416" s="19" t="n">
        <f aca="false">IF($U416="",1000000000000000,$U416)</f>
        <v>1000000000000000</v>
      </c>
      <c r="XFC416" s="6"/>
    </row>
    <row r="417" s="5" customFormat="true" ht="28.5" hidden="false" customHeight="true" outlineLevel="0" collapsed="false">
      <c r="A417" s="16" t="str">
        <f aca="false">IF($U417="","",1+COUNTIF($X$15:$X$728,"&lt;"&amp;X417))</f>
        <v/>
      </c>
      <c r="B417" s="16" t="s">
        <v>12</v>
      </c>
      <c r="C417" s="16" t="s">
        <v>1247</v>
      </c>
      <c r="D417" s="20" t="s">
        <v>294</v>
      </c>
      <c r="E417" s="16" t="s">
        <v>47</v>
      </c>
      <c r="F417" s="16" t="s">
        <v>1248</v>
      </c>
      <c r="G417" s="16" t="s">
        <v>1249</v>
      </c>
      <c r="H417" s="17" t="n">
        <v>1954</v>
      </c>
      <c r="I417" s="17"/>
      <c r="J417" s="17"/>
      <c r="K417" s="17" t="n">
        <v>2014</v>
      </c>
      <c r="L417" s="17" t="n">
        <f aca="false">IF(AND(IFERROR(SEARCH("현대오일뱅크",$C417),0)&gt;0,IFERROR(SEARCH("직영",$C417),0)&gt;0),$B$13,0)</f>
        <v>0</v>
      </c>
      <c r="M417" s="17" t="n">
        <f aca="false">IF($H417="","",$H417+$L417)</f>
        <v>1954</v>
      </c>
      <c r="N417" s="17" t="str">
        <f aca="false">IF($I417="","",$I417+$L417)</f>
        <v/>
      </c>
      <c r="O417" s="17" t="n">
        <f aca="false">IF($K417="","",$K417+$L417)</f>
        <v>2014</v>
      </c>
      <c r="P417" s="17" t="str">
        <f aca="false">IF($B$10=0,"",IFERROR(IF($B$4&gt;0,"휘발유 "&amp;TEXT(IF($M417="",1/0,$M417*$B$4),"#,##0")&amp;"원","")&amp;IF($B$5&gt;0,IF($B$4&gt;0," / ","")&amp;"고급유 "&amp;TEXT(IF($N417="",1/0,$N417*$B$5),"#,##0")&amp;"원","")&amp;IF($B$6&gt;0,IF(OR($B$4&gt;0,$B$5&gt;0)," / ","")&amp;"경유 "&amp;TEXT(IF($O417="",1/0,$O417*$B$6),"#,##0")&amp;"원",""),""))</f>
        <v/>
      </c>
      <c r="Q417" s="17" t="str">
        <f aca="false">IF($B$10=0,"",IFERROR(IF($B$4&gt;0,IF($M417="",1/0,$M417*$B$4),0)+IF($B$5&gt;0,IF($N417="",1/0,$N417*$B$5),0)+IF($B$6&gt;0,IF($O417="",1/0,$O417*$B$6),0),""))</f>
        <v/>
      </c>
      <c r="R417" s="17" t="s">
        <v>47</v>
      </c>
      <c r="S417" s="18" t="str">
        <f aca="false">IF($Q417="","",IF($R417="Y",IFERROR(VLOOKUP($B417,$C$4:$D$13,2,FALSE()),0),0))</f>
        <v/>
      </c>
      <c r="T417" s="17" t="str">
        <f aca="false">IF($Q417="","",ROUNDDOWN($Q417*$S417,0))</f>
        <v/>
      </c>
      <c r="U417" s="17" t="str">
        <f aca="false">IF($Q417="","",$Q417-$T417)</f>
        <v/>
      </c>
      <c r="V417" s="17" t="str">
        <f aca="false">IF($U417="","",IF($B$10=0,"",$U417/$B$10))</f>
        <v/>
      </c>
      <c r="W417" s="17" t="str">
        <f aca="false">IF($Q417="","",IF($B$10=0,"",$Q417/$B$10))</f>
        <v/>
      </c>
      <c r="X417" s="19" t="n">
        <f aca="false">IF($U417="",1000000000000000,$U417)</f>
        <v>1000000000000000</v>
      </c>
      <c r="XFC417" s="6"/>
    </row>
    <row r="418" s="5" customFormat="true" ht="28.5" hidden="false" customHeight="true" outlineLevel="0" collapsed="false">
      <c r="A418" s="16" t="str">
        <f aca="false">IF($U418="","",1+COUNTIF($X$15:$X$728,"&lt;"&amp;X418))</f>
        <v/>
      </c>
      <c r="B418" s="16" t="s">
        <v>12</v>
      </c>
      <c r="C418" s="16" t="s">
        <v>1250</v>
      </c>
      <c r="D418" s="20" t="s">
        <v>248</v>
      </c>
      <c r="E418" s="16" t="s">
        <v>47</v>
      </c>
      <c r="F418" s="16" t="s">
        <v>1251</v>
      </c>
      <c r="G418" s="16" t="s">
        <v>1252</v>
      </c>
      <c r="H418" s="17" t="n">
        <v>1954</v>
      </c>
      <c r="I418" s="17"/>
      <c r="J418" s="17"/>
      <c r="K418" s="17" t="n">
        <v>1994</v>
      </c>
      <c r="L418" s="17" t="n">
        <f aca="false">IF(AND(IFERROR(SEARCH("현대오일뱅크",$C418),0)&gt;0,IFERROR(SEARCH("직영",$C418),0)&gt;0),$B$13,0)</f>
        <v>0</v>
      </c>
      <c r="M418" s="17" t="n">
        <f aca="false">IF($H418="","",$H418+$L418)</f>
        <v>1954</v>
      </c>
      <c r="N418" s="17" t="str">
        <f aca="false">IF($I418="","",$I418+$L418)</f>
        <v/>
      </c>
      <c r="O418" s="17" t="n">
        <f aca="false">IF($K418="","",$K418+$L418)</f>
        <v>1994</v>
      </c>
      <c r="P418" s="17" t="str">
        <f aca="false">IF($B$10=0,"",IFERROR(IF($B$4&gt;0,"휘발유 "&amp;TEXT(IF($M418="",1/0,$M418*$B$4),"#,##0")&amp;"원","")&amp;IF($B$5&gt;0,IF($B$4&gt;0," / ","")&amp;"고급유 "&amp;TEXT(IF($N418="",1/0,$N418*$B$5),"#,##0")&amp;"원","")&amp;IF($B$6&gt;0,IF(OR($B$4&gt;0,$B$5&gt;0)," / ","")&amp;"경유 "&amp;TEXT(IF($O418="",1/0,$O418*$B$6),"#,##0")&amp;"원",""),""))</f>
        <v/>
      </c>
      <c r="Q418" s="17" t="str">
        <f aca="false">IF($B$10=0,"",IFERROR(IF($B$4&gt;0,IF($M418="",1/0,$M418*$B$4),0)+IF($B$5&gt;0,IF($N418="",1/0,$N418*$B$5),0)+IF($B$6&gt;0,IF($O418="",1/0,$O418*$B$6),0),""))</f>
        <v/>
      </c>
      <c r="R418" s="17" t="s">
        <v>47</v>
      </c>
      <c r="S418" s="18" t="str">
        <f aca="false">IF($Q418="","",IF($R418="Y",IFERROR(VLOOKUP($B418,$C$4:$D$13,2,FALSE()),0),0))</f>
        <v/>
      </c>
      <c r="T418" s="17" t="str">
        <f aca="false">IF($Q418="","",ROUNDDOWN($Q418*$S418,0))</f>
        <v/>
      </c>
      <c r="U418" s="17" t="str">
        <f aca="false">IF($Q418="","",$Q418-$T418)</f>
        <v/>
      </c>
      <c r="V418" s="17" t="str">
        <f aca="false">IF($U418="","",IF($B$10=0,"",$U418/$B$10))</f>
        <v/>
      </c>
      <c r="W418" s="17" t="str">
        <f aca="false">IF($Q418="","",IF($B$10=0,"",$Q418/$B$10))</f>
        <v/>
      </c>
      <c r="X418" s="19" t="n">
        <f aca="false">IF($U418="",1000000000000000,$U418)</f>
        <v>1000000000000000</v>
      </c>
      <c r="XFC418" s="6"/>
    </row>
    <row r="419" s="5" customFormat="true" ht="28.5" hidden="false" customHeight="true" outlineLevel="0" collapsed="false">
      <c r="A419" s="16" t="str">
        <f aca="false">IF($U419="","",1+COUNTIF($X$15:$X$728,"&lt;"&amp;X419))</f>
        <v/>
      </c>
      <c r="B419" s="16" t="s">
        <v>6</v>
      </c>
      <c r="C419" s="16" t="s">
        <v>1253</v>
      </c>
      <c r="D419" s="16" t="s">
        <v>112</v>
      </c>
      <c r="E419" s="16" t="s">
        <v>47</v>
      </c>
      <c r="F419" s="16" t="s">
        <v>1254</v>
      </c>
      <c r="G419" s="16" t="s">
        <v>1255</v>
      </c>
      <c r="H419" s="17" t="n">
        <v>1954</v>
      </c>
      <c r="I419" s="17"/>
      <c r="J419" s="17"/>
      <c r="K419" s="17" t="n">
        <v>1984</v>
      </c>
      <c r="L419" s="17" t="n">
        <f aca="false">IF(AND(IFERROR(SEARCH("현대오일뱅크",$C419),0)&gt;0,IFERROR(SEARCH("직영",$C419),0)&gt;0),$B$13,0)</f>
        <v>0</v>
      </c>
      <c r="M419" s="17" t="n">
        <f aca="false">IF($H419="","",$H419+$L419)</f>
        <v>1954</v>
      </c>
      <c r="N419" s="17" t="str">
        <f aca="false">IF($I419="","",$I419+$L419)</f>
        <v/>
      </c>
      <c r="O419" s="17" t="n">
        <f aca="false">IF($K419="","",$K419+$L419)</f>
        <v>1984</v>
      </c>
      <c r="P419" s="17" t="str">
        <f aca="false">IF($B$10=0,"",IFERROR(IF($B$4&gt;0,"휘발유 "&amp;TEXT(IF($M419="",1/0,$M419*$B$4),"#,##0")&amp;"원","")&amp;IF($B$5&gt;0,IF($B$4&gt;0," / ","")&amp;"고급유 "&amp;TEXT(IF($N419="",1/0,$N419*$B$5),"#,##0")&amp;"원","")&amp;IF($B$6&gt;0,IF(OR($B$4&gt;0,$B$5&gt;0)," / ","")&amp;"경유 "&amp;TEXT(IF($O419="",1/0,$O419*$B$6),"#,##0")&amp;"원",""),""))</f>
        <v/>
      </c>
      <c r="Q419" s="17" t="str">
        <f aca="false">IF($B$10=0,"",IFERROR(IF($B$4&gt;0,IF($M419="",1/0,$M419*$B$4),0)+IF($B$5&gt;0,IF($N419="",1/0,$N419*$B$5),0)+IF($B$6&gt;0,IF($O419="",1/0,$O419*$B$6),0),""))</f>
        <v/>
      </c>
      <c r="R419" s="17" t="s">
        <v>47</v>
      </c>
      <c r="S419" s="18" t="str">
        <f aca="false">IF($Q419="","",IF($R419="Y",IFERROR(VLOOKUP($B419,$C$4:$D$13,2,FALSE()),0),0))</f>
        <v/>
      </c>
      <c r="T419" s="17" t="str">
        <f aca="false">IF($Q419="","",ROUNDDOWN($Q419*$S419,0))</f>
        <v/>
      </c>
      <c r="U419" s="17" t="str">
        <f aca="false">IF($Q419="","",$Q419-$T419)</f>
        <v/>
      </c>
      <c r="V419" s="17" t="str">
        <f aca="false">IF($U419="","",IF($B$10=0,"",$U419/$B$10))</f>
        <v/>
      </c>
      <c r="W419" s="17" t="str">
        <f aca="false">IF($Q419="","",IF($B$10=0,"",$Q419/$B$10))</f>
        <v/>
      </c>
      <c r="X419" s="19" t="n">
        <f aca="false">IF($U419="",1000000000000000,$U419)</f>
        <v>1000000000000000</v>
      </c>
      <c r="XFC419" s="6"/>
    </row>
    <row r="420" s="5" customFormat="true" ht="28.5" hidden="false" customHeight="true" outlineLevel="0" collapsed="false">
      <c r="A420" s="16" t="str">
        <f aca="false">IF($U420="","",1+COUNTIF($X$15:$X$728,"&lt;"&amp;X420))</f>
        <v/>
      </c>
      <c r="B420" s="16" t="s">
        <v>6</v>
      </c>
      <c r="C420" s="16" t="s">
        <v>1256</v>
      </c>
      <c r="D420" s="16" t="s">
        <v>58</v>
      </c>
      <c r="E420" s="16" t="s">
        <v>47</v>
      </c>
      <c r="F420" s="16" t="s">
        <v>1257</v>
      </c>
      <c r="G420" s="16" t="s">
        <v>1258</v>
      </c>
      <c r="H420" s="17" t="n">
        <v>1955</v>
      </c>
      <c r="I420" s="17"/>
      <c r="J420" s="17"/>
      <c r="K420" s="17" t="n">
        <v>2035</v>
      </c>
      <c r="L420" s="17" t="n">
        <f aca="false">IF(AND(IFERROR(SEARCH("현대오일뱅크",$C420),0)&gt;0,IFERROR(SEARCH("직영",$C420),0)&gt;0),$B$13,0)</f>
        <v>0</v>
      </c>
      <c r="M420" s="17" t="n">
        <f aca="false">IF($H420="","",$H420+$L420)</f>
        <v>1955</v>
      </c>
      <c r="N420" s="17" t="str">
        <f aca="false">IF($I420="","",$I420+$L420)</f>
        <v/>
      </c>
      <c r="O420" s="17" t="n">
        <f aca="false">IF($K420="","",$K420+$L420)</f>
        <v>2035</v>
      </c>
      <c r="P420" s="17" t="str">
        <f aca="false">IF($B$10=0,"",IFERROR(IF($B$4&gt;0,"휘발유 "&amp;TEXT(IF($M420="",1/0,$M420*$B$4),"#,##0")&amp;"원","")&amp;IF($B$5&gt;0,IF($B$4&gt;0," / ","")&amp;"고급유 "&amp;TEXT(IF($N420="",1/0,$N420*$B$5),"#,##0")&amp;"원","")&amp;IF($B$6&gt;0,IF(OR($B$4&gt;0,$B$5&gt;0)," / ","")&amp;"경유 "&amp;TEXT(IF($O420="",1/0,$O420*$B$6),"#,##0")&amp;"원",""),""))</f>
        <v/>
      </c>
      <c r="Q420" s="17" t="str">
        <f aca="false">IF($B$10=0,"",IFERROR(IF($B$4&gt;0,IF($M420="",1/0,$M420*$B$4),0)+IF($B$5&gt;0,IF($N420="",1/0,$N420*$B$5),0)+IF($B$6&gt;0,IF($O420="",1/0,$O420*$B$6),0),""))</f>
        <v/>
      </c>
      <c r="R420" s="17" t="s">
        <v>47</v>
      </c>
      <c r="S420" s="18" t="str">
        <f aca="false">IF($Q420="","",IF($R420="Y",IFERROR(VLOOKUP($B420,$C$4:$D$13,2,FALSE()),0),0))</f>
        <v/>
      </c>
      <c r="T420" s="17" t="str">
        <f aca="false">IF($Q420="","",ROUNDDOWN($Q420*$S420,0))</f>
        <v/>
      </c>
      <c r="U420" s="17" t="str">
        <f aca="false">IF($Q420="","",$Q420-$T420)</f>
        <v/>
      </c>
      <c r="V420" s="17" t="str">
        <f aca="false">IF($U420="","",IF($B$10=0,"",$U420/$B$10))</f>
        <v/>
      </c>
      <c r="W420" s="17" t="str">
        <f aca="false">IF($Q420="","",IF($B$10=0,"",$Q420/$B$10))</f>
        <v/>
      </c>
      <c r="X420" s="19" t="n">
        <f aca="false">IF($U420="",1000000000000000,$U420)</f>
        <v>1000000000000000</v>
      </c>
      <c r="XFC420" s="6"/>
    </row>
    <row r="421" s="5" customFormat="true" ht="28.5" hidden="false" customHeight="true" outlineLevel="0" collapsed="false">
      <c r="A421" s="16" t="str">
        <f aca="false">IF($U421="","",1+COUNTIF($X$15:$X$728,"&lt;"&amp;X421))</f>
        <v/>
      </c>
      <c r="B421" s="16" t="s">
        <v>6</v>
      </c>
      <c r="C421" s="16" t="s">
        <v>1259</v>
      </c>
      <c r="D421" s="16" t="s">
        <v>58</v>
      </c>
      <c r="E421" s="16" t="s">
        <v>47</v>
      </c>
      <c r="F421" s="16" t="s">
        <v>1260</v>
      </c>
      <c r="G421" s="16" t="s">
        <v>1261</v>
      </c>
      <c r="H421" s="17" t="n">
        <v>1955</v>
      </c>
      <c r="I421" s="17"/>
      <c r="J421" s="17"/>
      <c r="K421" s="17" t="n">
        <v>2035</v>
      </c>
      <c r="L421" s="17" t="n">
        <f aca="false">IF(AND(IFERROR(SEARCH("현대오일뱅크",$C421),0)&gt;0,IFERROR(SEARCH("직영",$C421),0)&gt;0),$B$13,0)</f>
        <v>0</v>
      </c>
      <c r="M421" s="17" t="n">
        <f aca="false">IF($H421="","",$H421+$L421)</f>
        <v>1955</v>
      </c>
      <c r="N421" s="17" t="str">
        <f aca="false">IF($I421="","",$I421+$L421)</f>
        <v/>
      </c>
      <c r="O421" s="17" t="n">
        <f aca="false">IF($K421="","",$K421+$L421)</f>
        <v>2035</v>
      </c>
      <c r="P421" s="17" t="str">
        <f aca="false">IF($B$10=0,"",IFERROR(IF($B$4&gt;0,"휘발유 "&amp;TEXT(IF($M421="",1/0,$M421*$B$4),"#,##0")&amp;"원","")&amp;IF($B$5&gt;0,IF($B$4&gt;0," / ","")&amp;"고급유 "&amp;TEXT(IF($N421="",1/0,$N421*$B$5),"#,##0")&amp;"원","")&amp;IF($B$6&gt;0,IF(OR($B$4&gt;0,$B$5&gt;0)," / ","")&amp;"경유 "&amp;TEXT(IF($O421="",1/0,$O421*$B$6),"#,##0")&amp;"원",""),""))</f>
        <v/>
      </c>
      <c r="Q421" s="17" t="str">
        <f aca="false">IF($B$10=0,"",IFERROR(IF($B$4&gt;0,IF($M421="",1/0,$M421*$B$4),0)+IF($B$5&gt;0,IF($N421="",1/0,$N421*$B$5),0)+IF($B$6&gt;0,IF($O421="",1/0,$O421*$B$6),0),""))</f>
        <v/>
      </c>
      <c r="R421" s="17" t="s">
        <v>47</v>
      </c>
      <c r="S421" s="18" t="str">
        <f aca="false">IF($Q421="","",IF($R421="Y",IFERROR(VLOOKUP($B421,$C$4:$D$13,2,FALSE()),0),0))</f>
        <v/>
      </c>
      <c r="T421" s="17" t="str">
        <f aca="false">IF($Q421="","",ROUNDDOWN($Q421*$S421,0))</f>
        <v/>
      </c>
      <c r="U421" s="17" t="str">
        <f aca="false">IF($Q421="","",$Q421-$T421)</f>
        <v/>
      </c>
      <c r="V421" s="17" t="str">
        <f aca="false">IF($U421="","",IF($B$10=0,"",$U421/$B$10))</f>
        <v/>
      </c>
      <c r="W421" s="17" t="str">
        <f aca="false">IF($Q421="","",IF($B$10=0,"",$Q421/$B$10))</f>
        <v/>
      </c>
      <c r="X421" s="19" t="n">
        <f aca="false">IF($U421="",1000000000000000,$U421)</f>
        <v>1000000000000000</v>
      </c>
      <c r="XFC421" s="6"/>
    </row>
    <row r="422" s="5" customFormat="true" ht="28.5" hidden="false" customHeight="true" outlineLevel="0" collapsed="false">
      <c r="A422" s="16" t="str">
        <f aca="false">IF($U422="","",1+COUNTIF($X$15:$X$728,"&lt;"&amp;X422))</f>
        <v/>
      </c>
      <c r="B422" s="16" t="s">
        <v>6</v>
      </c>
      <c r="C422" s="16" t="s">
        <v>1262</v>
      </c>
      <c r="D422" s="20" t="s">
        <v>108</v>
      </c>
      <c r="E422" s="16" t="s">
        <v>47</v>
      </c>
      <c r="F422" s="16" t="s">
        <v>1263</v>
      </c>
      <c r="G422" s="16" t="s">
        <v>1264</v>
      </c>
      <c r="H422" s="17" t="n">
        <v>1955</v>
      </c>
      <c r="I422" s="17"/>
      <c r="J422" s="17"/>
      <c r="K422" s="17" t="n">
        <v>1993</v>
      </c>
      <c r="L422" s="17" t="n">
        <f aca="false">IF(AND(IFERROR(SEARCH("현대오일뱅크",$C422),0)&gt;0,IFERROR(SEARCH("직영",$C422),0)&gt;0),$B$13,0)</f>
        <v>0</v>
      </c>
      <c r="M422" s="17" t="n">
        <f aca="false">IF($H422="","",$H422+$L422)</f>
        <v>1955</v>
      </c>
      <c r="N422" s="17" t="str">
        <f aca="false">IF($I422="","",$I422+$L422)</f>
        <v/>
      </c>
      <c r="O422" s="17" t="n">
        <f aca="false">IF($K422="","",$K422+$L422)</f>
        <v>1993</v>
      </c>
      <c r="P422" s="17" t="str">
        <f aca="false">IF($B$10=0,"",IFERROR(IF($B$4&gt;0,"휘발유 "&amp;TEXT(IF($M422="",1/0,$M422*$B$4),"#,##0")&amp;"원","")&amp;IF($B$5&gt;0,IF($B$4&gt;0," / ","")&amp;"고급유 "&amp;TEXT(IF($N422="",1/0,$N422*$B$5),"#,##0")&amp;"원","")&amp;IF($B$6&gt;0,IF(OR($B$4&gt;0,$B$5&gt;0)," / ","")&amp;"경유 "&amp;TEXT(IF($O422="",1/0,$O422*$B$6),"#,##0")&amp;"원",""),""))</f>
        <v/>
      </c>
      <c r="Q422" s="17" t="str">
        <f aca="false">IF($B$10=0,"",IFERROR(IF($B$4&gt;0,IF($M422="",1/0,$M422*$B$4),0)+IF($B$5&gt;0,IF($N422="",1/0,$N422*$B$5),0)+IF($B$6&gt;0,IF($O422="",1/0,$O422*$B$6),0),""))</f>
        <v/>
      </c>
      <c r="R422" s="17" t="s">
        <v>47</v>
      </c>
      <c r="S422" s="18" t="str">
        <f aca="false">IF($Q422="","",IF($R422="Y",IFERROR(VLOOKUP($B422,$C$4:$D$13,2,FALSE()),0),0))</f>
        <v/>
      </c>
      <c r="T422" s="17" t="str">
        <f aca="false">IF($Q422="","",ROUNDDOWN($Q422*$S422,0))</f>
        <v/>
      </c>
      <c r="U422" s="17" t="str">
        <f aca="false">IF($Q422="","",$Q422-$T422)</f>
        <v/>
      </c>
      <c r="V422" s="17" t="str">
        <f aca="false">IF($U422="","",IF($B$10=0,"",$U422/$B$10))</f>
        <v/>
      </c>
      <c r="W422" s="17" t="str">
        <f aca="false">IF($Q422="","",IF($B$10=0,"",$Q422/$B$10))</f>
        <v/>
      </c>
      <c r="X422" s="19" t="n">
        <f aca="false">IF($U422="",1000000000000000,$U422)</f>
        <v>1000000000000000</v>
      </c>
      <c r="XFC422" s="6"/>
    </row>
    <row r="423" s="5" customFormat="true" ht="28.5" hidden="false" customHeight="true" outlineLevel="0" collapsed="false">
      <c r="A423" s="16" t="str">
        <f aca="false">IF($U423="","",1+COUNTIF($X$15:$X$728,"&lt;"&amp;X423))</f>
        <v/>
      </c>
      <c r="B423" s="16" t="s">
        <v>6</v>
      </c>
      <c r="C423" s="16" t="s">
        <v>1265</v>
      </c>
      <c r="D423" s="16" t="s">
        <v>112</v>
      </c>
      <c r="E423" s="16" t="s">
        <v>47</v>
      </c>
      <c r="F423" s="16" t="s">
        <v>1266</v>
      </c>
      <c r="G423" s="16" t="s">
        <v>1267</v>
      </c>
      <c r="H423" s="17" t="n">
        <v>1955</v>
      </c>
      <c r="I423" s="17"/>
      <c r="J423" s="17"/>
      <c r="K423" s="17" t="n">
        <v>1975</v>
      </c>
      <c r="L423" s="17" t="n">
        <f aca="false">IF(AND(IFERROR(SEARCH("현대오일뱅크",$C423),0)&gt;0,IFERROR(SEARCH("직영",$C423),0)&gt;0),$B$13,0)</f>
        <v>0</v>
      </c>
      <c r="M423" s="17" t="n">
        <f aca="false">IF($H423="","",$H423+$L423)</f>
        <v>1955</v>
      </c>
      <c r="N423" s="17" t="str">
        <f aca="false">IF($I423="","",$I423+$L423)</f>
        <v/>
      </c>
      <c r="O423" s="17" t="n">
        <f aca="false">IF($K423="","",$K423+$L423)</f>
        <v>1975</v>
      </c>
      <c r="P423" s="17" t="str">
        <f aca="false">IF($B$10=0,"",IFERROR(IF($B$4&gt;0,"휘발유 "&amp;TEXT(IF($M423="",1/0,$M423*$B$4),"#,##0")&amp;"원","")&amp;IF($B$5&gt;0,IF($B$4&gt;0," / ","")&amp;"고급유 "&amp;TEXT(IF($N423="",1/0,$N423*$B$5),"#,##0")&amp;"원","")&amp;IF($B$6&gt;0,IF(OR($B$4&gt;0,$B$5&gt;0)," / ","")&amp;"경유 "&amp;TEXT(IF($O423="",1/0,$O423*$B$6),"#,##0")&amp;"원",""),""))</f>
        <v/>
      </c>
      <c r="Q423" s="17" t="str">
        <f aca="false">IF($B$10=0,"",IFERROR(IF($B$4&gt;0,IF($M423="",1/0,$M423*$B$4),0)+IF($B$5&gt;0,IF($N423="",1/0,$N423*$B$5),0)+IF($B$6&gt;0,IF($O423="",1/0,$O423*$B$6),0),""))</f>
        <v/>
      </c>
      <c r="R423" s="17" t="s">
        <v>47</v>
      </c>
      <c r="S423" s="18" t="str">
        <f aca="false">IF($Q423="","",IF($R423="Y",IFERROR(VLOOKUP($B423,$C$4:$D$13,2,FALSE()),0),0))</f>
        <v/>
      </c>
      <c r="T423" s="17" t="str">
        <f aca="false">IF($Q423="","",ROUNDDOWN($Q423*$S423,0))</f>
        <v/>
      </c>
      <c r="U423" s="17" t="str">
        <f aca="false">IF($Q423="","",$Q423-$T423)</f>
        <v/>
      </c>
      <c r="V423" s="17" t="str">
        <f aca="false">IF($U423="","",IF($B$10=0,"",$U423/$B$10))</f>
        <v/>
      </c>
      <c r="W423" s="17" t="str">
        <f aca="false">IF($Q423="","",IF($B$10=0,"",$Q423/$B$10))</f>
        <v/>
      </c>
      <c r="X423" s="19" t="n">
        <f aca="false">IF($U423="",1000000000000000,$U423)</f>
        <v>1000000000000000</v>
      </c>
      <c r="XFC423" s="6"/>
    </row>
    <row r="424" s="5" customFormat="true" ht="28.5" hidden="false" customHeight="true" outlineLevel="0" collapsed="false">
      <c r="A424" s="16" t="str">
        <f aca="false">IF($U424="","",1+COUNTIF($X$15:$X$728,"&lt;"&amp;X424))</f>
        <v/>
      </c>
      <c r="B424" s="16" t="s">
        <v>6</v>
      </c>
      <c r="C424" s="16" t="s">
        <v>1268</v>
      </c>
      <c r="D424" s="16" t="s">
        <v>112</v>
      </c>
      <c r="E424" s="16" t="s">
        <v>47</v>
      </c>
      <c r="F424" s="16" t="s">
        <v>1269</v>
      </c>
      <c r="G424" s="16" t="s">
        <v>1270</v>
      </c>
      <c r="H424" s="17" t="n">
        <v>1955</v>
      </c>
      <c r="I424" s="17"/>
      <c r="J424" s="17"/>
      <c r="K424" s="17" t="n">
        <v>1995</v>
      </c>
      <c r="L424" s="17" t="n">
        <f aca="false">IF(AND(IFERROR(SEARCH("현대오일뱅크",$C424),0)&gt;0,IFERROR(SEARCH("직영",$C424),0)&gt;0),$B$13,0)</f>
        <v>0</v>
      </c>
      <c r="M424" s="17" t="n">
        <f aca="false">IF($H424="","",$H424+$L424)</f>
        <v>1955</v>
      </c>
      <c r="N424" s="17" t="str">
        <f aca="false">IF($I424="","",$I424+$L424)</f>
        <v/>
      </c>
      <c r="O424" s="17" t="n">
        <f aca="false">IF($K424="","",$K424+$L424)</f>
        <v>1995</v>
      </c>
      <c r="P424" s="17" t="str">
        <f aca="false">IF($B$10=0,"",IFERROR(IF($B$4&gt;0,"휘발유 "&amp;TEXT(IF($M424="",1/0,$M424*$B$4),"#,##0")&amp;"원","")&amp;IF($B$5&gt;0,IF($B$4&gt;0," / ","")&amp;"고급유 "&amp;TEXT(IF($N424="",1/0,$N424*$B$5),"#,##0")&amp;"원","")&amp;IF($B$6&gt;0,IF(OR($B$4&gt;0,$B$5&gt;0)," / ","")&amp;"경유 "&amp;TEXT(IF($O424="",1/0,$O424*$B$6),"#,##0")&amp;"원",""),""))</f>
        <v/>
      </c>
      <c r="Q424" s="17" t="str">
        <f aca="false">IF($B$10=0,"",IFERROR(IF($B$4&gt;0,IF($M424="",1/0,$M424*$B$4),0)+IF($B$5&gt;0,IF($N424="",1/0,$N424*$B$5),0)+IF($B$6&gt;0,IF($O424="",1/0,$O424*$B$6),0),""))</f>
        <v/>
      </c>
      <c r="R424" s="17" t="s">
        <v>47</v>
      </c>
      <c r="S424" s="18" t="str">
        <f aca="false">IF($Q424="","",IF($R424="Y",IFERROR(VLOOKUP($B424,$C$4:$D$13,2,FALSE()),0),0))</f>
        <v/>
      </c>
      <c r="T424" s="17" t="str">
        <f aca="false">IF($Q424="","",ROUNDDOWN($Q424*$S424,0))</f>
        <v/>
      </c>
      <c r="U424" s="17" t="str">
        <f aca="false">IF($Q424="","",$Q424-$T424)</f>
        <v/>
      </c>
      <c r="V424" s="17" t="str">
        <f aca="false">IF($U424="","",IF($B$10=0,"",$U424/$B$10))</f>
        <v/>
      </c>
      <c r="W424" s="17" t="str">
        <f aca="false">IF($Q424="","",IF($B$10=0,"",$Q424/$B$10))</f>
        <v/>
      </c>
      <c r="X424" s="19" t="n">
        <f aca="false">IF($U424="",1000000000000000,$U424)</f>
        <v>1000000000000000</v>
      </c>
      <c r="XFC424" s="6"/>
    </row>
    <row r="425" s="5" customFormat="true" ht="28.5" hidden="false" customHeight="true" outlineLevel="0" collapsed="false">
      <c r="A425" s="16" t="str">
        <f aca="false">IF($U425="","",1+COUNTIF($X$15:$X$728,"&lt;"&amp;X425))</f>
        <v/>
      </c>
      <c r="B425" s="16" t="s">
        <v>6</v>
      </c>
      <c r="C425" s="16" t="s">
        <v>1271</v>
      </c>
      <c r="D425" s="16" t="s">
        <v>112</v>
      </c>
      <c r="E425" s="16" t="s">
        <v>47</v>
      </c>
      <c r="F425" s="16" t="s">
        <v>1272</v>
      </c>
      <c r="G425" s="16" t="s">
        <v>1273</v>
      </c>
      <c r="H425" s="17" t="n">
        <v>1955</v>
      </c>
      <c r="I425" s="17"/>
      <c r="J425" s="17"/>
      <c r="K425" s="17" t="n">
        <v>1995</v>
      </c>
      <c r="L425" s="17" t="n">
        <f aca="false">IF(AND(IFERROR(SEARCH("현대오일뱅크",$C425),0)&gt;0,IFERROR(SEARCH("직영",$C425),0)&gt;0),$B$13,0)</f>
        <v>0</v>
      </c>
      <c r="M425" s="17" t="n">
        <f aca="false">IF($H425="","",$H425+$L425)</f>
        <v>1955</v>
      </c>
      <c r="N425" s="17" t="str">
        <f aca="false">IF($I425="","",$I425+$L425)</f>
        <v/>
      </c>
      <c r="O425" s="17" t="n">
        <f aca="false">IF($K425="","",$K425+$L425)</f>
        <v>1995</v>
      </c>
      <c r="P425" s="17" t="str">
        <f aca="false">IF($B$10=0,"",IFERROR(IF($B$4&gt;0,"휘발유 "&amp;TEXT(IF($M425="",1/0,$M425*$B$4),"#,##0")&amp;"원","")&amp;IF($B$5&gt;0,IF($B$4&gt;0," / ","")&amp;"고급유 "&amp;TEXT(IF($N425="",1/0,$N425*$B$5),"#,##0")&amp;"원","")&amp;IF($B$6&gt;0,IF(OR($B$4&gt;0,$B$5&gt;0)," / ","")&amp;"경유 "&amp;TEXT(IF($O425="",1/0,$O425*$B$6),"#,##0")&amp;"원",""),""))</f>
        <v/>
      </c>
      <c r="Q425" s="17" t="str">
        <f aca="false">IF($B$10=0,"",IFERROR(IF($B$4&gt;0,IF($M425="",1/0,$M425*$B$4),0)+IF($B$5&gt;0,IF($N425="",1/0,$N425*$B$5),0)+IF($B$6&gt;0,IF($O425="",1/0,$O425*$B$6),0),""))</f>
        <v/>
      </c>
      <c r="R425" s="17" t="s">
        <v>47</v>
      </c>
      <c r="S425" s="18" t="str">
        <f aca="false">IF($Q425="","",IF($R425="Y",IFERROR(VLOOKUP($B425,$C$4:$D$13,2,FALSE()),0),0))</f>
        <v/>
      </c>
      <c r="T425" s="17" t="str">
        <f aca="false">IF($Q425="","",ROUNDDOWN($Q425*$S425,0))</f>
        <v/>
      </c>
      <c r="U425" s="17" t="str">
        <f aca="false">IF($Q425="","",$Q425-$T425)</f>
        <v/>
      </c>
      <c r="V425" s="17" t="str">
        <f aca="false">IF($U425="","",IF($B$10=0,"",$U425/$B$10))</f>
        <v/>
      </c>
      <c r="W425" s="17" t="str">
        <f aca="false">IF($Q425="","",IF($B$10=0,"",$Q425/$B$10))</f>
        <v/>
      </c>
      <c r="X425" s="19" t="n">
        <f aca="false">IF($U425="",1000000000000000,$U425)</f>
        <v>1000000000000000</v>
      </c>
      <c r="XFC425" s="6"/>
    </row>
    <row r="426" s="5" customFormat="true" ht="28.5" hidden="false" customHeight="true" outlineLevel="0" collapsed="false">
      <c r="A426" s="16" t="str">
        <f aca="false">IF($U426="","",1+COUNTIF($X$15:$X$728,"&lt;"&amp;X426))</f>
        <v/>
      </c>
      <c r="B426" s="16" t="s">
        <v>12</v>
      </c>
      <c r="C426" s="16" t="s">
        <v>1274</v>
      </c>
      <c r="D426" s="20" t="s">
        <v>112</v>
      </c>
      <c r="E426" s="16" t="s">
        <v>47</v>
      </c>
      <c r="F426" s="16" t="s">
        <v>1275</v>
      </c>
      <c r="G426" s="16" t="s">
        <v>1276</v>
      </c>
      <c r="H426" s="17" t="n">
        <v>1955</v>
      </c>
      <c r="I426" s="17"/>
      <c r="J426" s="17"/>
      <c r="K426" s="17" t="n">
        <v>1995</v>
      </c>
      <c r="L426" s="17" t="n">
        <f aca="false">IF(AND(IFERROR(SEARCH("현대오일뱅크",$C426),0)&gt;0,IFERROR(SEARCH("직영",$C426),0)&gt;0),$B$13,0)</f>
        <v>0</v>
      </c>
      <c r="M426" s="17" t="n">
        <f aca="false">IF($H426="","",$H426+$L426)</f>
        <v>1955</v>
      </c>
      <c r="N426" s="17" t="str">
        <f aca="false">IF($I426="","",$I426+$L426)</f>
        <v/>
      </c>
      <c r="O426" s="17" t="n">
        <f aca="false">IF($K426="","",$K426+$L426)</f>
        <v>1995</v>
      </c>
      <c r="P426" s="17" t="str">
        <f aca="false">IF($B$10=0,"",IFERROR(IF($B$4&gt;0,"휘발유 "&amp;TEXT(IF($M426="",1/0,$M426*$B$4),"#,##0")&amp;"원","")&amp;IF($B$5&gt;0,IF($B$4&gt;0," / ","")&amp;"고급유 "&amp;TEXT(IF($N426="",1/0,$N426*$B$5),"#,##0")&amp;"원","")&amp;IF($B$6&gt;0,IF(OR($B$4&gt;0,$B$5&gt;0)," / ","")&amp;"경유 "&amp;TEXT(IF($O426="",1/0,$O426*$B$6),"#,##0")&amp;"원",""),""))</f>
        <v/>
      </c>
      <c r="Q426" s="17" t="str">
        <f aca="false">IF($B$10=0,"",IFERROR(IF($B$4&gt;0,IF($M426="",1/0,$M426*$B$4),0)+IF($B$5&gt;0,IF($N426="",1/0,$N426*$B$5),0)+IF($B$6&gt;0,IF($O426="",1/0,$O426*$B$6),0),""))</f>
        <v/>
      </c>
      <c r="R426" s="17" t="s">
        <v>47</v>
      </c>
      <c r="S426" s="18" t="str">
        <f aca="false">IF($Q426="","",IF($R426="Y",IFERROR(VLOOKUP($B426,$C$4:$D$13,2,FALSE()),0),0))</f>
        <v/>
      </c>
      <c r="T426" s="17" t="str">
        <f aca="false">IF($Q426="","",ROUNDDOWN($Q426*$S426,0))</f>
        <v/>
      </c>
      <c r="U426" s="17" t="str">
        <f aca="false">IF($Q426="","",$Q426-$T426)</f>
        <v/>
      </c>
      <c r="V426" s="17" t="str">
        <f aca="false">IF($U426="","",IF($B$10=0,"",$U426/$B$10))</f>
        <v/>
      </c>
      <c r="W426" s="17" t="str">
        <f aca="false">IF($Q426="","",IF($B$10=0,"",$Q426/$B$10))</f>
        <v/>
      </c>
      <c r="X426" s="19" t="n">
        <f aca="false">IF($U426="",1000000000000000,$U426)</f>
        <v>1000000000000000</v>
      </c>
      <c r="XFC426" s="6"/>
    </row>
    <row r="427" s="5" customFormat="true" ht="28.5" hidden="false" customHeight="true" outlineLevel="0" collapsed="false">
      <c r="A427" s="16" t="str">
        <f aca="false">IF($U427="","",1+COUNTIF($X$15:$X$728,"&lt;"&amp;X427))</f>
        <v/>
      </c>
      <c r="B427" s="16" t="s">
        <v>6</v>
      </c>
      <c r="C427" s="16" t="s">
        <v>1277</v>
      </c>
      <c r="D427" s="16" t="s">
        <v>58</v>
      </c>
      <c r="E427" s="16" t="s">
        <v>47</v>
      </c>
      <c r="F427" s="16" t="s">
        <v>1278</v>
      </c>
      <c r="G427" s="16" t="s">
        <v>1279</v>
      </c>
      <c r="H427" s="17" t="n">
        <v>1955</v>
      </c>
      <c r="I427" s="17"/>
      <c r="J427" s="17"/>
      <c r="K427" s="17" t="n">
        <v>1995</v>
      </c>
      <c r="L427" s="17" t="n">
        <f aca="false">IF(AND(IFERROR(SEARCH("현대오일뱅크",$C427),0)&gt;0,IFERROR(SEARCH("직영",$C427),0)&gt;0),$B$13,0)</f>
        <v>0</v>
      </c>
      <c r="M427" s="17" t="n">
        <f aca="false">IF($H427="","",$H427+$L427)</f>
        <v>1955</v>
      </c>
      <c r="N427" s="17" t="str">
        <f aca="false">IF($I427="","",$I427+$L427)</f>
        <v/>
      </c>
      <c r="O427" s="17" t="n">
        <f aca="false">IF($K427="","",$K427+$L427)</f>
        <v>1995</v>
      </c>
      <c r="P427" s="17" t="str">
        <f aca="false">IF($B$10=0,"",IFERROR(IF($B$4&gt;0,"휘발유 "&amp;TEXT(IF($M427="",1/0,$M427*$B$4),"#,##0")&amp;"원","")&amp;IF($B$5&gt;0,IF($B$4&gt;0," / ","")&amp;"고급유 "&amp;TEXT(IF($N427="",1/0,$N427*$B$5),"#,##0")&amp;"원","")&amp;IF($B$6&gt;0,IF(OR($B$4&gt;0,$B$5&gt;0)," / ","")&amp;"경유 "&amp;TEXT(IF($O427="",1/0,$O427*$B$6),"#,##0")&amp;"원",""),""))</f>
        <v/>
      </c>
      <c r="Q427" s="17" t="str">
        <f aca="false">IF($B$10=0,"",IFERROR(IF($B$4&gt;0,IF($M427="",1/0,$M427*$B$4),0)+IF($B$5&gt;0,IF($N427="",1/0,$N427*$B$5),0)+IF($B$6&gt;0,IF($O427="",1/0,$O427*$B$6),0),""))</f>
        <v/>
      </c>
      <c r="R427" s="17" t="s">
        <v>47</v>
      </c>
      <c r="S427" s="18" t="str">
        <f aca="false">IF($Q427="","",IF($R427="Y",IFERROR(VLOOKUP($B427,$C$4:$D$13,2,FALSE()),0),0))</f>
        <v/>
      </c>
      <c r="T427" s="17" t="str">
        <f aca="false">IF($Q427="","",ROUNDDOWN($Q427*$S427,0))</f>
        <v/>
      </c>
      <c r="U427" s="17" t="str">
        <f aca="false">IF($Q427="","",$Q427-$T427)</f>
        <v/>
      </c>
      <c r="V427" s="17" t="str">
        <f aca="false">IF($U427="","",IF($B$10=0,"",$U427/$B$10))</f>
        <v/>
      </c>
      <c r="W427" s="17" t="str">
        <f aca="false">IF($Q427="","",IF($B$10=0,"",$Q427/$B$10))</f>
        <v/>
      </c>
      <c r="X427" s="19" t="n">
        <f aca="false">IF($U427="",1000000000000000,$U427)</f>
        <v>1000000000000000</v>
      </c>
      <c r="XFC427" s="6"/>
    </row>
    <row r="428" s="5" customFormat="true" ht="28.5" hidden="false" customHeight="true" outlineLevel="0" collapsed="false">
      <c r="A428" s="16" t="str">
        <f aca="false">IF($U428="","",1+COUNTIF($X$15:$X$728,"&lt;"&amp;X428))</f>
        <v/>
      </c>
      <c r="B428" s="16" t="s">
        <v>12</v>
      </c>
      <c r="C428" s="16" t="s">
        <v>1280</v>
      </c>
      <c r="D428" s="20" t="s">
        <v>294</v>
      </c>
      <c r="E428" s="16" t="s">
        <v>47</v>
      </c>
      <c r="F428" s="16" t="s">
        <v>1281</v>
      </c>
      <c r="G428" s="16" t="s">
        <v>1282</v>
      </c>
      <c r="H428" s="17" t="n">
        <v>1955</v>
      </c>
      <c r="I428" s="17"/>
      <c r="J428" s="17"/>
      <c r="K428" s="17" t="n">
        <v>1955</v>
      </c>
      <c r="L428" s="17" t="n">
        <f aca="false">IF(AND(IFERROR(SEARCH("현대오일뱅크",$C428),0)&gt;0,IFERROR(SEARCH("직영",$C428),0)&gt;0),$B$13,0)</f>
        <v>0</v>
      </c>
      <c r="M428" s="17" t="n">
        <f aca="false">IF($H428="","",$H428+$L428)</f>
        <v>1955</v>
      </c>
      <c r="N428" s="17" t="str">
        <f aca="false">IF($I428="","",$I428+$L428)</f>
        <v/>
      </c>
      <c r="O428" s="17" t="n">
        <f aca="false">IF($K428="","",$K428+$L428)</f>
        <v>1955</v>
      </c>
      <c r="P428" s="17" t="str">
        <f aca="false">IF($B$10=0,"",IFERROR(IF($B$4&gt;0,"휘발유 "&amp;TEXT(IF($M428="",1/0,$M428*$B$4),"#,##0")&amp;"원","")&amp;IF($B$5&gt;0,IF($B$4&gt;0," / ","")&amp;"고급유 "&amp;TEXT(IF($N428="",1/0,$N428*$B$5),"#,##0")&amp;"원","")&amp;IF($B$6&gt;0,IF(OR($B$4&gt;0,$B$5&gt;0)," / ","")&amp;"경유 "&amp;TEXT(IF($O428="",1/0,$O428*$B$6),"#,##0")&amp;"원",""),""))</f>
        <v/>
      </c>
      <c r="Q428" s="17" t="str">
        <f aca="false">IF($B$10=0,"",IFERROR(IF($B$4&gt;0,IF($M428="",1/0,$M428*$B$4),0)+IF($B$5&gt;0,IF($N428="",1/0,$N428*$B$5),0)+IF($B$6&gt;0,IF($O428="",1/0,$O428*$B$6),0),""))</f>
        <v/>
      </c>
      <c r="R428" s="17" t="s">
        <v>47</v>
      </c>
      <c r="S428" s="18" t="str">
        <f aca="false">IF($Q428="","",IF($R428="Y",IFERROR(VLOOKUP($B428,$C$4:$D$13,2,FALSE()),0),0))</f>
        <v/>
      </c>
      <c r="T428" s="17" t="str">
        <f aca="false">IF($Q428="","",ROUNDDOWN($Q428*$S428,0))</f>
        <v/>
      </c>
      <c r="U428" s="17" t="str">
        <f aca="false">IF($Q428="","",$Q428-$T428)</f>
        <v/>
      </c>
      <c r="V428" s="17" t="str">
        <f aca="false">IF($U428="","",IF($B$10=0,"",$U428/$B$10))</f>
        <v/>
      </c>
      <c r="W428" s="17" t="str">
        <f aca="false">IF($Q428="","",IF($B$10=0,"",$Q428/$B$10))</f>
        <v/>
      </c>
      <c r="X428" s="19" t="n">
        <f aca="false">IF($U428="",1000000000000000,$U428)</f>
        <v>1000000000000000</v>
      </c>
      <c r="XFC428" s="6"/>
    </row>
    <row r="429" s="5" customFormat="true" ht="28.5" hidden="false" customHeight="true" outlineLevel="0" collapsed="false">
      <c r="A429" s="16" t="str">
        <f aca="false">IF($U429="","",1+COUNTIF($X$15:$X$728,"&lt;"&amp;X429))</f>
        <v/>
      </c>
      <c r="B429" s="16" t="s">
        <v>8</v>
      </c>
      <c r="C429" s="16" t="s">
        <v>1283</v>
      </c>
      <c r="D429" s="16" t="s">
        <v>58</v>
      </c>
      <c r="E429" s="16" t="s">
        <v>59</v>
      </c>
      <c r="F429" s="16" t="s">
        <v>1284</v>
      </c>
      <c r="G429" s="16" t="s">
        <v>1285</v>
      </c>
      <c r="H429" s="17" t="n">
        <v>1955</v>
      </c>
      <c r="I429" s="17"/>
      <c r="J429" s="17"/>
      <c r="K429" s="17" t="n">
        <v>1975</v>
      </c>
      <c r="L429" s="17" t="n">
        <f aca="false">IF(AND(IFERROR(SEARCH("현대오일뱅크",$C429),0)&gt;0,IFERROR(SEARCH("직영",$C429),0)&gt;0),$B$13,0)</f>
        <v>0</v>
      </c>
      <c r="M429" s="17" t="n">
        <f aca="false">IF($H429="","",$H429+$L429)</f>
        <v>1955</v>
      </c>
      <c r="N429" s="17" t="str">
        <f aca="false">IF($I429="","",$I429+$L429)</f>
        <v/>
      </c>
      <c r="O429" s="17" t="n">
        <f aca="false">IF($K429="","",$K429+$L429)</f>
        <v>1975</v>
      </c>
      <c r="P429" s="17" t="str">
        <f aca="false">IF($B$10=0,"",IFERROR(IF($B$4&gt;0,"휘발유 "&amp;TEXT(IF($M429="",1/0,$M429*$B$4),"#,##0")&amp;"원","")&amp;IF($B$5&gt;0,IF($B$4&gt;0," / ","")&amp;"고급유 "&amp;TEXT(IF($N429="",1/0,$N429*$B$5),"#,##0")&amp;"원","")&amp;IF($B$6&gt;0,IF(OR($B$4&gt;0,$B$5&gt;0)," / ","")&amp;"경유 "&amp;TEXT(IF($O429="",1/0,$O429*$B$6),"#,##0")&amp;"원",""),""))</f>
        <v/>
      </c>
      <c r="Q429" s="17" t="str">
        <f aca="false">IF($B$10=0,"",IFERROR(IF($B$4&gt;0,IF($M429="",1/0,$M429*$B$4),0)+IF($B$5&gt;0,IF($N429="",1/0,$N429*$B$5),0)+IF($B$6&gt;0,IF($O429="",1/0,$O429*$B$6),0),""))</f>
        <v/>
      </c>
      <c r="R429" s="17" t="s">
        <v>47</v>
      </c>
      <c r="S429" s="18" t="str">
        <f aca="false">IF($Q429="","",IF($R429="Y",IFERROR(VLOOKUP($B429,$C$4:$D$13,2,FALSE()),0),0))</f>
        <v/>
      </c>
      <c r="T429" s="17" t="str">
        <f aca="false">IF($Q429="","",ROUNDDOWN($Q429*$S429,0))</f>
        <v/>
      </c>
      <c r="U429" s="17" t="str">
        <f aca="false">IF($Q429="","",$Q429-$T429)</f>
        <v/>
      </c>
      <c r="V429" s="17" t="str">
        <f aca="false">IF($U429="","",IF($B$10=0,"",$U429/$B$10))</f>
        <v/>
      </c>
      <c r="W429" s="17" t="str">
        <f aca="false">IF($Q429="","",IF($B$10=0,"",$Q429/$B$10))</f>
        <v/>
      </c>
      <c r="X429" s="19" t="n">
        <f aca="false">IF($U429="",1000000000000000,$U429)</f>
        <v>1000000000000000</v>
      </c>
      <c r="XFC429" s="6"/>
    </row>
    <row r="430" s="5" customFormat="true" ht="28.5" hidden="false" customHeight="true" outlineLevel="0" collapsed="false">
      <c r="A430" s="16" t="str">
        <f aca="false">IF($U430="","",1+COUNTIF($X$15:$X$728,"&lt;"&amp;X430))</f>
        <v/>
      </c>
      <c r="B430" s="16" t="s">
        <v>12</v>
      </c>
      <c r="C430" s="16" t="s">
        <v>1286</v>
      </c>
      <c r="D430" s="20" t="s">
        <v>112</v>
      </c>
      <c r="E430" s="16" t="s">
        <v>59</v>
      </c>
      <c r="F430" s="16" t="s">
        <v>1287</v>
      </c>
      <c r="G430" s="16" t="s">
        <v>1288</v>
      </c>
      <c r="H430" s="17" t="n">
        <v>1957</v>
      </c>
      <c r="I430" s="17"/>
      <c r="J430" s="17"/>
      <c r="K430" s="17" t="n">
        <v>1957</v>
      </c>
      <c r="L430" s="17" t="n">
        <f aca="false">IF(AND(IFERROR(SEARCH("현대오일뱅크",$C430),0)&gt;0,IFERROR(SEARCH("직영",$C430),0)&gt;0),$B$13,0)</f>
        <v>0</v>
      </c>
      <c r="M430" s="17" t="n">
        <f aca="false">IF($H430="","",$H430+$L430)</f>
        <v>1957</v>
      </c>
      <c r="N430" s="17" t="str">
        <f aca="false">IF($I430="","",$I430+$L430)</f>
        <v/>
      </c>
      <c r="O430" s="17" t="n">
        <f aca="false">IF($K430="","",$K430+$L430)</f>
        <v>1957</v>
      </c>
      <c r="P430" s="17" t="str">
        <f aca="false">IF($B$10=0,"",IFERROR(IF($B$4&gt;0,"휘발유 "&amp;TEXT(IF($M430="",1/0,$M430*$B$4),"#,##0")&amp;"원","")&amp;IF($B$5&gt;0,IF($B$4&gt;0," / ","")&amp;"고급유 "&amp;TEXT(IF($N430="",1/0,$N430*$B$5),"#,##0")&amp;"원","")&amp;IF($B$6&gt;0,IF(OR($B$4&gt;0,$B$5&gt;0)," / ","")&amp;"경유 "&amp;TEXT(IF($O430="",1/0,$O430*$B$6),"#,##0")&amp;"원",""),""))</f>
        <v/>
      </c>
      <c r="Q430" s="17" t="str">
        <f aca="false">IF($B$10=0,"",IFERROR(IF($B$4&gt;0,IF($M430="",1/0,$M430*$B$4),0)+IF($B$5&gt;0,IF($N430="",1/0,$N430*$B$5),0)+IF($B$6&gt;0,IF($O430="",1/0,$O430*$B$6),0),""))</f>
        <v/>
      </c>
      <c r="R430" s="17" t="s">
        <v>47</v>
      </c>
      <c r="S430" s="18" t="str">
        <f aca="false">IF($Q430="","",IF($R430="Y",IFERROR(VLOOKUP($B430,$C$4:$D$13,2,FALSE()),0),0))</f>
        <v/>
      </c>
      <c r="T430" s="17" t="str">
        <f aca="false">IF($Q430="","",ROUNDDOWN($Q430*$S430,0))</f>
        <v/>
      </c>
      <c r="U430" s="17" t="str">
        <f aca="false">IF($Q430="","",$Q430-$T430)</f>
        <v/>
      </c>
      <c r="V430" s="17" t="str">
        <f aca="false">IF($U430="","",IF($B$10=0,"",$U430/$B$10))</f>
        <v/>
      </c>
      <c r="W430" s="17" t="str">
        <f aca="false">IF($Q430="","",IF($B$10=0,"",$Q430/$B$10))</f>
        <v/>
      </c>
      <c r="X430" s="19" t="n">
        <f aca="false">IF($U430="",1000000000000000,$U430)</f>
        <v>1000000000000000</v>
      </c>
      <c r="XFC430" s="6"/>
    </row>
    <row r="431" s="5" customFormat="true" ht="28.5" hidden="false" customHeight="true" outlineLevel="0" collapsed="false">
      <c r="A431" s="16" t="str">
        <f aca="false">IF($U431="","",1+COUNTIF($X$15:$X$728,"&lt;"&amp;X431))</f>
        <v/>
      </c>
      <c r="B431" s="16" t="s">
        <v>10</v>
      </c>
      <c r="C431" s="16" t="s">
        <v>1289</v>
      </c>
      <c r="D431" s="16" t="s">
        <v>58</v>
      </c>
      <c r="E431" s="16" t="s">
        <v>47</v>
      </c>
      <c r="F431" s="16" t="s">
        <v>1290</v>
      </c>
      <c r="G431" s="16" t="s">
        <v>1291</v>
      </c>
      <c r="H431" s="17" t="n">
        <v>1957</v>
      </c>
      <c r="I431" s="17"/>
      <c r="J431" s="17"/>
      <c r="K431" s="17" t="n">
        <v>1997</v>
      </c>
      <c r="L431" s="17" t="n">
        <f aca="false">IF(AND(IFERROR(SEARCH("현대오일뱅크",$C431),0)&gt;0,IFERROR(SEARCH("직영",$C431),0)&gt;0),$B$13,0)</f>
        <v>0</v>
      </c>
      <c r="M431" s="17" t="n">
        <f aca="false">IF($H431="","",$H431+$L431)</f>
        <v>1957</v>
      </c>
      <c r="N431" s="17" t="str">
        <f aca="false">IF($I431="","",$I431+$L431)</f>
        <v/>
      </c>
      <c r="O431" s="17" t="n">
        <f aca="false">IF($K431="","",$K431+$L431)</f>
        <v>1997</v>
      </c>
      <c r="P431" s="17" t="str">
        <f aca="false">IF($B$10=0,"",IFERROR(IF($B$4&gt;0,"휘발유 "&amp;TEXT(IF($M431="",1/0,$M431*$B$4),"#,##0")&amp;"원","")&amp;IF($B$5&gt;0,IF($B$4&gt;0," / ","")&amp;"고급유 "&amp;TEXT(IF($N431="",1/0,$N431*$B$5),"#,##0")&amp;"원","")&amp;IF($B$6&gt;0,IF(OR($B$4&gt;0,$B$5&gt;0)," / ","")&amp;"경유 "&amp;TEXT(IF($O431="",1/0,$O431*$B$6),"#,##0")&amp;"원",""),""))</f>
        <v/>
      </c>
      <c r="Q431" s="17" t="str">
        <f aca="false">IF($B$10=0,"",IFERROR(IF($B$4&gt;0,IF($M431="",1/0,$M431*$B$4),0)+IF($B$5&gt;0,IF($N431="",1/0,$N431*$B$5),0)+IF($B$6&gt;0,IF($O431="",1/0,$O431*$B$6),0),""))</f>
        <v/>
      </c>
      <c r="R431" s="17" t="s">
        <v>47</v>
      </c>
      <c r="S431" s="18" t="str">
        <f aca="false">IF($Q431="","",IF($R431="Y",IFERROR(VLOOKUP($B431,$C$4:$D$13,2,FALSE()),0),0))</f>
        <v/>
      </c>
      <c r="T431" s="17" t="str">
        <f aca="false">IF($Q431="","",ROUNDDOWN($Q431*$S431,0))</f>
        <v/>
      </c>
      <c r="U431" s="17" t="str">
        <f aca="false">IF($Q431="","",$Q431-$T431)</f>
        <v/>
      </c>
      <c r="V431" s="17" t="str">
        <f aca="false">IF($U431="","",IF($B$10=0,"",$U431/$B$10))</f>
        <v/>
      </c>
      <c r="W431" s="17" t="str">
        <f aca="false">IF($Q431="","",IF($B$10=0,"",$Q431/$B$10))</f>
        <v/>
      </c>
      <c r="X431" s="19" t="n">
        <f aca="false">IF($U431="",1000000000000000,$U431)</f>
        <v>1000000000000000</v>
      </c>
      <c r="XFC431" s="6"/>
    </row>
    <row r="432" s="5" customFormat="true" ht="28.5" hidden="false" customHeight="true" outlineLevel="0" collapsed="false">
      <c r="A432" s="16" t="str">
        <f aca="false">IF($U432="","",1+COUNTIF($X$15:$X$728,"&lt;"&amp;X432))</f>
        <v/>
      </c>
      <c r="B432" s="16" t="s">
        <v>12</v>
      </c>
      <c r="C432" s="16" t="s">
        <v>1292</v>
      </c>
      <c r="D432" s="20" t="s">
        <v>112</v>
      </c>
      <c r="E432" s="16" t="s">
        <v>47</v>
      </c>
      <c r="F432" s="16" t="s">
        <v>1293</v>
      </c>
      <c r="G432" s="16" t="s">
        <v>1294</v>
      </c>
      <c r="H432" s="17" t="n">
        <v>1957</v>
      </c>
      <c r="I432" s="17"/>
      <c r="J432" s="17"/>
      <c r="K432" s="17" t="n">
        <v>1998</v>
      </c>
      <c r="L432" s="17" t="n">
        <f aca="false">IF(AND(IFERROR(SEARCH("현대오일뱅크",$C432),0)&gt;0,IFERROR(SEARCH("직영",$C432),0)&gt;0),$B$13,0)</f>
        <v>0</v>
      </c>
      <c r="M432" s="17" t="n">
        <f aca="false">IF($H432="","",$H432+$L432)</f>
        <v>1957</v>
      </c>
      <c r="N432" s="17" t="str">
        <f aca="false">IF($I432="","",$I432+$L432)</f>
        <v/>
      </c>
      <c r="O432" s="17" t="n">
        <f aca="false">IF($K432="","",$K432+$L432)</f>
        <v>1998</v>
      </c>
      <c r="P432" s="17" t="str">
        <f aca="false">IF($B$10=0,"",IFERROR(IF($B$4&gt;0,"휘발유 "&amp;TEXT(IF($M432="",1/0,$M432*$B$4),"#,##0")&amp;"원","")&amp;IF($B$5&gt;0,IF($B$4&gt;0," / ","")&amp;"고급유 "&amp;TEXT(IF($N432="",1/0,$N432*$B$5),"#,##0")&amp;"원","")&amp;IF($B$6&gt;0,IF(OR($B$4&gt;0,$B$5&gt;0)," / ","")&amp;"경유 "&amp;TEXT(IF($O432="",1/0,$O432*$B$6),"#,##0")&amp;"원",""),""))</f>
        <v/>
      </c>
      <c r="Q432" s="17" t="str">
        <f aca="false">IF($B$10=0,"",IFERROR(IF($B$4&gt;0,IF($M432="",1/0,$M432*$B$4),0)+IF($B$5&gt;0,IF($N432="",1/0,$N432*$B$5),0)+IF($B$6&gt;0,IF($O432="",1/0,$O432*$B$6),0),""))</f>
        <v/>
      </c>
      <c r="R432" s="17" t="s">
        <v>47</v>
      </c>
      <c r="S432" s="18" t="str">
        <f aca="false">IF($Q432="","",IF($R432="Y",IFERROR(VLOOKUP($B432,$C$4:$D$13,2,FALSE()),0),0))</f>
        <v/>
      </c>
      <c r="T432" s="17" t="str">
        <f aca="false">IF($Q432="","",ROUNDDOWN($Q432*$S432,0))</f>
        <v/>
      </c>
      <c r="U432" s="17" t="str">
        <f aca="false">IF($Q432="","",$Q432-$T432)</f>
        <v/>
      </c>
      <c r="V432" s="17" t="str">
        <f aca="false">IF($U432="","",IF($B$10=0,"",$U432/$B$10))</f>
        <v/>
      </c>
      <c r="W432" s="17" t="str">
        <f aca="false">IF($Q432="","",IF($B$10=0,"",$Q432/$B$10))</f>
        <v/>
      </c>
      <c r="X432" s="19" t="n">
        <f aca="false">IF($U432="",1000000000000000,$U432)</f>
        <v>1000000000000000</v>
      </c>
      <c r="XFC432" s="6"/>
    </row>
    <row r="433" s="5" customFormat="true" ht="28.5" hidden="false" customHeight="true" outlineLevel="0" collapsed="false">
      <c r="A433" s="16" t="str">
        <f aca="false">IF($U433="","",1+COUNTIF($X$15:$X$728,"&lt;"&amp;X433))</f>
        <v/>
      </c>
      <c r="B433" s="16" t="s">
        <v>12</v>
      </c>
      <c r="C433" s="16" t="s">
        <v>1295</v>
      </c>
      <c r="D433" s="20" t="s">
        <v>112</v>
      </c>
      <c r="E433" s="16" t="s">
        <v>47</v>
      </c>
      <c r="F433" s="16" t="s">
        <v>1296</v>
      </c>
      <c r="G433" s="16" t="s">
        <v>1297</v>
      </c>
      <c r="H433" s="17" t="n">
        <v>1958</v>
      </c>
      <c r="I433" s="17"/>
      <c r="J433" s="17"/>
      <c r="K433" s="17" t="n">
        <v>1958</v>
      </c>
      <c r="L433" s="17" t="n">
        <f aca="false">IF(AND(IFERROR(SEARCH("현대오일뱅크",$C433),0)&gt;0,IFERROR(SEARCH("직영",$C433),0)&gt;0),$B$13,0)</f>
        <v>0</v>
      </c>
      <c r="M433" s="17" t="n">
        <f aca="false">IF($H433="","",$H433+$L433)</f>
        <v>1958</v>
      </c>
      <c r="N433" s="17" t="str">
        <f aca="false">IF($I433="","",$I433+$L433)</f>
        <v/>
      </c>
      <c r="O433" s="17" t="n">
        <f aca="false">IF($K433="","",$K433+$L433)</f>
        <v>1958</v>
      </c>
      <c r="P433" s="17" t="str">
        <f aca="false">IF($B$10=0,"",IFERROR(IF($B$4&gt;0,"휘발유 "&amp;TEXT(IF($M433="",1/0,$M433*$B$4),"#,##0")&amp;"원","")&amp;IF($B$5&gt;0,IF($B$4&gt;0," / ","")&amp;"고급유 "&amp;TEXT(IF($N433="",1/0,$N433*$B$5),"#,##0")&amp;"원","")&amp;IF($B$6&gt;0,IF(OR($B$4&gt;0,$B$5&gt;0)," / ","")&amp;"경유 "&amp;TEXT(IF($O433="",1/0,$O433*$B$6),"#,##0")&amp;"원",""),""))</f>
        <v/>
      </c>
      <c r="Q433" s="17" t="str">
        <f aca="false">IF($B$10=0,"",IFERROR(IF($B$4&gt;0,IF($M433="",1/0,$M433*$B$4),0)+IF($B$5&gt;0,IF($N433="",1/0,$N433*$B$5),0)+IF($B$6&gt;0,IF($O433="",1/0,$O433*$B$6),0),""))</f>
        <v/>
      </c>
      <c r="R433" s="17" t="s">
        <v>47</v>
      </c>
      <c r="S433" s="18" t="str">
        <f aca="false">IF($Q433="","",IF($R433="Y",IFERROR(VLOOKUP($B433,$C$4:$D$13,2,FALSE()),0),0))</f>
        <v/>
      </c>
      <c r="T433" s="17" t="str">
        <f aca="false">IF($Q433="","",ROUNDDOWN($Q433*$S433,0))</f>
        <v/>
      </c>
      <c r="U433" s="17" t="str">
        <f aca="false">IF($Q433="","",$Q433-$T433)</f>
        <v/>
      </c>
      <c r="V433" s="17" t="str">
        <f aca="false">IF($U433="","",IF($B$10=0,"",$U433/$B$10))</f>
        <v/>
      </c>
      <c r="W433" s="17" t="str">
        <f aca="false">IF($Q433="","",IF($B$10=0,"",$Q433/$B$10))</f>
        <v/>
      </c>
      <c r="X433" s="19" t="n">
        <f aca="false">IF($U433="",1000000000000000,$U433)</f>
        <v>1000000000000000</v>
      </c>
      <c r="XFC433" s="6"/>
    </row>
    <row r="434" s="5" customFormat="true" ht="28.5" hidden="false" customHeight="true" outlineLevel="0" collapsed="false">
      <c r="A434" s="16" t="str">
        <f aca="false">IF($U434="","",1+COUNTIF($X$15:$X$728,"&lt;"&amp;X434))</f>
        <v/>
      </c>
      <c r="B434" s="16" t="s">
        <v>6</v>
      </c>
      <c r="C434" s="16" t="s">
        <v>1298</v>
      </c>
      <c r="D434" s="16" t="s">
        <v>51</v>
      </c>
      <c r="E434" s="16" t="s">
        <v>59</v>
      </c>
      <c r="F434" s="16" t="s">
        <v>1299</v>
      </c>
      <c r="G434" s="16" t="s">
        <v>1300</v>
      </c>
      <c r="H434" s="17" t="n">
        <v>1958</v>
      </c>
      <c r="I434" s="17"/>
      <c r="J434" s="17"/>
      <c r="K434" s="17" t="n">
        <v>1958</v>
      </c>
      <c r="L434" s="17" t="n">
        <f aca="false">IF(AND(IFERROR(SEARCH("현대오일뱅크",$C434),0)&gt;0,IFERROR(SEARCH("직영",$C434),0)&gt;0),$B$13,0)</f>
        <v>0</v>
      </c>
      <c r="M434" s="17" t="n">
        <f aca="false">IF($H434="","",$H434+$L434)</f>
        <v>1958</v>
      </c>
      <c r="N434" s="17" t="str">
        <f aca="false">IF($I434="","",$I434+$L434)</f>
        <v/>
      </c>
      <c r="O434" s="17" t="n">
        <f aca="false">IF($K434="","",$K434+$L434)</f>
        <v>1958</v>
      </c>
      <c r="P434" s="17" t="str">
        <f aca="false">IF($B$10=0,"",IFERROR(IF($B$4&gt;0,"휘발유 "&amp;TEXT(IF($M434="",1/0,$M434*$B$4),"#,##0")&amp;"원","")&amp;IF($B$5&gt;0,IF($B$4&gt;0," / ","")&amp;"고급유 "&amp;TEXT(IF($N434="",1/0,$N434*$B$5),"#,##0")&amp;"원","")&amp;IF($B$6&gt;0,IF(OR($B$4&gt;0,$B$5&gt;0)," / ","")&amp;"경유 "&amp;TEXT(IF($O434="",1/0,$O434*$B$6),"#,##0")&amp;"원",""),""))</f>
        <v/>
      </c>
      <c r="Q434" s="17" t="str">
        <f aca="false">IF($B$10=0,"",IFERROR(IF($B$4&gt;0,IF($M434="",1/0,$M434*$B$4),0)+IF($B$5&gt;0,IF($N434="",1/0,$N434*$B$5),0)+IF($B$6&gt;0,IF($O434="",1/0,$O434*$B$6),0),""))</f>
        <v/>
      </c>
      <c r="R434" s="17" t="s">
        <v>47</v>
      </c>
      <c r="S434" s="18" t="str">
        <f aca="false">IF($Q434="","",IF($R434="Y",IFERROR(VLOOKUP($B434,$C$4:$D$13,2,FALSE()),0),0))</f>
        <v/>
      </c>
      <c r="T434" s="17" t="str">
        <f aca="false">IF($Q434="","",ROUNDDOWN($Q434*$S434,0))</f>
        <v/>
      </c>
      <c r="U434" s="17" t="str">
        <f aca="false">IF($Q434="","",$Q434-$T434)</f>
        <v/>
      </c>
      <c r="V434" s="17" t="str">
        <f aca="false">IF($U434="","",IF($B$10=0,"",$U434/$B$10))</f>
        <v/>
      </c>
      <c r="W434" s="17" t="str">
        <f aca="false">IF($Q434="","",IF($B$10=0,"",$Q434/$B$10))</f>
        <v/>
      </c>
      <c r="X434" s="19" t="n">
        <f aca="false">IF($U434="",1000000000000000,$U434)</f>
        <v>1000000000000000</v>
      </c>
      <c r="XFC434" s="6"/>
    </row>
    <row r="435" s="5" customFormat="true" ht="28.5" hidden="false" customHeight="true" outlineLevel="0" collapsed="false">
      <c r="A435" s="16" t="str">
        <f aca="false">IF($U435="","",1+COUNTIF($X$15:$X$728,"&lt;"&amp;X435))</f>
        <v/>
      </c>
      <c r="B435" s="16" t="s">
        <v>12</v>
      </c>
      <c r="C435" s="16" t="s">
        <v>1301</v>
      </c>
      <c r="D435" s="20" t="s">
        <v>294</v>
      </c>
      <c r="E435" s="16" t="s">
        <v>59</v>
      </c>
      <c r="F435" s="16" t="s">
        <v>1302</v>
      </c>
      <c r="G435" s="16" t="s">
        <v>1303</v>
      </c>
      <c r="H435" s="17" t="n">
        <v>1958</v>
      </c>
      <c r="I435" s="17"/>
      <c r="J435" s="17"/>
      <c r="K435" s="17" t="n">
        <v>1998</v>
      </c>
      <c r="L435" s="17" t="n">
        <f aca="false">IF(AND(IFERROR(SEARCH("현대오일뱅크",$C435),0)&gt;0,IFERROR(SEARCH("직영",$C435),0)&gt;0),$B$13,0)</f>
        <v>0</v>
      </c>
      <c r="M435" s="17" t="n">
        <f aca="false">IF($H435="","",$H435+$L435)</f>
        <v>1958</v>
      </c>
      <c r="N435" s="17" t="str">
        <f aca="false">IF($I435="","",$I435+$L435)</f>
        <v/>
      </c>
      <c r="O435" s="17" t="n">
        <f aca="false">IF($K435="","",$K435+$L435)</f>
        <v>1998</v>
      </c>
      <c r="P435" s="17" t="str">
        <f aca="false">IF($B$10=0,"",IFERROR(IF($B$4&gt;0,"휘발유 "&amp;TEXT(IF($M435="",1/0,$M435*$B$4),"#,##0")&amp;"원","")&amp;IF($B$5&gt;0,IF($B$4&gt;0," / ","")&amp;"고급유 "&amp;TEXT(IF($N435="",1/0,$N435*$B$5),"#,##0")&amp;"원","")&amp;IF($B$6&gt;0,IF(OR($B$4&gt;0,$B$5&gt;0)," / ","")&amp;"경유 "&amp;TEXT(IF($O435="",1/0,$O435*$B$6),"#,##0")&amp;"원",""),""))</f>
        <v/>
      </c>
      <c r="Q435" s="17" t="str">
        <f aca="false">IF($B$10=0,"",IFERROR(IF($B$4&gt;0,IF($M435="",1/0,$M435*$B$4),0)+IF($B$5&gt;0,IF($N435="",1/0,$N435*$B$5),0)+IF($B$6&gt;0,IF($O435="",1/0,$O435*$B$6),0),""))</f>
        <v/>
      </c>
      <c r="R435" s="17" t="s">
        <v>47</v>
      </c>
      <c r="S435" s="18" t="str">
        <f aca="false">IF($Q435="","",IF($R435="Y",IFERROR(VLOOKUP($B435,$C$4:$D$13,2,FALSE()),0),0))</f>
        <v/>
      </c>
      <c r="T435" s="17" t="str">
        <f aca="false">IF($Q435="","",ROUNDDOWN($Q435*$S435,0))</f>
        <v/>
      </c>
      <c r="U435" s="17" t="str">
        <f aca="false">IF($Q435="","",$Q435-$T435)</f>
        <v/>
      </c>
      <c r="V435" s="17" t="str">
        <f aca="false">IF($U435="","",IF($B$10=0,"",$U435/$B$10))</f>
        <v/>
      </c>
      <c r="W435" s="17" t="str">
        <f aca="false">IF($Q435="","",IF($B$10=0,"",$Q435/$B$10))</f>
        <v/>
      </c>
      <c r="X435" s="19" t="n">
        <f aca="false">IF($U435="",1000000000000000,$U435)</f>
        <v>1000000000000000</v>
      </c>
      <c r="XFC435" s="6"/>
    </row>
    <row r="436" s="5" customFormat="true" ht="28.5" hidden="false" customHeight="true" outlineLevel="0" collapsed="false">
      <c r="A436" s="16" t="str">
        <f aca="false">IF($U436="","",1+COUNTIF($X$15:$X$728,"&lt;"&amp;X436))</f>
        <v/>
      </c>
      <c r="B436" s="16" t="s">
        <v>12</v>
      </c>
      <c r="C436" s="16" t="s">
        <v>1304</v>
      </c>
      <c r="D436" s="20" t="s">
        <v>294</v>
      </c>
      <c r="E436" s="16" t="s">
        <v>59</v>
      </c>
      <c r="F436" s="16" t="s">
        <v>1305</v>
      </c>
      <c r="G436" s="16" t="s">
        <v>1306</v>
      </c>
      <c r="H436" s="17" t="n">
        <v>1958</v>
      </c>
      <c r="I436" s="17"/>
      <c r="J436" s="17"/>
      <c r="K436" s="17" t="n">
        <v>1998</v>
      </c>
      <c r="L436" s="17" t="n">
        <f aca="false">IF(AND(IFERROR(SEARCH("현대오일뱅크",$C436),0)&gt;0,IFERROR(SEARCH("직영",$C436),0)&gt;0),$B$13,0)</f>
        <v>0</v>
      </c>
      <c r="M436" s="17" t="n">
        <f aca="false">IF($H436="","",$H436+$L436)</f>
        <v>1958</v>
      </c>
      <c r="N436" s="17" t="str">
        <f aca="false">IF($I436="","",$I436+$L436)</f>
        <v/>
      </c>
      <c r="O436" s="17" t="n">
        <f aca="false">IF($K436="","",$K436+$L436)</f>
        <v>1998</v>
      </c>
      <c r="P436" s="17" t="str">
        <f aca="false">IF($B$10=0,"",IFERROR(IF($B$4&gt;0,"휘발유 "&amp;TEXT(IF($M436="",1/0,$M436*$B$4),"#,##0")&amp;"원","")&amp;IF($B$5&gt;0,IF($B$4&gt;0," / ","")&amp;"고급유 "&amp;TEXT(IF($N436="",1/0,$N436*$B$5),"#,##0")&amp;"원","")&amp;IF($B$6&gt;0,IF(OR($B$4&gt;0,$B$5&gt;0)," / ","")&amp;"경유 "&amp;TEXT(IF($O436="",1/0,$O436*$B$6),"#,##0")&amp;"원",""),""))</f>
        <v/>
      </c>
      <c r="Q436" s="17" t="str">
        <f aca="false">IF($B$10=0,"",IFERROR(IF($B$4&gt;0,IF($M436="",1/0,$M436*$B$4),0)+IF($B$5&gt;0,IF($N436="",1/0,$N436*$B$5),0)+IF($B$6&gt;0,IF($O436="",1/0,$O436*$B$6),0),""))</f>
        <v/>
      </c>
      <c r="R436" s="17" t="s">
        <v>47</v>
      </c>
      <c r="S436" s="18" t="str">
        <f aca="false">IF($Q436="","",IF($R436="Y",IFERROR(VLOOKUP($B436,$C$4:$D$13,2,FALSE()),0),0))</f>
        <v/>
      </c>
      <c r="T436" s="17" t="str">
        <f aca="false">IF($Q436="","",ROUNDDOWN($Q436*$S436,0))</f>
        <v/>
      </c>
      <c r="U436" s="17" t="str">
        <f aca="false">IF($Q436="","",$Q436-$T436)</f>
        <v/>
      </c>
      <c r="V436" s="17" t="str">
        <f aca="false">IF($U436="","",IF($B$10=0,"",$U436/$B$10))</f>
        <v/>
      </c>
      <c r="W436" s="17" t="str">
        <f aca="false">IF($Q436="","",IF($B$10=0,"",$Q436/$B$10))</f>
        <v/>
      </c>
      <c r="X436" s="19" t="n">
        <f aca="false">IF($U436="",1000000000000000,$U436)</f>
        <v>1000000000000000</v>
      </c>
      <c r="XFC436" s="6"/>
    </row>
    <row r="437" s="5" customFormat="true" ht="28.5" hidden="false" customHeight="true" outlineLevel="0" collapsed="false">
      <c r="A437" s="16" t="str">
        <f aca="false">IF($U437="","",1+COUNTIF($X$15:$X$728,"&lt;"&amp;X437))</f>
        <v/>
      </c>
      <c r="B437" s="16" t="s">
        <v>10</v>
      </c>
      <c r="C437" s="16" t="s">
        <v>1307</v>
      </c>
      <c r="D437" s="16" t="s">
        <v>58</v>
      </c>
      <c r="E437" s="16" t="s">
        <v>47</v>
      </c>
      <c r="F437" s="16" t="s">
        <v>1308</v>
      </c>
      <c r="G437" s="16" t="s">
        <v>1309</v>
      </c>
      <c r="H437" s="17" t="n">
        <v>1958</v>
      </c>
      <c r="I437" s="17"/>
      <c r="J437" s="17"/>
      <c r="K437" s="17" t="n">
        <v>1998</v>
      </c>
      <c r="L437" s="17" t="n">
        <f aca="false">IF(AND(IFERROR(SEARCH("현대오일뱅크",$C437),0)&gt;0,IFERROR(SEARCH("직영",$C437),0)&gt;0),$B$13,0)</f>
        <v>0</v>
      </c>
      <c r="M437" s="17" t="n">
        <f aca="false">IF($H437="","",$H437+$L437)</f>
        <v>1958</v>
      </c>
      <c r="N437" s="17" t="str">
        <f aca="false">IF($I437="","",$I437+$L437)</f>
        <v/>
      </c>
      <c r="O437" s="17" t="n">
        <f aca="false">IF($K437="","",$K437+$L437)</f>
        <v>1998</v>
      </c>
      <c r="P437" s="17" t="str">
        <f aca="false">IF($B$10=0,"",IFERROR(IF($B$4&gt;0,"휘발유 "&amp;TEXT(IF($M437="",1/0,$M437*$B$4),"#,##0")&amp;"원","")&amp;IF($B$5&gt;0,IF($B$4&gt;0," / ","")&amp;"고급유 "&amp;TEXT(IF($N437="",1/0,$N437*$B$5),"#,##0")&amp;"원","")&amp;IF($B$6&gt;0,IF(OR($B$4&gt;0,$B$5&gt;0)," / ","")&amp;"경유 "&amp;TEXT(IF($O437="",1/0,$O437*$B$6),"#,##0")&amp;"원",""),""))</f>
        <v/>
      </c>
      <c r="Q437" s="17" t="str">
        <f aca="false">IF($B$10=0,"",IFERROR(IF($B$4&gt;0,IF($M437="",1/0,$M437*$B$4),0)+IF($B$5&gt;0,IF($N437="",1/0,$N437*$B$5),0)+IF($B$6&gt;0,IF($O437="",1/0,$O437*$B$6),0),""))</f>
        <v/>
      </c>
      <c r="R437" s="17" t="s">
        <v>47</v>
      </c>
      <c r="S437" s="18" t="str">
        <f aca="false">IF($Q437="","",IF($R437="Y",IFERROR(VLOOKUP($B437,$C$4:$D$13,2,FALSE()),0),0))</f>
        <v/>
      </c>
      <c r="T437" s="17" t="str">
        <f aca="false">IF($Q437="","",ROUNDDOWN($Q437*$S437,0))</f>
        <v/>
      </c>
      <c r="U437" s="17" t="str">
        <f aca="false">IF($Q437="","",$Q437-$T437)</f>
        <v/>
      </c>
      <c r="V437" s="17" t="str">
        <f aca="false">IF($U437="","",IF($B$10=0,"",$U437/$B$10))</f>
        <v/>
      </c>
      <c r="W437" s="17" t="str">
        <f aca="false">IF($Q437="","",IF($B$10=0,"",$Q437/$B$10))</f>
        <v/>
      </c>
      <c r="X437" s="19" t="n">
        <f aca="false">IF($U437="",1000000000000000,$U437)</f>
        <v>1000000000000000</v>
      </c>
      <c r="XFC437" s="6"/>
    </row>
    <row r="438" s="5" customFormat="true" ht="28.5" hidden="false" customHeight="true" outlineLevel="0" collapsed="false">
      <c r="A438" s="16" t="str">
        <f aca="false">IF($U438="","",1+COUNTIF($X$15:$X$728,"&lt;"&amp;X438))</f>
        <v/>
      </c>
      <c r="B438" s="16" t="s">
        <v>10</v>
      </c>
      <c r="C438" s="16" t="s">
        <v>1122</v>
      </c>
      <c r="D438" s="20" t="s">
        <v>108</v>
      </c>
      <c r="E438" s="16" t="s">
        <v>47</v>
      </c>
      <c r="F438" s="16" t="s">
        <v>1310</v>
      </c>
      <c r="G438" s="16" t="s">
        <v>1311</v>
      </c>
      <c r="H438" s="17" t="n">
        <v>1958</v>
      </c>
      <c r="I438" s="17"/>
      <c r="J438" s="17"/>
      <c r="K438" s="17" t="n">
        <v>1958</v>
      </c>
      <c r="L438" s="17" t="n">
        <f aca="false">IF(AND(IFERROR(SEARCH("현대오일뱅크",$C438),0)&gt;0,IFERROR(SEARCH("직영",$C438),0)&gt;0),$B$13,0)</f>
        <v>0</v>
      </c>
      <c r="M438" s="17" t="n">
        <f aca="false">IF($H438="","",$H438+$L438)</f>
        <v>1958</v>
      </c>
      <c r="N438" s="17" t="str">
        <f aca="false">IF($I438="","",$I438+$L438)</f>
        <v/>
      </c>
      <c r="O438" s="17" t="n">
        <f aca="false">IF($K438="","",$K438+$L438)</f>
        <v>1958</v>
      </c>
      <c r="P438" s="17" t="str">
        <f aca="false">IF($B$10=0,"",IFERROR(IF($B$4&gt;0,"휘발유 "&amp;TEXT(IF($M438="",1/0,$M438*$B$4),"#,##0")&amp;"원","")&amp;IF($B$5&gt;0,IF($B$4&gt;0," / ","")&amp;"고급유 "&amp;TEXT(IF($N438="",1/0,$N438*$B$5),"#,##0")&amp;"원","")&amp;IF($B$6&gt;0,IF(OR($B$4&gt;0,$B$5&gt;0)," / ","")&amp;"경유 "&amp;TEXT(IF($O438="",1/0,$O438*$B$6),"#,##0")&amp;"원",""),""))</f>
        <v/>
      </c>
      <c r="Q438" s="17" t="str">
        <f aca="false">IF($B$10=0,"",IFERROR(IF($B$4&gt;0,IF($M438="",1/0,$M438*$B$4),0)+IF($B$5&gt;0,IF($N438="",1/0,$N438*$B$5),0)+IF($B$6&gt;0,IF($O438="",1/0,$O438*$B$6),0),""))</f>
        <v/>
      </c>
      <c r="R438" s="17" t="s">
        <v>47</v>
      </c>
      <c r="S438" s="18" t="str">
        <f aca="false">IF($Q438="","",IF($R438="Y",IFERROR(VLOOKUP($B438,$C$4:$D$13,2,FALSE()),0),0))</f>
        <v/>
      </c>
      <c r="T438" s="17" t="str">
        <f aca="false">IF($Q438="","",ROUNDDOWN($Q438*$S438,0))</f>
        <v/>
      </c>
      <c r="U438" s="17" t="str">
        <f aca="false">IF($Q438="","",$Q438-$T438)</f>
        <v/>
      </c>
      <c r="V438" s="17" t="str">
        <f aca="false">IF($U438="","",IF($B$10=0,"",$U438/$B$10))</f>
        <v/>
      </c>
      <c r="W438" s="17" t="str">
        <f aca="false">IF($Q438="","",IF($B$10=0,"",$Q438/$B$10))</f>
        <v/>
      </c>
      <c r="X438" s="19" t="n">
        <f aca="false">IF($U438="",1000000000000000,$U438)</f>
        <v>1000000000000000</v>
      </c>
      <c r="XFC438" s="6"/>
    </row>
    <row r="439" s="5" customFormat="true" ht="28.5" hidden="false" customHeight="true" outlineLevel="0" collapsed="false">
      <c r="A439" s="16" t="str">
        <f aca="false">IF($U439="","",1+COUNTIF($X$15:$X$728,"&lt;"&amp;X439))</f>
        <v/>
      </c>
      <c r="B439" s="16" t="s">
        <v>14</v>
      </c>
      <c r="C439" s="16" t="s">
        <v>1312</v>
      </c>
      <c r="D439" s="16" t="s">
        <v>58</v>
      </c>
      <c r="E439" s="16" t="s">
        <v>47</v>
      </c>
      <c r="F439" s="16" t="s">
        <v>1313</v>
      </c>
      <c r="G439" s="16" t="s">
        <v>1314</v>
      </c>
      <c r="H439" s="17" t="n">
        <v>1980</v>
      </c>
      <c r="I439" s="17"/>
      <c r="J439" s="17"/>
      <c r="K439" s="17" t="n">
        <v>1990</v>
      </c>
      <c r="L439" s="17" t="n">
        <f aca="false">IF(AND(IFERROR(SEARCH("현대오일뱅크",$C439),0)&gt;0,IFERROR(SEARCH("직영",$C439),0)&gt;0),$B$13,0)</f>
        <v>0</v>
      </c>
      <c r="M439" s="17" t="n">
        <f aca="false">IF($H439="","",$H439+$L439)</f>
        <v>1980</v>
      </c>
      <c r="N439" s="17" t="str">
        <f aca="false">IF($I439="","",$I439+$L439)</f>
        <v/>
      </c>
      <c r="O439" s="17" t="n">
        <f aca="false">IF($K439="","",$K439+$L439)</f>
        <v>1990</v>
      </c>
      <c r="P439" s="17" t="str">
        <f aca="false">IF($B$10=0,"",IFERROR(IF($B$4&gt;0,"휘발유 "&amp;TEXT(IF($M439="",1/0,$M439*$B$4),"#,##0")&amp;"원","")&amp;IF($B$5&gt;0,IF($B$4&gt;0," / ","")&amp;"고급유 "&amp;TEXT(IF($N439="",1/0,$N439*$B$5),"#,##0")&amp;"원","")&amp;IF($B$6&gt;0,IF(OR($B$4&gt;0,$B$5&gt;0)," / ","")&amp;"경유 "&amp;TEXT(IF($O439="",1/0,$O439*$B$6),"#,##0")&amp;"원",""),""))</f>
        <v/>
      </c>
      <c r="Q439" s="17" t="str">
        <f aca="false">IF($B$10=0,"",IFERROR(IF($B$4&gt;0,IF($M439="",1/0,$M439*$B$4),0)+IF($B$5&gt;0,IF($N439="",1/0,$N439*$B$5),0)+IF($B$6&gt;0,IF($O439="",1/0,$O439*$B$6),0),""))</f>
        <v/>
      </c>
      <c r="R439" s="17" t="s">
        <v>47</v>
      </c>
      <c r="S439" s="18" t="str">
        <f aca="false">IF($Q439="","",IF($R439="Y",IFERROR(VLOOKUP($B439,$C$4:$D$13,2,FALSE()),0),0))</f>
        <v/>
      </c>
      <c r="T439" s="17" t="str">
        <f aca="false">IF($Q439="","",ROUNDDOWN($Q439*$S439,0))</f>
        <v/>
      </c>
      <c r="U439" s="17" t="str">
        <f aca="false">IF($Q439="","",$Q439-$T439)</f>
        <v/>
      </c>
      <c r="V439" s="17" t="str">
        <f aca="false">IF($U439="","",IF($B$10=0,"",$U439/$B$10))</f>
        <v/>
      </c>
      <c r="W439" s="17" t="str">
        <f aca="false">IF($Q439="","",IF($B$10=0,"",$Q439/$B$10))</f>
        <v/>
      </c>
      <c r="X439" s="19" t="n">
        <f aca="false">IF($U439="",1000000000000000,$U439)</f>
        <v>1000000000000000</v>
      </c>
      <c r="XFC439" s="6"/>
    </row>
    <row r="440" s="5" customFormat="true" ht="28.5" hidden="false" customHeight="true" outlineLevel="0" collapsed="false">
      <c r="A440" s="16" t="str">
        <f aca="false">IF($U440="","",1+COUNTIF($X$15:$X$728,"&lt;"&amp;X440))</f>
        <v/>
      </c>
      <c r="B440" s="16" t="s">
        <v>12</v>
      </c>
      <c r="C440" s="16" t="s">
        <v>1315</v>
      </c>
      <c r="D440" s="20" t="s">
        <v>112</v>
      </c>
      <c r="E440" s="16" t="s">
        <v>47</v>
      </c>
      <c r="F440" s="16" t="s">
        <v>1316</v>
      </c>
      <c r="G440" s="16" t="s">
        <v>1317</v>
      </c>
      <c r="H440" s="17" t="n">
        <v>1959</v>
      </c>
      <c r="I440" s="17"/>
      <c r="J440" s="17"/>
      <c r="K440" s="17" t="n">
        <v>1998</v>
      </c>
      <c r="L440" s="17" t="n">
        <f aca="false">IF(AND(IFERROR(SEARCH("현대오일뱅크",$C440),0)&gt;0,IFERROR(SEARCH("직영",$C440),0)&gt;0),$B$13,0)</f>
        <v>0</v>
      </c>
      <c r="M440" s="17" t="n">
        <f aca="false">IF($H440="","",$H440+$L440)</f>
        <v>1959</v>
      </c>
      <c r="N440" s="17" t="str">
        <f aca="false">IF($I440="","",$I440+$L440)</f>
        <v/>
      </c>
      <c r="O440" s="17" t="n">
        <f aca="false">IF($K440="","",$K440+$L440)</f>
        <v>1998</v>
      </c>
      <c r="P440" s="17" t="str">
        <f aca="false">IF($B$10=0,"",IFERROR(IF($B$4&gt;0,"휘발유 "&amp;TEXT(IF($M440="",1/0,$M440*$B$4),"#,##0")&amp;"원","")&amp;IF($B$5&gt;0,IF($B$4&gt;0," / ","")&amp;"고급유 "&amp;TEXT(IF($N440="",1/0,$N440*$B$5),"#,##0")&amp;"원","")&amp;IF($B$6&gt;0,IF(OR($B$4&gt;0,$B$5&gt;0)," / ","")&amp;"경유 "&amp;TEXT(IF($O440="",1/0,$O440*$B$6),"#,##0")&amp;"원",""),""))</f>
        <v/>
      </c>
      <c r="Q440" s="17" t="str">
        <f aca="false">IF($B$10=0,"",IFERROR(IF($B$4&gt;0,IF($M440="",1/0,$M440*$B$4),0)+IF($B$5&gt;0,IF($N440="",1/0,$N440*$B$5),0)+IF($B$6&gt;0,IF($O440="",1/0,$O440*$B$6),0),""))</f>
        <v/>
      </c>
      <c r="R440" s="17" t="s">
        <v>47</v>
      </c>
      <c r="S440" s="18" t="str">
        <f aca="false">IF($Q440="","",IF($R440="Y",IFERROR(VLOOKUP($B440,$C$4:$D$13,2,FALSE()),0),0))</f>
        <v/>
      </c>
      <c r="T440" s="17" t="str">
        <f aca="false">IF($Q440="","",ROUNDDOWN($Q440*$S440,0))</f>
        <v/>
      </c>
      <c r="U440" s="17" t="str">
        <f aca="false">IF($Q440="","",$Q440-$T440)</f>
        <v/>
      </c>
      <c r="V440" s="17" t="str">
        <f aca="false">IF($U440="","",IF($B$10=0,"",$U440/$B$10))</f>
        <v/>
      </c>
      <c r="W440" s="17" t="str">
        <f aca="false">IF($Q440="","",IF($B$10=0,"",$Q440/$B$10))</f>
        <v/>
      </c>
      <c r="X440" s="19" t="n">
        <f aca="false">IF($U440="",1000000000000000,$U440)</f>
        <v>1000000000000000</v>
      </c>
      <c r="XFC440" s="6"/>
    </row>
    <row r="441" s="5" customFormat="true" ht="28.5" hidden="false" customHeight="true" outlineLevel="0" collapsed="false">
      <c r="A441" s="16" t="str">
        <f aca="false">IF($U441="","",1+COUNTIF($X$15:$X$728,"&lt;"&amp;X441))</f>
        <v/>
      </c>
      <c r="B441" s="16" t="s">
        <v>12</v>
      </c>
      <c r="C441" s="16" t="s">
        <v>1318</v>
      </c>
      <c r="D441" s="20" t="s">
        <v>294</v>
      </c>
      <c r="E441" s="16" t="s">
        <v>47</v>
      </c>
      <c r="F441" s="16" t="s">
        <v>1319</v>
      </c>
      <c r="G441" s="16" t="s">
        <v>1320</v>
      </c>
      <c r="H441" s="17" t="n">
        <v>1959</v>
      </c>
      <c r="I441" s="17"/>
      <c r="J441" s="17"/>
      <c r="K441" s="17" t="n">
        <v>1959</v>
      </c>
      <c r="L441" s="17" t="n">
        <f aca="false">IF(AND(IFERROR(SEARCH("현대오일뱅크",$C441),0)&gt;0,IFERROR(SEARCH("직영",$C441),0)&gt;0),$B$13,0)</f>
        <v>0</v>
      </c>
      <c r="M441" s="17" t="n">
        <f aca="false">IF($H441="","",$H441+$L441)</f>
        <v>1959</v>
      </c>
      <c r="N441" s="17" t="str">
        <f aca="false">IF($I441="","",$I441+$L441)</f>
        <v/>
      </c>
      <c r="O441" s="17" t="n">
        <f aca="false">IF($K441="","",$K441+$L441)</f>
        <v>1959</v>
      </c>
      <c r="P441" s="17" t="str">
        <f aca="false">IF($B$10=0,"",IFERROR(IF($B$4&gt;0,"휘발유 "&amp;TEXT(IF($M441="",1/0,$M441*$B$4),"#,##0")&amp;"원","")&amp;IF($B$5&gt;0,IF($B$4&gt;0," / ","")&amp;"고급유 "&amp;TEXT(IF($N441="",1/0,$N441*$B$5),"#,##0")&amp;"원","")&amp;IF($B$6&gt;0,IF(OR($B$4&gt;0,$B$5&gt;0)," / ","")&amp;"경유 "&amp;TEXT(IF($O441="",1/0,$O441*$B$6),"#,##0")&amp;"원",""),""))</f>
        <v/>
      </c>
      <c r="Q441" s="17" t="str">
        <f aca="false">IF($B$10=0,"",IFERROR(IF($B$4&gt;0,IF($M441="",1/0,$M441*$B$4),0)+IF($B$5&gt;0,IF($N441="",1/0,$N441*$B$5),0)+IF($B$6&gt;0,IF($O441="",1/0,$O441*$B$6),0),""))</f>
        <v/>
      </c>
      <c r="R441" s="17" t="s">
        <v>47</v>
      </c>
      <c r="S441" s="18" t="str">
        <f aca="false">IF($Q441="","",IF($R441="Y",IFERROR(VLOOKUP($B441,$C$4:$D$13,2,FALSE()),0),0))</f>
        <v/>
      </c>
      <c r="T441" s="17" t="str">
        <f aca="false">IF($Q441="","",ROUNDDOWN($Q441*$S441,0))</f>
        <v/>
      </c>
      <c r="U441" s="17" t="str">
        <f aca="false">IF($Q441="","",$Q441-$T441)</f>
        <v/>
      </c>
      <c r="V441" s="17" t="str">
        <f aca="false">IF($U441="","",IF($B$10=0,"",$U441/$B$10))</f>
        <v/>
      </c>
      <c r="W441" s="17" t="str">
        <f aca="false">IF($Q441="","",IF($B$10=0,"",$Q441/$B$10))</f>
        <v/>
      </c>
      <c r="X441" s="19" t="n">
        <f aca="false">IF($U441="",1000000000000000,$U441)</f>
        <v>1000000000000000</v>
      </c>
      <c r="XFC441" s="6"/>
    </row>
    <row r="442" s="5" customFormat="true" ht="28.5" hidden="false" customHeight="true" outlineLevel="0" collapsed="false">
      <c r="A442" s="16" t="str">
        <f aca="false">IF($U442="","",1+COUNTIF($X$15:$X$728,"&lt;"&amp;X442))</f>
        <v/>
      </c>
      <c r="B442" s="16" t="s">
        <v>6</v>
      </c>
      <c r="C442" s="16" t="s">
        <v>1321</v>
      </c>
      <c r="D442" s="16" t="s">
        <v>112</v>
      </c>
      <c r="E442" s="16" t="s">
        <v>59</v>
      </c>
      <c r="F442" s="16" t="s">
        <v>1322</v>
      </c>
      <c r="G442" s="16" t="s">
        <v>1323</v>
      </c>
      <c r="H442" s="17" t="n">
        <v>1959</v>
      </c>
      <c r="I442" s="17"/>
      <c r="J442" s="17"/>
      <c r="K442" s="17" t="n">
        <v>1989</v>
      </c>
      <c r="L442" s="17" t="n">
        <f aca="false">IF(AND(IFERROR(SEARCH("현대오일뱅크",$C442),0)&gt;0,IFERROR(SEARCH("직영",$C442),0)&gt;0),$B$13,0)</f>
        <v>0</v>
      </c>
      <c r="M442" s="17" t="n">
        <f aca="false">IF($H442="","",$H442+$L442)</f>
        <v>1959</v>
      </c>
      <c r="N442" s="17" t="str">
        <f aca="false">IF($I442="","",$I442+$L442)</f>
        <v/>
      </c>
      <c r="O442" s="17" t="n">
        <f aca="false">IF($K442="","",$K442+$L442)</f>
        <v>1989</v>
      </c>
      <c r="P442" s="17" t="str">
        <f aca="false">IF($B$10=0,"",IFERROR(IF($B$4&gt;0,"휘발유 "&amp;TEXT(IF($M442="",1/0,$M442*$B$4),"#,##0")&amp;"원","")&amp;IF($B$5&gt;0,IF($B$4&gt;0," / ","")&amp;"고급유 "&amp;TEXT(IF($N442="",1/0,$N442*$B$5),"#,##0")&amp;"원","")&amp;IF($B$6&gt;0,IF(OR($B$4&gt;0,$B$5&gt;0)," / ","")&amp;"경유 "&amp;TEXT(IF($O442="",1/0,$O442*$B$6),"#,##0")&amp;"원",""),""))</f>
        <v/>
      </c>
      <c r="Q442" s="17" t="str">
        <f aca="false">IF($B$10=0,"",IFERROR(IF($B$4&gt;0,IF($M442="",1/0,$M442*$B$4),0)+IF($B$5&gt;0,IF($N442="",1/0,$N442*$B$5),0)+IF($B$6&gt;0,IF($O442="",1/0,$O442*$B$6),0),""))</f>
        <v/>
      </c>
      <c r="R442" s="17" t="s">
        <v>47</v>
      </c>
      <c r="S442" s="18" t="str">
        <f aca="false">IF($Q442="","",IF($R442="Y",IFERROR(VLOOKUP($B442,$C$4:$D$13,2,FALSE()),0),0))</f>
        <v/>
      </c>
      <c r="T442" s="17" t="str">
        <f aca="false">IF($Q442="","",ROUNDDOWN($Q442*$S442,0))</f>
        <v/>
      </c>
      <c r="U442" s="17" t="str">
        <f aca="false">IF($Q442="","",$Q442-$T442)</f>
        <v/>
      </c>
      <c r="V442" s="17" t="str">
        <f aca="false">IF($U442="","",IF($B$10=0,"",$U442/$B$10))</f>
        <v/>
      </c>
      <c r="W442" s="17" t="str">
        <f aca="false">IF($Q442="","",IF($B$10=0,"",$Q442/$B$10))</f>
        <v/>
      </c>
      <c r="X442" s="19" t="n">
        <f aca="false">IF($U442="",1000000000000000,$U442)</f>
        <v>1000000000000000</v>
      </c>
      <c r="XFC442" s="6"/>
    </row>
    <row r="443" s="5" customFormat="true" ht="28.5" hidden="false" customHeight="true" outlineLevel="0" collapsed="false">
      <c r="A443" s="16" t="str">
        <f aca="false">IF($U443="","",1+COUNTIF($X$15:$X$728,"&lt;"&amp;X443))</f>
        <v/>
      </c>
      <c r="B443" s="16" t="s">
        <v>10</v>
      </c>
      <c r="C443" s="16" t="s">
        <v>1324</v>
      </c>
      <c r="D443" s="16" t="s">
        <v>58</v>
      </c>
      <c r="E443" s="16" t="s">
        <v>59</v>
      </c>
      <c r="F443" s="16" t="s">
        <v>1325</v>
      </c>
      <c r="G443" s="16" t="s">
        <v>1326</v>
      </c>
      <c r="H443" s="17" t="n">
        <v>1959</v>
      </c>
      <c r="I443" s="17"/>
      <c r="J443" s="17"/>
      <c r="K443" s="17" t="n">
        <v>1959</v>
      </c>
      <c r="L443" s="17" t="n">
        <f aca="false">IF(AND(IFERROR(SEARCH("현대오일뱅크",$C443),0)&gt;0,IFERROR(SEARCH("직영",$C443),0)&gt;0),$B$13,0)</f>
        <v>0</v>
      </c>
      <c r="M443" s="17" t="n">
        <f aca="false">IF($H443="","",$H443+$L443)</f>
        <v>1959</v>
      </c>
      <c r="N443" s="17" t="str">
        <f aca="false">IF($I443="","",$I443+$L443)</f>
        <v/>
      </c>
      <c r="O443" s="17" t="n">
        <f aca="false">IF($K443="","",$K443+$L443)</f>
        <v>1959</v>
      </c>
      <c r="P443" s="17" t="str">
        <f aca="false">IF($B$10=0,"",IFERROR(IF($B$4&gt;0,"휘발유 "&amp;TEXT(IF($M443="",1/0,$M443*$B$4),"#,##0")&amp;"원","")&amp;IF($B$5&gt;0,IF($B$4&gt;0," / ","")&amp;"고급유 "&amp;TEXT(IF($N443="",1/0,$N443*$B$5),"#,##0")&amp;"원","")&amp;IF($B$6&gt;0,IF(OR($B$4&gt;0,$B$5&gt;0)," / ","")&amp;"경유 "&amp;TEXT(IF($O443="",1/0,$O443*$B$6),"#,##0")&amp;"원",""),""))</f>
        <v/>
      </c>
      <c r="Q443" s="17" t="str">
        <f aca="false">IF($B$10=0,"",IFERROR(IF($B$4&gt;0,IF($M443="",1/0,$M443*$B$4),0)+IF($B$5&gt;0,IF($N443="",1/0,$N443*$B$5),0)+IF($B$6&gt;0,IF($O443="",1/0,$O443*$B$6),0),""))</f>
        <v/>
      </c>
      <c r="R443" s="17" t="s">
        <v>47</v>
      </c>
      <c r="S443" s="18" t="str">
        <f aca="false">IF($Q443="","",IF($R443="Y",IFERROR(VLOOKUP($B443,$C$4:$D$13,2,FALSE()),0),0))</f>
        <v/>
      </c>
      <c r="T443" s="17" t="str">
        <f aca="false">IF($Q443="","",ROUNDDOWN($Q443*$S443,0))</f>
        <v/>
      </c>
      <c r="U443" s="17" t="str">
        <f aca="false">IF($Q443="","",$Q443-$T443)</f>
        <v/>
      </c>
      <c r="V443" s="17" t="str">
        <f aca="false">IF($U443="","",IF($B$10=0,"",$U443/$B$10))</f>
        <v/>
      </c>
      <c r="W443" s="17" t="str">
        <f aca="false">IF($Q443="","",IF($B$10=0,"",$Q443/$B$10))</f>
        <v/>
      </c>
      <c r="X443" s="19" t="n">
        <f aca="false">IF($U443="",1000000000000000,$U443)</f>
        <v>1000000000000000</v>
      </c>
      <c r="XFC443" s="6"/>
    </row>
    <row r="444" s="5" customFormat="true" ht="28.5" hidden="false" customHeight="true" outlineLevel="0" collapsed="false">
      <c r="A444" s="16" t="str">
        <f aca="false">IF($U444="","",1+COUNTIF($X$15:$X$728,"&lt;"&amp;X444))</f>
        <v/>
      </c>
      <c r="B444" s="16" t="s">
        <v>6</v>
      </c>
      <c r="C444" s="16" t="s">
        <v>1327</v>
      </c>
      <c r="D444" s="16" t="s">
        <v>112</v>
      </c>
      <c r="E444" s="16" t="s">
        <v>47</v>
      </c>
      <c r="F444" s="16" t="s">
        <v>1328</v>
      </c>
      <c r="G444" s="16" t="s">
        <v>1329</v>
      </c>
      <c r="H444" s="17" t="n">
        <v>1959</v>
      </c>
      <c r="I444" s="17"/>
      <c r="J444" s="17"/>
      <c r="K444" s="17" t="n">
        <v>1995</v>
      </c>
      <c r="L444" s="17" t="n">
        <f aca="false">IF(AND(IFERROR(SEARCH("현대오일뱅크",$C444),0)&gt;0,IFERROR(SEARCH("직영",$C444),0)&gt;0),$B$13,0)</f>
        <v>0</v>
      </c>
      <c r="M444" s="17" t="n">
        <f aca="false">IF($H444="","",$H444+$L444)</f>
        <v>1959</v>
      </c>
      <c r="N444" s="17" t="str">
        <f aca="false">IF($I444="","",$I444+$L444)</f>
        <v/>
      </c>
      <c r="O444" s="17" t="n">
        <f aca="false">IF($K444="","",$K444+$L444)</f>
        <v>1995</v>
      </c>
      <c r="P444" s="17" t="str">
        <f aca="false">IF($B$10=0,"",IFERROR(IF($B$4&gt;0,"휘발유 "&amp;TEXT(IF($M444="",1/0,$M444*$B$4),"#,##0")&amp;"원","")&amp;IF($B$5&gt;0,IF($B$4&gt;0," / ","")&amp;"고급유 "&amp;TEXT(IF($N444="",1/0,$N444*$B$5),"#,##0")&amp;"원","")&amp;IF($B$6&gt;0,IF(OR($B$4&gt;0,$B$5&gt;0)," / ","")&amp;"경유 "&amp;TEXT(IF($O444="",1/0,$O444*$B$6),"#,##0")&amp;"원",""),""))</f>
        <v/>
      </c>
      <c r="Q444" s="17" t="str">
        <f aca="false">IF($B$10=0,"",IFERROR(IF($B$4&gt;0,IF($M444="",1/0,$M444*$B$4),0)+IF($B$5&gt;0,IF($N444="",1/0,$N444*$B$5),0)+IF($B$6&gt;0,IF($O444="",1/0,$O444*$B$6),0),""))</f>
        <v/>
      </c>
      <c r="R444" s="17" t="s">
        <v>47</v>
      </c>
      <c r="S444" s="18" t="str">
        <f aca="false">IF($Q444="","",IF($R444="Y",IFERROR(VLOOKUP($B444,$C$4:$D$13,2,FALSE()),0),0))</f>
        <v/>
      </c>
      <c r="T444" s="17" t="str">
        <f aca="false">IF($Q444="","",ROUNDDOWN($Q444*$S444,0))</f>
        <v/>
      </c>
      <c r="U444" s="17" t="str">
        <f aca="false">IF($Q444="","",$Q444-$T444)</f>
        <v/>
      </c>
      <c r="V444" s="17" t="str">
        <f aca="false">IF($U444="","",IF($B$10=0,"",$U444/$B$10))</f>
        <v/>
      </c>
      <c r="W444" s="17" t="str">
        <f aca="false">IF($Q444="","",IF($B$10=0,"",$Q444/$B$10))</f>
        <v/>
      </c>
      <c r="X444" s="19" t="n">
        <f aca="false">IF($U444="",1000000000000000,$U444)</f>
        <v>1000000000000000</v>
      </c>
      <c r="XFC444" s="6"/>
    </row>
    <row r="445" s="5" customFormat="true" ht="28.5" hidden="false" customHeight="true" outlineLevel="0" collapsed="false">
      <c r="A445" s="16" t="str">
        <f aca="false">IF($U445="","",1+COUNTIF($X$15:$X$728,"&lt;"&amp;X445))</f>
        <v/>
      </c>
      <c r="B445" s="16" t="s">
        <v>6</v>
      </c>
      <c r="C445" s="16" t="s">
        <v>1330</v>
      </c>
      <c r="D445" s="16" t="s">
        <v>58</v>
      </c>
      <c r="E445" s="16" t="s">
        <v>47</v>
      </c>
      <c r="F445" s="16" t="s">
        <v>1331</v>
      </c>
      <c r="G445" s="16" t="s">
        <v>1332</v>
      </c>
      <c r="H445" s="17" t="n">
        <v>1959</v>
      </c>
      <c r="I445" s="17"/>
      <c r="J445" s="17"/>
      <c r="K445" s="17" t="n">
        <v>2039</v>
      </c>
      <c r="L445" s="17" t="n">
        <f aca="false">IF(AND(IFERROR(SEARCH("현대오일뱅크",$C445),0)&gt;0,IFERROR(SEARCH("직영",$C445),0)&gt;0),$B$13,0)</f>
        <v>0</v>
      </c>
      <c r="M445" s="17" t="n">
        <f aca="false">IF($H445="","",$H445+$L445)</f>
        <v>1959</v>
      </c>
      <c r="N445" s="17" t="str">
        <f aca="false">IF($I445="","",$I445+$L445)</f>
        <v/>
      </c>
      <c r="O445" s="17" t="n">
        <f aca="false">IF($K445="","",$K445+$L445)</f>
        <v>2039</v>
      </c>
      <c r="P445" s="17" t="str">
        <f aca="false">IF($B$10=0,"",IFERROR(IF($B$4&gt;0,"휘발유 "&amp;TEXT(IF($M445="",1/0,$M445*$B$4),"#,##0")&amp;"원","")&amp;IF($B$5&gt;0,IF($B$4&gt;0," / ","")&amp;"고급유 "&amp;TEXT(IF($N445="",1/0,$N445*$B$5),"#,##0")&amp;"원","")&amp;IF($B$6&gt;0,IF(OR($B$4&gt;0,$B$5&gt;0)," / ","")&amp;"경유 "&amp;TEXT(IF($O445="",1/0,$O445*$B$6),"#,##0")&amp;"원",""),""))</f>
        <v/>
      </c>
      <c r="Q445" s="17" t="str">
        <f aca="false">IF($B$10=0,"",IFERROR(IF($B$4&gt;0,IF($M445="",1/0,$M445*$B$4),0)+IF($B$5&gt;0,IF($N445="",1/0,$N445*$B$5),0)+IF($B$6&gt;0,IF($O445="",1/0,$O445*$B$6),0),""))</f>
        <v/>
      </c>
      <c r="R445" s="17" t="s">
        <v>47</v>
      </c>
      <c r="S445" s="18" t="str">
        <f aca="false">IF($Q445="","",IF($R445="Y",IFERROR(VLOOKUP($B445,$C$4:$D$13,2,FALSE()),0),0))</f>
        <v/>
      </c>
      <c r="T445" s="17" t="str">
        <f aca="false">IF($Q445="","",ROUNDDOWN($Q445*$S445,0))</f>
        <v/>
      </c>
      <c r="U445" s="17" t="str">
        <f aca="false">IF($Q445="","",$Q445-$T445)</f>
        <v/>
      </c>
      <c r="V445" s="17" t="str">
        <f aca="false">IF($U445="","",IF($B$10=0,"",$U445/$B$10))</f>
        <v/>
      </c>
      <c r="W445" s="17" t="str">
        <f aca="false">IF($Q445="","",IF($B$10=0,"",$Q445/$B$10))</f>
        <v/>
      </c>
      <c r="X445" s="19" t="n">
        <f aca="false">IF($U445="",1000000000000000,$U445)</f>
        <v>1000000000000000</v>
      </c>
      <c r="XFC445" s="6"/>
    </row>
    <row r="446" s="5" customFormat="true" ht="28.5" hidden="false" customHeight="true" outlineLevel="0" collapsed="false">
      <c r="A446" s="16" t="str">
        <f aca="false">IF($U446="","",1+COUNTIF($X$15:$X$728,"&lt;"&amp;X446))</f>
        <v/>
      </c>
      <c r="B446" s="16" t="s">
        <v>8</v>
      </c>
      <c r="C446" s="16" t="s">
        <v>1333</v>
      </c>
      <c r="D446" s="20" t="s">
        <v>108</v>
      </c>
      <c r="E446" s="16" t="s">
        <v>59</v>
      </c>
      <c r="F446" s="16" t="s">
        <v>1334</v>
      </c>
      <c r="G446" s="16" t="s">
        <v>1335</v>
      </c>
      <c r="H446" s="17" t="n">
        <v>1959</v>
      </c>
      <c r="I446" s="17"/>
      <c r="J446" s="17"/>
      <c r="K446" s="17" t="n">
        <v>1879</v>
      </c>
      <c r="L446" s="17" t="n">
        <f aca="false">IF(AND(IFERROR(SEARCH("현대오일뱅크",$C446),0)&gt;0,IFERROR(SEARCH("직영",$C446),0)&gt;0),$B$13,0)</f>
        <v>0</v>
      </c>
      <c r="M446" s="17" t="n">
        <f aca="false">IF($H446="","",$H446+$L446)</f>
        <v>1959</v>
      </c>
      <c r="N446" s="17" t="str">
        <f aca="false">IF($I446="","",$I446+$L446)</f>
        <v/>
      </c>
      <c r="O446" s="17" t="n">
        <f aca="false">IF($K446="","",$K446+$L446)</f>
        <v>1879</v>
      </c>
      <c r="P446" s="17" t="str">
        <f aca="false">IF($B$10=0,"",IFERROR(IF($B$4&gt;0,"휘발유 "&amp;TEXT(IF($M446="",1/0,$M446*$B$4),"#,##0")&amp;"원","")&amp;IF($B$5&gt;0,IF($B$4&gt;0," / ","")&amp;"고급유 "&amp;TEXT(IF($N446="",1/0,$N446*$B$5),"#,##0")&amp;"원","")&amp;IF($B$6&gt;0,IF(OR($B$4&gt;0,$B$5&gt;0)," / ","")&amp;"경유 "&amp;TEXT(IF($O446="",1/0,$O446*$B$6),"#,##0")&amp;"원",""),""))</f>
        <v/>
      </c>
      <c r="Q446" s="17" t="str">
        <f aca="false">IF($B$10=0,"",IFERROR(IF($B$4&gt;0,IF($M446="",1/0,$M446*$B$4),0)+IF($B$5&gt;0,IF($N446="",1/0,$N446*$B$5),0)+IF($B$6&gt;0,IF($O446="",1/0,$O446*$B$6),0),""))</f>
        <v/>
      </c>
      <c r="R446" s="17" t="s">
        <v>47</v>
      </c>
      <c r="S446" s="18" t="str">
        <f aca="false">IF($Q446="","",IF($R446="Y",IFERROR(VLOOKUP($B446,$C$4:$D$13,2,FALSE()),0),0))</f>
        <v/>
      </c>
      <c r="T446" s="17" t="str">
        <f aca="false">IF($Q446="","",ROUNDDOWN($Q446*$S446,0))</f>
        <v/>
      </c>
      <c r="U446" s="17" t="str">
        <f aca="false">IF($Q446="","",$Q446-$T446)</f>
        <v/>
      </c>
      <c r="V446" s="17" t="str">
        <f aca="false">IF($U446="","",IF($B$10=0,"",$U446/$B$10))</f>
        <v/>
      </c>
      <c r="W446" s="17" t="str">
        <f aca="false">IF($Q446="","",IF($B$10=0,"",$Q446/$B$10))</f>
        <v/>
      </c>
      <c r="X446" s="19" t="n">
        <f aca="false">IF($U446="",1000000000000000,$U446)</f>
        <v>1000000000000000</v>
      </c>
      <c r="XFC446" s="6"/>
    </row>
    <row r="447" s="5" customFormat="true" ht="28.5" hidden="false" customHeight="true" outlineLevel="0" collapsed="false">
      <c r="A447" s="16" t="str">
        <f aca="false">IF($U447="","",1+COUNTIF($X$15:$X$728,"&lt;"&amp;X447))</f>
        <v/>
      </c>
      <c r="B447" s="16" t="s">
        <v>12</v>
      </c>
      <c r="C447" s="16" t="s">
        <v>1336</v>
      </c>
      <c r="D447" s="20" t="s">
        <v>294</v>
      </c>
      <c r="E447" s="16" t="s">
        <v>47</v>
      </c>
      <c r="F447" s="16" t="s">
        <v>1337</v>
      </c>
      <c r="G447" s="16" t="s">
        <v>1338</v>
      </c>
      <c r="H447" s="17" t="n">
        <v>1959</v>
      </c>
      <c r="I447" s="17"/>
      <c r="J447" s="17"/>
      <c r="K447" s="17" t="n">
        <v>1969</v>
      </c>
      <c r="L447" s="17" t="n">
        <f aca="false">IF(AND(IFERROR(SEARCH("현대오일뱅크",$C447),0)&gt;0,IFERROR(SEARCH("직영",$C447),0)&gt;0),$B$13,0)</f>
        <v>0</v>
      </c>
      <c r="M447" s="17" t="n">
        <f aca="false">IF($H447="","",$H447+$L447)</f>
        <v>1959</v>
      </c>
      <c r="N447" s="17" t="str">
        <f aca="false">IF($I447="","",$I447+$L447)</f>
        <v/>
      </c>
      <c r="O447" s="17" t="n">
        <f aca="false">IF($K447="","",$K447+$L447)</f>
        <v>1969</v>
      </c>
      <c r="P447" s="17" t="str">
        <f aca="false">IF($B$10=0,"",IFERROR(IF($B$4&gt;0,"휘발유 "&amp;TEXT(IF($M447="",1/0,$M447*$B$4),"#,##0")&amp;"원","")&amp;IF($B$5&gt;0,IF($B$4&gt;0," / ","")&amp;"고급유 "&amp;TEXT(IF($N447="",1/0,$N447*$B$5),"#,##0")&amp;"원","")&amp;IF($B$6&gt;0,IF(OR($B$4&gt;0,$B$5&gt;0)," / ","")&amp;"경유 "&amp;TEXT(IF($O447="",1/0,$O447*$B$6),"#,##0")&amp;"원",""),""))</f>
        <v/>
      </c>
      <c r="Q447" s="17" t="str">
        <f aca="false">IF($B$10=0,"",IFERROR(IF($B$4&gt;0,IF($M447="",1/0,$M447*$B$4),0)+IF($B$5&gt;0,IF($N447="",1/0,$N447*$B$5),0)+IF($B$6&gt;0,IF($O447="",1/0,$O447*$B$6),0),""))</f>
        <v/>
      </c>
      <c r="R447" s="17" t="s">
        <v>47</v>
      </c>
      <c r="S447" s="18" t="str">
        <f aca="false">IF($Q447="","",IF($R447="Y",IFERROR(VLOOKUP($B447,$C$4:$D$13,2,FALSE()),0),0))</f>
        <v/>
      </c>
      <c r="T447" s="17" t="str">
        <f aca="false">IF($Q447="","",ROUNDDOWN($Q447*$S447,0))</f>
        <v/>
      </c>
      <c r="U447" s="17" t="str">
        <f aca="false">IF($Q447="","",$Q447-$T447)</f>
        <v/>
      </c>
      <c r="V447" s="17" t="str">
        <f aca="false">IF($U447="","",IF($B$10=0,"",$U447/$B$10))</f>
        <v/>
      </c>
      <c r="W447" s="17" t="str">
        <f aca="false">IF($Q447="","",IF($B$10=0,"",$Q447/$B$10))</f>
        <v/>
      </c>
      <c r="X447" s="19" t="n">
        <f aca="false">IF($U447="",1000000000000000,$U447)</f>
        <v>1000000000000000</v>
      </c>
      <c r="XFC447" s="6"/>
    </row>
    <row r="448" s="5" customFormat="true" ht="28.5" hidden="false" customHeight="true" outlineLevel="0" collapsed="false">
      <c r="A448" s="16" t="str">
        <f aca="false">IF($U448="","",1+COUNTIF($X$15:$X$728,"&lt;"&amp;X448))</f>
        <v/>
      </c>
      <c r="B448" s="16" t="s">
        <v>12</v>
      </c>
      <c r="C448" s="16" t="s">
        <v>1339</v>
      </c>
      <c r="D448" s="20" t="s">
        <v>294</v>
      </c>
      <c r="E448" s="16" t="s">
        <v>59</v>
      </c>
      <c r="F448" s="16" t="s">
        <v>1340</v>
      </c>
      <c r="G448" s="16" t="s">
        <v>1341</v>
      </c>
      <c r="H448" s="17" t="n">
        <v>1959</v>
      </c>
      <c r="I448" s="17"/>
      <c r="J448" s="17"/>
      <c r="K448" s="17" t="n">
        <v>2159</v>
      </c>
      <c r="L448" s="17" t="n">
        <f aca="false">IF(AND(IFERROR(SEARCH("현대오일뱅크",$C448),0)&gt;0,IFERROR(SEARCH("직영",$C448),0)&gt;0),$B$13,0)</f>
        <v>0</v>
      </c>
      <c r="M448" s="17" t="n">
        <f aca="false">IF($H448="","",$H448+$L448)</f>
        <v>1959</v>
      </c>
      <c r="N448" s="17" t="str">
        <f aca="false">IF($I448="","",$I448+$L448)</f>
        <v/>
      </c>
      <c r="O448" s="17" t="n">
        <f aca="false">IF($K448="","",$K448+$L448)</f>
        <v>2159</v>
      </c>
      <c r="P448" s="17" t="str">
        <f aca="false">IF($B$10=0,"",IFERROR(IF($B$4&gt;0,"휘발유 "&amp;TEXT(IF($M448="",1/0,$M448*$B$4),"#,##0")&amp;"원","")&amp;IF($B$5&gt;0,IF($B$4&gt;0," / ","")&amp;"고급유 "&amp;TEXT(IF($N448="",1/0,$N448*$B$5),"#,##0")&amp;"원","")&amp;IF($B$6&gt;0,IF(OR($B$4&gt;0,$B$5&gt;0)," / ","")&amp;"경유 "&amp;TEXT(IF($O448="",1/0,$O448*$B$6),"#,##0")&amp;"원",""),""))</f>
        <v/>
      </c>
      <c r="Q448" s="17" t="str">
        <f aca="false">IF($B$10=0,"",IFERROR(IF($B$4&gt;0,IF($M448="",1/0,$M448*$B$4),0)+IF($B$5&gt;0,IF($N448="",1/0,$N448*$B$5),0)+IF($B$6&gt;0,IF($O448="",1/0,$O448*$B$6),0),""))</f>
        <v/>
      </c>
      <c r="R448" s="17" t="s">
        <v>47</v>
      </c>
      <c r="S448" s="18" t="str">
        <f aca="false">IF($Q448="","",IF($R448="Y",IFERROR(VLOOKUP($B448,$C$4:$D$13,2,FALSE()),0),0))</f>
        <v/>
      </c>
      <c r="T448" s="17" t="str">
        <f aca="false">IF($Q448="","",ROUNDDOWN($Q448*$S448,0))</f>
        <v/>
      </c>
      <c r="U448" s="17" t="str">
        <f aca="false">IF($Q448="","",$Q448-$T448)</f>
        <v/>
      </c>
      <c r="V448" s="17" t="str">
        <f aca="false">IF($U448="","",IF($B$10=0,"",$U448/$B$10))</f>
        <v/>
      </c>
      <c r="W448" s="17" t="str">
        <f aca="false">IF($Q448="","",IF($B$10=0,"",$Q448/$B$10))</f>
        <v/>
      </c>
      <c r="X448" s="19" t="n">
        <f aca="false">IF($U448="",1000000000000000,$U448)</f>
        <v>1000000000000000</v>
      </c>
      <c r="XFC448" s="6"/>
    </row>
    <row r="449" s="5" customFormat="true" ht="28.5" hidden="false" customHeight="true" outlineLevel="0" collapsed="false">
      <c r="A449" s="16" t="str">
        <f aca="false">IF($U449="","",1+COUNTIF($X$15:$X$728,"&lt;"&amp;X449))</f>
        <v/>
      </c>
      <c r="B449" s="16" t="s">
        <v>6</v>
      </c>
      <c r="C449" s="16" t="s">
        <v>1342</v>
      </c>
      <c r="D449" s="16" t="s">
        <v>112</v>
      </c>
      <c r="E449" s="16" t="s">
        <v>47</v>
      </c>
      <c r="F449" s="16" t="s">
        <v>1343</v>
      </c>
      <c r="G449" s="16" t="s">
        <v>1344</v>
      </c>
      <c r="H449" s="17" t="n">
        <v>1939</v>
      </c>
      <c r="I449" s="17"/>
      <c r="J449" s="17"/>
      <c r="K449" s="17" t="n">
        <v>1969</v>
      </c>
      <c r="L449" s="17" t="n">
        <f aca="false">IF(AND(IFERROR(SEARCH("현대오일뱅크",$C449),0)&gt;0,IFERROR(SEARCH("직영",$C449),0)&gt;0),$B$13,0)</f>
        <v>0</v>
      </c>
      <c r="M449" s="17" t="n">
        <f aca="false">IF($H449="","",$H449+$L449)</f>
        <v>1939</v>
      </c>
      <c r="N449" s="17" t="str">
        <f aca="false">IF($I449="","",$I449+$L449)</f>
        <v/>
      </c>
      <c r="O449" s="17" t="n">
        <f aca="false">IF($K449="","",$K449+$L449)</f>
        <v>1969</v>
      </c>
      <c r="P449" s="17" t="str">
        <f aca="false">IF($B$10=0,"",IFERROR(IF($B$4&gt;0,"휘발유 "&amp;TEXT(IF($M449="",1/0,$M449*$B$4),"#,##0")&amp;"원","")&amp;IF($B$5&gt;0,IF($B$4&gt;0," / ","")&amp;"고급유 "&amp;TEXT(IF($N449="",1/0,$N449*$B$5),"#,##0")&amp;"원","")&amp;IF($B$6&gt;0,IF(OR($B$4&gt;0,$B$5&gt;0)," / ","")&amp;"경유 "&amp;TEXT(IF($O449="",1/0,$O449*$B$6),"#,##0")&amp;"원",""),""))</f>
        <v/>
      </c>
      <c r="Q449" s="17" t="str">
        <f aca="false">IF($B$10=0,"",IFERROR(IF($B$4&gt;0,IF($M449="",1/0,$M449*$B$4),0)+IF($B$5&gt;0,IF($N449="",1/0,$N449*$B$5),0)+IF($B$6&gt;0,IF($O449="",1/0,$O449*$B$6),0),""))</f>
        <v/>
      </c>
      <c r="R449" s="17" t="s">
        <v>47</v>
      </c>
      <c r="S449" s="18" t="str">
        <f aca="false">IF($Q449="","",IF($R449="Y",IFERROR(VLOOKUP($B449,$C$4:$D$13,2,FALSE()),0),0))</f>
        <v/>
      </c>
      <c r="T449" s="17" t="str">
        <f aca="false">IF($Q449="","",ROUNDDOWN($Q449*$S449,0))</f>
        <v/>
      </c>
      <c r="U449" s="17" t="str">
        <f aca="false">IF($Q449="","",$Q449-$T449)</f>
        <v/>
      </c>
      <c r="V449" s="17" t="str">
        <f aca="false">IF($U449="","",IF($B$10=0,"",$U449/$B$10))</f>
        <v/>
      </c>
      <c r="W449" s="17" t="str">
        <f aca="false">IF($Q449="","",IF($B$10=0,"",$Q449/$B$10))</f>
        <v/>
      </c>
      <c r="X449" s="19" t="n">
        <f aca="false">IF($U449="",1000000000000000,$U449)</f>
        <v>1000000000000000</v>
      </c>
      <c r="XFC449" s="6"/>
    </row>
    <row r="450" s="5" customFormat="true" ht="28.5" hidden="false" customHeight="true" outlineLevel="0" collapsed="false">
      <c r="A450" s="16" t="str">
        <f aca="false">IF($U450="","",1+COUNTIF($X$15:$X$728,"&lt;"&amp;X450))</f>
        <v/>
      </c>
      <c r="B450" s="16" t="s">
        <v>8</v>
      </c>
      <c r="C450" s="16" t="s">
        <v>1345</v>
      </c>
      <c r="D450" s="16" t="s">
        <v>112</v>
      </c>
      <c r="E450" s="16" t="s">
        <v>47</v>
      </c>
      <c r="F450" s="16" t="s">
        <v>1346</v>
      </c>
      <c r="G450" s="16" t="s">
        <v>1347</v>
      </c>
      <c r="H450" s="17" t="n">
        <v>1959</v>
      </c>
      <c r="I450" s="17"/>
      <c r="J450" s="17"/>
      <c r="K450" s="17" t="n">
        <v>1989</v>
      </c>
      <c r="L450" s="17" t="n">
        <f aca="false">IF(AND(IFERROR(SEARCH("현대오일뱅크",$C450),0)&gt;0,IFERROR(SEARCH("직영",$C450),0)&gt;0),$B$13,0)</f>
        <v>0</v>
      </c>
      <c r="M450" s="17" t="n">
        <f aca="false">IF($H450="","",$H450+$L450)</f>
        <v>1959</v>
      </c>
      <c r="N450" s="17" t="str">
        <f aca="false">IF($I450="","",$I450+$L450)</f>
        <v/>
      </c>
      <c r="O450" s="17" t="n">
        <f aca="false">IF($K450="","",$K450+$L450)</f>
        <v>1989</v>
      </c>
      <c r="P450" s="17" t="str">
        <f aca="false">IF($B$10=0,"",IFERROR(IF($B$4&gt;0,"휘발유 "&amp;TEXT(IF($M450="",1/0,$M450*$B$4),"#,##0")&amp;"원","")&amp;IF($B$5&gt;0,IF($B$4&gt;0," / ","")&amp;"고급유 "&amp;TEXT(IF($N450="",1/0,$N450*$B$5),"#,##0")&amp;"원","")&amp;IF($B$6&gt;0,IF(OR($B$4&gt;0,$B$5&gt;0)," / ","")&amp;"경유 "&amp;TEXT(IF($O450="",1/0,$O450*$B$6),"#,##0")&amp;"원",""),""))</f>
        <v/>
      </c>
      <c r="Q450" s="17" t="str">
        <f aca="false">IF($B$10=0,"",IFERROR(IF($B$4&gt;0,IF($M450="",1/0,$M450*$B$4),0)+IF($B$5&gt;0,IF($N450="",1/0,$N450*$B$5),0)+IF($B$6&gt;0,IF($O450="",1/0,$O450*$B$6),0),""))</f>
        <v/>
      </c>
      <c r="R450" s="17" t="s">
        <v>47</v>
      </c>
      <c r="S450" s="18" t="str">
        <f aca="false">IF($Q450="","",IF($R450="Y",IFERROR(VLOOKUP($B450,$C$4:$D$13,2,FALSE()),0),0))</f>
        <v/>
      </c>
      <c r="T450" s="17" t="str">
        <f aca="false">IF($Q450="","",ROUNDDOWN($Q450*$S450,0))</f>
        <v/>
      </c>
      <c r="U450" s="17" t="str">
        <f aca="false">IF($Q450="","",$Q450-$T450)</f>
        <v/>
      </c>
      <c r="V450" s="17" t="str">
        <f aca="false">IF($U450="","",IF($B$10=0,"",$U450/$B$10))</f>
        <v/>
      </c>
      <c r="W450" s="17" t="str">
        <f aca="false">IF($Q450="","",IF($B$10=0,"",$Q450/$B$10))</f>
        <v/>
      </c>
      <c r="X450" s="19" t="n">
        <f aca="false">IF($U450="",1000000000000000,$U450)</f>
        <v>1000000000000000</v>
      </c>
      <c r="XFC450" s="6"/>
    </row>
    <row r="451" s="5" customFormat="true" ht="28.5" hidden="false" customHeight="true" outlineLevel="0" collapsed="false">
      <c r="A451" s="16" t="str">
        <f aca="false">IF($U451="","",1+COUNTIF($X$15:$X$728,"&lt;"&amp;X451))</f>
        <v/>
      </c>
      <c r="B451" s="16" t="s">
        <v>12</v>
      </c>
      <c r="C451" s="16" t="s">
        <v>1348</v>
      </c>
      <c r="D451" s="20" t="s">
        <v>112</v>
      </c>
      <c r="E451" s="16" t="s">
        <v>59</v>
      </c>
      <c r="F451" s="16" t="s">
        <v>1349</v>
      </c>
      <c r="G451" s="16" t="s">
        <v>1350</v>
      </c>
      <c r="H451" s="17" t="n">
        <v>1959</v>
      </c>
      <c r="I451" s="17"/>
      <c r="J451" s="17"/>
      <c r="K451" s="17" t="n">
        <v>2468</v>
      </c>
      <c r="L451" s="17" t="n">
        <f aca="false">IF(AND(IFERROR(SEARCH("현대오일뱅크",$C451),0)&gt;0,IFERROR(SEARCH("직영",$C451),0)&gt;0),$B$13,0)</f>
        <v>0</v>
      </c>
      <c r="M451" s="17" t="n">
        <f aca="false">IF($H451="","",$H451+$L451)</f>
        <v>1959</v>
      </c>
      <c r="N451" s="17" t="str">
        <f aca="false">IF($I451="","",$I451+$L451)</f>
        <v/>
      </c>
      <c r="O451" s="17" t="n">
        <f aca="false">IF($K451="","",$K451+$L451)</f>
        <v>2468</v>
      </c>
      <c r="P451" s="17" t="str">
        <f aca="false">IF($B$10=0,"",IFERROR(IF($B$4&gt;0,"휘발유 "&amp;TEXT(IF($M451="",1/0,$M451*$B$4),"#,##0")&amp;"원","")&amp;IF($B$5&gt;0,IF($B$4&gt;0," / ","")&amp;"고급유 "&amp;TEXT(IF($N451="",1/0,$N451*$B$5),"#,##0")&amp;"원","")&amp;IF($B$6&gt;0,IF(OR($B$4&gt;0,$B$5&gt;0)," / ","")&amp;"경유 "&amp;TEXT(IF($O451="",1/0,$O451*$B$6),"#,##0")&amp;"원",""),""))</f>
        <v/>
      </c>
      <c r="Q451" s="17" t="str">
        <f aca="false">IF($B$10=0,"",IFERROR(IF($B$4&gt;0,IF($M451="",1/0,$M451*$B$4),0)+IF($B$5&gt;0,IF($N451="",1/0,$N451*$B$5),0)+IF($B$6&gt;0,IF($O451="",1/0,$O451*$B$6),0),""))</f>
        <v/>
      </c>
      <c r="R451" s="17" t="s">
        <v>47</v>
      </c>
      <c r="S451" s="18" t="str">
        <f aca="false">IF($Q451="","",IF($R451="Y",IFERROR(VLOOKUP($B451,$C$4:$D$13,2,FALSE()),0),0))</f>
        <v/>
      </c>
      <c r="T451" s="17" t="str">
        <f aca="false">IF($Q451="","",ROUNDDOWN($Q451*$S451,0))</f>
        <v/>
      </c>
      <c r="U451" s="17" t="str">
        <f aca="false">IF($Q451="","",$Q451-$T451)</f>
        <v/>
      </c>
      <c r="V451" s="17" t="str">
        <f aca="false">IF($U451="","",IF($B$10=0,"",$U451/$B$10))</f>
        <v/>
      </c>
      <c r="W451" s="17" t="str">
        <f aca="false">IF($Q451="","",IF($B$10=0,"",$Q451/$B$10))</f>
        <v/>
      </c>
      <c r="X451" s="19" t="n">
        <f aca="false">IF($U451="",1000000000000000,$U451)</f>
        <v>1000000000000000</v>
      </c>
      <c r="XFC451" s="6"/>
    </row>
    <row r="452" s="5" customFormat="true" ht="28.5" hidden="false" customHeight="true" outlineLevel="0" collapsed="false">
      <c r="A452" s="16" t="str">
        <f aca="false">IF($U452="","",1+COUNTIF($X$15:$X$728,"&lt;"&amp;X452))</f>
        <v/>
      </c>
      <c r="B452" s="16" t="s">
        <v>6</v>
      </c>
      <c r="C452" s="16" t="s">
        <v>1351</v>
      </c>
      <c r="D452" s="16" t="s">
        <v>708</v>
      </c>
      <c r="E452" s="16" t="s">
        <v>47</v>
      </c>
      <c r="F452" s="16" t="s">
        <v>1352</v>
      </c>
      <c r="G452" s="16" t="s">
        <v>1353</v>
      </c>
      <c r="H452" s="17" t="n">
        <v>1959</v>
      </c>
      <c r="I452" s="17"/>
      <c r="J452" s="17"/>
      <c r="K452" s="17" t="n">
        <v>1999</v>
      </c>
      <c r="L452" s="17" t="n">
        <f aca="false">IF(AND(IFERROR(SEARCH("현대오일뱅크",$C452),0)&gt;0,IFERROR(SEARCH("직영",$C452),0)&gt;0),$B$13,0)</f>
        <v>0</v>
      </c>
      <c r="M452" s="17" t="n">
        <f aca="false">IF($H452="","",$H452+$L452)</f>
        <v>1959</v>
      </c>
      <c r="N452" s="17" t="str">
        <f aca="false">IF($I452="","",$I452+$L452)</f>
        <v/>
      </c>
      <c r="O452" s="17" t="n">
        <f aca="false">IF($K452="","",$K452+$L452)</f>
        <v>1999</v>
      </c>
      <c r="P452" s="17" t="str">
        <f aca="false">IF($B$10=0,"",IFERROR(IF($B$4&gt;0,"휘발유 "&amp;TEXT(IF($M452="",1/0,$M452*$B$4),"#,##0")&amp;"원","")&amp;IF($B$5&gt;0,IF($B$4&gt;0," / ","")&amp;"고급유 "&amp;TEXT(IF($N452="",1/0,$N452*$B$5),"#,##0")&amp;"원","")&amp;IF($B$6&gt;0,IF(OR($B$4&gt;0,$B$5&gt;0)," / ","")&amp;"경유 "&amp;TEXT(IF($O452="",1/0,$O452*$B$6),"#,##0")&amp;"원",""),""))</f>
        <v/>
      </c>
      <c r="Q452" s="17" t="str">
        <f aca="false">IF($B$10=0,"",IFERROR(IF($B$4&gt;0,IF($M452="",1/0,$M452*$B$4),0)+IF($B$5&gt;0,IF($N452="",1/0,$N452*$B$5),0)+IF($B$6&gt;0,IF($O452="",1/0,$O452*$B$6),0),""))</f>
        <v/>
      </c>
      <c r="R452" s="17" t="s">
        <v>47</v>
      </c>
      <c r="S452" s="18" t="str">
        <f aca="false">IF($Q452="","",IF($R452="Y",IFERROR(VLOOKUP($B452,$C$4:$D$13,2,FALSE()),0),0))</f>
        <v/>
      </c>
      <c r="T452" s="17" t="str">
        <f aca="false">IF($Q452="","",ROUNDDOWN($Q452*$S452,0))</f>
        <v/>
      </c>
      <c r="U452" s="17" t="str">
        <f aca="false">IF($Q452="","",$Q452-$T452)</f>
        <v/>
      </c>
      <c r="V452" s="17" t="str">
        <f aca="false">IF($U452="","",IF($B$10=0,"",$U452/$B$10))</f>
        <v/>
      </c>
      <c r="W452" s="17" t="str">
        <f aca="false">IF($Q452="","",IF($B$10=0,"",$Q452/$B$10))</f>
        <v/>
      </c>
      <c r="X452" s="19" t="n">
        <f aca="false">IF($U452="",1000000000000000,$U452)</f>
        <v>1000000000000000</v>
      </c>
      <c r="XFC452" s="6"/>
    </row>
    <row r="453" s="5" customFormat="true" ht="28.5" hidden="false" customHeight="true" outlineLevel="0" collapsed="false">
      <c r="A453" s="16" t="str">
        <f aca="false">IF($U453="","",1+COUNTIF($X$15:$X$728,"&lt;"&amp;X453))</f>
        <v/>
      </c>
      <c r="B453" s="16" t="s">
        <v>10</v>
      </c>
      <c r="C453" s="16" t="s">
        <v>1354</v>
      </c>
      <c r="D453" s="16" t="s">
        <v>112</v>
      </c>
      <c r="E453" s="16" t="s">
        <v>59</v>
      </c>
      <c r="F453" s="16" t="s">
        <v>1355</v>
      </c>
      <c r="G453" s="16" t="s">
        <v>1356</v>
      </c>
      <c r="H453" s="17" t="n">
        <v>1959</v>
      </c>
      <c r="I453" s="17"/>
      <c r="J453" s="17"/>
      <c r="K453" s="17" t="n">
        <v>1979</v>
      </c>
      <c r="L453" s="17" t="n">
        <f aca="false">IF(AND(IFERROR(SEARCH("현대오일뱅크",$C453),0)&gt;0,IFERROR(SEARCH("직영",$C453),0)&gt;0),$B$13,0)</f>
        <v>0</v>
      </c>
      <c r="M453" s="17" t="n">
        <f aca="false">IF($H453="","",$H453+$L453)</f>
        <v>1959</v>
      </c>
      <c r="N453" s="17" t="str">
        <f aca="false">IF($I453="","",$I453+$L453)</f>
        <v/>
      </c>
      <c r="O453" s="17" t="n">
        <f aca="false">IF($K453="","",$K453+$L453)</f>
        <v>1979</v>
      </c>
      <c r="P453" s="17" t="str">
        <f aca="false">IF($B$10=0,"",IFERROR(IF($B$4&gt;0,"휘발유 "&amp;TEXT(IF($M453="",1/0,$M453*$B$4),"#,##0")&amp;"원","")&amp;IF($B$5&gt;0,IF($B$4&gt;0," / ","")&amp;"고급유 "&amp;TEXT(IF($N453="",1/0,$N453*$B$5),"#,##0")&amp;"원","")&amp;IF($B$6&gt;0,IF(OR($B$4&gt;0,$B$5&gt;0)," / ","")&amp;"경유 "&amp;TEXT(IF($O453="",1/0,$O453*$B$6),"#,##0")&amp;"원",""),""))</f>
        <v/>
      </c>
      <c r="Q453" s="17" t="str">
        <f aca="false">IF($B$10=0,"",IFERROR(IF($B$4&gt;0,IF($M453="",1/0,$M453*$B$4),0)+IF($B$5&gt;0,IF($N453="",1/0,$N453*$B$5),0)+IF($B$6&gt;0,IF($O453="",1/0,$O453*$B$6),0),""))</f>
        <v/>
      </c>
      <c r="R453" s="17" t="s">
        <v>47</v>
      </c>
      <c r="S453" s="18" t="str">
        <f aca="false">IF($Q453="","",IF($R453="Y",IFERROR(VLOOKUP($B453,$C$4:$D$13,2,FALSE()),0),0))</f>
        <v/>
      </c>
      <c r="T453" s="17" t="str">
        <f aca="false">IF($Q453="","",ROUNDDOWN($Q453*$S453,0))</f>
        <v/>
      </c>
      <c r="U453" s="17" t="str">
        <f aca="false">IF($Q453="","",$Q453-$T453)</f>
        <v/>
      </c>
      <c r="V453" s="17" t="str">
        <f aca="false">IF($U453="","",IF($B$10=0,"",$U453/$B$10))</f>
        <v/>
      </c>
      <c r="W453" s="17" t="str">
        <f aca="false">IF($Q453="","",IF($B$10=0,"",$Q453/$B$10))</f>
        <v/>
      </c>
      <c r="X453" s="19" t="n">
        <f aca="false">IF($U453="",1000000000000000,$U453)</f>
        <v>1000000000000000</v>
      </c>
      <c r="XFC453" s="6"/>
    </row>
    <row r="454" s="5" customFormat="true" ht="28.5" hidden="false" customHeight="true" outlineLevel="0" collapsed="false">
      <c r="A454" s="16" t="str">
        <f aca="false">IF($U454="","",1+COUNTIF($X$15:$X$728,"&lt;"&amp;X454))</f>
        <v/>
      </c>
      <c r="B454" s="16" t="s">
        <v>12</v>
      </c>
      <c r="C454" s="16" t="s">
        <v>1357</v>
      </c>
      <c r="D454" s="20" t="s">
        <v>294</v>
      </c>
      <c r="E454" s="16" t="s">
        <v>47</v>
      </c>
      <c r="F454" s="16" t="s">
        <v>1358</v>
      </c>
      <c r="G454" s="16" t="s">
        <v>1359</v>
      </c>
      <c r="H454" s="17" t="n">
        <v>1959</v>
      </c>
      <c r="I454" s="17"/>
      <c r="J454" s="17"/>
      <c r="K454" s="17" t="n">
        <v>1949</v>
      </c>
      <c r="L454" s="17" t="n">
        <f aca="false">IF(AND(IFERROR(SEARCH("현대오일뱅크",$C454),0)&gt;0,IFERROR(SEARCH("직영",$C454),0)&gt;0),$B$13,0)</f>
        <v>0</v>
      </c>
      <c r="M454" s="17" t="n">
        <f aca="false">IF($H454="","",$H454+$L454)</f>
        <v>1959</v>
      </c>
      <c r="N454" s="17" t="str">
        <f aca="false">IF($I454="","",$I454+$L454)</f>
        <v/>
      </c>
      <c r="O454" s="17" t="n">
        <f aca="false">IF($K454="","",$K454+$L454)</f>
        <v>1949</v>
      </c>
      <c r="P454" s="17" t="str">
        <f aca="false">IF($B$10=0,"",IFERROR(IF($B$4&gt;0,"휘발유 "&amp;TEXT(IF($M454="",1/0,$M454*$B$4),"#,##0")&amp;"원","")&amp;IF($B$5&gt;0,IF($B$4&gt;0," / ","")&amp;"고급유 "&amp;TEXT(IF($N454="",1/0,$N454*$B$5),"#,##0")&amp;"원","")&amp;IF($B$6&gt;0,IF(OR($B$4&gt;0,$B$5&gt;0)," / ","")&amp;"경유 "&amp;TEXT(IF($O454="",1/0,$O454*$B$6),"#,##0")&amp;"원",""),""))</f>
        <v/>
      </c>
      <c r="Q454" s="17" t="str">
        <f aca="false">IF($B$10=0,"",IFERROR(IF($B$4&gt;0,IF($M454="",1/0,$M454*$B$4),0)+IF($B$5&gt;0,IF($N454="",1/0,$N454*$B$5),0)+IF($B$6&gt;0,IF($O454="",1/0,$O454*$B$6),0),""))</f>
        <v/>
      </c>
      <c r="R454" s="17" t="s">
        <v>47</v>
      </c>
      <c r="S454" s="18" t="str">
        <f aca="false">IF($Q454="","",IF($R454="Y",IFERROR(VLOOKUP($B454,$C$4:$D$13,2,FALSE()),0),0))</f>
        <v/>
      </c>
      <c r="T454" s="17" t="str">
        <f aca="false">IF($Q454="","",ROUNDDOWN($Q454*$S454,0))</f>
        <v/>
      </c>
      <c r="U454" s="17" t="str">
        <f aca="false">IF($Q454="","",$Q454-$T454)</f>
        <v/>
      </c>
      <c r="V454" s="17" t="str">
        <f aca="false">IF($U454="","",IF($B$10=0,"",$U454/$B$10))</f>
        <v/>
      </c>
      <c r="W454" s="17" t="str">
        <f aca="false">IF($Q454="","",IF($B$10=0,"",$Q454/$B$10))</f>
        <v/>
      </c>
      <c r="X454" s="19" t="n">
        <f aca="false">IF($U454="",1000000000000000,$U454)</f>
        <v>1000000000000000</v>
      </c>
      <c r="XFC454" s="6"/>
    </row>
    <row r="455" s="5" customFormat="true" ht="28.5" hidden="false" customHeight="true" outlineLevel="0" collapsed="false">
      <c r="A455" s="16" t="str">
        <f aca="false">IF($U455="","",1+COUNTIF($X$15:$X$728,"&lt;"&amp;X455))</f>
        <v/>
      </c>
      <c r="B455" s="16" t="s">
        <v>10</v>
      </c>
      <c r="C455" s="16" t="s">
        <v>1360</v>
      </c>
      <c r="D455" s="20" t="s">
        <v>108</v>
      </c>
      <c r="E455" s="16" t="s">
        <v>59</v>
      </c>
      <c r="F455" s="16" t="s">
        <v>1361</v>
      </c>
      <c r="G455" s="16" t="s">
        <v>1362</v>
      </c>
      <c r="H455" s="17" t="n">
        <v>1959</v>
      </c>
      <c r="I455" s="17"/>
      <c r="J455" s="17"/>
      <c r="K455" s="17" t="n">
        <v>1959</v>
      </c>
      <c r="L455" s="17" t="n">
        <f aca="false">IF(AND(IFERROR(SEARCH("현대오일뱅크",$C455),0)&gt;0,IFERROR(SEARCH("직영",$C455),0)&gt;0),$B$13,0)</f>
        <v>0</v>
      </c>
      <c r="M455" s="17" t="n">
        <f aca="false">IF($H455="","",$H455+$L455)</f>
        <v>1959</v>
      </c>
      <c r="N455" s="17" t="str">
        <f aca="false">IF($I455="","",$I455+$L455)</f>
        <v/>
      </c>
      <c r="O455" s="17" t="n">
        <f aca="false">IF($K455="","",$K455+$L455)</f>
        <v>1959</v>
      </c>
      <c r="P455" s="17" t="str">
        <f aca="false">IF($B$10=0,"",IFERROR(IF($B$4&gt;0,"휘발유 "&amp;TEXT(IF($M455="",1/0,$M455*$B$4),"#,##0")&amp;"원","")&amp;IF($B$5&gt;0,IF($B$4&gt;0," / ","")&amp;"고급유 "&amp;TEXT(IF($N455="",1/0,$N455*$B$5),"#,##0")&amp;"원","")&amp;IF($B$6&gt;0,IF(OR($B$4&gt;0,$B$5&gt;0)," / ","")&amp;"경유 "&amp;TEXT(IF($O455="",1/0,$O455*$B$6),"#,##0")&amp;"원",""),""))</f>
        <v/>
      </c>
      <c r="Q455" s="17" t="str">
        <f aca="false">IF($B$10=0,"",IFERROR(IF($B$4&gt;0,IF($M455="",1/0,$M455*$B$4),0)+IF($B$5&gt;0,IF($N455="",1/0,$N455*$B$5),0)+IF($B$6&gt;0,IF($O455="",1/0,$O455*$B$6),0),""))</f>
        <v/>
      </c>
      <c r="R455" s="17" t="s">
        <v>47</v>
      </c>
      <c r="S455" s="18" t="str">
        <f aca="false">IF($Q455="","",IF($R455="Y",IFERROR(VLOOKUP($B455,$C$4:$D$13,2,FALSE()),0),0))</f>
        <v/>
      </c>
      <c r="T455" s="17" t="str">
        <f aca="false">IF($Q455="","",ROUNDDOWN($Q455*$S455,0))</f>
        <v/>
      </c>
      <c r="U455" s="17" t="str">
        <f aca="false">IF($Q455="","",$Q455-$T455)</f>
        <v/>
      </c>
      <c r="V455" s="17" t="str">
        <f aca="false">IF($U455="","",IF($B$10=0,"",$U455/$B$10))</f>
        <v/>
      </c>
      <c r="W455" s="17" t="str">
        <f aca="false">IF($Q455="","",IF($B$10=0,"",$Q455/$B$10))</f>
        <v/>
      </c>
      <c r="X455" s="19" t="n">
        <f aca="false">IF($U455="",1000000000000000,$U455)</f>
        <v>1000000000000000</v>
      </c>
      <c r="XFC455" s="6"/>
    </row>
    <row r="456" s="5" customFormat="true" ht="28.5" hidden="false" customHeight="true" outlineLevel="0" collapsed="false">
      <c r="A456" s="16" t="str">
        <f aca="false">IF($U456="","",1+COUNTIF($X$15:$X$728,"&lt;"&amp;X456))</f>
        <v/>
      </c>
      <c r="B456" s="16" t="s">
        <v>12</v>
      </c>
      <c r="C456" s="16" t="s">
        <v>1363</v>
      </c>
      <c r="D456" s="20" t="s">
        <v>108</v>
      </c>
      <c r="E456" s="16" t="s">
        <v>47</v>
      </c>
      <c r="F456" s="16" t="s">
        <v>1364</v>
      </c>
      <c r="G456" s="16" t="s">
        <v>1365</v>
      </c>
      <c r="H456" s="17" t="n">
        <v>1959</v>
      </c>
      <c r="I456" s="17"/>
      <c r="J456" s="17"/>
      <c r="K456" s="17" t="n">
        <v>1989</v>
      </c>
      <c r="L456" s="17" t="n">
        <f aca="false">IF(AND(IFERROR(SEARCH("현대오일뱅크",$C456),0)&gt;0,IFERROR(SEARCH("직영",$C456),0)&gt;0),$B$13,0)</f>
        <v>0</v>
      </c>
      <c r="M456" s="17" t="n">
        <f aca="false">IF($H456="","",$H456+$L456)</f>
        <v>1959</v>
      </c>
      <c r="N456" s="17" t="str">
        <f aca="false">IF($I456="","",$I456+$L456)</f>
        <v/>
      </c>
      <c r="O456" s="17" t="n">
        <f aca="false">IF($K456="","",$K456+$L456)</f>
        <v>1989</v>
      </c>
      <c r="P456" s="17" t="str">
        <f aca="false">IF($B$10=0,"",IFERROR(IF($B$4&gt;0,"휘발유 "&amp;TEXT(IF($M456="",1/0,$M456*$B$4),"#,##0")&amp;"원","")&amp;IF($B$5&gt;0,IF($B$4&gt;0," / ","")&amp;"고급유 "&amp;TEXT(IF($N456="",1/0,$N456*$B$5),"#,##0")&amp;"원","")&amp;IF($B$6&gt;0,IF(OR($B$4&gt;0,$B$5&gt;0)," / ","")&amp;"경유 "&amp;TEXT(IF($O456="",1/0,$O456*$B$6),"#,##0")&amp;"원",""),""))</f>
        <v/>
      </c>
      <c r="Q456" s="17" t="str">
        <f aca="false">IF($B$10=0,"",IFERROR(IF($B$4&gt;0,IF($M456="",1/0,$M456*$B$4),0)+IF($B$5&gt;0,IF($N456="",1/0,$N456*$B$5),0)+IF($B$6&gt;0,IF($O456="",1/0,$O456*$B$6),0),""))</f>
        <v/>
      </c>
      <c r="R456" s="17" t="s">
        <v>47</v>
      </c>
      <c r="S456" s="18" t="str">
        <f aca="false">IF($Q456="","",IF($R456="Y",IFERROR(VLOOKUP($B456,$C$4:$D$13,2,FALSE()),0),0))</f>
        <v/>
      </c>
      <c r="T456" s="17" t="str">
        <f aca="false">IF($Q456="","",ROUNDDOWN($Q456*$S456,0))</f>
        <v/>
      </c>
      <c r="U456" s="17" t="str">
        <f aca="false">IF($Q456="","",$Q456-$T456)</f>
        <v/>
      </c>
      <c r="V456" s="17" t="str">
        <f aca="false">IF($U456="","",IF($B$10=0,"",$U456/$B$10))</f>
        <v/>
      </c>
      <c r="W456" s="17" t="str">
        <f aca="false">IF($Q456="","",IF($B$10=0,"",$Q456/$B$10))</f>
        <v/>
      </c>
      <c r="X456" s="19" t="n">
        <f aca="false">IF($U456="",1000000000000000,$U456)</f>
        <v>1000000000000000</v>
      </c>
      <c r="XFC456" s="6"/>
    </row>
    <row r="457" s="5" customFormat="true" ht="28.5" hidden="false" customHeight="true" outlineLevel="0" collapsed="false">
      <c r="A457" s="16" t="str">
        <f aca="false">IF($U457="","",1+COUNTIF($X$15:$X$728,"&lt;"&amp;X457))</f>
        <v/>
      </c>
      <c r="B457" s="16" t="s">
        <v>8</v>
      </c>
      <c r="C457" s="16" t="s">
        <v>1366</v>
      </c>
      <c r="D457" s="16" t="s">
        <v>58</v>
      </c>
      <c r="E457" s="16" t="s">
        <v>59</v>
      </c>
      <c r="F457" s="16" t="s">
        <v>1367</v>
      </c>
      <c r="G457" s="16" t="s">
        <v>1368</v>
      </c>
      <c r="H457" s="17" t="n">
        <v>1959</v>
      </c>
      <c r="I457" s="17"/>
      <c r="J457" s="17"/>
      <c r="K457" s="17" t="n">
        <v>1999</v>
      </c>
      <c r="L457" s="17" t="n">
        <f aca="false">IF(AND(IFERROR(SEARCH("현대오일뱅크",$C457),0)&gt;0,IFERROR(SEARCH("직영",$C457),0)&gt;0),$B$13,0)</f>
        <v>0</v>
      </c>
      <c r="M457" s="17" t="n">
        <f aca="false">IF($H457="","",$H457+$L457)</f>
        <v>1959</v>
      </c>
      <c r="N457" s="17" t="str">
        <f aca="false">IF($I457="","",$I457+$L457)</f>
        <v/>
      </c>
      <c r="O457" s="17" t="n">
        <f aca="false">IF($K457="","",$K457+$L457)</f>
        <v>1999</v>
      </c>
      <c r="P457" s="17" t="str">
        <f aca="false">IF($B$10=0,"",IFERROR(IF($B$4&gt;0,"휘발유 "&amp;TEXT(IF($M457="",1/0,$M457*$B$4),"#,##0")&amp;"원","")&amp;IF($B$5&gt;0,IF($B$4&gt;0," / ","")&amp;"고급유 "&amp;TEXT(IF($N457="",1/0,$N457*$B$5),"#,##0")&amp;"원","")&amp;IF($B$6&gt;0,IF(OR($B$4&gt;0,$B$5&gt;0)," / ","")&amp;"경유 "&amp;TEXT(IF($O457="",1/0,$O457*$B$6),"#,##0")&amp;"원",""),""))</f>
        <v/>
      </c>
      <c r="Q457" s="17" t="str">
        <f aca="false">IF($B$10=0,"",IFERROR(IF($B$4&gt;0,IF($M457="",1/0,$M457*$B$4),0)+IF($B$5&gt;0,IF($N457="",1/0,$N457*$B$5),0)+IF($B$6&gt;0,IF($O457="",1/0,$O457*$B$6),0),""))</f>
        <v/>
      </c>
      <c r="R457" s="17" t="s">
        <v>47</v>
      </c>
      <c r="S457" s="18" t="str">
        <f aca="false">IF($Q457="","",IF($R457="Y",IFERROR(VLOOKUP($B457,$C$4:$D$13,2,FALSE()),0),0))</f>
        <v/>
      </c>
      <c r="T457" s="17" t="str">
        <f aca="false">IF($Q457="","",ROUNDDOWN($Q457*$S457,0))</f>
        <v/>
      </c>
      <c r="U457" s="17" t="str">
        <f aca="false">IF($Q457="","",$Q457-$T457)</f>
        <v/>
      </c>
      <c r="V457" s="17" t="str">
        <f aca="false">IF($U457="","",IF($B$10=0,"",$U457/$B$10))</f>
        <v/>
      </c>
      <c r="W457" s="17" t="str">
        <f aca="false">IF($Q457="","",IF($B$10=0,"",$Q457/$B$10))</f>
        <v/>
      </c>
      <c r="X457" s="19" t="n">
        <f aca="false">IF($U457="",1000000000000000,$U457)</f>
        <v>1000000000000000</v>
      </c>
      <c r="XFC457" s="6"/>
    </row>
    <row r="458" s="5" customFormat="true" ht="28.5" hidden="false" customHeight="true" outlineLevel="0" collapsed="false">
      <c r="A458" s="16" t="str">
        <f aca="false">IF($U458="","",1+COUNTIF($X$15:$X$728,"&lt;"&amp;X458))</f>
        <v/>
      </c>
      <c r="B458" s="16" t="s">
        <v>10</v>
      </c>
      <c r="C458" s="16" t="s">
        <v>1369</v>
      </c>
      <c r="D458" s="16" t="s">
        <v>51</v>
      </c>
      <c r="E458" s="16" t="s">
        <v>59</v>
      </c>
      <c r="F458" s="16" t="s">
        <v>1370</v>
      </c>
      <c r="G458" s="16" t="s">
        <v>1371</v>
      </c>
      <c r="H458" s="17" t="n">
        <v>1959</v>
      </c>
      <c r="I458" s="17"/>
      <c r="J458" s="17"/>
      <c r="K458" s="17" t="n">
        <v>1959</v>
      </c>
      <c r="L458" s="17" t="n">
        <f aca="false">IF(AND(IFERROR(SEARCH("현대오일뱅크",$C458),0)&gt;0,IFERROR(SEARCH("직영",$C458),0)&gt;0),$B$13,0)</f>
        <v>0</v>
      </c>
      <c r="M458" s="17" t="n">
        <f aca="false">IF($H458="","",$H458+$L458)</f>
        <v>1959</v>
      </c>
      <c r="N458" s="17" t="str">
        <f aca="false">IF($I458="","",$I458+$L458)</f>
        <v/>
      </c>
      <c r="O458" s="17" t="n">
        <f aca="false">IF($K458="","",$K458+$L458)</f>
        <v>1959</v>
      </c>
      <c r="P458" s="17" t="str">
        <f aca="false">IF($B$10=0,"",IFERROR(IF($B$4&gt;0,"휘발유 "&amp;TEXT(IF($M458="",1/0,$M458*$B$4),"#,##0")&amp;"원","")&amp;IF($B$5&gt;0,IF($B$4&gt;0," / ","")&amp;"고급유 "&amp;TEXT(IF($N458="",1/0,$N458*$B$5),"#,##0")&amp;"원","")&amp;IF($B$6&gt;0,IF(OR($B$4&gt;0,$B$5&gt;0)," / ","")&amp;"경유 "&amp;TEXT(IF($O458="",1/0,$O458*$B$6),"#,##0")&amp;"원",""),""))</f>
        <v/>
      </c>
      <c r="Q458" s="17" t="str">
        <f aca="false">IF($B$10=0,"",IFERROR(IF($B$4&gt;0,IF($M458="",1/0,$M458*$B$4),0)+IF($B$5&gt;0,IF($N458="",1/0,$N458*$B$5),0)+IF($B$6&gt;0,IF($O458="",1/0,$O458*$B$6),0),""))</f>
        <v/>
      </c>
      <c r="R458" s="17" t="s">
        <v>47</v>
      </c>
      <c r="S458" s="18" t="str">
        <f aca="false">IF($Q458="","",IF($R458="Y",IFERROR(VLOOKUP($B458,$C$4:$D$13,2,FALSE()),0),0))</f>
        <v/>
      </c>
      <c r="T458" s="17" t="str">
        <f aca="false">IF($Q458="","",ROUNDDOWN($Q458*$S458,0))</f>
        <v/>
      </c>
      <c r="U458" s="17" t="str">
        <f aca="false">IF($Q458="","",$Q458-$T458)</f>
        <v/>
      </c>
      <c r="V458" s="17" t="str">
        <f aca="false">IF($U458="","",IF($B$10=0,"",$U458/$B$10))</f>
        <v/>
      </c>
      <c r="W458" s="17" t="str">
        <f aca="false">IF($Q458="","",IF($B$10=0,"",$Q458/$B$10))</f>
        <v/>
      </c>
      <c r="X458" s="19" t="n">
        <f aca="false">IF($U458="",1000000000000000,$U458)</f>
        <v>1000000000000000</v>
      </c>
      <c r="XFC458" s="6"/>
    </row>
    <row r="459" s="5" customFormat="true" ht="28.5" hidden="false" customHeight="true" outlineLevel="0" collapsed="false">
      <c r="A459" s="16" t="str">
        <f aca="false">IF($U459="","",1+COUNTIF($X$15:$X$728,"&lt;"&amp;X459))</f>
        <v/>
      </c>
      <c r="B459" s="16" t="s">
        <v>8</v>
      </c>
      <c r="C459" s="16" t="s">
        <v>1372</v>
      </c>
      <c r="D459" s="16" t="s">
        <v>112</v>
      </c>
      <c r="E459" s="16" t="s">
        <v>47</v>
      </c>
      <c r="F459" s="16" t="s">
        <v>1373</v>
      </c>
      <c r="G459" s="16" t="s">
        <v>1374</v>
      </c>
      <c r="H459" s="17" t="n">
        <v>1959</v>
      </c>
      <c r="I459" s="17"/>
      <c r="J459" s="17"/>
      <c r="K459" s="17" t="n">
        <v>1979</v>
      </c>
      <c r="L459" s="17" t="n">
        <f aca="false">IF(AND(IFERROR(SEARCH("현대오일뱅크",$C459),0)&gt;0,IFERROR(SEARCH("직영",$C459),0)&gt;0),$B$13,0)</f>
        <v>0</v>
      </c>
      <c r="M459" s="17" t="n">
        <f aca="false">IF($H459="","",$H459+$L459)</f>
        <v>1959</v>
      </c>
      <c r="N459" s="17" t="str">
        <f aca="false">IF($I459="","",$I459+$L459)</f>
        <v/>
      </c>
      <c r="O459" s="17" t="n">
        <f aca="false">IF($K459="","",$K459+$L459)</f>
        <v>1979</v>
      </c>
      <c r="P459" s="17" t="str">
        <f aca="false">IF($B$10=0,"",IFERROR(IF($B$4&gt;0,"휘발유 "&amp;TEXT(IF($M459="",1/0,$M459*$B$4),"#,##0")&amp;"원","")&amp;IF($B$5&gt;0,IF($B$4&gt;0," / ","")&amp;"고급유 "&amp;TEXT(IF($N459="",1/0,$N459*$B$5),"#,##0")&amp;"원","")&amp;IF($B$6&gt;0,IF(OR($B$4&gt;0,$B$5&gt;0)," / ","")&amp;"경유 "&amp;TEXT(IF($O459="",1/0,$O459*$B$6),"#,##0")&amp;"원",""),""))</f>
        <v/>
      </c>
      <c r="Q459" s="17" t="str">
        <f aca="false">IF($B$10=0,"",IFERROR(IF($B$4&gt;0,IF($M459="",1/0,$M459*$B$4),0)+IF($B$5&gt;0,IF($N459="",1/0,$N459*$B$5),0)+IF($B$6&gt;0,IF($O459="",1/0,$O459*$B$6),0),""))</f>
        <v/>
      </c>
      <c r="R459" s="17" t="s">
        <v>47</v>
      </c>
      <c r="S459" s="18" t="str">
        <f aca="false">IF($Q459="","",IF($R459="Y",IFERROR(VLOOKUP($B459,$C$4:$D$13,2,FALSE()),0),0))</f>
        <v/>
      </c>
      <c r="T459" s="17" t="str">
        <f aca="false">IF($Q459="","",ROUNDDOWN($Q459*$S459,0))</f>
        <v/>
      </c>
      <c r="U459" s="17" t="str">
        <f aca="false">IF($Q459="","",$Q459-$T459)</f>
        <v/>
      </c>
      <c r="V459" s="17" t="str">
        <f aca="false">IF($U459="","",IF($B$10=0,"",$U459/$B$10))</f>
        <v/>
      </c>
      <c r="W459" s="17" t="str">
        <f aca="false">IF($Q459="","",IF($B$10=0,"",$Q459/$B$10))</f>
        <v/>
      </c>
      <c r="X459" s="19" t="n">
        <f aca="false">IF($U459="",1000000000000000,$U459)</f>
        <v>1000000000000000</v>
      </c>
      <c r="XFC459" s="6"/>
    </row>
    <row r="460" s="5" customFormat="true" ht="28.5" hidden="false" customHeight="true" outlineLevel="0" collapsed="false">
      <c r="A460" s="16" t="str">
        <f aca="false">IF($U460="","",1+COUNTIF($X$15:$X$728,"&lt;"&amp;X460))</f>
        <v/>
      </c>
      <c r="B460" s="16" t="s">
        <v>10</v>
      </c>
      <c r="C460" s="16" t="s">
        <v>1375</v>
      </c>
      <c r="D460" s="16" t="s">
        <v>58</v>
      </c>
      <c r="E460" s="16" t="s">
        <v>59</v>
      </c>
      <c r="F460" s="16" t="s">
        <v>1376</v>
      </c>
      <c r="G460" s="16" t="s">
        <v>1377</v>
      </c>
      <c r="H460" s="17" t="n">
        <v>1764</v>
      </c>
      <c r="I460" s="17"/>
      <c r="J460" s="17"/>
      <c r="K460" s="17" t="n">
        <v>1759</v>
      </c>
      <c r="L460" s="17" t="n">
        <v>0</v>
      </c>
      <c r="M460" s="17" t="n">
        <f aca="false">IF($H460="","",$H460+$L460)</f>
        <v>1764</v>
      </c>
      <c r="N460" s="17" t="str">
        <f aca="false">IF($I460="","",$I460+$L460)</f>
        <v/>
      </c>
      <c r="O460" s="17" t="n">
        <f aca="false">IF($K460="","",$K460+$L460)</f>
        <v>1759</v>
      </c>
      <c r="P460" s="17" t="str">
        <f aca="false">IF($B$10=0,"",IFERROR(IF($B$4&gt;0,"휘발유 "&amp;TEXT(IF($M460="",1/0,$M460*$B$4),"#,##0")&amp;"원","")&amp;IF($B$5&gt;0,IF($B$4&gt;0," / ","")&amp;"고급유 "&amp;TEXT(IF($N460="",1/0,$N460*$B$5),"#,##0")&amp;"원","")&amp;IF($B$6&gt;0,IF(OR($B$4&gt;0,$B$5&gt;0)," / ","")&amp;"경유 "&amp;TEXT(IF($O460="",1/0,$O460*$B$6),"#,##0")&amp;"원",""),""))</f>
        <v/>
      </c>
      <c r="Q460" s="17" t="str">
        <f aca="false">IF($B$10=0,"",IFERROR(IF($B$4&gt;0,IF($M460="",1/0,$M460*$B$4),0)+IF($B$5&gt;0,IF($N460="",1/0,$N460*$B$5),0)+IF($B$6&gt;0,IF($O460="",1/0,$O460*$B$6),0),""))</f>
        <v/>
      </c>
      <c r="R460" s="17"/>
      <c r="S460" s="18" t="str">
        <f aca="false">IF($Q460="","",IF($R460="Y",IFERROR(VLOOKUP($B460,$C$4:$D$13,2,FALSE()),0),0))</f>
        <v/>
      </c>
      <c r="T460" s="17" t="str">
        <f aca="false">IF($Q460="","",ROUNDDOWN($Q460*$S460,0))</f>
        <v/>
      </c>
      <c r="U460" s="17" t="str">
        <f aca="false">IF($Q460="","",$Q460-$T460)</f>
        <v/>
      </c>
      <c r="V460" s="17" t="str">
        <f aca="false">IF($U460="","",IF($B$10=0,"",$U460/$B$10))</f>
        <v/>
      </c>
      <c r="W460" s="17" t="str">
        <f aca="false">IF($Q460="","",IF($B$10=0,"",$Q460/$B$10))</f>
        <v/>
      </c>
      <c r="X460" s="19" t="n">
        <f aca="false">IF($U460="",1000000000000000,$U460)</f>
        <v>1000000000000000</v>
      </c>
      <c r="XFC460" s="6"/>
    </row>
    <row r="461" s="5" customFormat="true" ht="28.5" hidden="false" customHeight="true" outlineLevel="0" collapsed="false">
      <c r="A461" s="16" t="str">
        <f aca="false">IF($U461="","",1+COUNTIF($X$15:$X$728,"&lt;"&amp;X461))</f>
        <v/>
      </c>
      <c r="B461" s="16" t="s">
        <v>6</v>
      </c>
      <c r="C461" s="16" t="s">
        <v>1378</v>
      </c>
      <c r="D461" s="16" t="s">
        <v>112</v>
      </c>
      <c r="E461" s="16" t="s">
        <v>47</v>
      </c>
      <c r="F461" s="16" t="s">
        <v>1379</v>
      </c>
      <c r="G461" s="16" t="s">
        <v>1380</v>
      </c>
      <c r="H461" s="17" t="n">
        <v>1965</v>
      </c>
      <c r="I461" s="17"/>
      <c r="J461" s="17"/>
      <c r="K461" s="17" t="n">
        <v>2195</v>
      </c>
      <c r="L461" s="17" t="n">
        <f aca="false">IF(AND(IFERROR(SEARCH("현대오일뱅크",$C461),0)&gt;0,IFERROR(SEARCH("직영",$C461),0)&gt;0),$B$13,0)</f>
        <v>0</v>
      </c>
      <c r="M461" s="17" t="n">
        <f aca="false">IF($H461="","",$H461+$L461)</f>
        <v>1965</v>
      </c>
      <c r="N461" s="17" t="str">
        <f aca="false">IF($I461="","",$I461+$L461)</f>
        <v/>
      </c>
      <c r="O461" s="17" t="n">
        <f aca="false">IF($K461="","",$K461+$L461)</f>
        <v>2195</v>
      </c>
      <c r="P461" s="17" t="str">
        <f aca="false">IF($B$10=0,"",IFERROR(IF($B$4&gt;0,"휘발유 "&amp;TEXT(IF($M461="",1/0,$M461*$B$4),"#,##0")&amp;"원","")&amp;IF($B$5&gt;0,IF($B$4&gt;0," / ","")&amp;"고급유 "&amp;TEXT(IF($N461="",1/0,$N461*$B$5),"#,##0")&amp;"원","")&amp;IF($B$6&gt;0,IF(OR($B$4&gt;0,$B$5&gt;0)," / ","")&amp;"경유 "&amp;TEXT(IF($O461="",1/0,$O461*$B$6),"#,##0")&amp;"원",""),""))</f>
        <v/>
      </c>
      <c r="Q461" s="17" t="str">
        <f aca="false">IF($B$10=0,"",IFERROR(IF($B$4&gt;0,IF($M461="",1/0,$M461*$B$4),0)+IF($B$5&gt;0,IF($N461="",1/0,$N461*$B$5),0)+IF($B$6&gt;0,IF($O461="",1/0,$O461*$B$6),0),""))</f>
        <v/>
      </c>
      <c r="R461" s="17" t="s">
        <v>47</v>
      </c>
      <c r="S461" s="18" t="str">
        <f aca="false">IF($Q461="","",IF($R461="Y",IFERROR(VLOOKUP($B461,$C$4:$D$13,2,FALSE()),0),0))</f>
        <v/>
      </c>
      <c r="T461" s="17" t="str">
        <f aca="false">IF($Q461="","",ROUNDDOWN($Q461*$S461,0))</f>
        <v/>
      </c>
      <c r="U461" s="17" t="str">
        <f aca="false">IF($Q461="","",$Q461-$T461)</f>
        <v/>
      </c>
      <c r="V461" s="17" t="str">
        <f aca="false">IF($U461="","",IF($B$10=0,"",$U461/$B$10))</f>
        <v/>
      </c>
      <c r="W461" s="17" t="str">
        <f aca="false">IF($Q461="","",IF($B$10=0,"",$Q461/$B$10))</f>
        <v/>
      </c>
      <c r="X461" s="19" t="n">
        <f aca="false">IF($U461="",1000000000000000,$U461)</f>
        <v>1000000000000000</v>
      </c>
      <c r="XFC461" s="6"/>
    </row>
    <row r="462" s="5" customFormat="true" ht="28.5" hidden="false" customHeight="true" outlineLevel="0" collapsed="false">
      <c r="A462" s="16" t="str">
        <f aca="false">IF($U462="","",1+COUNTIF($X$15:$X$728,"&lt;"&amp;X462))</f>
        <v/>
      </c>
      <c r="B462" s="16" t="s">
        <v>6</v>
      </c>
      <c r="C462" s="16" t="s">
        <v>1381</v>
      </c>
      <c r="D462" s="16" t="s">
        <v>58</v>
      </c>
      <c r="E462" s="16" t="s">
        <v>47</v>
      </c>
      <c r="F462" s="16" t="s">
        <v>1382</v>
      </c>
      <c r="G462" s="16" t="s">
        <v>1383</v>
      </c>
      <c r="H462" s="17" t="n">
        <v>1965</v>
      </c>
      <c r="I462" s="17"/>
      <c r="J462" s="17"/>
      <c r="K462" s="17" t="n">
        <v>2195</v>
      </c>
      <c r="L462" s="17" t="n">
        <f aca="false">IF(AND(IFERROR(SEARCH("현대오일뱅크",$C462),0)&gt;0,IFERROR(SEARCH("직영",$C462),0)&gt;0),$B$13,0)</f>
        <v>0</v>
      </c>
      <c r="M462" s="17" t="n">
        <f aca="false">IF($H462="","",$H462+$L462)</f>
        <v>1965</v>
      </c>
      <c r="N462" s="17" t="str">
        <f aca="false">IF($I462="","",$I462+$L462)</f>
        <v/>
      </c>
      <c r="O462" s="17" t="n">
        <f aca="false">IF($K462="","",$K462+$L462)</f>
        <v>2195</v>
      </c>
      <c r="P462" s="17" t="str">
        <f aca="false">IF($B$10=0,"",IFERROR(IF($B$4&gt;0,"휘발유 "&amp;TEXT(IF($M462="",1/0,$M462*$B$4),"#,##0")&amp;"원","")&amp;IF($B$5&gt;0,IF($B$4&gt;0," / ","")&amp;"고급유 "&amp;TEXT(IF($N462="",1/0,$N462*$B$5),"#,##0")&amp;"원","")&amp;IF($B$6&gt;0,IF(OR($B$4&gt;0,$B$5&gt;0)," / ","")&amp;"경유 "&amp;TEXT(IF($O462="",1/0,$O462*$B$6),"#,##0")&amp;"원",""),""))</f>
        <v/>
      </c>
      <c r="Q462" s="17" t="str">
        <f aca="false">IF($B$10=0,"",IFERROR(IF($B$4&gt;0,IF($M462="",1/0,$M462*$B$4),0)+IF($B$5&gt;0,IF($N462="",1/0,$N462*$B$5),0)+IF($B$6&gt;0,IF($O462="",1/0,$O462*$B$6),0),""))</f>
        <v/>
      </c>
      <c r="R462" s="17" t="s">
        <v>47</v>
      </c>
      <c r="S462" s="18" t="str">
        <f aca="false">IF($Q462="","",IF($R462="Y",IFERROR(VLOOKUP($B462,$C$4:$D$13,2,FALSE()),0),0))</f>
        <v/>
      </c>
      <c r="T462" s="17" t="str">
        <f aca="false">IF($Q462="","",ROUNDDOWN($Q462*$S462,0))</f>
        <v/>
      </c>
      <c r="U462" s="17" t="str">
        <f aca="false">IF($Q462="","",$Q462-$T462)</f>
        <v/>
      </c>
      <c r="V462" s="17" t="str">
        <f aca="false">IF($U462="","",IF($B$10=0,"",$U462/$B$10))</f>
        <v/>
      </c>
      <c r="W462" s="17" t="str">
        <f aca="false">IF($Q462="","",IF($B$10=0,"",$Q462/$B$10))</f>
        <v/>
      </c>
      <c r="X462" s="19" t="n">
        <f aca="false">IF($U462="",1000000000000000,$U462)</f>
        <v>1000000000000000</v>
      </c>
      <c r="XFC462" s="6"/>
    </row>
    <row r="463" s="5" customFormat="true" ht="28.5" hidden="false" customHeight="true" outlineLevel="0" collapsed="false">
      <c r="A463" s="16" t="str">
        <f aca="false">IF($U463="","",1+COUNTIF($X$15:$X$728,"&lt;"&amp;X463))</f>
        <v/>
      </c>
      <c r="B463" s="16" t="s">
        <v>14</v>
      </c>
      <c r="C463" s="16" t="s">
        <v>1384</v>
      </c>
      <c r="D463" s="16" t="s">
        <v>58</v>
      </c>
      <c r="E463" s="16" t="s">
        <v>59</v>
      </c>
      <c r="F463" s="16" t="s">
        <v>1385</v>
      </c>
      <c r="G463" s="16" t="s">
        <v>1386</v>
      </c>
      <c r="H463" s="17" t="n">
        <v>1989</v>
      </c>
      <c r="I463" s="17"/>
      <c r="J463" s="17"/>
      <c r="K463" s="17" t="n">
        <v>1998</v>
      </c>
      <c r="L463" s="17" t="n">
        <f aca="false">IF(AND(IFERROR(SEARCH("현대오일뱅크",$C463),0)&gt;0,IFERROR(SEARCH("직영",$C463),0)&gt;0),$B$13,0)</f>
        <v>0</v>
      </c>
      <c r="M463" s="17" t="n">
        <f aca="false">IF($H463="","",$H463+$L463)</f>
        <v>1989</v>
      </c>
      <c r="N463" s="17" t="str">
        <f aca="false">IF($I463="","",$I463+$L463)</f>
        <v/>
      </c>
      <c r="O463" s="17" t="n">
        <f aca="false">IF($K463="","",$K463+$L463)</f>
        <v>1998</v>
      </c>
      <c r="P463" s="17" t="str">
        <f aca="false">IF($B$10=0,"",IFERROR(IF($B$4&gt;0,"휘발유 "&amp;TEXT(IF($M463="",1/0,$M463*$B$4),"#,##0")&amp;"원","")&amp;IF($B$5&gt;0,IF($B$4&gt;0," / ","")&amp;"고급유 "&amp;TEXT(IF($N463="",1/0,$N463*$B$5),"#,##0")&amp;"원","")&amp;IF($B$6&gt;0,IF(OR($B$4&gt;0,$B$5&gt;0)," / ","")&amp;"경유 "&amp;TEXT(IF($O463="",1/0,$O463*$B$6),"#,##0")&amp;"원",""),""))</f>
        <v/>
      </c>
      <c r="Q463" s="17" t="str">
        <f aca="false">IF($B$10=0,"",IFERROR(IF($B$4&gt;0,IF($M463="",1/0,$M463*$B$4),0)+IF($B$5&gt;0,IF($N463="",1/0,$N463*$B$5),0)+IF($B$6&gt;0,IF($O463="",1/0,$O463*$B$6),0),""))</f>
        <v/>
      </c>
      <c r="R463" s="17" t="s">
        <v>47</v>
      </c>
      <c r="S463" s="18" t="str">
        <f aca="false">IF($Q463="","",IF($R463="Y",IFERROR(VLOOKUP($B463,$C$4:$D$13,2,FALSE()),0),0))</f>
        <v/>
      </c>
      <c r="T463" s="17" t="str">
        <f aca="false">IF($Q463="","",ROUNDDOWN($Q463*$S463,0))</f>
        <v/>
      </c>
      <c r="U463" s="17" t="str">
        <f aca="false">IF($Q463="","",$Q463-$T463)</f>
        <v/>
      </c>
      <c r="V463" s="17" t="str">
        <f aca="false">IF($U463="","",IF($B$10=0,"",$U463/$B$10))</f>
        <v/>
      </c>
      <c r="W463" s="17" t="str">
        <f aca="false">IF($Q463="","",IF($B$10=0,"",$Q463/$B$10))</f>
        <v/>
      </c>
      <c r="X463" s="19" t="n">
        <f aca="false">IF($U463="",1000000000000000,$U463)</f>
        <v>1000000000000000</v>
      </c>
      <c r="XFC463" s="6"/>
    </row>
    <row r="464" s="5" customFormat="true" ht="28.5" hidden="false" customHeight="true" outlineLevel="0" collapsed="false">
      <c r="A464" s="16" t="str">
        <f aca="false">IF($U464="","",1+COUNTIF($X$15:$X$728,"&lt;"&amp;X464))</f>
        <v/>
      </c>
      <c r="B464" s="16" t="s">
        <v>14</v>
      </c>
      <c r="C464" s="16" t="s">
        <v>1387</v>
      </c>
      <c r="D464" s="16" t="s">
        <v>112</v>
      </c>
      <c r="E464" s="16" t="s">
        <v>59</v>
      </c>
      <c r="F464" s="16" t="s">
        <v>1388</v>
      </c>
      <c r="G464" s="16" t="s">
        <v>1389</v>
      </c>
      <c r="H464" s="17" t="n">
        <v>1989</v>
      </c>
      <c r="I464" s="17"/>
      <c r="J464" s="17"/>
      <c r="K464" s="17" t="n">
        <v>1999</v>
      </c>
      <c r="L464" s="17" t="n">
        <f aca="false">IF(AND(IFERROR(SEARCH("현대오일뱅크",$C464),0)&gt;0,IFERROR(SEARCH("직영",$C464),0)&gt;0),$B$13,0)</f>
        <v>0</v>
      </c>
      <c r="M464" s="17" t="n">
        <f aca="false">IF($H464="","",$H464+$L464)</f>
        <v>1989</v>
      </c>
      <c r="N464" s="17" t="str">
        <f aca="false">IF($I464="","",$I464+$L464)</f>
        <v/>
      </c>
      <c r="O464" s="17" t="n">
        <f aca="false">IF($K464="","",$K464+$L464)</f>
        <v>1999</v>
      </c>
      <c r="P464" s="17" t="str">
        <f aca="false">IF($B$10=0,"",IFERROR(IF($B$4&gt;0,"휘발유 "&amp;TEXT(IF($M464="",1/0,$M464*$B$4),"#,##0")&amp;"원","")&amp;IF($B$5&gt;0,IF($B$4&gt;0," / ","")&amp;"고급유 "&amp;TEXT(IF($N464="",1/0,$N464*$B$5),"#,##0")&amp;"원","")&amp;IF($B$6&gt;0,IF(OR($B$4&gt;0,$B$5&gt;0)," / ","")&amp;"경유 "&amp;TEXT(IF($O464="",1/0,$O464*$B$6),"#,##0")&amp;"원",""),""))</f>
        <v/>
      </c>
      <c r="Q464" s="17" t="str">
        <f aca="false">IF($B$10=0,"",IFERROR(IF($B$4&gt;0,IF($M464="",1/0,$M464*$B$4),0)+IF($B$5&gt;0,IF($N464="",1/0,$N464*$B$5),0)+IF($B$6&gt;0,IF($O464="",1/0,$O464*$B$6),0),""))</f>
        <v/>
      </c>
      <c r="R464" s="17" t="s">
        <v>47</v>
      </c>
      <c r="S464" s="18" t="str">
        <f aca="false">IF($Q464="","",IF($R464="Y",IFERROR(VLOOKUP($B464,$C$4:$D$13,2,FALSE()),0),0))</f>
        <v/>
      </c>
      <c r="T464" s="17" t="str">
        <f aca="false">IF($Q464="","",ROUNDDOWN($Q464*$S464,0))</f>
        <v/>
      </c>
      <c r="U464" s="17" t="str">
        <f aca="false">IF($Q464="","",$Q464-$T464)</f>
        <v/>
      </c>
      <c r="V464" s="17" t="str">
        <f aca="false">IF($U464="","",IF($B$10=0,"",$U464/$B$10))</f>
        <v/>
      </c>
      <c r="W464" s="17" t="str">
        <f aca="false">IF($Q464="","",IF($B$10=0,"",$Q464/$B$10))</f>
        <v/>
      </c>
      <c r="X464" s="19" t="n">
        <f aca="false">IF($U464="",1000000000000000,$U464)</f>
        <v>1000000000000000</v>
      </c>
      <c r="XFC464" s="6"/>
    </row>
    <row r="465" s="5" customFormat="true" ht="28.5" hidden="false" customHeight="true" outlineLevel="0" collapsed="false">
      <c r="A465" s="16" t="str">
        <f aca="false">IF($U465="","",1+COUNTIF($X$15:$X$728,"&lt;"&amp;X465))</f>
        <v/>
      </c>
      <c r="B465" s="16" t="s">
        <v>12</v>
      </c>
      <c r="C465" s="16" t="s">
        <v>1390</v>
      </c>
      <c r="D465" s="20" t="s">
        <v>108</v>
      </c>
      <c r="E465" s="16" t="s">
        <v>47</v>
      </c>
      <c r="F465" s="16" t="s">
        <v>1391</v>
      </c>
      <c r="G465" s="16" t="s">
        <v>1392</v>
      </c>
      <c r="H465" s="17" t="n">
        <v>1968</v>
      </c>
      <c r="I465" s="17"/>
      <c r="J465" s="17"/>
      <c r="K465" s="17" t="n">
        <v>1948</v>
      </c>
      <c r="L465" s="17" t="n">
        <f aca="false">IF(AND(IFERROR(SEARCH("현대오일뱅크",$C465),0)&gt;0,IFERROR(SEARCH("직영",$C465),0)&gt;0),$B$13,0)</f>
        <v>0</v>
      </c>
      <c r="M465" s="17" t="n">
        <f aca="false">IF($H465="","",$H465+$L465)</f>
        <v>1968</v>
      </c>
      <c r="N465" s="17" t="str">
        <f aca="false">IF($I465="","",$I465+$L465)</f>
        <v/>
      </c>
      <c r="O465" s="17" t="n">
        <f aca="false">IF($K465="","",$K465+$L465)</f>
        <v>1948</v>
      </c>
      <c r="P465" s="17" t="str">
        <f aca="false">IF($B$10=0,"",IFERROR(IF($B$4&gt;0,"휘발유 "&amp;TEXT(IF($M465="",1/0,$M465*$B$4),"#,##0")&amp;"원","")&amp;IF($B$5&gt;0,IF($B$4&gt;0," / ","")&amp;"고급유 "&amp;TEXT(IF($N465="",1/0,$N465*$B$5),"#,##0")&amp;"원","")&amp;IF($B$6&gt;0,IF(OR($B$4&gt;0,$B$5&gt;0)," / ","")&amp;"경유 "&amp;TEXT(IF($O465="",1/0,$O465*$B$6),"#,##0")&amp;"원",""),""))</f>
        <v/>
      </c>
      <c r="Q465" s="17" t="str">
        <f aca="false">IF($B$10=0,"",IFERROR(IF($B$4&gt;0,IF($M465="",1/0,$M465*$B$4),0)+IF($B$5&gt;0,IF($N465="",1/0,$N465*$B$5),0)+IF($B$6&gt;0,IF($O465="",1/0,$O465*$B$6),0),""))</f>
        <v/>
      </c>
      <c r="R465" s="17" t="s">
        <v>47</v>
      </c>
      <c r="S465" s="18" t="str">
        <f aca="false">IF($Q465="","",IF($R465="Y",IFERROR(VLOOKUP($B465,$C$4:$D$13,2,FALSE()),0),0))</f>
        <v/>
      </c>
      <c r="T465" s="17" t="str">
        <f aca="false">IF($Q465="","",ROUNDDOWN($Q465*$S465,0))</f>
        <v/>
      </c>
      <c r="U465" s="17" t="str">
        <f aca="false">IF($Q465="","",$Q465-$T465)</f>
        <v/>
      </c>
      <c r="V465" s="17" t="str">
        <f aca="false">IF($U465="","",IF($B$10=0,"",$U465/$B$10))</f>
        <v/>
      </c>
      <c r="W465" s="17" t="str">
        <f aca="false">IF($Q465="","",IF($B$10=0,"",$Q465/$B$10))</f>
        <v/>
      </c>
      <c r="X465" s="19" t="n">
        <f aca="false">IF($U465="",1000000000000000,$U465)</f>
        <v>1000000000000000</v>
      </c>
      <c r="XFC465" s="6"/>
    </row>
    <row r="466" s="5" customFormat="true" ht="28.5" hidden="false" customHeight="true" outlineLevel="0" collapsed="false">
      <c r="A466" s="16" t="str">
        <f aca="false">IF($U466="","",1+COUNTIF($X$15:$X$728,"&lt;"&amp;X466))</f>
        <v/>
      </c>
      <c r="B466" s="16" t="s">
        <v>6</v>
      </c>
      <c r="C466" s="16" t="s">
        <v>1393</v>
      </c>
      <c r="D466" s="16" t="s">
        <v>112</v>
      </c>
      <c r="E466" s="16" t="s">
        <v>47</v>
      </c>
      <c r="F466" s="16" t="s">
        <v>1394</v>
      </c>
      <c r="G466" s="16" t="s">
        <v>1395</v>
      </c>
      <c r="H466" s="17" t="n">
        <v>1969</v>
      </c>
      <c r="I466" s="17"/>
      <c r="J466" s="17"/>
      <c r="K466" s="17" t="n">
        <v>1999</v>
      </c>
      <c r="L466" s="17" t="n">
        <f aca="false">IF(AND(IFERROR(SEARCH("현대오일뱅크",$C466),0)&gt;0,IFERROR(SEARCH("직영",$C466),0)&gt;0),$B$13,0)</f>
        <v>0</v>
      </c>
      <c r="M466" s="17" t="n">
        <f aca="false">IF($H466="","",$H466+$L466)</f>
        <v>1969</v>
      </c>
      <c r="N466" s="17" t="str">
        <f aca="false">IF($I466="","",$I466+$L466)</f>
        <v/>
      </c>
      <c r="O466" s="17" t="n">
        <f aca="false">IF($K466="","",$K466+$L466)</f>
        <v>1999</v>
      </c>
      <c r="P466" s="17" t="str">
        <f aca="false">IF($B$10=0,"",IFERROR(IF($B$4&gt;0,"휘발유 "&amp;TEXT(IF($M466="",1/0,$M466*$B$4),"#,##0")&amp;"원","")&amp;IF($B$5&gt;0,IF($B$4&gt;0," / ","")&amp;"고급유 "&amp;TEXT(IF($N466="",1/0,$N466*$B$5),"#,##0")&amp;"원","")&amp;IF($B$6&gt;0,IF(OR($B$4&gt;0,$B$5&gt;0)," / ","")&amp;"경유 "&amp;TEXT(IF($O466="",1/0,$O466*$B$6),"#,##0")&amp;"원",""),""))</f>
        <v/>
      </c>
      <c r="Q466" s="17" t="str">
        <f aca="false">IF($B$10=0,"",IFERROR(IF($B$4&gt;0,IF($M466="",1/0,$M466*$B$4),0)+IF($B$5&gt;0,IF($N466="",1/0,$N466*$B$5),0)+IF($B$6&gt;0,IF($O466="",1/0,$O466*$B$6),0),""))</f>
        <v/>
      </c>
      <c r="R466" s="17" t="s">
        <v>47</v>
      </c>
      <c r="S466" s="18" t="str">
        <f aca="false">IF($Q466="","",IF($R466="Y",IFERROR(VLOOKUP($B466,$C$4:$D$13,2,FALSE()),0),0))</f>
        <v/>
      </c>
      <c r="T466" s="17" t="str">
        <f aca="false">IF($Q466="","",ROUNDDOWN($Q466*$S466,0))</f>
        <v/>
      </c>
      <c r="U466" s="17" t="str">
        <f aca="false">IF($Q466="","",$Q466-$T466)</f>
        <v/>
      </c>
      <c r="V466" s="17" t="str">
        <f aca="false">IF($U466="","",IF($B$10=0,"",$U466/$B$10))</f>
        <v/>
      </c>
      <c r="W466" s="17" t="str">
        <f aca="false">IF($Q466="","",IF($B$10=0,"",$Q466/$B$10))</f>
        <v/>
      </c>
      <c r="X466" s="19" t="n">
        <f aca="false">IF($U466="",1000000000000000,$U466)</f>
        <v>1000000000000000</v>
      </c>
      <c r="XFC466" s="6"/>
    </row>
    <row r="467" s="5" customFormat="true" ht="28.5" hidden="false" customHeight="true" outlineLevel="0" collapsed="false">
      <c r="A467" s="16" t="str">
        <f aca="false">IF($U467="","",1+COUNTIF($X$15:$X$728,"&lt;"&amp;X467))</f>
        <v/>
      </c>
      <c r="B467" s="16" t="s">
        <v>10</v>
      </c>
      <c r="C467" s="16" t="s">
        <v>1396</v>
      </c>
      <c r="D467" s="20" t="s">
        <v>108</v>
      </c>
      <c r="E467" s="16" t="s">
        <v>59</v>
      </c>
      <c r="F467" s="16" t="s">
        <v>1397</v>
      </c>
      <c r="G467" s="16" t="s">
        <v>1398</v>
      </c>
      <c r="H467" s="17" t="n">
        <v>1969</v>
      </c>
      <c r="I467" s="17"/>
      <c r="J467" s="17"/>
      <c r="K467" s="17" t="n">
        <v>1969</v>
      </c>
      <c r="L467" s="17" t="n">
        <f aca="false">IF(AND(IFERROR(SEARCH("현대오일뱅크",$C467),0)&gt;0,IFERROR(SEARCH("직영",$C467),0)&gt;0),$B$13,0)</f>
        <v>0</v>
      </c>
      <c r="M467" s="17" t="n">
        <f aca="false">IF($H467="","",$H467+$L467)</f>
        <v>1969</v>
      </c>
      <c r="N467" s="17" t="str">
        <f aca="false">IF($I467="","",$I467+$L467)</f>
        <v/>
      </c>
      <c r="O467" s="17" t="n">
        <f aca="false">IF($K467="","",$K467+$L467)</f>
        <v>1969</v>
      </c>
      <c r="P467" s="17" t="str">
        <f aca="false">IF($B$10=0,"",IFERROR(IF($B$4&gt;0,"휘발유 "&amp;TEXT(IF($M467="",1/0,$M467*$B$4),"#,##0")&amp;"원","")&amp;IF($B$5&gt;0,IF($B$4&gt;0," / ","")&amp;"고급유 "&amp;TEXT(IF($N467="",1/0,$N467*$B$5),"#,##0")&amp;"원","")&amp;IF($B$6&gt;0,IF(OR($B$4&gt;0,$B$5&gt;0)," / ","")&amp;"경유 "&amp;TEXT(IF($O467="",1/0,$O467*$B$6),"#,##0")&amp;"원",""),""))</f>
        <v/>
      </c>
      <c r="Q467" s="17" t="str">
        <f aca="false">IF($B$10=0,"",IFERROR(IF($B$4&gt;0,IF($M467="",1/0,$M467*$B$4),0)+IF($B$5&gt;0,IF($N467="",1/0,$N467*$B$5),0)+IF($B$6&gt;0,IF($O467="",1/0,$O467*$B$6),0),""))</f>
        <v/>
      </c>
      <c r="R467" s="17" t="s">
        <v>47</v>
      </c>
      <c r="S467" s="18" t="str">
        <f aca="false">IF($Q467="","",IF($R467="Y",IFERROR(VLOOKUP($B467,$C$4:$D$13,2,FALSE()),0),0))</f>
        <v/>
      </c>
      <c r="T467" s="17" t="str">
        <f aca="false">IF($Q467="","",ROUNDDOWN($Q467*$S467,0))</f>
        <v/>
      </c>
      <c r="U467" s="17" t="str">
        <f aca="false">IF($Q467="","",$Q467-$T467)</f>
        <v/>
      </c>
      <c r="V467" s="17" t="str">
        <f aca="false">IF($U467="","",IF($B$10=0,"",$U467/$B$10))</f>
        <v/>
      </c>
      <c r="W467" s="17" t="str">
        <f aca="false">IF($Q467="","",IF($B$10=0,"",$Q467/$B$10))</f>
        <v/>
      </c>
      <c r="X467" s="19" t="n">
        <f aca="false">IF($U467="",1000000000000000,$U467)</f>
        <v>1000000000000000</v>
      </c>
      <c r="XFC467" s="6"/>
    </row>
    <row r="468" s="5" customFormat="true" ht="28.5" hidden="false" customHeight="true" outlineLevel="0" collapsed="false">
      <c r="A468" s="16" t="str">
        <f aca="false">IF($U468="","",1+COUNTIF($X$15:$X$728,"&lt;"&amp;X468))</f>
        <v/>
      </c>
      <c r="B468" s="16" t="s">
        <v>6</v>
      </c>
      <c r="C468" s="16" t="s">
        <v>1399</v>
      </c>
      <c r="D468" s="16" t="s">
        <v>112</v>
      </c>
      <c r="E468" s="16" t="s">
        <v>59</v>
      </c>
      <c r="F468" s="16" t="s">
        <v>1400</v>
      </c>
      <c r="G468" s="16" t="s">
        <v>1401</v>
      </c>
      <c r="H468" s="17" t="n">
        <v>1969</v>
      </c>
      <c r="I468" s="17"/>
      <c r="J468" s="17"/>
      <c r="K468" s="17" t="n">
        <v>1995</v>
      </c>
      <c r="L468" s="17" t="n">
        <f aca="false">IF(AND(IFERROR(SEARCH("현대오일뱅크",$C468),0)&gt;0,IFERROR(SEARCH("직영",$C468),0)&gt;0),$B$13,0)</f>
        <v>0</v>
      </c>
      <c r="M468" s="17" t="n">
        <f aca="false">IF($H468="","",$H468+$L468)</f>
        <v>1969</v>
      </c>
      <c r="N468" s="17" t="str">
        <f aca="false">IF($I468="","",$I468+$L468)</f>
        <v/>
      </c>
      <c r="O468" s="17" t="n">
        <f aca="false">IF($K468="","",$K468+$L468)</f>
        <v>1995</v>
      </c>
      <c r="P468" s="17" t="str">
        <f aca="false">IF($B$10=0,"",IFERROR(IF($B$4&gt;0,"휘발유 "&amp;TEXT(IF($M468="",1/0,$M468*$B$4),"#,##0")&amp;"원","")&amp;IF($B$5&gt;0,IF($B$4&gt;0," / ","")&amp;"고급유 "&amp;TEXT(IF($N468="",1/0,$N468*$B$5),"#,##0")&amp;"원","")&amp;IF($B$6&gt;0,IF(OR($B$4&gt;0,$B$5&gt;0)," / ","")&amp;"경유 "&amp;TEXT(IF($O468="",1/0,$O468*$B$6),"#,##0")&amp;"원",""),""))</f>
        <v/>
      </c>
      <c r="Q468" s="17" t="str">
        <f aca="false">IF($B$10=0,"",IFERROR(IF($B$4&gt;0,IF($M468="",1/0,$M468*$B$4),0)+IF($B$5&gt;0,IF($N468="",1/0,$N468*$B$5),0)+IF($B$6&gt;0,IF($O468="",1/0,$O468*$B$6),0),""))</f>
        <v/>
      </c>
      <c r="R468" s="17" t="s">
        <v>47</v>
      </c>
      <c r="S468" s="18" t="str">
        <f aca="false">IF($Q468="","",IF($R468="Y",IFERROR(VLOOKUP($B468,$C$4:$D$13,2,FALSE()),0),0))</f>
        <v/>
      </c>
      <c r="T468" s="17" t="str">
        <f aca="false">IF($Q468="","",ROUNDDOWN($Q468*$S468,0))</f>
        <v/>
      </c>
      <c r="U468" s="17" t="str">
        <f aca="false">IF($Q468="","",$Q468-$T468)</f>
        <v/>
      </c>
      <c r="V468" s="17" t="str">
        <f aca="false">IF($U468="","",IF($B$10=0,"",$U468/$B$10))</f>
        <v/>
      </c>
      <c r="W468" s="17" t="str">
        <f aca="false">IF($Q468="","",IF($B$10=0,"",$Q468/$B$10))</f>
        <v/>
      </c>
      <c r="X468" s="19" t="n">
        <f aca="false">IF($U468="",1000000000000000,$U468)</f>
        <v>1000000000000000</v>
      </c>
      <c r="XFC468" s="6"/>
    </row>
    <row r="469" s="5" customFormat="true" ht="28.5" hidden="false" customHeight="true" outlineLevel="0" collapsed="false">
      <c r="A469" s="16" t="str">
        <f aca="false">IF($U469="","",1+COUNTIF($X$15:$X$728,"&lt;"&amp;X469))</f>
        <v/>
      </c>
      <c r="B469" s="16" t="s">
        <v>6</v>
      </c>
      <c r="C469" s="16" t="s">
        <v>1402</v>
      </c>
      <c r="D469" s="20" t="s">
        <v>108</v>
      </c>
      <c r="E469" s="16" t="s">
        <v>47</v>
      </c>
      <c r="F469" s="16" t="s">
        <v>1403</v>
      </c>
      <c r="G469" s="16" t="s">
        <v>1404</v>
      </c>
      <c r="H469" s="17" t="n">
        <v>1969</v>
      </c>
      <c r="I469" s="17"/>
      <c r="J469" s="17"/>
      <c r="K469" s="17" t="n">
        <v>1999</v>
      </c>
      <c r="L469" s="17" t="n">
        <f aca="false">IF(AND(IFERROR(SEARCH("현대오일뱅크",$C469),0)&gt;0,IFERROR(SEARCH("직영",$C469),0)&gt;0),$B$13,0)</f>
        <v>0</v>
      </c>
      <c r="M469" s="17" t="n">
        <f aca="false">IF($H469="","",$H469+$L469)</f>
        <v>1969</v>
      </c>
      <c r="N469" s="17" t="str">
        <f aca="false">IF($I469="","",$I469+$L469)</f>
        <v/>
      </c>
      <c r="O469" s="17" t="n">
        <f aca="false">IF($K469="","",$K469+$L469)</f>
        <v>1999</v>
      </c>
      <c r="P469" s="17" t="str">
        <f aca="false">IF($B$10=0,"",IFERROR(IF($B$4&gt;0,"휘발유 "&amp;TEXT(IF($M469="",1/0,$M469*$B$4),"#,##0")&amp;"원","")&amp;IF($B$5&gt;0,IF($B$4&gt;0," / ","")&amp;"고급유 "&amp;TEXT(IF($N469="",1/0,$N469*$B$5),"#,##0")&amp;"원","")&amp;IF($B$6&gt;0,IF(OR($B$4&gt;0,$B$5&gt;0)," / ","")&amp;"경유 "&amp;TEXT(IF($O469="",1/0,$O469*$B$6),"#,##0")&amp;"원",""),""))</f>
        <v/>
      </c>
      <c r="Q469" s="17" t="str">
        <f aca="false">IF($B$10=0,"",IFERROR(IF($B$4&gt;0,IF($M469="",1/0,$M469*$B$4),0)+IF($B$5&gt;0,IF($N469="",1/0,$N469*$B$5),0)+IF($B$6&gt;0,IF($O469="",1/0,$O469*$B$6),0),""))</f>
        <v/>
      </c>
      <c r="R469" s="17" t="s">
        <v>47</v>
      </c>
      <c r="S469" s="18" t="str">
        <f aca="false">IF($Q469="","",IF($R469="Y",IFERROR(VLOOKUP($B469,$C$4:$D$13,2,FALSE()),0),0))</f>
        <v/>
      </c>
      <c r="T469" s="17" t="str">
        <f aca="false">IF($Q469="","",ROUNDDOWN($Q469*$S469,0))</f>
        <v/>
      </c>
      <c r="U469" s="17" t="str">
        <f aca="false">IF($Q469="","",$Q469-$T469)</f>
        <v/>
      </c>
      <c r="V469" s="17" t="str">
        <f aca="false">IF($U469="","",IF($B$10=0,"",$U469/$B$10))</f>
        <v/>
      </c>
      <c r="W469" s="17" t="str">
        <f aca="false">IF($Q469="","",IF($B$10=0,"",$Q469/$B$10))</f>
        <v/>
      </c>
      <c r="X469" s="19" t="n">
        <f aca="false">IF($U469="",1000000000000000,$U469)</f>
        <v>1000000000000000</v>
      </c>
      <c r="XFC469" s="6"/>
    </row>
    <row r="470" s="5" customFormat="true" ht="28.5" hidden="false" customHeight="true" outlineLevel="0" collapsed="false">
      <c r="A470" s="16" t="str">
        <f aca="false">IF($U470="","",1+COUNTIF($X$15:$X$728,"&lt;"&amp;X470))</f>
        <v/>
      </c>
      <c r="B470" s="16" t="s">
        <v>12</v>
      </c>
      <c r="C470" s="16" t="s">
        <v>1405</v>
      </c>
      <c r="D470" s="20" t="s">
        <v>112</v>
      </c>
      <c r="E470" s="16" t="s">
        <v>47</v>
      </c>
      <c r="F470" s="16" t="s">
        <v>1406</v>
      </c>
      <c r="G470" s="16" t="s">
        <v>1407</v>
      </c>
      <c r="H470" s="17" t="n">
        <v>1969</v>
      </c>
      <c r="I470" s="17"/>
      <c r="J470" s="17"/>
      <c r="K470" s="17" t="n">
        <v>1989</v>
      </c>
      <c r="L470" s="17" t="n">
        <f aca="false">IF(AND(IFERROR(SEARCH("현대오일뱅크",$C470),0)&gt;0,IFERROR(SEARCH("직영",$C470),0)&gt;0),$B$13,0)</f>
        <v>0</v>
      </c>
      <c r="M470" s="17" t="n">
        <f aca="false">IF($H470="","",$H470+$L470)</f>
        <v>1969</v>
      </c>
      <c r="N470" s="17" t="str">
        <f aca="false">IF($I470="","",$I470+$L470)</f>
        <v/>
      </c>
      <c r="O470" s="17" t="n">
        <f aca="false">IF($K470="","",$K470+$L470)</f>
        <v>1989</v>
      </c>
      <c r="P470" s="17" t="str">
        <f aca="false">IF($B$10=0,"",IFERROR(IF($B$4&gt;0,"휘발유 "&amp;TEXT(IF($M470="",1/0,$M470*$B$4),"#,##0")&amp;"원","")&amp;IF($B$5&gt;0,IF($B$4&gt;0," / ","")&amp;"고급유 "&amp;TEXT(IF($N470="",1/0,$N470*$B$5),"#,##0")&amp;"원","")&amp;IF($B$6&gt;0,IF(OR($B$4&gt;0,$B$5&gt;0)," / ","")&amp;"경유 "&amp;TEXT(IF($O470="",1/0,$O470*$B$6),"#,##0")&amp;"원",""),""))</f>
        <v/>
      </c>
      <c r="Q470" s="17" t="str">
        <f aca="false">IF($B$10=0,"",IFERROR(IF($B$4&gt;0,IF($M470="",1/0,$M470*$B$4),0)+IF($B$5&gt;0,IF($N470="",1/0,$N470*$B$5),0)+IF($B$6&gt;0,IF($O470="",1/0,$O470*$B$6),0),""))</f>
        <v/>
      </c>
      <c r="R470" s="17" t="s">
        <v>47</v>
      </c>
      <c r="S470" s="18" t="str">
        <f aca="false">IF($Q470="","",IF($R470="Y",IFERROR(VLOOKUP($B470,$C$4:$D$13,2,FALSE()),0),0))</f>
        <v/>
      </c>
      <c r="T470" s="17" t="str">
        <f aca="false">IF($Q470="","",ROUNDDOWN($Q470*$S470,0))</f>
        <v/>
      </c>
      <c r="U470" s="17" t="str">
        <f aca="false">IF($Q470="","",$Q470-$T470)</f>
        <v/>
      </c>
      <c r="V470" s="17" t="str">
        <f aca="false">IF($U470="","",IF($B$10=0,"",$U470/$B$10))</f>
        <v/>
      </c>
      <c r="W470" s="17" t="str">
        <f aca="false">IF($Q470="","",IF($B$10=0,"",$Q470/$B$10))</f>
        <v/>
      </c>
      <c r="X470" s="19" t="n">
        <f aca="false">IF($U470="",1000000000000000,$U470)</f>
        <v>1000000000000000</v>
      </c>
      <c r="XFC470" s="6"/>
    </row>
    <row r="471" s="5" customFormat="true" ht="28.5" hidden="false" customHeight="true" outlineLevel="0" collapsed="false">
      <c r="A471" s="16" t="str">
        <f aca="false">IF($U471="","",1+COUNTIF($X$15:$X$728,"&lt;"&amp;X471))</f>
        <v/>
      </c>
      <c r="B471" s="16" t="s">
        <v>14</v>
      </c>
      <c r="C471" s="16" t="s">
        <v>1408</v>
      </c>
      <c r="D471" s="16" t="s">
        <v>112</v>
      </c>
      <c r="E471" s="16" t="s">
        <v>47</v>
      </c>
      <c r="F471" s="16" t="s">
        <v>1409</v>
      </c>
      <c r="G471" s="16" t="s">
        <v>1410</v>
      </c>
      <c r="H471" s="17" t="n">
        <v>1995</v>
      </c>
      <c r="I471" s="17"/>
      <c r="J471" s="17"/>
      <c r="K471" s="17" t="n">
        <v>1999</v>
      </c>
      <c r="L471" s="17" t="n">
        <f aca="false">IF(AND(IFERROR(SEARCH("현대오일뱅크",$C471),0)&gt;0,IFERROR(SEARCH("직영",$C471),0)&gt;0),$B$13,0)</f>
        <v>0</v>
      </c>
      <c r="M471" s="17" t="n">
        <f aca="false">IF($H471="","",$H471+$L471)</f>
        <v>1995</v>
      </c>
      <c r="N471" s="17" t="str">
        <f aca="false">IF($I471="","",$I471+$L471)</f>
        <v/>
      </c>
      <c r="O471" s="17" t="n">
        <f aca="false">IF($K471="","",$K471+$L471)</f>
        <v>1999</v>
      </c>
      <c r="P471" s="17" t="str">
        <f aca="false">IF($B$10=0,"",IFERROR(IF($B$4&gt;0,"휘발유 "&amp;TEXT(IF($M471="",1/0,$M471*$B$4),"#,##0")&amp;"원","")&amp;IF($B$5&gt;0,IF($B$4&gt;0," / ","")&amp;"고급유 "&amp;TEXT(IF($N471="",1/0,$N471*$B$5),"#,##0")&amp;"원","")&amp;IF($B$6&gt;0,IF(OR($B$4&gt;0,$B$5&gt;0)," / ","")&amp;"경유 "&amp;TEXT(IF($O471="",1/0,$O471*$B$6),"#,##0")&amp;"원",""),""))</f>
        <v/>
      </c>
      <c r="Q471" s="17" t="str">
        <f aca="false">IF($B$10=0,"",IFERROR(IF($B$4&gt;0,IF($M471="",1/0,$M471*$B$4),0)+IF($B$5&gt;0,IF($N471="",1/0,$N471*$B$5),0)+IF($B$6&gt;0,IF($O471="",1/0,$O471*$B$6),0),""))</f>
        <v/>
      </c>
      <c r="R471" s="17" t="s">
        <v>47</v>
      </c>
      <c r="S471" s="18" t="str">
        <f aca="false">IF($Q471="","",IF($R471="Y",IFERROR(VLOOKUP($B471,$C$4:$D$13,2,FALSE()),0),0))</f>
        <v/>
      </c>
      <c r="T471" s="17" t="str">
        <f aca="false">IF($Q471="","",ROUNDDOWN($Q471*$S471,0))</f>
        <v/>
      </c>
      <c r="U471" s="17" t="str">
        <f aca="false">IF($Q471="","",$Q471-$T471)</f>
        <v/>
      </c>
      <c r="V471" s="17" t="str">
        <f aca="false">IF($U471="","",IF($B$10=0,"",$U471/$B$10))</f>
        <v/>
      </c>
      <c r="W471" s="17" t="str">
        <f aca="false">IF($Q471="","",IF($B$10=0,"",$Q471/$B$10))</f>
        <v/>
      </c>
      <c r="X471" s="19" t="n">
        <f aca="false">IF($U471="",1000000000000000,$U471)</f>
        <v>1000000000000000</v>
      </c>
      <c r="XFC471" s="6"/>
    </row>
    <row r="472" s="5" customFormat="true" ht="28.5" hidden="false" customHeight="true" outlineLevel="0" collapsed="false">
      <c r="A472" s="16" t="str">
        <f aca="false">IF($U472="","",1+COUNTIF($X$15:$X$728,"&lt;"&amp;X472))</f>
        <v/>
      </c>
      <c r="B472" s="16" t="s">
        <v>14</v>
      </c>
      <c r="C472" s="16" t="s">
        <v>1411</v>
      </c>
      <c r="D472" s="16" t="s">
        <v>112</v>
      </c>
      <c r="E472" s="16" t="s">
        <v>59</v>
      </c>
      <c r="F472" s="16" t="s">
        <v>1412</v>
      </c>
      <c r="G472" s="16" t="s">
        <v>1413</v>
      </c>
      <c r="H472" s="17" t="n">
        <v>1995</v>
      </c>
      <c r="I472" s="17"/>
      <c r="J472" s="17"/>
      <c r="K472" s="17" t="n">
        <v>2150</v>
      </c>
      <c r="L472" s="17" t="n">
        <f aca="false">IF(AND(IFERROR(SEARCH("현대오일뱅크",$C472),0)&gt;0,IFERROR(SEARCH("직영",$C472),0)&gt;0),$B$13,0)</f>
        <v>0</v>
      </c>
      <c r="M472" s="17" t="n">
        <f aca="false">IF($H472="","",$H472+$L472)</f>
        <v>1995</v>
      </c>
      <c r="N472" s="17" t="str">
        <f aca="false">IF($I472="","",$I472+$L472)</f>
        <v/>
      </c>
      <c r="O472" s="17" t="n">
        <f aca="false">IF($K472="","",$K472+$L472)</f>
        <v>2150</v>
      </c>
      <c r="P472" s="17" t="str">
        <f aca="false">IF($B$10=0,"",IFERROR(IF($B$4&gt;0,"휘발유 "&amp;TEXT(IF($M472="",1/0,$M472*$B$4),"#,##0")&amp;"원","")&amp;IF($B$5&gt;0,IF($B$4&gt;0," / ","")&amp;"고급유 "&amp;TEXT(IF($N472="",1/0,$N472*$B$5),"#,##0")&amp;"원","")&amp;IF($B$6&gt;0,IF(OR($B$4&gt;0,$B$5&gt;0)," / ","")&amp;"경유 "&amp;TEXT(IF($O472="",1/0,$O472*$B$6),"#,##0")&amp;"원",""),""))</f>
        <v/>
      </c>
      <c r="Q472" s="17" t="str">
        <f aca="false">IF($B$10=0,"",IFERROR(IF($B$4&gt;0,IF($M472="",1/0,$M472*$B$4),0)+IF($B$5&gt;0,IF($N472="",1/0,$N472*$B$5),0)+IF($B$6&gt;0,IF($O472="",1/0,$O472*$B$6),0),""))</f>
        <v/>
      </c>
      <c r="R472" s="17" t="s">
        <v>47</v>
      </c>
      <c r="S472" s="18" t="str">
        <f aca="false">IF($Q472="","",IF($R472="Y",IFERROR(VLOOKUP($B472,$C$4:$D$13,2,FALSE()),0),0))</f>
        <v/>
      </c>
      <c r="T472" s="17" t="str">
        <f aca="false">IF($Q472="","",ROUNDDOWN($Q472*$S472,0))</f>
        <v/>
      </c>
      <c r="U472" s="17" t="str">
        <f aca="false">IF($Q472="","",$Q472-$T472)</f>
        <v/>
      </c>
      <c r="V472" s="17" t="str">
        <f aca="false">IF($U472="","",IF($B$10=0,"",$U472/$B$10))</f>
        <v/>
      </c>
      <c r="W472" s="17" t="str">
        <f aca="false">IF($Q472="","",IF($B$10=0,"",$Q472/$B$10))</f>
        <v/>
      </c>
      <c r="X472" s="19" t="n">
        <f aca="false">IF($U472="",1000000000000000,$U472)</f>
        <v>1000000000000000</v>
      </c>
      <c r="XFC472" s="6"/>
    </row>
    <row r="473" s="5" customFormat="true" ht="28.5" hidden="false" customHeight="true" outlineLevel="0" collapsed="false">
      <c r="A473" s="16" t="str">
        <f aca="false">IF($U473="","",1+COUNTIF($X$15:$X$728,"&lt;"&amp;X473))</f>
        <v/>
      </c>
      <c r="B473" s="16" t="s">
        <v>12</v>
      </c>
      <c r="C473" s="16" t="s">
        <v>1414</v>
      </c>
      <c r="D473" s="20" t="s">
        <v>108</v>
      </c>
      <c r="E473" s="16" t="s">
        <v>47</v>
      </c>
      <c r="F473" s="16" t="s">
        <v>1415</v>
      </c>
      <c r="G473" s="16" t="s">
        <v>1416</v>
      </c>
      <c r="H473" s="17" t="n">
        <v>1973</v>
      </c>
      <c r="I473" s="17"/>
      <c r="J473" s="17"/>
      <c r="K473" s="17" t="n">
        <v>2123</v>
      </c>
      <c r="L473" s="17" t="n">
        <f aca="false">IF(AND(IFERROR(SEARCH("현대오일뱅크",$C473),0)&gt;0,IFERROR(SEARCH("직영",$C473),0)&gt;0),$B$13,0)</f>
        <v>0</v>
      </c>
      <c r="M473" s="17" t="n">
        <f aca="false">IF($H473="","",$H473+$L473)</f>
        <v>1973</v>
      </c>
      <c r="N473" s="17" t="str">
        <f aca="false">IF($I473="","",$I473+$L473)</f>
        <v/>
      </c>
      <c r="O473" s="17" t="n">
        <f aca="false">IF($K473="","",$K473+$L473)</f>
        <v>2123</v>
      </c>
      <c r="P473" s="17" t="str">
        <f aca="false">IF($B$10=0,"",IFERROR(IF($B$4&gt;0,"휘발유 "&amp;TEXT(IF($M473="",1/0,$M473*$B$4),"#,##0")&amp;"원","")&amp;IF($B$5&gt;0,IF($B$4&gt;0," / ","")&amp;"고급유 "&amp;TEXT(IF($N473="",1/0,$N473*$B$5),"#,##0")&amp;"원","")&amp;IF($B$6&gt;0,IF(OR($B$4&gt;0,$B$5&gt;0)," / ","")&amp;"경유 "&amp;TEXT(IF($O473="",1/0,$O473*$B$6),"#,##0")&amp;"원",""),""))</f>
        <v/>
      </c>
      <c r="Q473" s="17" t="str">
        <f aca="false">IF($B$10=0,"",IFERROR(IF($B$4&gt;0,IF($M473="",1/0,$M473*$B$4),0)+IF($B$5&gt;0,IF($N473="",1/0,$N473*$B$5),0)+IF($B$6&gt;0,IF($O473="",1/0,$O473*$B$6),0),""))</f>
        <v/>
      </c>
      <c r="R473" s="17" t="s">
        <v>47</v>
      </c>
      <c r="S473" s="18" t="str">
        <f aca="false">IF($Q473="","",IF($R473="Y",IFERROR(VLOOKUP($B473,$C$4:$D$13,2,FALSE()),0),0))</f>
        <v/>
      </c>
      <c r="T473" s="17" t="str">
        <f aca="false">IF($Q473="","",ROUNDDOWN($Q473*$S473,0))</f>
        <v/>
      </c>
      <c r="U473" s="17" t="str">
        <f aca="false">IF($Q473="","",$Q473-$T473)</f>
        <v/>
      </c>
      <c r="V473" s="17" t="str">
        <f aca="false">IF($U473="","",IF($B$10=0,"",$U473/$B$10))</f>
        <v/>
      </c>
      <c r="W473" s="17" t="str">
        <f aca="false">IF($Q473="","",IF($B$10=0,"",$Q473/$B$10))</f>
        <v/>
      </c>
      <c r="X473" s="19" t="n">
        <f aca="false">IF($U473="",1000000000000000,$U473)</f>
        <v>1000000000000000</v>
      </c>
      <c r="XFC473" s="6"/>
    </row>
    <row r="474" s="5" customFormat="true" ht="28.5" hidden="false" customHeight="true" outlineLevel="0" collapsed="false">
      <c r="A474" s="16" t="str">
        <f aca="false">IF($U474="","",1+COUNTIF($X$15:$X$728,"&lt;"&amp;X474))</f>
        <v/>
      </c>
      <c r="B474" s="16" t="s">
        <v>8</v>
      </c>
      <c r="C474" s="16" t="s">
        <v>1417</v>
      </c>
      <c r="D474" s="16" t="s">
        <v>51</v>
      </c>
      <c r="E474" s="16" t="s">
        <v>47</v>
      </c>
      <c r="F474" s="16" t="s">
        <v>1418</v>
      </c>
      <c r="G474" s="16" t="s">
        <v>1419</v>
      </c>
      <c r="H474" s="17" t="n">
        <v>1777</v>
      </c>
      <c r="I474" s="17"/>
      <c r="J474" s="17"/>
      <c r="K474" s="17" t="n">
        <v>1738</v>
      </c>
      <c r="L474" s="17" t="n">
        <f aca="false">IF(AND(IFERROR(SEARCH("현대오일뱅크",$C474),0)&gt;0,IFERROR(SEARCH("직영",$C474),0)&gt;0),$B$13,0)</f>
        <v>0</v>
      </c>
      <c r="M474" s="17" t="n">
        <f aca="false">IF($H474="","",$H474+$L474)</f>
        <v>1777</v>
      </c>
      <c r="N474" s="17" t="str">
        <f aca="false">IF($I474="","",$I474+$L474)</f>
        <v/>
      </c>
      <c r="O474" s="17" t="n">
        <f aca="false">IF($K474="","",$K474+$L474)</f>
        <v>1738</v>
      </c>
      <c r="P474" s="17" t="str">
        <f aca="false">IF($B$10=0,"",IFERROR(IF($B$4&gt;0,"휘발유 "&amp;TEXT(IF($M474="",1/0,$M474*$B$4),"#,##0")&amp;"원","")&amp;IF($B$5&gt;0,IF($B$4&gt;0," / ","")&amp;"고급유 "&amp;TEXT(IF($N474="",1/0,$N474*$B$5),"#,##0")&amp;"원","")&amp;IF($B$6&gt;0,IF(OR($B$4&gt;0,$B$5&gt;0)," / ","")&amp;"경유 "&amp;TEXT(IF($O474="",1/0,$O474*$B$6),"#,##0")&amp;"원",""),""))</f>
        <v/>
      </c>
      <c r="Q474" s="17" t="str">
        <f aca="false">IF($B$10=0,"",IFERROR(IF($B$4&gt;0,IF($M474="",1/0,$M474*$B$4),0)+IF($B$5&gt;0,IF($N474="",1/0,$N474*$B$5),0)+IF($B$6&gt;0,IF($O474="",1/0,$O474*$B$6),0),""))</f>
        <v/>
      </c>
      <c r="R474" s="17"/>
      <c r="S474" s="18" t="str">
        <f aca="false">IF($Q474="","",IF($R474="Y",IFERROR(VLOOKUP($B474,$C$4:$D$13,2,FALSE()),0),0))</f>
        <v/>
      </c>
      <c r="T474" s="17" t="str">
        <f aca="false">IF($Q474="","",ROUNDDOWN($Q474*$S474,0))</f>
        <v/>
      </c>
      <c r="U474" s="17" t="str">
        <f aca="false">IF($Q474="","",$Q474-$T474)</f>
        <v/>
      </c>
      <c r="V474" s="17" t="str">
        <f aca="false">IF($U474="","",IF($B$10=0,"",$U474/$B$10))</f>
        <v/>
      </c>
      <c r="W474" s="17" t="str">
        <f aca="false">IF($Q474="","",IF($B$10=0,"",$Q474/$B$10))</f>
        <v/>
      </c>
      <c r="X474" s="19" t="n">
        <f aca="false">IF($U474="",1000000000000000,$U474)</f>
        <v>1000000000000000</v>
      </c>
      <c r="XFC474" s="6"/>
    </row>
    <row r="475" s="5" customFormat="true" ht="28.5" hidden="false" customHeight="true" outlineLevel="0" collapsed="false">
      <c r="A475" s="16" t="str">
        <f aca="false">IF($U475="","",1+COUNTIF($X$15:$X$728,"&lt;"&amp;X475))</f>
        <v/>
      </c>
      <c r="B475" s="16" t="s">
        <v>12</v>
      </c>
      <c r="C475" s="16" t="s">
        <v>1420</v>
      </c>
      <c r="D475" s="20" t="s">
        <v>294</v>
      </c>
      <c r="E475" s="16" t="s">
        <v>47</v>
      </c>
      <c r="F475" s="16" t="s">
        <v>1421</v>
      </c>
      <c r="G475" s="16" t="s">
        <v>1422</v>
      </c>
      <c r="H475" s="17" t="n">
        <v>1965</v>
      </c>
      <c r="I475" s="17"/>
      <c r="J475" s="17"/>
      <c r="K475" s="17" t="n">
        <v>1995</v>
      </c>
      <c r="L475" s="17" t="n">
        <f aca="false">IF(AND(IFERROR(SEARCH("현대오일뱅크",$C475),0)&gt;0,IFERROR(SEARCH("직영",$C475),0)&gt;0),$B$13,0)</f>
        <v>0</v>
      </c>
      <c r="M475" s="17" t="n">
        <f aca="false">IF($H475="","",$H475+$L475)</f>
        <v>1965</v>
      </c>
      <c r="N475" s="17" t="str">
        <f aca="false">IF($I475="","",$I475+$L475)</f>
        <v/>
      </c>
      <c r="O475" s="17" t="n">
        <f aca="false">IF($K475="","",$K475+$L475)</f>
        <v>1995</v>
      </c>
      <c r="P475" s="17" t="str">
        <f aca="false">IF($B$10=0,"",IFERROR(IF($B$4&gt;0,"휘발유 "&amp;TEXT(IF($M475="",1/0,$M475*$B$4),"#,##0")&amp;"원","")&amp;IF($B$5&gt;0,IF($B$4&gt;0," / ","")&amp;"고급유 "&amp;TEXT(IF($N475="",1/0,$N475*$B$5),"#,##0")&amp;"원","")&amp;IF($B$6&gt;0,IF(OR($B$4&gt;0,$B$5&gt;0)," / ","")&amp;"경유 "&amp;TEXT(IF($O475="",1/0,$O475*$B$6),"#,##0")&amp;"원",""),""))</f>
        <v/>
      </c>
      <c r="Q475" s="17" t="str">
        <f aca="false">IF($B$10=0,"",IFERROR(IF($B$4&gt;0,IF($M475="",1/0,$M475*$B$4),0)+IF($B$5&gt;0,IF($N475="",1/0,$N475*$B$5),0)+IF($B$6&gt;0,IF($O475="",1/0,$O475*$B$6),0),""))</f>
        <v/>
      </c>
      <c r="R475" s="17" t="s">
        <v>47</v>
      </c>
      <c r="S475" s="18" t="str">
        <f aca="false">IF($Q475="","",IF($R475="Y",IFERROR(VLOOKUP($B475,$C$4:$D$13,2,FALSE()),0),0))</f>
        <v/>
      </c>
      <c r="T475" s="17" t="str">
        <f aca="false">IF($Q475="","",ROUNDDOWN($Q475*$S475,0))</f>
        <v/>
      </c>
      <c r="U475" s="17" t="str">
        <f aca="false">IF($Q475="","",$Q475-$T475)</f>
        <v/>
      </c>
      <c r="V475" s="17" t="str">
        <f aca="false">IF($U475="","",IF($B$10=0,"",$U475/$B$10))</f>
        <v/>
      </c>
      <c r="W475" s="17" t="str">
        <f aca="false">IF($Q475="","",IF($B$10=0,"",$Q475/$B$10))</f>
        <v/>
      </c>
      <c r="X475" s="19" t="n">
        <f aca="false">IF($U475="",1000000000000000,$U475)</f>
        <v>1000000000000000</v>
      </c>
      <c r="XFC475" s="6"/>
    </row>
    <row r="476" s="5" customFormat="true" ht="28.5" hidden="false" customHeight="true" outlineLevel="0" collapsed="false">
      <c r="A476" s="16" t="str">
        <f aca="false">IF($U476="","",1+COUNTIF($X$15:$X$728,"&lt;"&amp;X476))</f>
        <v/>
      </c>
      <c r="B476" s="16" t="s">
        <v>6</v>
      </c>
      <c r="C476" s="16" t="s">
        <v>1423</v>
      </c>
      <c r="D476" s="20" t="s">
        <v>108</v>
      </c>
      <c r="E476" s="16" t="s">
        <v>59</v>
      </c>
      <c r="F476" s="16" t="s">
        <v>1424</v>
      </c>
      <c r="G476" s="16" t="s">
        <v>1425</v>
      </c>
      <c r="H476" s="17" t="n">
        <v>1975</v>
      </c>
      <c r="I476" s="17"/>
      <c r="J476" s="17"/>
      <c r="K476" s="17" t="n">
        <v>1995</v>
      </c>
      <c r="L476" s="17" t="n">
        <f aca="false">IF(AND(IFERROR(SEARCH("현대오일뱅크",$C476),0)&gt;0,IFERROR(SEARCH("직영",$C476),0)&gt;0),$B$13,0)</f>
        <v>0</v>
      </c>
      <c r="M476" s="17" t="n">
        <f aca="false">IF($H476="","",$H476+$L476)</f>
        <v>1975</v>
      </c>
      <c r="N476" s="17" t="str">
        <f aca="false">IF($I476="","",$I476+$L476)</f>
        <v/>
      </c>
      <c r="O476" s="17" t="n">
        <f aca="false">IF($K476="","",$K476+$L476)</f>
        <v>1995</v>
      </c>
      <c r="P476" s="17" t="str">
        <f aca="false">IF($B$10=0,"",IFERROR(IF($B$4&gt;0,"휘발유 "&amp;TEXT(IF($M476="",1/0,$M476*$B$4),"#,##0")&amp;"원","")&amp;IF($B$5&gt;0,IF($B$4&gt;0," / ","")&amp;"고급유 "&amp;TEXT(IF($N476="",1/0,$N476*$B$5),"#,##0")&amp;"원","")&amp;IF($B$6&gt;0,IF(OR($B$4&gt;0,$B$5&gt;0)," / ","")&amp;"경유 "&amp;TEXT(IF($O476="",1/0,$O476*$B$6),"#,##0")&amp;"원",""),""))</f>
        <v/>
      </c>
      <c r="Q476" s="17" t="str">
        <f aca="false">IF($B$10=0,"",IFERROR(IF($B$4&gt;0,IF($M476="",1/0,$M476*$B$4),0)+IF($B$5&gt;0,IF($N476="",1/0,$N476*$B$5),0)+IF($B$6&gt;0,IF($O476="",1/0,$O476*$B$6),0),""))</f>
        <v/>
      </c>
      <c r="R476" s="17" t="s">
        <v>47</v>
      </c>
      <c r="S476" s="18" t="str">
        <f aca="false">IF($Q476="","",IF($R476="Y",IFERROR(VLOOKUP($B476,$C$4:$D$13,2,FALSE()),0),0))</f>
        <v/>
      </c>
      <c r="T476" s="17" t="str">
        <f aca="false">IF($Q476="","",ROUNDDOWN($Q476*$S476,0))</f>
        <v/>
      </c>
      <c r="U476" s="17" t="str">
        <f aca="false">IF($Q476="","",$Q476-$T476)</f>
        <v/>
      </c>
      <c r="V476" s="17" t="str">
        <f aca="false">IF($U476="","",IF($B$10=0,"",$U476/$B$10))</f>
        <v/>
      </c>
      <c r="W476" s="17" t="str">
        <f aca="false">IF($Q476="","",IF($B$10=0,"",$Q476/$B$10))</f>
        <v/>
      </c>
      <c r="X476" s="19" t="n">
        <f aca="false">IF($U476="",1000000000000000,$U476)</f>
        <v>1000000000000000</v>
      </c>
      <c r="XFC476" s="6"/>
    </row>
    <row r="477" s="5" customFormat="true" ht="28.5" hidden="false" customHeight="true" outlineLevel="0" collapsed="false">
      <c r="A477" s="16" t="str">
        <f aca="false">IF($U477="","",1+COUNTIF($X$15:$X$728,"&lt;"&amp;X477))</f>
        <v/>
      </c>
      <c r="B477" s="16" t="s">
        <v>10</v>
      </c>
      <c r="C477" s="16" t="s">
        <v>1426</v>
      </c>
      <c r="D477" s="16" t="s">
        <v>58</v>
      </c>
      <c r="E477" s="16" t="s">
        <v>47</v>
      </c>
      <c r="F477" s="16" t="s">
        <v>1427</v>
      </c>
      <c r="G477" s="16" t="s">
        <v>1428</v>
      </c>
      <c r="H477" s="17" t="n">
        <v>1779</v>
      </c>
      <c r="I477" s="17"/>
      <c r="J477" s="17"/>
      <c r="K477" s="17" t="n">
        <v>1749</v>
      </c>
      <c r="L477" s="17" t="n">
        <v>0</v>
      </c>
      <c r="M477" s="17" t="n">
        <f aca="false">IF($H477="","",$H477+$L477)</f>
        <v>1779</v>
      </c>
      <c r="N477" s="17" t="str">
        <f aca="false">IF($I477="","",$I477+$L477)</f>
        <v/>
      </c>
      <c r="O477" s="17" t="n">
        <f aca="false">IF($K477="","",$K477+$L477)</f>
        <v>1749</v>
      </c>
      <c r="P477" s="17" t="str">
        <f aca="false">IF($B$10=0,"",IFERROR(IF($B$4&gt;0,"휘발유 "&amp;TEXT(IF($M477="",1/0,$M477*$B$4),"#,##0")&amp;"원","")&amp;IF($B$5&gt;0,IF($B$4&gt;0," / ","")&amp;"고급유 "&amp;TEXT(IF($N477="",1/0,$N477*$B$5),"#,##0")&amp;"원","")&amp;IF($B$6&gt;0,IF(OR($B$4&gt;0,$B$5&gt;0)," / ","")&amp;"경유 "&amp;TEXT(IF($O477="",1/0,$O477*$B$6),"#,##0")&amp;"원",""),""))</f>
        <v/>
      </c>
      <c r="Q477" s="17" t="str">
        <f aca="false">IF($B$10=0,"",IFERROR(IF($B$4&gt;0,IF($M477="",1/0,$M477*$B$4),0)+IF($B$5&gt;0,IF($N477="",1/0,$N477*$B$5),0)+IF($B$6&gt;0,IF($O477="",1/0,$O477*$B$6),0),""))</f>
        <v/>
      </c>
      <c r="R477" s="17"/>
      <c r="S477" s="18" t="str">
        <f aca="false">IF($Q477="","",IF($R477="Y",IFERROR(VLOOKUP($B477,$C$4:$D$13,2,FALSE()),0),0))</f>
        <v/>
      </c>
      <c r="T477" s="17" t="str">
        <f aca="false">IF($Q477="","",ROUNDDOWN($Q477*$S477,0))</f>
        <v/>
      </c>
      <c r="U477" s="17" t="str">
        <f aca="false">IF($Q477="","",$Q477-$T477)</f>
        <v/>
      </c>
      <c r="V477" s="17" t="str">
        <f aca="false">IF($U477="","",IF($B$10=0,"",$U477/$B$10))</f>
        <v/>
      </c>
      <c r="W477" s="17" t="str">
        <f aca="false">IF($Q477="","",IF($B$10=0,"",$Q477/$B$10))</f>
        <v/>
      </c>
      <c r="X477" s="19" t="n">
        <f aca="false">IF($U477="",1000000000000000,$U477)</f>
        <v>1000000000000000</v>
      </c>
      <c r="XFC477" s="6"/>
    </row>
    <row r="478" s="5" customFormat="true" ht="28.5" hidden="false" customHeight="true" outlineLevel="0" collapsed="false">
      <c r="A478" s="16" t="str">
        <f aca="false">IF($U478="","",1+COUNTIF($X$15:$X$728,"&lt;"&amp;X478))</f>
        <v/>
      </c>
      <c r="B478" s="16" t="s">
        <v>14</v>
      </c>
      <c r="C478" s="16" t="s">
        <v>1429</v>
      </c>
      <c r="D478" s="16" t="s">
        <v>58</v>
      </c>
      <c r="E478" s="16" t="s">
        <v>47</v>
      </c>
      <c r="F478" s="16" t="s">
        <v>1430</v>
      </c>
      <c r="G478" s="16" t="s">
        <v>1431</v>
      </c>
      <c r="H478" s="17" t="n">
        <v>1999</v>
      </c>
      <c r="I478" s="17"/>
      <c r="J478" s="17"/>
      <c r="K478" s="17" t="n">
        <v>1999</v>
      </c>
      <c r="L478" s="17" t="n">
        <f aca="false">IF(AND(IFERROR(SEARCH("현대오일뱅크",$C478),0)&gt;0,IFERROR(SEARCH("직영",$C478),0)&gt;0),$B$13,0)</f>
        <v>0</v>
      </c>
      <c r="M478" s="17" t="n">
        <f aca="false">IF($H478="","",$H478+$L478)</f>
        <v>1999</v>
      </c>
      <c r="N478" s="17" t="str">
        <f aca="false">IF($I478="","",$I478+$L478)</f>
        <v/>
      </c>
      <c r="O478" s="17" t="n">
        <f aca="false">IF($K478="","",$K478+$L478)</f>
        <v>1999</v>
      </c>
      <c r="P478" s="17" t="str">
        <f aca="false">IF($B$10=0,"",IFERROR(IF($B$4&gt;0,"휘발유 "&amp;TEXT(IF($M478="",1/0,$M478*$B$4),"#,##0")&amp;"원","")&amp;IF($B$5&gt;0,IF($B$4&gt;0," / ","")&amp;"고급유 "&amp;TEXT(IF($N478="",1/0,$N478*$B$5),"#,##0")&amp;"원","")&amp;IF($B$6&gt;0,IF(OR($B$4&gt;0,$B$5&gt;0)," / ","")&amp;"경유 "&amp;TEXT(IF($O478="",1/0,$O478*$B$6),"#,##0")&amp;"원",""),""))</f>
        <v/>
      </c>
      <c r="Q478" s="17" t="str">
        <f aca="false">IF($B$10=0,"",IFERROR(IF($B$4&gt;0,IF($M478="",1/0,$M478*$B$4),0)+IF($B$5&gt;0,IF($N478="",1/0,$N478*$B$5),0)+IF($B$6&gt;0,IF($O478="",1/0,$O478*$B$6),0),""))</f>
        <v/>
      </c>
      <c r="R478" s="17" t="s">
        <v>47</v>
      </c>
      <c r="S478" s="18" t="str">
        <f aca="false">IF($Q478="","",IF($R478="Y",IFERROR(VLOOKUP($B478,$C$4:$D$13,2,FALSE()),0),0))</f>
        <v/>
      </c>
      <c r="T478" s="17" t="str">
        <f aca="false">IF($Q478="","",ROUNDDOWN($Q478*$S478,0))</f>
        <v/>
      </c>
      <c r="U478" s="17" t="str">
        <f aca="false">IF($Q478="","",$Q478-$T478)</f>
        <v/>
      </c>
      <c r="V478" s="17" t="str">
        <f aca="false">IF($U478="","",IF($B$10=0,"",$U478/$B$10))</f>
        <v/>
      </c>
      <c r="W478" s="17" t="str">
        <f aca="false">IF($Q478="","",IF($B$10=0,"",$Q478/$B$10))</f>
        <v/>
      </c>
      <c r="X478" s="19" t="n">
        <f aca="false">IF($U478="",1000000000000000,$U478)</f>
        <v>1000000000000000</v>
      </c>
      <c r="XFC478" s="6"/>
    </row>
    <row r="479" s="5" customFormat="true" ht="28.5" hidden="false" customHeight="true" outlineLevel="0" collapsed="false">
      <c r="A479" s="16" t="str">
        <f aca="false">IF($U479="","",1+COUNTIF($X$15:$X$728,"&lt;"&amp;X479))</f>
        <v/>
      </c>
      <c r="B479" s="16" t="s">
        <v>14</v>
      </c>
      <c r="C479" s="16" t="s">
        <v>1432</v>
      </c>
      <c r="D479" s="16" t="s">
        <v>58</v>
      </c>
      <c r="E479" s="16" t="s">
        <v>59</v>
      </c>
      <c r="F479" s="16" t="s">
        <v>1433</v>
      </c>
      <c r="G479" s="16" t="s">
        <v>1434</v>
      </c>
      <c r="H479" s="17" t="n">
        <v>1999</v>
      </c>
      <c r="I479" s="17"/>
      <c r="J479" s="17"/>
      <c r="K479" s="17" t="n">
        <v>1999</v>
      </c>
      <c r="L479" s="17" t="n">
        <f aca="false">IF(AND(IFERROR(SEARCH("현대오일뱅크",$C479),0)&gt;0,IFERROR(SEARCH("직영",$C479),0)&gt;0),$B$13,0)</f>
        <v>0</v>
      </c>
      <c r="M479" s="17" t="n">
        <f aca="false">IF($H479="","",$H479+$L479)</f>
        <v>1999</v>
      </c>
      <c r="N479" s="17" t="str">
        <f aca="false">IF($I479="","",$I479+$L479)</f>
        <v/>
      </c>
      <c r="O479" s="17" t="n">
        <f aca="false">IF($K479="","",$K479+$L479)</f>
        <v>1999</v>
      </c>
      <c r="P479" s="17" t="str">
        <f aca="false">IF($B$10=0,"",IFERROR(IF($B$4&gt;0,"휘발유 "&amp;TEXT(IF($M479="",1/0,$M479*$B$4),"#,##0")&amp;"원","")&amp;IF($B$5&gt;0,IF($B$4&gt;0," / ","")&amp;"고급유 "&amp;TEXT(IF($N479="",1/0,$N479*$B$5),"#,##0")&amp;"원","")&amp;IF($B$6&gt;0,IF(OR($B$4&gt;0,$B$5&gt;0)," / ","")&amp;"경유 "&amp;TEXT(IF($O479="",1/0,$O479*$B$6),"#,##0")&amp;"원",""),""))</f>
        <v/>
      </c>
      <c r="Q479" s="17" t="str">
        <f aca="false">IF($B$10=0,"",IFERROR(IF($B$4&gt;0,IF($M479="",1/0,$M479*$B$4),0)+IF($B$5&gt;0,IF($N479="",1/0,$N479*$B$5),0)+IF($B$6&gt;0,IF($O479="",1/0,$O479*$B$6),0),""))</f>
        <v/>
      </c>
      <c r="R479" s="17" t="s">
        <v>47</v>
      </c>
      <c r="S479" s="18" t="str">
        <f aca="false">IF($Q479="","",IF($R479="Y",IFERROR(VLOOKUP($B479,$C$4:$D$13,2,FALSE()),0),0))</f>
        <v/>
      </c>
      <c r="T479" s="17" t="str">
        <f aca="false">IF($Q479="","",ROUNDDOWN($Q479*$S479,0))</f>
        <v/>
      </c>
      <c r="U479" s="17" t="str">
        <f aca="false">IF($Q479="","",$Q479-$T479)</f>
        <v/>
      </c>
      <c r="V479" s="17" t="str">
        <f aca="false">IF($U479="","",IF($B$10=0,"",$U479/$B$10))</f>
        <v/>
      </c>
      <c r="W479" s="17" t="str">
        <f aca="false">IF($Q479="","",IF($B$10=0,"",$Q479/$B$10))</f>
        <v/>
      </c>
      <c r="X479" s="19" t="n">
        <f aca="false">IF($U479="",1000000000000000,$U479)</f>
        <v>1000000000000000</v>
      </c>
      <c r="XFC479" s="6"/>
    </row>
    <row r="480" s="5" customFormat="true" ht="28.5" hidden="false" customHeight="true" outlineLevel="0" collapsed="false">
      <c r="A480" s="16" t="str">
        <f aca="false">IF($U480="","",1+COUNTIF($X$15:$X$728,"&lt;"&amp;X480))</f>
        <v/>
      </c>
      <c r="B480" s="16" t="s">
        <v>14</v>
      </c>
      <c r="C480" s="16" t="s">
        <v>1435</v>
      </c>
      <c r="D480" s="16" t="s">
        <v>112</v>
      </c>
      <c r="E480" s="16" t="s">
        <v>59</v>
      </c>
      <c r="F480" s="16" t="s">
        <v>1436</v>
      </c>
      <c r="G480" s="16" t="s">
        <v>1437</v>
      </c>
      <c r="H480" s="17" t="n">
        <v>1999</v>
      </c>
      <c r="I480" s="17"/>
      <c r="J480" s="17"/>
      <c r="K480" s="17" t="n">
        <v>1980</v>
      </c>
      <c r="L480" s="17" t="n">
        <f aca="false">IF(AND(IFERROR(SEARCH("현대오일뱅크",$C480),0)&gt;0,IFERROR(SEARCH("직영",$C480),0)&gt;0),$B$13,0)</f>
        <v>0</v>
      </c>
      <c r="M480" s="17" t="n">
        <f aca="false">IF($H480="","",$H480+$L480)</f>
        <v>1999</v>
      </c>
      <c r="N480" s="17" t="str">
        <f aca="false">IF($I480="","",$I480+$L480)</f>
        <v/>
      </c>
      <c r="O480" s="17" t="n">
        <f aca="false">IF($K480="","",$K480+$L480)</f>
        <v>1980</v>
      </c>
      <c r="P480" s="17" t="str">
        <f aca="false">IF($B$10=0,"",IFERROR(IF($B$4&gt;0,"휘발유 "&amp;TEXT(IF($M480="",1/0,$M480*$B$4),"#,##0")&amp;"원","")&amp;IF($B$5&gt;0,IF($B$4&gt;0," / ","")&amp;"고급유 "&amp;TEXT(IF($N480="",1/0,$N480*$B$5),"#,##0")&amp;"원","")&amp;IF($B$6&gt;0,IF(OR($B$4&gt;0,$B$5&gt;0)," / ","")&amp;"경유 "&amp;TEXT(IF($O480="",1/0,$O480*$B$6),"#,##0")&amp;"원",""),""))</f>
        <v/>
      </c>
      <c r="Q480" s="17" t="str">
        <f aca="false">IF($B$10=0,"",IFERROR(IF($B$4&gt;0,IF($M480="",1/0,$M480*$B$4),0)+IF($B$5&gt;0,IF($N480="",1/0,$N480*$B$5),0)+IF($B$6&gt;0,IF($O480="",1/0,$O480*$B$6),0),""))</f>
        <v/>
      </c>
      <c r="R480" s="17" t="s">
        <v>47</v>
      </c>
      <c r="S480" s="18" t="str">
        <f aca="false">IF($Q480="","",IF($R480="Y",IFERROR(VLOOKUP($B480,$C$4:$D$13,2,FALSE()),0),0))</f>
        <v/>
      </c>
      <c r="T480" s="17" t="str">
        <f aca="false">IF($Q480="","",ROUNDDOWN($Q480*$S480,0))</f>
        <v/>
      </c>
      <c r="U480" s="17" t="str">
        <f aca="false">IF($Q480="","",$Q480-$T480)</f>
        <v/>
      </c>
      <c r="V480" s="17" t="str">
        <f aca="false">IF($U480="","",IF($B$10=0,"",$U480/$B$10))</f>
        <v/>
      </c>
      <c r="W480" s="17" t="str">
        <f aca="false">IF($Q480="","",IF($B$10=0,"",$Q480/$B$10))</f>
        <v/>
      </c>
      <c r="X480" s="19" t="n">
        <f aca="false">IF($U480="",1000000000000000,$U480)</f>
        <v>1000000000000000</v>
      </c>
      <c r="XFC480" s="6"/>
    </row>
    <row r="481" s="5" customFormat="true" ht="28.5" hidden="false" customHeight="true" outlineLevel="0" collapsed="false">
      <c r="A481" s="16" t="str">
        <f aca="false">IF($U481="","",1+COUNTIF($X$15:$X$728,"&lt;"&amp;X481))</f>
        <v/>
      </c>
      <c r="B481" s="16" t="s">
        <v>14</v>
      </c>
      <c r="C481" s="16" t="s">
        <v>1438</v>
      </c>
      <c r="D481" s="16" t="s">
        <v>58</v>
      </c>
      <c r="E481" s="16" t="s">
        <v>47</v>
      </c>
      <c r="F481" s="16" t="s">
        <v>1439</v>
      </c>
      <c r="G481" s="16" t="s">
        <v>1440</v>
      </c>
      <c r="H481" s="17" t="n">
        <v>1999</v>
      </c>
      <c r="I481" s="17"/>
      <c r="J481" s="17"/>
      <c r="K481" s="17" t="n">
        <v>2085</v>
      </c>
      <c r="L481" s="17" t="n">
        <f aca="false">IF(AND(IFERROR(SEARCH("현대오일뱅크",$C481),0)&gt;0,IFERROR(SEARCH("직영",$C481),0)&gt;0),$B$13,0)</f>
        <v>0</v>
      </c>
      <c r="M481" s="17" t="n">
        <f aca="false">IF($H481="","",$H481+$L481)</f>
        <v>1999</v>
      </c>
      <c r="N481" s="17" t="str">
        <f aca="false">IF($I481="","",$I481+$L481)</f>
        <v/>
      </c>
      <c r="O481" s="17" t="n">
        <f aca="false">IF($K481="","",$K481+$L481)</f>
        <v>2085</v>
      </c>
      <c r="P481" s="17" t="str">
        <f aca="false">IF($B$10=0,"",IFERROR(IF($B$4&gt;0,"휘발유 "&amp;TEXT(IF($M481="",1/0,$M481*$B$4),"#,##0")&amp;"원","")&amp;IF($B$5&gt;0,IF($B$4&gt;0," / ","")&amp;"고급유 "&amp;TEXT(IF($N481="",1/0,$N481*$B$5),"#,##0")&amp;"원","")&amp;IF($B$6&gt;0,IF(OR($B$4&gt;0,$B$5&gt;0)," / ","")&amp;"경유 "&amp;TEXT(IF($O481="",1/0,$O481*$B$6),"#,##0")&amp;"원",""),""))</f>
        <v/>
      </c>
      <c r="Q481" s="17" t="str">
        <f aca="false">IF($B$10=0,"",IFERROR(IF($B$4&gt;0,IF($M481="",1/0,$M481*$B$4),0)+IF($B$5&gt;0,IF($N481="",1/0,$N481*$B$5),0)+IF($B$6&gt;0,IF($O481="",1/0,$O481*$B$6),0),""))</f>
        <v/>
      </c>
      <c r="R481" s="17" t="s">
        <v>47</v>
      </c>
      <c r="S481" s="18" t="str">
        <f aca="false">IF($Q481="","",IF($R481="Y",IFERROR(VLOOKUP($B481,$C$4:$D$13,2,FALSE()),0),0))</f>
        <v/>
      </c>
      <c r="T481" s="17" t="str">
        <f aca="false">IF($Q481="","",ROUNDDOWN($Q481*$S481,0))</f>
        <v/>
      </c>
      <c r="U481" s="17" t="str">
        <f aca="false">IF($Q481="","",$Q481-$T481)</f>
        <v/>
      </c>
      <c r="V481" s="17" t="str">
        <f aca="false">IF($U481="","",IF($B$10=0,"",$U481/$B$10))</f>
        <v/>
      </c>
      <c r="W481" s="17" t="str">
        <f aca="false">IF($Q481="","",IF($B$10=0,"",$Q481/$B$10))</f>
        <v/>
      </c>
      <c r="X481" s="19" t="n">
        <f aca="false">IF($U481="",1000000000000000,$U481)</f>
        <v>1000000000000000</v>
      </c>
      <c r="XFC481" s="6"/>
    </row>
    <row r="482" s="5" customFormat="true" ht="28.5" hidden="false" customHeight="true" outlineLevel="0" collapsed="false">
      <c r="A482" s="16" t="str">
        <f aca="false">IF($U482="","",1+COUNTIF($X$15:$X$728,"&lt;"&amp;X482))</f>
        <v/>
      </c>
      <c r="B482" s="16" t="s">
        <v>14</v>
      </c>
      <c r="C482" s="16" t="s">
        <v>1441</v>
      </c>
      <c r="D482" s="16" t="s">
        <v>112</v>
      </c>
      <c r="E482" s="16" t="s">
        <v>47</v>
      </c>
      <c r="F482" s="16" t="s">
        <v>1442</v>
      </c>
      <c r="G482" s="16" t="s">
        <v>1443</v>
      </c>
      <c r="H482" s="17" t="n">
        <v>1999</v>
      </c>
      <c r="I482" s="17"/>
      <c r="J482" s="17"/>
      <c r="K482" s="17" t="n">
        <v>1999</v>
      </c>
      <c r="L482" s="17" t="n">
        <f aca="false">IF(AND(IFERROR(SEARCH("현대오일뱅크",$C482),0)&gt;0,IFERROR(SEARCH("직영",$C482),0)&gt;0),$B$13,0)</f>
        <v>0</v>
      </c>
      <c r="M482" s="17" t="n">
        <f aca="false">IF($H482="","",$H482+$L482)</f>
        <v>1999</v>
      </c>
      <c r="N482" s="17" t="str">
        <f aca="false">IF($I482="","",$I482+$L482)</f>
        <v/>
      </c>
      <c r="O482" s="17" t="n">
        <f aca="false">IF($K482="","",$K482+$L482)</f>
        <v>1999</v>
      </c>
      <c r="P482" s="17" t="str">
        <f aca="false">IF($B$10=0,"",IFERROR(IF($B$4&gt;0,"휘발유 "&amp;TEXT(IF($M482="",1/0,$M482*$B$4),"#,##0")&amp;"원","")&amp;IF($B$5&gt;0,IF($B$4&gt;0," / ","")&amp;"고급유 "&amp;TEXT(IF($N482="",1/0,$N482*$B$5),"#,##0")&amp;"원","")&amp;IF($B$6&gt;0,IF(OR($B$4&gt;0,$B$5&gt;0)," / ","")&amp;"경유 "&amp;TEXT(IF($O482="",1/0,$O482*$B$6),"#,##0")&amp;"원",""),""))</f>
        <v/>
      </c>
      <c r="Q482" s="17" t="str">
        <f aca="false">IF($B$10=0,"",IFERROR(IF($B$4&gt;0,IF($M482="",1/0,$M482*$B$4),0)+IF($B$5&gt;0,IF($N482="",1/0,$N482*$B$5),0)+IF($B$6&gt;0,IF($O482="",1/0,$O482*$B$6),0),""))</f>
        <v/>
      </c>
      <c r="R482" s="17" t="s">
        <v>47</v>
      </c>
      <c r="S482" s="18" t="str">
        <f aca="false">IF($Q482="","",IF($R482="Y",IFERROR(VLOOKUP($B482,$C$4:$D$13,2,FALSE()),0),0))</f>
        <v/>
      </c>
      <c r="T482" s="17" t="str">
        <f aca="false">IF($Q482="","",ROUNDDOWN($Q482*$S482,0))</f>
        <v/>
      </c>
      <c r="U482" s="17" t="str">
        <f aca="false">IF($Q482="","",$Q482-$T482)</f>
        <v/>
      </c>
      <c r="V482" s="17" t="str">
        <f aca="false">IF($U482="","",IF($B$10=0,"",$U482/$B$10))</f>
        <v/>
      </c>
      <c r="W482" s="17" t="str">
        <f aca="false">IF($Q482="","",IF($B$10=0,"",$Q482/$B$10))</f>
        <v/>
      </c>
      <c r="X482" s="19" t="n">
        <f aca="false">IF($U482="",1000000000000000,$U482)</f>
        <v>1000000000000000</v>
      </c>
      <c r="XFC482" s="6"/>
    </row>
    <row r="483" s="5" customFormat="true" ht="28.5" hidden="false" customHeight="true" outlineLevel="0" collapsed="false">
      <c r="A483" s="16" t="str">
        <f aca="false">IF($U483="","",1+COUNTIF($X$15:$X$728,"&lt;"&amp;X483))</f>
        <v/>
      </c>
      <c r="B483" s="16" t="s">
        <v>14</v>
      </c>
      <c r="C483" s="16" t="s">
        <v>1444</v>
      </c>
      <c r="D483" s="16" t="s">
        <v>112</v>
      </c>
      <c r="E483" s="16" t="s">
        <v>59</v>
      </c>
      <c r="F483" s="16" t="s">
        <v>1445</v>
      </c>
      <c r="G483" s="16" t="s">
        <v>1446</v>
      </c>
      <c r="H483" s="17" t="n">
        <v>1999</v>
      </c>
      <c r="I483" s="17"/>
      <c r="J483" s="17"/>
      <c r="K483" s="17" t="n">
        <v>2099</v>
      </c>
      <c r="L483" s="17" t="n">
        <f aca="false">IF(AND(IFERROR(SEARCH("현대오일뱅크",$C483),0)&gt;0,IFERROR(SEARCH("직영",$C483),0)&gt;0),$B$13,0)</f>
        <v>0</v>
      </c>
      <c r="M483" s="17" t="n">
        <f aca="false">IF($H483="","",$H483+$L483)</f>
        <v>1999</v>
      </c>
      <c r="N483" s="17" t="str">
        <f aca="false">IF($I483="","",$I483+$L483)</f>
        <v/>
      </c>
      <c r="O483" s="17" t="n">
        <f aca="false">IF($K483="","",$K483+$L483)</f>
        <v>2099</v>
      </c>
      <c r="P483" s="17" t="str">
        <f aca="false">IF($B$10=0,"",IFERROR(IF($B$4&gt;0,"휘발유 "&amp;TEXT(IF($M483="",1/0,$M483*$B$4),"#,##0")&amp;"원","")&amp;IF($B$5&gt;0,IF($B$4&gt;0," / ","")&amp;"고급유 "&amp;TEXT(IF($N483="",1/0,$N483*$B$5),"#,##0")&amp;"원","")&amp;IF($B$6&gt;0,IF(OR($B$4&gt;0,$B$5&gt;0)," / ","")&amp;"경유 "&amp;TEXT(IF($O483="",1/0,$O483*$B$6),"#,##0")&amp;"원",""),""))</f>
        <v/>
      </c>
      <c r="Q483" s="17" t="str">
        <f aca="false">IF($B$10=0,"",IFERROR(IF($B$4&gt;0,IF($M483="",1/0,$M483*$B$4),0)+IF($B$5&gt;0,IF($N483="",1/0,$N483*$B$5),0)+IF($B$6&gt;0,IF($O483="",1/0,$O483*$B$6),0),""))</f>
        <v/>
      </c>
      <c r="R483" s="17" t="s">
        <v>47</v>
      </c>
      <c r="S483" s="18" t="str">
        <f aca="false">IF($Q483="","",IF($R483="Y",IFERROR(VLOOKUP($B483,$C$4:$D$13,2,FALSE()),0),0))</f>
        <v/>
      </c>
      <c r="T483" s="17" t="str">
        <f aca="false">IF($Q483="","",ROUNDDOWN($Q483*$S483,0))</f>
        <v/>
      </c>
      <c r="U483" s="17" t="str">
        <f aca="false">IF($Q483="","",$Q483-$T483)</f>
        <v/>
      </c>
      <c r="V483" s="17" t="str">
        <f aca="false">IF($U483="","",IF($B$10=0,"",$U483/$B$10))</f>
        <v/>
      </c>
      <c r="W483" s="17" t="str">
        <f aca="false">IF($Q483="","",IF($B$10=0,"",$Q483/$B$10))</f>
        <v/>
      </c>
      <c r="X483" s="19" t="n">
        <f aca="false">IF($U483="",1000000000000000,$U483)</f>
        <v>1000000000000000</v>
      </c>
      <c r="XFC483" s="6"/>
    </row>
    <row r="484" s="5" customFormat="true" ht="28.5" hidden="false" customHeight="true" outlineLevel="0" collapsed="false">
      <c r="A484" s="16" t="str">
        <f aca="false">IF($U484="","",1+COUNTIF($X$15:$X$728,"&lt;"&amp;X484))</f>
        <v/>
      </c>
      <c r="B484" s="16" t="s">
        <v>14</v>
      </c>
      <c r="C484" s="16" t="s">
        <v>1447</v>
      </c>
      <c r="D484" s="20" t="s">
        <v>108</v>
      </c>
      <c r="E484" s="16" t="s">
        <v>47</v>
      </c>
      <c r="F484" s="16" t="s">
        <v>1448</v>
      </c>
      <c r="G484" s="16" t="s">
        <v>1449</v>
      </c>
      <c r="H484" s="17" t="n">
        <v>1999</v>
      </c>
      <c r="I484" s="17"/>
      <c r="J484" s="17"/>
      <c r="K484" s="17" t="n">
        <v>2049</v>
      </c>
      <c r="L484" s="17" t="n">
        <f aca="false">IF(AND(IFERROR(SEARCH("현대오일뱅크",$C484),0)&gt;0,IFERROR(SEARCH("직영",$C484),0)&gt;0),$B$13,0)</f>
        <v>0</v>
      </c>
      <c r="M484" s="17" t="n">
        <f aca="false">IF($H484="","",$H484+$L484)</f>
        <v>1999</v>
      </c>
      <c r="N484" s="17" t="str">
        <f aca="false">IF($I484="","",$I484+$L484)</f>
        <v/>
      </c>
      <c r="O484" s="17" t="n">
        <f aca="false">IF($K484="","",$K484+$L484)</f>
        <v>2049</v>
      </c>
      <c r="P484" s="17" t="str">
        <f aca="false">IF($B$10=0,"",IFERROR(IF($B$4&gt;0,"휘발유 "&amp;TEXT(IF($M484="",1/0,$M484*$B$4),"#,##0")&amp;"원","")&amp;IF($B$5&gt;0,IF($B$4&gt;0," / ","")&amp;"고급유 "&amp;TEXT(IF($N484="",1/0,$N484*$B$5),"#,##0")&amp;"원","")&amp;IF($B$6&gt;0,IF(OR($B$4&gt;0,$B$5&gt;0)," / ","")&amp;"경유 "&amp;TEXT(IF($O484="",1/0,$O484*$B$6),"#,##0")&amp;"원",""),""))</f>
        <v/>
      </c>
      <c r="Q484" s="17" t="str">
        <f aca="false">IF($B$10=0,"",IFERROR(IF($B$4&gt;0,IF($M484="",1/0,$M484*$B$4),0)+IF($B$5&gt;0,IF($N484="",1/0,$N484*$B$5),0)+IF($B$6&gt;0,IF($O484="",1/0,$O484*$B$6),0),""))</f>
        <v/>
      </c>
      <c r="R484" s="17" t="s">
        <v>47</v>
      </c>
      <c r="S484" s="18" t="str">
        <f aca="false">IF($Q484="","",IF($R484="Y",IFERROR(VLOOKUP($B484,$C$4:$D$13,2,FALSE()),0),0))</f>
        <v/>
      </c>
      <c r="T484" s="17" t="str">
        <f aca="false">IF($Q484="","",ROUNDDOWN($Q484*$S484,0))</f>
        <v/>
      </c>
      <c r="U484" s="17" t="str">
        <f aca="false">IF($Q484="","",$Q484-$T484)</f>
        <v/>
      </c>
      <c r="V484" s="17" t="str">
        <f aca="false">IF($U484="","",IF($B$10=0,"",$U484/$B$10))</f>
        <v/>
      </c>
      <c r="W484" s="17" t="str">
        <f aca="false">IF($Q484="","",IF($B$10=0,"",$Q484/$B$10))</f>
        <v/>
      </c>
      <c r="X484" s="19" t="n">
        <f aca="false">IF($U484="",1000000000000000,$U484)</f>
        <v>1000000000000000</v>
      </c>
      <c r="XFC484" s="6"/>
    </row>
    <row r="485" s="5" customFormat="true" ht="28.5" hidden="false" customHeight="true" outlineLevel="0" collapsed="false">
      <c r="A485" s="16" t="str">
        <f aca="false">IF($U485="","",1+COUNTIF($X$15:$X$728,"&lt;"&amp;X485))</f>
        <v/>
      </c>
      <c r="B485" s="16" t="s">
        <v>10</v>
      </c>
      <c r="C485" s="16" t="s">
        <v>1450</v>
      </c>
      <c r="D485" s="16" t="s">
        <v>112</v>
      </c>
      <c r="E485" s="16" t="s">
        <v>47</v>
      </c>
      <c r="F485" s="16" t="s">
        <v>1451</v>
      </c>
      <c r="G485" s="16" t="s">
        <v>1452</v>
      </c>
      <c r="H485" s="17" t="n">
        <v>1977</v>
      </c>
      <c r="I485" s="17"/>
      <c r="J485" s="17"/>
      <c r="K485" s="17" t="n">
        <v>1987</v>
      </c>
      <c r="L485" s="17" t="n">
        <f aca="false">IF(AND(IFERROR(SEARCH("현대오일뱅크",$C485),0)&gt;0,IFERROR(SEARCH("직영",$C485),0)&gt;0),$B$13,0)</f>
        <v>0</v>
      </c>
      <c r="M485" s="17" t="n">
        <f aca="false">IF($H485="","",$H485+$L485)</f>
        <v>1977</v>
      </c>
      <c r="N485" s="17" t="str">
        <f aca="false">IF($I485="","",$I485+$L485)</f>
        <v/>
      </c>
      <c r="O485" s="17" t="n">
        <f aca="false">IF($K485="","",$K485+$L485)</f>
        <v>1987</v>
      </c>
      <c r="P485" s="17" t="str">
        <f aca="false">IF($B$10=0,"",IFERROR(IF($B$4&gt;0,"휘발유 "&amp;TEXT(IF($M485="",1/0,$M485*$B$4),"#,##0")&amp;"원","")&amp;IF($B$5&gt;0,IF($B$4&gt;0," / ","")&amp;"고급유 "&amp;TEXT(IF($N485="",1/0,$N485*$B$5),"#,##0")&amp;"원","")&amp;IF($B$6&gt;0,IF(OR($B$4&gt;0,$B$5&gt;0)," / ","")&amp;"경유 "&amp;TEXT(IF($O485="",1/0,$O485*$B$6),"#,##0")&amp;"원",""),""))</f>
        <v/>
      </c>
      <c r="Q485" s="17" t="str">
        <f aca="false">IF($B$10=0,"",IFERROR(IF($B$4&gt;0,IF($M485="",1/0,$M485*$B$4),0)+IF($B$5&gt;0,IF($N485="",1/0,$N485*$B$5),0)+IF($B$6&gt;0,IF($O485="",1/0,$O485*$B$6),0),""))</f>
        <v/>
      </c>
      <c r="R485" s="17" t="s">
        <v>47</v>
      </c>
      <c r="S485" s="18" t="str">
        <f aca="false">IF($Q485="","",IF($R485="Y",IFERROR(VLOOKUP($B485,$C$4:$D$13,2,FALSE()),0),0))</f>
        <v/>
      </c>
      <c r="T485" s="17" t="str">
        <f aca="false">IF($Q485="","",ROUNDDOWN($Q485*$S485,0))</f>
        <v/>
      </c>
      <c r="U485" s="17" t="str">
        <f aca="false">IF($Q485="","",$Q485-$T485)</f>
        <v/>
      </c>
      <c r="V485" s="17" t="str">
        <f aca="false">IF($U485="","",IF($B$10=0,"",$U485/$B$10))</f>
        <v/>
      </c>
      <c r="W485" s="17" t="str">
        <f aca="false">IF($Q485="","",IF($B$10=0,"",$Q485/$B$10))</f>
        <v/>
      </c>
      <c r="X485" s="19" t="n">
        <f aca="false">IF($U485="",1000000000000000,$U485)</f>
        <v>1000000000000000</v>
      </c>
      <c r="XFC485" s="6"/>
    </row>
    <row r="486" s="5" customFormat="true" ht="28.5" hidden="false" customHeight="true" outlineLevel="0" collapsed="false">
      <c r="A486" s="16" t="str">
        <f aca="false">IF($U486="","",1+COUNTIF($X$15:$X$728,"&lt;"&amp;X486))</f>
        <v/>
      </c>
      <c r="B486" s="16" t="s">
        <v>14</v>
      </c>
      <c r="C486" s="16" t="s">
        <v>1453</v>
      </c>
      <c r="D486" s="16" t="s">
        <v>51</v>
      </c>
      <c r="E486" s="16" t="s">
        <v>59</v>
      </c>
      <c r="F486" s="16" t="s">
        <v>1454</v>
      </c>
      <c r="G486" s="16" t="s">
        <v>1455</v>
      </c>
      <c r="H486" s="17" t="n">
        <v>2000</v>
      </c>
      <c r="I486" s="17"/>
      <c r="J486" s="17"/>
      <c r="K486" s="17" t="n">
        <v>2050</v>
      </c>
      <c r="L486" s="17" t="n">
        <f aca="false">IF(AND(IFERROR(SEARCH("현대오일뱅크",$C486),0)&gt;0,IFERROR(SEARCH("직영",$C486),0)&gt;0),$B$13,0)</f>
        <v>0</v>
      </c>
      <c r="M486" s="17" t="n">
        <f aca="false">IF($H486="","",$H486+$L486)</f>
        <v>2000</v>
      </c>
      <c r="N486" s="17" t="str">
        <f aca="false">IF($I486="","",$I486+$L486)</f>
        <v/>
      </c>
      <c r="O486" s="17" t="n">
        <f aca="false">IF($K486="","",$K486+$L486)</f>
        <v>2050</v>
      </c>
      <c r="P486" s="17" t="str">
        <f aca="false">IF($B$10=0,"",IFERROR(IF($B$4&gt;0,"휘발유 "&amp;TEXT(IF($M486="",1/0,$M486*$B$4),"#,##0")&amp;"원","")&amp;IF($B$5&gt;0,IF($B$4&gt;0," / ","")&amp;"고급유 "&amp;TEXT(IF($N486="",1/0,$N486*$B$5),"#,##0")&amp;"원","")&amp;IF($B$6&gt;0,IF(OR($B$4&gt;0,$B$5&gt;0)," / ","")&amp;"경유 "&amp;TEXT(IF($O486="",1/0,$O486*$B$6),"#,##0")&amp;"원",""),""))</f>
        <v/>
      </c>
      <c r="Q486" s="17" t="str">
        <f aca="false">IF($B$10=0,"",IFERROR(IF($B$4&gt;0,IF($M486="",1/0,$M486*$B$4),0)+IF($B$5&gt;0,IF($N486="",1/0,$N486*$B$5),0)+IF($B$6&gt;0,IF($O486="",1/0,$O486*$B$6),0),""))</f>
        <v/>
      </c>
      <c r="R486" s="17" t="s">
        <v>47</v>
      </c>
      <c r="S486" s="18" t="str">
        <f aca="false">IF($Q486="","",IF($R486="Y",IFERROR(VLOOKUP($B486,$C$4:$D$13,2,FALSE()),0),0))</f>
        <v/>
      </c>
      <c r="T486" s="17" t="str">
        <f aca="false">IF($Q486="","",ROUNDDOWN($Q486*$S486,0))</f>
        <v/>
      </c>
      <c r="U486" s="17" t="str">
        <f aca="false">IF($Q486="","",$Q486-$T486)</f>
        <v/>
      </c>
      <c r="V486" s="17" t="str">
        <f aca="false">IF($U486="","",IF($B$10=0,"",$U486/$B$10))</f>
        <v/>
      </c>
      <c r="W486" s="17" t="str">
        <f aca="false">IF($Q486="","",IF($B$10=0,"",$Q486/$B$10))</f>
        <v/>
      </c>
      <c r="X486" s="19" t="n">
        <f aca="false">IF($U486="",1000000000000000,$U486)</f>
        <v>1000000000000000</v>
      </c>
      <c r="XFC486" s="6"/>
    </row>
    <row r="487" s="5" customFormat="true" ht="28.5" hidden="false" customHeight="true" outlineLevel="0" collapsed="false">
      <c r="A487" s="16" t="str">
        <f aca="false">IF($U487="","",1+COUNTIF($X$15:$X$728,"&lt;"&amp;X487))</f>
        <v/>
      </c>
      <c r="B487" s="16" t="s">
        <v>16</v>
      </c>
      <c r="C487" s="16" t="s">
        <v>1456</v>
      </c>
      <c r="D487" s="16" t="s">
        <v>629</v>
      </c>
      <c r="E487" s="16" t="s">
        <v>47</v>
      </c>
      <c r="F487" s="16" t="s">
        <v>1457</v>
      </c>
      <c r="G487" s="16" t="s">
        <v>1458</v>
      </c>
      <c r="H487" s="17" t="n">
        <v>1780</v>
      </c>
      <c r="I487" s="17"/>
      <c r="J487" s="17"/>
      <c r="K487" s="17" t="n">
        <v>1730</v>
      </c>
      <c r="L487" s="17" t="n">
        <f aca="false">IF(AND(IFERROR(SEARCH("현대오일뱅크",$C487),0)&gt;0,IFERROR(SEARCH("직영",$C487),0)&gt;0),$B$13,0)</f>
        <v>0</v>
      </c>
      <c r="M487" s="17" t="n">
        <f aca="false">IF($H487="","",$H487+$L487)</f>
        <v>1780</v>
      </c>
      <c r="N487" s="17" t="str">
        <f aca="false">IF($I487="","",$I487+$L487)</f>
        <v/>
      </c>
      <c r="O487" s="17" t="n">
        <f aca="false">IF($K487="","",$K487+$L487)</f>
        <v>1730</v>
      </c>
      <c r="P487" s="17" t="str">
        <f aca="false">IF($B$10=0,"",IFERROR(IF($B$4&gt;0,"휘발유 "&amp;TEXT(IF($M487="",1/0,$M487*$B$4),"#,##0")&amp;"원","")&amp;IF($B$5&gt;0,IF($B$4&gt;0," / ","")&amp;"고급유 "&amp;TEXT(IF($N487="",1/0,$N487*$B$5),"#,##0")&amp;"원","")&amp;IF($B$6&gt;0,IF(OR($B$4&gt;0,$B$5&gt;0)," / ","")&amp;"경유 "&amp;TEXT(IF($O487="",1/0,$O487*$B$6),"#,##0")&amp;"원",""),""))</f>
        <v/>
      </c>
      <c r="Q487" s="17" t="str">
        <f aca="false">IF($B$10=0,"",IFERROR(IF($B$4&gt;0,IF($M487="",1/0,$M487*$B$4),0)+IF($B$5&gt;0,IF($N487="",1/0,$N487*$B$5),0)+IF($B$6&gt;0,IF($O487="",1/0,$O487*$B$6),0),""))</f>
        <v/>
      </c>
      <c r="R487" s="17"/>
      <c r="S487" s="18" t="str">
        <f aca="false">IF($Q487="","",IF($R487="Y",IFERROR(VLOOKUP($B487,$C$4:$D$13,2,FALSE()),0),0))</f>
        <v/>
      </c>
      <c r="T487" s="17" t="str">
        <f aca="false">IF($Q487="","",ROUNDDOWN($Q487*$S487,0))</f>
        <v/>
      </c>
      <c r="U487" s="17" t="str">
        <f aca="false">IF($Q487="","",$Q487-$T487)</f>
        <v/>
      </c>
      <c r="V487" s="17" t="str">
        <f aca="false">IF($U487="","",IF($B$10=0,"",$U487/$B$10))</f>
        <v/>
      </c>
      <c r="W487" s="17" t="str">
        <f aca="false">IF($Q487="","",IF($B$10=0,"",$Q487/$B$10))</f>
        <v/>
      </c>
      <c r="X487" s="19" t="n">
        <f aca="false">IF($U487="",1000000000000000,$U487)</f>
        <v>1000000000000000</v>
      </c>
      <c r="XFC487" s="6"/>
    </row>
    <row r="488" s="5" customFormat="true" ht="28.5" hidden="false" customHeight="true" outlineLevel="0" collapsed="false">
      <c r="A488" s="16" t="str">
        <f aca="false">IF($U488="","",1+COUNTIF($X$15:$X$728,"&lt;"&amp;X488))</f>
        <v/>
      </c>
      <c r="B488" s="16" t="s">
        <v>16</v>
      </c>
      <c r="C488" s="16" t="s">
        <v>1459</v>
      </c>
      <c r="D488" s="16" t="s">
        <v>629</v>
      </c>
      <c r="E488" s="16" t="s">
        <v>59</v>
      </c>
      <c r="F488" s="16" t="s">
        <v>1460</v>
      </c>
      <c r="G488" s="16" t="s">
        <v>1461</v>
      </c>
      <c r="H488" s="17" t="n">
        <v>1780</v>
      </c>
      <c r="I488" s="17"/>
      <c r="J488" s="17"/>
      <c r="K488" s="17" t="n">
        <v>1730</v>
      </c>
      <c r="L488" s="17" t="n">
        <f aca="false">IF(AND(IFERROR(SEARCH("현대오일뱅크",$C488),0)&gt;0,IFERROR(SEARCH("직영",$C488),0)&gt;0),$B$13,0)</f>
        <v>0</v>
      </c>
      <c r="M488" s="17" t="n">
        <f aca="false">IF($H488="","",$H488+$L488)</f>
        <v>1780</v>
      </c>
      <c r="N488" s="17" t="str">
        <f aca="false">IF($I488="","",$I488+$L488)</f>
        <v/>
      </c>
      <c r="O488" s="17" t="n">
        <f aca="false">IF($K488="","",$K488+$L488)</f>
        <v>1730</v>
      </c>
      <c r="P488" s="17" t="str">
        <f aca="false">IF($B$10=0,"",IFERROR(IF($B$4&gt;0,"휘발유 "&amp;TEXT(IF($M488="",1/0,$M488*$B$4),"#,##0")&amp;"원","")&amp;IF($B$5&gt;0,IF($B$4&gt;0," / ","")&amp;"고급유 "&amp;TEXT(IF($N488="",1/0,$N488*$B$5),"#,##0")&amp;"원","")&amp;IF($B$6&gt;0,IF(OR($B$4&gt;0,$B$5&gt;0)," / ","")&amp;"경유 "&amp;TEXT(IF($O488="",1/0,$O488*$B$6),"#,##0")&amp;"원",""),""))</f>
        <v/>
      </c>
      <c r="Q488" s="17" t="str">
        <f aca="false">IF($B$10=0,"",IFERROR(IF($B$4&gt;0,IF($M488="",1/0,$M488*$B$4),0)+IF($B$5&gt;0,IF($N488="",1/0,$N488*$B$5),0)+IF($B$6&gt;0,IF($O488="",1/0,$O488*$B$6),0),""))</f>
        <v/>
      </c>
      <c r="R488" s="17"/>
      <c r="S488" s="18" t="str">
        <f aca="false">IF($Q488="","",IF($R488="Y",IFERROR(VLOOKUP($B488,$C$4:$D$13,2,FALSE()),0),0))</f>
        <v/>
      </c>
      <c r="T488" s="17" t="str">
        <f aca="false">IF($Q488="","",ROUNDDOWN($Q488*$S488,0))</f>
        <v/>
      </c>
      <c r="U488" s="17" t="str">
        <f aca="false">IF($Q488="","",$Q488-$T488)</f>
        <v/>
      </c>
      <c r="V488" s="17" t="str">
        <f aca="false">IF($U488="","",IF($B$10=0,"",$U488/$B$10))</f>
        <v/>
      </c>
      <c r="W488" s="17" t="str">
        <f aca="false">IF($Q488="","",IF($B$10=0,"",$Q488/$B$10))</f>
        <v/>
      </c>
      <c r="X488" s="19" t="n">
        <f aca="false">IF($U488="",1000000000000000,$U488)</f>
        <v>1000000000000000</v>
      </c>
      <c r="XFC488" s="6"/>
    </row>
    <row r="489" s="5" customFormat="true" ht="28.5" hidden="false" customHeight="true" outlineLevel="0" collapsed="false">
      <c r="A489" s="16" t="str">
        <f aca="false">IF($U489="","",1+COUNTIF($X$15:$X$728,"&lt;"&amp;X489))</f>
        <v/>
      </c>
      <c r="B489" s="16" t="s">
        <v>12</v>
      </c>
      <c r="C489" s="16" t="s">
        <v>1462</v>
      </c>
      <c r="D489" s="20" t="s">
        <v>248</v>
      </c>
      <c r="E489" s="16" t="s">
        <v>59</v>
      </c>
      <c r="F489" s="16" t="s">
        <v>1463</v>
      </c>
      <c r="G489" s="16" t="s">
        <v>1464</v>
      </c>
      <c r="H489" s="17" t="n">
        <v>1978</v>
      </c>
      <c r="I489" s="17"/>
      <c r="J489" s="17"/>
      <c r="K489" s="17" t="n">
        <v>1998</v>
      </c>
      <c r="L489" s="17" t="n">
        <f aca="false">IF(AND(IFERROR(SEARCH("현대오일뱅크",$C489),0)&gt;0,IFERROR(SEARCH("직영",$C489),0)&gt;0),$B$13,0)</f>
        <v>0</v>
      </c>
      <c r="M489" s="17" t="n">
        <f aca="false">IF($H489="","",$H489+$L489)</f>
        <v>1978</v>
      </c>
      <c r="N489" s="17" t="str">
        <f aca="false">IF($I489="","",$I489+$L489)</f>
        <v/>
      </c>
      <c r="O489" s="17" t="n">
        <f aca="false">IF($K489="","",$K489+$L489)</f>
        <v>1998</v>
      </c>
      <c r="P489" s="17" t="str">
        <f aca="false">IF($B$10=0,"",IFERROR(IF($B$4&gt;0,"휘발유 "&amp;TEXT(IF($M489="",1/0,$M489*$B$4),"#,##0")&amp;"원","")&amp;IF($B$5&gt;0,IF($B$4&gt;0," / ","")&amp;"고급유 "&amp;TEXT(IF($N489="",1/0,$N489*$B$5),"#,##0")&amp;"원","")&amp;IF($B$6&gt;0,IF(OR($B$4&gt;0,$B$5&gt;0)," / ","")&amp;"경유 "&amp;TEXT(IF($O489="",1/0,$O489*$B$6),"#,##0")&amp;"원",""),""))</f>
        <v/>
      </c>
      <c r="Q489" s="17" t="str">
        <f aca="false">IF($B$10=0,"",IFERROR(IF($B$4&gt;0,IF($M489="",1/0,$M489*$B$4),0)+IF($B$5&gt;0,IF($N489="",1/0,$N489*$B$5),0)+IF($B$6&gt;0,IF($O489="",1/0,$O489*$B$6),0),""))</f>
        <v/>
      </c>
      <c r="R489" s="17" t="s">
        <v>47</v>
      </c>
      <c r="S489" s="18" t="str">
        <f aca="false">IF($Q489="","",IF($R489="Y",IFERROR(VLOOKUP($B489,$C$4:$D$13,2,FALSE()),0),0))</f>
        <v/>
      </c>
      <c r="T489" s="17" t="str">
        <f aca="false">IF($Q489="","",ROUNDDOWN($Q489*$S489,0))</f>
        <v/>
      </c>
      <c r="U489" s="17" t="str">
        <f aca="false">IF($Q489="","",$Q489-$T489)</f>
        <v/>
      </c>
      <c r="V489" s="17" t="str">
        <f aca="false">IF($U489="","",IF($B$10=0,"",$U489/$B$10))</f>
        <v/>
      </c>
      <c r="W489" s="17" t="str">
        <f aca="false">IF($Q489="","",IF($B$10=0,"",$Q489/$B$10))</f>
        <v/>
      </c>
      <c r="X489" s="19" t="n">
        <f aca="false">IF($U489="",1000000000000000,$U489)</f>
        <v>1000000000000000</v>
      </c>
      <c r="XFC489" s="6"/>
    </row>
    <row r="490" s="5" customFormat="true" ht="28.5" hidden="false" customHeight="true" outlineLevel="0" collapsed="false">
      <c r="A490" s="16" t="str">
        <f aca="false">IF($U490="","",1+COUNTIF($X$15:$X$728,"&lt;"&amp;X490))</f>
        <v/>
      </c>
      <c r="B490" s="16" t="s">
        <v>12</v>
      </c>
      <c r="C490" s="16" t="s">
        <v>202</v>
      </c>
      <c r="D490" s="20" t="s">
        <v>294</v>
      </c>
      <c r="E490" s="16" t="s">
        <v>59</v>
      </c>
      <c r="F490" s="16" t="s">
        <v>1465</v>
      </c>
      <c r="G490" s="16" t="s">
        <v>1466</v>
      </c>
      <c r="H490" s="17" t="n">
        <v>1978</v>
      </c>
      <c r="I490" s="17"/>
      <c r="J490" s="17"/>
      <c r="K490" s="17" t="n">
        <v>1998</v>
      </c>
      <c r="L490" s="17" t="n">
        <f aca="false">IF(AND(IFERROR(SEARCH("현대오일뱅크",$C490),0)&gt;0,IFERROR(SEARCH("직영",$C490),0)&gt;0),$B$13,0)</f>
        <v>0</v>
      </c>
      <c r="M490" s="17" t="n">
        <f aca="false">IF($H490="","",$H490+$L490)</f>
        <v>1978</v>
      </c>
      <c r="N490" s="17" t="str">
        <f aca="false">IF($I490="","",$I490+$L490)</f>
        <v/>
      </c>
      <c r="O490" s="17" t="n">
        <f aca="false">IF($K490="","",$K490+$L490)</f>
        <v>1998</v>
      </c>
      <c r="P490" s="17" t="str">
        <f aca="false">IF($B$10=0,"",IFERROR(IF($B$4&gt;0,"휘발유 "&amp;TEXT(IF($M490="",1/0,$M490*$B$4),"#,##0")&amp;"원","")&amp;IF($B$5&gt;0,IF($B$4&gt;0," / ","")&amp;"고급유 "&amp;TEXT(IF($N490="",1/0,$N490*$B$5),"#,##0")&amp;"원","")&amp;IF($B$6&gt;0,IF(OR($B$4&gt;0,$B$5&gt;0)," / ","")&amp;"경유 "&amp;TEXT(IF($O490="",1/0,$O490*$B$6),"#,##0")&amp;"원",""),""))</f>
        <v/>
      </c>
      <c r="Q490" s="17" t="str">
        <f aca="false">IF($B$10=0,"",IFERROR(IF($B$4&gt;0,IF($M490="",1/0,$M490*$B$4),0)+IF($B$5&gt;0,IF($N490="",1/0,$N490*$B$5),0)+IF($B$6&gt;0,IF($O490="",1/0,$O490*$B$6),0),""))</f>
        <v/>
      </c>
      <c r="R490" s="17" t="s">
        <v>47</v>
      </c>
      <c r="S490" s="18" t="str">
        <f aca="false">IF($Q490="","",IF($R490="Y",IFERROR(VLOOKUP($B490,$C$4:$D$13,2,FALSE()),0),0))</f>
        <v/>
      </c>
      <c r="T490" s="17" t="str">
        <f aca="false">IF($Q490="","",ROUNDDOWN($Q490*$S490,0))</f>
        <v/>
      </c>
      <c r="U490" s="17" t="str">
        <f aca="false">IF($Q490="","",$Q490-$T490)</f>
        <v/>
      </c>
      <c r="V490" s="17" t="str">
        <f aca="false">IF($U490="","",IF($B$10=0,"",$U490/$B$10))</f>
        <v/>
      </c>
      <c r="W490" s="17" t="str">
        <f aca="false">IF($Q490="","",IF($B$10=0,"",$Q490/$B$10))</f>
        <v/>
      </c>
      <c r="X490" s="19" t="n">
        <f aca="false">IF($U490="",1000000000000000,$U490)</f>
        <v>1000000000000000</v>
      </c>
      <c r="XFC490" s="6"/>
    </row>
    <row r="491" s="5" customFormat="true" ht="28.5" hidden="false" customHeight="true" outlineLevel="0" collapsed="false">
      <c r="A491" s="16" t="str">
        <f aca="false">IF($U491="","",1+COUNTIF($X$15:$X$728,"&lt;"&amp;X491))</f>
        <v/>
      </c>
      <c r="B491" s="16" t="s">
        <v>6</v>
      </c>
      <c r="C491" s="16" t="s">
        <v>1467</v>
      </c>
      <c r="D491" s="20" t="s">
        <v>108</v>
      </c>
      <c r="E491" s="16" t="s">
        <v>47</v>
      </c>
      <c r="F491" s="16" t="s">
        <v>1468</v>
      </c>
      <c r="G491" s="16" t="s">
        <v>1469</v>
      </c>
      <c r="H491" s="17" t="n">
        <v>1948</v>
      </c>
      <c r="I491" s="17"/>
      <c r="J491" s="17"/>
      <c r="K491" s="17" t="n">
        <v>1978</v>
      </c>
      <c r="L491" s="17" t="n">
        <f aca="false">IF(AND(IFERROR(SEARCH("현대오일뱅크",$C491),0)&gt;0,IFERROR(SEARCH("직영",$C491),0)&gt;0),$B$13,0)</f>
        <v>0</v>
      </c>
      <c r="M491" s="17" t="n">
        <f aca="false">IF($H491="","",$H491+$L491)</f>
        <v>1948</v>
      </c>
      <c r="N491" s="17" t="str">
        <f aca="false">IF($I491="","",$I491+$L491)</f>
        <v/>
      </c>
      <c r="O491" s="17" t="n">
        <f aca="false">IF($K491="","",$K491+$L491)</f>
        <v>1978</v>
      </c>
      <c r="P491" s="17" t="str">
        <f aca="false">IF($B$10=0,"",IFERROR(IF($B$4&gt;0,"휘발유 "&amp;TEXT(IF($M491="",1/0,$M491*$B$4),"#,##0")&amp;"원","")&amp;IF($B$5&gt;0,IF($B$4&gt;0," / ","")&amp;"고급유 "&amp;TEXT(IF($N491="",1/0,$N491*$B$5),"#,##0")&amp;"원","")&amp;IF($B$6&gt;0,IF(OR($B$4&gt;0,$B$5&gt;0)," / ","")&amp;"경유 "&amp;TEXT(IF($O491="",1/0,$O491*$B$6),"#,##0")&amp;"원",""),""))</f>
        <v/>
      </c>
      <c r="Q491" s="17" t="str">
        <f aca="false">IF($B$10=0,"",IFERROR(IF($B$4&gt;0,IF($M491="",1/0,$M491*$B$4),0)+IF($B$5&gt;0,IF($N491="",1/0,$N491*$B$5),0)+IF($B$6&gt;0,IF($O491="",1/0,$O491*$B$6),0),""))</f>
        <v/>
      </c>
      <c r="R491" s="17" t="s">
        <v>47</v>
      </c>
      <c r="S491" s="18" t="str">
        <f aca="false">IF($Q491="","",IF($R491="Y",IFERROR(VLOOKUP($B491,$C$4:$D$13,2,FALSE()),0),0))</f>
        <v/>
      </c>
      <c r="T491" s="17" t="str">
        <f aca="false">IF($Q491="","",ROUNDDOWN($Q491*$S491,0))</f>
        <v/>
      </c>
      <c r="U491" s="17" t="str">
        <f aca="false">IF($Q491="","",$Q491-$T491)</f>
        <v/>
      </c>
      <c r="V491" s="17" t="str">
        <f aca="false">IF($U491="","",IF($B$10=0,"",$U491/$B$10))</f>
        <v/>
      </c>
      <c r="W491" s="17" t="str">
        <f aca="false">IF($Q491="","",IF($B$10=0,"",$Q491/$B$10))</f>
        <v/>
      </c>
      <c r="X491" s="19" t="n">
        <f aca="false">IF($U491="",1000000000000000,$U491)</f>
        <v>1000000000000000</v>
      </c>
      <c r="XFC491" s="6"/>
    </row>
    <row r="492" s="5" customFormat="true" ht="28.5" hidden="false" customHeight="true" outlineLevel="0" collapsed="false">
      <c r="A492" s="16" t="str">
        <f aca="false">IF($U492="","",1+COUNTIF($X$15:$X$728,"&lt;"&amp;X492))</f>
        <v/>
      </c>
      <c r="B492" s="16" t="s">
        <v>6</v>
      </c>
      <c r="C492" s="16" t="s">
        <v>903</v>
      </c>
      <c r="D492" s="16" t="s">
        <v>112</v>
      </c>
      <c r="E492" s="16" t="s">
        <v>47</v>
      </c>
      <c r="F492" s="16" t="s">
        <v>1470</v>
      </c>
      <c r="G492" s="16" t="s">
        <v>1471</v>
      </c>
      <c r="H492" s="17" t="n">
        <v>1978</v>
      </c>
      <c r="I492" s="17"/>
      <c r="J492" s="17"/>
      <c r="K492" s="17" t="n">
        <v>1989</v>
      </c>
      <c r="L492" s="17" t="n">
        <f aca="false">IF(AND(IFERROR(SEARCH("현대오일뱅크",$C492),0)&gt;0,IFERROR(SEARCH("직영",$C492),0)&gt;0),$B$13,0)</f>
        <v>0</v>
      </c>
      <c r="M492" s="17" t="n">
        <f aca="false">IF($H492="","",$H492+$L492)</f>
        <v>1978</v>
      </c>
      <c r="N492" s="17" t="str">
        <f aca="false">IF($I492="","",$I492+$L492)</f>
        <v/>
      </c>
      <c r="O492" s="17" t="n">
        <f aca="false">IF($K492="","",$K492+$L492)</f>
        <v>1989</v>
      </c>
      <c r="P492" s="17" t="str">
        <f aca="false">IF($B$10=0,"",IFERROR(IF($B$4&gt;0,"휘발유 "&amp;TEXT(IF($M492="",1/0,$M492*$B$4),"#,##0")&amp;"원","")&amp;IF($B$5&gt;0,IF($B$4&gt;0," / ","")&amp;"고급유 "&amp;TEXT(IF($N492="",1/0,$N492*$B$5),"#,##0")&amp;"원","")&amp;IF($B$6&gt;0,IF(OR($B$4&gt;0,$B$5&gt;0)," / ","")&amp;"경유 "&amp;TEXT(IF($O492="",1/0,$O492*$B$6),"#,##0")&amp;"원",""),""))</f>
        <v/>
      </c>
      <c r="Q492" s="17" t="str">
        <f aca="false">IF($B$10=0,"",IFERROR(IF($B$4&gt;0,IF($M492="",1/0,$M492*$B$4),0)+IF($B$5&gt;0,IF($N492="",1/0,$N492*$B$5),0)+IF($B$6&gt;0,IF($O492="",1/0,$O492*$B$6),0),""))</f>
        <v/>
      </c>
      <c r="R492" s="17" t="s">
        <v>47</v>
      </c>
      <c r="S492" s="18" t="str">
        <f aca="false">IF($Q492="","",IF($R492="Y",IFERROR(VLOOKUP($B492,$C$4:$D$13,2,FALSE()),0),0))</f>
        <v/>
      </c>
      <c r="T492" s="17" t="str">
        <f aca="false">IF($Q492="","",ROUNDDOWN($Q492*$S492,0))</f>
        <v/>
      </c>
      <c r="U492" s="17" t="str">
        <f aca="false">IF($Q492="","",$Q492-$T492)</f>
        <v/>
      </c>
      <c r="V492" s="17" t="str">
        <f aca="false">IF($U492="","",IF($B$10=0,"",$U492/$B$10))</f>
        <v/>
      </c>
      <c r="W492" s="17" t="str">
        <f aca="false">IF($Q492="","",IF($B$10=0,"",$Q492/$B$10))</f>
        <v/>
      </c>
      <c r="X492" s="19" t="n">
        <f aca="false">IF($U492="",1000000000000000,$U492)</f>
        <v>1000000000000000</v>
      </c>
      <c r="XFC492" s="6"/>
    </row>
    <row r="493" s="5" customFormat="true" ht="28.5" hidden="false" customHeight="true" outlineLevel="0" collapsed="false">
      <c r="A493" s="16" t="str">
        <f aca="false">IF($U493="","",1+COUNTIF($X$15:$X$728,"&lt;"&amp;X493))</f>
        <v/>
      </c>
      <c r="B493" s="16" t="s">
        <v>6</v>
      </c>
      <c r="C493" s="16" t="s">
        <v>1472</v>
      </c>
      <c r="D493" s="16" t="s">
        <v>51</v>
      </c>
      <c r="E493" s="16" t="s">
        <v>47</v>
      </c>
      <c r="F493" s="16" t="s">
        <v>1473</v>
      </c>
      <c r="G493" s="16" t="s">
        <v>1474</v>
      </c>
      <c r="H493" s="17" t="n">
        <v>1978</v>
      </c>
      <c r="I493" s="17"/>
      <c r="J493" s="17"/>
      <c r="K493" s="17" t="n">
        <v>1995</v>
      </c>
      <c r="L493" s="17" t="n">
        <f aca="false">IF(AND(IFERROR(SEARCH("현대오일뱅크",$C493),0)&gt;0,IFERROR(SEARCH("직영",$C493),0)&gt;0),$B$13,0)</f>
        <v>0</v>
      </c>
      <c r="M493" s="17" t="n">
        <f aca="false">IF($H493="","",$H493+$L493)</f>
        <v>1978</v>
      </c>
      <c r="N493" s="17" t="str">
        <f aca="false">IF($I493="","",$I493+$L493)</f>
        <v/>
      </c>
      <c r="O493" s="17" t="n">
        <f aca="false">IF($K493="","",$K493+$L493)</f>
        <v>1995</v>
      </c>
      <c r="P493" s="17" t="str">
        <f aca="false">IF($B$10=0,"",IFERROR(IF($B$4&gt;0,"휘발유 "&amp;TEXT(IF($M493="",1/0,$M493*$B$4),"#,##0")&amp;"원","")&amp;IF($B$5&gt;0,IF($B$4&gt;0," / ","")&amp;"고급유 "&amp;TEXT(IF($N493="",1/0,$N493*$B$5),"#,##0")&amp;"원","")&amp;IF($B$6&gt;0,IF(OR($B$4&gt;0,$B$5&gt;0)," / ","")&amp;"경유 "&amp;TEXT(IF($O493="",1/0,$O493*$B$6),"#,##0")&amp;"원",""),""))</f>
        <v/>
      </c>
      <c r="Q493" s="17" t="str">
        <f aca="false">IF($B$10=0,"",IFERROR(IF($B$4&gt;0,IF($M493="",1/0,$M493*$B$4),0)+IF($B$5&gt;0,IF($N493="",1/0,$N493*$B$5),0)+IF($B$6&gt;0,IF($O493="",1/0,$O493*$B$6),0),""))</f>
        <v/>
      </c>
      <c r="R493" s="17" t="s">
        <v>47</v>
      </c>
      <c r="S493" s="18" t="str">
        <f aca="false">IF($Q493="","",IF($R493="Y",IFERROR(VLOOKUP($B493,$C$4:$D$13,2,FALSE()),0),0))</f>
        <v/>
      </c>
      <c r="T493" s="17" t="str">
        <f aca="false">IF($Q493="","",ROUNDDOWN($Q493*$S493,0))</f>
        <v/>
      </c>
      <c r="U493" s="17" t="str">
        <f aca="false">IF($Q493="","",$Q493-$T493)</f>
        <v/>
      </c>
      <c r="V493" s="17" t="str">
        <f aca="false">IF($U493="","",IF($B$10=0,"",$U493/$B$10))</f>
        <v/>
      </c>
      <c r="W493" s="17" t="str">
        <f aca="false">IF($Q493="","",IF($B$10=0,"",$Q493/$B$10))</f>
        <v/>
      </c>
      <c r="X493" s="19" t="n">
        <f aca="false">IF($U493="",1000000000000000,$U493)</f>
        <v>1000000000000000</v>
      </c>
      <c r="XFC493" s="6"/>
    </row>
    <row r="494" s="5" customFormat="true" ht="28.5" hidden="false" customHeight="true" outlineLevel="0" collapsed="false">
      <c r="A494" s="16" t="str">
        <f aca="false">IF($U494="","",1+COUNTIF($X$15:$X$728,"&lt;"&amp;X494))</f>
        <v/>
      </c>
      <c r="B494" s="16" t="s">
        <v>12</v>
      </c>
      <c r="C494" s="16" t="s">
        <v>1475</v>
      </c>
      <c r="D494" s="20" t="s">
        <v>294</v>
      </c>
      <c r="E494" s="16" t="s">
        <v>59</v>
      </c>
      <c r="F494" s="16" t="s">
        <v>1476</v>
      </c>
      <c r="G494" s="16" t="s">
        <v>1477</v>
      </c>
      <c r="H494" s="17" t="n">
        <v>1978</v>
      </c>
      <c r="I494" s="17"/>
      <c r="J494" s="17"/>
      <c r="K494" s="17" t="n">
        <v>1998</v>
      </c>
      <c r="L494" s="17" t="n">
        <f aca="false">IF(AND(IFERROR(SEARCH("현대오일뱅크",$C494),0)&gt;0,IFERROR(SEARCH("직영",$C494),0)&gt;0),$B$13,0)</f>
        <v>0</v>
      </c>
      <c r="M494" s="17" t="n">
        <f aca="false">IF($H494="","",$H494+$L494)</f>
        <v>1978</v>
      </c>
      <c r="N494" s="17" t="str">
        <f aca="false">IF($I494="","",$I494+$L494)</f>
        <v/>
      </c>
      <c r="O494" s="17" t="n">
        <f aca="false">IF($K494="","",$K494+$L494)</f>
        <v>1998</v>
      </c>
      <c r="P494" s="17" t="str">
        <f aca="false">IF($B$10=0,"",IFERROR(IF($B$4&gt;0,"휘발유 "&amp;TEXT(IF($M494="",1/0,$M494*$B$4),"#,##0")&amp;"원","")&amp;IF($B$5&gt;0,IF($B$4&gt;0," / ","")&amp;"고급유 "&amp;TEXT(IF($N494="",1/0,$N494*$B$5),"#,##0")&amp;"원","")&amp;IF($B$6&gt;0,IF(OR($B$4&gt;0,$B$5&gt;0)," / ","")&amp;"경유 "&amp;TEXT(IF($O494="",1/0,$O494*$B$6),"#,##0")&amp;"원",""),""))</f>
        <v/>
      </c>
      <c r="Q494" s="17" t="str">
        <f aca="false">IF($B$10=0,"",IFERROR(IF($B$4&gt;0,IF($M494="",1/0,$M494*$B$4),0)+IF($B$5&gt;0,IF($N494="",1/0,$N494*$B$5),0)+IF($B$6&gt;0,IF($O494="",1/0,$O494*$B$6),0),""))</f>
        <v/>
      </c>
      <c r="R494" s="17" t="s">
        <v>47</v>
      </c>
      <c r="S494" s="18" t="str">
        <f aca="false">IF($Q494="","",IF($R494="Y",IFERROR(VLOOKUP($B494,$C$4:$D$13,2,FALSE()),0),0))</f>
        <v/>
      </c>
      <c r="T494" s="17" t="str">
        <f aca="false">IF($Q494="","",ROUNDDOWN($Q494*$S494,0))</f>
        <v/>
      </c>
      <c r="U494" s="17" t="str">
        <f aca="false">IF($Q494="","",$Q494-$T494)</f>
        <v/>
      </c>
      <c r="V494" s="17" t="str">
        <f aca="false">IF($U494="","",IF($B$10=0,"",$U494/$B$10))</f>
        <v/>
      </c>
      <c r="W494" s="17" t="str">
        <f aca="false">IF($Q494="","",IF($B$10=0,"",$Q494/$B$10))</f>
        <v/>
      </c>
      <c r="X494" s="19" t="n">
        <f aca="false">IF($U494="",1000000000000000,$U494)</f>
        <v>1000000000000000</v>
      </c>
      <c r="XFC494" s="6"/>
    </row>
    <row r="495" s="5" customFormat="true" ht="28.5" hidden="false" customHeight="true" outlineLevel="0" collapsed="false">
      <c r="A495" s="16" t="str">
        <f aca="false">IF($U495="","",1+COUNTIF($X$15:$X$728,"&lt;"&amp;X495))</f>
        <v/>
      </c>
      <c r="B495" s="16" t="s">
        <v>8</v>
      </c>
      <c r="C495" s="16" t="s">
        <v>1478</v>
      </c>
      <c r="D495" s="16" t="s">
        <v>51</v>
      </c>
      <c r="E495" s="16" t="s">
        <v>47</v>
      </c>
      <c r="F495" s="16" t="s">
        <v>1479</v>
      </c>
      <c r="G495" s="16" t="s">
        <v>1480</v>
      </c>
      <c r="H495" s="17" t="n">
        <v>1781</v>
      </c>
      <c r="I495" s="17"/>
      <c r="J495" s="17"/>
      <c r="K495" s="17" t="n">
        <v>1736</v>
      </c>
      <c r="L495" s="17" t="n">
        <f aca="false">IF(AND(IFERROR(SEARCH("현대오일뱅크",$C495),0)&gt;0,IFERROR(SEARCH("직영",$C495),0)&gt;0),$B$13,0)</f>
        <v>0</v>
      </c>
      <c r="M495" s="17" t="n">
        <f aca="false">IF($H495="","",$H495+$L495)</f>
        <v>1781</v>
      </c>
      <c r="N495" s="17" t="str">
        <f aca="false">IF($I495="","",$I495+$L495)</f>
        <v/>
      </c>
      <c r="O495" s="17" t="n">
        <f aca="false">IF($K495="","",$K495+$L495)</f>
        <v>1736</v>
      </c>
      <c r="P495" s="17" t="str">
        <f aca="false">IF($B$10=0,"",IFERROR(IF($B$4&gt;0,"휘발유 "&amp;TEXT(IF($M495="",1/0,$M495*$B$4),"#,##0")&amp;"원","")&amp;IF($B$5&gt;0,IF($B$4&gt;0," / ","")&amp;"고급유 "&amp;TEXT(IF($N495="",1/0,$N495*$B$5),"#,##0")&amp;"원","")&amp;IF($B$6&gt;0,IF(OR($B$4&gt;0,$B$5&gt;0)," / ","")&amp;"경유 "&amp;TEXT(IF($O495="",1/0,$O495*$B$6),"#,##0")&amp;"원",""),""))</f>
        <v/>
      </c>
      <c r="Q495" s="17" t="str">
        <f aca="false">IF($B$10=0,"",IFERROR(IF($B$4&gt;0,IF($M495="",1/0,$M495*$B$4),0)+IF($B$5&gt;0,IF($N495="",1/0,$N495*$B$5),0)+IF($B$6&gt;0,IF($O495="",1/0,$O495*$B$6),0),""))</f>
        <v/>
      </c>
      <c r="R495" s="17"/>
      <c r="S495" s="18" t="str">
        <f aca="false">IF($Q495="","",IF($R495="Y",IFERROR(VLOOKUP($B495,$C$4:$D$13,2,FALSE()),0),0))</f>
        <v/>
      </c>
      <c r="T495" s="17" t="str">
        <f aca="false">IF($Q495="","",ROUNDDOWN($Q495*$S495,0))</f>
        <v/>
      </c>
      <c r="U495" s="17" t="str">
        <f aca="false">IF($Q495="","",$Q495-$T495)</f>
        <v/>
      </c>
      <c r="V495" s="17" t="str">
        <f aca="false">IF($U495="","",IF($B$10=0,"",$U495/$B$10))</f>
        <v/>
      </c>
      <c r="W495" s="17" t="str">
        <f aca="false">IF($Q495="","",IF($B$10=0,"",$Q495/$B$10))</f>
        <v/>
      </c>
      <c r="X495" s="19" t="n">
        <f aca="false">IF($U495="",1000000000000000,$U495)</f>
        <v>1000000000000000</v>
      </c>
      <c r="XFC495" s="6"/>
    </row>
    <row r="496" s="5" customFormat="true" ht="28.5" hidden="false" customHeight="true" outlineLevel="0" collapsed="false">
      <c r="A496" s="16" t="str">
        <f aca="false">IF($U496="","",1+COUNTIF($X$15:$X$728,"&lt;"&amp;X496))</f>
        <v/>
      </c>
      <c r="B496" s="16" t="s">
        <v>6</v>
      </c>
      <c r="C496" s="16" t="s">
        <v>1481</v>
      </c>
      <c r="D496" s="16" t="s">
        <v>112</v>
      </c>
      <c r="E496" s="16" t="s">
        <v>47</v>
      </c>
      <c r="F496" s="16" t="s">
        <v>1482</v>
      </c>
      <c r="G496" s="16" t="s">
        <v>1483</v>
      </c>
      <c r="H496" s="17" t="n">
        <v>1979</v>
      </c>
      <c r="I496" s="17"/>
      <c r="J496" s="17"/>
      <c r="K496" s="17" t="n">
        <v>2039</v>
      </c>
      <c r="L496" s="17" t="n">
        <f aca="false">IF(AND(IFERROR(SEARCH("현대오일뱅크",$C496),0)&gt;0,IFERROR(SEARCH("직영",$C496),0)&gt;0),$B$13,0)</f>
        <v>0</v>
      </c>
      <c r="M496" s="17" t="n">
        <f aca="false">IF($H496="","",$H496+$L496)</f>
        <v>1979</v>
      </c>
      <c r="N496" s="17" t="str">
        <f aca="false">IF($I496="","",$I496+$L496)</f>
        <v/>
      </c>
      <c r="O496" s="17" t="n">
        <f aca="false">IF($K496="","",$K496+$L496)</f>
        <v>2039</v>
      </c>
      <c r="P496" s="17" t="str">
        <f aca="false">IF($B$10=0,"",IFERROR(IF($B$4&gt;0,"휘발유 "&amp;TEXT(IF($M496="",1/0,$M496*$B$4),"#,##0")&amp;"원","")&amp;IF($B$5&gt;0,IF($B$4&gt;0," / ","")&amp;"고급유 "&amp;TEXT(IF($N496="",1/0,$N496*$B$5),"#,##0")&amp;"원","")&amp;IF($B$6&gt;0,IF(OR($B$4&gt;0,$B$5&gt;0)," / ","")&amp;"경유 "&amp;TEXT(IF($O496="",1/0,$O496*$B$6),"#,##0")&amp;"원",""),""))</f>
        <v/>
      </c>
      <c r="Q496" s="17" t="str">
        <f aca="false">IF($B$10=0,"",IFERROR(IF($B$4&gt;0,IF($M496="",1/0,$M496*$B$4),0)+IF($B$5&gt;0,IF($N496="",1/0,$N496*$B$5),0)+IF($B$6&gt;0,IF($O496="",1/0,$O496*$B$6),0),""))</f>
        <v/>
      </c>
      <c r="R496" s="17" t="s">
        <v>47</v>
      </c>
      <c r="S496" s="18" t="str">
        <f aca="false">IF($Q496="","",IF($R496="Y",IFERROR(VLOOKUP($B496,$C$4:$D$13,2,FALSE()),0),0))</f>
        <v/>
      </c>
      <c r="T496" s="17" t="str">
        <f aca="false">IF($Q496="","",ROUNDDOWN($Q496*$S496,0))</f>
        <v/>
      </c>
      <c r="U496" s="17" t="str">
        <f aca="false">IF($Q496="","",$Q496-$T496)</f>
        <v/>
      </c>
      <c r="V496" s="17" t="str">
        <f aca="false">IF($U496="","",IF($B$10=0,"",$U496/$B$10))</f>
        <v/>
      </c>
      <c r="W496" s="17" t="str">
        <f aca="false">IF($Q496="","",IF($B$10=0,"",$Q496/$B$10))</f>
        <v/>
      </c>
      <c r="X496" s="19" t="n">
        <f aca="false">IF($U496="",1000000000000000,$U496)</f>
        <v>1000000000000000</v>
      </c>
      <c r="XFC496" s="6"/>
    </row>
    <row r="497" s="5" customFormat="true" ht="28.5" hidden="false" customHeight="true" outlineLevel="0" collapsed="false">
      <c r="A497" s="16" t="str">
        <f aca="false">IF($U497="","",1+COUNTIF($X$15:$X$728,"&lt;"&amp;X497))</f>
        <v/>
      </c>
      <c r="B497" s="16" t="s">
        <v>12</v>
      </c>
      <c r="C497" s="16" t="s">
        <v>1484</v>
      </c>
      <c r="D497" s="20" t="s">
        <v>108</v>
      </c>
      <c r="E497" s="16" t="s">
        <v>47</v>
      </c>
      <c r="F497" s="16" t="s">
        <v>1485</v>
      </c>
      <c r="G497" s="16" t="s">
        <v>1486</v>
      </c>
      <c r="H497" s="17" t="n">
        <v>1979</v>
      </c>
      <c r="I497" s="17"/>
      <c r="J497" s="17"/>
      <c r="K497" s="17" t="n">
        <v>2019</v>
      </c>
      <c r="L497" s="17" t="n">
        <f aca="false">IF(AND(IFERROR(SEARCH("현대오일뱅크",$C497),0)&gt;0,IFERROR(SEARCH("직영",$C497),0)&gt;0),$B$13,0)</f>
        <v>0</v>
      </c>
      <c r="M497" s="17" t="n">
        <f aca="false">IF($H497="","",$H497+$L497)</f>
        <v>1979</v>
      </c>
      <c r="N497" s="17" t="str">
        <f aca="false">IF($I497="","",$I497+$L497)</f>
        <v/>
      </c>
      <c r="O497" s="17" t="n">
        <f aca="false">IF($K497="","",$K497+$L497)</f>
        <v>2019</v>
      </c>
      <c r="P497" s="17" t="str">
        <f aca="false">IF($B$10=0,"",IFERROR(IF($B$4&gt;0,"휘발유 "&amp;TEXT(IF($M497="",1/0,$M497*$B$4),"#,##0")&amp;"원","")&amp;IF($B$5&gt;0,IF($B$4&gt;0," / ","")&amp;"고급유 "&amp;TEXT(IF($N497="",1/0,$N497*$B$5),"#,##0")&amp;"원","")&amp;IF($B$6&gt;0,IF(OR($B$4&gt;0,$B$5&gt;0)," / ","")&amp;"경유 "&amp;TEXT(IF($O497="",1/0,$O497*$B$6),"#,##0")&amp;"원",""),""))</f>
        <v/>
      </c>
      <c r="Q497" s="17" t="str">
        <f aca="false">IF($B$10=0,"",IFERROR(IF($B$4&gt;0,IF($M497="",1/0,$M497*$B$4),0)+IF($B$5&gt;0,IF($N497="",1/0,$N497*$B$5),0)+IF($B$6&gt;0,IF($O497="",1/0,$O497*$B$6),0),""))</f>
        <v/>
      </c>
      <c r="R497" s="17" t="s">
        <v>47</v>
      </c>
      <c r="S497" s="18" t="str">
        <f aca="false">IF($Q497="","",IF($R497="Y",IFERROR(VLOOKUP($B497,$C$4:$D$13,2,FALSE()),0),0))</f>
        <v/>
      </c>
      <c r="T497" s="17" t="str">
        <f aca="false">IF($Q497="","",ROUNDDOWN($Q497*$S497,0))</f>
        <v/>
      </c>
      <c r="U497" s="17" t="str">
        <f aca="false">IF($Q497="","",$Q497-$T497)</f>
        <v/>
      </c>
      <c r="V497" s="17" t="str">
        <f aca="false">IF($U497="","",IF($B$10=0,"",$U497/$B$10))</f>
        <v/>
      </c>
      <c r="W497" s="17" t="str">
        <f aca="false">IF($Q497="","",IF($B$10=0,"",$Q497/$B$10))</f>
        <v/>
      </c>
      <c r="X497" s="19" t="n">
        <f aca="false">IF($U497="",1000000000000000,$U497)</f>
        <v>1000000000000000</v>
      </c>
      <c r="XFC497" s="6"/>
    </row>
    <row r="498" s="5" customFormat="true" ht="28.5" hidden="false" customHeight="true" outlineLevel="0" collapsed="false">
      <c r="A498" s="16" t="str">
        <f aca="false">IF($U498="","",1+COUNTIF($X$15:$X$728,"&lt;"&amp;X498))</f>
        <v/>
      </c>
      <c r="B498" s="16" t="s">
        <v>12</v>
      </c>
      <c r="C498" s="16" t="s">
        <v>1487</v>
      </c>
      <c r="D498" s="20" t="s">
        <v>248</v>
      </c>
      <c r="E498" s="16" t="s">
        <v>47</v>
      </c>
      <c r="F498" s="16" t="s">
        <v>1488</v>
      </c>
      <c r="G498" s="16" t="s">
        <v>1489</v>
      </c>
      <c r="H498" s="17" t="n">
        <v>1979</v>
      </c>
      <c r="I498" s="17"/>
      <c r="J498" s="17"/>
      <c r="K498" s="17" t="n">
        <v>1989</v>
      </c>
      <c r="L498" s="17" t="n">
        <f aca="false">IF(AND(IFERROR(SEARCH("현대오일뱅크",$C498),0)&gt;0,IFERROR(SEARCH("직영",$C498),0)&gt;0),$B$13,0)</f>
        <v>0</v>
      </c>
      <c r="M498" s="17" t="n">
        <f aca="false">IF($H498="","",$H498+$L498)</f>
        <v>1979</v>
      </c>
      <c r="N498" s="17" t="str">
        <f aca="false">IF($I498="","",$I498+$L498)</f>
        <v/>
      </c>
      <c r="O498" s="17" t="n">
        <f aca="false">IF($K498="","",$K498+$L498)</f>
        <v>1989</v>
      </c>
      <c r="P498" s="17" t="str">
        <f aca="false">IF($B$10=0,"",IFERROR(IF($B$4&gt;0,"휘발유 "&amp;TEXT(IF($M498="",1/0,$M498*$B$4),"#,##0")&amp;"원","")&amp;IF($B$5&gt;0,IF($B$4&gt;0," / ","")&amp;"고급유 "&amp;TEXT(IF($N498="",1/0,$N498*$B$5),"#,##0")&amp;"원","")&amp;IF($B$6&gt;0,IF(OR($B$4&gt;0,$B$5&gt;0)," / ","")&amp;"경유 "&amp;TEXT(IF($O498="",1/0,$O498*$B$6),"#,##0")&amp;"원",""),""))</f>
        <v/>
      </c>
      <c r="Q498" s="17" t="str">
        <f aca="false">IF($B$10=0,"",IFERROR(IF($B$4&gt;0,IF($M498="",1/0,$M498*$B$4),0)+IF($B$5&gt;0,IF($N498="",1/0,$N498*$B$5),0)+IF($B$6&gt;0,IF($O498="",1/0,$O498*$B$6),0),""))</f>
        <v/>
      </c>
      <c r="R498" s="17" t="s">
        <v>47</v>
      </c>
      <c r="S498" s="18" t="str">
        <f aca="false">IF($Q498="","",IF($R498="Y",IFERROR(VLOOKUP($B498,$C$4:$D$13,2,FALSE()),0),0))</f>
        <v/>
      </c>
      <c r="T498" s="17" t="str">
        <f aca="false">IF($Q498="","",ROUNDDOWN($Q498*$S498,0))</f>
        <v/>
      </c>
      <c r="U498" s="17" t="str">
        <f aca="false">IF($Q498="","",$Q498-$T498)</f>
        <v/>
      </c>
      <c r="V498" s="17" t="str">
        <f aca="false">IF($U498="","",IF($B$10=0,"",$U498/$B$10))</f>
        <v/>
      </c>
      <c r="W498" s="17" t="str">
        <f aca="false">IF($Q498="","",IF($B$10=0,"",$Q498/$B$10))</f>
        <v/>
      </c>
      <c r="X498" s="19" t="n">
        <f aca="false">IF($U498="",1000000000000000,$U498)</f>
        <v>1000000000000000</v>
      </c>
      <c r="XFC498" s="6"/>
    </row>
    <row r="499" s="5" customFormat="true" ht="28.5" hidden="false" customHeight="true" outlineLevel="0" collapsed="false">
      <c r="A499" s="16" t="str">
        <f aca="false">IF($U499="","",1+COUNTIF($X$15:$X$728,"&lt;"&amp;X499))</f>
        <v/>
      </c>
      <c r="B499" s="16" t="s">
        <v>12</v>
      </c>
      <c r="C499" s="16" t="s">
        <v>826</v>
      </c>
      <c r="D499" s="20" t="s">
        <v>294</v>
      </c>
      <c r="E499" s="16" t="s">
        <v>59</v>
      </c>
      <c r="F499" s="16" t="s">
        <v>1490</v>
      </c>
      <c r="G499" s="16" t="s">
        <v>1491</v>
      </c>
      <c r="H499" s="17" t="n">
        <v>1985</v>
      </c>
      <c r="I499" s="17"/>
      <c r="J499" s="17"/>
      <c r="K499" s="17" t="n">
        <v>1985</v>
      </c>
      <c r="L499" s="17" t="n">
        <f aca="false">IF(AND(IFERROR(SEARCH("현대오일뱅크",$C499),0)&gt;0,IFERROR(SEARCH("직영",$C499),0)&gt;0),$B$13,0)</f>
        <v>0</v>
      </c>
      <c r="M499" s="17" t="n">
        <f aca="false">IF($H499="","",$H499+$L499)</f>
        <v>1985</v>
      </c>
      <c r="N499" s="17" t="str">
        <f aca="false">IF($I499="","",$I499+$L499)</f>
        <v/>
      </c>
      <c r="O499" s="17" t="n">
        <f aca="false">IF($K499="","",$K499+$L499)</f>
        <v>1985</v>
      </c>
      <c r="P499" s="17" t="str">
        <f aca="false">IF($B$10=0,"",IFERROR(IF($B$4&gt;0,"휘발유 "&amp;TEXT(IF($M499="",1/0,$M499*$B$4),"#,##0")&amp;"원","")&amp;IF($B$5&gt;0,IF($B$4&gt;0," / ","")&amp;"고급유 "&amp;TEXT(IF($N499="",1/0,$N499*$B$5),"#,##0")&amp;"원","")&amp;IF($B$6&gt;0,IF(OR($B$4&gt;0,$B$5&gt;0)," / ","")&amp;"경유 "&amp;TEXT(IF($O499="",1/0,$O499*$B$6),"#,##0")&amp;"원",""),""))</f>
        <v/>
      </c>
      <c r="Q499" s="17" t="str">
        <f aca="false">IF($B$10=0,"",IFERROR(IF($B$4&gt;0,IF($M499="",1/0,$M499*$B$4),0)+IF($B$5&gt;0,IF($N499="",1/0,$N499*$B$5),0)+IF($B$6&gt;0,IF($O499="",1/0,$O499*$B$6),0),""))</f>
        <v/>
      </c>
      <c r="R499" s="17" t="s">
        <v>47</v>
      </c>
      <c r="S499" s="18" t="str">
        <f aca="false">IF($Q499="","",IF($R499="Y",IFERROR(VLOOKUP($B499,$C$4:$D$13,2,FALSE()),0),0))</f>
        <v/>
      </c>
      <c r="T499" s="17" t="str">
        <f aca="false">IF($Q499="","",ROUNDDOWN($Q499*$S499,0))</f>
        <v/>
      </c>
      <c r="U499" s="17" t="str">
        <f aca="false">IF($Q499="","",$Q499-$T499)</f>
        <v/>
      </c>
      <c r="V499" s="17" t="str">
        <f aca="false">IF($U499="","",IF($B$10=0,"",$U499/$B$10))</f>
        <v/>
      </c>
      <c r="W499" s="17" t="str">
        <f aca="false">IF($Q499="","",IF($B$10=0,"",$Q499/$B$10))</f>
        <v/>
      </c>
      <c r="X499" s="19" t="n">
        <f aca="false">IF($U499="",1000000000000000,$U499)</f>
        <v>1000000000000000</v>
      </c>
      <c r="XFC499" s="6"/>
    </row>
    <row r="500" s="5" customFormat="true" ht="28.5" hidden="false" customHeight="true" outlineLevel="0" collapsed="false">
      <c r="A500" s="16" t="str">
        <f aca="false">IF($U500="","",1+COUNTIF($X$15:$X$728,"&lt;"&amp;X500))</f>
        <v/>
      </c>
      <c r="B500" s="16" t="s">
        <v>6</v>
      </c>
      <c r="C500" s="16" t="s">
        <v>1492</v>
      </c>
      <c r="D500" s="16" t="s">
        <v>112</v>
      </c>
      <c r="E500" s="16" t="s">
        <v>47</v>
      </c>
      <c r="F500" s="16" t="s">
        <v>1493</v>
      </c>
      <c r="G500" s="16" t="s">
        <v>1494</v>
      </c>
      <c r="H500" s="17" t="n">
        <v>1986</v>
      </c>
      <c r="I500" s="17"/>
      <c r="J500" s="17"/>
      <c r="K500" s="17" t="n">
        <v>1986</v>
      </c>
      <c r="L500" s="17" t="n">
        <f aca="false">IF(AND(IFERROR(SEARCH("현대오일뱅크",$C500),0)&gt;0,IFERROR(SEARCH("직영",$C500),0)&gt;0),$B$13,0)</f>
        <v>0</v>
      </c>
      <c r="M500" s="17" t="n">
        <f aca="false">IF($H500="","",$H500+$L500)</f>
        <v>1986</v>
      </c>
      <c r="N500" s="17" t="str">
        <f aca="false">IF($I500="","",$I500+$L500)</f>
        <v/>
      </c>
      <c r="O500" s="17" t="n">
        <f aca="false">IF($K500="","",$K500+$L500)</f>
        <v>1986</v>
      </c>
      <c r="P500" s="17" t="str">
        <f aca="false">IF($B$10=0,"",IFERROR(IF($B$4&gt;0,"휘발유 "&amp;TEXT(IF($M500="",1/0,$M500*$B$4),"#,##0")&amp;"원","")&amp;IF($B$5&gt;0,IF($B$4&gt;0," / ","")&amp;"고급유 "&amp;TEXT(IF($N500="",1/0,$N500*$B$5),"#,##0")&amp;"원","")&amp;IF($B$6&gt;0,IF(OR($B$4&gt;0,$B$5&gt;0)," / ","")&amp;"경유 "&amp;TEXT(IF($O500="",1/0,$O500*$B$6),"#,##0")&amp;"원",""),""))</f>
        <v/>
      </c>
      <c r="Q500" s="17" t="str">
        <f aca="false">IF($B$10=0,"",IFERROR(IF($B$4&gt;0,IF($M500="",1/0,$M500*$B$4),0)+IF($B$5&gt;0,IF($N500="",1/0,$N500*$B$5),0)+IF($B$6&gt;0,IF($O500="",1/0,$O500*$B$6),0),""))</f>
        <v/>
      </c>
      <c r="R500" s="17" t="s">
        <v>47</v>
      </c>
      <c r="S500" s="18" t="str">
        <f aca="false">IF($Q500="","",IF($R500="Y",IFERROR(VLOOKUP($B500,$C$4:$D$13,2,FALSE()),0),0))</f>
        <v/>
      </c>
      <c r="T500" s="17" t="str">
        <f aca="false">IF($Q500="","",ROUNDDOWN($Q500*$S500,0))</f>
        <v/>
      </c>
      <c r="U500" s="17" t="str">
        <f aca="false">IF($Q500="","",$Q500-$T500)</f>
        <v/>
      </c>
      <c r="V500" s="17" t="str">
        <f aca="false">IF($U500="","",IF($B$10=0,"",$U500/$B$10))</f>
        <v/>
      </c>
      <c r="W500" s="17" t="str">
        <f aca="false">IF($Q500="","",IF($B$10=0,"",$Q500/$B$10))</f>
        <v/>
      </c>
      <c r="X500" s="19" t="n">
        <f aca="false">IF($U500="",1000000000000000,$U500)</f>
        <v>1000000000000000</v>
      </c>
      <c r="XFC500" s="6"/>
    </row>
    <row r="501" s="5" customFormat="true" ht="28.5" hidden="false" customHeight="true" outlineLevel="0" collapsed="false">
      <c r="A501" s="16" t="str">
        <f aca="false">IF($U501="","",1+COUNTIF($X$15:$X$728,"&lt;"&amp;X501))</f>
        <v/>
      </c>
      <c r="B501" s="16" t="s">
        <v>6</v>
      </c>
      <c r="C501" s="16" t="s">
        <v>1495</v>
      </c>
      <c r="D501" s="16" t="s">
        <v>58</v>
      </c>
      <c r="E501" s="16" t="s">
        <v>59</v>
      </c>
      <c r="F501" s="16" t="s">
        <v>1496</v>
      </c>
      <c r="G501" s="16" t="s">
        <v>1497</v>
      </c>
      <c r="H501" s="17" t="n">
        <v>1987</v>
      </c>
      <c r="I501" s="17"/>
      <c r="J501" s="17"/>
      <c r="K501" s="17" t="n">
        <v>1997</v>
      </c>
      <c r="L501" s="17" t="n">
        <f aca="false">IF(AND(IFERROR(SEARCH("현대오일뱅크",$C501),0)&gt;0,IFERROR(SEARCH("직영",$C501),0)&gt;0),$B$13,0)</f>
        <v>0</v>
      </c>
      <c r="M501" s="17" t="n">
        <f aca="false">IF($H501="","",$H501+$L501)</f>
        <v>1987</v>
      </c>
      <c r="N501" s="17" t="str">
        <f aca="false">IF($I501="","",$I501+$L501)</f>
        <v/>
      </c>
      <c r="O501" s="17" t="n">
        <f aca="false">IF($K501="","",$K501+$L501)</f>
        <v>1997</v>
      </c>
      <c r="P501" s="17" t="str">
        <f aca="false">IF($B$10=0,"",IFERROR(IF($B$4&gt;0,"휘발유 "&amp;TEXT(IF($M501="",1/0,$M501*$B$4),"#,##0")&amp;"원","")&amp;IF($B$5&gt;0,IF($B$4&gt;0," / ","")&amp;"고급유 "&amp;TEXT(IF($N501="",1/0,$N501*$B$5),"#,##0")&amp;"원","")&amp;IF($B$6&gt;0,IF(OR($B$4&gt;0,$B$5&gt;0)," / ","")&amp;"경유 "&amp;TEXT(IF($O501="",1/0,$O501*$B$6),"#,##0")&amp;"원",""),""))</f>
        <v/>
      </c>
      <c r="Q501" s="17" t="str">
        <f aca="false">IF($B$10=0,"",IFERROR(IF($B$4&gt;0,IF($M501="",1/0,$M501*$B$4),0)+IF($B$5&gt;0,IF($N501="",1/0,$N501*$B$5),0)+IF($B$6&gt;0,IF($O501="",1/0,$O501*$B$6),0),""))</f>
        <v/>
      </c>
      <c r="R501" s="17" t="s">
        <v>47</v>
      </c>
      <c r="S501" s="18" t="str">
        <f aca="false">IF($Q501="","",IF($R501="Y",IFERROR(VLOOKUP($B501,$C$4:$D$13,2,FALSE()),0),0))</f>
        <v/>
      </c>
      <c r="T501" s="17" t="str">
        <f aca="false">IF($Q501="","",ROUNDDOWN($Q501*$S501,0))</f>
        <v/>
      </c>
      <c r="U501" s="17" t="str">
        <f aca="false">IF($Q501="","",$Q501-$T501)</f>
        <v/>
      </c>
      <c r="V501" s="17" t="str">
        <f aca="false">IF($U501="","",IF($B$10=0,"",$U501/$B$10))</f>
        <v/>
      </c>
      <c r="W501" s="17" t="str">
        <f aca="false">IF($Q501="","",IF($B$10=0,"",$Q501/$B$10))</f>
        <v/>
      </c>
      <c r="X501" s="19" t="n">
        <f aca="false">IF($U501="",1000000000000000,$U501)</f>
        <v>1000000000000000</v>
      </c>
      <c r="XFC501" s="6"/>
    </row>
    <row r="502" s="5" customFormat="true" ht="28.5" hidden="false" customHeight="true" outlineLevel="0" collapsed="false">
      <c r="A502" s="16" t="str">
        <f aca="false">IF($U502="","",1+COUNTIF($X$15:$X$728,"&lt;"&amp;X502))</f>
        <v/>
      </c>
      <c r="B502" s="16" t="s">
        <v>10</v>
      </c>
      <c r="C502" s="16" t="s">
        <v>1498</v>
      </c>
      <c r="D502" s="16" t="s">
        <v>112</v>
      </c>
      <c r="E502" s="16" t="s">
        <v>47</v>
      </c>
      <c r="F502" s="16" t="s">
        <v>1499</v>
      </c>
      <c r="G502" s="16" t="s">
        <v>1500</v>
      </c>
      <c r="H502" s="17" t="n">
        <v>1987</v>
      </c>
      <c r="I502" s="17"/>
      <c r="J502" s="17"/>
      <c r="K502" s="17" t="n">
        <v>1977</v>
      </c>
      <c r="L502" s="17" t="n">
        <f aca="false">IF(AND(IFERROR(SEARCH("현대오일뱅크",$C502),0)&gt;0,IFERROR(SEARCH("직영",$C502),0)&gt;0),$B$13,0)</f>
        <v>0</v>
      </c>
      <c r="M502" s="17" t="n">
        <f aca="false">IF($H502="","",$H502+$L502)</f>
        <v>1987</v>
      </c>
      <c r="N502" s="17" t="str">
        <f aca="false">IF($I502="","",$I502+$L502)</f>
        <v/>
      </c>
      <c r="O502" s="17" t="n">
        <f aca="false">IF($K502="","",$K502+$L502)</f>
        <v>1977</v>
      </c>
      <c r="P502" s="17" t="str">
        <f aca="false">IF($B$10=0,"",IFERROR(IF($B$4&gt;0,"휘발유 "&amp;TEXT(IF($M502="",1/0,$M502*$B$4),"#,##0")&amp;"원","")&amp;IF($B$5&gt;0,IF($B$4&gt;0," / ","")&amp;"고급유 "&amp;TEXT(IF($N502="",1/0,$N502*$B$5),"#,##0")&amp;"원","")&amp;IF($B$6&gt;0,IF(OR($B$4&gt;0,$B$5&gt;0)," / ","")&amp;"경유 "&amp;TEXT(IF($O502="",1/0,$O502*$B$6),"#,##0")&amp;"원",""),""))</f>
        <v/>
      </c>
      <c r="Q502" s="17" t="str">
        <f aca="false">IF($B$10=0,"",IFERROR(IF($B$4&gt;0,IF($M502="",1/0,$M502*$B$4),0)+IF($B$5&gt;0,IF($N502="",1/0,$N502*$B$5),0)+IF($B$6&gt;0,IF($O502="",1/0,$O502*$B$6),0),""))</f>
        <v/>
      </c>
      <c r="R502" s="17" t="s">
        <v>47</v>
      </c>
      <c r="S502" s="18" t="str">
        <f aca="false">IF($Q502="","",IF($R502="Y",IFERROR(VLOOKUP($B502,$C$4:$D$13,2,FALSE()),0),0))</f>
        <v/>
      </c>
      <c r="T502" s="17" t="str">
        <f aca="false">IF($Q502="","",ROUNDDOWN($Q502*$S502,0))</f>
        <v/>
      </c>
      <c r="U502" s="17" t="str">
        <f aca="false">IF($Q502="","",$Q502-$T502)</f>
        <v/>
      </c>
      <c r="V502" s="17" t="str">
        <f aca="false">IF($U502="","",IF($B$10=0,"",$U502/$B$10))</f>
        <v/>
      </c>
      <c r="W502" s="17" t="str">
        <f aca="false">IF($Q502="","",IF($B$10=0,"",$Q502/$B$10))</f>
        <v/>
      </c>
      <c r="X502" s="19" t="n">
        <f aca="false">IF($U502="",1000000000000000,$U502)</f>
        <v>1000000000000000</v>
      </c>
      <c r="XFC502" s="6"/>
    </row>
    <row r="503" s="5" customFormat="true" ht="28.5" hidden="false" customHeight="true" outlineLevel="0" collapsed="false">
      <c r="A503" s="16" t="str">
        <f aca="false">IF($U503="","",1+COUNTIF($X$15:$X$728,"&lt;"&amp;X503))</f>
        <v/>
      </c>
      <c r="B503" s="16" t="s">
        <v>6</v>
      </c>
      <c r="C503" s="16" t="s">
        <v>1501</v>
      </c>
      <c r="D503" s="20" t="s">
        <v>108</v>
      </c>
      <c r="E503" s="16" t="s">
        <v>47</v>
      </c>
      <c r="F503" s="16" t="s">
        <v>1502</v>
      </c>
      <c r="G503" s="16" t="s">
        <v>1503</v>
      </c>
      <c r="H503" s="17" t="n">
        <v>1987</v>
      </c>
      <c r="I503" s="17"/>
      <c r="J503" s="17"/>
      <c r="K503" s="17" t="n">
        <v>1997</v>
      </c>
      <c r="L503" s="17" t="n">
        <f aca="false">IF(AND(IFERROR(SEARCH("현대오일뱅크",$C503),0)&gt;0,IFERROR(SEARCH("직영",$C503),0)&gt;0),$B$13,0)</f>
        <v>0</v>
      </c>
      <c r="M503" s="17" t="n">
        <f aca="false">IF($H503="","",$H503+$L503)</f>
        <v>1987</v>
      </c>
      <c r="N503" s="17" t="str">
        <f aca="false">IF($I503="","",$I503+$L503)</f>
        <v/>
      </c>
      <c r="O503" s="17" t="n">
        <f aca="false">IF($K503="","",$K503+$L503)</f>
        <v>1997</v>
      </c>
      <c r="P503" s="17" t="str">
        <f aca="false">IF($B$10=0,"",IFERROR(IF($B$4&gt;0,"휘발유 "&amp;TEXT(IF($M503="",1/0,$M503*$B$4),"#,##0")&amp;"원","")&amp;IF($B$5&gt;0,IF($B$4&gt;0," / ","")&amp;"고급유 "&amp;TEXT(IF($N503="",1/0,$N503*$B$5),"#,##0")&amp;"원","")&amp;IF($B$6&gt;0,IF(OR($B$4&gt;0,$B$5&gt;0)," / ","")&amp;"경유 "&amp;TEXT(IF($O503="",1/0,$O503*$B$6),"#,##0")&amp;"원",""),""))</f>
        <v/>
      </c>
      <c r="Q503" s="17" t="str">
        <f aca="false">IF($B$10=0,"",IFERROR(IF($B$4&gt;0,IF($M503="",1/0,$M503*$B$4),0)+IF($B$5&gt;0,IF($N503="",1/0,$N503*$B$5),0)+IF($B$6&gt;0,IF($O503="",1/0,$O503*$B$6),0),""))</f>
        <v/>
      </c>
      <c r="R503" s="17" t="s">
        <v>47</v>
      </c>
      <c r="S503" s="18" t="str">
        <f aca="false">IF($Q503="","",IF($R503="Y",IFERROR(VLOOKUP($B503,$C$4:$D$13,2,FALSE()),0),0))</f>
        <v/>
      </c>
      <c r="T503" s="17" t="str">
        <f aca="false">IF($Q503="","",ROUNDDOWN($Q503*$S503,0))</f>
        <v/>
      </c>
      <c r="U503" s="17" t="str">
        <f aca="false">IF($Q503="","",$Q503-$T503)</f>
        <v/>
      </c>
      <c r="V503" s="17" t="str">
        <f aca="false">IF($U503="","",IF($B$10=0,"",$U503/$B$10))</f>
        <v/>
      </c>
      <c r="W503" s="17" t="str">
        <f aca="false">IF($Q503="","",IF($B$10=0,"",$Q503/$B$10))</f>
        <v/>
      </c>
      <c r="X503" s="19" t="n">
        <f aca="false">IF($U503="",1000000000000000,$U503)</f>
        <v>1000000000000000</v>
      </c>
      <c r="XFC503" s="6"/>
    </row>
    <row r="504" s="5" customFormat="true" ht="28.5" hidden="false" customHeight="true" outlineLevel="0" collapsed="false">
      <c r="A504" s="16" t="str">
        <f aca="false">IF($U504="","",1+COUNTIF($X$15:$X$728,"&lt;"&amp;X504))</f>
        <v/>
      </c>
      <c r="B504" s="16" t="s">
        <v>12</v>
      </c>
      <c r="C504" s="16" t="s">
        <v>1504</v>
      </c>
      <c r="D504" s="20" t="s">
        <v>108</v>
      </c>
      <c r="E504" s="16" t="s">
        <v>59</v>
      </c>
      <c r="F504" s="16" t="s">
        <v>1505</v>
      </c>
      <c r="G504" s="16" t="s">
        <v>1506</v>
      </c>
      <c r="H504" s="17" t="n">
        <v>1987</v>
      </c>
      <c r="I504" s="17"/>
      <c r="J504" s="17"/>
      <c r="K504" s="17" t="n">
        <v>2047</v>
      </c>
      <c r="L504" s="17" t="n">
        <f aca="false">IF(AND(IFERROR(SEARCH("현대오일뱅크",$C504),0)&gt;0,IFERROR(SEARCH("직영",$C504),0)&gt;0),$B$13,0)</f>
        <v>0</v>
      </c>
      <c r="M504" s="17" t="n">
        <f aca="false">IF($H504="","",$H504+$L504)</f>
        <v>1987</v>
      </c>
      <c r="N504" s="17" t="str">
        <f aca="false">IF($I504="","",$I504+$L504)</f>
        <v/>
      </c>
      <c r="O504" s="17" t="n">
        <f aca="false">IF($K504="","",$K504+$L504)</f>
        <v>2047</v>
      </c>
      <c r="P504" s="17" t="str">
        <f aca="false">IF($B$10=0,"",IFERROR(IF($B$4&gt;0,"휘발유 "&amp;TEXT(IF($M504="",1/0,$M504*$B$4),"#,##0")&amp;"원","")&amp;IF($B$5&gt;0,IF($B$4&gt;0," / ","")&amp;"고급유 "&amp;TEXT(IF($N504="",1/0,$N504*$B$5),"#,##0")&amp;"원","")&amp;IF($B$6&gt;0,IF(OR($B$4&gt;0,$B$5&gt;0)," / ","")&amp;"경유 "&amp;TEXT(IF($O504="",1/0,$O504*$B$6),"#,##0")&amp;"원",""),""))</f>
        <v/>
      </c>
      <c r="Q504" s="17" t="str">
        <f aca="false">IF($B$10=0,"",IFERROR(IF($B$4&gt;0,IF($M504="",1/0,$M504*$B$4),0)+IF($B$5&gt;0,IF($N504="",1/0,$N504*$B$5),0)+IF($B$6&gt;0,IF($O504="",1/0,$O504*$B$6),0),""))</f>
        <v/>
      </c>
      <c r="R504" s="17" t="s">
        <v>47</v>
      </c>
      <c r="S504" s="18" t="str">
        <f aca="false">IF($Q504="","",IF($R504="Y",IFERROR(VLOOKUP($B504,$C$4:$D$13,2,FALSE()),0),0))</f>
        <v/>
      </c>
      <c r="T504" s="17" t="str">
        <f aca="false">IF($Q504="","",ROUNDDOWN($Q504*$S504,0))</f>
        <v/>
      </c>
      <c r="U504" s="17" t="str">
        <f aca="false">IF($Q504="","",$Q504-$T504)</f>
        <v/>
      </c>
      <c r="V504" s="17" t="str">
        <f aca="false">IF($U504="","",IF($B$10=0,"",$U504/$B$10))</f>
        <v/>
      </c>
      <c r="W504" s="17" t="str">
        <f aca="false">IF($Q504="","",IF($B$10=0,"",$Q504/$B$10))</f>
        <v/>
      </c>
      <c r="X504" s="19" t="n">
        <f aca="false">IF($U504="",1000000000000000,$U504)</f>
        <v>1000000000000000</v>
      </c>
      <c r="XFC504" s="6"/>
    </row>
    <row r="505" s="5" customFormat="true" ht="28.5" hidden="false" customHeight="true" outlineLevel="0" collapsed="false">
      <c r="A505" s="16" t="str">
        <f aca="false">IF($U505="","",1+COUNTIF($X$15:$X$728,"&lt;"&amp;X505))</f>
        <v/>
      </c>
      <c r="B505" s="16" t="s">
        <v>10</v>
      </c>
      <c r="C505" s="16" t="s">
        <v>1507</v>
      </c>
      <c r="D505" s="20" t="s">
        <v>108</v>
      </c>
      <c r="E505" s="16" t="s">
        <v>47</v>
      </c>
      <c r="F505" s="16" t="s">
        <v>1508</v>
      </c>
      <c r="G505" s="16" t="s">
        <v>1509</v>
      </c>
      <c r="H505" s="17" t="n">
        <v>1987</v>
      </c>
      <c r="I505" s="17"/>
      <c r="J505" s="17"/>
      <c r="K505" s="17" t="n">
        <v>1999</v>
      </c>
      <c r="L505" s="17" t="n">
        <f aca="false">IF(AND(IFERROR(SEARCH("현대오일뱅크",$C505),0)&gt;0,IFERROR(SEARCH("직영",$C505),0)&gt;0),$B$13,0)</f>
        <v>0</v>
      </c>
      <c r="M505" s="17" t="n">
        <f aca="false">IF($H505="","",$H505+$L505)</f>
        <v>1987</v>
      </c>
      <c r="N505" s="17" t="str">
        <f aca="false">IF($I505="","",$I505+$L505)</f>
        <v/>
      </c>
      <c r="O505" s="17" t="n">
        <f aca="false">IF($K505="","",$K505+$L505)</f>
        <v>1999</v>
      </c>
      <c r="P505" s="17" t="str">
        <f aca="false">IF($B$10=0,"",IFERROR(IF($B$4&gt;0,"휘발유 "&amp;TEXT(IF($M505="",1/0,$M505*$B$4),"#,##0")&amp;"원","")&amp;IF($B$5&gt;0,IF($B$4&gt;0," / ","")&amp;"고급유 "&amp;TEXT(IF($N505="",1/0,$N505*$B$5),"#,##0")&amp;"원","")&amp;IF($B$6&gt;0,IF(OR($B$4&gt;0,$B$5&gt;0)," / ","")&amp;"경유 "&amp;TEXT(IF($O505="",1/0,$O505*$B$6),"#,##0")&amp;"원",""),""))</f>
        <v/>
      </c>
      <c r="Q505" s="17" t="str">
        <f aca="false">IF($B$10=0,"",IFERROR(IF($B$4&gt;0,IF($M505="",1/0,$M505*$B$4),0)+IF($B$5&gt;0,IF($N505="",1/0,$N505*$B$5),0)+IF($B$6&gt;0,IF($O505="",1/0,$O505*$B$6),0),""))</f>
        <v/>
      </c>
      <c r="R505" s="17" t="s">
        <v>47</v>
      </c>
      <c r="S505" s="18" t="str">
        <f aca="false">IF($Q505="","",IF($R505="Y",IFERROR(VLOOKUP($B505,$C$4:$D$13,2,FALSE()),0),0))</f>
        <v/>
      </c>
      <c r="T505" s="17" t="str">
        <f aca="false">IF($Q505="","",ROUNDDOWN($Q505*$S505,0))</f>
        <v/>
      </c>
      <c r="U505" s="17" t="str">
        <f aca="false">IF($Q505="","",$Q505-$T505)</f>
        <v/>
      </c>
      <c r="V505" s="17" t="str">
        <f aca="false">IF($U505="","",IF($B$10=0,"",$U505/$B$10))</f>
        <v/>
      </c>
      <c r="W505" s="17" t="str">
        <f aca="false">IF($Q505="","",IF($B$10=0,"",$Q505/$B$10))</f>
        <v/>
      </c>
      <c r="X505" s="19" t="n">
        <f aca="false">IF($U505="",1000000000000000,$U505)</f>
        <v>1000000000000000</v>
      </c>
      <c r="XFC505" s="6"/>
    </row>
    <row r="506" s="5" customFormat="true" ht="28.5" hidden="false" customHeight="true" outlineLevel="0" collapsed="false">
      <c r="A506" s="16" t="str">
        <f aca="false">IF($U506="","",1+COUNTIF($X$15:$X$728,"&lt;"&amp;X506))</f>
        <v/>
      </c>
      <c r="B506" s="16" t="s">
        <v>6</v>
      </c>
      <c r="C506" s="16" t="s">
        <v>1510</v>
      </c>
      <c r="D506" s="16" t="s">
        <v>112</v>
      </c>
      <c r="E506" s="16" t="s">
        <v>47</v>
      </c>
      <c r="F506" s="16" t="s">
        <v>1511</v>
      </c>
      <c r="G506" s="16" t="s">
        <v>1512</v>
      </c>
      <c r="H506" s="17" t="n">
        <v>1989</v>
      </c>
      <c r="I506" s="17"/>
      <c r="J506" s="17"/>
      <c r="K506" s="17" t="n">
        <v>2049</v>
      </c>
      <c r="L506" s="17" t="n">
        <f aca="false">IF(AND(IFERROR(SEARCH("현대오일뱅크",$C506),0)&gt;0,IFERROR(SEARCH("직영",$C506),0)&gt;0),$B$13,0)</f>
        <v>0</v>
      </c>
      <c r="M506" s="17" t="n">
        <f aca="false">IF($H506="","",$H506+$L506)</f>
        <v>1989</v>
      </c>
      <c r="N506" s="17" t="str">
        <f aca="false">IF($I506="","",$I506+$L506)</f>
        <v/>
      </c>
      <c r="O506" s="17" t="n">
        <f aca="false">IF($K506="","",$K506+$L506)</f>
        <v>2049</v>
      </c>
      <c r="P506" s="17" t="str">
        <f aca="false">IF($B$10=0,"",IFERROR(IF($B$4&gt;0,"휘발유 "&amp;TEXT(IF($M506="",1/0,$M506*$B$4),"#,##0")&amp;"원","")&amp;IF($B$5&gt;0,IF($B$4&gt;0," / ","")&amp;"고급유 "&amp;TEXT(IF($N506="",1/0,$N506*$B$5),"#,##0")&amp;"원","")&amp;IF($B$6&gt;0,IF(OR($B$4&gt;0,$B$5&gt;0)," / ","")&amp;"경유 "&amp;TEXT(IF($O506="",1/0,$O506*$B$6),"#,##0")&amp;"원",""),""))</f>
        <v/>
      </c>
      <c r="Q506" s="17" t="str">
        <f aca="false">IF($B$10=0,"",IFERROR(IF($B$4&gt;0,IF($M506="",1/0,$M506*$B$4),0)+IF($B$5&gt;0,IF($N506="",1/0,$N506*$B$5),0)+IF($B$6&gt;0,IF($O506="",1/0,$O506*$B$6),0),""))</f>
        <v/>
      </c>
      <c r="R506" s="17" t="s">
        <v>47</v>
      </c>
      <c r="S506" s="18" t="str">
        <f aca="false">IF($Q506="","",IF($R506="Y",IFERROR(VLOOKUP($B506,$C$4:$D$13,2,FALSE()),0),0))</f>
        <v/>
      </c>
      <c r="T506" s="17" t="str">
        <f aca="false">IF($Q506="","",ROUNDDOWN($Q506*$S506,0))</f>
        <v/>
      </c>
      <c r="U506" s="17" t="str">
        <f aca="false">IF($Q506="","",$Q506-$T506)</f>
        <v/>
      </c>
      <c r="V506" s="17" t="str">
        <f aca="false">IF($U506="","",IF($B$10=0,"",$U506/$B$10))</f>
        <v/>
      </c>
      <c r="W506" s="17" t="str">
        <f aca="false">IF($Q506="","",IF($B$10=0,"",$Q506/$B$10))</f>
        <v/>
      </c>
      <c r="X506" s="19" t="n">
        <f aca="false">IF($U506="",1000000000000000,$U506)</f>
        <v>1000000000000000</v>
      </c>
      <c r="XFC506" s="6"/>
    </row>
    <row r="507" s="5" customFormat="true" ht="28.5" hidden="false" customHeight="true" outlineLevel="0" collapsed="false">
      <c r="A507" s="16" t="str">
        <f aca="false">IF($U507="","",1+COUNTIF($X$15:$X$728,"&lt;"&amp;X507))</f>
        <v/>
      </c>
      <c r="B507" s="16" t="s">
        <v>6</v>
      </c>
      <c r="C507" s="16" t="s">
        <v>692</v>
      </c>
      <c r="D507" s="16" t="s">
        <v>51</v>
      </c>
      <c r="E507" s="16" t="s">
        <v>59</v>
      </c>
      <c r="F507" s="16" t="s">
        <v>1513</v>
      </c>
      <c r="G507" s="16" t="s">
        <v>1514</v>
      </c>
      <c r="H507" s="17" t="n">
        <v>1989</v>
      </c>
      <c r="I507" s="17"/>
      <c r="J507" s="17"/>
      <c r="K507" s="17" t="n">
        <v>2049</v>
      </c>
      <c r="L507" s="17" t="n">
        <f aca="false">IF(AND(IFERROR(SEARCH("현대오일뱅크",$C507),0)&gt;0,IFERROR(SEARCH("직영",$C507),0)&gt;0),$B$13,0)</f>
        <v>0</v>
      </c>
      <c r="M507" s="17" t="n">
        <f aca="false">IF($H507="","",$H507+$L507)</f>
        <v>1989</v>
      </c>
      <c r="N507" s="17" t="str">
        <f aca="false">IF($I507="","",$I507+$L507)</f>
        <v/>
      </c>
      <c r="O507" s="17" t="n">
        <f aca="false">IF($K507="","",$K507+$L507)</f>
        <v>2049</v>
      </c>
      <c r="P507" s="17" t="str">
        <f aca="false">IF($B$10=0,"",IFERROR(IF($B$4&gt;0,"휘발유 "&amp;TEXT(IF($M507="",1/0,$M507*$B$4),"#,##0")&amp;"원","")&amp;IF($B$5&gt;0,IF($B$4&gt;0," / ","")&amp;"고급유 "&amp;TEXT(IF($N507="",1/0,$N507*$B$5),"#,##0")&amp;"원","")&amp;IF($B$6&gt;0,IF(OR($B$4&gt;0,$B$5&gt;0)," / ","")&amp;"경유 "&amp;TEXT(IF($O507="",1/0,$O507*$B$6),"#,##0")&amp;"원",""),""))</f>
        <v/>
      </c>
      <c r="Q507" s="17" t="str">
        <f aca="false">IF($B$10=0,"",IFERROR(IF($B$4&gt;0,IF($M507="",1/0,$M507*$B$4),0)+IF($B$5&gt;0,IF($N507="",1/0,$N507*$B$5),0)+IF($B$6&gt;0,IF($O507="",1/0,$O507*$B$6),0),""))</f>
        <v/>
      </c>
      <c r="R507" s="17" t="s">
        <v>47</v>
      </c>
      <c r="S507" s="18" t="str">
        <f aca="false">IF($Q507="","",IF($R507="Y",IFERROR(VLOOKUP($B507,$C$4:$D$13,2,FALSE()),0),0))</f>
        <v/>
      </c>
      <c r="T507" s="17" t="str">
        <f aca="false">IF($Q507="","",ROUNDDOWN($Q507*$S507,0))</f>
        <v/>
      </c>
      <c r="U507" s="17" t="str">
        <f aca="false">IF($Q507="","",$Q507-$T507)</f>
        <v/>
      </c>
      <c r="V507" s="17" t="str">
        <f aca="false">IF($U507="","",IF($B$10=0,"",$U507/$B$10))</f>
        <v/>
      </c>
      <c r="W507" s="17" t="str">
        <f aca="false">IF($Q507="","",IF($B$10=0,"",$Q507/$B$10))</f>
        <v/>
      </c>
      <c r="X507" s="19" t="n">
        <f aca="false">IF($U507="",1000000000000000,$U507)</f>
        <v>1000000000000000</v>
      </c>
      <c r="XFC507" s="6"/>
    </row>
    <row r="508" s="5" customFormat="true" ht="28.5" hidden="false" customHeight="true" outlineLevel="0" collapsed="false">
      <c r="A508" s="16" t="str">
        <f aca="false">IF($U508="","",1+COUNTIF($X$15:$X$728,"&lt;"&amp;X508))</f>
        <v/>
      </c>
      <c r="B508" s="16" t="s">
        <v>12</v>
      </c>
      <c r="C508" s="16" t="s">
        <v>1515</v>
      </c>
      <c r="D508" s="20" t="s">
        <v>108</v>
      </c>
      <c r="E508" s="16" t="s">
        <v>47</v>
      </c>
      <c r="F508" s="16" t="s">
        <v>1516</v>
      </c>
      <c r="G508" s="16" t="s">
        <v>1517</v>
      </c>
      <c r="H508" s="17" t="n">
        <v>1989</v>
      </c>
      <c r="I508" s="17"/>
      <c r="J508" s="17"/>
      <c r="K508" s="17" t="n">
        <v>2068</v>
      </c>
      <c r="L508" s="17" t="n">
        <f aca="false">IF(AND(IFERROR(SEARCH("현대오일뱅크",$C508),0)&gt;0,IFERROR(SEARCH("직영",$C508),0)&gt;0),$B$13,0)</f>
        <v>0</v>
      </c>
      <c r="M508" s="17" t="n">
        <f aca="false">IF($H508="","",$H508+$L508)</f>
        <v>1989</v>
      </c>
      <c r="N508" s="17" t="str">
        <f aca="false">IF($I508="","",$I508+$L508)</f>
        <v/>
      </c>
      <c r="O508" s="17" t="n">
        <f aca="false">IF($K508="","",$K508+$L508)</f>
        <v>2068</v>
      </c>
      <c r="P508" s="17" t="str">
        <f aca="false">IF($B$10=0,"",IFERROR(IF($B$4&gt;0,"휘발유 "&amp;TEXT(IF($M508="",1/0,$M508*$B$4),"#,##0")&amp;"원","")&amp;IF($B$5&gt;0,IF($B$4&gt;0," / ","")&amp;"고급유 "&amp;TEXT(IF($N508="",1/0,$N508*$B$5),"#,##0")&amp;"원","")&amp;IF($B$6&gt;0,IF(OR($B$4&gt;0,$B$5&gt;0)," / ","")&amp;"경유 "&amp;TEXT(IF($O508="",1/0,$O508*$B$6),"#,##0")&amp;"원",""),""))</f>
        <v/>
      </c>
      <c r="Q508" s="17" t="str">
        <f aca="false">IF($B$10=0,"",IFERROR(IF($B$4&gt;0,IF($M508="",1/0,$M508*$B$4),0)+IF($B$5&gt;0,IF($N508="",1/0,$N508*$B$5),0)+IF($B$6&gt;0,IF($O508="",1/0,$O508*$B$6),0),""))</f>
        <v/>
      </c>
      <c r="R508" s="17" t="s">
        <v>47</v>
      </c>
      <c r="S508" s="18" t="str">
        <f aca="false">IF($Q508="","",IF($R508="Y",IFERROR(VLOOKUP($B508,$C$4:$D$13,2,FALSE()),0),0))</f>
        <v/>
      </c>
      <c r="T508" s="17" t="str">
        <f aca="false">IF($Q508="","",ROUNDDOWN($Q508*$S508,0))</f>
        <v/>
      </c>
      <c r="U508" s="17" t="str">
        <f aca="false">IF($Q508="","",$Q508-$T508)</f>
        <v/>
      </c>
      <c r="V508" s="17" t="str">
        <f aca="false">IF($U508="","",IF($B$10=0,"",$U508/$B$10))</f>
        <v/>
      </c>
      <c r="W508" s="17" t="str">
        <f aca="false">IF($Q508="","",IF($B$10=0,"",$Q508/$B$10))</f>
        <v/>
      </c>
      <c r="X508" s="19" t="n">
        <f aca="false">IF($U508="",1000000000000000,$U508)</f>
        <v>1000000000000000</v>
      </c>
      <c r="XFC508" s="6"/>
    </row>
    <row r="509" s="5" customFormat="true" ht="28.5" hidden="false" customHeight="true" outlineLevel="0" collapsed="false">
      <c r="A509" s="16" t="str">
        <f aca="false">IF($U509="","",1+COUNTIF($X$15:$X$728,"&lt;"&amp;X509))</f>
        <v/>
      </c>
      <c r="B509" s="16" t="s">
        <v>12</v>
      </c>
      <c r="C509" s="16" t="s">
        <v>1518</v>
      </c>
      <c r="D509" s="20" t="s">
        <v>248</v>
      </c>
      <c r="E509" s="16" t="s">
        <v>47</v>
      </c>
      <c r="F509" s="16" t="s">
        <v>1519</v>
      </c>
      <c r="G509" s="16" t="s">
        <v>1520</v>
      </c>
      <c r="H509" s="17" t="n">
        <v>1794</v>
      </c>
      <c r="I509" s="17"/>
      <c r="J509" s="17"/>
      <c r="K509" s="17" t="n">
        <v>1780</v>
      </c>
      <c r="L509" s="17" t="n">
        <f aca="false">IF(AND(IFERROR(SEARCH("현대오일뱅크",$C509),0)&gt;0,IFERROR(SEARCH("직영",$C509),0)&gt;0),$B$13,0)</f>
        <v>0</v>
      </c>
      <c r="M509" s="17" t="n">
        <f aca="false">IF($H509="","",$H509+$L509)</f>
        <v>1794</v>
      </c>
      <c r="N509" s="17" t="str">
        <f aca="false">IF($I509="","",$I509+$L509)</f>
        <v/>
      </c>
      <c r="O509" s="17" t="n">
        <f aca="false">IF($K509="","",$K509+$L509)</f>
        <v>1780</v>
      </c>
      <c r="P509" s="17" t="str">
        <f aca="false">IF($B$10=0,"",IFERROR(IF($B$4&gt;0,"휘발유 "&amp;TEXT(IF($M509="",1/0,$M509*$B$4),"#,##0")&amp;"원","")&amp;IF($B$5&gt;0,IF($B$4&gt;0," / ","")&amp;"고급유 "&amp;TEXT(IF($N509="",1/0,$N509*$B$5),"#,##0")&amp;"원","")&amp;IF($B$6&gt;0,IF(OR($B$4&gt;0,$B$5&gt;0)," / ","")&amp;"경유 "&amp;TEXT(IF($O509="",1/0,$O509*$B$6),"#,##0")&amp;"원",""),""))</f>
        <v/>
      </c>
      <c r="Q509" s="17" t="str">
        <f aca="false">IF($B$10=0,"",IFERROR(IF($B$4&gt;0,IF($M509="",1/0,$M509*$B$4),0)+IF($B$5&gt;0,IF($N509="",1/0,$N509*$B$5),0)+IF($B$6&gt;0,IF($O509="",1/0,$O509*$B$6),0),""))</f>
        <v/>
      </c>
      <c r="R509" s="17"/>
      <c r="S509" s="18" t="str">
        <f aca="false">IF($Q509="","",IF($R509="Y",IFERROR(VLOOKUP($B509,$C$4:$D$13,2,FALSE()),0),0))</f>
        <v/>
      </c>
      <c r="T509" s="17" t="str">
        <f aca="false">IF($Q509="","",ROUNDDOWN($Q509*$S509,0))</f>
        <v/>
      </c>
      <c r="U509" s="17" t="str">
        <f aca="false">IF($Q509="","",$Q509-$T509)</f>
        <v/>
      </c>
      <c r="V509" s="17" t="str">
        <f aca="false">IF($U509="","",IF($B$10=0,"",$U509/$B$10))</f>
        <v/>
      </c>
      <c r="W509" s="17" t="str">
        <f aca="false">IF($Q509="","",IF($B$10=0,"",$Q509/$B$10))</f>
        <v/>
      </c>
      <c r="X509" s="19" t="n">
        <f aca="false">IF($U509="",1000000000000000,$U509)</f>
        <v>1000000000000000</v>
      </c>
      <c r="XFC509" s="6"/>
    </row>
    <row r="510" s="5" customFormat="true" ht="28.5" hidden="false" customHeight="true" outlineLevel="0" collapsed="false">
      <c r="A510" s="16" t="str">
        <f aca="false">IF($U510="","",1+COUNTIF($X$15:$X$728,"&lt;"&amp;X510))</f>
        <v/>
      </c>
      <c r="B510" s="16" t="s">
        <v>6</v>
      </c>
      <c r="C510" s="16" t="s">
        <v>1521</v>
      </c>
      <c r="D510" s="16" t="s">
        <v>58</v>
      </c>
      <c r="E510" s="16" t="s">
        <v>59</v>
      </c>
      <c r="F510" s="16" t="s">
        <v>1522</v>
      </c>
      <c r="G510" s="16" t="s">
        <v>1523</v>
      </c>
      <c r="H510" s="17" t="n">
        <v>1995</v>
      </c>
      <c r="I510" s="17"/>
      <c r="J510" s="17"/>
      <c r="K510" s="17" t="n">
        <v>1995</v>
      </c>
      <c r="L510" s="17" t="n">
        <f aca="false">IF(AND(IFERROR(SEARCH("현대오일뱅크",$C510),0)&gt;0,IFERROR(SEARCH("직영",$C510),0)&gt;0),$B$13,0)</f>
        <v>0</v>
      </c>
      <c r="M510" s="17" t="n">
        <f aca="false">IF($H510="","",$H510+$L510)</f>
        <v>1995</v>
      </c>
      <c r="N510" s="17" t="str">
        <f aca="false">IF($I510="","",$I510+$L510)</f>
        <v/>
      </c>
      <c r="O510" s="17" t="n">
        <f aca="false">IF($K510="","",$K510+$L510)</f>
        <v>1995</v>
      </c>
      <c r="P510" s="17" t="str">
        <f aca="false">IF($B$10=0,"",IFERROR(IF($B$4&gt;0,"휘발유 "&amp;TEXT(IF($M510="",1/0,$M510*$B$4),"#,##0")&amp;"원","")&amp;IF($B$5&gt;0,IF($B$4&gt;0," / ","")&amp;"고급유 "&amp;TEXT(IF($N510="",1/0,$N510*$B$5),"#,##0")&amp;"원","")&amp;IF($B$6&gt;0,IF(OR($B$4&gt;0,$B$5&gt;0)," / ","")&amp;"경유 "&amp;TEXT(IF($O510="",1/0,$O510*$B$6),"#,##0")&amp;"원",""),""))</f>
        <v/>
      </c>
      <c r="Q510" s="17" t="str">
        <f aca="false">IF($B$10=0,"",IFERROR(IF($B$4&gt;0,IF($M510="",1/0,$M510*$B$4),0)+IF($B$5&gt;0,IF($N510="",1/0,$N510*$B$5),0)+IF($B$6&gt;0,IF($O510="",1/0,$O510*$B$6),0),""))</f>
        <v/>
      </c>
      <c r="R510" s="17" t="s">
        <v>47</v>
      </c>
      <c r="S510" s="18" t="str">
        <f aca="false">IF($Q510="","",IF($R510="Y",IFERROR(VLOOKUP($B510,$C$4:$D$13,2,FALSE()),0),0))</f>
        <v/>
      </c>
      <c r="T510" s="17" t="str">
        <f aca="false">IF($Q510="","",ROUNDDOWN($Q510*$S510,0))</f>
        <v/>
      </c>
      <c r="U510" s="17" t="str">
        <f aca="false">IF($Q510="","",$Q510-$T510)</f>
        <v/>
      </c>
      <c r="V510" s="17" t="str">
        <f aca="false">IF($U510="","",IF($B$10=0,"",$U510/$B$10))</f>
        <v/>
      </c>
      <c r="W510" s="17" t="str">
        <f aca="false">IF($Q510="","",IF($B$10=0,"",$Q510/$B$10))</f>
        <v/>
      </c>
      <c r="X510" s="19" t="n">
        <f aca="false">IF($U510="",1000000000000000,$U510)</f>
        <v>1000000000000000</v>
      </c>
      <c r="XFC510" s="6"/>
    </row>
    <row r="511" s="5" customFormat="true" ht="28.5" hidden="false" customHeight="true" outlineLevel="0" collapsed="false">
      <c r="A511" s="16" t="str">
        <f aca="false">IF($U511="","",1+COUNTIF($X$15:$X$728,"&lt;"&amp;X511))</f>
        <v/>
      </c>
      <c r="B511" s="16" t="s">
        <v>6</v>
      </c>
      <c r="C511" s="16" t="s">
        <v>1102</v>
      </c>
      <c r="D511" s="16" t="s">
        <v>58</v>
      </c>
      <c r="E511" s="16" t="s">
        <v>47</v>
      </c>
      <c r="F511" s="16" t="s">
        <v>1524</v>
      </c>
      <c r="G511" s="16" t="s">
        <v>1525</v>
      </c>
      <c r="H511" s="17" t="n">
        <v>1995</v>
      </c>
      <c r="I511" s="17"/>
      <c r="J511" s="17"/>
      <c r="K511" s="17" t="n">
        <v>1995</v>
      </c>
      <c r="L511" s="17" t="n">
        <f aca="false">IF(AND(IFERROR(SEARCH("현대오일뱅크",$C511),0)&gt;0,IFERROR(SEARCH("직영",$C511),0)&gt;0),$B$13,0)</f>
        <v>0</v>
      </c>
      <c r="M511" s="17" t="n">
        <f aca="false">IF($H511="","",$H511+$L511)</f>
        <v>1995</v>
      </c>
      <c r="N511" s="17" t="str">
        <f aca="false">IF($I511="","",$I511+$L511)</f>
        <v/>
      </c>
      <c r="O511" s="17" t="n">
        <f aca="false">IF($K511="","",$K511+$L511)</f>
        <v>1995</v>
      </c>
      <c r="P511" s="17" t="str">
        <f aca="false">IF($B$10=0,"",IFERROR(IF($B$4&gt;0,"휘발유 "&amp;TEXT(IF($M511="",1/0,$M511*$B$4),"#,##0")&amp;"원","")&amp;IF($B$5&gt;0,IF($B$4&gt;0," / ","")&amp;"고급유 "&amp;TEXT(IF($N511="",1/0,$N511*$B$5),"#,##0")&amp;"원","")&amp;IF($B$6&gt;0,IF(OR($B$4&gt;0,$B$5&gt;0)," / ","")&amp;"경유 "&amp;TEXT(IF($O511="",1/0,$O511*$B$6),"#,##0")&amp;"원",""),""))</f>
        <v/>
      </c>
      <c r="Q511" s="17" t="str">
        <f aca="false">IF($B$10=0,"",IFERROR(IF($B$4&gt;0,IF($M511="",1/0,$M511*$B$4),0)+IF($B$5&gt;0,IF($N511="",1/0,$N511*$B$5),0)+IF($B$6&gt;0,IF($O511="",1/0,$O511*$B$6),0),""))</f>
        <v/>
      </c>
      <c r="R511" s="17" t="s">
        <v>47</v>
      </c>
      <c r="S511" s="18" t="str">
        <f aca="false">IF($Q511="","",IF($R511="Y",IFERROR(VLOOKUP($B511,$C$4:$D$13,2,FALSE()),0),0))</f>
        <v/>
      </c>
      <c r="T511" s="17" t="str">
        <f aca="false">IF($Q511="","",ROUNDDOWN($Q511*$S511,0))</f>
        <v/>
      </c>
      <c r="U511" s="17" t="str">
        <f aca="false">IF($Q511="","",$Q511-$T511)</f>
        <v/>
      </c>
      <c r="V511" s="17" t="str">
        <f aca="false">IF($U511="","",IF($B$10=0,"",$U511/$B$10))</f>
        <v/>
      </c>
      <c r="W511" s="17" t="str">
        <f aca="false">IF($Q511="","",IF($B$10=0,"",$Q511/$B$10))</f>
        <v/>
      </c>
      <c r="X511" s="19" t="n">
        <f aca="false">IF($U511="",1000000000000000,$U511)</f>
        <v>1000000000000000</v>
      </c>
      <c r="XFC511" s="6"/>
    </row>
    <row r="512" s="5" customFormat="true" ht="28.5" hidden="false" customHeight="true" outlineLevel="0" collapsed="false">
      <c r="A512" s="16" t="str">
        <f aca="false">IF($U512="","",1+COUNTIF($X$15:$X$728,"&lt;"&amp;X512))</f>
        <v/>
      </c>
      <c r="B512" s="16" t="s">
        <v>12</v>
      </c>
      <c r="C512" s="16" t="s">
        <v>1526</v>
      </c>
      <c r="D512" s="20" t="s">
        <v>248</v>
      </c>
      <c r="E512" s="16" t="s">
        <v>47</v>
      </c>
      <c r="F512" s="16" t="s">
        <v>1527</v>
      </c>
      <c r="G512" s="16" t="s">
        <v>1528</v>
      </c>
      <c r="H512" s="17" t="n">
        <v>1997</v>
      </c>
      <c r="I512" s="17"/>
      <c r="J512" s="17"/>
      <c r="K512" s="17" t="n">
        <v>1997</v>
      </c>
      <c r="L512" s="17" t="n">
        <f aca="false">IF(AND(IFERROR(SEARCH("현대오일뱅크",$C512),0)&gt;0,IFERROR(SEARCH("직영",$C512),0)&gt;0),$B$13,0)</f>
        <v>0</v>
      </c>
      <c r="M512" s="17" t="n">
        <f aca="false">IF($H512="","",$H512+$L512)</f>
        <v>1997</v>
      </c>
      <c r="N512" s="17" t="str">
        <f aca="false">IF($I512="","",$I512+$L512)</f>
        <v/>
      </c>
      <c r="O512" s="17" t="n">
        <f aca="false">IF($K512="","",$K512+$L512)</f>
        <v>1997</v>
      </c>
      <c r="P512" s="17" t="str">
        <f aca="false">IF($B$10=0,"",IFERROR(IF($B$4&gt;0,"휘발유 "&amp;TEXT(IF($M512="",1/0,$M512*$B$4),"#,##0")&amp;"원","")&amp;IF($B$5&gt;0,IF($B$4&gt;0," / ","")&amp;"고급유 "&amp;TEXT(IF($N512="",1/0,$N512*$B$5),"#,##0")&amp;"원","")&amp;IF($B$6&gt;0,IF(OR($B$4&gt;0,$B$5&gt;0)," / ","")&amp;"경유 "&amp;TEXT(IF($O512="",1/0,$O512*$B$6),"#,##0")&amp;"원",""),""))</f>
        <v/>
      </c>
      <c r="Q512" s="17" t="str">
        <f aca="false">IF($B$10=0,"",IFERROR(IF($B$4&gt;0,IF($M512="",1/0,$M512*$B$4),0)+IF($B$5&gt;0,IF($N512="",1/0,$N512*$B$5),0)+IF($B$6&gt;0,IF($O512="",1/0,$O512*$B$6),0),""))</f>
        <v/>
      </c>
      <c r="R512" s="17" t="s">
        <v>47</v>
      </c>
      <c r="S512" s="18" t="str">
        <f aca="false">IF($Q512="","",IF($R512="Y",IFERROR(VLOOKUP($B512,$C$4:$D$13,2,FALSE()),0),0))</f>
        <v/>
      </c>
      <c r="T512" s="17" t="str">
        <f aca="false">IF($Q512="","",ROUNDDOWN($Q512*$S512,0))</f>
        <v/>
      </c>
      <c r="U512" s="17" t="str">
        <f aca="false">IF($Q512="","",$Q512-$T512)</f>
        <v/>
      </c>
      <c r="V512" s="17" t="str">
        <f aca="false">IF($U512="","",IF($B$10=0,"",$U512/$B$10))</f>
        <v/>
      </c>
      <c r="W512" s="17" t="str">
        <f aca="false">IF($Q512="","",IF($B$10=0,"",$Q512/$B$10))</f>
        <v/>
      </c>
      <c r="X512" s="19" t="n">
        <f aca="false">IF($U512="",1000000000000000,$U512)</f>
        <v>1000000000000000</v>
      </c>
      <c r="XFC512" s="6"/>
    </row>
    <row r="513" s="5" customFormat="true" ht="28.5" hidden="false" customHeight="true" outlineLevel="0" collapsed="false">
      <c r="A513" s="16" t="str">
        <f aca="false">IF($U513="","",1+COUNTIF($X$15:$X$728,"&lt;"&amp;X513))</f>
        <v/>
      </c>
      <c r="B513" s="16" t="s">
        <v>12</v>
      </c>
      <c r="C513" s="16" t="s">
        <v>1529</v>
      </c>
      <c r="D513" s="20" t="s">
        <v>108</v>
      </c>
      <c r="E513" s="16" t="s">
        <v>47</v>
      </c>
      <c r="F513" s="16" t="s">
        <v>1530</v>
      </c>
      <c r="G513" s="16" t="s">
        <v>1531</v>
      </c>
      <c r="H513" s="17" t="n">
        <v>1798</v>
      </c>
      <c r="I513" s="17"/>
      <c r="J513" s="17"/>
      <c r="K513" s="17" t="n">
        <v>1748</v>
      </c>
      <c r="L513" s="17" t="n">
        <f aca="false">IF(AND(IFERROR(SEARCH("현대오일뱅크",$C513),0)&gt;0,IFERROR(SEARCH("직영",$C513),0)&gt;0),$B$13,0)</f>
        <v>0</v>
      </c>
      <c r="M513" s="17" t="n">
        <f aca="false">IF($H513="","",$H513+$L513)</f>
        <v>1798</v>
      </c>
      <c r="N513" s="17" t="str">
        <f aca="false">IF($I513="","",$I513+$L513)</f>
        <v/>
      </c>
      <c r="O513" s="17" t="n">
        <f aca="false">IF($K513="","",$K513+$L513)</f>
        <v>1748</v>
      </c>
      <c r="P513" s="17" t="str">
        <f aca="false">IF($B$10=0,"",IFERROR(IF($B$4&gt;0,"휘발유 "&amp;TEXT(IF($M513="",1/0,$M513*$B$4),"#,##0")&amp;"원","")&amp;IF($B$5&gt;0,IF($B$4&gt;0," / ","")&amp;"고급유 "&amp;TEXT(IF($N513="",1/0,$N513*$B$5),"#,##0")&amp;"원","")&amp;IF($B$6&gt;0,IF(OR($B$4&gt;0,$B$5&gt;0)," / ","")&amp;"경유 "&amp;TEXT(IF($O513="",1/0,$O513*$B$6),"#,##0")&amp;"원",""),""))</f>
        <v/>
      </c>
      <c r="Q513" s="17" t="str">
        <f aca="false">IF($B$10=0,"",IFERROR(IF($B$4&gt;0,IF($M513="",1/0,$M513*$B$4),0)+IF($B$5&gt;0,IF($N513="",1/0,$N513*$B$5),0)+IF($B$6&gt;0,IF($O513="",1/0,$O513*$B$6),0),""))</f>
        <v/>
      </c>
      <c r="R513" s="17"/>
      <c r="S513" s="18" t="str">
        <f aca="false">IF($Q513="","",IF($R513="Y",IFERROR(VLOOKUP($B513,$C$4:$D$13,2,FALSE()),0),0))</f>
        <v/>
      </c>
      <c r="T513" s="17" t="str">
        <f aca="false">IF($Q513="","",ROUNDDOWN($Q513*$S513,0))</f>
        <v/>
      </c>
      <c r="U513" s="17" t="str">
        <f aca="false">IF($Q513="","",$Q513-$T513)</f>
        <v/>
      </c>
      <c r="V513" s="17" t="str">
        <f aca="false">IF($U513="","",IF($B$10=0,"",$U513/$B$10))</f>
        <v/>
      </c>
      <c r="W513" s="17" t="str">
        <f aca="false">IF($Q513="","",IF($B$10=0,"",$Q513/$B$10))</f>
        <v/>
      </c>
      <c r="X513" s="19" t="n">
        <f aca="false">IF($U513="",1000000000000000,$U513)</f>
        <v>1000000000000000</v>
      </c>
      <c r="XFC513" s="6"/>
    </row>
    <row r="514" s="5" customFormat="true" ht="28.5" hidden="false" customHeight="true" outlineLevel="0" collapsed="false">
      <c r="A514" s="16" t="str">
        <f aca="false">IF($U514="","",1+COUNTIF($X$15:$X$728,"&lt;"&amp;X514))</f>
        <v/>
      </c>
      <c r="B514" s="16" t="s">
        <v>10</v>
      </c>
      <c r="C514" s="16" t="s">
        <v>1532</v>
      </c>
      <c r="D514" s="20" t="s">
        <v>108</v>
      </c>
      <c r="E514" s="16" t="s">
        <v>47</v>
      </c>
      <c r="F514" s="16" t="s">
        <v>1533</v>
      </c>
      <c r="G514" s="16" t="s">
        <v>1534</v>
      </c>
      <c r="H514" s="17" t="n">
        <v>1798</v>
      </c>
      <c r="I514" s="17"/>
      <c r="J514" s="17"/>
      <c r="K514" s="17" t="n">
        <v>1768</v>
      </c>
      <c r="L514" s="17" t="n">
        <f aca="false">IF(AND(IFERROR(SEARCH("현대오일뱅크",$C514),0)&gt;0,IFERROR(SEARCH("직영",$C514),0)&gt;0),$B$13,0)</f>
        <v>0</v>
      </c>
      <c r="M514" s="17" t="n">
        <f aca="false">IF($H514="","",$H514+$L514)</f>
        <v>1798</v>
      </c>
      <c r="N514" s="17" t="str">
        <f aca="false">IF($I514="","",$I514+$L514)</f>
        <v/>
      </c>
      <c r="O514" s="17" t="n">
        <f aca="false">IF($K514="","",$K514+$L514)</f>
        <v>1768</v>
      </c>
      <c r="P514" s="17" t="str">
        <f aca="false">IF($B$10=0,"",IFERROR(IF($B$4&gt;0,"휘발유 "&amp;TEXT(IF($M514="",1/0,$M514*$B$4),"#,##0")&amp;"원","")&amp;IF($B$5&gt;0,IF($B$4&gt;0," / ","")&amp;"고급유 "&amp;TEXT(IF($N514="",1/0,$N514*$B$5),"#,##0")&amp;"원","")&amp;IF($B$6&gt;0,IF(OR($B$4&gt;0,$B$5&gt;0)," / ","")&amp;"경유 "&amp;TEXT(IF($O514="",1/0,$O514*$B$6),"#,##0")&amp;"원",""),""))</f>
        <v/>
      </c>
      <c r="Q514" s="17" t="str">
        <f aca="false">IF($B$10=0,"",IFERROR(IF($B$4&gt;0,IF($M514="",1/0,$M514*$B$4),0)+IF($B$5&gt;0,IF($N514="",1/0,$N514*$B$5),0)+IF($B$6&gt;0,IF($O514="",1/0,$O514*$B$6),0),""))</f>
        <v/>
      </c>
      <c r="R514" s="17"/>
      <c r="S514" s="18" t="str">
        <f aca="false">IF($Q514="","",IF($R514="Y",IFERROR(VLOOKUP($B514,$C$4:$D$13,2,FALSE()),0),0))</f>
        <v/>
      </c>
      <c r="T514" s="17" t="str">
        <f aca="false">IF($Q514="","",ROUNDDOWN($Q514*$S514,0))</f>
        <v/>
      </c>
      <c r="U514" s="17" t="str">
        <f aca="false">IF($Q514="","",$Q514-$T514)</f>
        <v/>
      </c>
      <c r="V514" s="17" t="str">
        <f aca="false">IF($U514="","",IF($B$10=0,"",$U514/$B$10))</f>
        <v/>
      </c>
      <c r="W514" s="17" t="str">
        <f aca="false">IF($Q514="","",IF($B$10=0,"",$Q514/$B$10))</f>
        <v/>
      </c>
      <c r="X514" s="19" t="n">
        <f aca="false">IF($U514="",1000000000000000,$U514)</f>
        <v>1000000000000000</v>
      </c>
      <c r="XFC514" s="6"/>
    </row>
    <row r="515" s="5" customFormat="true" ht="28.5" hidden="false" customHeight="true" outlineLevel="0" collapsed="false">
      <c r="A515" s="16" t="str">
        <f aca="false">IF($U515="","",1+COUNTIF($X$15:$X$728,"&lt;"&amp;X515))</f>
        <v/>
      </c>
      <c r="B515" s="16" t="s">
        <v>6</v>
      </c>
      <c r="C515" s="16" t="s">
        <v>1058</v>
      </c>
      <c r="D515" s="16" t="s">
        <v>58</v>
      </c>
      <c r="E515" s="16" t="s">
        <v>59</v>
      </c>
      <c r="F515" s="16" t="s">
        <v>1535</v>
      </c>
      <c r="G515" s="16" t="s">
        <v>1536</v>
      </c>
      <c r="H515" s="17" t="n">
        <v>1998</v>
      </c>
      <c r="I515" s="17"/>
      <c r="J515" s="17"/>
      <c r="K515" s="17" t="n">
        <v>1998</v>
      </c>
      <c r="L515" s="17" t="n">
        <f aca="false">IF(AND(IFERROR(SEARCH("현대오일뱅크",$C515),0)&gt;0,IFERROR(SEARCH("직영",$C515),0)&gt;0),$B$13,0)</f>
        <v>0</v>
      </c>
      <c r="M515" s="17" t="n">
        <f aca="false">IF($H515="","",$H515+$L515)</f>
        <v>1998</v>
      </c>
      <c r="N515" s="17" t="str">
        <f aca="false">IF($I515="","",$I515+$L515)</f>
        <v/>
      </c>
      <c r="O515" s="17" t="n">
        <f aca="false">IF($K515="","",$K515+$L515)</f>
        <v>1998</v>
      </c>
      <c r="P515" s="17" t="str">
        <f aca="false">IF($B$10=0,"",IFERROR(IF($B$4&gt;0,"휘발유 "&amp;TEXT(IF($M515="",1/0,$M515*$B$4),"#,##0")&amp;"원","")&amp;IF($B$5&gt;0,IF($B$4&gt;0," / ","")&amp;"고급유 "&amp;TEXT(IF($N515="",1/0,$N515*$B$5),"#,##0")&amp;"원","")&amp;IF($B$6&gt;0,IF(OR($B$4&gt;0,$B$5&gt;0)," / ","")&amp;"경유 "&amp;TEXT(IF($O515="",1/0,$O515*$B$6),"#,##0")&amp;"원",""),""))</f>
        <v/>
      </c>
      <c r="Q515" s="17" t="str">
        <f aca="false">IF($B$10=0,"",IFERROR(IF($B$4&gt;0,IF($M515="",1/0,$M515*$B$4),0)+IF($B$5&gt;0,IF($N515="",1/0,$N515*$B$5),0)+IF($B$6&gt;0,IF($O515="",1/0,$O515*$B$6),0),""))</f>
        <v/>
      </c>
      <c r="R515" s="17" t="s">
        <v>47</v>
      </c>
      <c r="S515" s="18" t="str">
        <f aca="false">IF($Q515="","",IF($R515="Y",IFERROR(VLOOKUP($B515,$C$4:$D$13,2,FALSE()),0),0))</f>
        <v/>
      </c>
      <c r="T515" s="17" t="str">
        <f aca="false">IF($Q515="","",ROUNDDOWN($Q515*$S515,0))</f>
        <v/>
      </c>
      <c r="U515" s="17" t="str">
        <f aca="false">IF($Q515="","",$Q515-$T515)</f>
        <v/>
      </c>
      <c r="V515" s="17" t="str">
        <f aca="false">IF($U515="","",IF($B$10=0,"",$U515/$B$10))</f>
        <v/>
      </c>
      <c r="W515" s="17" t="str">
        <f aca="false">IF($Q515="","",IF($B$10=0,"",$Q515/$B$10))</f>
        <v/>
      </c>
      <c r="X515" s="19" t="n">
        <f aca="false">IF($U515="",1000000000000000,$U515)</f>
        <v>1000000000000000</v>
      </c>
      <c r="XFC515" s="6"/>
    </row>
    <row r="516" s="5" customFormat="true" ht="28.5" hidden="false" customHeight="true" outlineLevel="0" collapsed="false">
      <c r="A516" s="16" t="str">
        <f aca="false">IF($U516="","",1+COUNTIF($X$15:$X$728,"&lt;"&amp;X516))</f>
        <v/>
      </c>
      <c r="B516" s="16" t="s">
        <v>12</v>
      </c>
      <c r="C516" s="16" t="s">
        <v>1537</v>
      </c>
      <c r="D516" s="20" t="s">
        <v>108</v>
      </c>
      <c r="E516" s="16" t="s">
        <v>47</v>
      </c>
      <c r="F516" s="16" t="s">
        <v>1538</v>
      </c>
      <c r="G516" s="16" t="s">
        <v>1539</v>
      </c>
      <c r="H516" s="17" t="n">
        <v>1998</v>
      </c>
      <c r="I516" s="17"/>
      <c r="J516" s="17"/>
      <c r="K516" s="17" t="n">
        <v>2018</v>
      </c>
      <c r="L516" s="17" t="n">
        <f aca="false">IF(AND(IFERROR(SEARCH("현대오일뱅크",$C516),0)&gt;0,IFERROR(SEARCH("직영",$C516),0)&gt;0),$B$13,0)</f>
        <v>0</v>
      </c>
      <c r="M516" s="17" t="n">
        <f aca="false">IF($H516="","",$H516+$L516)</f>
        <v>1998</v>
      </c>
      <c r="N516" s="17" t="str">
        <f aca="false">IF($I516="","",$I516+$L516)</f>
        <v/>
      </c>
      <c r="O516" s="17" t="n">
        <f aca="false">IF($K516="","",$K516+$L516)</f>
        <v>2018</v>
      </c>
      <c r="P516" s="17" t="str">
        <f aca="false">IF($B$10=0,"",IFERROR(IF($B$4&gt;0,"휘발유 "&amp;TEXT(IF($M516="",1/0,$M516*$B$4),"#,##0")&amp;"원","")&amp;IF($B$5&gt;0,IF($B$4&gt;0," / ","")&amp;"고급유 "&amp;TEXT(IF($N516="",1/0,$N516*$B$5),"#,##0")&amp;"원","")&amp;IF($B$6&gt;0,IF(OR($B$4&gt;0,$B$5&gt;0)," / ","")&amp;"경유 "&amp;TEXT(IF($O516="",1/0,$O516*$B$6),"#,##0")&amp;"원",""),""))</f>
        <v/>
      </c>
      <c r="Q516" s="17" t="str">
        <f aca="false">IF($B$10=0,"",IFERROR(IF($B$4&gt;0,IF($M516="",1/0,$M516*$B$4),0)+IF($B$5&gt;0,IF($N516="",1/0,$N516*$B$5),0)+IF($B$6&gt;0,IF($O516="",1/0,$O516*$B$6),0),""))</f>
        <v/>
      </c>
      <c r="R516" s="17" t="s">
        <v>47</v>
      </c>
      <c r="S516" s="18" t="str">
        <f aca="false">IF($Q516="","",IF($R516="Y",IFERROR(VLOOKUP($B516,$C$4:$D$13,2,FALSE()),0),0))</f>
        <v/>
      </c>
      <c r="T516" s="17" t="str">
        <f aca="false">IF($Q516="","",ROUNDDOWN($Q516*$S516,0))</f>
        <v/>
      </c>
      <c r="U516" s="17" t="str">
        <f aca="false">IF($Q516="","",$Q516-$T516)</f>
        <v/>
      </c>
      <c r="V516" s="17" t="str">
        <f aca="false">IF($U516="","",IF($B$10=0,"",$U516/$B$10))</f>
        <v/>
      </c>
      <c r="W516" s="17" t="str">
        <f aca="false">IF($Q516="","",IF($B$10=0,"",$Q516/$B$10))</f>
        <v/>
      </c>
      <c r="X516" s="19" t="n">
        <f aca="false">IF($U516="",1000000000000000,$U516)</f>
        <v>1000000000000000</v>
      </c>
      <c r="XFC516" s="6"/>
    </row>
    <row r="517" s="5" customFormat="true" ht="28.5" hidden="false" customHeight="true" outlineLevel="0" collapsed="false">
      <c r="A517" s="16" t="str">
        <f aca="false">IF($U517="","",1+COUNTIF($X$15:$X$728,"&lt;"&amp;X517))</f>
        <v/>
      </c>
      <c r="B517" s="16" t="s">
        <v>12</v>
      </c>
      <c r="C517" s="16" t="s">
        <v>1540</v>
      </c>
      <c r="D517" s="20" t="s">
        <v>112</v>
      </c>
      <c r="E517" s="16" t="s">
        <v>47</v>
      </c>
      <c r="F517" s="16" t="s">
        <v>1541</v>
      </c>
      <c r="G517" s="16" t="s">
        <v>1542</v>
      </c>
      <c r="H517" s="17" t="n">
        <v>1998</v>
      </c>
      <c r="I517" s="17"/>
      <c r="J517" s="17"/>
      <c r="K517" s="17" t="n">
        <v>1998</v>
      </c>
      <c r="L517" s="17" t="n">
        <f aca="false">IF(AND(IFERROR(SEARCH("현대오일뱅크",$C517),0)&gt;0,IFERROR(SEARCH("직영",$C517),0)&gt;0),$B$13,0)</f>
        <v>0</v>
      </c>
      <c r="M517" s="17" t="n">
        <f aca="false">IF($H517="","",$H517+$L517)</f>
        <v>1998</v>
      </c>
      <c r="N517" s="17" t="str">
        <f aca="false">IF($I517="","",$I517+$L517)</f>
        <v/>
      </c>
      <c r="O517" s="17" t="n">
        <f aca="false">IF($K517="","",$K517+$L517)</f>
        <v>1998</v>
      </c>
      <c r="P517" s="17" t="str">
        <f aca="false">IF($B$10=0,"",IFERROR(IF($B$4&gt;0,"휘발유 "&amp;TEXT(IF($M517="",1/0,$M517*$B$4),"#,##0")&amp;"원","")&amp;IF($B$5&gt;0,IF($B$4&gt;0," / ","")&amp;"고급유 "&amp;TEXT(IF($N517="",1/0,$N517*$B$5),"#,##0")&amp;"원","")&amp;IF($B$6&gt;0,IF(OR($B$4&gt;0,$B$5&gt;0)," / ","")&amp;"경유 "&amp;TEXT(IF($O517="",1/0,$O517*$B$6),"#,##0")&amp;"원",""),""))</f>
        <v/>
      </c>
      <c r="Q517" s="17" t="str">
        <f aca="false">IF($B$10=0,"",IFERROR(IF($B$4&gt;0,IF($M517="",1/0,$M517*$B$4),0)+IF($B$5&gt;0,IF($N517="",1/0,$N517*$B$5),0)+IF($B$6&gt;0,IF($O517="",1/0,$O517*$B$6),0),""))</f>
        <v/>
      </c>
      <c r="R517" s="17" t="s">
        <v>47</v>
      </c>
      <c r="S517" s="18" t="str">
        <f aca="false">IF($Q517="","",IF($R517="Y",IFERROR(VLOOKUP($B517,$C$4:$D$13,2,FALSE()),0),0))</f>
        <v/>
      </c>
      <c r="T517" s="17" t="str">
        <f aca="false">IF($Q517="","",ROUNDDOWN($Q517*$S517,0))</f>
        <v/>
      </c>
      <c r="U517" s="17" t="str">
        <f aca="false">IF($Q517="","",$Q517-$T517)</f>
        <v/>
      </c>
      <c r="V517" s="17" t="str">
        <f aca="false">IF($U517="","",IF($B$10=0,"",$U517/$B$10))</f>
        <v/>
      </c>
      <c r="W517" s="17" t="str">
        <f aca="false">IF($Q517="","",IF($B$10=0,"",$Q517/$B$10))</f>
        <v/>
      </c>
      <c r="X517" s="19" t="n">
        <f aca="false">IF($U517="",1000000000000000,$U517)</f>
        <v>1000000000000000</v>
      </c>
      <c r="XFC517" s="6"/>
    </row>
    <row r="518" s="5" customFormat="true" ht="28.5" hidden="false" customHeight="true" outlineLevel="0" collapsed="false">
      <c r="A518" s="16" t="str">
        <f aca="false">IF($U518="","",1+COUNTIF($X$15:$X$728,"&lt;"&amp;X518))</f>
        <v/>
      </c>
      <c r="B518" s="16" t="s">
        <v>12</v>
      </c>
      <c r="C518" s="16" t="s">
        <v>1543</v>
      </c>
      <c r="D518" s="20" t="s">
        <v>248</v>
      </c>
      <c r="E518" s="16" t="s">
        <v>59</v>
      </c>
      <c r="F518" s="16" t="s">
        <v>1544</v>
      </c>
      <c r="G518" s="16" t="s">
        <v>1545</v>
      </c>
      <c r="H518" s="17" t="n">
        <v>1998</v>
      </c>
      <c r="I518" s="17"/>
      <c r="J518" s="17"/>
      <c r="K518" s="17" t="n">
        <v>2138</v>
      </c>
      <c r="L518" s="17" t="n">
        <f aca="false">IF(AND(IFERROR(SEARCH("현대오일뱅크",$C518),0)&gt;0,IFERROR(SEARCH("직영",$C518),0)&gt;0),$B$13,0)</f>
        <v>0</v>
      </c>
      <c r="M518" s="17" t="n">
        <f aca="false">IF($H518="","",$H518+$L518)</f>
        <v>1998</v>
      </c>
      <c r="N518" s="17" t="str">
        <f aca="false">IF($I518="","",$I518+$L518)</f>
        <v/>
      </c>
      <c r="O518" s="17" t="n">
        <f aca="false">IF($K518="","",$K518+$L518)</f>
        <v>2138</v>
      </c>
      <c r="P518" s="17" t="str">
        <f aca="false">IF($B$10=0,"",IFERROR(IF($B$4&gt;0,"휘발유 "&amp;TEXT(IF($M518="",1/0,$M518*$B$4),"#,##0")&amp;"원","")&amp;IF($B$5&gt;0,IF($B$4&gt;0," / ","")&amp;"고급유 "&amp;TEXT(IF($N518="",1/0,$N518*$B$5),"#,##0")&amp;"원","")&amp;IF($B$6&gt;0,IF(OR($B$4&gt;0,$B$5&gt;0)," / ","")&amp;"경유 "&amp;TEXT(IF($O518="",1/0,$O518*$B$6),"#,##0")&amp;"원",""),""))</f>
        <v/>
      </c>
      <c r="Q518" s="17" t="str">
        <f aca="false">IF($B$10=0,"",IFERROR(IF($B$4&gt;0,IF($M518="",1/0,$M518*$B$4),0)+IF($B$5&gt;0,IF($N518="",1/0,$N518*$B$5),0)+IF($B$6&gt;0,IF($O518="",1/0,$O518*$B$6),0),""))</f>
        <v/>
      </c>
      <c r="R518" s="17" t="s">
        <v>47</v>
      </c>
      <c r="S518" s="18" t="str">
        <f aca="false">IF($Q518="","",IF($R518="Y",IFERROR(VLOOKUP($B518,$C$4:$D$13,2,FALSE()),0),0))</f>
        <v/>
      </c>
      <c r="T518" s="17" t="str">
        <f aca="false">IF($Q518="","",ROUNDDOWN($Q518*$S518,0))</f>
        <v/>
      </c>
      <c r="U518" s="17" t="str">
        <f aca="false">IF($Q518="","",$Q518-$T518)</f>
        <v/>
      </c>
      <c r="V518" s="17" t="str">
        <f aca="false">IF($U518="","",IF($B$10=0,"",$U518/$B$10))</f>
        <v/>
      </c>
      <c r="W518" s="17" t="str">
        <f aca="false">IF($Q518="","",IF($B$10=0,"",$Q518/$B$10))</f>
        <v/>
      </c>
      <c r="X518" s="19" t="n">
        <f aca="false">IF($U518="",1000000000000000,$U518)</f>
        <v>1000000000000000</v>
      </c>
      <c r="XFC518" s="6"/>
    </row>
    <row r="519" s="5" customFormat="true" ht="28.5" hidden="false" customHeight="true" outlineLevel="0" collapsed="false">
      <c r="A519" s="16" t="str">
        <f aca="false">IF($U519="","",1+COUNTIF($X$15:$X$728,"&lt;"&amp;X519))</f>
        <v/>
      </c>
      <c r="B519" s="16" t="s">
        <v>6</v>
      </c>
      <c r="C519" s="16" t="s">
        <v>1546</v>
      </c>
      <c r="D519" s="16" t="s">
        <v>112</v>
      </c>
      <c r="E519" s="16" t="s">
        <v>47</v>
      </c>
      <c r="F519" s="16" t="s">
        <v>1547</v>
      </c>
      <c r="G519" s="16" t="s">
        <v>1548</v>
      </c>
      <c r="H519" s="17" t="n">
        <v>1998</v>
      </c>
      <c r="I519" s="17"/>
      <c r="J519" s="17"/>
      <c r="K519" s="17" t="n">
        <v>2049</v>
      </c>
      <c r="L519" s="17" t="n">
        <f aca="false">IF(AND(IFERROR(SEARCH("현대오일뱅크",$C519),0)&gt;0,IFERROR(SEARCH("직영",$C519),0)&gt;0),$B$13,0)</f>
        <v>0</v>
      </c>
      <c r="M519" s="17" t="n">
        <f aca="false">IF($H519="","",$H519+$L519)</f>
        <v>1998</v>
      </c>
      <c r="N519" s="17" t="str">
        <f aca="false">IF($I519="","",$I519+$L519)</f>
        <v/>
      </c>
      <c r="O519" s="17" t="n">
        <f aca="false">IF($K519="","",$K519+$L519)</f>
        <v>2049</v>
      </c>
      <c r="P519" s="17" t="str">
        <f aca="false">IF($B$10=0,"",IFERROR(IF($B$4&gt;0,"휘발유 "&amp;TEXT(IF($M519="",1/0,$M519*$B$4),"#,##0")&amp;"원","")&amp;IF($B$5&gt;0,IF($B$4&gt;0," / ","")&amp;"고급유 "&amp;TEXT(IF($N519="",1/0,$N519*$B$5),"#,##0")&amp;"원","")&amp;IF($B$6&gt;0,IF(OR($B$4&gt;0,$B$5&gt;0)," / ","")&amp;"경유 "&amp;TEXT(IF($O519="",1/0,$O519*$B$6),"#,##0")&amp;"원",""),""))</f>
        <v/>
      </c>
      <c r="Q519" s="17" t="str">
        <f aca="false">IF($B$10=0,"",IFERROR(IF($B$4&gt;0,IF($M519="",1/0,$M519*$B$4),0)+IF($B$5&gt;0,IF($N519="",1/0,$N519*$B$5),0)+IF($B$6&gt;0,IF($O519="",1/0,$O519*$B$6),0),""))</f>
        <v/>
      </c>
      <c r="R519" s="17" t="s">
        <v>47</v>
      </c>
      <c r="S519" s="18" t="str">
        <f aca="false">IF($Q519="","",IF($R519="Y",IFERROR(VLOOKUP($B519,$C$4:$D$13,2,FALSE()),0),0))</f>
        <v/>
      </c>
      <c r="T519" s="17" t="str">
        <f aca="false">IF($Q519="","",ROUNDDOWN($Q519*$S519,0))</f>
        <v/>
      </c>
      <c r="U519" s="17" t="str">
        <f aca="false">IF($Q519="","",$Q519-$T519)</f>
        <v/>
      </c>
      <c r="V519" s="17" t="str">
        <f aca="false">IF($U519="","",IF($B$10=0,"",$U519/$B$10))</f>
        <v/>
      </c>
      <c r="W519" s="17" t="str">
        <f aca="false">IF($Q519="","",IF($B$10=0,"",$Q519/$B$10))</f>
        <v/>
      </c>
      <c r="X519" s="19" t="n">
        <f aca="false">IF($U519="",1000000000000000,$U519)</f>
        <v>1000000000000000</v>
      </c>
      <c r="XFC519" s="6"/>
    </row>
    <row r="520" s="5" customFormat="true" ht="28.5" hidden="false" customHeight="true" outlineLevel="0" collapsed="false">
      <c r="A520" s="16" t="str">
        <f aca="false">IF($U520="","",1+COUNTIF($X$15:$X$728,"&lt;"&amp;X520))</f>
        <v/>
      </c>
      <c r="B520" s="16" t="s">
        <v>12</v>
      </c>
      <c r="C520" s="16" t="s">
        <v>1549</v>
      </c>
      <c r="D520" s="20" t="s">
        <v>112</v>
      </c>
      <c r="E520" s="16" t="s">
        <v>47</v>
      </c>
      <c r="F520" s="16" t="s">
        <v>1550</v>
      </c>
      <c r="G520" s="16" t="s">
        <v>1551</v>
      </c>
      <c r="H520" s="17" t="n">
        <v>1998</v>
      </c>
      <c r="I520" s="17"/>
      <c r="J520" s="17"/>
      <c r="K520" s="17" t="n">
        <v>2159</v>
      </c>
      <c r="L520" s="17" t="n">
        <f aca="false">IF(AND(IFERROR(SEARCH("현대오일뱅크",$C520),0)&gt;0,IFERROR(SEARCH("직영",$C520),0)&gt;0),$B$13,0)</f>
        <v>0</v>
      </c>
      <c r="M520" s="17" t="n">
        <f aca="false">IF($H520="","",$H520+$L520)</f>
        <v>1998</v>
      </c>
      <c r="N520" s="17" t="str">
        <f aca="false">IF($I520="","",$I520+$L520)</f>
        <v/>
      </c>
      <c r="O520" s="17" t="n">
        <f aca="false">IF($K520="","",$K520+$L520)</f>
        <v>2159</v>
      </c>
      <c r="P520" s="17" t="str">
        <f aca="false">IF($B$10=0,"",IFERROR(IF($B$4&gt;0,"휘발유 "&amp;TEXT(IF($M520="",1/0,$M520*$B$4),"#,##0")&amp;"원","")&amp;IF($B$5&gt;0,IF($B$4&gt;0," / ","")&amp;"고급유 "&amp;TEXT(IF($N520="",1/0,$N520*$B$5),"#,##0")&amp;"원","")&amp;IF($B$6&gt;0,IF(OR($B$4&gt;0,$B$5&gt;0)," / ","")&amp;"경유 "&amp;TEXT(IF($O520="",1/0,$O520*$B$6),"#,##0")&amp;"원",""),""))</f>
        <v/>
      </c>
      <c r="Q520" s="17" t="str">
        <f aca="false">IF($B$10=0,"",IFERROR(IF($B$4&gt;0,IF($M520="",1/0,$M520*$B$4),0)+IF($B$5&gt;0,IF($N520="",1/0,$N520*$B$5),0)+IF($B$6&gt;0,IF($O520="",1/0,$O520*$B$6),0),""))</f>
        <v/>
      </c>
      <c r="R520" s="17" t="s">
        <v>47</v>
      </c>
      <c r="S520" s="18" t="str">
        <f aca="false">IF($Q520="","",IF($R520="Y",IFERROR(VLOOKUP($B520,$C$4:$D$13,2,FALSE()),0),0))</f>
        <v/>
      </c>
      <c r="T520" s="17" t="str">
        <f aca="false">IF($Q520="","",ROUNDDOWN($Q520*$S520,0))</f>
        <v/>
      </c>
      <c r="U520" s="17" t="str">
        <f aca="false">IF($Q520="","",$Q520-$T520)</f>
        <v/>
      </c>
      <c r="V520" s="17" t="str">
        <f aca="false">IF($U520="","",IF($B$10=0,"",$U520/$B$10))</f>
        <v/>
      </c>
      <c r="W520" s="17" t="str">
        <f aca="false">IF($Q520="","",IF($B$10=0,"",$Q520/$B$10))</f>
        <v/>
      </c>
      <c r="X520" s="19" t="n">
        <f aca="false">IF($U520="",1000000000000000,$U520)</f>
        <v>1000000000000000</v>
      </c>
      <c r="XFC520" s="6"/>
    </row>
    <row r="521" s="5" customFormat="true" ht="28.5" hidden="false" customHeight="true" outlineLevel="0" collapsed="false">
      <c r="A521" s="16" t="str">
        <f aca="false">IF($U521="","",1+COUNTIF($X$15:$X$728,"&lt;"&amp;X521))</f>
        <v/>
      </c>
      <c r="B521" s="16" t="s">
        <v>10</v>
      </c>
      <c r="C521" s="16" t="s">
        <v>1552</v>
      </c>
      <c r="D521" s="16" t="s">
        <v>629</v>
      </c>
      <c r="E521" s="16" t="s">
        <v>47</v>
      </c>
      <c r="F521" s="16" t="s">
        <v>1553</v>
      </c>
      <c r="G521" s="16" t="s">
        <v>1554</v>
      </c>
      <c r="H521" s="17" t="n">
        <v>1799</v>
      </c>
      <c r="I521" s="17"/>
      <c r="J521" s="17"/>
      <c r="K521" s="17" t="n">
        <v>1796</v>
      </c>
      <c r="L521" s="17" t="n">
        <f aca="false">IF(AND(IFERROR(SEARCH("현대오일뱅크",$C521),0)&gt;0,IFERROR(SEARCH("직영",$C521),0)&gt;0),$B$13,0)</f>
        <v>0</v>
      </c>
      <c r="M521" s="17" t="n">
        <f aca="false">IF($H521="","",$H521+$L521)</f>
        <v>1799</v>
      </c>
      <c r="N521" s="17" t="str">
        <f aca="false">IF($I521="","",$I521+$L521)</f>
        <v/>
      </c>
      <c r="O521" s="17" t="n">
        <f aca="false">IF($K521="","",$K521+$L521)</f>
        <v>1796</v>
      </c>
      <c r="P521" s="17" t="str">
        <f aca="false">IF($B$10=0,"",IFERROR(IF($B$4&gt;0,"휘발유 "&amp;TEXT(IF($M521="",1/0,$M521*$B$4),"#,##0")&amp;"원","")&amp;IF($B$5&gt;0,IF($B$4&gt;0," / ","")&amp;"고급유 "&amp;TEXT(IF($N521="",1/0,$N521*$B$5),"#,##0")&amp;"원","")&amp;IF($B$6&gt;0,IF(OR($B$4&gt;0,$B$5&gt;0)," / ","")&amp;"경유 "&amp;TEXT(IF($O521="",1/0,$O521*$B$6),"#,##0")&amp;"원",""),""))</f>
        <v/>
      </c>
      <c r="Q521" s="17" t="str">
        <f aca="false">IF($B$10=0,"",IFERROR(IF($B$4&gt;0,IF($M521="",1/0,$M521*$B$4),0)+IF($B$5&gt;0,IF($N521="",1/0,$N521*$B$5),0)+IF($B$6&gt;0,IF($O521="",1/0,$O521*$B$6),0),""))</f>
        <v/>
      </c>
      <c r="R521" s="17"/>
      <c r="S521" s="18" t="str">
        <f aca="false">IF($Q521="","",IF($R521="Y",IFERROR(VLOOKUP($B521,$C$4:$D$13,2,FALSE()),0),0))</f>
        <v/>
      </c>
      <c r="T521" s="17" t="str">
        <f aca="false">IF($Q521="","",ROUNDDOWN($Q521*$S521,0))</f>
        <v/>
      </c>
      <c r="U521" s="17" t="str">
        <f aca="false">IF($Q521="","",$Q521-$T521)</f>
        <v/>
      </c>
      <c r="V521" s="17" t="str">
        <f aca="false">IF($U521="","",IF($B$10=0,"",$U521/$B$10))</f>
        <v/>
      </c>
      <c r="W521" s="17" t="str">
        <f aca="false">IF($Q521="","",IF($B$10=0,"",$Q521/$B$10))</f>
        <v/>
      </c>
      <c r="X521" s="19" t="n">
        <f aca="false">IF($U521="",1000000000000000,$U521)</f>
        <v>1000000000000000</v>
      </c>
      <c r="XFC521" s="6"/>
    </row>
    <row r="522" s="5" customFormat="true" ht="28.5" hidden="false" customHeight="true" outlineLevel="0" collapsed="false">
      <c r="A522" s="16" t="str">
        <f aca="false">IF($U522="","",1+COUNTIF($X$15:$X$728,"&lt;"&amp;X522))</f>
        <v/>
      </c>
      <c r="B522" s="16" t="s">
        <v>16</v>
      </c>
      <c r="C522" s="16" t="s">
        <v>1555</v>
      </c>
      <c r="D522" s="20" t="s">
        <v>108</v>
      </c>
      <c r="E522" s="16" t="s">
        <v>59</v>
      </c>
      <c r="F522" s="16" t="s">
        <v>1556</v>
      </c>
      <c r="G522" s="16" t="s">
        <v>1557</v>
      </c>
      <c r="H522" s="17" t="n">
        <v>1799</v>
      </c>
      <c r="I522" s="17"/>
      <c r="J522" s="17"/>
      <c r="K522" s="17" t="n">
        <v>1799</v>
      </c>
      <c r="L522" s="17" t="n">
        <f aca="false">IF(AND(IFERROR(SEARCH("현대오일뱅크",$C522),0)&gt;0,IFERROR(SEARCH("직영",$C522),0)&gt;0),$B$13,0)</f>
        <v>0</v>
      </c>
      <c r="M522" s="17" t="n">
        <f aca="false">IF($H522="","",$H522+$L522)</f>
        <v>1799</v>
      </c>
      <c r="N522" s="17" t="str">
        <f aca="false">IF($I522="","",$I522+$L522)</f>
        <v/>
      </c>
      <c r="O522" s="17" t="n">
        <f aca="false">IF($K522="","",$K522+$L522)</f>
        <v>1799</v>
      </c>
      <c r="P522" s="17" t="str">
        <f aca="false">IF($B$10=0,"",IFERROR(IF($B$4&gt;0,"휘발유 "&amp;TEXT(IF($M522="",1/0,$M522*$B$4),"#,##0")&amp;"원","")&amp;IF($B$5&gt;0,IF($B$4&gt;0," / ","")&amp;"고급유 "&amp;TEXT(IF($N522="",1/0,$N522*$B$5),"#,##0")&amp;"원","")&amp;IF($B$6&gt;0,IF(OR($B$4&gt;0,$B$5&gt;0)," / ","")&amp;"경유 "&amp;TEXT(IF($O522="",1/0,$O522*$B$6),"#,##0")&amp;"원",""),""))</f>
        <v/>
      </c>
      <c r="Q522" s="17" t="str">
        <f aca="false">IF($B$10=0,"",IFERROR(IF($B$4&gt;0,IF($M522="",1/0,$M522*$B$4),0)+IF($B$5&gt;0,IF($N522="",1/0,$N522*$B$5),0)+IF($B$6&gt;0,IF($O522="",1/0,$O522*$B$6),0),""))</f>
        <v/>
      </c>
      <c r="R522" s="17"/>
      <c r="S522" s="18" t="str">
        <f aca="false">IF($Q522="","",IF($R522="Y",IFERROR(VLOOKUP($B522,$C$4:$D$13,2,FALSE()),0),0))</f>
        <v/>
      </c>
      <c r="T522" s="17" t="str">
        <f aca="false">IF($Q522="","",ROUNDDOWN($Q522*$S522,0))</f>
        <v/>
      </c>
      <c r="U522" s="17" t="str">
        <f aca="false">IF($Q522="","",$Q522-$T522)</f>
        <v/>
      </c>
      <c r="V522" s="17" t="str">
        <f aca="false">IF($U522="","",IF($B$10=0,"",$U522/$B$10))</f>
        <v/>
      </c>
      <c r="W522" s="17" t="str">
        <f aca="false">IF($Q522="","",IF($B$10=0,"",$Q522/$B$10))</f>
        <v/>
      </c>
      <c r="X522" s="19" t="n">
        <f aca="false">IF($U522="",1000000000000000,$U522)</f>
        <v>1000000000000000</v>
      </c>
      <c r="XFC522" s="6"/>
    </row>
    <row r="523" s="5" customFormat="true" ht="28.5" hidden="false" customHeight="true" outlineLevel="0" collapsed="false">
      <c r="A523" s="16" t="str">
        <f aca="false">IF($U523="","",1+COUNTIF($X$15:$X$728,"&lt;"&amp;X523))</f>
        <v/>
      </c>
      <c r="B523" s="16" t="s">
        <v>16</v>
      </c>
      <c r="C523" s="16" t="s">
        <v>1558</v>
      </c>
      <c r="D523" s="20" t="s">
        <v>108</v>
      </c>
      <c r="E523" s="16" t="s">
        <v>59</v>
      </c>
      <c r="F523" s="16" t="s">
        <v>1559</v>
      </c>
      <c r="G523" s="16" t="s">
        <v>1560</v>
      </c>
      <c r="H523" s="17" t="n">
        <v>1799</v>
      </c>
      <c r="I523" s="17"/>
      <c r="J523" s="17"/>
      <c r="K523" s="17" t="n">
        <v>1799</v>
      </c>
      <c r="L523" s="17" t="n">
        <f aca="false">IF(AND(IFERROR(SEARCH("현대오일뱅크",$C523),0)&gt;0,IFERROR(SEARCH("직영",$C523),0)&gt;0),$B$13,0)</f>
        <v>0</v>
      </c>
      <c r="M523" s="17" t="n">
        <f aca="false">IF($H523="","",$H523+$L523)</f>
        <v>1799</v>
      </c>
      <c r="N523" s="17" t="str">
        <f aca="false">IF($I523="","",$I523+$L523)</f>
        <v/>
      </c>
      <c r="O523" s="17" t="n">
        <f aca="false">IF($K523="","",$K523+$L523)</f>
        <v>1799</v>
      </c>
      <c r="P523" s="17" t="str">
        <f aca="false">IF($B$10=0,"",IFERROR(IF($B$4&gt;0,"휘발유 "&amp;TEXT(IF($M523="",1/0,$M523*$B$4),"#,##0")&amp;"원","")&amp;IF($B$5&gt;0,IF($B$4&gt;0," / ","")&amp;"고급유 "&amp;TEXT(IF($N523="",1/0,$N523*$B$5),"#,##0")&amp;"원","")&amp;IF($B$6&gt;0,IF(OR($B$4&gt;0,$B$5&gt;0)," / ","")&amp;"경유 "&amp;TEXT(IF($O523="",1/0,$O523*$B$6),"#,##0")&amp;"원",""),""))</f>
        <v/>
      </c>
      <c r="Q523" s="17" t="str">
        <f aca="false">IF($B$10=0,"",IFERROR(IF($B$4&gt;0,IF($M523="",1/0,$M523*$B$4),0)+IF($B$5&gt;0,IF($N523="",1/0,$N523*$B$5),0)+IF($B$6&gt;0,IF($O523="",1/0,$O523*$B$6),0),""))</f>
        <v/>
      </c>
      <c r="R523" s="17"/>
      <c r="S523" s="18" t="str">
        <f aca="false">IF($Q523="","",IF($R523="Y",IFERROR(VLOOKUP($B523,$C$4:$D$13,2,FALSE()),0),0))</f>
        <v/>
      </c>
      <c r="T523" s="17" t="str">
        <f aca="false">IF($Q523="","",ROUNDDOWN($Q523*$S523,0))</f>
        <v/>
      </c>
      <c r="U523" s="17" t="str">
        <f aca="false">IF($Q523="","",$Q523-$T523)</f>
        <v/>
      </c>
      <c r="V523" s="17" t="str">
        <f aca="false">IF($U523="","",IF($B$10=0,"",$U523/$B$10))</f>
        <v/>
      </c>
      <c r="W523" s="17" t="str">
        <f aca="false">IF($Q523="","",IF($B$10=0,"",$Q523/$B$10))</f>
        <v/>
      </c>
      <c r="X523" s="19" t="n">
        <f aca="false">IF($U523="",1000000000000000,$U523)</f>
        <v>1000000000000000</v>
      </c>
      <c r="XFC523" s="6"/>
    </row>
    <row r="524" s="5" customFormat="true" ht="28.5" hidden="false" customHeight="true" outlineLevel="0" collapsed="false">
      <c r="A524" s="16" t="str">
        <f aca="false">IF($U524="","",1+COUNTIF($X$15:$X$728,"&lt;"&amp;X524))</f>
        <v/>
      </c>
      <c r="B524" s="16" t="s">
        <v>10</v>
      </c>
      <c r="C524" s="16" t="s">
        <v>1561</v>
      </c>
      <c r="D524" s="16" t="s">
        <v>58</v>
      </c>
      <c r="E524" s="16" t="s">
        <v>47</v>
      </c>
      <c r="F524" s="16" t="s">
        <v>1562</v>
      </c>
      <c r="G524" s="16" t="s">
        <v>1563</v>
      </c>
      <c r="H524" s="17" t="n">
        <v>1999</v>
      </c>
      <c r="I524" s="17"/>
      <c r="J524" s="17"/>
      <c r="K524" s="17" t="n">
        <v>2090</v>
      </c>
      <c r="L524" s="17" t="n">
        <f aca="false">IF(AND(IFERROR(SEARCH("현대오일뱅크",$C524),0)&gt;0,IFERROR(SEARCH("직영",$C524),0)&gt;0),$B$13,0)</f>
        <v>0</v>
      </c>
      <c r="M524" s="17" t="n">
        <f aca="false">IF($H524="","",$H524+$L524)</f>
        <v>1999</v>
      </c>
      <c r="N524" s="17" t="str">
        <f aca="false">IF($I524="","",$I524+$L524)</f>
        <v/>
      </c>
      <c r="O524" s="17" t="n">
        <f aca="false">IF($K524="","",$K524+$L524)</f>
        <v>2090</v>
      </c>
      <c r="P524" s="17" t="str">
        <f aca="false">IF($B$10=0,"",IFERROR(IF($B$4&gt;0,"휘발유 "&amp;TEXT(IF($M524="",1/0,$M524*$B$4),"#,##0")&amp;"원","")&amp;IF($B$5&gt;0,IF($B$4&gt;0," / ","")&amp;"고급유 "&amp;TEXT(IF($N524="",1/0,$N524*$B$5),"#,##0")&amp;"원","")&amp;IF($B$6&gt;0,IF(OR($B$4&gt;0,$B$5&gt;0)," / ","")&amp;"경유 "&amp;TEXT(IF($O524="",1/0,$O524*$B$6),"#,##0")&amp;"원",""),""))</f>
        <v/>
      </c>
      <c r="Q524" s="17" t="str">
        <f aca="false">IF($B$10=0,"",IFERROR(IF($B$4&gt;0,IF($M524="",1/0,$M524*$B$4),0)+IF($B$5&gt;0,IF($N524="",1/0,$N524*$B$5),0)+IF($B$6&gt;0,IF($O524="",1/0,$O524*$B$6),0),""))</f>
        <v/>
      </c>
      <c r="R524" s="17" t="s">
        <v>47</v>
      </c>
      <c r="S524" s="18" t="str">
        <f aca="false">IF($Q524="","",IF($R524="Y",IFERROR(VLOOKUP($B524,$C$4:$D$13,2,FALSE()),0),0))</f>
        <v/>
      </c>
      <c r="T524" s="17" t="str">
        <f aca="false">IF($Q524="","",ROUNDDOWN($Q524*$S524,0))</f>
        <v/>
      </c>
      <c r="U524" s="17" t="str">
        <f aca="false">IF($Q524="","",$Q524-$T524)</f>
        <v/>
      </c>
      <c r="V524" s="17" t="str">
        <f aca="false">IF($U524="","",IF($B$10=0,"",$U524/$B$10))</f>
        <v/>
      </c>
      <c r="W524" s="17" t="str">
        <f aca="false">IF($Q524="","",IF($B$10=0,"",$Q524/$B$10))</f>
        <v/>
      </c>
      <c r="X524" s="19" t="n">
        <f aca="false">IF($U524="",1000000000000000,$U524)</f>
        <v>1000000000000000</v>
      </c>
      <c r="XFC524" s="6"/>
    </row>
    <row r="525" s="5" customFormat="true" ht="28.5" hidden="false" customHeight="true" outlineLevel="0" collapsed="false">
      <c r="A525" s="16" t="str">
        <f aca="false">IF($U525="","",1+COUNTIF($X$15:$X$728,"&lt;"&amp;X525))</f>
        <v/>
      </c>
      <c r="B525" s="16" t="s">
        <v>8</v>
      </c>
      <c r="C525" s="16" t="s">
        <v>1564</v>
      </c>
      <c r="D525" s="16" t="s">
        <v>58</v>
      </c>
      <c r="E525" s="16" t="s">
        <v>59</v>
      </c>
      <c r="F525" s="16" t="s">
        <v>1565</v>
      </c>
      <c r="G525" s="16" t="s">
        <v>840</v>
      </c>
      <c r="H525" s="17" t="n">
        <v>1999</v>
      </c>
      <c r="I525" s="17"/>
      <c r="J525" s="17"/>
      <c r="K525" s="17" t="n">
        <v>1999</v>
      </c>
      <c r="L525" s="17" t="n">
        <f aca="false">IF(AND(IFERROR(SEARCH("현대오일뱅크",$C525),0)&gt;0,IFERROR(SEARCH("직영",$C525),0)&gt;0),$B$13,0)</f>
        <v>0</v>
      </c>
      <c r="M525" s="17" t="n">
        <f aca="false">IF($H525="","",$H525+$L525)</f>
        <v>1999</v>
      </c>
      <c r="N525" s="17" t="str">
        <f aca="false">IF($I525="","",$I525+$L525)</f>
        <v/>
      </c>
      <c r="O525" s="17" t="n">
        <f aca="false">IF($K525="","",$K525+$L525)</f>
        <v>1999</v>
      </c>
      <c r="P525" s="17" t="str">
        <f aca="false">IF($B$10=0,"",IFERROR(IF($B$4&gt;0,"휘발유 "&amp;TEXT(IF($M525="",1/0,$M525*$B$4),"#,##0")&amp;"원","")&amp;IF($B$5&gt;0,IF($B$4&gt;0," / ","")&amp;"고급유 "&amp;TEXT(IF($N525="",1/0,$N525*$B$5),"#,##0")&amp;"원","")&amp;IF($B$6&gt;0,IF(OR($B$4&gt;0,$B$5&gt;0)," / ","")&amp;"경유 "&amp;TEXT(IF($O525="",1/0,$O525*$B$6),"#,##0")&amp;"원",""),""))</f>
        <v/>
      </c>
      <c r="Q525" s="17" t="str">
        <f aca="false">IF($B$10=0,"",IFERROR(IF($B$4&gt;0,IF($M525="",1/0,$M525*$B$4),0)+IF($B$5&gt;0,IF($N525="",1/0,$N525*$B$5),0)+IF($B$6&gt;0,IF($O525="",1/0,$O525*$B$6),0),""))</f>
        <v/>
      </c>
      <c r="R525" s="17" t="s">
        <v>47</v>
      </c>
      <c r="S525" s="18" t="str">
        <f aca="false">IF($Q525="","",IF($R525="Y",IFERROR(VLOOKUP($B525,$C$4:$D$13,2,FALSE()),0),0))</f>
        <v/>
      </c>
      <c r="T525" s="17" t="str">
        <f aca="false">IF($Q525="","",ROUNDDOWN($Q525*$S525,0))</f>
        <v/>
      </c>
      <c r="U525" s="17" t="str">
        <f aca="false">IF($Q525="","",$Q525-$T525)</f>
        <v/>
      </c>
      <c r="V525" s="17" t="str">
        <f aca="false">IF($U525="","",IF($B$10=0,"",$U525/$B$10))</f>
        <v/>
      </c>
      <c r="W525" s="17" t="str">
        <f aca="false">IF($Q525="","",IF($B$10=0,"",$Q525/$B$10))</f>
        <v/>
      </c>
      <c r="X525" s="19" t="n">
        <f aca="false">IF($U525="",1000000000000000,$U525)</f>
        <v>1000000000000000</v>
      </c>
      <c r="XFC525" s="6"/>
    </row>
    <row r="526" s="5" customFormat="true" ht="28.5" hidden="false" customHeight="true" outlineLevel="0" collapsed="false">
      <c r="A526" s="16" t="str">
        <f aca="false">IF($U526="","",1+COUNTIF($X$15:$X$728,"&lt;"&amp;X526))</f>
        <v/>
      </c>
      <c r="B526" s="16" t="s">
        <v>12</v>
      </c>
      <c r="C526" s="16" t="s">
        <v>1566</v>
      </c>
      <c r="D526" s="20" t="s">
        <v>108</v>
      </c>
      <c r="E526" s="16" t="s">
        <v>47</v>
      </c>
      <c r="F526" s="16" t="s">
        <v>1567</v>
      </c>
      <c r="G526" s="16" t="s">
        <v>1568</v>
      </c>
      <c r="H526" s="17" t="n">
        <v>1999</v>
      </c>
      <c r="I526" s="17"/>
      <c r="J526" s="17"/>
      <c r="K526" s="17" t="n">
        <v>2099</v>
      </c>
      <c r="L526" s="17" t="n">
        <f aca="false">IF(AND(IFERROR(SEARCH("현대오일뱅크",$C526),0)&gt;0,IFERROR(SEARCH("직영",$C526),0)&gt;0),$B$13,0)</f>
        <v>0</v>
      </c>
      <c r="M526" s="17" t="n">
        <f aca="false">IF($H526="","",$H526+$L526)</f>
        <v>1999</v>
      </c>
      <c r="N526" s="17" t="str">
        <f aca="false">IF($I526="","",$I526+$L526)</f>
        <v/>
      </c>
      <c r="O526" s="17" t="n">
        <f aca="false">IF($K526="","",$K526+$L526)</f>
        <v>2099</v>
      </c>
      <c r="P526" s="17" t="str">
        <f aca="false">IF($B$10=0,"",IFERROR(IF($B$4&gt;0,"휘발유 "&amp;TEXT(IF($M526="",1/0,$M526*$B$4),"#,##0")&amp;"원","")&amp;IF($B$5&gt;0,IF($B$4&gt;0," / ","")&amp;"고급유 "&amp;TEXT(IF($N526="",1/0,$N526*$B$5),"#,##0")&amp;"원","")&amp;IF($B$6&gt;0,IF(OR($B$4&gt;0,$B$5&gt;0)," / ","")&amp;"경유 "&amp;TEXT(IF($O526="",1/0,$O526*$B$6),"#,##0")&amp;"원",""),""))</f>
        <v/>
      </c>
      <c r="Q526" s="17" t="str">
        <f aca="false">IF($B$10=0,"",IFERROR(IF($B$4&gt;0,IF($M526="",1/0,$M526*$B$4),0)+IF($B$5&gt;0,IF($N526="",1/0,$N526*$B$5),0)+IF($B$6&gt;0,IF($O526="",1/0,$O526*$B$6),0),""))</f>
        <v/>
      </c>
      <c r="R526" s="17" t="s">
        <v>47</v>
      </c>
      <c r="S526" s="18" t="str">
        <f aca="false">IF($Q526="","",IF($R526="Y",IFERROR(VLOOKUP($B526,$C$4:$D$13,2,FALSE()),0),0))</f>
        <v/>
      </c>
      <c r="T526" s="17" t="str">
        <f aca="false">IF($Q526="","",ROUNDDOWN($Q526*$S526,0))</f>
        <v/>
      </c>
      <c r="U526" s="17" t="str">
        <f aca="false">IF($Q526="","",$Q526-$T526)</f>
        <v/>
      </c>
      <c r="V526" s="17" t="str">
        <f aca="false">IF($U526="","",IF($B$10=0,"",$U526/$B$10))</f>
        <v/>
      </c>
      <c r="W526" s="17" t="str">
        <f aca="false">IF($Q526="","",IF($B$10=0,"",$Q526/$B$10))</f>
        <v/>
      </c>
      <c r="X526" s="19" t="n">
        <f aca="false">IF($U526="",1000000000000000,$U526)</f>
        <v>1000000000000000</v>
      </c>
      <c r="XFC526" s="6"/>
    </row>
    <row r="527" s="5" customFormat="true" ht="28.5" hidden="false" customHeight="true" outlineLevel="0" collapsed="false">
      <c r="A527" s="16" t="str">
        <f aca="false">IF($U527="","",1+COUNTIF($X$15:$X$728,"&lt;"&amp;X527))</f>
        <v/>
      </c>
      <c r="B527" s="16" t="s">
        <v>6</v>
      </c>
      <c r="C527" s="16" t="s">
        <v>1569</v>
      </c>
      <c r="D527" s="16" t="s">
        <v>58</v>
      </c>
      <c r="E527" s="16" t="s">
        <v>47</v>
      </c>
      <c r="F527" s="16" t="s">
        <v>1570</v>
      </c>
      <c r="G527" s="16" t="s">
        <v>1571</v>
      </c>
      <c r="H527" s="17" t="n">
        <v>1999</v>
      </c>
      <c r="I527" s="17"/>
      <c r="J527" s="17"/>
      <c r="K527" s="17" t="n">
        <v>1999</v>
      </c>
      <c r="L527" s="17" t="n">
        <f aca="false">IF(AND(IFERROR(SEARCH("현대오일뱅크",$C527),0)&gt;0,IFERROR(SEARCH("직영",$C527),0)&gt;0),$B$13,0)</f>
        <v>0</v>
      </c>
      <c r="M527" s="17" t="n">
        <f aca="false">IF($H527="","",$H527+$L527)</f>
        <v>1999</v>
      </c>
      <c r="N527" s="17" t="str">
        <f aca="false">IF($I527="","",$I527+$L527)</f>
        <v/>
      </c>
      <c r="O527" s="17" t="n">
        <f aca="false">IF($K527="","",$K527+$L527)</f>
        <v>1999</v>
      </c>
      <c r="P527" s="17" t="str">
        <f aca="false">IF($B$10=0,"",IFERROR(IF($B$4&gt;0,"휘발유 "&amp;TEXT(IF($M527="",1/0,$M527*$B$4),"#,##0")&amp;"원","")&amp;IF($B$5&gt;0,IF($B$4&gt;0," / ","")&amp;"고급유 "&amp;TEXT(IF($N527="",1/0,$N527*$B$5),"#,##0")&amp;"원","")&amp;IF($B$6&gt;0,IF(OR($B$4&gt;0,$B$5&gt;0)," / ","")&amp;"경유 "&amp;TEXT(IF($O527="",1/0,$O527*$B$6),"#,##0")&amp;"원",""),""))</f>
        <v/>
      </c>
      <c r="Q527" s="17" t="str">
        <f aca="false">IF($B$10=0,"",IFERROR(IF($B$4&gt;0,IF($M527="",1/0,$M527*$B$4),0)+IF($B$5&gt;0,IF($N527="",1/0,$N527*$B$5),0)+IF($B$6&gt;0,IF($O527="",1/0,$O527*$B$6),0),""))</f>
        <v/>
      </c>
      <c r="R527" s="17" t="s">
        <v>47</v>
      </c>
      <c r="S527" s="18" t="str">
        <f aca="false">IF($Q527="","",IF($R527="Y",IFERROR(VLOOKUP($B527,$C$4:$D$13,2,FALSE()),0),0))</f>
        <v/>
      </c>
      <c r="T527" s="17" t="str">
        <f aca="false">IF($Q527="","",ROUNDDOWN($Q527*$S527,0))</f>
        <v/>
      </c>
      <c r="U527" s="17" t="str">
        <f aca="false">IF($Q527="","",$Q527-$T527)</f>
        <v/>
      </c>
      <c r="V527" s="17" t="str">
        <f aca="false">IF($U527="","",IF($B$10=0,"",$U527/$B$10))</f>
        <v/>
      </c>
      <c r="W527" s="17" t="str">
        <f aca="false">IF($Q527="","",IF($B$10=0,"",$Q527/$B$10))</f>
        <v/>
      </c>
      <c r="X527" s="19" t="n">
        <f aca="false">IF($U527="",1000000000000000,$U527)</f>
        <v>1000000000000000</v>
      </c>
      <c r="XFC527" s="6"/>
    </row>
    <row r="528" s="5" customFormat="true" ht="28.5" hidden="false" customHeight="true" outlineLevel="0" collapsed="false">
      <c r="A528" s="16" t="str">
        <f aca="false">IF($U528="","",1+COUNTIF($X$15:$X$728,"&lt;"&amp;X528))</f>
        <v/>
      </c>
      <c r="B528" s="16" t="s">
        <v>10</v>
      </c>
      <c r="C528" s="16" t="s">
        <v>1572</v>
      </c>
      <c r="D528" s="16" t="s">
        <v>58</v>
      </c>
      <c r="E528" s="16" t="s">
        <v>47</v>
      </c>
      <c r="F528" s="16" t="s">
        <v>1573</v>
      </c>
      <c r="G528" s="16" t="s">
        <v>1574</v>
      </c>
      <c r="H528" s="17" t="n">
        <v>1999</v>
      </c>
      <c r="I528" s="17"/>
      <c r="J528" s="17"/>
      <c r="K528" s="17" t="n">
        <v>2240</v>
      </c>
      <c r="L528" s="17" t="n">
        <f aca="false">IF(AND(IFERROR(SEARCH("현대오일뱅크",$C528),0)&gt;0,IFERROR(SEARCH("직영",$C528),0)&gt;0),$B$13,0)</f>
        <v>0</v>
      </c>
      <c r="M528" s="17" t="n">
        <f aca="false">IF($H528="","",$H528+$L528)</f>
        <v>1999</v>
      </c>
      <c r="N528" s="17" t="str">
        <f aca="false">IF($I528="","",$I528+$L528)</f>
        <v/>
      </c>
      <c r="O528" s="17" t="n">
        <f aca="false">IF($K528="","",$K528+$L528)</f>
        <v>2240</v>
      </c>
      <c r="P528" s="17" t="str">
        <f aca="false">IF($B$10=0,"",IFERROR(IF($B$4&gt;0,"휘발유 "&amp;TEXT(IF($M528="",1/0,$M528*$B$4),"#,##0")&amp;"원","")&amp;IF($B$5&gt;0,IF($B$4&gt;0," / ","")&amp;"고급유 "&amp;TEXT(IF($N528="",1/0,$N528*$B$5),"#,##0")&amp;"원","")&amp;IF($B$6&gt;0,IF(OR($B$4&gt;0,$B$5&gt;0)," / ","")&amp;"경유 "&amp;TEXT(IF($O528="",1/0,$O528*$B$6),"#,##0")&amp;"원",""),""))</f>
        <v/>
      </c>
      <c r="Q528" s="17" t="str">
        <f aca="false">IF($B$10=0,"",IFERROR(IF($B$4&gt;0,IF($M528="",1/0,$M528*$B$4),0)+IF($B$5&gt;0,IF($N528="",1/0,$N528*$B$5),0)+IF($B$6&gt;0,IF($O528="",1/0,$O528*$B$6),0),""))</f>
        <v/>
      </c>
      <c r="R528" s="17" t="s">
        <v>47</v>
      </c>
      <c r="S528" s="18" t="str">
        <f aca="false">IF($Q528="","",IF($R528="Y",IFERROR(VLOOKUP($B528,$C$4:$D$13,2,FALSE()),0),0))</f>
        <v/>
      </c>
      <c r="T528" s="17" t="str">
        <f aca="false">IF($Q528="","",ROUNDDOWN($Q528*$S528,0))</f>
        <v/>
      </c>
      <c r="U528" s="17" t="str">
        <f aca="false">IF($Q528="","",$Q528-$T528)</f>
        <v/>
      </c>
      <c r="V528" s="17" t="str">
        <f aca="false">IF($U528="","",IF($B$10=0,"",$U528/$B$10))</f>
        <v/>
      </c>
      <c r="W528" s="17" t="str">
        <f aca="false">IF($Q528="","",IF($B$10=0,"",$Q528/$B$10))</f>
        <v/>
      </c>
      <c r="X528" s="19" t="n">
        <f aca="false">IF($U528="",1000000000000000,$U528)</f>
        <v>1000000000000000</v>
      </c>
      <c r="XFC528" s="6"/>
    </row>
    <row r="529" s="5" customFormat="true" ht="28.5" hidden="false" customHeight="true" outlineLevel="0" collapsed="false">
      <c r="A529" s="16" t="str">
        <f aca="false">IF($U529="","",1+COUNTIF($X$15:$X$728,"&lt;"&amp;X529))</f>
        <v/>
      </c>
      <c r="B529" s="16" t="s">
        <v>10</v>
      </c>
      <c r="C529" s="16" t="s">
        <v>1575</v>
      </c>
      <c r="D529" s="16" t="s">
        <v>58</v>
      </c>
      <c r="E529" s="16" t="s">
        <v>59</v>
      </c>
      <c r="F529" s="16" t="s">
        <v>1576</v>
      </c>
      <c r="G529" s="16" t="s">
        <v>1577</v>
      </c>
      <c r="H529" s="17" t="n">
        <v>1999</v>
      </c>
      <c r="I529" s="17"/>
      <c r="J529" s="17"/>
      <c r="K529" s="17" t="n">
        <v>1899</v>
      </c>
      <c r="L529" s="17" t="n">
        <f aca="false">IF(AND(IFERROR(SEARCH("현대오일뱅크",$C529),0)&gt;0,IFERROR(SEARCH("직영",$C529),0)&gt;0),$B$13,0)</f>
        <v>0</v>
      </c>
      <c r="M529" s="17" t="n">
        <f aca="false">IF($H529="","",$H529+$L529)</f>
        <v>1999</v>
      </c>
      <c r="N529" s="17" t="str">
        <f aca="false">IF($I529="","",$I529+$L529)</f>
        <v/>
      </c>
      <c r="O529" s="17" t="n">
        <f aca="false">IF($K529="","",$K529+$L529)</f>
        <v>1899</v>
      </c>
      <c r="P529" s="17" t="str">
        <f aca="false">IF($B$10=0,"",IFERROR(IF($B$4&gt;0,"휘발유 "&amp;TEXT(IF($M529="",1/0,$M529*$B$4),"#,##0")&amp;"원","")&amp;IF($B$5&gt;0,IF($B$4&gt;0," / ","")&amp;"고급유 "&amp;TEXT(IF($N529="",1/0,$N529*$B$5),"#,##0")&amp;"원","")&amp;IF($B$6&gt;0,IF(OR($B$4&gt;0,$B$5&gt;0)," / ","")&amp;"경유 "&amp;TEXT(IF($O529="",1/0,$O529*$B$6),"#,##0")&amp;"원",""),""))</f>
        <v/>
      </c>
      <c r="Q529" s="17" t="str">
        <f aca="false">IF($B$10=0,"",IFERROR(IF($B$4&gt;0,IF($M529="",1/0,$M529*$B$4),0)+IF($B$5&gt;0,IF($N529="",1/0,$N529*$B$5),0)+IF($B$6&gt;0,IF($O529="",1/0,$O529*$B$6),0),""))</f>
        <v/>
      </c>
      <c r="R529" s="17" t="s">
        <v>47</v>
      </c>
      <c r="S529" s="18" t="str">
        <f aca="false">IF($Q529="","",IF($R529="Y",IFERROR(VLOOKUP($B529,$C$4:$D$13,2,FALSE()),0),0))</f>
        <v/>
      </c>
      <c r="T529" s="17" t="str">
        <f aca="false">IF($Q529="","",ROUNDDOWN($Q529*$S529,0))</f>
        <v/>
      </c>
      <c r="U529" s="17" t="str">
        <f aca="false">IF($Q529="","",$Q529-$T529)</f>
        <v/>
      </c>
      <c r="V529" s="17" t="str">
        <f aca="false">IF($U529="","",IF($B$10=0,"",$U529/$B$10))</f>
        <v/>
      </c>
      <c r="W529" s="17" t="str">
        <f aca="false">IF($Q529="","",IF($B$10=0,"",$Q529/$B$10))</f>
        <v/>
      </c>
      <c r="X529" s="19" t="n">
        <f aca="false">IF($U529="",1000000000000000,$U529)</f>
        <v>1000000000000000</v>
      </c>
      <c r="XFC529" s="6"/>
    </row>
    <row r="530" s="5" customFormat="true" ht="28.5" hidden="false" customHeight="true" outlineLevel="0" collapsed="false">
      <c r="A530" s="16" t="str">
        <f aca="false">IF($U530="","",1+COUNTIF($X$15:$X$728,"&lt;"&amp;X530))</f>
        <v/>
      </c>
      <c r="B530" s="16" t="s">
        <v>16</v>
      </c>
      <c r="C530" s="16" t="s">
        <v>1578</v>
      </c>
      <c r="D530" s="16" t="s">
        <v>46</v>
      </c>
      <c r="E530" s="16" t="s">
        <v>47</v>
      </c>
      <c r="F530" s="16" t="s">
        <v>1579</v>
      </c>
      <c r="G530" s="16" t="s">
        <v>1580</v>
      </c>
      <c r="H530" s="17" t="n">
        <v>1800</v>
      </c>
      <c r="I530" s="17"/>
      <c r="J530" s="17"/>
      <c r="K530" s="17" t="n">
        <v>1830</v>
      </c>
      <c r="L530" s="17" t="n">
        <f aca="false">IF(AND(IFERROR(SEARCH("현대오일뱅크",$C530),0)&gt;0,IFERROR(SEARCH("직영",$C530),0)&gt;0),$B$13,0)</f>
        <v>0</v>
      </c>
      <c r="M530" s="17" t="n">
        <f aca="false">IF($H530="","",$H530+$L530)</f>
        <v>1800</v>
      </c>
      <c r="N530" s="17" t="str">
        <f aca="false">IF($I530="","",$I530+$L530)</f>
        <v/>
      </c>
      <c r="O530" s="17" t="n">
        <f aca="false">IF($K530="","",$K530+$L530)</f>
        <v>1830</v>
      </c>
      <c r="P530" s="17" t="str">
        <f aca="false">IF($B$10=0,"",IFERROR(IF($B$4&gt;0,"휘발유 "&amp;TEXT(IF($M530="",1/0,$M530*$B$4),"#,##0")&amp;"원","")&amp;IF($B$5&gt;0,IF($B$4&gt;0," / ","")&amp;"고급유 "&amp;TEXT(IF($N530="",1/0,$N530*$B$5),"#,##0")&amp;"원","")&amp;IF($B$6&gt;0,IF(OR($B$4&gt;0,$B$5&gt;0)," / ","")&amp;"경유 "&amp;TEXT(IF($O530="",1/0,$O530*$B$6),"#,##0")&amp;"원",""),""))</f>
        <v/>
      </c>
      <c r="Q530" s="17" t="str">
        <f aca="false">IF($B$10=0,"",IFERROR(IF($B$4&gt;0,IF($M530="",1/0,$M530*$B$4),0)+IF($B$5&gt;0,IF($N530="",1/0,$N530*$B$5),0)+IF($B$6&gt;0,IF($O530="",1/0,$O530*$B$6),0),""))</f>
        <v/>
      </c>
      <c r="R530" s="17"/>
      <c r="S530" s="18" t="str">
        <f aca="false">IF($Q530="","",IF($R530="Y",IFERROR(VLOOKUP($B530,$C$4:$D$13,2,FALSE()),0),0))</f>
        <v/>
      </c>
      <c r="T530" s="17" t="str">
        <f aca="false">IF($Q530="","",ROUNDDOWN($Q530*$S530,0))</f>
        <v/>
      </c>
      <c r="U530" s="17" t="str">
        <f aca="false">IF($Q530="","",$Q530-$T530)</f>
        <v/>
      </c>
      <c r="V530" s="17" t="str">
        <f aca="false">IF($U530="","",IF($B$10=0,"",$U530/$B$10))</f>
        <v/>
      </c>
      <c r="W530" s="17" t="str">
        <f aca="false">IF($Q530="","",IF($B$10=0,"",$Q530/$B$10))</f>
        <v/>
      </c>
      <c r="X530" s="19" t="n">
        <f aca="false">IF($U530="",1000000000000000,$U530)</f>
        <v>1000000000000000</v>
      </c>
      <c r="XFC530" s="6"/>
    </row>
    <row r="531" s="5" customFormat="true" ht="28.5" hidden="false" customHeight="true" outlineLevel="0" collapsed="false">
      <c r="A531" s="16" t="str">
        <f aca="false">IF($U531="","",1+COUNTIF($X$15:$X$728,"&lt;"&amp;X531))</f>
        <v/>
      </c>
      <c r="B531" s="16" t="s">
        <v>16</v>
      </c>
      <c r="C531" s="16" t="s">
        <v>1581</v>
      </c>
      <c r="D531" s="16" t="s">
        <v>629</v>
      </c>
      <c r="E531" s="16" t="s">
        <v>47</v>
      </c>
      <c r="F531" s="16" t="s">
        <v>1582</v>
      </c>
      <c r="G531" s="16" t="s">
        <v>1583</v>
      </c>
      <c r="H531" s="17" t="n">
        <v>1800</v>
      </c>
      <c r="I531" s="17"/>
      <c r="J531" s="17"/>
      <c r="K531" s="17" t="n">
        <v>1900</v>
      </c>
      <c r="L531" s="17" t="n">
        <f aca="false">IF(AND(IFERROR(SEARCH("현대오일뱅크",$C531),0)&gt;0,IFERROR(SEARCH("직영",$C531),0)&gt;0),$B$13,0)</f>
        <v>0</v>
      </c>
      <c r="M531" s="17" t="n">
        <f aca="false">IF($H531="","",$H531+$L531)</f>
        <v>1800</v>
      </c>
      <c r="N531" s="17" t="str">
        <f aca="false">IF($I531="","",$I531+$L531)</f>
        <v/>
      </c>
      <c r="O531" s="17" t="n">
        <f aca="false">IF($K531="","",$K531+$L531)</f>
        <v>1900</v>
      </c>
      <c r="P531" s="17" t="str">
        <f aca="false">IF($B$10=0,"",IFERROR(IF($B$4&gt;0,"휘발유 "&amp;TEXT(IF($M531="",1/0,$M531*$B$4),"#,##0")&amp;"원","")&amp;IF($B$5&gt;0,IF($B$4&gt;0," / ","")&amp;"고급유 "&amp;TEXT(IF($N531="",1/0,$N531*$B$5),"#,##0")&amp;"원","")&amp;IF($B$6&gt;0,IF(OR($B$4&gt;0,$B$5&gt;0)," / ","")&amp;"경유 "&amp;TEXT(IF($O531="",1/0,$O531*$B$6),"#,##0")&amp;"원",""),""))</f>
        <v/>
      </c>
      <c r="Q531" s="17" t="str">
        <f aca="false">IF($B$10=0,"",IFERROR(IF($B$4&gt;0,IF($M531="",1/0,$M531*$B$4),0)+IF($B$5&gt;0,IF($N531="",1/0,$N531*$B$5),0)+IF($B$6&gt;0,IF($O531="",1/0,$O531*$B$6),0),""))</f>
        <v/>
      </c>
      <c r="R531" s="17"/>
      <c r="S531" s="18" t="str">
        <f aca="false">IF($Q531="","",IF($R531="Y",IFERROR(VLOOKUP($B531,$C$4:$D$13,2,FALSE()),0),0))</f>
        <v/>
      </c>
      <c r="T531" s="17" t="str">
        <f aca="false">IF($Q531="","",ROUNDDOWN($Q531*$S531,0))</f>
        <v/>
      </c>
      <c r="U531" s="17" t="str">
        <f aca="false">IF($Q531="","",$Q531-$T531)</f>
        <v/>
      </c>
      <c r="V531" s="17" t="str">
        <f aca="false">IF($U531="","",IF($B$10=0,"",$U531/$B$10))</f>
        <v/>
      </c>
      <c r="W531" s="17" t="str">
        <f aca="false">IF($Q531="","",IF($B$10=0,"",$Q531/$B$10))</f>
        <v/>
      </c>
      <c r="X531" s="19" t="n">
        <f aca="false">IF($U531="",1000000000000000,$U531)</f>
        <v>1000000000000000</v>
      </c>
      <c r="XFC531" s="6"/>
    </row>
    <row r="532" s="5" customFormat="true" ht="28.5" hidden="false" customHeight="true" outlineLevel="0" collapsed="false">
      <c r="A532" s="16" t="str">
        <f aca="false">IF($U532="","",1+COUNTIF($X$15:$X$728,"&lt;"&amp;X532))</f>
        <v/>
      </c>
      <c r="B532" s="16" t="s">
        <v>16</v>
      </c>
      <c r="C532" s="16" t="s">
        <v>1584</v>
      </c>
      <c r="D532" s="16" t="s">
        <v>629</v>
      </c>
      <c r="E532" s="16" t="s">
        <v>47</v>
      </c>
      <c r="F532" s="16" t="s">
        <v>1585</v>
      </c>
      <c r="G532" s="16" t="s">
        <v>1586</v>
      </c>
      <c r="H532" s="17" t="n">
        <v>1800</v>
      </c>
      <c r="I532" s="17"/>
      <c r="J532" s="17"/>
      <c r="K532" s="17" t="n">
        <v>1900</v>
      </c>
      <c r="L532" s="17" t="n">
        <f aca="false">IF(AND(IFERROR(SEARCH("현대오일뱅크",$C532),0)&gt;0,IFERROR(SEARCH("직영",$C532),0)&gt;0),$B$13,0)</f>
        <v>0</v>
      </c>
      <c r="M532" s="17" t="n">
        <f aca="false">IF($H532="","",$H532+$L532)</f>
        <v>1800</v>
      </c>
      <c r="N532" s="17" t="str">
        <f aca="false">IF($I532="","",$I532+$L532)</f>
        <v/>
      </c>
      <c r="O532" s="17" t="n">
        <f aca="false">IF($K532="","",$K532+$L532)</f>
        <v>1900</v>
      </c>
      <c r="P532" s="17" t="str">
        <f aca="false">IF($B$10=0,"",IFERROR(IF($B$4&gt;0,"휘발유 "&amp;TEXT(IF($M532="",1/0,$M532*$B$4),"#,##0")&amp;"원","")&amp;IF($B$5&gt;0,IF($B$4&gt;0," / ","")&amp;"고급유 "&amp;TEXT(IF($N532="",1/0,$N532*$B$5),"#,##0")&amp;"원","")&amp;IF($B$6&gt;0,IF(OR($B$4&gt;0,$B$5&gt;0)," / ","")&amp;"경유 "&amp;TEXT(IF($O532="",1/0,$O532*$B$6),"#,##0")&amp;"원",""),""))</f>
        <v/>
      </c>
      <c r="Q532" s="17" t="str">
        <f aca="false">IF($B$10=0,"",IFERROR(IF($B$4&gt;0,IF($M532="",1/0,$M532*$B$4),0)+IF($B$5&gt;0,IF($N532="",1/0,$N532*$B$5),0)+IF($B$6&gt;0,IF($O532="",1/0,$O532*$B$6),0),""))</f>
        <v/>
      </c>
      <c r="R532" s="17"/>
      <c r="S532" s="18" t="str">
        <f aca="false">IF($Q532="","",IF($R532="Y",IFERROR(VLOOKUP($B532,$C$4:$D$13,2,FALSE()),0),0))</f>
        <v/>
      </c>
      <c r="T532" s="17" t="str">
        <f aca="false">IF($Q532="","",ROUNDDOWN($Q532*$S532,0))</f>
        <v/>
      </c>
      <c r="U532" s="17" t="str">
        <f aca="false">IF($Q532="","",$Q532-$T532)</f>
        <v/>
      </c>
      <c r="V532" s="17" t="str">
        <f aca="false">IF($U532="","",IF($B$10=0,"",$U532/$B$10))</f>
        <v/>
      </c>
      <c r="W532" s="17" t="str">
        <f aca="false">IF($Q532="","",IF($B$10=0,"",$Q532/$B$10))</f>
        <v/>
      </c>
      <c r="X532" s="19" t="n">
        <f aca="false">IF($U532="",1000000000000000,$U532)</f>
        <v>1000000000000000</v>
      </c>
      <c r="XFC532" s="6"/>
    </row>
    <row r="533" s="5" customFormat="true" ht="28.5" hidden="false" customHeight="true" outlineLevel="0" collapsed="false">
      <c r="A533" s="16" t="str">
        <f aca="false">IF($U533="","",1+COUNTIF($X$15:$X$728,"&lt;"&amp;X533))</f>
        <v/>
      </c>
      <c r="B533" s="16" t="s">
        <v>16</v>
      </c>
      <c r="C533" s="16" t="s">
        <v>1587</v>
      </c>
      <c r="D533" s="20" t="s">
        <v>108</v>
      </c>
      <c r="E533" s="16" t="s">
        <v>59</v>
      </c>
      <c r="F533" s="16" t="s">
        <v>1588</v>
      </c>
      <c r="G533" s="16" t="s">
        <v>1589</v>
      </c>
      <c r="H533" s="17" t="n">
        <v>2050</v>
      </c>
      <c r="I533" s="17"/>
      <c r="J533" s="17"/>
      <c r="K533" s="17" t="n">
        <v>2100</v>
      </c>
      <c r="L533" s="17" t="n">
        <f aca="false">IF(AND(IFERROR(SEARCH("현대오일뱅크",$C533),0)&gt;0,IFERROR(SEARCH("직영",$C533),0)&gt;0),$B$13,0)</f>
        <v>0</v>
      </c>
      <c r="M533" s="17" t="n">
        <f aca="false">IF($H533="","",$H533+$L533)</f>
        <v>2050</v>
      </c>
      <c r="N533" s="17" t="str">
        <f aca="false">IF($I533="","",$I533+$L533)</f>
        <v/>
      </c>
      <c r="O533" s="17" t="n">
        <f aca="false">IF($K533="","",$K533+$L533)</f>
        <v>2100</v>
      </c>
      <c r="P533" s="17" t="str">
        <f aca="false">IF($B$10=0,"",IFERROR(IF($B$4&gt;0,"휘발유 "&amp;TEXT(IF($M533="",1/0,$M533*$B$4),"#,##0")&amp;"원","")&amp;IF($B$5&gt;0,IF($B$4&gt;0," / ","")&amp;"고급유 "&amp;TEXT(IF($N533="",1/0,$N533*$B$5),"#,##0")&amp;"원","")&amp;IF($B$6&gt;0,IF(OR($B$4&gt;0,$B$5&gt;0)," / ","")&amp;"경유 "&amp;TEXT(IF($O533="",1/0,$O533*$B$6),"#,##0")&amp;"원",""),""))</f>
        <v/>
      </c>
      <c r="Q533" s="17" t="str">
        <f aca="false">IF($B$10=0,"",IFERROR(IF($B$4&gt;0,IF($M533="",1/0,$M533*$B$4),0)+IF($B$5&gt;0,IF($N533="",1/0,$N533*$B$5),0)+IF($B$6&gt;0,IF($O533="",1/0,$O533*$B$6),0),""))</f>
        <v/>
      </c>
      <c r="R533" s="17" t="s">
        <v>47</v>
      </c>
      <c r="S533" s="18" t="str">
        <f aca="false">IF($Q533="","",IF($R533="Y",IFERROR(VLOOKUP($B533,$C$4:$D$13,2,FALSE()),0),0))</f>
        <v/>
      </c>
      <c r="T533" s="17" t="str">
        <f aca="false">IF($Q533="","",ROUNDDOWN($Q533*$S533,0))</f>
        <v/>
      </c>
      <c r="U533" s="17" t="str">
        <f aca="false">IF($Q533="","",$Q533-$T533)</f>
        <v/>
      </c>
      <c r="V533" s="17" t="str">
        <f aca="false">IF($U533="","",IF($B$10=0,"",$U533/$B$10))</f>
        <v/>
      </c>
      <c r="W533" s="17" t="str">
        <f aca="false">IF($Q533="","",IF($B$10=0,"",$Q533/$B$10))</f>
        <v/>
      </c>
      <c r="X533" s="19" t="n">
        <f aca="false">IF($U533="",1000000000000000,$U533)</f>
        <v>1000000000000000</v>
      </c>
      <c r="XFC533" s="6"/>
    </row>
    <row r="534" s="5" customFormat="true" ht="28.5" hidden="false" customHeight="true" outlineLevel="0" collapsed="false">
      <c r="A534" s="16" t="str">
        <f aca="false">IF($U534="","",1+COUNTIF($X$15:$X$728,"&lt;"&amp;X534))</f>
        <v/>
      </c>
      <c r="B534" s="16" t="s">
        <v>10</v>
      </c>
      <c r="C534" s="16" t="s">
        <v>1590</v>
      </c>
      <c r="D534" s="16" t="s">
        <v>51</v>
      </c>
      <c r="E534" s="16" t="s">
        <v>59</v>
      </c>
      <c r="F534" s="16" t="s">
        <v>1591</v>
      </c>
      <c r="G534" s="16" t="s">
        <v>1592</v>
      </c>
      <c r="H534" s="17" t="n">
        <v>1805</v>
      </c>
      <c r="I534" s="17"/>
      <c r="J534" s="17"/>
      <c r="K534" s="17" t="n">
        <v>1749</v>
      </c>
      <c r="L534" s="17" t="n">
        <f aca="false">IF(AND(IFERROR(SEARCH("현대오일뱅크",$C534),0)&gt;0,IFERROR(SEARCH("직영",$C534),0)&gt;0),$B$13,0)</f>
        <v>0</v>
      </c>
      <c r="M534" s="17" t="n">
        <f aca="false">IF($H534="","",$H534+$L534)</f>
        <v>1805</v>
      </c>
      <c r="N534" s="17" t="str">
        <f aca="false">IF($I534="","",$I534+$L534)</f>
        <v/>
      </c>
      <c r="O534" s="17" t="n">
        <f aca="false">IF($K534="","",$K534+$L534)</f>
        <v>1749</v>
      </c>
      <c r="P534" s="17" t="str">
        <f aca="false">IF($B$10=0,"",IFERROR(IF($B$4&gt;0,"휘발유 "&amp;TEXT(IF($M534="",1/0,$M534*$B$4),"#,##0")&amp;"원","")&amp;IF($B$5&gt;0,IF($B$4&gt;0," / ","")&amp;"고급유 "&amp;TEXT(IF($N534="",1/0,$N534*$B$5),"#,##0")&amp;"원","")&amp;IF($B$6&gt;0,IF(OR($B$4&gt;0,$B$5&gt;0)," / ","")&amp;"경유 "&amp;TEXT(IF($O534="",1/0,$O534*$B$6),"#,##0")&amp;"원",""),""))</f>
        <v/>
      </c>
      <c r="Q534" s="17" t="str">
        <f aca="false">IF($B$10=0,"",IFERROR(IF($B$4&gt;0,IF($M534="",1/0,$M534*$B$4),0)+IF($B$5&gt;0,IF($N534="",1/0,$N534*$B$5),0)+IF($B$6&gt;0,IF($O534="",1/0,$O534*$B$6),0),""))</f>
        <v/>
      </c>
      <c r="R534" s="17"/>
      <c r="S534" s="18" t="str">
        <f aca="false">IF($Q534="","",IF($R534="Y",IFERROR(VLOOKUP($B534,$C$4:$D$13,2,FALSE()),0),0))</f>
        <v/>
      </c>
      <c r="T534" s="17" t="str">
        <f aca="false">IF($Q534="","",ROUNDDOWN($Q534*$S534,0))</f>
        <v/>
      </c>
      <c r="U534" s="17" t="str">
        <f aca="false">IF($Q534="","",$Q534-$T534)</f>
        <v/>
      </c>
      <c r="V534" s="17" t="str">
        <f aca="false">IF($U534="","",IF($B$10=0,"",$U534/$B$10))</f>
        <v/>
      </c>
      <c r="W534" s="17" t="str">
        <f aca="false">IF($Q534="","",IF($B$10=0,"",$Q534/$B$10))</f>
        <v/>
      </c>
      <c r="X534" s="19" t="n">
        <f aca="false">IF($U534="",1000000000000000,$U534)</f>
        <v>1000000000000000</v>
      </c>
      <c r="XFC534" s="6"/>
    </row>
    <row r="535" s="5" customFormat="true" ht="28.5" hidden="false" customHeight="true" outlineLevel="0" collapsed="false">
      <c r="A535" s="16" t="str">
        <f aca="false">IF($U535="","",1+COUNTIF($X$15:$X$728,"&lt;"&amp;X535))</f>
        <v/>
      </c>
      <c r="B535" s="16" t="s">
        <v>18</v>
      </c>
      <c r="C535" s="16" t="s">
        <v>1593</v>
      </c>
      <c r="D535" s="16" t="s">
        <v>46</v>
      </c>
      <c r="E535" s="16" t="s">
        <v>47</v>
      </c>
      <c r="F535" s="16" t="s">
        <v>1594</v>
      </c>
      <c r="G535" s="16" t="s">
        <v>1595</v>
      </c>
      <c r="H535" s="17" t="n">
        <v>1809</v>
      </c>
      <c r="I535" s="17"/>
      <c r="J535" s="17"/>
      <c r="K535" s="17" t="n">
        <v>1879</v>
      </c>
      <c r="L535" s="17" t="n">
        <f aca="false">IF(AND(IFERROR(SEARCH("현대오일뱅크",$C535),0)&gt;0,IFERROR(SEARCH("직영",$C535),0)&gt;0),$B$13,0)</f>
        <v>0</v>
      </c>
      <c r="M535" s="17" t="n">
        <f aca="false">IF($H535="","",$H535+$L535)</f>
        <v>1809</v>
      </c>
      <c r="N535" s="17" t="str">
        <f aca="false">IF($I535="","",$I535+$L535)</f>
        <v/>
      </c>
      <c r="O535" s="17" t="n">
        <f aca="false">IF($K535="","",$K535+$L535)</f>
        <v>1879</v>
      </c>
      <c r="P535" s="17" t="str">
        <f aca="false">IF($B$10=0,"",IFERROR(IF($B$4&gt;0,"휘발유 "&amp;TEXT(IF($M535="",1/0,$M535*$B$4),"#,##0")&amp;"원","")&amp;IF($B$5&gt;0,IF($B$4&gt;0," / ","")&amp;"고급유 "&amp;TEXT(IF($N535="",1/0,$N535*$B$5),"#,##0")&amp;"원","")&amp;IF($B$6&gt;0,IF(OR($B$4&gt;0,$B$5&gt;0)," / ","")&amp;"경유 "&amp;TEXT(IF($O535="",1/0,$O535*$B$6),"#,##0")&amp;"원",""),""))</f>
        <v/>
      </c>
      <c r="Q535" s="17" t="str">
        <f aca="false">IF($B$10=0,"",IFERROR(IF($B$4&gt;0,IF($M535="",1/0,$M535*$B$4),0)+IF($B$5&gt;0,IF($N535="",1/0,$N535*$B$5),0)+IF($B$6&gt;0,IF($O535="",1/0,$O535*$B$6),0),""))</f>
        <v/>
      </c>
      <c r="R535" s="17"/>
      <c r="S535" s="18" t="str">
        <f aca="false">IF($Q535="","",IF($R535="Y",IFERROR(VLOOKUP($B535,$C$4:$D$13,2,FALSE()),0),0))</f>
        <v/>
      </c>
      <c r="T535" s="17" t="str">
        <f aca="false">IF($Q535="","",ROUNDDOWN($Q535*$S535,0))</f>
        <v/>
      </c>
      <c r="U535" s="17" t="str">
        <f aca="false">IF($Q535="","",$Q535-$T535)</f>
        <v/>
      </c>
      <c r="V535" s="17" t="str">
        <f aca="false">IF($U535="","",IF($B$10=0,"",$U535/$B$10))</f>
        <v/>
      </c>
      <c r="W535" s="17" t="str">
        <f aca="false">IF($Q535="","",IF($B$10=0,"",$Q535/$B$10))</f>
        <v/>
      </c>
      <c r="X535" s="19" t="n">
        <f aca="false">IF($U535="",1000000000000000,$U535)</f>
        <v>1000000000000000</v>
      </c>
      <c r="XFC535" s="6"/>
    </row>
    <row r="536" s="5" customFormat="true" ht="28.5" hidden="false" customHeight="true" outlineLevel="0" collapsed="false">
      <c r="A536" s="16" t="str">
        <f aca="false">IF($U536="","",1+COUNTIF($X$15:$X$728,"&lt;"&amp;X536))</f>
        <v/>
      </c>
      <c r="B536" s="16" t="s">
        <v>8</v>
      </c>
      <c r="C536" s="16" t="s">
        <v>1596</v>
      </c>
      <c r="D536" s="16" t="s">
        <v>629</v>
      </c>
      <c r="E536" s="16" t="s">
        <v>47</v>
      </c>
      <c r="F536" s="16" t="s">
        <v>1597</v>
      </c>
      <c r="G536" s="16" t="s">
        <v>1598</v>
      </c>
      <c r="H536" s="17" t="n">
        <v>1810</v>
      </c>
      <c r="I536" s="17"/>
      <c r="J536" s="17"/>
      <c r="K536" s="17" t="n">
        <v>1790</v>
      </c>
      <c r="L536" s="17" t="n">
        <f aca="false">IF(AND(IFERROR(SEARCH("현대오일뱅크",$C536),0)&gt;0,IFERROR(SEARCH("직영",$C536),0)&gt;0),$B$13,0)</f>
        <v>0</v>
      </c>
      <c r="M536" s="17" t="n">
        <f aca="false">IF($H536="","",$H536+$L536)</f>
        <v>1810</v>
      </c>
      <c r="N536" s="17" t="str">
        <f aca="false">IF($I536="","",$I536+$L536)</f>
        <v/>
      </c>
      <c r="O536" s="17" t="n">
        <f aca="false">IF($K536="","",$K536+$L536)</f>
        <v>1790</v>
      </c>
      <c r="P536" s="17" t="str">
        <f aca="false">IF($B$10=0,"",IFERROR(IF($B$4&gt;0,"휘발유 "&amp;TEXT(IF($M536="",1/0,$M536*$B$4),"#,##0")&amp;"원","")&amp;IF($B$5&gt;0,IF($B$4&gt;0," / ","")&amp;"고급유 "&amp;TEXT(IF($N536="",1/0,$N536*$B$5),"#,##0")&amp;"원","")&amp;IF($B$6&gt;0,IF(OR($B$4&gt;0,$B$5&gt;0)," / ","")&amp;"경유 "&amp;TEXT(IF($O536="",1/0,$O536*$B$6),"#,##0")&amp;"원",""),""))</f>
        <v/>
      </c>
      <c r="Q536" s="17" t="str">
        <f aca="false">IF($B$10=0,"",IFERROR(IF($B$4&gt;0,IF($M536="",1/0,$M536*$B$4),0)+IF($B$5&gt;0,IF($N536="",1/0,$N536*$B$5),0)+IF($B$6&gt;0,IF($O536="",1/0,$O536*$B$6),0),""))</f>
        <v/>
      </c>
      <c r="R536" s="17"/>
      <c r="S536" s="18" t="str">
        <f aca="false">IF($Q536="","",IF($R536="Y",IFERROR(VLOOKUP($B536,$C$4:$D$13,2,FALSE()),0),0))</f>
        <v/>
      </c>
      <c r="T536" s="17" t="str">
        <f aca="false">IF($Q536="","",ROUNDDOWN($Q536*$S536,0))</f>
        <v/>
      </c>
      <c r="U536" s="17" t="str">
        <f aca="false">IF($Q536="","",$Q536-$T536)</f>
        <v/>
      </c>
      <c r="V536" s="17" t="str">
        <f aca="false">IF($U536="","",IF($B$10=0,"",$U536/$B$10))</f>
        <v/>
      </c>
      <c r="W536" s="17" t="str">
        <f aca="false">IF($Q536="","",IF($B$10=0,"",$Q536/$B$10))</f>
        <v/>
      </c>
      <c r="X536" s="19" t="n">
        <f aca="false">IF($U536="",1000000000000000,$U536)</f>
        <v>1000000000000000</v>
      </c>
      <c r="XFC536" s="6"/>
    </row>
    <row r="537" s="5" customFormat="true" ht="28.5" hidden="false" customHeight="true" outlineLevel="0" collapsed="false">
      <c r="A537" s="16" t="str">
        <f aca="false">IF($U537="","",1+COUNTIF($X$15:$X$728,"&lt;"&amp;X537))</f>
        <v/>
      </c>
      <c r="B537" s="16" t="s">
        <v>16</v>
      </c>
      <c r="C537" s="16" t="s">
        <v>1599</v>
      </c>
      <c r="D537" s="16" t="s">
        <v>58</v>
      </c>
      <c r="E537" s="16" t="s">
        <v>59</v>
      </c>
      <c r="F537" s="16" t="s">
        <v>1600</v>
      </c>
      <c r="G537" s="16" t="s">
        <v>1601</v>
      </c>
      <c r="H537" s="17" t="n">
        <v>1810</v>
      </c>
      <c r="I537" s="17"/>
      <c r="J537" s="17"/>
      <c r="K537" s="17" t="n">
        <v>1860</v>
      </c>
      <c r="L537" s="17" t="n">
        <f aca="false">IF(AND(IFERROR(SEARCH("현대오일뱅크",$C537),0)&gt;0,IFERROR(SEARCH("직영",$C537),0)&gt;0),$B$13,0)</f>
        <v>0</v>
      </c>
      <c r="M537" s="17" t="n">
        <f aca="false">IF($H537="","",$H537+$L537)</f>
        <v>1810</v>
      </c>
      <c r="N537" s="17" t="str">
        <f aca="false">IF($I537="","",$I537+$L537)</f>
        <v/>
      </c>
      <c r="O537" s="17" t="n">
        <f aca="false">IF($K537="","",$K537+$L537)</f>
        <v>1860</v>
      </c>
      <c r="P537" s="17" t="str">
        <f aca="false">IF($B$10=0,"",IFERROR(IF($B$4&gt;0,"휘발유 "&amp;TEXT(IF($M537="",1/0,$M537*$B$4),"#,##0")&amp;"원","")&amp;IF($B$5&gt;0,IF($B$4&gt;0," / ","")&amp;"고급유 "&amp;TEXT(IF($N537="",1/0,$N537*$B$5),"#,##0")&amp;"원","")&amp;IF($B$6&gt;0,IF(OR($B$4&gt;0,$B$5&gt;0)," / ","")&amp;"경유 "&amp;TEXT(IF($O537="",1/0,$O537*$B$6),"#,##0")&amp;"원",""),""))</f>
        <v/>
      </c>
      <c r="Q537" s="17" t="str">
        <f aca="false">IF($B$10=0,"",IFERROR(IF($B$4&gt;0,IF($M537="",1/0,$M537*$B$4),0)+IF($B$5&gt;0,IF($N537="",1/0,$N537*$B$5),0)+IF($B$6&gt;0,IF($O537="",1/0,$O537*$B$6),0),""))</f>
        <v/>
      </c>
      <c r="R537" s="17"/>
      <c r="S537" s="18" t="str">
        <f aca="false">IF($Q537="","",IF($R537="Y",IFERROR(VLOOKUP($B537,$C$4:$D$13,2,FALSE()),0),0))</f>
        <v/>
      </c>
      <c r="T537" s="17" t="str">
        <f aca="false">IF($Q537="","",ROUNDDOWN($Q537*$S537,0))</f>
        <v/>
      </c>
      <c r="U537" s="17" t="str">
        <f aca="false">IF($Q537="","",$Q537-$T537)</f>
        <v/>
      </c>
      <c r="V537" s="17" t="str">
        <f aca="false">IF($U537="","",IF($B$10=0,"",$U537/$B$10))</f>
        <v/>
      </c>
      <c r="W537" s="17" t="str">
        <f aca="false">IF($Q537="","",IF($B$10=0,"",$Q537/$B$10))</f>
        <v/>
      </c>
      <c r="X537" s="19" t="n">
        <f aca="false">IF($U537="",1000000000000000,$U537)</f>
        <v>1000000000000000</v>
      </c>
      <c r="XFC537" s="6"/>
    </row>
    <row r="538" s="5" customFormat="true" ht="28.5" hidden="false" customHeight="true" outlineLevel="0" collapsed="false">
      <c r="A538" s="16" t="str">
        <f aca="false">IF($U538="","",1+COUNTIF($X$15:$X$728,"&lt;"&amp;X538))</f>
        <v/>
      </c>
      <c r="B538" s="16" t="s">
        <v>16</v>
      </c>
      <c r="C538" s="16" t="s">
        <v>1602</v>
      </c>
      <c r="D538" s="16" t="s">
        <v>629</v>
      </c>
      <c r="E538" s="16" t="s">
        <v>59</v>
      </c>
      <c r="F538" s="16" t="s">
        <v>1603</v>
      </c>
      <c r="G538" s="16" t="s">
        <v>1604</v>
      </c>
      <c r="H538" s="17" t="n">
        <v>1810</v>
      </c>
      <c r="I538" s="17"/>
      <c r="J538" s="17"/>
      <c r="K538" s="17" t="n">
        <v>1860</v>
      </c>
      <c r="L538" s="17" t="n">
        <f aca="false">IF(AND(IFERROR(SEARCH("현대오일뱅크",$C538),0)&gt;0,IFERROR(SEARCH("직영",$C538),0)&gt;0),$B$13,0)</f>
        <v>0</v>
      </c>
      <c r="M538" s="17" t="n">
        <f aca="false">IF($H538="","",$H538+$L538)</f>
        <v>1810</v>
      </c>
      <c r="N538" s="17" t="str">
        <f aca="false">IF($I538="","",$I538+$L538)</f>
        <v/>
      </c>
      <c r="O538" s="17" t="n">
        <f aca="false">IF($K538="","",$K538+$L538)</f>
        <v>1860</v>
      </c>
      <c r="P538" s="17" t="str">
        <f aca="false">IF($B$10=0,"",IFERROR(IF($B$4&gt;0,"휘발유 "&amp;TEXT(IF($M538="",1/0,$M538*$B$4),"#,##0")&amp;"원","")&amp;IF($B$5&gt;0,IF($B$4&gt;0," / ","")&amp;"고급유 "&amp;TEXT(IF($N538="",1/0,$N538*$B$5),"#,##0")&amp;"원","")&amp;IF($B$6&gt;0,IF(OR($B$4&gt;0,$B$5&gt;0)," / ","")&amp;"경유 "&amp;TEXT(IF($O538="",1/0,$O538*$B$6),"#,##0")&amp;"원",""),""))</f>
        <v/>
      </c>
      <c r="Q538" s="17" t="str">
        <f aca="false">IF($B$10=0,"",IFERROR(IF($B$4&gt;0,IF($M538="",1/0,$M538*$B$4),0)+IF($B$5&gt;0,IF($N538="",1/0,$N538*$B$5),0)+IF($B$6&gt;0,IF($O538="",1/0,$O538*$B$6),0),""))</f>
        <v/>
      </c>
      <c r="R538" s="17"/>
      <c r="S538" s="18" t="str">
        <f aca="false">IF($Q538="","",IF($R538="Y",IFERROR(VLOOKUP($B538,$C$4:$D$13,2,FALSE()),0),0))</f>
        <v/>
      </c>
      <c r="T538" s="17" t="str">
        <f aca="false">IF($Q538="","",ROUNDDOWN($Q538*$S538,0))</f>
        <v/>
      </c>
      <c r="U538" s="17" t="str">
        <f aca="false">IF($Q538="","",$Q538-$T538)</f>
        <v/>
      </c>
      <c r="V538" s="17" t="str">
        <f aca="false">IF($U538="","",IF($B$10=0,"",$U538/$B$10))</f>
        <v/>
      </c>
      <c r="W538" s="17" t="str">
        <f aca="false">IF($Q538="","",IF($B$10=0,"",$Q538/$B$10))</f>
        <v/>
      </c>
      <c r="X538" s="19" t="n">
        <f aca="false">IF($U538="",1000000000000000,$U538)</f>
        <v>1000000000000000</v>
      </c>
      <c r="XFC538" s="6"/>
    </row>
    <row r="539" s="5" customFormat="true" ht="28.5" hidden="false" customHeight="true" outlineLevel="0" collapsed="false">
      <c r="A539" s="16" t="str">
        <f aca="false">IF($U539="","",1+COUNTIF($X$15:$X$728,"&lt;"&amp;X539))</f>
        <v/>
      </c>
      <c r="B539" s="16" t="s">
        <v>6</v>
      </c>
      <c r="C539" s="16" t="s">
        <v>1605</v>
      </c>
      <c r="D539" s="16" t="s">
        <v>112</v>
      </c>
      <c r="E539" s="16" t="s">
        <v>47</v>
      </c>
      <c r="F539" s="16" t="s">
        <v>1606</v>
      </c>
      <c r="G539" s="16" t="s">
        <v>1607</v>
      </c>
      <c r="H539" s="17" t="n">
        <v>2015</v>
      </c>
      <c r="I539" s="17"/>
      <c r="J539" s="17"/>
      <c r="K539" s="17" t="n">
        <v>2045</v>
      </c>
      <c r="L539" s="17" t="n">
        <f aca="false">IF(AND(IFERROR(SEARCH("현대오일뱅크",$C539),0)&gt;0,IFERROR(SEARCH("직영",$C539),0)&gt;0),$B$13,0)</f>
        <v>0</v>
      </c>
      <c r="M539" s="17" t="n">
        <f aca="false">IF($H539="","",$H539+$L539)</f>
        <v>2015</v>
      </c>
      <c r="N539" s="17" t="str">
        <f aca="false">IF($I539="","",$I539+$L539)</f>
        <v/>
      </c>
      <c r="O539" s="17" t="n">
        <f aca="false">IF($K539="","",$K539+$L539)</f>
        <v>2045</v>
      </c>
      <c r="P539" s="17" t="str">
        <f aca="false">IF($B$10=0,"",IFERROR(IF($B$4&gt;0,"휘발유 "&amp;TEXT(IF($M539="",1/0,$M539*$B$4),"#,##0")&amp;"원","")&amp;IF($B$5&gt;0,IF($B$4&gt;0," / ","")&amp;"고급유 "&amp;TEXT(IF($N539="",1/0,$N539*$B$5),"#,##0")&amp;"원","")&amp;IF($B$6&gt;0,IF(OR($B$4&gt;0,$B$5&gt;0)," / ","")&amp;"경유 "&amp;TEXT(IF($O539="",1/0,$O539*$B$6),"#,##0")&amp;"원",""),""))</f>
        <v/>
      </c>
      <c r="Q539" s="17" t="str">
        <f aca="false">IF($B$10=0,"",IFERROR(IF($B$4&gt;0,IF($M539="",1/0,$M539*$B$4),0)+IF($B$5&gt;0,IF($N539="",1/0,$N539*$B$5),0)+IF($B$6&gt;0,IF($O539="",1/0,$O539*$B$6),0),""))</f>
        <v/>
      </c>
      <c r="R539" s="17" t="s">
        <v>47</v>
      </c>
      <c r="S539" s="18" t="str">
        <f aca="false">IF($Q539="","",IF($R539="Y",IFERROR(VLOOKUP($B539,$C$4:$D$13,2,FALSE()),0),0))</f>
        <v/>
      </c>
      <c r="T539" s="17" t="str">
        <f aca="false">IF($Q539="","",ROUNDDOWN($Q539*$S539,0))</f>
        <v/>
      </c>
      <c r="U539" s="17" t="str">
        <f aca="false">IF($Q539="","",$Q539-$T539)</f>
        <v/>
      </c>
      <c r="V539" s="17" t="str">
        <f aca="false">IF($U539="","",IF($B$10=0,"",$U539/$B$10))</f>
        <v/>
      </c>
      <c r="W539" s="17" t="str">
        <f aca="false">IF($Q539="","",IF($B$10=0,"",$Q539/$B$10))</f>
        <v/>
      </c>
      <c r="X539" s="19" t="n">
        <f aca="false">IF($U539="",1000000000000000,$U539)</f>
        <v>1000000000000000</v>
      </c>
      <c r="XFC539" s="6"/>
    </row>
    <row r="540" s="5" customFormat="true" ht="28.5" hidden="false" customHeight="true" outlineLevel="0" collapsed="false">
      <c r="A540" s="16" t="str">
        <f aca="false">IF($U540="","",1+COUNTIF($X$15:$X$728,"&lt;"&amp;X540))</f>
        <v/>
      </c>
      <c r="B540" s="16" t="s">
        <v>8</v>
      </c>
      <c r="C540" s="16" t="s">
        <v>1608</v>
      </c>
      <c r="D540" s="16" t="s">
        <v>51</v>
      </c>
      <c r="E540" s="16" t="s">
        <v>47</v>
      </c>
      <c r="F540" s="16" t="s">
        <v>1609</v>
      </c>
      <c r="G540" s="16" t="s">
        <v>1610</v>
      </c>
      <c r="H540" s="17" t="n">
        <v>1817</v>
      </c>
      <c r="I540" s="17"/>
      <c r="J540" s="17"/>
      <c r="K540" s="17" t="n">
        <v>1847</v>
      </c>
      <c r="L540" s="17" t="n">
        <f aca="false">IF(AND(IFERROR(SEARCH("현대오일뱅크",$C540),0)&gt;0,IFERROR(SEARCH("직영",$C540),0)&gt;0),$B$13,0)</f>
        <v>0</v>
      </c>
      <c r="M540" s="17" t="n">
        <f aca="false">IF($H540="","",$H540+$L540)</f>
        <v>1817</v>
      </c>
      <c r="N540" s="17" t="str">
        <f aca="false">IF($I540="","",$I540+$L540)</f>
        <v/>
      </c>
      <c r="O540" s="17" t="n">
        <f aca="false">IF($K540="","",$K540+$L540)</f>
        <v>1847</v>
      </c>
      <c r="P540" s="17" t="str">
        <f aca="false">IF($B$10=0,"",IFERROR(IF($B$4&gt;0,"휘발유 "&amp;TEXT(IF($M540="",1/0,$M540*$B$4),"#,##0")&amp;"원","")&amp;IF($B$5&gt;0,IF($B$4&gt;0," / ","")&amp;"고급유 "&amp;TEXT(IF($N540="",1/0,$N540*$B$5),"#,##0")&amp;"원","")&amp;IF($B$6&gt;0,IF(OR($B$4&gt;0,$B$5&gt;0)," / ","")&amp;"경유 "&amp;TEXT(IF($O540="",1/0,$O540*$B$6),"#,##0")&amp;"원",""),""))</f>
        <v/>
      </c>
      <c r="Q540" s="17" t="str">
        <f aca="false">IF($B$10=0,"",IFERROR(IF($B$4&gt;0,IF($M540="",1/0,$M540*$B$4),0)+IF($B$5&gt;0,IF($N540="",1/0,$N540*$B$5),0)+IF($B$6&gt;0,IF($O540="",1/0,$O540*$B$6),0),""))</f>
        <v/>
      </c>
      <c r="R540" s="17"/>
      <c r="S540" s="18" t="str">
        <f aca="false">IF($Q540="","",IF($R540="Y",IFERROR(VLOOKUP($B540,$C$4:$D$13,2,FALSE()),0),0))</f>
        <v/>
      </c>
      <c r="T540" s="17" t="str">
        <f aca="false">IF($Q540="","",ROUNDDOWN($Q540*$S540,0))</f>
        <v/>
      </c>
      <c r="U540" s="17" t="str">
        <f aca="false">IF($Q540="","",$Q540-$T540)</f>
        <v/>
      </c>
      <c r="V540" s="17" t="str">
        <f aca="false">IF($U540="","",IF($B$10=0,"",$U540/$B$10))</f>
        <v/>
      </c>
      <c r="W540" s="17" t="str">
        <f aca="false">IF($Q540="","",IF($B$10=0,"",$Q540/$B$10))</f>
        <v/>
      </c>
      <c r="X540" s="19" t="n">
        <f aca="false">IF($U540="",1000000000000000,$U540)</f>
        <v>1000000000000000</v>
      </c>
      <c r="XFC540" s="6"/>
    </row>
    <row r="541" s="5" customFormat="true" ht="28.5" hidden="false" customHeight="true" outlineLevel="0" collapsed="false">
      <c r="A541" s="16" t="str">
        <f aca="false">IF($U541="","",1+COUNTIF($X$15:$X$728,"&lt;"&amp;X541))</f>
        <v/>
      </c>
      <c r="B541" s="16" t="s">
        <v>12</v>
      </c>
      <c r="C541" s="16" t="s">
        <v>1611</v>
      </c>
      <c r="D541" s="20" t="s">
        <v>108</v>
      </c>
      <c r="E541" s="16" t="s">
        <v>47</v>
      </c>
      <c r="F541" s="16" t="s">
        <v>1612</v>
      </c>
      <c r="G541" s="16" t="s">
        <v>1613</v>
      </c>
      <c r="H541" s="17" t="n">
        <v>2019</v>
      </c>
      <c r="I541" s="17"/>
      <c r="J541" s="17"/>
      <c r="K541" s="17" t="n">
        <v>2059</v>
      </c>
      <c r="L541" s="17" t="n">
        <f aca="false">IF(AND(IFERROR(SEARCH("현대오일뱅크",$C541),0)&gt;0,IFERROR(SEARCH("직영",$C541),0)&gt;0),$B$13,0)</f>
        <v>0</v>
      </c>
      <c r="M541" s="17" t="n">
        <f aca="false">IF($H541="","",$H541+$L541)</f>
        <v>2019</v>
      </c>
      <c r="N541" s="17" t="str">
        <f aca="false">IF($I541="","",$I541+$L541)</f>
        <v/>
      </c>
      <c r="O541" s="17" t="n">
        <f aca="false">IF($K541="","",$K541+$L541)</f>
        <v>2059</v>
      </c>
      <c r="P541" s="17" t="str">
        <f aca="false">IF($B$10=0,"",IFERROR(IF($B$4&gt;0,"휘발유 "&amp;TEXT(IF($M541="",1/0,$M541*$B$4),"#,##0")&amp;"원","")&amp;IF($B$5&gt;0,IF($B$4&gt;0," / ","")&amp;"고급유 "&amp;TEXT(IF($N541="",1/0,$N541*$B$5),"#,##0")&amp;"원","")&amp;IF($B$6&gt;0,IF(OR($B$4&gt;0,$B$5&gt;0)," / ","")&amp;"경유 "&amp;TEXT(IF($O541="",1/0,$O541*$B$6),"#,##0")&amp;"원",""),""))</f>
        <v/>
      </c>
      <c r="Q541" s="17" t="str">
        <f aca="false">IF($B$10=0,"",IFERROR(IF($B$4&gt;0,IF($M541="",1/0,$M541*$B$4),0)+IF($B$5&gt;0,IF($N541="",1/0,$N541*$B$5),0)+IF($B$6&gt;0,IF($O541="",1/0,$O541*$B$6),0),""))</f>
        <v/>
      </c>
      <c r="R541" s="17" t="s">
        <v>47</v>
      </c>
      <c r="S541" s="18" t="str">
        <f aca="false">IF($Q541="","",IF($R541="Y",IFERROR(VLOOKUP($B541,$C$4:$D$13,2,FALSE()),0),0))</f>
        <v/>
      </c>
      <c r="T541" s="17" t="str">
        <f aca="false">IF($Q541="","",ROUNDDOWN($Q541*$S541,0))</f>
        <v/>
      </c>
      <c r="U541" s="17" t="str">
        <f aca="false">IF($Q541="","",$Q541-$T541)</f>
        <v/>
      </c>
      <c r="V541" s="17" t="str">
        <f aca="false">IF($U541="","",IF($B$10=0,"",$U541/$B$10))</f>
        <v/>
      </c>
      <c r="W541" s="17" t="str">
        <f aca="false">IF($Q541="","",IF($B$10=0,"",$Q541/$B$10))</f>
        <v/>
      </c>
      <c r="X541" s="19" t="n">
        <f aca="false">IF($U541="",1000000000000000,$U541)</f>
        <v>1000000000000000</v>
      </c>
      <c r="XFC541" s="6"/>
    </row>
    <row r="542" s="5" customFormat="true" ht="28.5" hidden="false" customHeight="true" outlineLevel="0" collapsed="false">
      <c r="A542" s="16" t="str">
        <f aca="false">IF($U542="","",1+COUNTIF($X$15:$X$728,"&lt;"&amp;X542))</f>
        <v/>
      </c>
      <c r="B542" s="16" t="s">
        <v>18</v>
      </c>
      <c r="C542" s="16" t="s">
        <v>1614</v>
      </c>
      <c r="D542" s="16" t="s">
        <v>112</v>
      </c>
      <c r="E542" s="16" t="s">
        <v>47</v>
      </c>
      <c r="F542" s="16" t="s">
        <v>1615</v>
      </c>
      <c r="G542" s="16" t="s">
        <v>1616</v>
      </c>
      <c r="H542" s="17" t="n">
        <v>1819</v>
      </c>
      <c r="I542" s="17"/>
      <c r="J542" s="17"/>
      <c r="K542" s="17" t="n">
        <v>1854</v>
      </c>
      <c r="L542" s="17" t="n">
        <f aca="false">IF(AND(IFERROR(SEARCH("현대오일뱅크",$C542),0)&gt;0,IFERROR(SEARCH("직영",$C542),0)&gt;0),$B$13,0)</f>
        <v>0</v>
      </c>
      <c r="M542" s="17" t="n">
        <f aca="false">IF($H542="","",$H542+$L542)</f>
        <v>1819</v>
      </c>
      <c r="N542" s="17" t="str">
        <f aca="false">IF($I542="","",$I542+$L542)</f>
        <v/>
      </c>
      <c r="O542" s="17" t="n">
        <f aca="false">IF($K542="","",$K542+$L542)</f>
        <v>1854</v>
      </c>
      <c r="P542" s="17" t="str">
        <f aca="false">IF($B$10=0,"",IFERROR(IF($B$4&gt;0,"휘발유 "&amp;TEXT(IF($M542="",1/0,$M542*$B$4),"#,##0")&amp;"원","")&amp;IF($B$5&gt;0,IF($B$4&gt;0," / ","")&amp;"고급유 "&amp;TEXT(IF($N542="",1/0,$N542*$B$5),"#,##0")&amp;"원","")&amp;IF($B$6&gt;0,IF(OR($B$4&gt;0,$B$5&gt;0)," / ","")&amp;"경유 "&amp;TEXT(IF($O542="",1/0,$O542*$B$6),"#,##0")&amp;"원",""),""))</f>
        <v/>
      </c>
      <c r="Q542" s="17" t="str">
        <f aca="false">IF($B$10=0,"",IFERROR(IF($B$4&gt;0,IF($M542="",1/0,$M542*$B$4),0)+IF($B$5&gt;0,IF($N542="",1/0,$N542*$B$5),0)+IF($B$6&gt;0,IF($O542="",1/0,$O542*$B$6),0),""))</f>
        <v/>
      </c>
      <c r="R542" s="17"/>
      <c r="S542" s="18" t="str">
        <f aca="false">IF($Q542="","",IF($R542="Y",IFERROR(VLOOKUP($B542,$C$4:$D$13,2,FALSE()),0),0))</f>
        <v/>
      </c>
      <c r="T542" s="17" t="str">
        <f aca="false">IF($Q542="","",ROUNDDOWN($Q542*$S542,0))</f>
        <v/>
      </c>
      <c r="U542" s="17" t="str">
        <f aca="false">IF($Q542="","",$Q542-$T542)</f>
        <v/>
      </c>
      <c r="V542" s="17" t="str">
        <f aca="false">IF($U542="","",IF($B$10=0,"",$U542/$B$10))</f>
        <v/>
      </c>
      <c r="W542" s="17" t="str">
        <f aca="false">IF($Q542="","",IF($B$10=0,"",$Q542/$B$10))</f>
        <v/>
      </c>
      <c r="X542" s="19" t="n">
        <f aca="false">IF($U542="",1000000000000000,$U542)</f>
        <v>1000000000000000</v>
      </c>
      <c r="XFC542" s="6"/>
    </row>
    <row r="543" s="5" customFormat="true" ht="28.5" hidden="false" customHeight="true" outlineLevel="0" collapsed="false">
      <c r="A543" s="16" t="str">
        <f aca="false">IF($U543="","",1+COUNTIF($X$15:$X$728,"&lt;"&amp;X543))</f>
        <v/>
      </c>
      <c r="B543" s="16" t="s">
        <v>18</v>
      </c>
      <c r="C543" s="16" t="s">
        <v>1617</v>
      </c>
      <c r="D543" s="16" t="s">
        <v>112</v>
      </c>
      <c r="E543" s="16" t="s">
        <v>47</v>
      </c>
      <c r="F543" s="16" t="s">
        <v>1618</v>
      </c>
      <c r="G543" s="16" t="s">
        <v>1619</v>
      </c>
      <c r="H543" s="17" t="n">
        <v>1819</v>
      </c>
      <c r="I543" s="17"/>
      <c r="J543" s="17"/>
      <c r="K543" s="17" t="n">
        <v>1854</v>
      </c>
      <c r="L543" s="17" t="n">
        <f aca="false">IF(AND(IFERROR(SEARCH("현대오일뱅크",$C543),0)&gt;0,IFERROR(SEARCH("직영",$C543),0)&gt;0),$B$13,0)</f>
        <v>0</v>
      </c>
      <c r="M543" s="17" t="n">
        <f aca="false">IF($H543="","",$H543+$L543)</f>
        <v>1819</v>
      </c>
      <c r="N543" s="17" t="str">
        <f aca="false">IF($I543="","",$I543+$L543)</f>
        <v/>
      </c>
      <c r="O543" s="17" t="n">
        <f aca="false">IF($K543="","",$K543+$L543)</f>
        <v>1854</v>
      </c>
      <c r="P543" s="17" t="str">
        <f aca="false">IF($B$10=0,"",IFERROR(IF($B$4&gt;0,"휘발유 "&amp;TEXT(IF($M543="",1/0,$M543*$B$4),"#,##0")&amp;"원","")&amp;IF($B$5&gt;0,IF($B$4&gt;0," / ","")&amp;"고급유 "&amp;TEXT(IF($N543="",1/0,$N543*$B$5),"#,##0")&amp;"원","")&amp;IF($B$6&gt;0,IF(OR($B$4&gt;0,$B$5&gt;0)," / ","")&amp;"경유 "&amp;TEXT(IF($O543="",1/0,$O543*$B$6),"#,##0")&amp;"원",""),""))</f>
        <v/>
      </c>
      <c r="Q543" s="17" t="str">
        <f aca="false">IF($B$10=0,"",IFERROR(IF($B$4&gt;0,IF($M543="",1/0,$M543*$B$4),0)+IF($B$5&gt;0,IF($N543="",1/0,$N543*$B$5),0)+IF($B$6&gt;0,IF($O543="",1/0,$O543*$B$6),0),""))</f>
        <v/>
      </c>
      <c r="R543" s="17"/>
      <c r="S543" s="18" t="str">
        <f aca="false">IF($Q543="","",IF($R543="Y",IFERROR(VLOOKUP($B543,$C$4:$D$13,2,FALSE()),0),0))</f>
        <v/>
      </c>
      <c r="T543" s="17" t="str">
        <f aca="false">IF($Q543="","",ROUNDDOWN($Q543*$S543,0))</f>
        <v/>
      </c>
      <c r="U543" s="17" t="str">
        <f aca="false">IF($Q543="","",$Q543-$T543)</f>
        <v/>
      </c>
      <c r="V543" s="17" t="str">
        <f aca="false">IF($U543="","",IF($B$10=0,"",$U543/$B$10))</f>
        <v/>
      </c>
      <c r="W543" s="17" t="str">
        <f aca="false">IF($Q543="","",IF($B$10=0,"",$Q543/$B$10))</f>
        <v/>
      </c>
      <c r="X543" s="19" t="n">
        <f aca="false">IF($U543="",1000000000000000,$U543)</f>
        <v>1000000000000000</v>
      </c>
      <c r="XFC543" s="6"/>
    </row>
    <row r="544" s="5" customFormat="true" ht="28.5" hidden="false" customHeight="true" outlineLevel="0" collapsed="false">
      <c r="A544" s="16" t="str">
        <f aca="false">IF($U544="","",1+COUNTIF($X$15:$X$728,"&lt;"&amp;X544))</f>
        <v/>
      </c>
      <c r="B544" s="16" t="s">
        <v>8</v>
      </c>
      <c r="C544" s="16" t="s">
        <v>1620</v>
      </c>
      <c r="D544" s="16" t="s">
        <v>46</v>
      </c>
      <c r="E544" s="16" t="s">
        <v>47</v>
      </c>
      <c r="F544" s="16" t="s">
        <v>1621</v>
      </c>
      <c r="G544" s="16" t="s">
        <v>1622</v>
      </c>
      <c r="H544" s="17" t="n">
        <v>1820</v>
      </c>
      <c r="I544" s="17"/>
      <c r="J544" s="17"/>
      <c r="K544" s="17" t="n">
        <v>1850</v>
      </c>
      <c r="L544" s="17" t="n">
        <f aca="false">IF(AND(IFERROR(SEARCH("현대오일뱅크",$C544),0)&gt;0,IFERROR(SEARCH("직영",$C544),0)&gt;0),$B$13,0)</f>
        <v>0</v>
      </c>
      <c r="M544" s="17" t="n">
        <f aca="false">IF($H544="","",$H544+$L544)</f>
        <v>1820</v>
      </c>
      <c r="N544" s="17" t="str">
        <f aca="false">IF($I544="","",$I544+$L544)</f>
        <v/>
      </c>
      <c r="O544" s="17" t="n">
        <f aca="false">IF($K544="","",$K544+$L544)</f>
        <v>1850</v>
      </c>
      <c r="P544" s="17" t="str">
        <f aca="false">IF($B$10=0,"",IFERROR(IF($B$4&gt;0,"휘발유 "&amp;TEXT(IF($M544="",1/0,$M544*$B$4),"#,##0")&amp;"원","")&amp;IF($B$5&gt;0,IF($B$4&gt;0," / ","")&amp;"고급유 "&amp;TEXT(IF($N544="",1/0,$N544*$B$5),"#,##0")&amp;"원","")&amp;IF($B$6&gt;0,IF(OR($B$4&gt;0,$B$5&gt;0)," / ","")&amp;"경유 "&amp;TEXT(IF($O544="",1/0,$O544*$B$6),"#,##0")&amp;"원",""),""))</f>
        <v/>
      </c>
      <c r="Q544" s="17" t="str">
        <f aca="false">IF($B$10=0,"",IFERROR(IF($B$4&gt;0,IF($M544="",1/0,$M544*$B$4),0)+IF($B$5&gt;0,IF($N544="",1/0,$N544*$B$5),0)+IF($B$6&gt;0,IF($O544="",1/0,$O544*$B$6),0),""))</f>
        <v/>
      </c>
      <c r="R544" s="17"/>
      <c r="S544" s="18" t="str">
        <f aca="false">IF($Q544="","",IF($R544="Y",IFERROR(VLOOKUP($B544,$C$4:$D$13,2,FALSE()),0),0))</f>
        <v/>
      </c>
      <c r="T544" s="17" t="str">
        <f aca="false">IF($Q544="","",ROUNDDOWN($Q544*$S544,0))</f>
        <v/>
      </c>
      <c r="U544" s="17" t="str">
        <f aca="false">IF($Q544="","",$Q544-$T544)</f>
        <v/>
      </c>
      <c r="V544" s="17" t="str">
        <f aca="false">IF($U544="","",IF($B$10=0,"",$U544/$B$10))</f>
        <v/>
      </c>
      <c r="W544" s="17" t="str">
        <f aca="false">IF($Q544="","",IF($B$10=0,"",$Q544/$B$10))</f>
        <v/>
      </c>
      <c r="X544" s="19" t="n">
        <f aca="false">IF($U544="",1000000000000000,$U544)</f>
        <v>1000000000000000</v>
      </c>
      <c r="XFC544" s="6"/>
    </row>
    <row r="545" s="5" customFormat="true" ht="28.5" hidden="false" customHeight="true" outlineLevel="0" collapsed="false">
      <c r="A545" s="16" t="str">
        <f aca="false">IF($U545="","",1+COUNTIF($X$15:$X$728,"&lt;"&amp;X545))</f>
        <v/>
      </c>
      <c r="B545" s="16" t="s">
        <v>12</v>
      </c>
      <c r="C545" s="16" t="s">
        <v>1623</v>
      </c>
      <c r="D545" s="20" t="s">
        <v>112</v>
      </c>
      <c r="E545" s="16" t="s">
        <v>47</v>
      </c>
      <c r="F545" s="16" t="s">
        <v>1624</v>
      </c>
      <c r="G545" s="16" t="s">
        <v>1625</v>
      </c>
      <c r="H545" s="17" t="n">
        <v>2025</v>
      </c>
      <c r="I545" s="17"/>
      <c r="J545" s="17"/>
      <c r="K545" s="17" t="n">
        <v>2155</v>
      </c>
      <c r="L545" s="17" t="n">
        <f aca="false">IF(AND(IFERROR(SEARCH("현대오일뱅크",$C545),0)&gt;0,IFERROR(SEARCH("직영",$C545),0)&gt;0),$B$13,0)</f>
        <v>0</v>
      </c>
      <c r="M545" s="17" t="n">
        <f aca="false">IF($H545="","",$H545+$L545)</f>
        <v>2025</v>
      </c>
      <c r="N545" s="17" t="str">
        <f aca="false">IF($I545="","",$I545+$L545)</f>
        <v/>
      </c>
      <c r="O545" s="17" t="n">
        <f aca="false">IF($K545="","",$K545+$L545)</f>
        <v>2155</v>
      </c>
      <c r="P545" s="17" t="str">
        <f aca="false">IF($B$10=0,"",IFERROR(IF($B$4&gt;0,"휘발유 "&amp;TEXT(IF($M545="",1/0,$M545*$B$4),"#,##0")&amp;"원","")&amp;IF($B$5&gt;0,IF($B$4&gt;0," / ","")&amp;"고급유 "&amp;TEXT(IF($N545="",1/0,$N545*$B$5),"#,##0")&amp;"원","")&amp;IF($B$6&gt;0,IF(OR($B$4&gt;0,$B$5&gt;0)," / ","")&amp;"경유 "&amp;TEXT(IF($O545="",1/0,$O545*$B$6),"#,##0")&amp;"원",""),""))</f>
        <v/>
      </c>
      <c r="Q545" s="17" t="str">
        <f aca="false">IF($B$10=0,"",IFERROR(IF($B$4&gt;0,IF($M545="",1/0,$M545*$B$4),0)+IF($B$5&gt;0,IF($N545="",1/0,$N545*$B$5),0)+IF($B$6&gt;0,IF($O545="",1/0,$O545*$B$6),0),""))</f>
        <v/>
      </c>
      <c r="R545" s="17" t="s">
        <v>47</v>
      </c>
      <c r="S545" s="18" t="str">
        <f aca="false">IF($Q545="","",IF($R545="Y",IFERROR(VLOOKUP($B545,$C$4:$D$13,2,FALSE()),0),0))</f>
        <v/>
      </c>
      <c r="T545" s="17" t="str">
        <f aca="false">IF($Q545="","",ROUNDDOWN($Q545*$S545,0))</f>
        <v/>
      </c>
      <c r="U545" s="17" t="str">
        <f aca="false">IF($Q545="","",$Q545-$T545)</f>
        <v/>
      </c>
      <c r="V545" s="17" t="str">
        <f aca="false">IF($U545="","",IF($B$10=0,"",$U545/$B$10))</f>
        <v/>
      </c>
      <c r="W545" s="17" t="str">
        <f aca="false">IF($Q545="","",IF($B$10=0,"",$Q545/$B$10))</f>
        <v/>
      </c>
      <c r="X545" s="19" t="n">
        <f aca="false">IF($U545="",1000000000000000,$U545)</f>
        <v>1000000000000000</v>
      </c>
      <c r="XFC545" s="6"/>
    </row>
    <row r="546" s="5" customFormat="true" ht="28.5" hidden="false" customHeight="true" outlineLevel="0" collapsed="false">
      <c r="A546" s="16" t="str">
        <f aca="false">IF($U546="","",1+COUNTIF($X$15:$X$728,"&lt;"&amp;X546))</f>
        <v/>
      </c>
      <c r="B546" s="16" t="s">
        <v>10</v>
      </c>
      <c r="C546" s="16" t="s">
        <v>1626</v>
      </c>
      <c r="D546" s="16" t="s">
        <v>46</v>
      </c>
      <c r="E546" s="16" t="s">
        <v>47</v>
      </c>
      <c r="F546" s="16" t="s">
        <v>1627</v>
      </c>
      <c r="G546" s="16" t="s">
        <v>1628</v>
      </c>
      <c r="H546" s="17" t="n">
        <v>1824</v>
      </c>
      <c r="I546" s="17"/>
      <c r="J546" s="17"/>
      <c r="K546" s="17" t="n">
        <v>1829</v>
      </c>
      <c r="L546" s="17" t="n">
        <f aca="false">IF(AND(IFERROR(SEARCH("현대오일뱅크",$C546),0)&gt;0,IFERROR(SEARCH("직영",$C546),0)&gt;0),$B$13,0)</f>
        <v>0</v>
      </c>
      <c r="M546" s="17" t="n">
        <f aca="false">IF($H546="","",$H546+$L546)</f>
        <v>1824</v>
      </c>
      <c r="N546" s="17" t="str">
        <f aca="false">IF($I546="","",$I546+$L546)</f>
        <v/>
      </c>
      <c r="O546" s="17" t="n">
        <f aca="false">IF($K546="","",$K546+$L546)</f>
        <v>1829</v>
      </c>
      <c r="P546" s="17" t="str">
        <f aca="false">IF($B$10=0,"",IFERROR(IF($B$4&gt;0,"휘발유 "&amp;TEXT(IF($M546="",1/0,$M546*$B$4),"#,##0")&amp;"원","")&amp;IF($B$5&gt;0,IF($B$4&gt;0," / ","")&amp;"고급유 "&amp;TEXT(IF($N546="",1/0,$N546*$B$5),"#,##0")&amp;"원","")&amp;IF($B$6&gt;0,IF(OR($B$4&gt;0,$B$5&gt;0)," / ","")&amp;"경유 "&amp;TEXT(IF($O546="",1/0,$O546*$B$6),"#,##0")&amp;"원",""),""))</f>
        <v/>
      </c>
      <c r="Q546" s="17" t="str">
        <f aca="false">IF($B$10=0,"",IFERROR(IF($B$4&gt;0,IF($M546="",1/0,$M546*$B$4),0)+IF($B$5&gt;0,IF($N546="",1/0,$N546*$B$5),0)+IF($B$6&gt;0,IF($O546="",1/0,$O546*$B$6),0),""))</f>
        <v/>
      </c>
      <c r="R546" s="17"/>
      <c r="S546" s="18" t="str">
        <f aca="false">IF($Q546="","",IF($R546="Y",IFERROR(VLOOKUP($B546,$C$4:$D$13,2,FALSE()),0),0))</f>
        <v/>
      </c>
      <c r="T546" s="17" t="str">
        <f aca="false">IF($Q546="","",ROUNDDOWN($Q546*$S546,0))</f>
        <v/>
      </c>
      <c r="U546" s="17" t="str">
        <f aca="false">IF($Q546="","",$Q546-$T546)</f>
        <v/>
      </c>
      <c r="V546" s="17" t="str">
        <f aca="false">IF($U546="","",IF($B$10=0,"",$U546/$B$10))</f>
        <v/>
      </c>
      <c r="W546" s="17" t="str">
        <f aca="false">IF($Q546="","",IF($B$10=0,"",$Q546/$B$10))</f>
        <v/>
      </c>
      <c r="X546" s="19" t="n">
        <f aca="false">IF($U546="",1000000000000000,$U546)</f>
        <v>1000000000000000</v>
      </c>
      <c r="XFC546" s="6"/>
    </row>
    <row r="547" s="5" customFormat="true" ht="28.5" hidden="false" customHeight="true" outlineLevel="0" collapsed="false">
      <c r="A547" s="16" t="str">
        <f aca="false">IF($U547="","",1+COUNTIF($X$15:$X$728,"&lt;"&amp;X547))</f>
        <v/>
      </c>
      <c r="B547" s="16" t="s">
        <v>12</v>
      </c>
      <c r="C547" s="16" t="s">
        <v>1629</v>
      </c>
      <c r="D547" s="20" t="s">
        <v>294</v>
      </c>
      <c r="E547" s="16" t="s">
        <v>59</v>
      </c>
      <c r="F547" s="16" t="s">
        <v>1630</v>
      </c>
      <c r="G547" s="16" t="s">
        <v>1631</v>
      </c>
      <c r="H547" s="17" t="n">
        <v>2027</v>
      </c>
      <c r="I547" s="17"/>
      <c r="J547" s="17"/>
      <c r="K547" s="17" t="n">
        <v>2159</v>
      </c>
      <c r="L547" s="17" t="n">
        <f aca="false">IF(AND(IFERROR(SEARCH("현대오일뱅크",$C547),0)&gt;0,IFERROR(SEARCH("직영",$C547),0)&gt;0),$B$13,0)</f>
        <v>0</v>
      </c>
      <c r="M547" s="17" t="n">
        <f aca="false">IF($H547="","",$H547+$L547)</f>
        <v>2027</v>
      </c>
      <c r="N547" s="17" t="str">
        <f aca="false">IF($I547="","",$I547+$L547)</f>
        <v/>
      </c>
      <c r="O547" s="17" t="n">
        <f aca="false">IF($K547="","",$K547+$L547)</f>
        <v>2159</v>
      </c>
      <c r="P547" s="17" t="str">
        <f aca="false">IF($B$10=0,"",IFERROR(IF($B$4&gt;0,"휘발유 "&amp;TEXT(IF($M547="",1/0,$M547*$B$4),"#,##0")&amp;"원","")&amp;IF($B$5&gt;0,IF($B$4&gt;0," / ","")&amp;"고급유 "&amp;TEXT(IF($N547="",1/0,$N547*$B$5),"#,##0")&amp;"원","")&amp;IF($B$6&gt;0,IF(OR($B$4&gt;0,$B$5&gt;0)," / ","")&amp;"경유 "&amp;TEXT(IF($O547="",1/0,$O547*$B$6),"#,##0")&amp;"원",""),""))</f>
        <v/>
      </c>
      <c r="Q547" s="17" t="str">
        <f aca="false">IF($B$10=0,"",IFERROR(IF($B$4&gt;0,IF($M547="",1/0,$M547*$B$4),0)+IF($B$5&gt;0,IF($N547="",1/0,$N547*$B$5),0)+IF($B$6&gt;0,IF($O547="",1/0,$O547*$B$6),0),""))</f>
        <v/>
      </c>
      <c r="R547" s="17" t="s">
        <v>47</v>
      </c>
      <c r="S547" s="18" t="str">
        <f aca="false">IF($Q547="","",IF($R547="Y",IFERROR(VLOOKUP($B547,$C$4:$D$13,2,FALSE()),0),0))</f>
        <v/>
      </c>
      <c r="T547" s="17" t="str">
        <f aca="false">IF($Q547="","",ROUNDDOWN($Q547*$S547,0))</f>
        <v/>
      </c>
      <c r="U547" s="17" t="str">
        <f aca="false">IF($Q547="","",$Q547-$T547)</f>
        <v/>
      </c>
      <c r="V547" s="17" t="str">
        <f aca="false">IF($U547="","",IF($B$10=0,"",$U547/$B$10))</f>
        <v/>
      </c>
      <c r="W547" s="17" t="str">
        <f aca="false">IF($Q547="","",IF($B$10=0,"",$Q547/$B$10))</f>
        <v/>
      </c>
      <c r="X547" s="19" t="n">
        <f aca="false">IF($U547="",1000000000000000,$U547)</f>
        <v>1000000000000000</v>
      </c>
      <c r="XFC547" s="6"/>
    </row>
    <row r="548" s="5" customFormat="true" ht="28.5" hidden="false" customHeight="true" outlineLevel="0" collapsed="false">
      <c r="A548" s="16" t="str">
        <f aca="false">IF($U548="","",1+COUNTIF($X$15:$X$728,"&lt;"&amp;X548))</f>
        <v/>
      </c>
      <c r="B548" s="16" t="s">
        <v>12</v>
      </c>
      <c r="C548" s="16" t="s">
        <v>1632</v>
      </c>
      <c r="D548" s="16" t="s">
        <v>400</v>
      </c>
      <c r="E548" s="16" t="s">
        <v>47</v>
      </c>
      <c r="F548" s="16" t="s">
        <v>1633</v>
      </c>
      <c r="G548" s="16" t="s">
        <v>1634</v>
      </c>
      <c r="H548" s="17" t="n">
        <v>1825</v>
      </c>
      <c r="I548" s="17"/>
      <c r="J548" s="17"/>
      <c r="K548" s="17" t="n">
        <v>1835</v>
      </c>
      <c r="L548" s="17" t="n">
        <f aca="false">IF(AND(IFERROR(SEARCH("현대오일뱅크",$C548),0)&gt;0,IFERROR(SEARCH("직영",$C548),0)&gt;0),$B$13,0)</f>
        <v>0</v>
      </c>
      <c r="M548" s="17" t="n">
        <f aca="false">IF($H548="","",$H548+$L548)</f>
        <v>1825</v>
      </c>
      <c r="N548" s="17" t="str">
        <f aca="false">IF($I548="","",$I548+$L548)</f>
        <v/>
      </c>
      <c r="O548" s="17" t="n">
        <f aca="false">IF($K548="","",$K548+$L548)</f>
        <v>1835</v>
      </c>
      <c r="P548" s="17" t="str">
        <f aca="false">IF($B$10=0,"",IFERROR(IF($B$4&gt;0,"휘발유 "&amp;TEXT(IF($M548="",1/0,$M548*$B$4),"#,##0")&amp;"원","")&amp;IF($B$5&gt;0,IF($B$4&gt;0," / ","")&amp;"고급유 "&amp;TEXT(IF($N548="",1/0,$N548*$B$5),"#,##0")&amp;"원","")&amp;IF($B$6&gt;0,IF(OR($B$4&gt;0,$B$5&gt;0)," / ","")&amp;"경유 "&amp;TEXT(IF($O548="",1/0,$O548*$B$6),"#,##0")&amp;"원",""),""))</f>
        <v/>
      </c>
      <c r="Q548" s="17" t="str">
        <f aca="false">IF($B$10=0,"",IFERROR(IF($B$4&gt;0,IF($M548="",1/0,$M548*$B$4),0)+IF($B$5&gt;0,IF($N548="",1/0,$N548*$B$5),0)+IF($B$6&gt;0,IF($O548="",1/0,$O548*$B$6),0),""))</f>
        <v/>
      </c>
      <c r="R548" s="17"/>
      <c r="S548" s="18" t="str">
        <f aca="false">IF($Q548="","",IF($R548="Y",IFERROR(VLOOKUP($B548,$C$4:$D$13,2,FALSE()),0),0))</f>
        <v/>
      </c>
      <c r="T548" s="17" t="str">
        <f aca="false">IF($Q548="","",ROUNDDOWN($Q548*$S548,0))</f>
        <v/>
      </c>
      <c r="U548" s="17" t="str">
        <f aca="false">IF($Q548="","",$Q548-$T548)</f>
        <v/>
      </c>
      <c r="V548" s="17" t="str">
        <f aca="false">IF($U548="","",IF($B$10=0,"",$U548/$B$10))</f>
        <v/>
      </c>
      <c r="W548" s="17" t="str">
        <f aca="false">IF($Q548="","",IF($B$10=0,"",$Q548/$B$10))</f>
        <v/>
      </c>
      <c r="X548" s="19" t="n">
        <f aca="false">IF($U548="",1000000000000000,$U548)</f>
        <v>1000000000000000</v>
      </c>
      <c r="XFC548" s="6"/>
    </row>
    <row r="549" s="5" customFormat="true" ht="28.5" hidden="false" customHeight="true" outlineLevel="0" collapsed="false">
      <c r="A549" s="16" t="str">
        <f aca="false">IF($U549="","",1+COUNTIF($X$15:$X$728,"&lt;"&amp;X549))</f>
        <v/>
      </c>
      <c r="B549" s="16" t="s">
        <v>10</v>
      </c>
      <c r="C549" s="16" t="s">
        <v>1635</v>
      </c>
      <c r="D549" s="16" t="s">
        <v>629</v>
      </c>
      <c r="E549" s="16" t="s">
        <v>47</v>
      </c>
      <c r="F549" s="16" t="s">
        <v>1636</v>
      </c>
      <c r="G549" s="16" t="s">
        <v>1637</v>
      </c>
      <c r="H549" s="17" t="n">
        <v>1825</v>
      </c>
      <c r="I549" s="17"/>
      <c r="J549" s="17"/>
      <c r="K549" s="17" t="n">
        <v>1835</v>
      </c>
      <c r="L549" s="17" t="n">
        <f aca="false">IF(AND(IFERROR(SEARCH("현대오일뱅크",$C549),0)&gt;0,IFERROR(SEARCH("직영",$C549),0)&gt;0),$B$13,0)</f>
        <v>0</v>
      </c>
      <c r="M549" s="17" t="n">
        <f aca="false">IF($H549="","",$H549+$L549)</f>
        <v>1825</v>
      </c>
      <c r="N549" s="17" t="str">
        <f aca="false">IF($I549="","",$I549+$L549)</f>
        <v/>
      </c>
      <c r="O549" s="17" t="n">
        <f aca="false">IF($K549="","",$K549+$L549)</f>
        <v>1835</v>
      </c>
      <c r="P549" s="17" t="str">
        <f aca="false">IF($B$10=0,"",IFERROR(IF($B$4&gt;0,"휘발유 "&amp;TEXT(IF($M549="",1/0,$M549*$B$4),"#,##0")&amp;"원","")&amp;IF($B$5&gt;0,IF($B$4&gt;0," / ","")&amp;"고급유 "&amp;TEXT(IF($N549="",1/0,$N549*$B$5),"#,##0")&amp;"원","")&amp;IF($B$6&gt;0,IF(OR($B$4&gt;0,$B$5&gt;0)," / ","")&amp;"경유 "&amp;TEXT(IF($O549="",1/0,$O549*$B$6),"#,##0")&amp;"원",""),""))</f>
        <v/>
      </c>
      <c r="Q549" s="17" t="str">
        <f aca="false">IF($B$10=0,"",IFERROR(IF($B$4&gt;0,IF($M549="",1/0,$M549*$B$4),0)+IF($B$5&gt;0,IF($N549="",1/0,$N549*$B$5),0)+IF($B$6&gt;0,IF($O549="",1/0,$O549*$B$6),0),""))</f>
        <v/>
      </c>
      <c r="R549" s="17"/>
      <c r="S549" s="18" t="str">
        <f aca="false">IF($Q549="","",IF($R549="Y",IFERROR(VLOOKUP($B549,$C$4:$D$13,2,FALSE()),0),0))</f>
        <v/>
      </c>
      <c r="T549" s="17" t="str">
        <f aca="false">IF($Q549="","",ROUNDDOWN($Q549*$S549,0))</f>
        <v/>
      </c>
      <c r="U549" s="17" t="str">
        <f aca="false">IF($Q549="","",$Q549-$T549)</f>
        <v/>
      </c>
      <c r="V549" s="17" t="str">
        <f aca="false">IF($U549="","",IF($B$10=0,"",$U549/$B$10))</f>
        <v/>
      </c>
      <c r="W549" s="17" t="str">
        <f aca="false">IF($Q549="","",IF($B$10=0,"",$Q549/$B$10))</f>
        <v/>
      </c>
      <c r="X549" s="19" t="n">
        <f aca="false">IF($U549="",1000000000000000,$U549)</f>
        <v>1000000000000000</v>
      </c>
      <c r="XFC549" s="6"/>
    </row>
    <row r="550" s="5" customFormat="true" ht="28.5" hidden="false" customHeight="true" outlineLevel="0" collapsed="false">
      <c r="A550" s="16" t="str">
        <f aca="false">IF($U550="","",1+COUNTIF($X$15:$X$728,"&lt;"&amp;X550))</f>
        <v/>
      </c>
      <c r="B550" s="16" t="s">
        <v>10</v>
      </c>
      <c r="C550" s="16" t="s">
        <v>737</v>
      </c>
      <c r="D550" s="16" t="s">
        <v>46</v>
      </c>
      <c r="E550" s="16" t="s">
        <v>47</v>
      </c>
      <c r="F550" s="16" t="s">
        <v>1638</v>
      </c>
      <c r="G550" s="16" t="s">
        <v>1639</v>
      </c>
      <c r="H550" s="17" t="n">
        <v>1829</v>
      </c>
      <c r="I550" s="17"/>
      <c r="J550" s="17"/>
      <c r="K550" s="17" t="n">
        <v>1839</v>
      </c>
      <c r="L550" s="17" t="n">
        <f aca="false">IF(AND(IFERROR(SEARCH("현대오일뱅크",$C550),0)&gt;0,IFERROR(SEARCH("직영",$C550),0)&gt;0),$B$13,0)</f>
        <v>0</v>
      </c>
      <c r="M550" s="17" t="n">
        <f aca="false">IF($H550="","",$H550+$L550)</f>
        <v>1829</v>
      </c>
      <c r="N550" s="17" t="str">
        <f aca="false">IF($I550="","",$I550+$L550)</f>
        <v/>
      </c>
      <c r="O550" s="17" t="n">
        <f aca="false">IF($K550="","",$K550+$L550)</f>
        <v>1839</v>
      </c>
      <c r="P550" s="17" t="str">
        <f aca="false">IF($B$10=0,"",IFERROR(IF($B$4&gt;0,"휘발유 "&amp;TEXT(IF($M550="",1/0,$M550*$B$4),"#,##0")&amp;"원","")&amp;IF($B$5&gt;0,IF($B$4&gt;0," / ","")&amp;"고급유 "&amp;TEXT(IF($N550="",1/0,$N550*$B$5),"#,##0")&amp;"원","")&amp;IF($B$6&gt;0,IF(OR($B$4&gt;0,$B$5&gt;0)," / ","")&amp;"경유 "&amp;TEXT(IF($O550="",1/0,$O550*$B$6),"#,##0")&amp;"원",""),""))</f>
        <v/>
      </c>
      <c r="Q550" s="17" t="str">
        <f aca="false">IF($B$10=0,"",IFERROR(IF($B$4&gt;0,IF($M550="",1/0,$M550*$B$4),0)+IF($B$5&gt;0,IF($N550="",1/0,$N550*$B$5),0)+IF($B$6&gt;0,IF($O550="",1/0,$O550*$B$6),0),""))</f>
        <v/>
      </c>
      <c r="R550" s="17"/>
      <c r="S550" s="18" t="str">
        <f aca="false">IF($Q550="","",IF($R550="Y",IFERROR(VLOOKUP($B550,$C$4:$D$13,2,FALSE()),0),0))</f>
        <v/>
      </c>
      <c r="T550" s="17" t="str">
        <f aca="false">IF($Q550="","",ROUNDDOWN($Q550*$S550,0))</f>
        <v/>
      </c>
      <c r="U550" s="17" t="str">
        <f aca="false">IF($Q550="","",$Q550-$T550)</f>
        <v/>
      </c>
      <c r="V550" s="17" t="str">
        <f aca="false">IF($U550="","",IF($B$10=0,"",$U550/$B$10))</f>
        <v/>
      </c>
      <c r="W550" s="17" t="str">
        <f aca="false">IF($Q550="","",IF($B$10=0,"",$Q550/$B$10))</f>
        <v/>
      </c>
      <c r="X550" s="19" t="n">
        <f aca="false">IF($U550="",1000000000000000,$U550)</f>
        <v>1000000000000000</v>
      </c>
      <c r="XFC550" s="6"/>
    </row>
    <row r="551" s="5" customFormat="true" ht="28.5" hidden="false" customHeight="true" outlineLevel="0" collapsed="false">
      <c r="A551" s="16" t="str">
        <f aca="false">IF($U551="","",1+COUNTIF($X$15:$X$728,"&lt;"&amp;X551))</f>
        <v/>
      </c>
      <c r="B551" s="16" t="s">
        <v>10</v>
      </c>
      <c r="C551" s="16" t="s">
        <v>1640</v>
      </c>
      <c r="D551" s="16" t="s">
        <v>400</v>
      </c>
      <c r="E551" s="16" t="s">
        <v>47</v>
      </c>
      <c r="F551" s="16" t="s">
        <v>1641</v>
      </c>
      <c r="G551" s="16" t="s">
        <v>1642</v>
      </c>
      <c r="H551" s="17" t="n">
        <v>1829</v>
      </c>
      <c r="I551" s="17"/>
      <c r="J551" s="17"/>
      <c r="K551" s="17" t="n">
        <v>1838</v>
      </c>
      <c r="L551" s="17" t="n">
        <f aca="false">IF(AND(IFERROR(SEARCH("현대오일뱅크",$C551),0)&gt;0,IFERROR(SEARCH("직영",$C551),0)&gt;0),$B$13,0)</f>
        <v>0</v>
      </c>
      <c r="M551" s="17" t="n">
        <f aca="false">IF($H551="","",$H551+$L551)</f>
        <v>1829</v>
      </c>
      <c r="N551" s="17" t="str">
        <f aca="false">IF($I551="","",$I551+$L551)</f>
        <v/>
      </c>
      <c r="O551" s="17" t="n">
        <f aca="false">IF($K551="","",$K551+$L551)</f>
        <v>1838</v>
      </c>
      <c r="P551" s="17" t="str">
        <f aca="false">IF($B$10=0,"",IFERROR(IF($B$4&gt;0,"휘발유 "&amp;TEXT(IF($M551="",1/0,$M551*$B$4),"#,##0")&amp;"원","")&amp;IF($B$5&gt;0,IF($B$4&gt;0," / ","")&amp;"고급유 "&amp;TEXT(IF($N551="",1/0,$N551*$B$5),"#,##0")&amp;"원","")&amp;IF($B$6&gt;0,IF(OR($B$4&gt;0,$B$5&gt;0)," / ","")&amp;"경유 "&amp;TEXT(IF($O551="",1/0,$O551*$B$6),"#,##0")&amp;"원",""),""))</f>
        <v/>
      </c>
      <c r="Q551" s="17" t="str">
        <f aca="false">IF($B$10=0,"",IFERROR(IF($B$4&gt;0,IF($M551="",1/0,$M551*$B$4),0)+IF($B$5&gt;0,IF($N551="",1/0,$N551*$B$5),0)+IF($B$6&gt;0,IF($O551="",1/0,$O551*$B$6),0),""))</f>
        <v/>
      </c>
      <c r="R551" s="17"/>
      <c r="S551" s="18" t="str">
        <f aca="false">IF($Q551="","",IF($R551="Y",IFERROR(VLOOKUP($B551,$C$4:$D$13,2,FALSE()),0),0))</f>
        <v/>
      </c>
      <c r="T551" s="17" t="str">
        <f aca="false">IF($Q551="","",ROUNDDOWN($Q551*$S551,0))</f>
        <v/>
      </c>
      <c r="U551" s="17" t="str">
        <f aca="false">IF($Q551="","",$Q551-$T551)</f>
        <v/>
      </c>
      <c r="V551" s="17" t="str">
        <f aca="false">IF($U551="","",IF($B$10=0,"",$U551/$B$10))</f>
        <v/>
      </c>
      <c r="W551" s="17" t="str">
        <f aca="false">IF($Q551="","",IF($B$10=0,"",$Q551/$B$10))</f>
        <v/>
      </c>
      <c r="X551" s="19" t="n">
        <f aca="false">IF($U551="",1000000000000000,$U551)</f>
        <v>1000000000000000</v>
      </c>
      <c r="XFC551" s="6"/>
    </row>
    <row r="552" s="5" customFormat="true" ht="28.5" hidden="false" customHeight="true" outlineLevel="0" collapsed="false">
      <c r="A552" s="16" t="str">
        <f aca="false">IF($U552="","",1+COUNTIF($X$15:$X$728,"&lt;"&amp;X552))</f>
        <v/>
      </c>
      <c r="B552" s="16" t="s">
        <v>18</v>
      </c>
      <c r="C552" s="16" t="s">
        <v>1643</v>
      </c>
      <c r="D552" s="16" t="s">
        <v>58</v>
      </c>
      <c r="E552" s="16" t="s">
        <v>59</v>
      </c>
      <c r="F552" s="16" t="s">
        <v>1644</v>
      </c>
      <c r="G552" s="16" t="s">
        <v>1645</v>
      </c>
      <c r="H552" s="17" t="n">
        <v>1829</v>
      </c>
      <c r="I552" s="17"/>
      <c r="J552" s="17"/>
      <c r="K552" s="17" t="n">
        <v>1829</v>
      </c>
      <c r="L552" s="17" t="n">
        <f aca="false">IF(AND(IFERROR(SEARCH("현대오일뱅크",$C552),0)&gt;0,IFERROR(SEARCH("직영",$C552),0)&gt;0),$B$13,0)</f>
        <v>0</v>
      </c>
      <c r="M552" s="17" t="n">
        <f aca="false">IF($H552="","",$H552+$L552)</f>
        <v>1829</v>
      </c>
      <c r="N552" s="17" t="str">
        <f aca="false">IF($I552="","",$I552+$L552)</f>
        <v/>
      </c>
      <c r="O552" s="17" t="n">
        <f aca="false">IF($K552="","",$K552+$L552)</f>
        <v>1829</v>
      </c>
      <c r="P552" s="17" t="str">
        <f aca="false">IF($B$10=0,"",IFERROR(IF($B$4&gt;0,"휘발유 "&amp;TEXT(IF($M552="",1/0,$M552*$B$4),"#,##0")&amp;"원","")&amp;IF($B$5&gt;0,IF($B$4&gt;0," / ","")&amp;"고급유 "&amp;TEXT(IF($N552="",1/0,$N552*$B$5),"#,##0")&amp;"원","")&amp;IF($B$6&gt;0,IF(OR($B$4&gt;0,$B$5&gt;0)," / ","")&amp;"경유 "&amp;TEXT(IF($O552="",1/0,$O552*$B$6),"#,##0")&amp;"원",""),""))</f>
        <v/>
      </c>
      <c r="Q552" s="17" t="str">
        <f aca="false">IF($B$10=0,"",IFERROR(IF($B$4&gt;0,IF($M552="",1/0,$M552*$B$4),0)+IF($B$5&gt;0,IF($N552="",1/0,$N552*$B$5),0)+IF($B$6&gt;0,IF($O552="",1/0,$O552*$B$6),0),""))</f>
        <v/>
      </c>
      <c r="R552" s="17"/>
      <c r="S552" s="18" t="str">
        <f aca="false">IF($Q552="","",IF($R552="Y",IFERROR(VLOOKUP($B552,$C$4:$D$13,2,FALSE()),0),0))</f>
        <v/>
      </c>
      <c r="T552" s="17" t="str">
        <f aca="false">IF($Q552="","",ROUNDDOWN($Q552*$S552,0))</f>
        <v/>
      </c>
      <c r="U552" s="17" t="str">
        <f aca="false">IF($Q552="","",$Q552-$T552)</f>
        <v/>
      </c>
      <c r="V552" s="17" t="str">
        <f aca="false">IF($U552="","",IF($B$10=0,"",$U552/$B$10))</f>
        <v/>
      </c>
      <c r="W552" s="17" t="str">
        <f aca="false">IF($Q552="","",IF($B$10=0,"",$Q552/$B$10))</f>
        <v/>
      </c>
      <c r="X552" s="19" t="n">
        <f aca="false">IF($U552="",1000000000000000,$U552)</f>
        <v>1000000000000000</v>
      </c>
      <c r="XFC552" s="6"/>
    </row>
    <row r="553" s="5" customFormat="true" ht="28.5" hidden="false" customHeight="true" outlineLevel="0" collapsed="false">
      <c r="A553" s="16" t="str">
        <f aca="false">IF($U553="","",1+COUNTIF($X$15:$X$728,"&lt;"&amp;X553))</f>
        <v/>
      </c>
      <c r="B553" s="16" t="s">
        <v>10</v>
      </c>
      <c r="C553" s="16" t="s">
        <v>1646</v>
      </c>
      <c r="D553" s="16" t="s">
        <v>400</v>
      </c>
      <c r="E553" s="16" t="s">
        <v>47</v>
      </c>
      <c r="F553" s="16" t="s">
        <v>1647</v>
      </c>
      <c r="G553" s="16" t="s">
        <v>1648</v>
      </c>
      <c r="H553" s="17" t="n">
        <v>1829</v>
      </c>
      <c r="I553" s="17"/>
      <c r="J553" s="17"/>
      <c r="K553" s="17" t="n">
        <v>1829</v>
      </c>
      <c r="L553" s="17" t="n">
        <f aca="false">IF(AND(IFERROR(SEARCH("현대오일뱅크",$C553),0)&gt;0,IFERROR(SEARCH("직영",$C553),0)&gt;0),$B$13,0)</f>
        <v>0</v>
      </c>
      <c r="M553" s="17" t="n">
        <f aca="false">IF($H553="","",$H553+$L553)</f>
        <v>1829</v>
      </c>
      <c r="N553" s="17" t="str">
        <f aca="false">IF($I553="","",$I553+$L553)</f>
        <v/>
      </c>
      <c r="O553" s="17" t="n">
        <f aca="false">IF($K553="","",$K553+$L553)</f>
        <v>1829</v>
      </c>
      <c r="P553" s="17" t="str">
        <f aca="false">IF($B$10=0,"",IFERROR(IF($B$4&gt;0,"휘발유 "&amp;TEXT(IF($M553="",1/0,$M553*$B$4),"#,##0")&amp;"원","")&amp;IF($B$5&gt;0,IF($B$4&gt;0," / ","")&amp;"고급유 "&amp;TEXT(IF($N553="",1/0,$N553*$B$5),"#,##0")&amp;"원","")&amp;IF($B$6&gt;0,IF(OR($B$4&gt;0,$B$5&gt;0)," / ","")&amp;"경유 "&amp;TEXT(IF($O553="",1/0,$O553*$B$6),"#,##0")&amp;"원",""),""))</f>
        <v/>
      </c>
      <c r="Q553" s="17" t="str">
        <f aca="false">IF($B$10=0,"",IFERROR(IF($B$4&gt;0,IF($M553="",1/0,$M553*$B$4),0)+IF($B$5&gt;0,IF($N553="",1/0,$N553*$B$5),0)+IF($B$6&gt;0,IF($O553="",1/0,$O553*$B$6),0),""))</f>
        <v/>
      </c>
      <c r="R553" s="17"/>
      <c r="S553" s="18" t="str">
        <f aca="false">IF($Q553="","",IF($R553="Y",IFERROR(VLOOKUP($B553,$C$4:$D$13,2,FALSE()),0),0))</f>
        <v/>
      </c>
      <c r="T553" s="17" t="str">
        <f aca="false">IF($Q553="","",ROUNDDOWN($Q553*$S553,0))</f>
        <v/>
      </c>
      <c r="U553" s="17" t="str">
        <f aca="false">IF($Q553="","",$Q553-$T553)</f>
        <v/>
      </c>
      <c r="V553" s="17" t="str">
        <f aca="false">IF($U553="","",IF($B$10=0,"",$U553/$B$10))</f>
        <v/>
      </c>
      <c r="W553" s="17" t="str">
        <f aca="false">IF($Q553="","",IF($B$10=0,"",$Q553/$B$10))</f>
        <v/>
      </c>
      <c r="X553" s="19" t="n">
        <f aca="false">IF($U553="",1000000000000000,$U553)</f>
        <v>1000000000000000</v>
      </c>
      <c r="XFC553" s="6"/>
    </row>
    <row r="554" s="5" customFormat="true" ht="28.5" hidden="false" customHeight="true" outlineLevel="0" collapsed="false">
      <c r="A554" s="16" t="str">
        <f aca="false">IF($U554="","",1+COUNTIF($X$15:$X$728,"&lt;"&amp;X554))</f>
        <v/>
      </c>
      <c r="B554" s="16" t="s">
        <v>10</v>
      </c>
      <c r="C554" s="16" t="s">
        <v>1649</v>
      </c>
      <c r="D554" s="16" t="s">
        <v>400</v>
      </c>
      <c r="E554" s="16" t="s">
        <v>47</v>
      </c>
      <c r="F554" s="16" t="s">
        <v>1650</v>
      </c>
      <c r="G554" s="16" t="s">
        <v>1651</v>
      </c>
      <c r="H554" s="17" t="n">
        <v>1829</v>
      </c>
      <c r="I554" s="17"/>
      <c r="J554" s="17"/>
      <c r="K554" s="17" t="n">
        <v>1829</v>
      </c>
      <c r="L554" s="17" t="n">
        <f aca="false">IF(AND(IFERROR(SEARCH("현대오일뱅크",$C554),0)&gt;0,IFERROR(SEARCH("직영",$C554),0)&gt;0),$B$13,0)</f>
        <v>0</v>
      </c>
      <c r="M554" s="17" t="n">
        <f aca="false">IF($H554="","",$H554+$L554)</f>
        <v>1829</v>
      </c>
      <c r="N554" s="17" t="str">
        <f aca="false">IF($I554="","",$I554+$L554)</f>
        <v/>
      </c>
      <c r="O554" s="17" t="n">
        <f aca="false">IF($K554="","",$K554+$L554)</f>
        <v>1829</v>
      </c>
      <c r="P554" s="17" t="str">
        <f aca="false">IF($B$10=0,"",IFERROR(IF($B$4&gt;0,"휘발유 "&amp;TEXT(IF($M554="",1/0,$M554*$B$4),"#,##0")&amp;"원","")&amp;IF($B$5&gt;0,IF($B$4&gt;0," / ","")&amp;"고급유 "&amp;TEXT(IF($N554="",1/0,$N554*$B$5),"#,##0")&amp;"원","")&amp;IF($B$6&gt;0,IF(OR($B$4&gt;0,$B$5&gt;0)," / ","")&amp;"경유 "&amp;TEXT(IF($O554="",1/0,$O554*$B$6),"#,##0")&amp;"원",""),""))</f>
        <v/>
      </c>
      <c r="Q554" s="17" t="str">
        <f aca="false">IF($B$10=0,"",IFERROR(IF($B$4&gt;0,IF($M554="",1/0,$M554*$B$4),0)+IF($B$5&gt;0,IF($N554="",1/0,$N554*$B$5),0)+IF($B$6&gt;0,IF($O554="",1/0,$O554*$B$6),0),""))</f>
        <v/>
      </c>
      <c r="R554" s="17"/>
      <c r="S554" s="18" t="str">
        <f aca="false">IF($Q554="","",IF($R554="Y",IFERROR(VLOOKUP($B554,$C$4:$D$13,2,FALSE()),0),0))</f>
        <v/>
      </c>
      <c r="T554" s="17" t="str">
        <f aca="false">IF($Q554="","",ROUNDDOWN($Q554*$S554,0))</f>
        <v/>
      </c>
      <c r="U554" s="17" t="str">
        <f aca="false">IF($Q554="","",$Q554-$T554)</f>
        <v/>
      </c>
      <c r="V554" s="17" t="str">
        <f aca="false">IF($U554="","",IF($B$10=0,"",$U554/$B$10))</f>
        <v/>
      </c>
      <c r="W554" s="17" t="str">
        <f aca="false">IF($Q554="","",IF($B$10=0,"",$Q554/$B$10))</f>
        <v/>
      </c>
      <c r="X554" s="19" t="n">
        <f aca="false">IF($U554="",1000000000000000,$U554)</f>
        <v>1000000000000000</v>
      </c>
      <c r="XFC554" s="6"/>
    </row>
    <row r="555" s="5" customFormat="true" ht="28.5" hidden="false" customHeight="true" outlineLevel="0" collapsed="false">
      <c r="A555" s="16" t="str">
        <f aca="false">IF($U555="","",1+COUNTIF($X$15:$X$728,"&lt;"&amp;X555))</f>
        <v/>
      </c>
      <c r="B555" s="16" t="s">
        <v>10</v>
      </c>
      <c r="C555" s="16" t="s">
        <v>1652</v>
      </c>
      <c r="D555" s="16" t="s">
        <v>400</v>
      </c>
      <c r="E555" s="16" t="s">
        <v>47</v>
      </c>
      <c r="F555" s="16" t="s">
        <v>1653</v>
      </c>
      <c r="G555" s="16" t="s">
        <v>1654</v>
      </c>
      <c r="H555" s="17" t="n">
        <v>1830</v>
      </c>
      <c r="I555" s="17"/>
      <c r="J555" s="17"/>
      <c r="K555" s="17" t="n">
        <v>1840</v>
      </c>
      <c r="L555" s="17" t="n">
        <f aca="false">IF(AND(IFERROR(SEARCH("현대오일뱅크",$C555),0)&gt;0,IFERROR(SEARCH("직영",$C555),0)&gt;0),$B$13,0)</f>
        <v>0</v>
      </c>
      <c r="M555" s="17" t="n">
        <f aca="false">IF($H555="","",$H555+$L555)</f>
        <v>1830</v>
      </c>
      <c r="N555" s="17" t="str">
        <f aca="false">IF($I555="","",$I555+$L555)</f>
        <v/>
      </c>
      <c r="O555" s="17" t="n">
        <f aca="false">IF($K555="","",$K555+$L555)</f>
        <v>1840</v>
      </c>
      <c r="P555" s="17" t="str">
        <f aca="false">IF($B$10=0,"",IFERROR(IF($B$4&gt;0,"휘발유 "&amp;TEXT(IF($M555="",1/0,$M555*$B$4),"#,##0")&amp;"원","")&amp;IF($B$5&gt;0,IF($B$4&gt;0," / ","")&amp;"고급유 "&amp;TEXT(IF($N555="",1/0,$N555*$B$5),"#,##0")&amp;"원","")&amp;IF($B$6&gt;0,IF(OR($B$4&gt;0,$B$5&gt;0)," / ","")&amp;"경유 "&amp;TEXT(IF($O555="",1/0,$O555*$B$6),"#,##0")&amp;"원",""),""))</f>
        <v/>
      </c>
      <c r="Q555" s="17" t="str">
        <f aca="false">IF($B$10=0,"",IFERROR(IF($B$4&gt;0,IF($M555="",1/0,$M555*$B$4),0)+IF($B$5&gt;0,IF($N555="",1/0,$N555*$B$5),0)+IF($B$6&gt;0,IF($O555="",1/0,$O555*$B$6),0),""))</f>
        <v/>
      </c>
      <c r="R555" s="17"/>
      <c r="S555" s="18" t="str">
        <f aca="false">IF($Q555="","",IF($R555="Y",IFERROR(VLOOKUP($B555,$C$4:$D$13,2,FALSE()),0),0))</f>
        <v/>
      </c>
      <c r="T555" s="17" t="str">
        <f aca="false">IF($Q555="","",ROUNDDOWN($Q555*$S555,0))</f>
        <v/>
      </c>
      <c r="U555" s="17" t="str">
        <f aca="false">IF($Q555="","",$Q555-$T555)</f>
        <v/>
      </c>
      <c r="V555" s="17" t="str">
        <f aca="false">IF($U555="","",IF($B$10=0,"",$U555/$B$10))</f>
        <v/>
      </c>
      <c r="W555" s="17" t="str">
        <f aca="false">IF($Q555="","",IF($B$10=0,"",$Q555/$B$10))</f>
        <v/>
      </c>
      <c r="X555" s="19" t="n">
        <f aca="false">IF($U555="",1000000000000000,$U555)</f>
        <v>1000000000000000</v>
      </c>
      <c r="XFC555" s="6"/>
    </row>
    <row r="556" s="5" customFormat="true" ht="28.5" hidden="false" customHeight="true" outlineLevel="0" collapsed="false">
      <c r="A556" s="16" t="str">
        <f aca="false">IF($U556="","",1+COUNTIF($X$15:$X$728,"&lt;"&amp;X556))</f>
        <v/>
      </c>
      <c r="B556" s="16" t="s">
        <v>10</v>
      </c>
      <c r="C556" s="16" t="s">
        <v>1655</v>
      </c>
      <c r="D556" s="16" t="s">
        <v>400</v>
      </c>
      <c r="E556" s="16" t="s">
        <v>47</v>
      </c>
      <c r="F556" s="16" t="s">
        <v>1656</v>
      </c>
      <c r="G556" s="16" t="s">
        <v>1657</v>
      </c>
      <c r="H556" s="17" t="n">
        <v>1830</v>
      </c>
      <c r="I556" s="17"/>
      <c r="J556" s="17"/>
      <c r="K556" s="17" t="n">
        <v>1840</v>
      </c>
      <c r="L556" s="17" t="n">
        <f aca="false">IF(AND(IFERROR(SEARCH("현대오일뱅크",$C556),0)&gt;0,IFERROR(SEARCH("직영",$C556),0)&gt;0),$B$13,0)</f>
        <v>0</v>
      </c>
      <c r="M556" s="17" t="n">
        <f aca="false">IF($H556="","",$H556+$L556)</f>
        <v>1830</v>
      </c>
      <c r="N556" s="17" t="str">
        <f aca="false">IF($I556="","",$I556+$L556)</f>
        <v/>
      </c>
      <c r="O556" s="17" t="n">
        <f aca="false">IF($K556="","",$K556+$L556)</f>
        <v>1840</v>
      </c>
      <c r="P556" s="17" t="str">
        <f aca="false">IF($B$10=0,"",IFERROR(IF($B$4&gt;0,"휘발유 "&amp;TEXT(IF($M556="",1/0,$M556*$B$4),"#,##0")&amp;"원","")&amp;IF($B$5&gt;0,IF($B$4&gt;0," / ","")&amp;"고급유 "&amp;TEXT(IF($N556="",1/0,$N556*$B$5),"#,##0")&amp;"원","")&amp;IF($B$6&gt;0,IF(OR($B$4&gt;0,$B$5&gt;0)," / ","")&amp;"경유 "&amp;TEXT(IF($O556="",1/0,$O556*$B$6),"#,##0")&amp;"원",""),""))</f>
        <v/>
      </c>
      <c r="Q556" s="17" t="str">
        <f aca="false">IF($B$10=0,"",IFERROR(IF($B$4&gt;0,IF($M556="",1/0,$M556*$B$4),0)+IF($B$5&gt;0,IF($N556="",1/0,$N556*$B$5),0)+IF($B$6&gt;0,IF($O556="",1/0,$O556*$B$6),0),""))</f>
        <v/>
      </c>
      <c r="R556" s="17"/>
      <c r="S556" s="18" t="str">
        <f aca="false">IF($Q556="","",IF($R556="Y",IFERROR(VLOOKUP($B556,$C$4:$D$13,2,FALSE()),0),0))</f>
        <v/>
      </c>
      <c r="T556" s="17" t="str">
        <f aca="false">IF($Q556="","",ROUNDDOWN($Q556*$S556,0))</f>
        <v/>
      </c>
      <c r="U556" s="17" t="str">
        <f aca="false">IF($Q556="","",$Q556-$T556)</f>
        <v/>
      </c>
      <c r="V556" s="17" t="str">
        <f aca="false">IF($U556="","",IF($B$10=0,"",$U556/$B$10))</f>
        <v/>
      </c>
      <c r="W556" s="17" t="str">
        <f aca="false">IF($Q556="","",IF($B$10=0,"",$Q556/$B$10))</f>
        <v/>
      </c>
      <c r="X556" s="19" t="n">
        <f aca="false">IF($U556="",1000000000000000,$U556)</f>
        <v>1000000000000000</v>
      </c>
      <c r="XFC556" s="6"/>
    </row>
    <row r="557" s="5" customFormat="true" ht="28.5" hidden="false" customHeight="true" outlineLevel="0" collapsed="false">
      <c r="A557" s="16" t="str">
        <f aca="false">IF($U557="","",1+COUNTIF($X$15:$X$728,"&lt;"&amp;X557))</f>
        <v/>
      </c>
      <c r="B557" s="16" t="s">
        <v>10</v>
      </c>
      <c r="C557" s="16" t="s">
        <v>1658</v>
      </c>
      <c r="D557" s="16" t="s">
        <v>400</v>
      </c>
      <c r="E557" s="16" t="s">
        <v>47</v>
      </c>
      <c r="F557" s="16" t="s">
        <v>1659</v>
      </c>
      <c r="G557" s="16" t="s">
        <v>1660</v>
      </c>
      <c r="H557" s="17" t="n">
        <v>1833</v>
      </c>
      <c r="I557" s="17"/>
      <c r="J557" s="17"/>
      <c r="K557" s="17" t="n">
        <v>1844</v>
      </c>
      <c r="L557" s="17" t="n">
        <f aca="false">IF(AND(IFERROR(SEARCH("현대오일뱅크",$C557),0)&gt;0,IFERROR(SEARCH("직영",$C557),0)&gt;0),$B$13,0)</f>
        <v>0</v>
      </c>
      <c r="M557" s="17" t="n">
        <f aca="false">IF($H557="","",$H557+$L557)</f>
        <v>1833</v>
      </c>
      <c r="N557" s="17" t="str">
        <f aca="false">IF($I557="","",$I557+$L557)</f>
        <v/>
      </c>
      <c r="O557" s="17" t="n">
        <f aca="false">IF($K557="","",$K557+$L557)</f>
        <v>1844</v>
      </c>
      <c r="P557" s="17" t="str">
        <f aca="false">IF($B$10=0,"",IFERROR(IF($B$4&gt;0,"휘발유 "&amp;TEXT(IF($M557="",1/0,$M557*$B$4),"#,##0")&amp;"원","")&amp;IF($B$5&gt;0,IF($B$4&gt;0," / ","")&amp;"고급유 "&amp;TEXT(IF($N557="",1/0,$N557*$B$5),"#,##0")&amp;"원","")&amp;IF($B$6&gt;0,IF(OR($B$4&gt;0,$B$5&gt;0)," / ","")&amp;"경유 "&amp;TEXT(IF($O557="",1/0,$O557*$B$6),"#,##0")&amp;"원",""),""))</f>
        <v/>
      </c>
      <c r="Q557" s="17" t="str">
        <f aca="false">IF($B$10=0,"",IFERROR(IF($B$4&gt;0,IF($M557="",1/0,$M557*$B$4),0)+IF($B$5&gt;0,IF($N557="",1/0,$N557*$B$5),0)+IF($B$6&gt;0,IF($O557="",1/0,$O557*$B$6),0),""))</f>
        <v/>
      </c>
      <c r="R557" s="17"/>
      <c r="S557" s="18" t="str">
        <f aca="false">IF($Q557="","",IF($R557="Y",IFERROR(VLOOKUP($B557,$C$4:$D$13,2,FALSE()),0),0))</f>
        <v/>
      </c>
      <c r="T557" s="17" t="str">
        <f aca="false">IF($Q557="","",ROUNDDOWN($Q557*$S557,0))</f>
        <v/>
      </c>
      <c r="U557" s="17" t="str">
        <f aca="false">IF($Q557="","",$Q557-$T557)</f>
        <v/>
      </c>
      <c r="V557" s="17" t="str">
        <f aca="false">IF($U557="","",IF($B$10=0,"",$U557/$B$10))</f>
        <v/>
      </c>
      <c r="W557" s="17" t="str">
        <f aca="false">IF($Q557="","",IF($B$10=0,"",$Q557/$B$10))</f>
        <v/>
      </c>
      <c r="X557" s="19" t="n">
        <f aca="false">IF($U557="",1000000000000000,$U557)</f>
        <v>1000000000000000</v>
      </c>
      <c r="XFC557" s="6"/>
    </row>
    <row r="558" s="5" customFormat="true" ht="28.5" hidden="false" customHeight="true" outlineLevel="0" collapsed="false">
      <c r="A558" s="16" t="str">
        <f aca="false">IF($U558="","",1+COUNTIF($X$15:$X$728,"&lt;"&amp;X558))</f>
        <v/>
      </c>
      <c r="B558" s="16" t="s">
        <v>12</v>
      </c>
      <c r="C558" s="16" t="s">
        <v>1661</v>
      </c>
      <c r="D558" s="20" t="s">
        <v>112</v>
      </c>
      <c r="E558" s="16" t="s">
        <v>59</v>
      </c>
      <c r="F558" s="16" t="s">
        <v>1662</v>
      </c>
      <c r="G558" s="16" t="s">
        <v>1663</v>
      </c>
      <c r="H558" s="17" t="n">
        <v>2037</v>
      </c>
      <c r="I558" s="17"/>
      <c r="J558" s="17"/>
      <c r="K558" s="17" t="n">
        <v>2097</v>
      </c>
      <c r="L558" s="17" t="n">
        <f aca="false">IF(AND(IFERROR(SEARCH("현대오일뱅크",$C558),0)&gt;0,IFERROR(SEARCH("직영",$C558),0)&gt;0),$B$13,0)</f>
        <v>0</v>
      </c>
      <c r="M558" s="17" t="n">
        <f aca="false">IF($H558="","",$H558+$L558)</f>
        <v>2037</v>
      </c>
      <c r="N558" s="17" t="str">
        <f aca="false">IF($I558="","",$I558+$L558)</f>
        <v/>
      </c>
      <c r="O558" s="17" t="n">
        <f aca="false">IF($K558="","",$K558+$L558)</f>
        <v>2097</v>
      </c>
      <c r="P558" s="17" t="str">
        <f aca="false">IF($B$10=0,"",IFERROR(IF($B$4&gt;0,"휘발유 "&amp;TEXT(IF($M558="",1/0,$M558*$B$4),"#,##0")&amp;"원","")&amp;IF($B$5&gt;0,IF($B$4&gt;0," / ","")&amp;"고급유 "&amp;TEXT(IF($N558="",1/0,$N558*$B$5),"#,##0")&amp;"원","")&amp;IF($B$6&gt;0,IF(OR($B$4&gt;0,$B$5&gt;0)," / ","")&amp;"경유 "&amp;TEXT(IF($O558="",1/0,$O558*$B$6),"#,##0")&amp;"원",""),""))</f>
        <v/>
      </c>
      <c r="Q558" s="17" t="str">
        <f aca="false">IF($B$10=0,"",IFERROR(IF($B$4&gt;0,IF($M558="",1/0,$M558*$B$4),0)+IF($B$5&gt;0,IF($N558="",1/0,$N558*$B$5),0)+IF($B$6&gt;0,IF($O558="",1/0,$O558*$B$6),0),""))</f>
        <v/>
      </c>
      <c r="R558" s="17" t="s">
        <v>47</v>
      </c>
      <c r="S558" s="18" t="str">
        <f aca="false">IF($Q558="","",IF($R558="Y",IFERROR(VLOOKUP($B558,$C$4:$D$13,2,FALSE()),0),0))</f>
        <v/>
      </c>
      <c r="T558" s="17" t="str">
        <f aca="false">IF($Q558="","",ROUNDDOWN($Q558*$S558,0))</f>
        <v/>
      </c>
      <c r="U558" s="17" t="str">
        <f aca="false">IF($Q558="","",$Q558-$T558)</f>
        <v/>
      </c>
      <c r="V558" s="17" t="str">
        <f aca="false">IF($U558="","",IF($B$10=0,"",$U558/$B$10))</f>
        <v/>
      </c>
      <c r="W558" s="17" t="str">
        <f aca="false">IF($Q558="","",IF($B$10=0,"",$Q558/$B$10))</f>
        <v/>
      </c>
      <c r="X558" s="19" t="n">
        <f aca="false">IF($U558="",1000000000000000,$U558)</f>
        <v>1000000000000000</v>
      </c>
      <c r="XFC558" s="6"/>
    </row>
    <row r="559" s="5" customFormat="true" ht="28.5" hidden="false" customHeight="true" outlineLevel="0" collapsed="false">
      <c r="A559" s="16" t="str">
        <f aca="false">IF($U559="","",1+COUNTIF($X$15:$X$728,"&lt;"&amp;X559))</f>
        <v/>
      </c>
      <c r="B559" s="16" t="s">
        <v>8</v>
      </c>
      <c r="C559" s="16" t="s">
        <v>1664</v>
      </c>
      <c r="D559" s="16" t="s">
        <v>629</v>
      </c>
      <c r="E559" s="16" t="s">
        <v>47</v>
      </c>
      <c r="F559" s="16" t="s">
        <v>1665</v>
      </c>
      <c r="G559" s="16" t="s">
        <v>1666</v>
      </c>
      <c r="H559" s="17" t="n">
        <v>1834</v>
      </c>
      <c r="I559" s="17"/>
      <c r="J559" s="17"/>
      <c r="K559" s="17" t="n">
        <v>1845</v>
      </c>
      <c r="L559" s="17" t="n">
        <f aca="false">IF(AND(IFERROR(SEARCH("현대오일뱅크",$C559),0)&gt;0,IFERROR(SEARCH("직영",$C559),0)&gt;0),$B$13,0)</f>
        <v>0</v>
      </c>
      <c r="M559" s="17" t="n">
        <f aca="false">IF($H559="","",$H559+$L559)</f>
        <v>1834</v>
      </c>
      <c r="N559" s="17" t="str">
        <f aca="false">IF($I559="","",$I559+$L559)</f>
        <v/>
      </c>
      <c r="O559" s="17" t="n">
        <f aca="false">IF($K559="","",$K559+$L559)</f>
        <v>1845</v>
      </c>
      <c r="P559" s="17" t="str">
        <f aca="false">IF($B$10=0,"",IFERROR(IF($B$4&gt;0,"휘발유 "&amp;TEXT(IF($M559="",1/0,$M559*$B$4),"#,##0")&amp;"원","")&amp;IF($B$5&gt;0,IF($B$4&gt;0," / ","")&amp;"고급유 "&amp;TEXT(IF($N559="",1/0,$N559*$B$5),"#,##0")&amp;"원","")&amp;IF($B$6&gt;0,IF(OR($B$4&gt;0,$B$5&gt;0)," / ","")&amp;"경유 "&amp;TEXT(IF($O559="",1/0,$O559*$B$6),"#,##0")&amp;"원",""),""))</f>
        <v/>
      </c>
      <c r="Q559" s="17" t="str">
        <f aca="false">IF($B$10=0,"",IFERROR(IF($B$4&gt;0,IF($M559="",1/0,$M559*$B$4),0)+IF($B$5&gt;0,IF($N559="",1/0,$N559*$B$5),0)+IF($B$6&gt;0,IF($O559="",1/0,$O559*$B$6),0),""))</f>
        <v/>
      </c>
      <c r="R559" s="17"/>
      <c r="S559" s="18" t="str">
        <f aca="false">IF($Q559="","",IF($R559="Y",IFERROR(VLOOKUP($B559,$C$4:$D$13,2,FALSE()),0),0))</f>
        <v/>
      </c>
      <c r="T559" s="17" t="str">
        <f aca="false">IF($Q559="","",ROUNDDOWN($Q559*$S559,0))</f>
        <v/>
      </c>
      <c r="U559" s="17" t="str">
        <f aca="false">IF($Q559="","",$Q559-$T559)</f>
        <v/>
      </c>
      <c r="V559" s="17" t="str">
        <f aca="false">IF($U559="","",IF($B$10=0,"",$U559/$B$10))</f>
        <v/>
      </c>
      <c r="W559" s="17" t="str">
        <f aca="false">IF($Q559="","",IF($B$10=0,"",$Q559/$B$10))</f>
        <v/>
      </c>
      <c r="X559" s="19" t="n">
        <f aca="false">IF($U559="",1000000000000000,$U559)</f>
        <v>1000000000000000</v>
      </c>
      <c r="XFC559" s="6"/>
    </row>
    <row r="560" s="5" customFormat="true" ht="28.5" hidden="false" customHeight="true" outlineLevel="0" collapsed="false">
      <c r="A560" s="16" t="str">
        <f aca="false">IF($U560="","",1+COUNTIF($X$15:$X$728,"&lt;"&amp;X560))</f>
        <v/>
      </c>
      <c r="B560" s="16" t="s">
        <v>10</v>
      </c>
      <c r="C560" s="16" t="s">
        <v>1667</v>
      </c>
      <c r="D560" s="16" t="s">
        <v>400</v>
      </c>
      <c r="E560" s="16" t="s">
        <v>47</v>
      </c>
      <c r="F560" s="16" t="s">
        <v>1668</v>
      </c>
      <c r="G560" s="16" t="s">
        <v>1669</v>
      </c>
      <c r="H560" s="17" t="n">
        <v>1834</v>
      </c>
      <c r="I560" s="17"/>
      <c r="J560" s="17"/>
      <c r="K560" s="17" t="n">
        <v>1844</v>
      </c>
      <c r="L560" s="17" t="n">
        <f aca="false">IF(AND(IFERROR(SEARCH("현대오일뱅크",$C560),0)&gt;0,IFERROR(SEARCH("직영",$C560),0)&gt;0),$B$13,0)</f>
        <v>0</v>
      </c>
      <c r="M560" s="17" t="n">
        <f aca="false">IF($H560="","",$H560+$L560)</f>
        <v>1834</v>
      </c>
      <c r="N560" s="17" t="str">
        <f aca="false">IF($I560="","",$I560+$L560)</f>
        <v/>
      </c>
      <c r="O560" s="17" t="n">
        <f aca="false">IF($K560="","",$K560+$L560)</f>
        <v>1844</v>
      </c>
      <c r="P560" s="17" t="str">
        <f aca="false">IF($B$10=0,"",IFERROR(IF($B$4&gt;0,"휘발유 "&amp;TEXT(IF($M560="",1/0,$M560*$B$4),"#,##0")&amp;"원","")&amp;IF($B$5&gt;0,IF($B$4&gt;0," / ","")&amp;"고급유 "&amp;TEXT(IF($N560="",1/0,$N560*$B$5),"#,##0")&amp;"원","")&amp;IF($B$6&gt;0,IF(OR($B$4&gt;0,$B$5&gt;0)," / ","")&amp;"경유 "&amp;TEXT(IF($O560="",1/0,$O560*$B$6),"#,##0")&amp;"원",""),""))</f>
        <v/>
      </c>
      <c r="Q560" s="17" t="str">
        <f aca="false">IF($B$10=0,"",IFERROR(IF($B$4&gt;0,IF($M560="",1/0,$M560*$B$4),0)+IF($B$5&gt;0,IF($N560="",1/0,$N560*$B$5),0)+IF($B$6&gt;0,IF($O560="",1/0,$O560*$B$6),0),""))</f>
        <v/>
      </c>
      <c r="R560" s="17"/>
      <c r="S560" s="18" t="str">
        <f aca="false">IF($Q560="","",IF($R560="Y",IFERROR(VLOOKUP($B560,$C$4:$D$13,2,FALSE()),0),0))</f>
        <v/>
      </c>
      <c r="T560" s="17" t="str">
        <f aca="false">IF($Q560="","",ROUNDDOWN($Q560*$S560,0))</f>
        <v/>
      </c>
      <c r="U560" s="17" t="str">
        <f aca="false">IF($Q560="","",$Q560-$T560)</f>
        <v/>
      </c>
      <c r="V560" s="17" t="str">
        <f aca="false">IF($U560="","",IF($B$10=0,"",$U560/$B$10))</f>
        <v/>
      </c>
      <c r="W560" s="17" t="str">
        <f aca="false">IF($Q560="","",IF($B$10=0,"",$Q560/$B$10))</f>
        <v/>
      </c>
      <c r="X560" s="19" t="n">
        <f aca="false">IF($U560="",1000000000000000,$U560)</f>
        <v>1000000000000000</v>
      </c>
      <c r="XFC560" s="6"/>
    </row>
    <row r="561" s="5" customFormat="true" ht="28.5" hidden="false" customHeight="true" outlineLevel="0" collapsed="false">
      <c r="A561" s="16" t="str">
        <f aca="false">IF($U561="","",1+COUNTIF($X$15:$X$728,"&lt;"&amp;X561))</f>
        <v/>
      </c>
      <c r="B561" s="16" t="s">
        <v>10</v>
      </c>
      <c r="C561" s="16" t="s">
        <v>1670</v>
      </c>
      <c r="D561" s="16" t="s">
        <v>400</v>
      </c>
      <c r="E561" s="16" t="s">
        <v>47</v>
      </c>
      <c r="F561" s="16" t="s">
        <v>1671</v>
      </c>
      <c r="G561" s="16" t="s">
        <v>1672</v>
      </c>
      <c r="H561" s="17" t="n">
        <v>1834</v>
      </c>
      <c r="I561" s="17"/>
      <c r="J561" s="17"/>
      <c r="K561" s="17" t="n">
        <v>1839</v>
      </c>
      <c r="L561" s="17" t="n">
        <f aca="false">IF(AND(IFERROR(SEARCH("현대오일뱅크",$C561),0)&gt;0,IFERROR(SEARCH("직영",$C561),0)&gt;0),$B$13,0)</f>
        <v>0</v>
      </c>
      <c r="M561" s="17" t="n">
        <f aca="false">IF($H561="","",$H561+$L561)</f>
        <v>1834</v>
      </c>
      <c r="N561" s="17" t="str">
        <f aca="false">IF($I561="","",$I561+$L561)</f>
        <v/>
      </c>
      <c r="O561" s="17" t="n">
        <f aca="false">IF($K561="","",$K561+$L561)</f>
        <v>1839</v>
      </c>
      <c r="P561" s="17" t="str">
        <f aca="false">IF($B$10=0,"",IFERROR(IF($B$4&gt;0,"휘발유 "&amp;TEXT(IF($M561="",1/0,$M561*$B$4),"#,##0")&amp;"원","")&amp;IF($B$5&gt;0,IF($B$4&gt;0," / ","")&amp;"고급유 "&amp;TEXT(IF($N561="",1/0,$N561*$B$5),"#,##0")&amp;"원","")&amp;IF($B$6&gt;0,IF(OR($B$4&gt;0,$B$5&gt;0)," / ","")&amp;"경유 "&amp;TEXT(IF($O561="",1/0,$O561*$B$6),"#,##0")&amp;"원",""),""))</f>
        <v/>
      </c>
      <c r="Q561" s="17" t="str">
        <f aca="false">IF($B$10=0,"",IFERROR(IF($B$4&gt;0,IF($M561="",1/0,$M561*$B$4),0)+IF($B$5&gt;0,IF($N561="",1/0,$N561*$B$5),0)+IF($B$6&gt;0,IF($O561="",1/0,$O561*$B$6),0),""))</f>
        <v/>
      </c>
      <c r="R561" s="17"/>
      <c r="S561" s="18" t="str">
        <f aca="false">IF($Q561="","",IF($R561="Y",IFERROR(VLOOKUP($B561,$C$4:$D$13,2,FALSE()),0),0))</f>
        <v/>
      </c>
      <c r="T561" s="17" t="str">
        <f aca="false">IF($Q561="","",ROUNDDOWN($Q561*$S561,0))</f>
        <v/>
      </c>
      <c r="U561" s="17" t="str">
        <f aca="false">IF($Q561="","",$Q561-$T561)</f>
        <v/>
      </c>
      <c r="V561" s="17" t="str">
        <f aca="false">IF($U561="","",IF($B$10=0,"",$U561/$B$10))</f>
        <v/>
      </c>
      <c r="W561" s="17" t="str">
        <f aca="false">IF($Q561="","",IF($B$10=0,"",$Q561/$B$10))</f>
        <v/>
      </c>
      <c r="X561" s="19" t="n">
        <f aca="false">IF($U561="",1000000000000000,$U561)</f>
        <v>1000000000000000</v>
      </c>
      <c r="XFC561" s="6"/>
    </row>
    <row r="562" s="5" customFormat="true" ht="28.5" hidden="false" customHeight="true" outlineLevel="0" collapsed="false">
      <c r="A562" s="16" t="str">
        <f aca="false">IF($U562="","",1+COUNTIF($X$15:$X$728,"&lt;"&amp;X562))</f>
        <v/>
      </c>
      <c r="B562" s="16" t="s">
        <v>12</v>
      </c>
      <c r="C562" s="16" t="s">
        <v>1673</v>
      </c>
      <c r="D562" s="16" t="s">
        <v>400</v>
      </c>
      <c r="E562" s="16" t="s">
        <v>47</v>
      </c>
      <c r="F562" s="16" t="s">
        <v>1674</v>
      </c>
      <c r="G562" s="16" t="s">
        <v>1675</v>
      </c>
      <c r="H562" s="17" t="n">
        <v>1835</v>
      </c>
      <c r="I562" s="17"/>
      <c r="J562" s="17"/>
      <c r="K562" s="17" t="n">
        <v>1845</v>
      </c>
      <c r="L562" s="17" t="n">
        <f aca="false">IF(AND(IFERROR(SEARCH("현대오일뱅크",$C562),0)&gt;0,IFERROR(SEARCH("직영",$C562),0)&gt;0),$B$13,0)</f>
        <v>0</v>
      </c>
      <c r="M562" s="17" t="n">
        <f aca="false">IF($H562="","",$H562+$L562)</f>
        <v>1835</v>
      </c>
      <c r="N562" s="17" t="str">
        <f aca="false">IF($I562="","",$I562+$L562)</f>
        <v/>
      </c>
      <c r="O562" s="17" t="n">
        <f aca="false">IF($K562="","",$K562+$L562)</f>
        <v>1845</v>
      </c>
      <c r="P562" s="17" t="str">
        <f aca="false">IF($B$10=0,"",IFERROR(IF($B$4&gt;0,"휘발유 "&amp;TEXT(IF($M562="",1/0,$M562*$B$4),"#,##0")&amp;"원","")&amp;IF($B$5&gt;0,IF($B$4&gt;0," / ","")&amp;"고급유 "&amp;TEXT(IF($N562="",1/0,$N562*$B$5),"#,##0")&amp;"원","")&amp;IF($B$6&gt;0,IF(OR($B$4&gt;0,$B$5&gt;0)," / ","")&amp;"경유 "&amp;TEXT(IF($O562="",1/0,$O562*$B$6),"#,##0")&amp;"원",""),""))</f>
        <v/>
      </c>
      <c r="Q562" s="17" t="str">
        <f aca="false">IF($B$10=0,"",IFERROR(IF($B$4&gt;0,IF($M562="",1/0,$M562*$B$4),0)+IF($B$5&gt;0,IF($N562="",1/0,$N562*$B$5),0)+IF($B$6&gt;0,IF($O562="",1/0,$O562*$B$6),0),""))</f>
        <v/>
      </c>
      <c r="R562" s="17"/>
      <c r="S562" s="18" t="str">
        <f aca="false">IF($Q562="","",IF($R562="Y",IFERROR(VLOOKUP($B562,$C$4:$D$13,2,FALSE()),0),0))</f>
        <v/>
      </c>
      <c r="T562" s="17" t="str">
        <f aca="false">IF($Q562="","",ROUNDDOWN($Q562*$S562,0))</f>
        <v/>
      </c>
      <c r="U562" s="17" t="str">
        <f aca="false">IF($Q562="","",$Q562-$T562)</f>
        <v/>
      </c>
      <c r="V562" s="17" t="str">
        <f aca="false">IF($U562="","",IF($B$10=0,"",$U562/$B$10))</f>
        <v/>
      </c>
      <c r="W562" s="17" t="str">
        <f aca="false">IF($Q562="","",IF($B$10=0,"",$Q562/$B$10))</f>
        <v/>
      </c>
      <c r="X562" s="19" t="n">
        <f aca="false">IF($U562="",1000000000000000,$U562)</f>
        <v>1000000000000000</v>
      </c>
      <c r="XFC562" s="6"/>
    </row>
    <row r="563" s="5" customFormat="true" ht="28.5" hidden="false" customHeight="true" outlineLevel="0" collapsed="false">
      <c r="A563" s="16" t="str">
        <f aca="false">IF($U563="","",1+COUNTIF($X$15:$X$728,"&lt;"&amp;X563))</f>
        <v/>
      </c>
      <c r="B563" s="16" t="s">
        <v>10</v>
      </c>
      <c r="C563" s="16" t="s">
        <v>1676</v>
      </c>
      <c r="D563" s="16" t="s">
        <v>46</v>
      </c>
      <c r="E563" s="16" t="s">
        <v>47</v>
      </c>
      <c r="F563" s="16" t="s">
        <v>1677</v>
      </c>
      <c r="G563" s="16" t="s">
        <v>1678</v>
      </c>
      <c r="H563" s="17" t="n">
        <v>1835</v>
      </c>
      <c r="I563" s="17"/>
      <c r="J563" s="17"/>
      <c r="K563" s="17" t="n">
        <v>1845</v>
      </c>
      <c r="L563" s="17" t="n">
        <f aca="false">IF(AND(IFERROR(SEARCH("현대오일뱅크",$C563),0)&gt;0,IFERROR(SEARCH("직영",$C563),0)&gt;0),$B$13,0)</f>
        <v>0</v>
      </c>
      <c r="M563" s="17" t="n">
        <f aca="false">IF($H563="","",$H563+$L563)</f>
        <v>1835</v>
      </c>
      <c r="N563" s="17" t="str">
        <f aca="false">IF($I563="","",$I563+$L563)</f>
        <v/>
      </c>
      <c r="O563" s="17" t="n">
        <f aca="false">IF($K563="","",$K563+$L563)</f>
        <v>1845</v>
      </c>
      <c r="P563" s="17" t="str">
        <f aca="false">IF($B$10=0,"",IFERROR(IF($B$4&gt;0,"휘발유 "&amp;TEXT(IF($M563="",1/0,$M563*$B$4),"#,##0")&amp;"원","")&amp;IF($B$5&gt;0,IF($B$4&gt;0," / ","")&amp;"고급유 "&amp;TEXT(IF($N563="",1/0,$N563*$B$5),"#,##0")&amp;"원","")&amp;IF($B$6&gt;0,IF(OR($B$4&gt;0,$B$5&gt;0)," / ","")&amp;"경유 "&amp;TEXT(IF($O563="",1/0,$O563*$B$6),"#,##0")&amp;"원",""),""))</f>
        <v/>
      </c>
      <c r="Q563" s="17" t="str">
        <f aca="false">IF($B$10=0,"",IFERROR(IF($B$4&gt;0,IF($M563="",1/0,$M563*$B$4),0)+IF($B$5&gt;0,IF($N563="",1/0,$N563*$B$5),0)+IF($B$6&gt;0,IF($O563="",1/0,$O563*$B$6),0),""))</f>
        <v/>
      </c>
      <c r="R563" s="17"/>
      <c r="S563" s="18" t="str">
        <f aca="false">IF($Q563="","",IF($R563="Y",IFERROR(VLOOKUP($B563,$C$4:$D$13,2,FALSE()),0),0))</f>
        <v/>
      </c>
      <c r="T563" s="17" t="str">
        <f aca="false">IF($Q563="","",ROUNDDOWN($Q563*$S563,0))</f>
        <v/>
      </c>
      <c r="U563" s="17" t="str">
        <f aca="false">IF($Q563="","",$Q563-$T563)</f>
        <v/>
      </c>
      <c r="V563" s="17" t="str">
        <f aca="false">IF($U563="","",IF($B$10=0,"",$U563/$B$10))</f>
        <v/>
      </c>
      <c r="W563" s="17" t="str">
        <f aca="false">IF($Q563="","",IF($B$10=0,"",$Q563/$B$10))</f>
        <v/>
      </c>
      <c r="X563" s="19" t="n">
        <f aca="false">IF($U563="",1000000000000000,$U563)</f>
        <v>1000000000000000</v>
      </c>
      <c r="XFC563" s="6"/>
    </row>
    <row r="564" s="5" customFormat="true" ht="28.5" hidden="false" customHeight="true" outlineLevel="0" collapsed="false">
      <c r="A564" s="16" t="str">
        <f aca="false">IF($U564="","",1+COUNTIF($X$15:$X$728,"&lt;"&amp;X564))</f>
        <v/>
      </c>
      <c r="B564" s="16" t="s">
        <v>10</v>
      </c>
      <c r="C564" s="16" t="s">
        <v>1298</v>
      </c>
      <c r="D564" s="16" t="s">
        <v>46</v>
      </c>
      <c r="E564" s="16" t="s">
        <v>47</v>
      </c>
      <c r="F564" s="16" t="s">
        <v>1679</v>
      </c>
      <c r="G564" s="16" t="s">
        <v>1680</v>
      </c>
      <c r="H564" s="17" t="n">
        <v>1839</v>
      </c>
      <c r="I564" s="17"/>
      <c r="J564" s="17"/>
      <c r="K564" s="17" t="n">
        <v>1849</v>
      </c>
      <c r="L564" s="17" t="n">
        <f aca="false">IF(AND(IFERROR(SEARCH("현대오일뱅크",$C564),0)&gt;0,IFERROR(SEARCH("직영",$C564),0)&gt;0),$B$13,0)</f>
        <v>0</v>
      </c>
      <c r="M564" s="17" t="n">
        <f aca="false">IF($H564="","",$H564+$L564)</f>
        <v>1839</v>
      </c>
      <c r="N564" s="17" t="str">
        <f aca="false">IF($I564="","",$I564+$L564)</f>
        <v/>
      </c>
      <c r="O564" s="17" t="n">
        <f aca="false">IF($K564="","",$K564+$L564)</f>
        <v>1849</v>
      </c>
      <c r="P564" s="17" t="str">
        <f aca="false">IF($B$10=0,"",IFERROR(IF($B$4&gt;0,"휘발유 "&amp;TEXT(IF($M564="",1/0,$M564*$B$4),"#,##0")&amp;"원","")&amp;IF($B$5&gt;0,IF($B$4&gt;0," / ","")&amp;"고급유 "&amp;TEXT(IF($N564="",1/0,$N564*$B$5),"#,##0")&amp;"원","")&amp;IF($B$6&gt;0,IF(OR($B$4&gt;0,$B$5&gt;0)," / ","")&amp;"경유 "&amp;TEXT(IF($O564="",1/0,$O564*$B$6),"#,##0")&amp;"원",""),""))</f>
        <v/>
      </c>
      <c r="Q564" s="17" t="str">
        <f aca="false">IF($B$10=0,"",IFERROR(IF($B$4&gt;0,IF($M564="",1/0,$M564*$B$4),0)+IF($B$5&gt;0,IF($N564="",1/0,$N564*$B$5),0)+IF($B$6&gt;0,IF($O564="",1/0,$O564*$B$6),0),""))</f>
        <v/>
      </c>
      <c r="R564" s="17"/>
      <c r="S564" s="18" t="str">
        <f aca="false">IF($Q564="","",IF($R564="Y",IFERROR(VLOOKUP($B564,$C$4:$D$13,2,FALSE()),0),0))</f>
        <v/>
      </c>
      <c r="T564" s="17" t="str">
        <f aca="false">IF($Q564="","",ROUNDDOWN($Q564*$S564,0))</f>
        <v/>
      </c>
      <c r="U564" s="17" t="str">
        <f aca="false">IF($Q564="","",$Q564-$T564)</f>
        <v/>
      </c>
      <c r="V564" s="17" t="str">
        <f aca="false">IF($U564="","",IF($B$10=0,"",$U564/$B$10))</f>
        <v/>
      </c>
      <c r="W564" s="17" t="str">
        <f aca="false">IF($Q564="","",IF($B$10=0,"",$Q564/$B$10))</f>
        <v/>
      </c>
      <c r="X564" s="19" t="n">
        <f aca="false">IF($U564="",1000000000000000,$U564)</f>
        <v>1000000000000000</v>
      </c>
      <c r="XFC564" s="6"/>
    </row>
    <row r="565" s="5" customFormat="true" ht="28.5" hidden="false" customHeight="true" outlineLevel="0" collapsed="false">
      <c r="A565" s="16" t="str">
        <f aca="false">IF($U565="","",1+COUNTIF($X$15:$X$728,"&lt;"&amp;X565))</f>
        <v/>
      </c>
      <c r="B565" s="16" t="s">
        <v>12</v>
      </c>
      <c r="C565" s="16" t="s">
        <v>1681</v>
      </c>
      <c r="D565" s="20" t="s">
        <v>294</v>
      </c>
      <c r="E565" s="16" t="s">
        <v>59</v>
      </c>
      <c r="F565" s="16" t="s">
        <v>1682</v>
      </c>
      <c r="G565" s="16" t="s">
        <v>1683</v>
      </c>
      <c r="H565" s="17" t="n">
        <v>1839</v>
      </c>
      <c r="I565" s="17"/>
      <c r="J565" s="17"/>
      <c r="K565" s="17" t="n">
        <v>1824</v>
      </c>
      <c r="L565" s="17" t="n">
        <v>0</v>
      </c>
      <c r="M565" s="17" t="n">
        <f aca="false">IF($H565="","",$H565+$L565)</f>
        <v>1839</v>
      </c>
      <c r="N565" s="17" t="str">
        <f aca="false">IF($I565="","",$I565+$L565)</f>
        <v/>
      </c>
      <c r="O565" s="17" t="n">
        <f aca="false">IF($K565="","",$K565+$L565)</f>
        <v>1824</v>
      </c>
      <c r="P565" s="17" t="str">
        <f aca="false">IF($B$10=0,"",IFERROR(IF($B$4&gt;0,"휘발유 "&amp;TEXT(IF($M565="",1/0,$M565*$B$4),"#,##0")&amp;"원","")&amp;IF($B$5&gt;0,IF($B$4&gt;0," / ","")&amp;"고급유 "&amp;TEXT(IF($N565="",1/0,$N565*$B$5),"#,##0")&amp;"원","")&amp;IF($B$6&gt;0,IF(OR($B$4&gt;0,$B$5&gt;0)," / ","")&amp;"경유 "&amp;TEXT(IF($O565="",1/0,$O565*$B$6),"#,##0")&amp;"원",""),""))</f>
        <v/>
      </c>
      <c r="Q565" s="17" t="str">
        <f aca="false">IF($B$10=0,"",IFERROR(IF($B$4&gt;0,IF($M565="",1/0,$M565*$B$4),0)+IF($B$5&gt;0,IF($N565="",1/0,$N565*$B$5),0)+IF($B$6&gt;0,IF($O565="",1/0,$O565*$B$6),0),""))</f>
        <v/>
      </c>
      <c r="R565" s="17"/>
      <c r="S565" s="18" t="str">
        <f aca="false">IF($Q565="","",IF($R565="Y",IFERROR(VLOOKUP($B565,$C$4:$D$13,2,FALSE()),0),0))</f>
        <v/>
      </c>
      <c r="T565" s="17" t="str">
        <f aca="false">IF($Q565="","",ROUNDDOWN($Q565*$S565,0))</f>
        <v/>
      </c>
      <c r="U565" s="17" t="str">
        <f aca="false">IF($Q565="","",$Q565-$T565)</f>
        <v/>
      </c>
      <c r="V565" s="17" t="str">
        <f aca="false">IF($U565="","",IF($B$10=0,"",$U565/$B$10))</f>
        <v/>
      </c>
      <c r="W565" s="17" t="str">
        <f aca="false">IF($Q565="","",IF($B$10=0,"",$Q565/$B$10))</f>
        <v/>
      </c>
      <c r="X565" s="19" t="n">
        <f aca="false">IF($U565="",1000000000000000,$U565)</f>
        <v>1000000000000000</v>
      </c>
      <c r="XFC565" s="6"/>
    </row>
    <row r="566" s="5" customFormat="true" ht="28.5" hidden="false" customHeight="true" outlineLevel="0" collapsed="false">
      <c r="A566" s="16" t="str">
        <f aca="false">IF($U566="","",1+COUNTIF($X$15:$X$728,"&lt;"&amp;X566))</f>
        <v/>
      </c>
      <c r="B566" s="16" t="s">
        <v>12</v>
      </c>
      <c r="C566" s="16" t="s">
        <v>1684</v>
      </c>
      <c r="D566" s="20" t="s">
        <v>294</v>
      </c>
      <c r="E566" s="16" t="s">
        <v>59</v>
      </c>
      <c r="F566" s="16" t="s">
        <v>1685</v>
      </c>
      <c r="G566" s="16" t="s">
        <v>1686</v>
      </c>
      <c r="H566" s="17" t="n">
        <v>1839</v>
      </c>
      <c r="I566" s="17"/>
      <c r="J566" s="17"/>
      <c r="K566" s="17" t="n">
        <v>1883</v>
      </c>
      <c r="L566" s="17" t="n">
        <v>0</v>
      </c>
      <c r="M566" s="17" t="n">
        <f aca="false">IF($H566="","",$H566+$L566)</f>
        <v>1839</v>
      </c>
      <c r="N566" s="17" t="str">
        <f aca="false">IF($I566="","",$I566+$L566)</f>
        <v/>
      </c>
      <c r="O566" s="17" t="n">
        <f aca="false">IF($K566="","",$K566+$L566)</f>
        <v>1883</v>
      </c>
      <c r="P566" s="17" t="str">
        <f aca="false">IF($B$10=0,"",IFERROR(IF($B$4&gt;0,"휘발유 "&amp;TEXT(IF($M566="",1/0,$M566*$B$4),"#,##0")&amp;"원","")&amp;IF($B$5&gt;0,IF($B$4&gt;0," / ","")&amp;"고급유 "&amp;TEXT(IF($N566="",1/0,$N566*$B$5),"#,##0")&amp;"원","")&amp;IF($B$6&gt;0,IF(OR($B$4&gt;0,$B$5&gt;0)," / ","")&amp;"경유 "&amp;TEXT(IF($O566="",1/0,$O566*$B$6),"#,##0")&amp;"원",""),""))</f>
        <v/>
      </c>
      <c r="Q566" s="17" t="str">
        <f aca="false">IF($B$10=0,"",IFERROR(IF($B$4&gt;0,IF($M566="",1/0,$M566*$B$4),0)+IF($B$5&gt;0,IF($N566="",1/0,$N566*$B$5),0)+IF($B$6&gt;0,IF($O566="",1/0,$O566*$B$6),0),""))</f>
        <v/>
      </c>
      <c r="R566" s="17"/>
      <c r="S566" s="18" t="str">
        <f aca="false">IF($Q566="","",IF($R566="Y",IFERROR(VLOOKUP($B566,$C$4:$D$13,2,FALSE()),0),0))</f>
        <v/>
      </c>
      <c r="T566" s="17" t="str">
        <f aca="false">IF($Q566="","",ROUNDDOWN($Q566*$S566,0))</f>
        <v/>
      </c>
      <c r="U566" s="17" t="str">
        <f aca="false">IF($Q566="","",$Q566-$T566)</f>
        <v/>
      </c>
      <c r="V566" s="17" t="str">
        <f aca="false">IF($U566="","",IF($B$10=0,"",$U566/$B$10))</f>
        <v/>
      </c>
      <c r="W566" s="17" t="str">
        <f aca="false">IF($Q566="","",IF($B$10=0,"",$Q566/$B$10))</f>
        <v/>
      </c>
      <c r="X566" s="19" t="n">
        <f aca="false">IF($U566="",1000000000000000,$U566)</f>
        <v>1000000000000000</v>
      </c>
      <c r="XFC566" s="6"/>
    </row>
    <row r="567" s="5" customFormat="true" ht="28.5" hidden="false" customHeight="true" outlineLevel="0" collapsed="false">
      <c r="A567" s="16" t="str">
        <f aca="false">IF($U567="","",1+COUNTIF($X$15:$X$728,"&lt;"&amp;X567))</f>
        <v/>
      </c>
      <c r="B567" s="16" t="s">
        <v>12</v>
      </c>
      <c r="C567" s="16" t="s">
        <v>1687</v>
      </c>
      <c r="D567" s="20" t="s">
        <v>294</v>
      </c>
      <c r="E567" s="16" t="s">
        <v>59</v>
      </c>
      <c r="F567" s="16" t="s">
        <v>1688</v>
      </c>
      <c r="G567" s="16" t="s">
        <v>1689</v>
      </c>
      <c r="H567" s="17" t="n">
        <v>1839</v>
      </c>
      <c r="I567" s="17"/>
      <c r="J567" s="17"/>
      <c r="K567" s="17" t="n">
        <v>1824</v>
      </c>
      <c r="L567" s="17" t="n">
        <v>0</v>
      </c>
      <c r="M567" s="17" t="n">
        <f aca="false">IF($H567="","",$H567+$L567)</f>
        <v>1839</v>
      </c>
      <c r="N567" s="17" t="str">
        <f aca="false">IF($I567="","",$I567+$L567)</f>
        <v/>
      </c>
      <c r="O567" s="17" t="n">
        <f aca="false">IF($K567="","",$K567+$L567)</f>
        <v>1824</v>
      </c>
      <c r="P567" s="17" t="str">
        <f aca="false">IF($B$10=0,"",IFERROR(IF($B$4&gt;0,"휘발유 "&amp;TEXT(IF($M567="",1/0,$M567*$B$4),"#,##0")&amp;"원","")&amp;IF($B$5&gt;0,IF($B$4&gt;0," / ","")&amp;"고급유 "&amp;TEXT(IF($N567="",1/0,$N567*$B$5),"#,##0")&amp;"원","")&amp;IF($B$6&gt;0,IF(OR($B$4&gt;0,$B$5&gt;0)," / ","")&amp;"경유 "&amp;TEXT(IF($O567="",1/0,$O567*$B$6),"#,##0")&amp;"원",""),""))</f>
        <v/>
      </c>
      <c r="Q567" s="17" t="str">
        <f aca="false">IF($B$10=0,"",IFERROR(IF($B$4&gt;0,IF($M567="",1/0,$M567*$B$4),0)+IF($B$5&gt;0,IF($N567="",1/0,$N567*$B$5),0)+IF($B$6&gt;0,IF($O567="",1/0,$O567*$B$6),0),""))</f>
        <v/>
      </c>
      <c r="R567" s="17"/>
      <c r="S567" s="18" t="str">
        <f aca="false">IF($Q567="","",IF($R567="Y",IFERROR(VLOOKUP($B567,$C$4:$D$13,2,FALSE()),0),0))</f>
        <v/>
      </c>
      <c r="T567" s="17" t="str">
        <f aca="false">IF($Q567="","",ROUNDDOWN($Q567*$S567,0))</f>
        <v/>
      </c>
      <c r="U567" s="17" t="str">
        <f aca="false">IF($Q567="","",$Q567-$T567)</f>
        <v/>
      </c>
      <c r="V567" s="17" t="str">
        <f aca="false">IF($U567="","",IF($B$10=0,"",$U567/$B$10))</f>
        <v/>
      </c>
      <c r="W567" s="17" t="str">
        <f aca="false">IF($Q567="","",IF($B$10=0,"",$Q567/$B$10))</f>
        <v/>
      </c>
      <c r="X567" s="19" t="n">
        <f aca="false">IF($U567="",1000000000000000,$U567)</f>
        <v>1000000000000000</v>
      </c>
      <c r="XFC567" s="6"/>
    </row>
    <row r="568" s="5" customFormat="true" ht="28.5" hidden="false" customHeight="true" outlineLevel="0" collapsed="false">
      <c r="A568" s="16" t="str">
        <f aca="false">IF($U568="","",1+COUNTIF($X$15:$X$728,"&lt;"&amp;X568))</f>
        <v/>
      </c>
      <c r="B568" s="16" t="s">
        <v>10</v>
      </c>
      <c r="C568" s="16" t="s">
        <v>1690</v>
      </c>
      <c r="D568" s="20" t="s">
        <v>108</v>
      </c>
      <c r="E568" s="16" t="s">
        <v>59</v>
      </c>
      <c r="F568" s="16" t="s">
        <v>1691</v>
      </c>
      <c r="G568" s="16" t="s">
        <v>1692</v>
      </c>
      <c r="H568" s="17" t="n">
        <v>1839</v>
      </c>
      <c r="I568" s="17"/>
      <c r="J568" s="17"/>
      <c r="K568" s="17" t="n">
        <v>1798</v>
      </c>
      <c r="L568" s="17" t="n">
        <f aca="false">IF(AND(IFERROR(SEARCH("현대오일뱅크",$C568),0)&gt;0,IFERROR(SEARCH("직영",$C568),0)&gt;0),$B$13,0)</f>
        <v>0</v>
      </c>
      <c r="M568" s="17" t="n">
        <f aca="false">IF($H568="","",$H568+$L568)</f>
        <v>1839</v>
      </c>
      <c r="N568" s="17" t="str">
        <f aca="false">IF($I568="","",$I568+$L568)</f>
        <v/>
      </c>
      <c r="O568" s="17" t="n">
        <f aca="false">IF($K568="","",$K568+$L568)</f>
        <v>1798</v>
      </c>
      <c r="P568" s="17" t="str">
        <f aca="false">IF($B$10=0,"",IFERROR(IF($B$4&gt;0,"휘발유 "&amp;TEXT(IF($M568="",1/0,$M568*$B$4),"#,##0")&amp;"원","")&amp;IF($B$5&gt;0,IF($B$4&gt;0," / ","")&amp;"고급유 "&amp;TEXT(IF($N568="",1/0,$N568*$B$5),"#,##0")&amp;"원","")&amp;IF($B$6&gt;0,IF(OR($B$4&gt;0,$B$5&gt;0)," / ","")&amp;"경유 "&amp;TEXT(IF($O568="",1/0,$O568*$B$6),"#,##0")&amp;"원",""),""))</f>
        <v/>
      </c>
      <c r="Q568" s="17" t="str">
        <f aca="false">IF($B$10=0,"",IFERROR(IF($B$4&gt;0,IF($M568="",1/0,$M568*$B$4),0)+IF($B$5&gt;0,IF($N568="",1/0,$N568*$B$5),0)+IF($B$6&gt;0,IF($O568="",1/0,$O568*$B$6),0),""))</f>
        <v/>
      </c>
      <c r="R568" s="17"/>
      <c r="S568" s="18" t="str">
        <f aca="false">IF($Q568="","",IF($R568="Y",IFERROR(VLOOKUP($B568,$C$4:$D$13,2,FALSE()),0),0))</f>
        <v/>
      </c>
      <c r="T568" s="17" t="str">
        <f aca="false">IF($Q568="","",ROUNDDOWN($Q568*$S568,0))</f>
        <v/>
      </c>
      <c r="U568" s="17" t="str">
        <f aca="false">IF($Q568="","",$Q568-$T568)</f>
        <v/>
      </c>
      <c r="V568" s="17" t="str">
        <f aca="false">IF($U568="","",IF($B$10=0,"",$U568/$B$10))</f>
        <v/>
      </c>
      <c r="W568" s="17" t="str">
        <f aca="false">IF($Q568="","",IF($B$10=0,"",$Q568/$B$10))</f>
        <v/>
      </c>
      <c r="X568" s="19" t="n">
        <f aca="false">IF($U568="",1000000000000000,$U568)</f>
        <v>1000000000000000</v>
      </c>
      <c r="XFC568" s="6"/>
    </row>
    <row r="569" s="5" customFormat="true" ht="28.5" hidden="false" customHeight="true" outlineLevel="0" collapsed="false">
      <c r="A569" s="16" t="str">
        <f aca="false">IF($U569="","",1+COUNTIF($X$15:$X$728,"&lt;"&amp;X569))</f>
        <v/>
      </c>
      <c r="B569" s="16" t="s">
        <v>18</v>
      </c>
      <c r="C569" s="16" t="s">
        <v>1693</v>
      </c>
      <c r="D569" s="16" t="s">
        <v>400</v>
      </c>
      <c r="E569" s="16" t="s">
        <v>47</v>
      </c>
      <c r="F569" s="16" t="s">
        <v>1694</v>
      </c>
      <c r="G569" s="16" t="s">
        <v>1695</v>
      </c>
      <c r="H569" s="17" t="n">
        <v>1844</v>
      </c>
      <c r="I569" s="17"/>
      <c r="J569" s="17"/>
      <c r="K569" s="17" t="n">
        <v>1844</v>
      </c>
      <c r="L569" s="17" t="n">
        <f aca="false">IF(AND(IFERROR(SEARCH("현대오일뱅크",$C569),0)&gt;0,IFERROR(SEARCH("직영",$C569),0)&gt;0),$B$13,0)</f>
        <v>0</v>
      </c>
      <c r="M569" s="17" t="n">
        <f aca="false">IF($H569="","",$H569+$L569)</f>
        <v>1844</v>
      </c>
      <c r="N569" s="17" t="str">
        <f aca="false">IF($I569="","",$I569+$L569)</f>
        <v/>
      </c>
      <c r="O569" s="17" t="n">
        <f aca="false">IF($K569="","",$K569+$L569)</f>
        <v>1844</v>
      </c>
      <c r="P569" s="17" t="str">
        <f aca="false">IF($B$10=0,"",IFERROR(IF($B$4&gt;0,"휘발유 "&amp;TEXT(IF($M569="",1/0,$M569*$B$4),"#,##0")&amp;"원","")&amp;IF($B$5&gt;0,IF($B$4&gt;0," / ","")&amp;"고급유 "&amp;TEXT(IF($N569="",1/0,$N569*$B$5),"#,##0")&amp;"원","")&amp;IF($B$6&gt;0,IF(OR($B$4&gt;0,$B$5&gt;0)," / ","")&amp;"경유 "&amp;TEXT(IF($O569="",1/0,$O569*$B$6),"#,##0")&amp;"원",""),""))</f>
        <v/>
      </c>
      <c r="Q569" s="17" t="str">
        <f aca="false">IF($B$10=0,"",IFERROR(IF($B$4&gt;0,IF($M569="",1/0,$M569*$B$4),0)+IF($B$5&gt;0,IF($N569="",1/0,$N569*$B$5),0)+IF($B$6&gt;0,IF($O569="",1/0,$O569*$B$6),0),""))</f>
        <v/>
      </c>
      <c r="R569" s="17"/>
      <c r="S569" s="18" t="str">
        <f aca="false">IF($Q569="","",IF($R569="Y",IFERROR(VLOOKUP($B569,$C$4:$D$13,2,FALSE()),0),0))</f>
        <v/>
      </c>
      <c r="T569" s="17" t="str">
        <f aca="false">IF($Q569="","",ROUNDDOWN($Q569*$S569,0))</f>
        <v/>
      </c>
      <c r="U569" s="17" t="str">
        <f aca="false">IF($Q569="","",$Q569-$T569)</f>
        <v/>
      </c>
      <c r="V569" s="17" t="str">
        <f aca="false">IF($U569="","",IF($B$10=0,"",$U569/$B$10))</f>
        <v/>
      </c>
      <c r="W569" s="17" t="str">
        <f aca="false">IF($Q569="","",IF($B$10=0,"",$Q569/$B$10))</f>
        <v/>
      </c>
      <c r="X569" s="19" t="n">
        <f aca="false">IF($U569="",1000000000000000,$U569)</f>
        <v>1000000000000000</v>
      </c>
      <c r="XFC569" s="6"/>
    </row>
    <row r="570" s="22" customFormat="true" ht="28.5" hidden="false" customHeight="true" outlineLevel="0" collapsed="false">
      <c r="A570" s="16" t="str">
        <f aca="false">IF($U570="","",1+COUNTIF($X$15:$X$728,"&lt;"&amp;X570))</f>
        <v/>
      </c>
      <c r="B570" s="16" t="s">
        <v>18</v>
      </c>
      <c r="C570" s="16" t="s">
        <v>1696</v>
      </c>
      <c r="D570" s="16" t="s">
        <v>400</v>
      </c>
      <c r="E570" s="16" t="s">
        <v>47</v>
      </c>
      <c r="F570" s="16" t="s">
        <v>1697</v>
      </c>
      <c r="G570" s="16" t="s">
        <v>1698</v>
      </c>
      <c r="H570" s="17" t="n">
        <v>1844</v>
      </c>
      <c r="I570" s="17"/>
      <c r="J570" s="17"/>
      <c r="K570" s="17" t="n">
        <v>1844</v>
      </c>
      <c r="L570" s="17" t="n">
        <f aca="false">IF(AND(IFERROR(SEARCH("현대오일뱅크",$C570),0)&gt;0,IFERROR(SEARCH("직영",$C570),0)&gt;0),$B$13,0)</f>
        <v>0</v>
      </c>
      <c r="M570" s="17" t="n">
        <f aca="false">IF($H570="","",$H570+$L570)</f>
        <v>1844</v>
      </c>
      <c r="N570" s="17" t="str">
        <f aca="false">IF($I570="","",$I570+$L570)</f>
        <v/>
      </c>
      <c r="O570" s="17" t="n">
        <f aca="false">IF($K570="","",$K570+$L570)</f>
        <v>1844</v>
      </c>
      <c r="P570" s="17" t="str">
        <f aca="false">IF($B$10=0,"",IFERROR(IF($B$4&gt;0,"휘발유 "&amp;TEXT(IF($M570="",1/0,$M570*$B$4),"#,##0")&amp;"원","")&amp;IF($B$5&gt;0,IF($B$4&gt;0," / ","")&amp;"고급유 "&amp;TEXT(IF($N570="",1/0,$N570*$B$5),"#,##0")&amp;"원","")&amp;IF($B$6&gt;0,IF(OR($B$4&gt;0,$B$5&gt;0)," / ","")&amp;"경유 "&amp;TEXT(IF($O570="",1/0,$O570*$B$6),"#,##0")&amp;"원",""),""))</f>
        <v/>
      </c>
      <c r="Q570" s="17" t="str">
        <f aca="false">IF($B$10=0,"",IFERROR(IF($B$4&gt;0,IF($M570="",1/0,$M570*$B$4),0)+IF($B$5&gt;0,IF($N570="",1/0,$N570*$B$5),0)+IF($B$6&gt;0,IF($O570="",1/0,$O570*$B$6),0),""))</f>
        <v/>
      </c>
      <c r="R570" s="17"/>
      <c r="S570" s="18" t="str">
        <f aca="false">IF($Q570="","",IF($R570="Y",IFERROR(VLOOKUP($B570,$C$4:$D$13,2,FALSE()),0),0))</f>
        <v/>
      </c>
      <c r="T570" s="17" t="str">
        <f aca="false">IF($Q570="","",ROUNDDOWN($Q570*$S570,0))</f>
        <v/>
      </c>
      <c r="U570" s="17" t="str">
        <f aca="false">IF($Q570="","",$Q570-$T570)</f>
        <v/>
      </c>
      <c r="V570" s="17" t="str">
        <f aca="false">IF($U570="","",IF($B$10=0,"",$U570/$B$10))</f>
        <v/>
      </c>
      <c r="W570" s="17" t="str">
        <f aca="false">IF($Q570="","",IF($B$10=0,"",$Q570/$B$10))</f>
        <v/>
      </c>
      <c r="X570" s="19" t="n">
        <f aca="false">IF($U570="",1000000000000000,$U570)</f>
        <v>1000000000000000</v>
      </c>
      <c r="XFC570" s="6"/>
    </row>
    <row r="571" s="22" customFormat="true" ht="28.5" hidden="false" customHeight="true" outlineLevel="0" collapsed="false">
      <c r="A571" s="16" t="str">
        <f aca="false">IF($U571="","",1+COUNTIF($X$15:$X$728,"&lt;"&amp;X571))</f>
        <v/>
      </c>
      <c r="B571" s="16" t="s">
        <v>10</v>
      </c>
      <c r="C571" s="16" t="s">
        <v>1699</v>
      </c>
      <c r="D571" s="16" t="s">
        <v>46</v>
      </c>
      <c r="E571" s="16" t="s">
        <v>59</v>
      </c>
      <c r="F571" s="16" t="s">
        <v>1700</v>
      </c>
      <c r="G571" s="16" t="s">
        <v>1701</v>
      </c>
      <c r="H571" s="17" t="n">
        <v>1845</v>
      </c>
      <c r="I571" s="17"/>
      <c r="J571" s="17"/>
      <c r="K571" s="17" t="n">
        <v>1895</v>
      </c>
      <c r="L571" s="17" t="n">
        <f aca="false">IF(AND(IFERROR(SEARCH("현대오일뱅크",$C571),0)&gt;0,IFERROR(SEARCH("직영",$C571),0)&gt;0),$B$13,0)</f>
        <v>0</v>
      </c>
      <c r="M571" s="17" t="n">
        <f aca="false">IF($H571="","",$H571+$L571)</f>
        <v>1845</v>
      </c>
      <c r="N571" s="17" t="str">
        <f aca="false">IF($I571="","",$I571+$L571)</f>
        <v/>
      </c>
      <c r="O571" s="17" t="n">
        <f aca="false">IF($K571="","",$K571+$L571)</f>
        <v>1895</v>
      </c>
      <c r="P571" s="17" t="str">
        <f aca="false">IF($B$10=0,"",IFERROR(IF($B$4&gt;0,"휘발유 "&amp;TEXT(IF($M571="",1/0,$M571*$B$4),"#,##0")&amp;"원","")&amp;IF($B$5&gt;0,IF($B$4&gt;0," / ","")&amp;"고급유 "&amp;TEXT(IF($N571="",1/0,$N571*$B$5),"#,##0")&amp;"원","")&amp;IF($B$6&gt;0,IF(OR($B$4&gt;0,$B$5&gt;0)," / ","")&amp;"경유 "&amp;TEXT(IF($O571="",1/0,$O571*$B$6),"#,##0")&amp;"원",""),""))</f>
        <v/>
      </c>
      <c r="Q571" s="17" t="str">
        <f aca="false">IF($B$10=0,"",IFERROR(IF($B$4&gt;0,IF($M571="",1/0,$M571*$B$4),0)+IF($B$5&gt;0,IF($N571="",1/0,$N571*$B$5),0)+IF($B$6&gt;0,IF($O571="",1/0,$O571*$B$6),0),""))</f>
        <v/>
      </c>
      <c r="R571" s="17"/>
      <c r="S571" s="18" t="str">
        <f aca="false">IF($Q571="","",IF($R571="Y",IFERROR(VLOOKUP($B571,$C$4:$D$13,2,FALSE()),0),0))</f>
        <v/>
      </c>
      <c r="T571" s="17" t="str">
        <f aca="false">IF($Q571="","",ROUNDDOWN($Q571*$S571,0))</f>
        <v/>
      </c>
      <c r="U571" s="17" t="str">
        <f aca="false">IF($Q571="","",$Q571-$T571)</f>
        <v/>
      </c>
      <c r="V571" s="17" t="str">
        <f aca="false">IF($U571="","",IF($B$10=0,"",$U571/$B$10))</f>
        <v/>
      </c>
      <c r="W571" s="17" t="str">
        <f aca="false">IF($Q571="","",IF($B$10=0,"",$Q571/$B$10))</f>
        <v/>
      </c>
      <c r="X571" s="19" t="n">
        <f aca="false">IF($U571="",1000000000000000,$U571)</f>
        <v>1000000000000000</v>
      </c>
      <c r="XFC571" s="6"/>
    </row>
    <row r="572" s="22" customFormat="true" ht="28.5" hidden="false" customHeight="true" outlineLevel="0" collapsed="false">
      <c r="A572" s="16" t="str">
        <f aca="false">IF($U572="","",1+COUNTIF($X$15:$X$728,"&lt;"&amp;X572))</f>
        <v/>
      </c>
      <c r="B572" s="16" t="s">
        <v>10</v>
      </c>
      <c r="C572" s="16" t="s">
        <v>1702</v>
      </c>
      <c r="D572" s="16" t="s">
        <v>51</v>
      </c>
      <c r="E572" s="16" t="s">
        <v>47</v>
      </c>
      <c r="F572" s="16" t="s">
        <v>1703</v>
      </c>
      <c r="G572" s="16" t="s">
        <v>1704</v>
      </c>
      <c r="H572" s="17" t="n">
        <v>1845</v>
      </c>
      <c r="I572" s="17"/>
      <c r="J572" s="17"/>
      <c r="K572" s="17" t="n">
        <v>1890</v>
      </c>
      <c r="L572" s="17" t="n">
        <f aca="false">IF(AND(IFERROR(SEARCH("현대오일뱅크",$C572),0)&gt;0,IFERROR(SEARCH("직영",$C572),0)&gt;0),$B$13,0)</f>
        <v>0</v>
      </c>
      <c r="M572" s="17" t="n">
        <f aca="false">IF($H572="","",$H572+$L572)</f>
        <v>1845</v>
      </c>
      <c r="N572" s="17" t="str">
        <f aca="false">IF($I572="","",$I572+$L572)</f>
        <v/>
      </c>
      <c r="O572" s="17" t="n">
        <f aca="false">IF($K572="","",$K572+$L572)</f>
        <v>1890</v>
      </c>
      <c r="P572" s="17" t="str">
        <f aca="false">IF($B$10=0,"",IFERROR(IF($B$4&gt;0,"휘발유 "&amp;TEXT(IF($M572="",1/0,$M572*$B$4),"#,##0")&amp;"원","")&amp;IF($B$5&gt;0,IF($B$4&gt;0," / ","")&amp;"고급유 "&amp;TEXT(IF($N572="",1/0,$N572*$B$5),"#,##0")&amp;"원","")&amp;IF($B$6&gt;0,IF(OR($B$4&gt;0,$B$5&gt;0)," / ","")&amp;"경유 "&amp;TEXT(IF($O572="",1/0,$O572*$B$6),"#,##0")&amp;"원",""),""))</f>
        <v/>
      </c>
      <c r="Q572" s="17" t="str">
        <f aca="false">IF($B$10=0,"",IFERROR(IF($B$4&gt;0,IF($M572="",1/0,$M572*$B$4),0)+IF($B$5&gt;0,IF($N572="",1/0,$N572*$B$5),0)+IF($B$6&gt;0,IF($O572="",1/0,$O572*$B$6),0),""))</f>
        <v/>
      </c>
      <c r="R572" s="17"/>
      <c r="S572" s="18" t="str">
        <f aca="false">IF($Q572="","",IF($R572="Y",IFERROR(VLOOKUP($B572,$C$4:$D$13,2,FALSE()),0),0))</f>
        <v/>
      </c>
      <c r="T572" s="17" t="str">
        <f aca="false">IF($Q572="","",ROUNDDOWN($Q572*$S572,0))</f>
        <v/>
      </c>
      <c r="U572" s="17" t="str">
        <f aca="false">IF($Q572="","",$Q572-$T572)</f>
        <v/>
      </c>
      <c r="V572" s="17" t="str">
        <f aca="false">IF($U572="","",IF($B$10=0,"",$U572/$B$10))</f>
        <v/>
      </c>
      <c r="W572" s="17" t="str">
        <f aca="false">IF($Q572="","",IF($B$10=0,"",$Q572/$B$10))</f>
        <v/>
      </c>
      <c r="X572" s="19" t="n">
        <f aca="false">IF($U572="",1000000000000000,$U572)</f>
        <v>1000000000000000</v>
      </c>
      <c r="XFC572" s="6"/>
    </row>
    <row r="573" s="22" customFormat="true" ht="28.5" hidden="false" customHeight="true" outlineLevel="0" collapsed="false">
      <c r="A573" s="16" t="str">
        <f aca="false">IF($U573="","",1+COUNTIF($X$15:$X$728,"&lt;"&amp;X573))</f>
        <v/>
      </c>
      <c r="B573" s="16" t="s">
        <v>10</v>
      </c>
      <c r="C573" s="16" t="s">
        <v>1705</v>
      </c>
      <c r="D573" s="16" t="s">
        <v>46</v>
      </c>
      <c r="E573" s="16" t="s">
        <v>59</v>
      </c>
      <c r="F573" s="16" t="s">
        <v>1706</v>
      </c>
      <c r="G573" s="16" t="s">
        <v>1707</v>
      </c>
      <c r="H573" s="17" t="n">
        <v>1847</v>
      </c>
      <c r="I573" s="17"/>
      <c r="J573" s="17"/>
      <c r="K573" s="17" t="n">
        <v>1899</v>
      </c>
      <c r="L573" s="17" t="n">
        <f aca="false">IF(AND(IFERROR(SEARCH("현대오일뱅크",$C573),0)&gt;0,IFERROR(SEARCH("직영",$C573),0)&gt;0),$B$13,0)</f>
        <v>0</v>
      </c>
      <c r="M573" s="17" t="n">
        <f aca="false">IF($H573="","",$H573+$L573)</f>
        <v>1847</v>
      </c>
      <c r="N573" s="17" t="str">
        <f aca="false">IF($I573="","",$I573+$L573)</f>
        <v/>
      </c>
      <c r="O573" s="17" t="n">
        <f aca="false">IF($K573="","",$K573+$L573)</f>
        <v>1899</v>
      </c>
      <c r="P573" s="17" t="str">
        <f aca="false">IF($B$10=0,"",IFERROR(IF($B$4&gt;0,"휘발유 "&amp;TEXT(IF($M573="",1/0,$M573*$B$4),"#,##0")&amp;"원","")&amp;IF($B$5&gt;0,IF($B$4&gt;0," / ","")&amp;"고급유 "&amp;TEXT(IF($N573="",1/0,$N573*$B$5),"#,##0")&amp;"원","")&amp;IF($B$6&gt;0,IF(OR($B$4&gt;0,$B$5&gt;0)," / ","")&amp;"경유 "&amp;TEXT(IF($O573="",1/0,$O573*$B$6),"#,##0")&amp;"원",""),""))</f>
        <v/>
      </c>
      <c r="Q573" s="17" t="str">
        <f aca="false">IF($B$10=0,"",IFERROR(IF($B$4&gt;0,IF($M573="",1/0,$M573*$B$4),0)+IF($B$5&gt;0,IF($N573="",1/0,$N573*$B$5),0)+IF($B$6&gt;0,IF($O573="",1/0,$O573*$B$6),0),""))</f>
        <v/>
      </c>
      <c r="R573" s="17"/>
      <c r="S573" s="18" t="str">
        <f aca="false">IF($Q573="","",IF($R573="Y",IFERROR(VLOOKUP($B573,$C$4:$D$13,2,FALSE()),0),0))</f>
        <v/>
      </c>
      <c r="T573" s="17" t="str">
        <f aca="false">IF($Q573="","",ROUNDDOWN($Q573*$S573,0))</f>
        <v/>
      </c>
      <c r="U573" s="17" t="str">
        <f aca="false">IF($Q573="","",$Q573-$T573)</f>
        <v/>
      </c>
      <c r="V573" s="17" t="str">
        <f aca="false">IF($U573="","",IF($B$10=0,"",$U573/$B$10))</f>
        <v/>
      </c>
      <c r="W573" s="17" t="str">
        <f aca="false">IF($Q573="","",IF($B$10=0,"",$Q573/$B$10))</f>
        <v/>
      </c>
      <c r="X573" s="19" t="n">
        <f aca="false">IF($U573="",1000000000000000,$U573)</f>
        <v>1000000000000000</v>
      </c>
      <c r="XFC573" s="6"/>
    </row>
    <row r="574" s="22" customFormat="true" ht="28.5" hidden="false" customHeight="true" outlineLevel="0" collapsed="false">
      <c r="A574" s="16" t="str">
        <f aca="false">IF($U574="","",1+COUNTIF($X$15:$X$728,"&lt;"&amp;X574))</f>
        <v/>
      </c>
      <c r="B574" s="16" t="s">
        <v>10</v>
      </c>
      <c r="C574" s="16" t="s">
        <v>1708</v>
      </c>
      <c r="D574" s="16" t="s">
        <v>46</v>
      </c>
      <c r="E574" s="16" t="s">
        <v>47</v>
      </c>
      <c r="F574" s="16" t="s">
        <v>1709</v>
      </c>
      <c r="G574" s="16" t="s">
        <v>1710</v>
      </c>
      <c r="H574" s="17" t="n">
        <v>1849</v>
      </c>
      <c r="I574" s="17"/>
      <c r="J574" s="17"/>
      <c r="K574" s="17" t="n">
        <v>1869</v>
      </c>
      <c r="L574" s="17" t="n">
        <f aca="false">IF(AND(IFERROR(SEARCH("현대오일뱅크",$C574),0)&gt;0,IFERROR(SEARCH("직영",$C574),0)&gt;0),$B$13,0)</f>
        <v>0</v>
      </c>
      <c r="M574" s="17" t="n">
        <f aca="false">IF($H574="","",$H574+$L574)</f>
        <v>1849</v>
      </c>
      <c r="N574" s="17" t="str">
        <f aca="false">IF($I574="","",$I574+$L574)</f>
        <v/>
      </c>
      <c r="O574" s="17" t="n">
        <f aca="false">IF($K574="","",$K574+$L574)</f>
        <v>1869</v>
      </c>
      <c r="P574" s="17" t="str">
        <f aca="false">IF($B$10=0,"",IFERROR(IF($B$4&gt;0,"휘발유 "&amp;TEXT(IF($M574="",1/0,$M574*$B$4),"#,##0")&amp;"원","")&amp;IF($B$5&gt;0,IF($B$4&gt;0," / ","")&amp;"고급유 "&amp;TEXT(IF($N574="",1/0,$N574*$B$5),"#,##0")&amp;"원","")&amp;IF($B$6&gt;0,IF(OR($B$4&gt;0,$B$5&gt;0)," / ","")&amp;"경유 "&amp;TEXT(IF($O574="",1/0,$O574*$B$6),"#,##0")&amp;"원",""),""))</f>
        <v/>
      </c>
      <c r="Q574" s="17" t="str">
        <f aca="false">IF($B$10=0,"",IFERROR(IF($B$4&gt;0,IF($M574="",1/0,$M574*$B$4),0)+IF($B$5&gt;0,IF($N574="",1/0,$N574*$B$5),0)+IF($B$6&gt;0,IF($O574="",1/0,$O574*$B$6),0),""))</f>
        <v/>
      </c>
      <c r="R574" s="17"/>
      <c r="S574" s="18" t="str">
        <f aca="false">IF($Q574="","",IF($R574="Y",IFERROR(VLOOKUP($B574,$C$4:$D$13,2,FALSE()),0),0))</f>
        <v/>
      </c>
      <c r="T574" s="17" t="str">
        <f aca="false">IF($Q574="","",ROUNDDOWN($Q574*$S574,0))</f>
        <v/>
      </c>
      <c r="U574" s="17" t="str">
        <f aca="false">IF($Q574="","",$Q574-$T574)</f>
        <v/>
      </c>
      <c r="V574" s="17" t="str">
        <f aca="false">IF($U574="","",IF($B$10=0,"",$U574/$B$10))</f>
        <v/>
      </c>
      <c r="W574" s="17" t="str">
        <f aca="false">IF($Q574="","",IF($B$10=0,"",$Q574/$B$10))</f>
        <v/>
      </c>
      <c r="X574" s="19" t="n">
        <f aca="false">IF($U574="",1000000000000000,$U574)</f>
        <v>1000000000000000</v>
      </c>
      <c r="XFC574" s="6"/>
    </row>
    <row r="575" s="22" customFormat="true" ht="28.5" hidden="false" customHeight="true" outlineLevel="0" collapsed="false">
      <c r="A575" s="16" t="str">
        <f aca="false">IF($U575="","",1+COUNTIF($X$15:$X$728,"&lt;"&amp;X575))</f>
        <v/>
      </c>
      <c r="B575" s="16" t="s">
        <v>10</v>
      </c>
      <c r="C575" s="16" t="s">
        <v>1711</v>
      </c>
      <c r="D575" s="16" t="s">
        <v>708</v>
      </c>
      <c r="E575" s="16" t="s">
        <v>47</v>
      </c>
      <c r="F575" s="16" t="s">
        <v>1712</v>
      </c>
      <c r="G575" s="16" t="s">
        <v>1713</v>
      </c>
      <c r="H575" s="17" t="n">
        <v>1849</v>
      </c>
      <c r="I575" s="17"/>
      <c r="J575" s="17"/>
      <c r="K575" s="17" t="n">
        <v>1859</v>
      </c>
      <c r="L575" s="17" t="n">
        <f aca="false">IF(AND(IFERROR(SEARCH("현대오일뱅크",$C575),0)&gt;0,IFERROR(SEARCH("직영",$C575),0)&gt;0),$B$13,0)</f>
        <v>0</v>
      </c>
      <c r="M575" s="17" t="n">
        <f aca="false">IF($H575="","",$H575+$L575)</f>
        <v>1849</v>
      </c>
      <c r="N575" s="17" t="str">
        <f aca="false">IF($I575="","",$I575+$L575)</f>
        <v/>
      </c>
      <c r="O575" s="17" t="n">
        <f aca="false">IF($K575="","",$K575+$L575)</f>
        <v>1859</v>
      </c>
      <c r="P575" s="17" t="str">
        <f aca="false">IF($B$10=0,"",IFERROR(IF($B$4&gt;0,"휘발유 "&amp;TEXT(IF($M575="",1/0,$M575*$B$4),"#,##0")&amp;"원","")&amp;IF($B$5&gt;0,IF($B$4&gt;0," / ","")&amp;"고급유 "&amp;TEXT(IF($N575="",1/0,$N575*$B$5),"#,##0")&amp;"원","")&amp;IF($B$6&gt;0,IF(OR($B$4&gt;0,$B$5&gt;0)," / ","")&amp;"경유 "&amp;TEXT(IF($O575="",1/0,$O575*$B$6),"#,##0")&amp;"원",""),""))</f>
        <v/>
      </c>
      <c r="Q575" s="17" t="str">
        <f aca="false">IF($B$10=0,"",IFERROR(IF($B$4&gt;0,IF($M575="",1/0,$M575*$B$4),0)+IF($B$5&gt;0,IF($N575="",1/0,$N575*$B$5),0)+IF($B$6&gt;0,IF($O575="",1/0,$O575*$B$6),0),""))</f>
        <v/>
      </c>
      <c r="R575" s="17"/>
      <c r="S575" s="18" t="str">
        <f aca="false">IF($Q575="","",IF($R575="Y",IFERROR(VLOOKUP($B575,$C$4:$D$13,2,FALSE()),0),0))</f>
        <v/>
      </c>
      <c r="T575" s="17" t="str">
        <f aca="false">IF($Q575="","",ROUNDDOWN($Q575*$S575,0))</f>
        <v/>
      </c>
      <c r="U575" s="17" t="str">
        <f aca="false">IF($Q575="","",$Q575-$T575)</f>
        <v/>
      </c>
      <c r="V575" s="17" t="str">
        <f aca="false">IF($U575="","",IF($B$10=0,"",$U575/$B$10))</f>
        <v/>
      </c>
      <c r="W575" s="17" t="str">
        <f aca="false">IF($Q575="","",IF($B$10=0,"",$Q575/$B$10))</f>
        <v/>
      </c>
      <c r="X575" s="19" t="n">
        <f aca="false">IF($U575="",1000000000000000,$U575)</f>
        <v>1000000000000000</v>
      </c>
      <c r="XFC575" s="6"/>
    </row>
    <row r="576" s="22" customFormat="true" ht="28.5" hidden="false" customHeight="true" outlineLevel="0" collapsed="false">
      <c r="A576" s="16" t="str">
        <f aca="false">IF($U576="","",1+COUNTIF($X$15:$X$728,"&lt;"&amp;X576))</f>
        <v/>
      </c>
      <c r="B576" s="16" t="s">
        <v>6</v>
      </c>
      <c r="C576" s="16" t="s">
        <v>1714</v>
      </c>
      <c r="D576" s="16" t="s">
        <v>629</v>
      </c>
      <c r="E576" s="16" t="s">
        <v>47</v>
      </c>
      <c r="F576" s="16" t="s">
        <v>1715</v>
      </c>
      <c r="G576" s="16" t="s">
        <v>1716</v>
      </c>
      <c r="H576" s="17" t="n">
        <v>1849</v>
      </c>
      <c r="I576" s="17"/>
      <c r="J576" s="17"/>
      <c r="K576" s="17" t="n">
        <v>1849</v>
      </c>
      <c r="L576" s="17" t="n">
        <f aca="false">IF(AND(IFERROR(SEARCH("현대오일뱅크",$C576),0)&gt;0,IFERROR(SEARCH("직영",$C576),0)&gt;0),$B$13,0)</f>
        <v>0</v>
      </c>
      <c r="M576" s="17" t="n">
        <f aca="false">IF($H576="","",$H576+$L576)</f>
        <v>1849</v>
      </c>
      <c r="N576" s="17" t="str">
        <f aca="false">IF($I576="","",$I576+$L576)</f>
        <v/>
      </c>
      <c r="O576" s="17" t="n">
        <f aca="false">IF($K576="","",$K576+$L576)</f>
        <v>1849</v>
      </c>
      <c r="P576" s="17" t="str">
        <f aca="false">IF($B$10=0,"",IFERROR(IF($B$4&gt;0,"휘발유 "&amp;TEXT(IF($M576="",1/0,$M576*$B$4),"#,##0")&amp;"원","")&amp;IF($B$5&gt;0,IF($B$4&gt;0," / ","")&amp;"고급유 "&amp;TEXT(IF($N576="",1/0,$N576*$B$5),"#,##0")&amp;"원","")&amp;IF($B$6&gt;0,IF(OR($B$4&gt;0,$B$5&gt;0)," / ","")&amp;"경유 "&amp;TEXT(IF($O576="",1/0,$O576*$B$6),"#,##0")&amp;"원",""),""))</f>
        <v/>
      </c>
      <c r="Q576" s="17" t="str">
        <f aca="false">IF($B$10=0,"",IFERROR(IF($B$4&gt;0,IF($M576="",1/0,$M576*$B$4),0)+IF($B$5&gt;0,IF($N576="",1/0,$N576*$B$5),0)+IF($B$6&gt;0,IF($O576="",1/0,$O576*$B$6),0),""))</f>
        <v/>
      </c>
      <c r="R576" s="17"/>
      <c r="S576" s="18" t="str">
        <f aca="false">IF($Q576="","",IF($R576="Y",IFERROR(VLOOKUP($B576,$C$4:$D$13,2,FALSE()),0),0))</f>
        <v/>
      </c>
      <c r="T576" s="17" t="str">
        <f aca="false">IF($Q576="","",ROUNDDOWN($Q576*$S576,0))</f>
        <v/>
      </c>
      <c r="U576" s="17" t="str">
        <f aca="false">IF($Q576="","",$Q576-$T576)</f>
        <v/>
      </c>
      <c r="V576" s="17" t="str">
        <f aca="false">IF($U576="","",IF($B$10=0,"",$U576/$B$10))</f>
        <v/>
      </c>
      <c r="W576" s="17" t="str">
        <f aca="false">IF($Q576="","",IF($B$10=0,"",$Q576/$B$10))</f>
        <v/>
      </c>
      <c r="X576" s="19" t="n">
        <f aca="false">IF($U576="",1000000000000000,$U576)</f>
        <v>1000000000000000</v>
      </c>
      <c r="XFC576" s="6"/>
    </row>
    <row r="577" s="22" customFormat="true" ht="28.5" hidden="false" customHeight="true" outlineLevel="0" collapsed="false">
      <c r="A577" s="16" t="str">
        <f aca="false">IF($U577="","",1+COUNTIF($X$15:$X$728,"&lt;"&amp;X577))</f>
        <v/>
      </c>
      <c r="B577" s="16" t="s">
        <v>10</v>
      </c>
      <c r="C577" s="16" t="s">
        <v>1717</v>
      </c>
      <c r="D577" s="16" t="s">
        <v>46</v>
      </c>
      <c r="E577" s="16" t="s">
        <v>47</v>
      </c>
      <c r="F577" s="16" t="s">
        <v>1718</v>
      </c>
      <c r="G577" s="16" t="s">
        <v>1719</v>
      </c>
      <c r="H577" s="17" t="n">
        <v>1849</v>
      </c>
      <c r="I577" s="17"/>
      <c r="J577" s="17"/>
      <c r="K577" s="17" t="n">
        <v>1879</v>
      </c>
      <c r="L577" s="17" t="n">
        <f aca="false">IF(AND(IFERROR(SEARCH("현대오일뱅크",$C577),0)&gt;0,IFERROR(SEARCH("직영",$C577),0)&gt;0),$B$13,0)</f>
        <v>0</v>
      </c>
      <c r="M577" s="17" t="n">
        <f aca="false">IF($H577="","",$H577+$L577)</f>
        <v>1849</v>
      </c>
      <c r="N577" s="17" t="str">
        <f aca="false">IF($I577="","",$I577+$L577)</f>
        <v/>
      </c>
      <c r="O577" s="17" t="n">
        <f aca="false">IF($K577="","",$K577+$L577)</f>
        <v>1879</v>
      </c>
      <c r="P577" s="17" t="str">
        <f aca="false">IF($B$10=0,"",IFERROR(IF($B$4&gt;0,"휘발유 "&amp;TEXT(IF($M577="",1/0,$M577*$B$4),"#,##0")&amp;"원","")&amp;IF($B$5&gt;0,IF($B$4&gt;0," / ","")&amp;"고급유 "&amp;TEXT(IF($N577="",1/0,$N577*$B$5),"#,##0")&amp;"원","")&amp;IF($B$6&gt;0,IF(OR($B$4&gt;0,$B$5&gt;0)," / ","")&amp;"경유 "&amp;TEXT(IF($O577="",1/0,$O577*$B$6),"#,##0")&amp;"원",""),""))</f>
        <v/>
      </c>
      <c r="Q577" s="17" t="str">
        <f aca="false">IF($B$10=0,"",IFERROR(IF($B$4&gt;0,IF($M577="",1/0,$M577*$B$4),0)+IF($B$5&gt;0,IF($N577="",1/0,$N577*$B$5),0)+IF($B$6&gt;0,IF($O577="",1/0,$O577*$B$6),0),""))</f>
        <v/>
      </c>
      <c r="R577" s="17"/>
      <c r="S577" s="18" t="str">
        <f aca="false">IF($Q577="","",IF($R577="Y",IFERROR(VLOOKUP($B577,$C$4:$D$13,2,FALSE()),0),0))</f>
        <v/>
      </c>
      <c r="T577" s="17" t="str">
        <f aca="false">IF($Q577="","",ROUNDDOWN($Q577*$S577,0))</f>
        <v/>
      </c>
      <c r="U577" s="17" t="str">
        <f aca="false">IF($Q577="","",$Q577-$T577)</f>
        <v/>
      </c>
      <c r="V577" s="17" t="str">
        <f aca="false">IF($U577="","",IF($B$10=0,"",$U577/$B$10))</f>
        <v/>
      </c>
      <c r="W577" s="17" t="str">
        <f aca="false">IF($Q577="","",IF($B$10=0,"",$Q577/$B$10))</f>
        <v/>
      </c>
      <c r="X577" s="19" t="n">
        <f aca="false">IF($U577="",1000000000000000,$U577)</f>
        <v>1000000000000000</v>
      </c>
      <c r="XFC577" s="6"/>
    </row>
    <row r="578" s="22" customFormat="true" ht="28.5" hidden="false" customHeight="true" outlineLevel="0" collapsed="false">
      <c r="A578" s="16" t="str">
        <f aca="false">IF($U578="","",1+COUNTIF($X$15:$X$728,"&lt;"&amp;X578))</f>
        <v/>
      </c>
      <c r="B578" s="16" t="s">
        <v>12</v>
      </c>
      <c r="C578" s="16" t="s">
        <v>1720</v>
      </c>
      <c r="D578" s="20" t="s">
        <v>112</v>
      </c>
      <c r="E578" s="16" t="s">
        <v>47</v>
      </c>
      <c r="F578" s="16" t="s">
        <v>1721</v>
      </c>
      <c r="G578" s="16" t="s">
        <v>1722</v>
      </c>
      <c r="H578" s="17" t="n">
        <v>1849</v>
      </c>
      <c r="I578" s="17"/>
      <c r="J578" s="17"/>
      <c r="K578" s="17" t="n">
        <v>1849</v>
      </c>
      <c r="L578" s="17" t="n">
        <f aca="false">IF(AND(IFERROR(SEARCH("현대오일뱅크",$C578),0)&gt;0,IFERROR(SEARCH("직영",$C578),0)&gt;0),$B$13,0)</f>
        <v>0</v>
      </c>
      <c r="M578" s="17" t="n">
        <f aca="false">IF($H578="","",$H578+$L578)</f>
        <v>1849</v>
      </c>
      <c r="N578" s="17" t="str">
        <f aca="false">IF($I578="","",$I578+$L578)</f>
        <v/>
      </c>
      <c r="O578" s="17" t="n">
        <f aca="false">IF($K578="","",$K578+$L578)</f>
        <v>1849</v>
      </c>
      <c r="P578" s="17" t="str">
        <f aca="false">IF($B$10=0,"",IFERROR(IF($B$4&gt;0,"휘발유 "&amp;TEXT(IF($M578="",1/0,$M578*$B$4),"#,##0")&amp;"원","")&amp;IF($B$5&gt;0,IF($B$4&gt;0," / ","")&amp;"고급유 "&amp;TEXT(IF($N578="",1/0,$N578*$B$5),"#,##0")&amp;"원","")&amp;IF($B$6&gt;0,IF(OR($B$4&gt;0,$B$5&gt;0)," / ","")&amp;"경유 "&amp;TEXT(IF($O578="",1/0,$O578*$B$6),"#,##0")&amp;"원",""),""))</f>
        <v/>
      </c>
      <c r="Q578" s="17" t="str">
        <f aca="false">IF($B$10=0,"",IFERROR(IF($B$4&gt;0,IF($M578="",1/0,$M578*$B$4),0)+IF($B$5&gt;0,IF($N578="",1/0,$N578*$B$5),0)+IF($B$6&gt;0,IF($O578="",1/0,$O578*$B$6),0),""))</f>
        <v/>
      </c>
      <c r="R578" s="17"/>
      <c r="S578" s="18" t="str">
        <f aca="false">IF($Q578="","",IF($R578="Y",IFERROR(VLOOKUP($B578,$C$4:$D$13,2,FALSE()),0),0))</f>
        <v/>
      </c>
      <c r="T578" s="17" t="str">
        <f aca="false">IF($Q578="","",ROUNDDOWN($Q578*$S578,0))</f>
        <v/>
      </c>
      <c r="U578" s="17" t="str">
        <f aca="false">IF($Q578="","",$Q578-$T578)</f>
        <v/>
      </c>
      <c r="V578" s="17" t="str">
        <f aca="false">IF($U578="","",IF($B$10=0,"",$U578/$B$10))</f>
        <v/>
      </c>
      <c r="W578" s="17" t="str">
        <f aca="false">IF($Q578="","",IF($B$10=0,"",$Q578/$B$10))</f>
        <v/>
      </c>
      <c r="X578" s="19" t="n">
        <f aca="false">IF($U578="",1000000000000000,$U578)</f>
        <v>1000000000000000</v>
      </c>
      <c r="XFC578" s="6"/>
    </row>
    <row r="579" s="22" customFormat="true" ht="28.5" hidden="false" customHeight="true" outlineLevel="0" collapsed="false">
      <c r="A579" s="16" t="str">
        <f aca="false">IF($U579="","",1+COUNTIF($X$15:$X$728,"&lt;"&amp;X579))</f>
        <v/>
      </c>
      <c r="B579" s="16" t="s">
        <v>8</v>
      </c>
      <c r="C579" s="16" t="s">
        <v>1723</v>
      </c>
      <c r="D579" s="16" t="s">
        <v>629</v>
      </c>
      <c r="E579" s="16" t="s">
        <v>47</v>
      </c>
      <c r="F579" s="16" t="s">
        <v>1724</v>
      </c>
      <c r="G579" s="16" t="s">
        <v>1725</v>
      </c>
      <c r="H579" s="17" t="n">
        <v>1849</v>
      </c>
      <c r="I579" s="17"/>
      <c r="J579" s="17"/>
      <c r="K579" s="17" t="n">
        <v>1859</v>
      </c>
      <c r="L579" s="17" t="n">
        <f aca="false">IF(AND(IFERROR(SEARCH("현대오일뱅크",$C579),0)&gt;0,IFERROR(SEARCH("직영",$C579),0)&gt;0),$B$13,0)</f>
        <v>0</v>
      </c>
      <c r="M579" s="17" t="n">
        <f aca="false">IF($H579="","",$H579+$L579)</f>
        <v>1849</v>
      </c>
      <c r="N579" s="17" t="str">
        <f aca="false">IF($I579="","",$I579+$L579)</f>
        <v/>
      </c>
      <c r="O579" s="17" t="n">
        <f aca="false">IF($K579="","",$K579+$L579)</f>
        <v>1859</v>
      </c>
      <c r="P579" s="17" t="str">
        <f aca="false">IF($B$10=0,"",IFERROR(IF($B$4&gt;0,"휘발유 "&amp;TEXT(IF($M579="",1/0,$M579*$B$4),"#,##0")&amp;"원","")&amp;IF($B$5&gt;0,IF($B$4&gt;0," / ","")&amp;"고급유 "&amp;TEXT(IF($N579="",1/0,$N579*$B$5),"#,##0")&amp;"원","")&amp;IF($B$6&gt;0,IF(OR($B$4&gt;0,$B$5&gt;0)," / ","")&amp;"경유 "&amp;TEXT(IF($O579="",1/0,$O579*$B$6),"#,##0")&amp;"원",""),""))</f>
        <v/>
      </c>
      <c r="Q579" s="17" t="str">
        <f aca="false">IF($B$10=0,"",IFERROR(IF($B$4&gt;0,IF($M579="",1/0,$M579*$B$4),0)+IF($B$5&gt;0,IF($N579="",1/0,$N579*$B$5),0)+IF($B$6&gt;0,IF($O579="",1/0,$O579*$B$6),0),""))</f>
        <v/>
      </c>
      <c r="R579" s="17"/>
      <c r="S579" s="18" t="str">
        <f aca="false">IF($Q579="","",IF($R579="Y",IFERROR(VLOOKUP($B579,$C$4:$D$13,2,FALSE()),0),0))</f>
        <v/>
      </c>
      <c r="T579" s="17" t="str">
        <f aca="false">IF($Q579="","",ROUNDDOWN($Q579*$S579,0))</f>
        <v/>
      </c>
      <c r="U579" s="17" t="str">
        <f aca="false">IF($Q579="","",$Q579-$T579)</f>
        <v/>
      </c>
      <c r="V579" s="17" t="str">
        <f aca="false">IF($U579="","",IF($B$10=0,"",$U579/$B$10))</f>
        <v/>
      </c>
      <c r="W579" s="17" t="str">
        <f aca="false">IF($Q579="","",IF($B$10=0,"",$Q579/$B$10))</f>
        <v/>
      </c>
      <c r="X579" s="19" t="n">
        <f aca="false">IF($U579="",1000000000000000,$U579)</f>
        <v>1000000000000000</v>
      </c>
      <c r="XFC579" s="6"/>
    </row>
    <row r="580" s="22" customFormat="true" ht="28.5" hidden="false" customHeight="true" outlineLevel="0" collapsed="false">
      <c r="A580" s="16" t="str">
        <f aca="false">IF($U580="","",1+COUNTIF($X$15:$X$728,"&lt;"&amp;X580))</f>
        <v/>
      </c>
      <c r="B580" s="16" t="s">
        <v>10</v>
      </c>
      <c r="C580" s="16" t="s">
        <v>1726</v>
      </c>
      <c r="D580" s="16" t="s">
        <v>58</v>
      </c>
      <c r="E580" s="16" t="s">
        <v>47</v>
      </c>
      <c r="F580" s="16" t="s">
        <v>1727</v>
      </c>
      <c r="G580" s="16" t="s">
        <v>1728</v>
      </c>
      <c r="H580" s="17" t="n">
        <v>1849</v>
      </c>
      <c r="I580" s="17"/>
      <c r="J580" s="17"/>
      <c r="K580" s="17" t="n">
        <v>1959</v>
      </c>
      <c r="L580" s="17" t="n">
        <f aca="false">IF(AND(IFERROR(SEARCH("현대오일뱅크",$C580),0)&gt;0,IFERROR(SEARCH("직영",$C580),0)&gt;0),$B$13,0)</f>
        <v>0</v>
      </c>
      <c r="M580" s="17" t="n">
        <f aca="false">IF($H580="","",$H580+$L580)</f>
        <v>1849</v>
      </c>
      <c r="N580" s="17" t="str">
        <f aca="false">IF($I580="","",$I580+$L580)</f>
        <v/>
      </c>
      <c r="O580" s="17" t="n">
        <f aca="false">IF($K580="","",$K580+$L580)</f>
        <v>1959</v>
      </c>
      <c r="P580" s="17" t="str">
        <f aca="false">IF($B$10=0,"",IFERROR(IF($B$4&gt;0,"휘발유 "&amp;TEXT(IF($M580="",1/0,$M580*$B$4),"#,##0")&amp;"원","")&amp;IF($B$5&gt;0,IF($B$4&gt;0," / ","")&amp;"고급유 "&amp;TEXT(IF($N580="",1/0,$N580*$B$5),"#,##0")&amp;"원","")&amp;IF($B$6&gt;0,IF(OR($B$4&gt;0,$B$5&gt;0)," / ","")&amp;"경유 "&amp;TEXT(IF($O580="",1/0,$O580*$B$6),"#,##0")&amp;"원",""),""))</f>
        <v/>
      </c>
      <c r="Q580" s="17" t="str">
        <f aca="false">IF($B$10=0,"",IFERROR(IF($B$4&gt;0,IF($M580="",1/0,$M580*$B$4),0)+IF($B$5&gt;0,IF($N580="",1/0,$N580*$B$5),0)+IF($B$6&gt;0,IF($O580="",1/0,$O580*$B$6),0),""))</f>
        <v/>
      </c>
      <c r="R580" s="17"/>
      <c r="S580" s="18" t="str">
        <f aca="false">IF($Q580="","",IF($R580="Y",IFERROR(VLOOKUP($B580,$C$4:$D$13,2,FALSE()),0),0))</f>
        <v/>
      </c>
      <c r="T580" s="17" t="str">
        <f aca="false">IF($Q580="","",ROUNDDOWN($Q580*$S580,0))</f>
        <v/>
      </c>
      <c r="U580" s="17" t="str">
        <f aca="false">IF($Q580="","",$Q580-$T580)</f>
        <v/>
      </c>
      <c r="V580" s="17" t="str">
        <f aca="false">IF($U580="","",IF($B$10=0,"",$U580/$B$10))</f>
        <v/>
      </c>
      <c r="W580" s="17" t="str">
        <f aca="false">IF($Q580="","",IF($B$10=0,"",$Q580/$B$10))</f>
        <v/>
      </c>
      <c r="X580" s="19" t="n">
        <f aca="false">IF($U580="",1000000000000000,$U580)</f>
        <v>1000000000000000</v>
      </c>
      <c r="XFC580" s="6"/>
    </row>
    <row r="581" s="22" customFormat="true" ht="28.5" hidden="false" customHeight="true" outlineLevel="0" collapsed="false">
      <c r="A581" s="16" t="str">
        <f aca="false">IF($U581="","",1+COUNTIF($X$15:$X$728,"&lt;"&amp;X581))</f>
        <v/>
      </c>
      <c r="B581" s="16" t="s">
        <v>10</v>
      </c>
      <c r="C581" s="16" t="s">
        <v>1729</v>
      </c>
      <c r="D581" s="16" t="s">
        <v>708</v>
      </c>
      <c r="E581" s="16" t="s">
        <v>47</v>
      </c>
      <c r="F581" s="16" t="s">
        <v>1730</v>
      </c>
      <c r="G581" s="16" t="s">
        <v>1731</v>
      </c>
      <c r="H581" s="17" t="n">
        <v>1849</v>
      </c>
      <c r="I581" s="17"/>
      <c r="J581" s="17"/>
      <c r="K581" s="17" t="n">
        <v>1959</v>
      </c>
      <c r="L581" s="17" t="n">
        <f aca="false">IF(AND(IFERROR(SEARCH("현대오일뱅크",$C581),0)&gt;0,IFERROR(SEARCH("직영",$C581),0)&gt;0),$B$13,0)</f>
        <v>0</v>
      </c>
      <c r="M581" s="17" t="n">
        <f aca="false">IF($H581="","",$H581+$L581)</f>
        <v>1849</v>
      </c>
      <c r="N581" s="17" t="str">
        <f aca="false">IF($I581="","",$I581+$L581)</f>
        <v/>
      </c>
      <c r="O581" s="17" t="n">
        <f aca="false">IF($K581="","",$K581+$L581)</f>
        <v>1959</v>
      </c>
      <c r="P581" s="17" t="str">
        <f aca="false">IF($B$10=0,"",IFERROR(IF($B$4&gt;0,"휘발유 "&amp;TEXT(IF($M581="",1/0,$M581*$B$4),"#,##0")&amp;"원","")&amp;IF($B$5&gt;0,IF($B$4&gt;0," / ","")&amp;"고급유 "&amp;TEXT(IF($N581="",1/0,$N581*$B$5),"#,##0")&amp;"원","")&amp;IF($B$6&gt;0,IF(OR($B$4&gt;0,$B$5&gt;0)," / ","")&amp;"경유 "&amp;TEXT(IF($O581="",1/0,$O581*$B$6),"#,##0")&amp;"원",""),""))</f>
        <v/>
      </c>
      <c r="Q581" s="17" t="str">
        <f aca="false">IF($B$10=0,"",IFERROR(IF($B$4&gt;0,IF($M581="",1/0,$M581*$B$4),0)+IF($B$5&gt;0,IF($N581="",1/0,$N581*$B$5),0)+IF($B$6&gt;0,IF($O581="",1/0,$O581*$B$6),0),""))</f>
        <v/>
      </c>
      <c r="R581" s="17"/>
      <c r="S581" s="18" t="str">
        <f aca="false">IF($Q581="","",IF($R581="Y",IFERROR(VLOOKUP($B581,$C$4:$D$13,2,FALSE()),0),0))</f>
        <v/>
      </c>
      <c r="T581" s="17" t="str">
        <f aca="false">IF($Q581="","",ROUNDDOWN($Q581*$S581,0))</f>
        <v/>
      </c>
      <c r="U581" s="17" t="str">
        <f aca="false">IF($Q581="","",$Q581-$T581)</f>
        <v/>
      </c>
      <c r="V581" s="17" t="str">
        <f aca="false">IF($U581="","",IF($B$10=0,"",$U581/$B$10))</f>
        <v/>
      </c>
      <c r="W581" s="17" t="str">
        <f aca="false">IF($Q581="","",IF($B$10=0,"",$Q581/$B$10))</f>
        <v/>
      </c>
      <c r="X581" s="19" t="n">
        <f aca="false">IF($U581="",1000000000000000,$U581)</f>
        <v>1000000000000000</v>
      </c>
      <c r="XFC581" s="6"/>
    </row>
    <row r="582" s="22" customFormat="true" ht="28.5" hidden="false" customHeight="true" outlineLevel="0" collapsed="false">
      <c r="A582" s="16" t="str">
        <f aca="false">IF($U582="","",1+COUNTIF($X$15:$X$728,"&lt;"&amp;X582))</f>
        <v/>
      </c>
      <c r="B582" s="16" t="s">
        <v>10</v>
      </c>
      <c r="C582" s="16" t="s">
        <v>1732</v>
      </c>
      <c r="D582" s="16" t="s">
        <v>629</v>
      </c>
      <c r="E582" s="16" t="s">
        <v>47</v>
      </c>
      <c r="F582" s="16" t="s">
        <v>1733</v>
      </c>
      <c r="G582" s="16" t="s">
        <v>1734</v>
      </c>
      <c r="H582" s="17" t="n">
        <v>1849</v>
      </c>
      <c r="I582" s="17"/>
      <c r="J582" s="17"/>
      <c r="K582" s="17" t="n">
        <v>1849</v>
      </c>
      <c r="L582" s="17" t="n">
        <f aca="false">IF(AND(IFERROR(SEARCH("현대오일뱅크",$C582),0)&gt;0,IFERROR(SEARCH("직영",$C582),0)&gt;0),$B$13,0)</f>
        <v>0</v>
      </c>
      <c r="M582" s="17" t="n">
        <f aca="false">IF($H582="","",$H582+$L582)</f>
        <v>1849</v>
      </c>
      <c r="N582" s="17" t="str">
        <f aca="false">IF($I582="","",$I582+$L582)</f>
        <v/>
      </c>
      <c r="O582" s="17" t="n">
        <f aca="false">IF($K582="","",$K582+$L582)</f>
        <v>1849</v>
      </c>
      <c r="P582" s="17" t="str">
        <f aca="false">IF($B$10=0,"",IFERROR(IF($B$4&gt;0,"휘발유 "&amp;TEXT(IF($M582="",1/0,$M582*$B$4),"#,##0")&amp;"원","")&amp;IF($B$5&gt;0,IF($B$4&gt;0," / ","")&amp;"고급유 "&amp;TEXT(IF($N582="",1/0,$N582*$B$5),"#,##0")&amp;"원","")&amp;IF($B$6&gt;0,IF(OR($B$4&gt;0,$B$5&gt;0)," / ","")&amp;"경유 "&amp;TEXT(IF($O582="",1/0,$O582*$B$6),"#,##0")&amp;"원",""),""))</f>
        <v/>
      </c>
      <c r="Q582" s="17" t="str">
        <f aca="false">IF($B$10=0,"",IFERROR(IF($B$4&gt;0,IF($M582="",1/0,$M582*$B$4),0)+IF($B$5&gt;0,IF($N582="",1/0,$N582*$B$5),0)+IF($B$6&gt;0,IF($O582="",1/0,$O582*$B$6),0),""))</f>
        <v/>
      </c>
      <c r="R582" s="17"/>
      <c r="S582" s="18" t="str">
        <f aca="false">IF($Q582="","",IF($R582="Y",IFERROR(VLOOKUP($B582,$C$4:$D$13,2,FALSE()),0),0))</f>
        <v/>
      </c>
      <c r="T582" s="17" t="str">
        <f aca="false">IF($Q582="","",ROUNDDOWN($Q582*$S582,0))</f>
        <v/>
      </c>
      <c r="U582" s="17" t="str">
        <f aca="false">IF($Q582="","",$Q582-$T582)</f>
        <v/>
      </c>
      <c r="V582" s="17" t="str">
        <f aca="false">IF($U582="","",IF($B$10=0,"",$U582/$B$10))</f>
        <v/>
      </c>
      <c r="W582" s="17" t="str">
        <f aca="false">IF($Q582="","",IF($B$10=0,"",$Q582/$B$10))</f>
        <v/>
      </c>
      <c r="X582" s="19" t="n">
        <f aca="false">IF($U582="",1000000000000000,$U582)</f>
        <v>1000000000000000</v>
      </c>
      <c r="XFC582" s="6"/>
    </row>
    <row r="583" s="22" customFormat="true" ht="28.5" hidden="false" customHeight="true" outlineLevel="0" collapsed="false">
      <c r="A583" s="16" t="str">
        <f aca="false">IF($U583="","",1+COUNTIF($X$15:$X$728,"&lt;"&amp;X583))</f>
        <v/>
      </c>
      <c r="B583" s="16" t="s">
        <v>10</v>
      </c>
      <c r="C583" s="16" t="s">
        <v>1735</v>
      </c>
      <c r="D583" s="16" t="s">
        <v>46</v>
      </c>
      <c r="E583" s="16" t="s">
        <v>47</v>
      </c>
      <c r="F583" s="16" t="s">
        <v>1736</v>
      </c>
      <c r="G583" s="16" t="s">
        <v>1737</v>
      </c>
      <c r="H583" s="17" t="n">
        <v>1849</v>
      </c>
      <c r="I583" s="17"/>
      <c r="J583" s="17"/>
      <c r="K583" s="17" t="n">
        <v>1879</v>
      </c>
      <c r="L583" s="17" t="n">
        <f aca="false">IF(AND(IFERROR(SEARCH("현대오일뱅크",$C583),0)&gt;0,IFERROR(SEARCH("직영",$C583),0)&gt;0),$B$13,0)</f>
        <v>0</v>
      </c>
      <c r="M583" s="17" t="n">
        <f aca="false">IF($H583="","",$H583+$L583)</f>
        <v>1849</v>
      </c>
      <c r="N583" s="17" t="str">
        <f aca="false">IF($I583="","",$I583+$L583)</f>
        <v/>
      </c>
      <c r="O583" s="17" t="n">
        <f aca="false">IF($K583="","",$K583+$L583)</f>
        <v>1879</v>
      </c>
      <c r="P583" s="17" t="str">
        <f aca="false">IF($B$10=0,"",IFERROR(IF($B$4&gt;0,"휘발유 "&amp;TEXT(IF($M583="",1/0,$M583*$B$4),"#,##0")&amp;"원","")&amp;IF($B$5&gt;0,IF($B$4&gt;0," / ","")&amp;"고급유 "&amp;TEXT(IF($N583="",1/0,$N583*$B$5),"#,##0")&amp;"원","")&amp;IF($B$6&gt;0,IF(OR($B$4&gt;0,$B$5&gt;0)," / ","")&amp;"경유 "&amp;TEXT(IF($O583="",1/0,$O583*$B$6),"#,##0")&amp;"원",""),""))</f>
        <v/>
      </c>
      <c r="Q583" s="17" t="str">
        <f aca="false">IF($B$10=0,"",IFERROR(IF($B$4&gt;0,IF($M583="",1/0,$M583*$B$4),0)+IF($B$5&gt;0,IF($N583="",1/0,$N583*$B$5),0)+IF($B$6&gt;0,IF($O583="",1/0,$O583*$B$6),0),""))</f>
        <v/>
      </c>
      <c r="R583" s="17"/>
      <c r="S583" s="18" t="str">
        <f aca="false">IF($Q583="","",IF($R583="Y",IFERROR(VLOOKUP($B583,$C$4:$D$13,2,FALSE()),0),0))</f>
        <v/>
      </c>
      <c r="T583" s="17" t="str">
        <f aca="false">IF($Q583="","",ROUNDDOWN($Q583*$S583,0))</f>
        <v/>
      </c>
      <c r="U583" s="17" t="str">
        <f aca="false">IF($Q583="","",$Q583-$T583)</f>
        <v/>
      </c>
      <c r="V583" s="17" t="str">
        <f aca="false">IF($U583="","",IF($B$10=0,"",$U583/$B$10))</f>
        <v/>
      </c>
      <c r="W583" s="17" t="str">
        <f aca="false">IF($Q583="","",IF($B$10=0,"",$Q583/$B$10))</f>
        <v/>
      </c>
      <c r="X583" s="19" t="n">
        <f aca="false">IF($U583="",1000000000000000,$U583)</f>
        <v>1000000000000000</v>
      </c>
      <c r="XFC583" s="6"/>
    </row>
    <row r="584" s="22" customFormat="true" ht="28.5" hidden="false" customHeight="true" outlineLevel="0" collapsed="false">
      <c r="A584" s="16" t="str">
        <f aca="false">IF($U584="","",1+COUNTIF($X$15:$X$728,"&lt;"&amp;X584))</f>
        <v/>
      </c>
      <c r="B584" s="16" t="s">
        <v>10</v>
      </c>
      <c r="C584" s="16" t="s">
        <v>1738</v>
      </c>
      <c r="D584" s="16" t="s">
        <v>58</v>
      </c>
      <c r="E584" s="16" t="s">
        <v>47</v>
      </c>
      <c r="F584" s="16" t="s">
        <v>1739</v>
      </c>
      <c r="G584" s="16" t="s">
        <v>1740</v>
      </c>
      <c r="H584" s="17" t="n">
        <v>1849</v>
      </c>
      <c r="I584" s="17"/>
      <c r="J584" s="17"/>
      <c r="K584" s="17" t="n">
        <v>1959</v>
      </c>
      <c r="L584" s="17" t="n">
        <f aca="false">IF(AND(IFERROR(SEARCH("현대오일뱅크",$C584),0)&gt;0,IFERROR(SEARCH("직영",$C584),0)&gt;0),$B$13,0)</f>
        <v>0</v>
      </c>
      <c r="M584" s="17" t="n">
        <f aca="false">IF($H584="","",$H584+$L584)</f>
        <v>1849</v>
      </c>
      <c r="N584" s="17" t="str">
        <f aca="false">IF($I584="","",$I584+$L584)</f>
        <v/>
      </c>
      <c r="O584" s="17" t="n">
        <f aca="false">IF($K584="","",$K584+$L584)</f>
        <v>1959</v>
      </c>
      <c r="P584" s="17" t="str">
        <f aca="false">IF($B$10=0,"",IFERROR(IF($B$4&gt;0,"휘발유 "&amp;TEXT(IF($M584="",1/0,$M584*$B$4),"#,##0")&amp;"원","")&amp;IF($B$5&gt;0,IF($B$4&gt;0," / ","")&amp;"고급유 "&amp;TEXT(IF($N584="",1/0,$N584*$B$5),"#,##0")&amp;"원","")&amp;IF($B$6&gt;0,IF(OR($B$4&gt;0,$B$5&gt;0)," / ","")&amp;"경유 "&amp;TEXT(IF($O584="",1/0,$O584*$B$6),"#,##0")&amp;"원",""),""))</f>
        <v/>
      </c>
      <c r="Q584" s="17" t="str">
        <f aca="false">IF($B$10=0,"",IFERROR(IF($B$4&gt;0,IF($M584="",1/0,$M584*$B$4),0)+IF($B$5&gt;0,IF($N584="",1/0,$N584*$B$5),0)+IF($B$6&gt;0,IF($O584="",1/0,$O584*$B$6),0),""))</f>
        <v/>
      </c>
      <c r="R584" s="17"/>
      <c r="S584" s="18" t="str">
        <f aca="false">IF($Q584="","",IF($R584="Y",IFERROR(VLOOKUP($B584,$C$4:$D$13,2,FALSE()),0),0))</f>
        <v/>
      </c>
      <c r="T584" s="17" t="str">
        <f aca="false">IF($Q584="","",ROUNDDOWN($Q584*$S584,0))</f>
        <v/>
      </c>
      <c r="U584" s="17" t="str">
        <f aca="false">IF($Q584="","",$Q584-$T584)</f>
        <v/>
      </c>
      <c r="V584" s="17" t="str">
        <f aca="false">IF($U584="","",IF($B$10=0,"",$U584/$B$10))</f>
        <v/>
      </c>
      <c r="W584" s="17" t="str">
        <f aca="false">IF($Q584="","",IF($B$10=0,"",$Q584/$B$10))</f>
        <v/>
      </c>
      <c r="X584" s="19" t="n">
        <f aca="false">IF($U584="",1000000000000000,$U584)</f>
        <v>1000000000000000</v>
      </c>
      <c r="XFC584" s="6"/>
    </row>
    <row r="585" s="22" customFormat="true" ht="28.5" hidden="false" customHeight="true" outlineLevel="0" collapsed="false">
      <c r="A585" s="16" t="str">
        <f aca="false">IF($U585="","",1+COUNTIF($X$15:$X$728,"&lt;"&amp;X585))</f>
        <v/>
      </c>
      <c r="B585" s="16" t="s">
        <v>10</v>
      </c>
      <c r="C585" s="16" t="s">
        <v>1741</v>
      </c>
      <c r="D585" s="16" t="s">
        <v>46</v>
      </c>
      <c r="E585" s="16" t="s">
        <v>47</v>
      </c>
      <c r="F585" s="16" t="s">
        <v>1742</v>
      </c>
      <c r="G585" s="16" t="s">
        <v>1743</v>
      </c>
      <c r="H585" s="17" t="n">
        <v>1849</v>
      </c>
      <c r="I585" s="17"/>
      <c r="J585" s="17"/>
      <c r="K585" s="17" t="n">
        <v>1879</v>
      </c>
      <c r="L585" s="17" t="n">
        <f aca="false">IF(AND(IFERROR(SEARCH("현대오일뱅크",$C585),0)&gt;0,IFERROR(SEARCH("직영",$C585),0)&gt;0),$B$13,0)</f>
        <v>0</v>
      </c>
      <c r="M585" s="17" t="n">
        <f aca="false">IF($H585="","",$H585+$L585)</f>
        <v>1849</v>
      </c>
      <c r="N585" s="17" t="str">
        <f aca="false">IF($I585="","",$I585+$L585)</f>
        <v/>
      </c>
      <c r="O585" s="17" t="n">
        <f aca="false">IF($K585="","",$K585+$L585)</f>
        <v>1879</v>
      </c>
      <c r="P585" s="17" t="str">
        <f aca="false">IF($B$10=0,"",IFERROR(IF($B$4&gt;0,"휘발유 "&amp;TEXT(IF($M585="",1/0,$M585*$B$4),"#,##0")&amp;"원","")&amp;IF($B$5&gt;0,IF($B$4&gt;0," / ","")&amp;"고급유 "&amp;TEXT(IF($N585="",1/0,$N585*$B$5),"#,##0")&amp;"원","")&amp;IF($B$6&gt;0,IF(OR($B$4&gt;0,$B$5&gt;0)," / ","")&amp;"경유 "&amp;TEXT(IF($O585="",1/0,$O585*$B$6),"#,##0")&amp;"원",""),""))</f>
        <v/>
      </c>
      <c r="Q585" s="17" t="str">
        <f aca="false">IF($B$10=0,"",IFERROR(IF($B$4&gt;0,IF($M585="",1/0,$M585*$B$4),0)+IF($B$5&gt;0,IF($N585="",1/0,$N585*$B$5),0)+IF($B$6&gt;0,IF($O585="",1/0,$O585*$B$6),0),""))</f>
        <v/>
      </c>
      <c r="R585" s="17"/>
      <c r="S585" s="18" t="str">
        <f aca="false">IF($Q585="","",IF($R585="Y",IFERROR(VLOOKUP($B585,$C$4:$D$13,2,FALSE()),0),0))</f>
        <v/>
      </c>
      <c r="T585" s="17" t="str">
        <f aca="false">IF($Q585="","",ROUNDDOWN($Q585*$S585,0))</f>
        <v/>
      </c>
      <c r="U585" s="17" t="str">
        <f aca="false">IF($Q585="","",$Q585-$T585)</f>
        <v/>
      </c>
      <c r="V585" s="17" t="str">
        <f aca="false">IF($U585="","",IF($B$10=0,"",$U585/$B$10))</f>
        <v/>
      </c>
      <c r="W585" s="17" t="str">
        <f aca="false">IF($Q585="","",IF($B$10=0,"",$Q585/$B$10))</f>
        <v/>
      </c>
      <c r="X585" s="19" t="n">
        <f aca="false">IF($U585="",1000000000000000,$U585)</f>
        <v>1000000000000000</v>
      </c>
      <c r="XFC585" s="6"/>
    </row>
    <row r="586" s="22" customFormat="true" ht="28.5" hidden="false" customHeight="true" outlineLevel="0" collapsed="false">
      <c r="A586" s="16" t="str">
        <f aca="false">IF($U586="","",1+COUNTIF($X$15:$X$728,"&lt;"&amp;X586))</f>
        <v/>
      </c>
      <c r="B586" s="16" t="s">
        <v>12</v>
      </c>
      <c r="C586" s="16" t="s">
        <v>1744</v>
      </c>
      <c r="D586" s="20" t="s">
        <v>108</v>
      </c>
      <c r="E586" s="16" t="s">
        <v>59</v>
      </c>
      <c r="F586" s="16" t="s">
        <v>1745</v>
      </c>
      <c r="G586" s="16" t="s">
        <v>1746</v>
      </c>
      <c r="H586" s="17" t="n">
        <v>1849</v>
      </c>
      <c r="I586" s="17"/>
      <c r="J586" s="17"/>
      <c r="K586" s="17" t="n">
        <v>1799</v>
      </c>
      <c r="L586" s="17" t="n">
        <f aca="false">IF(AND(IFERROR(SEARCH("현대오일뱅크",$C586),0)&gt;0,IFERROR(SEARCH("직영",$C586),0)&gt;0),$B$13,0)</f>
        <v>0</v>
      </c>
      <c r="M586" s="17" t="n">
        <f aca="false">IF($H586="","",$H586+$L586)</f>
        <v>1849</v>
      </c>
      <c r="N586" s="17" t="str">
        <f aca="false">IF($I586="","",$I586+$L586)</f>
        <v/>
      </c>
      <c r="O586" s="17" t="n">
        <f aca="false">IF($K586="","",$K586+$L586)</f>
        <v>1799</v>
      </c>
      <c r="P586" s="17" t="str">
        <f aca="false">IF($B$10=0,"",IFERROR(IF($B$4&gt;0,"휘발유 "&amp;TEXT(IF($M586="",1/0,$M586*$B$4),"#,##0")&amp;"원","")&amp;IF($B$5&gt;0,IF($B$4&gt;0," / ","")&amp;"고급유 "&amp;TEXT(IF($N586="",1/0,$N586*$B$5),"#,##0")&amp;"원","")&amp;IF($B$6&gt;0,IF(OR($B$4&gt;0,$B$5&gt;0)," / ","")&amp;"경유 "&amp;TEXT(IF($O586="",1/0,$O586*$B$6),"#,##0")&amp;"원",""),""))</f>
        <v/>
      </c>
      <c r="Q586" s="17" t="str">
        <f aca="false">IF($B$10=0,"",IFERROR(IF($B$4&gt;0,IF($M586="",1/0,$M586*$B$4),0)+IF($B$5&gt;0,IF($N586="",1/0,$N586*$B$5),0)+IF($B$6&gt;0,IF($O586="",1/0,$O586*$B$6),0),""))</f>
        <v/>
      </c>
      <c r="R586" s="17"/>
      <c r="S586" s="18" t="str">
        <f aca="false">IF($Q586="","",IF($R586="Y",IFERROR(VLOOKUP($B586,$C$4:$D$13,2,FALSE()),0),0))</f>
        <v/>
      </c>
      <c r="T586" s="17" t="str">
        <f aca="false">IF($Q586="","",ROUNDDOWN($Q586*$S586,0))</f>
        <v/>
      </c>
      <c r="U586" s="17" t="str">
        <f aca="false">IF($Q586="","",$Q586-$T586)</f>
        <v/>
      </c>
      <c r="V586" s="17" t="str">
        <f aca="false">IF($U586="","",IF($B$10=0,"",$U586/$B$10))</f>
        <v/>
      </c>
      <c r="W586" s="17" t="str">
        <f aca="false">IF($Q586="","",IF($B$10=0,"",$Q586/$B$10))</f>
        <v/>
      </c>
      <c r="X586" s="19" t="n">
        <f aca="false">IF($U586="",1000000000000000,$U586)</f>
        <v>1000000000000000</v>
      </c>
      <c r="XFC586" s="6"/>
    </row>
    <row r="587" s="22" customFormat="true" ht="28.5" hidden="false" customHeight="true" outlineLevel="0" collapsed="false">
      <c r="A587" s="16" t="str">
        <f aca="false">IF($U587="","",1+COUNTIF($X$15:$X$728,"&lt;"&amp;X587))</f>
        <v/>
      </c>
      <c r="B587" s="16" t="s">
        <v>18</v>
      </c>
      <c r="C587" s="16" t="s">
        <v>1747</v>
      </c>
      <c r="D587" s="16" t="s">
        <v>629</v>
      </c>
      <c r="E587" s="16" t="s">
        <v>59</v>
      </c>
      <c r="F587" s="16" t="s">
        <v>1748</v>
      </c>
      <c r="G587" s="16" t="s">
        <v>1749</v>
      </c>
      <c r="H587" s="17" t="n">
        <v>1850</v>
      </c>
      <c r="I587" s="17"/>
      <c r="J587" s="17"/>
      <c r="K587" s="17" t="n">
        <v>1850</v>
      </c>
      <c r="L587" s="17" t="n">
        <f aca="false">IF(AND(IFERROR(SEARCH("현대오일뱅크",$C587),0)&gt;0,IFERROR(SEARCH("직영",$C587),0)&gt;0),$B$13,0)</f>
        <v>0</v>
      </c>
      <c r="M587" s="17" t="n">
        <f aca="false">IF($H587="","",$H587+$L587)</f>
        <v>1850</v>
      </c>
      <c r="N587" s="17" t="str">
        <f aca="false">IF($I587="","",$I587+$L587)</f>
        <v/>
      </c>
      <c r="O587" s="17" t="n">
        <f aca="false">IF($K587="","",$K587+$L587)</f>
        <v>1850</v>
      </c>
      <c r="P587" s="17" t="str">
        <f aca="false">IF($B$10=0,"",IFERROR(IF($B$4&gt;0,"휘발유 "&amp;TEXT(IF($M587="",1/0,$M587*$B$4),"#,##0")&amp;"원","")&amp;IF($B$5&gt;0,IF($B$4&gt;0," / ","")&amp;"고급유 "&amp;TEXT(IF($N587="",1/0,$N587*$B$5),"#,##0")&amp;"원","")&amp;IF($B$6&gt;0,IF(OR($B$4&gt;0,$B$5&gt;0)," / ","")&amp;"경유 "&amp;TEXT(IF($O587="",1/0,$O587*$B$6),"#,##0")&amp;"원",""),""))</f>
        <v/>
      </c>
      <c r="Q587" s="17" t="str">
        <f aca="false">IF($B$10=0,"",IFERROR(IF($B$4&gt;0,IF($M587="",1/0,$M587*$B$4),0)+IF($B$5&gt;0,IF($N587="",1/0,$N587*$B$5),0)+IF($B$6&gt;0,IF($O587="",1/0,$O587*$B$6),0),""))</f>
        <v/>
      </c>
      <c r="R587" s="17"/>
      <c r="S587" s="18" t="str">
        <f aca="false">IF($Q587="","",IF($R587="Y",IFERROR(VLOOKUP($B587,$C$4:$D$13,2,FALSE()),0),0))</f>
        <v/>
      </c>
      <c r="T587" s="17" t="str">
        <f aca="false">IF($Q587="","",ROUNDDOWN($Q587*$S587,0))</f>
        <v/>
      </c>
      <c r="U587" s="17" t="str">
        <f aca="false">IF($Q587="","",$Q587-$T587)</f>
        <v/>
      </c>
      <c r="V587" s="17" t="str">
        <f aca="false">IF($U587="","",IF($B$10=0,"",$U587/$B$10))</f>
        <v/>
      </c>
      <c r="W587" s="17" t="str">
        <f aca="false">IF($Q587="","",IF($B$10=0,"",$Q587/$B$10))</f>
        <v/>
      </c>
      <c r="X587" s="19" t="n">
        <f aca="false">IF($U587="",1000000000000000,$U587)</f>
        <v>1000000000000000</v>
      </c>
      <c r="XFC587" s="6"/>
    </row>
    <row r="588" s="22" customFormat="true" ht="28.5" hidden="false" customHeight="true" outlineLevel="0" collapsed="false">
      <c r="A588" s="16" t="str">
        <f aca="false">IF($U588="","",1+COUNTIF($X$15:$X$728,"&lt;"&amp;X588))</f>
        <v/>
      </c>
      <c r="B588" s="16" t="s">
        <v>10</v>
      </c>
      <c r="C588" s="16" t="s">
        <v>1750</v>
      </c>
      <c r="D588" s="16" t="s">
        <v>629</v>
      </c>
      <c r="E588" s="16" t="s">
        <v>47</v>
      </c>
      <c r="F588" s="16" t="s">
        <v>1751</v>
      </c>
      <c r="G588" s="16" t="s">
        <v>1752</v>
      </c>
      <c r="H588" s="17" t="n">
        <v>1854</v>
      </c>
      <c r="I588" s="17"/>
      <c r="J588" s="17"/>
      <c r="K588" s="17" t="n">
        <v>1861</v>
      </c>
      <c r="L588" s="17" t="n">
        <f aca="false">IF(AND(IFERROR(SEARCH("현대오일뱅크",$C588),0)&gt;0,IFERROR(SEARCH("직영",$C588),0)&gt;0),$B$13,0)</f>
        <v>0</v>
      </c>
      <c r="M588" s="17" t="n">
        <f aca="false">IF($H588="","",$H588+$L588)</f>
        <v>1854</v>
      </c>
      <c r="N588" s="17" t="str">
        <f aca="false">IF($I588="","",$I588+$L588)</f>
        <v/>
      </c>
      <c r="O588" s="17" t="n">
        <f aca="false">IF($K588="","",$K588+$L588)</f>
        <v>1861</v>
      </c>
      <c r="P588" s="17" t="str">
        <f aca="false">IF($B$10=0,"",IFERROR(IF($B$4&gt;0,"휘발유 "&amp;TEXT(IF($M588="",1/0,$M588*$B$4),"#,##0")&amp;"원","")&amp;IF($B$5&gt;0,IF($B$4&gt;0," / ","")&amp;"고급유 "&amp;TEXT(IF($N588="",1/0,$N588*$B$5),"#,##0")&amp;"원","")&amp;IF($B$6&gt;0,IF(OR($B$4&gt;0,$B$5&gt;0)," / ","")&amp;"경유 "&amp;TEXT(IF($O588="",1/0,$O588*$B$6),"#,##0")&amp;"원",""),""))</f>
        <v/>
      </c>
      <c r="Q588" s="17" t="str">
        <f aca="false">IF($B$10=0,"",IFERROR(IF($B$4&gt;0,IF($M588="",1/0,$M588*$B$4),0)+IF($B$5&gt;0,IF($N588="",1/0,$N588*$B$5),0)+IF($B$6&gt;0,IF($O588="",1/0,$O588*$B$6),0),""))</f>
        <v/>
      </c>
      <c r="R588" s="17"/>
      <c r="S588" s="18" t="str">
        <f aca="false">IF($Q588="","",IF($R588="Y",IFERROR(VLOOKUP($B588,$C$4:$D$13,2,FALSE()),0),0))</f>
        <v/>
      </c>
      <c r="T588" s="17" t="str">
        <f aca="false">IF($Q588="","",ROUNDDOWN($Q588*$S588,0))</f>
        <v/>
      </c>
      <c r="U588" s="17" t="str">
        <f aca="false">IF($Q588="","",$Q588-$T588)</f>
        <v/>
      </c>
      <c r="V588" s="17" t="str">
        <f aca="false">IF($U588="","",IF($B$10=0,"",$U588/$B$10))</f>
        <v/>
      </c>
      <c r="W588" s="17" t="str">
        <f aca="false">IF($Q588="","",IF($B$10=0,"",$Q588/$B$10))</f>
        <v/>
      </c>
      <c r="X588" s="19" t="n">
        <f aca="false">IF($U588="",1000000000000000,$U588)</f>
        <v>1000000000000000</v>
      </c>
      <c r="XFC588" s="6"/>
    </row>
    <row r="589" s="22" customFormat="true" ht="28.5" hidden="false" customHeight="true" outlineLevel="0" collapsed="false">
      <c r="A589" s="16" t="str">
        <f aca="false">IF($U589="","",1+COUNTIF($X$15:$X$728,"&lt;"&amp;X589))</f>
        <v/>
      </c>
      <c r="B589" s="16" t="s">
        <v>10</v>
      </c>
      <c r="C589" s="16" t="s">
        <v>1753</v>
      </c>
      <c r="D589" s="16" t="s">
        <v>46</v>
      </c>
      <c r="E589" s="16" t="s">
        <v>59</v>
      </c>
      <c r="F589" s="16" t="s">
        <v>1754</v>
      </c>
      <c r="G589" s="16" t="s">
        <v>1755</v>
      </c>
      <c r="H589" s="17" t="n">
        <v>1854</v>
      </c>
      <c r="I589" s="17"/>
      <c r="J589" s="17"/>
      <c r="K589" s="17" t="n">
        <v>1884</v>
      </c>
      <c r="L589" s="17" t="n">
        <f aca="false">IF(AND(IFERROR(SEARCH("현대오일뱅크",$C589),0)&gt;0,IFERROR(SEARCH("직영",$C589),0)&gt;0),$B$13,0)</f>
        <v>0</v>
      </c>
      <c r="M589" s="17" t="n">
        <f aca="false">IF($H589="","",$H589+$L589)</f>
        <v>1854</v>
      </c>
      <c r="N589" s="17" t="str">
        <f aca="false">IF($I589="","",$I589+$L589)</f>
        <v/>
      </c>
      <c r="O589" s="17" t="n">
        <f aca="false">IF($K589="","",$K589+$L589)</f>
        <v>1884</v>
      </c>
      <c r="P589" s="17" t="str">
        <f aca="false">IF($B$10=0,"",IFERROR(IF($B$4&gt;0,"휘발유 "&amp;TEXT(IF($M589="",1/0,$M589*$B$4),"#,##0")&amp;"원","")&amp;IF($B$5&gt;0,IF($B$4&gt;0," / ","")&amp;"고급유 "&amp;TEXT(IF($N589="",1/0,$N589*$B$5),"#,##0")&amp;"원","")&amp;IF($B$6&gt;0,IF(OR($B$4&gt;0,$B$5&gt;0)," / ","")&amp;"경유 "&amp;TEXT(IF($O589="",1/0,$O589*$B$6),"#,##0")&amp;"원",""),""))</f>
        <v/>
      </c>
      <c r="Q589" s="17" t="str">
        <f aca="false">IF($B$10=0,"",IFERROR(IF($B$4&gt;0,IF($M589="",1/0,$M589*$B$4),0)+IF($B$5&gt;0,IF($N589="",1/0,$N589*$B$5),0)+IF($B$6&gt;0,IF($O589="",1/0,$O589*$B$6),0),""))</f>
        <v/>
      </c>
      <c r="R589" s="17"/>
      <c r="S589" s="18" t="str">
        <f aca="false">IF($Q589="","",IF($R589="Y",IFERROR(VLOOKUP($B589,$C$4:$D$13,2,FALSE()),0),0))</f>
        <v/>
      </c>
      <c r="T589" s="17" t="str">
        <f aca="false">IF($Q589="","",ROUNDDOWN($Q589*$S589,0))</f>
        <v/>
      </c>
      <c r="U589" s="17" t="str">
        <f aca="false">IF($Q589="","",$Q589-$T589)</f>
        <v/>
      </c>
      <c r="V589" s="17" t="str">
        <f aca="false">IF($U589="","",IF($B$10=0,"",$U589/$B$10))</f>
        <v/>
      </c>
      <c r="W589" s="17" t="str">
        <f aca="false">IF($Q589="","",IF($B$10=0,"",$Q589/$B$10))</f>
        <v/>
      </c>
      <c r="X589" s="19" t="n">
        <f aca="false">IF($U589="",1000000000000000,$U589)</f>
        <v>1000000000000000</v>
      </c>
      <c r="XFC589" s="6"/>
    </row>
    <row r="590" s="22" customFormat="true" ht="28.5" hidden="false" customHeight="true" outlineLevel="0" collapsed="false">
      <c r="A590" s="16" t="str">
        <f aca="false">IF($U590="","",1+COUNTIF($X$15:$X$728,"&lt;"&amp;X590))</f>
        <v/>
      </c>
      <c r="B590" s="16" t="s">
        <v>10</v>
      </c>
      <c r="C590" s="16" t="s">
        <v>1756</v>
      </c>
      <c r="D590" s="16" t="s">
        <v>46</v>
      </c>
      <c r="E590" s="16" t="s">
        <v>47</v>
      </c>
      <c r="F590" s="16" t="s">
        <v>1757</v>
      </c>
      <c r="G590" s="16" t="s">
        <v>1758</v>
      </c>
      <c r="H590" s="17" t="n">
        <v>1855</v>
      </c>
      <c r="I590" s="17"/>
      <c r="J590" s="17"/>
      <c r="K590" s="17" t="n">
        <v>1895</v>
      </c>
      <c r="L590" s="17" t="n">
        <f aca="false">IF(AND(IFERROR(SEARCH("현대오일뱅크",$C590),0)&gt;0,IFERROR(SEARCH("직영",$C590),0)&gt;0),$B$13,0)</f>
        <v>0</v>
      </c>
      <c r="M590" s="17" t="n">
        <f aca="false">IF($H590="","",$H590+$L590)</f>
        <v>1855</v>
      </c>
      <c r="N590" s="17" t="str">
        <f aca="false">IF($I590="","",$I590+$L590)</f>
        <v/>
      </c>
      <c r="O590" s="17" t="n">
        <f aca="false">IF($K590="","",$K590+$L590)</f>
        <v>1895</v>
      </c>
      <c r="P590" s="17" t="str">
        <f aca="false">IF($B$10=0,"",IFERROR(IF($B$4&gt;0,"휘발유 "&amp;TEXT(IF($M590="",1/0,$M590*$B$4),"#,##0")&amp;"원","")&amp;IF($B$5&gt;0,IF($B$4&gt;0," / ","")&amp;"고급유 "&amp;TEXT(IF($N590="",1/0,$N590*$B$5),"#,##0")&amp;"원","")&amp;IF($B$6&gt;0,IF(OR($B$4&gt;0,$B$5&gt;0)," / ","")&amp;"경유 "&amp;TEXT(IF($O590="",1/0,$O590*$B$6),"#,##0")&amp;"원",""),""))</f>
        <v/>
      </c>
      <c r="Q590" s="17" t="str">
        <f aca="false">IF($B$10=0,"",IFERROR(IF($B$4&gt;0,IF($M590="",1/0,$M590*$B$4),0)+IF($B$5&gt;0,IF($N590="",1/0,$N590*$B$5),0)+IF($B$6&gt;0,IF($O590="",1/0,$O590*$B$6),0),""))</f>
        <v/>
      </c>
      <c r="R590" s="17"/>
      <c r="S590" s="18" t="str">
        <f aca="false">IF($Q590="","",IF($R590="Y",IFERROR(VLOOKUP($B590,$C$4:$D$13,2,FALSE()),0),0))</f>
        <v/>
      </c>
      <c r="T590" s="17" t="str">
        <f aca="false">IF($Q590="","",ROUNDDOWN($Q590*$S590,0))</f>
        <v/>
      </c>
      <c r="U590" s="17" t="str">
        <f aca="false">IF($Q590="","",$Q590-$T590)</f>
        <v/>
      </c>
      <c r="V590" s="17" t="str">
        <f aca="false">IF($U590="","",IF($B$10=0,"",$U590/$B$10))</f>
        <v/>
      </c>
      <c r="W590" s="17" t="str">
        <f aca="false">IF($Q590="","",IF($B$10=0,"",$Q590/$B$10))</f>
        <v/>
      </c>
      <c r="X590" s="19" t="n">
        <f aca="false">IF($U590="",1000000000000000,$U590)</f>
        <v>1000000000000000</v>
      </c>
      <c r="XFC590" s="6"/>
    </row>
    <row r="591" s="22" customFormat="true" ht="28.5" hidden="false" customHeight="true" outlineLevel="0" collapsed="false">
      <c r="A591" s="16" t="str">
        <f aca="false">IF($U591="","",1+COUNTIF($X$15:$X$728,"&lt;"&amp;X591))</f>
        <v/>
      </c>
      <c r="B591" s="16" t="s">
        <v>10</v>
      </c>
      <c r="C591" s="16" t="s">
        <v>1759</v>
      </c>
      <c r="D591" s="16" t="s">
        <v>51</v>
      </c>
      <c r="E591" s="16" t="s">
        <v>47</v>
      </c>
      <c r="F591" s="16" t="s">
        <v>1760</v>
      </c>
      <c r="G591" s="16" t="s">
        <v>1761</v>
      </c>
      <c r="H591" s="17" t="n">
        <v>1855</v>
      </c>
      <c r="I591" s="17"/>
      <c r="J591" s="17"/>
      <c r="K591" s="17" t="n">
        <v>1895</v>
      </c>
      <c r="L591" s="17" t="n">
        <f aca="false">IF(AND(IFERROR(SEARCH("현대오일뱅크",$C591),0)&gt;0,IFERROR(SEARCH("직영",$C591),0)&gt;0),$B$13,0)</f>
        <v>0</v>
      </c>
      <c r="M591" s="17" t="n">
        <f aca="false">IF($H591="","",$H591+$L591)</f>
        <v>1855</v>
      </c>
      <c r="N591" s="17" t="str">
        <f aca="false">IF($I591="","",$I591+$L591)</f>
        <v/>
      </c>
      <c r="O591" s="17" t="n">
        <f aca="false">IF($K591="","",$K591+$L591)</f>
        <v>1895</v>
      </c>
      <c r="P591" s="17" t="str">
        <f aca="false">IF($B$10=0,"",IFERROR(IF($B$4&gt;0,"휘발유 "&amp;TEXT(IF($M591="",1/0,$M591*$B$4),"#,##0")&amp;"원","")&amp;IF($B$5&gt;0,IF($B$4&gt;0," / ","")&amp;"고급유 "&amp;TEXT(IF($N591="",1/0,$N591*$B$5),"#,##0")&amp;"원","")&amp;IF($B$6&gt;0,IF(OR($B$4&gt;0,$B$5&gt;0)," / ","")&amp;"경유 "&amp;TEXT(IF($O591="",1/0,$O591*$B$6),"#,##0")&amp;"원",""),""))</f>
        <v/>
      </c>
      <c r="Q591" s="17" t="str">
        <f aca="false">IF($B$10=0,"",IFERROR(IF($B$4&gt;0,IF($M591="",1/0,$M591*$B$4),0)+IF($B$5&gt;0,IF($N591="",1/0,$N591*$B$5),0)+IF($B$6&gt;0,IF($O591="",1/0,$O591*$B$6),0),""))</f>
        <v/>
      </c>
      <c r="R591" s="17"/>
      <c r="S591" s="18" t="str">
        <f aca="false">IF($Q591="","",IF($R591="Y",IFERROR(VLOOKUP($B591,$C$4:$D$13,2,FALSE()),0),0))</f>
        <v/>
      </c>
      <c r="T591" s="17" t="str">
        <f aca="false">IF($Q591="","",ROUNDDOWN($Q591*$S591,0))</f>
        <v/>
      </c>
      <c r="U591" s="17" t="str">
        <f aca="false">IF($Q591="","",$Q591-$T591)</f>
        <v/>
      </c>
      <c r="V591" s="17" t="str">
        <f aca="false">IF($U591="","",IF($B$10=0,"",$U591/$B$10))</f>
        <v/>
      </c>
      <c r="W591" s="17" t="str">
        <f aca="false">IF($Q591="","",IF($B$10=0,"",$Q591/$B$10))</f>
        <v/>
      </c>
      <c r="X591" s="19" t="n">
        <f aca="false">IF($U591="",1000000000000000,$U591)</f>
        <v>1000000000000000</v>
      </c>
      <c r="XFC591" s="6"/>
    </row>
    <row r="592" s="22" customFormat="true" ht="28.5" hidden="false" customHeight="true" outlineLevel="0" collapsed="false">
      <c r="A592" s="16" t="str">
        <f aca="false">IF($U592="","",1+COUNTIF($X$15:$X$728,"&lt;"&amp;X592))</f>
        <v/>
      </c>
      <c r="B592" s="16" t="s">
        <v>10</v>
      </c>
      <c r="C592" s="16" t="s">
        <v>1762</v>
      </c>
      <c r="D592" s="16" t="s">
        <v>46</v>
      </c>
      <c r="E592" s="16" t="s">
        <v>47</v>
      </c>
      <c r="F592" s="16" t="s">
        <v>1763</v>
      </c>
      <c r="G592" s="16" t="s">
        <v>1764</v>
      </c>
      <c r="H592" s="17" t="n">
        <v>1855</v>
      </c>
      <c r="I592" s="17"/>
      <c r="J592" s="17"/>
      <c r="K592" s="17" t="n">
        <v>1895</v>
      </c>
      <c r="L592" s="17" t="n">
        <f aca="false">IF(AND(IFERROR(SEARCH("현대오일뱅크",$C592),0)&gt;0,IFERROR(SEARCH("직영",$C592),0)&gt;0),$B$13,0)</f>
        <v>0</v>
      </c>
      <c r="M592" s="17" t="n">
        <f aca="false">IF($H592="","",$H592+$L592)</f>
        <v>1855</v>
      </c>
      <c r="N592" s="17" t="str">
        <f aca="false">IF($I592="","",$I592+$L592)</f>
        <v/>
      </c>
      <c r="O592" s="17" t="n">
        <f aca="false">IF($K592="","",$K592+$L592)</f>
        <v>1895</v>
      </c>
      <c r="P592" s="17" t="str">
        <f aca="false">IF($B$10=0,"",IFERROR(IF($B$4&gt;0,"휘발유 "&amp;TEXT(IF($M592="",1/0,$M592*$B$4),"#,##0")&amp;"원","")&amp;IF($B$5&gt;0,IF($B$4&gt;0," / ","")&amp;"고급유 "&amp;TEXT(IF($N592="",1/0,$N592*$B$5),"#,##0")&amp;"원","")&amp;IF($B$6&gt;0,IF(OR($B$4&gt;0,$B$5&gt;0)," / ","")&amp;"경유 "&amp;TEXT(IF($O592="",1/0,$O592*$B$6),"#,##0")&amp;"원",""),""))</f>
        <v/>
      </c>
      <c r="Q592" s="17" t="str">
        <f aca="false">IF($B$10=0,"",IFERROR(IF($B$4&gt;0,IF($M592="",1/0,$M592*$B$4),0)+IF($B$5&gt;0,IF($N592="",1/0,$N592*$B$5),0)+IF($B$6&gt;0,IF($O592="",1/0,$O592*$B$6),0),""))</f>
        <v/>
      </c>
      <c r="R592" s="17"/>
      <c r="S592" s="18" t="str">
        <f aca="false">IF($Q592="","",IF($R592="Y",IFERROR(VLOOKUP($B592,$C$4:$D$13,2,FALSE()),0),0))</f>
        <v/>
      </c>
      <c r="T592" s="17" t="str">
        <f aca="false">IF($Q592="","",ROUNDDOWN($Q592*$S592,0))</f>
        <v/>
      </c>
      <c r="U592" s="17" t="str">
        <f aca="false">IF($Q592="","",$Q592-$T592)</f>
        <v/>
      </c>
      <c r="V592" s="17" t="str">
        <f aca="false">IF($U592="","",IF($B$10=0,"",$U592/$B$10))</f>
        <v/>
      </c>
      <c r="W592" s="17" t="str">
        <f aca="false">IF($Q592="","",IF($B$10=0,"",$Q592/$B$10))</f>
        <v/>
      </c>
      <c r="X592" s="19" t="n">
        <f aca="false">IF($U592="",1000000000000000,$U592)</f>
        <v>1000000000000000</v>
      </c>
      <c r="XFC592" s="6"/>
    </row>
    <row r="593" s="22" customFormat="true" ht="28.5" hidden="false" customHeight="true" outlineLevel="0" collapsed="false">
      <c r="A593" s="16" t="str">
        <f aca="false">IF($U593="","",1+COUNTIF($X$15:$X$728,"&lt;"&amp;X593))</f>
        <v/>
      </c>
      <c r="B593" s="16" t="s">
        <v>10</v>
      </c>
      <c r="C593" s="16" t="s">
        <v>1765</v>
      </c>
      <c r="D593" s="20" t="s">
        <v>108</v>
      </c>
      <c r="E593" s="16" t="s">
        <v>47</v>
      </c>
      <c r="F593" s="16" t="s">
        <v>1766</v>
      </c>
      <c r="G593" s="16" t="s">
        <v>1767</v>
      </c>
      <c r="H593" s="17" t="n">
        <v>1855</v>
      </c>
      <c r="I593" s="17"/>
      <c r="J593" s="17"/>
      <c r="K593" s="17" t="n">
        <v>1895</v>
      </c>
      <c r="L593" s="17" t="n">
        <f aca="false">IF(AND(IFERROR(SEARCH("현대오일뱅크",$C593),0)&gt;0,IFERROR(SEARCH("직영",$C593),0)&gt;0),$B$13,0)</f>
        <v>0</v>
      </c>
      <c r="M593" s="17" t="n">
        <f aca="false">IF($H593="","",$H593+$L593)</f>
        <v>1855</v>
      </c>
      <c r="N593" s="17" t="str">
        <f aca="false">IF($I593="","",$I593+$L593)</f>
        <v/>
      </c>
      <c r="O593" s="17" t="n">
        <f aca="false">IF($K593="","",$K593+$L593)</f>
        <v>1895</v>
      </c>
      <c r="P593" s="17" t="str">
        <f aca="false">IF($B$10=0,"",IFERROR(IF($B$4&gt;0,"휘발유 "&amp;TEXT(IF($M593="",1/0,$M593*$B$4),"#,##0")&amp;"원","")&amp;IF($B$5&gt;0,IF($B$4&gt;0," / ","")&amp;"고급유 "&amp;TEXT(IF($N593="",1/0,$N593*$B$5),"#,##0")&amp;"원","")&amp;IF($B$6&gt;0,IF(OR($B$4&gt;0,$B$5&gt;0)," / ","")&amp;"경유 "&amp;TEXT(IF($O593="",1/0,$O593*$B$6),"#,##0")&amp;"원",""),""))</f>
        <v/>
      </c>
      <c r="Q593" s="17" t="str">
        <f aca="false">IF($B$10=0,"",IFERROR(IF($B$4&gt;0,IF($M593="",1/0,$M593*$B$4),0)+IF($B$5&gt;0,IF($N593="",1/0,$N593*$B$5),0)+IF($B$6&gt;0,IF($O593="",1/0,$O593*$B$6),0),""))</f>
        <v/>
      </c>
      <c r="R593" s="17"/>
      <c r="S593" s="18" t="str">
        <f aca="false">IF($Q593="","",IF($R593="Y",IFERROR(VLOOKUP($B593,$C$4:$D$13,2,FALSE()),0),0))</f>
        <v/>
      </c>
      <c r="T593" s="17" t="str">
        <f aca="false">IF($Q593="","",ROUNDDOWN($Q593*$S593,0))</f>
        <v/>
      </c>
      <c r="U593" s="17" t="str">
        <f aca="false">IF($Q593="","",$Q593-$T593)</f>
        <v/>
      </c>
      <c r="V593" s="17" t="str">
        <f aca="false">IF($U593="","",IF($B$10=0,"",$U593/$B$10))</f>
        <v/>
      </c>
      <c r="W593" s="17" t="str">
        <f aca="false">IF($Q593="","",IF($B$10=0,"",$Q593/$B$10))</f>
        <v/>
      </c>
      <c r="X593" s="19" t="n">
        <f aca="false">IF($U593="",1000000000000000,$U593)</f>
        <v>1000000000000000</v>
      </c>
      <c r="XFC593" s="6"/>
    </row>
    <row r="594" s="22" customFormat="true" ht="28.5" hidden="false" customHeight="true" outlineLevel="0" collapsed="false">
      <c r="A594" s="16" t="str">
        <f aca="false">IF($U594="","",1+COUNTIF($X$15:$X$728,"&lt;"&amp;X594))</f>
        <v/>
      </c>
      <c r="B594" s="16" t="s">
        <v>10</v>
      </c>
      <c r="C594" s="16" t="s">
        <v>1768</v>
      </c>
      <c r="D594" s="20" t="s">
        <v>108</v>
      </c>
      <c r="E594" s="16" t="s">
        <v>47</v>
      </c>
      <c r="F594" s="16" t="s">
        <v>1769</v>
      </c>
      <c r="G594" s="16" t="s">
        <v>1770</v>
      </c>
      <c r="H594" s="17" t="n">
        <v>1855</v>
      </c>
      <c r="I594" s="17"/>
      <c r="J594" s="17"/>
      <c r="K594" s="17" t="n">
        <v>1895</v>
      </c>
      <c r="L594" s="17" t="n">
        <f aca="false">IF(AND(IFERROR(SEARCH("현대오일뱅크",$C594),0)&gt;0,IFERROR(SEARCH("직영",$C594),0)&gt;0),$B$13,0)</f>
        <v>0</v>
      </c>
      <c r="M594" s="17" t="n">
        <f aca="false">IF($H594="","",$H594+$L594)</f>
        <v>1855</v>
      </c>
      <c r="N594" s="17" t="str">
        <f aca="false">IF($I594="","",$I594+$L594)</f>
        <v/>
      </c>
      <c r="O594" s="17" t="n">
        <f aca="false">IF($K594="","",$K594+$L594)</f>
        <v>1895</v>
      </c>
      <c r="P594" s="17" t="str">
        <f aca="false">IF($B$10=0,"",IFERROR(IF($B$4&gt;0,"휘발유 "&amp;TEXT(IF($M594="",1/0,$M594*$B$4),"#,##0")&amp;"원","")&amp;IF($B$5&gt;0,IF($B$4&gt;0," / ","")&amp;"고급유 "&amp;TEXT(IF($N594="",1/0,$N594*$B$5),"#,##0")&amp;"원","")&amp;IF($B$6&gt;0,IF(OR($B$4&gt;0,$B$5&gt;0)," / ","")&amp;"경유 "&amp;TEXT(IF($O594="",1/0,$O594*$B$6),"#,##0")&amp;"원",""),""))</f>
        <v/>
      </c>
      <c r="Q594" s="17" t="str">
        <f aca="false">IF($B$10=0,"",IFERROR(IF($B$4&gt;0,IF($M594="",1/0,$M594*$B$4),0)+IF($B$5&gt;0,IF($N594="",1/0,$N594*$B$5),0)+IF($B$6&gt;0,IF($O594="",1/0,$O594*$B$6),0),""))</f>
        <v/>
      </c>
      <c r="R594" s="17"/>
      <c r="S594" s="18" t="str">
        <f aca="false">IF($Q594="","",IF($R594="Y",IFERROR(VLOOKUP($B594,$C$4:$D$13,2,FALSE()),0),0))</f>
        <v/>
      </c>
      <c r="T594" s="17" t="str">
        <f aca="false">IF($Q594="","",ROUNDDOWN($Q594*$S594,0))</f>
        <v/>
      </c>
      <c r="U594" s="17" t="str">
        <f aca="false">IF($Q594="","",$Q594-$T594)</f>
        <v/>
      </c>
      <c r="V594" s="17" t="str">
        <f aca="false">IF($U594="","",IF($B$10=0,"",$U594/$B$10))</f>
        <v/>
      </c>
      <c r="W594" s="17" t="str">
        <f aca="false">IF($Q594="","",IF($B$10=0,"",$Q594/$B$10))</f>
        <v/>
      </c>
      <c r="X594" s="19" t="n">
        <f aca="false">IF($U594="",1000000000000000,$U594)</f>
        <v>1000000000000000</v>
      </c>
      <c r="XFC594" s="6"/>
    </row>
    <row r="595" s="22" customFormat="true" ht="28.5" hidden="false" customHeight="true" outlineLevel="0" collapsed="false">
      <c r="A595" s="16" t="str">
        <f aca="false">IF($U595="","",1+COUNTIF($X$15:$X$728,"&lt;"&amp;X595))</f>
        <v/>
      </c>
      <c r="B595" s="16" t="s">
        <v>10</v>
      </c>
      <c r="C595" s="16" t="s">
        <v>1771</v>
      </c>
      <c r="D595" s="20" t="s">
        <v>108</v>
      </c>
      <c r="E595" s="16" t="s">
        <v>47</v>
      </c>
      <c r="F595" s="16" t="s">
        <v>1772</v>
      </c>
      <c r="G595" s="16" t="s">
        <v>1773</v>
      </c>
      <c r="H595" s="17" t="n">
        <v>1855</v>
      </c>
      <c r="I595" s="17"/>
      <c r="J595" s="17"/>
      <c r="K595" s="17" t="n">
        <v>1895</v>
      </c>
      <c r="L595" s="17" t="n">
        <f aca="false">IF(AND(IFERROR(SEARCH("현대오일뱅크",$C595),0)&gt;0,IFERROR(SEARCH("직영",$C595),0)&gt;0),$B$13,0)</f>
        <v>0</v>
      </c>
      <c r="M595" s="17" t="n">
        <f aca="false">IF($H595="","",$H595+$L595)</f>
        <v>1855</v>
      </c>
      <c r="N595" s="17" t="str">
        <f aca="false">IF($I595="","",$I595+$L595)</f>
        <v/>
      </c>
      <c r="O595" s="17" t="n">
        <f aca="false">IF($K595="","",$K595+$L595)</f>
        <v>1895</v>
      </c>
      <c r="P595" s="17" t="str">
        <f aca="false">IF($B$10=0,"",IFERROR(IF($B$4&gt;0,"휘발유 "&amp;TEXT(IF($M595="",1/0,$M595*$B$4),"#,##0")&amp;"원","")&amp;IF($B$5&gt;0,IF($B$4&gt;0," / ","")&amp;"고급유 "&amp;TEXT(IF($N595="",1/0,$N595*$B$5),"#,##0")&amp;"원","")&amp;IF($B$6&gt;0,IF(OR($B$4&gt;0,$B$5&gt;0)," / ","")&amp;"경유 "&amp;TEXT(IF($O595="",1/0,$O595*$B$6),"#,##0")&amp;"원",""),""))</f>
        <v/>
      </c>
      <c r="Q595" s="17" t="str">
        <f aca="false">IF($B$10=0,"",IFERROR(IF($B$4&gt;0,IF($M595="",1/0,$M595*$B$4),0)+IF($B$5&gt;0,IF($N595="",1/0,$N595*$B$5),0)+IF($B$6&gt;0,IF($O595="",1/0,$O595*$B$6),0),""))</f>
        <v/>
      </c>
      <c r="R595" s="17"/>
      <c r="S595" s="18" t="str">
        <f aca="false">IF($Q595="","",IF($R595="Y",IFERROR(VLOOKUP($B595,$C$4:$D$13,2,FALSE()),0),0))</f>
        <v/>
      </c>
      <c r="T595" s="17" t="str">
        <f aca="false">IF($Q595="","",ROUNDDOWN($Q595*$S595,0))</f>
        <v/>
      </c>
      <c r="U595" s="17" t="str">
        <f aca="false">IF($Q595="","",$Q595-$T595)</f>
        <v/>
      </c>
      <c r="V595" s="17" t="str">
        <f aca="false">IF($U595="","",IF($B$10=0,"",$U595/$B$10))</f>
        <v/>
      </c>
      <c r="W595" s="17" t="str">
        <f aca="false">IF($Q595="","",IF($B$10=0,"",$Q595/$B$10))</f>
        <v/>
      </c>
      <c r="X595" s="19" t="n">
        <f aca="false">IF($U595="",1000000000000000,$U595)</f>
        <v>1000000000000000</v>
      </c>
      <c r="XFC595" s="6"/>
    </row>
    <row r="596" s="22" customFormat="true" ht="28.5" hidden="false" customHeight="true" outlineLevel="0" collapsed="false">
      <c r="A596" s="16" t="str">
        <f aca="false">IF($U596="","",1+COUNTIF($X$15:$X$728,"&lt;"&amp;X596))</f>
        <v/>
      </c>
      <c r="B596" s="16" t="s">
        <v>18</v>
      </c>
      <c r="C596" s="16" t="s">
        <v>1774</v>
      </c>
      <c r="D596" s="16" t="s">
        <v>112</v>
      </c>
      <c r="E596" s="16" t="s">
        <v>59</v>
      </c>
      <c r="F596" s="16" t="s">
        <v>1775</v>
      </c>
      <c r="G596" s="16" t="s">
        <v>1776</v>
      </c>
      <c r="H596" s="17" t="n">
        <v>1857</v>
      </c>
      <c r="I596" s="17"/>
      <c r="J596" s="17"/>
      <c r="K596" s="17" t="n">
        <v>1857</v>
      </c>
      <c r="L596" s="17" t="n">
        <f aca="false">IF(AND(IFERROR(SEARCH("현대오일뱅크",$C596),0)&gt;0,IFERROR(SEARCH("직영",$C596),0)&gt;0),$B$13,0)</f>
        <v>0</v>
      </c>
      <c r="M596" s="17" t="n">
        <f aca="false">IF($H596="","",$H596+$L596)</f>
        <v>1857</v>
      </c>
      <c r="N596" s="17" t="str">
        <f aca="false">IF($I596="","",$I596+$L596)</f>
        <v/>
      </c>
      <c r="O596" s="17" t="n">
        <f aca="false">IF($K596="","",$K596+$L596)</f>
        <v>1857</v>
      </c>
      <c r="P596" s="17" t="str">
        <f aca="false">IF($B$10=0,"",IFERROR(IF($B$4&gt;0,"휘발유 "&amp;TEXT(IF($M596="",1/0,$M596*$B$4),"#,##0")&amp;"원","")&amp;IF($B$5&gt;0,IF($B$4&gt;0," / ","")&amp;"고급유 "&amp;TEXT(IF($N596="",1/0,$N596*$B$5),"#,##0")&amp;"원","")&amp;IF($B$6&gt;0,IF(OR($B$4&gt;0,$B$5&gt;0)," / ","")&amp;"경유 "&amp;TEXT(IF($O596="",1/0,$O596*$B$6),"#,##0")&amp;"원",""),""))</f>
        <v/>
      </c>
      <c r="Q596" s="17" t="str">
        <f aca="false">IF($B$10=0,"",IFERROR(IF($B$4&gt;0,IF($M596="",1/0,$M596*$B$4),0)+IF($B$5&gt;0,IF($N596="",1/0,$N596*$B$5),0)+IF($B$6&gt;0,IF($O596="",1/0,$O596*$B$6),0),""))</f>
        <v/>
      </c>
      <c r="R596" s="17"/>
      <c r="S596" s="18" t="str">
        <f aca="false">IF($Q596="","",IF($R596="Y",IFERROR(VLOOKUP($B596,$C$4:$D$13,2,FALSE()),0),0))</f>
        <v/>
      </c>
      <c r="T596" s="17" t="str">
        <f aca="false">IF($Q596="","",ROUNDDOWN($Q596*$S596,0))</f>
        <v/>
      </c>
      <c r="U596" s="17" t="str">
        <f aca="false">IF($Q596="","",$Q596-$T596)</f>
        <v/>
      </c>
      <c r="V596" s="17" t="str">
        <f aca="false">IF($U596="","",IF($B$10=0,"",$U596/$B$10))</f>
        <v/>
      </c>
      <c r="W596" s="17" t="str">
        <f aca="false">IF($Q596="","",IF($B$10=0,"",$Q596/$B$10))</f>
        <v/>
      </c>
      <c r="X596" s="19" t="n">
        <f aca="false">IF($U596="",1000000000000000,$U596)</f>
        <v>1000000000000000</v>
      </c>
      <c r="XFC596" s="6"/>
    </row>
    <row r="597" s="22" customFormat="true" ht="28.5" hidden="false" customHeight="true" outlineLevel="0" collapsed="false">
      <c r="A597" s="16" t="str">
        <f aca="false">IF($U597="","",1+COUNTIF($X$15:$X$728,"&lt;"&amp;X597))</f>
        <v/>
      </c>
      <c r="B597" s="16" t="s">
        <v>8</v>
      </c>
      <c r="C597" s="16" t="s">
        <v>1777</v>
      </c>
      <c r="D597" s="16" t="s">
        <v>58</v>
      </c>
      <c r="E597" s="16" t="s">
        <v>47</v>
      </c>
      <c r="F597" s="16" t="s">
        <v>1778</v>
      </c>
      <c r="G597" s="16" t="s">
        <v>1779</v>
      </c>
      <c r="H597" s="17" t="n">
        <v>1858</v>
      </c>
      <c r="I597" s="17"/>
      <c r="J597" s="17"/>
      <c r="K597" s="17" t="n">
        <v>1868</v>
      </c>
      <c r="L597" s="17" t="n">
        <f aca="false">IF(AND(IFERROR(SEARCH("현대오일뱅크",$C597),0)&gt;0,IFERROR(SEARCH("직영",$C597),0)&gt;0),$B$13,0)</f>
        <v>0</v>
      </c>
      <c r="M597" s="17" t="n">
        <f aca="false">IF($H597="","",$H597+$L597)</f>
        <v>1858</v>
      </c>
      <c r="N597" s="17" t="str">
        <f aca="false">IF($I597="","",$I597+$L597)</f>
        <v/>
      </c>
      <c r="O597" s="17" t="n">
        <f aca="false">IF($K597="","",$K597+$L597)</f>
        <v>1868</v>
      </c>
      <c r="P597" s="17" t="str">
        <f aca="false">IF($B$10=0,"",IFERROR(IF($B$4&gt;0,"휘발유 "&amp;TEXT(IF($M597="",1/0,$M597*$B$4),"#,##0")&amp;"원","")&amp;IF($B$5&gt;0,IF($B$4&gt;0," / ","")&amp;"고급유 "&amp;TEXT(IF($N597="",1/0,$N597*$B$5),"#,##0")&amp;"원","")&amp;IF($B$6&gt;0,IF(OR($B$4&gt;0,$B$5&gt;0)," / ","")&amp;"경유 "&amp;TEXT(IF($O597="",1/0,$O597*$B$6),"#,##0")&amp;"원",""),""))</f>
        <v/>
      </c>
      <c r="Q597" s="17" t="str">
        <f aca="false">IF($B$10=0,"",IFERROR(IF($B$4&gt;0,IF($M597="",1/0,$M597*$B$4),0)+IF($B$5&gt;0,IF($N597="",1/0,$N597*$B$5),0)+IF($B$6&gt;0,IF($O597="",1/0,$O597*$B$6),0),""))</f>
        <v/>
      </c>
      <c r="R597" s="17"/>
      <c r="S597" s="18" t="str">
        <f aca="false">IF($Q597="","",IF($R597="Y",IFERROR(VLOOKUP($B597,$C$4:$D$13,2,FALSE()),0),0))</f>
        <v/>
      </c>
      <c r="T597" s="17" t="str">
        <f aca="false">IF($Q597="","",ROUNDDOWN($Q597*$S597,0))</f>
        <v/>
      </c>
      <c r="U597" s="17" t="str">
        <f aca="false">IF($Q597="","",$Q597-$T597)</f>
        <v/>
      </c>
      <c r="V597" s="17" t="str">
        <f aca="false">IF($U597="","",IF($B$10=0,"",$U597/$B$10))</f>
        <v/>
      </c>
      <c r="W597" s="17" t="str">
        <f aca="false">IF($Q597="","",IF($B$10=0,"",$Q597/$B$10))</f>
        <v/>
      </c>
      <c r="X597" s="19" t="n">
        <f aca="false">IF($U597="",1000000000000000,$U597)</f>
        <v>1000000000000000</v>
      </c>
      <c r="XFC597" s="6"/>
    </row>
    <row r="598" s="22" customFormat="true" ht="28.5" hidden="false" customHeight="true" outlineLevel="0" collapsed="false">
      <c r="A598" s="16" t="str">
        <f aca="false">IF($U598="","",1+COUNTIF($X$15:$X$728,"&lt;"&amp;X598))</f>
        <v/>
      </c>
      <c r="B598" s="16" t="s">
        <v>10</v>
      </c>
      <c r="C598" s="16" t="s">
        <v>1780</v>
      </c>
      <c r="D598" s="16" t="s">
        <v>46</v>
      </c>
      <c r="E598" s="16" t="s">
        <v>47</v>
      </c>
      <c r="F598" s="16" t="s">
        <v>1781</v>
      </c>
      <c r="G598" s="16" t="s">
        <v>1782</v>
      </c>
      <c r="H598" s="17" t="n">
        <v>1859</v>
      </c>
      <c r="I598" s="17"/>
      <c r="J598" s="17"/>
      <c r="K598" s="17" t="n">
        <v>1859</v>
      </c>
      <c r="L598" s="17" t="n">
        <f aca="false">IF(AND(IFERROR(SEARCH("현대오일뱅크",$C598),0)&gt;0,IFERROR(SEARCH("직영",$C598),0)&gt;0),$B$13,0)</f>
        <v>0</v>
      </c>
      <c r="M598" s="17" t="n">
        <f aca="false">IF($H598="","",$H598+$L598)</f>
        <v>1859</v>
      </c>
      <c r="N598" s="17" t="str">
        <f aca="false">IF($I598="","",$I598+$L598)</f>
        <v/>
      </c>
      <c r="O598" s="17" t="n">
        <f aca="false">IF($K598="","",$K598+$L598)</f>
        <v>1859</v>
      </c>
      <c r="P598" s="17" t="str">
        <f aca="false">IF($B$10=0,"",IFERROR(IF($B$4&gt;0,"휘발유 "&amp;TEXT(IF($M598="",1/0,$M598*$B$4),"#,##0")&amp;"원","")&amp;IF($B$5&gt;0,IF($B$4&gt;0," / ","")&amp;"고급유 "&amp;TEXT(IF($N598="",1/0,$N598*$B$5),"#,##0")&amp;"원","")&amp;IF($B$6&gt;0,IF(OR($B$4&gt;0,$B$5&gt;0)," / ","")&amp;"경유 "&amp;TEXT(IF($O598="",1/0,$O598*$B$6),"#,##0")&amp;"원",""),""))</f>
        <v/>
      </c>
      <c r="Q598" s="17" t="str">
        <f aca="false">IF($B$10=0,"",IFERROR(IF($B$4&gt;0,IF($M598="",1/0,$M598*$B$4),0)+IF($B$5&gt;0,IF($N598="",1/0,$N598*$B$5),0)+IF($B$6&gt;0,IF($O598="",1/0,$O598*$B$6),0),""))</f>
        <v/>
      </c>
      <c r="R598" s="17"/>
      <c r="S598" s="18" t="str">
        <f aca="false">IF($Q598="","",IF($R598="Y",IFERROR(VLOOKUP($B598,$C$4:$D$13,2,FALSE()),0),0))</f>
        <v/>
      </c>
      <c r="T598" s="17" t="str">
        <f aca="false">IF($Q598="","",ROUNDDOWN($Q598*$S598,0))</f>
        <v/>
      </c>
      <c r="U598" s="17" t="str">
        <f aca="false">IF($Q598="","",$Q598-$T598)</f>
        <v/>
      </c>
      <c r="V598" s="17" t="str">
        <f aca="false">IF($U598="","",IF($B$10=0,"",$U598/$B$10))</f>
        <v/>
      </c>
      <c r="W598" s="17" t="str">
        <f aca="false">IF($Q598="","",IF($B$10=0,"",$Q598/$B$10))</f>
        <v/>
      </c>
      <c r="X598" s="19" t="n">
        <f aca="false">IF($U598="",1000000000000000,$U598)</f>
        <v>1000000000000000</v>
      </c>
      <c r="XFC598" s="6"/>
    </row>
    <row r="599" s="22" customFormat="true" ht="28.5" hidden="false" customHeight="true" outlineLevel="0" collapsed="false">
      <c r="A599" s="16" t="str">
        <f aca="false">IF($U599="","",1+COUNTIF($X$15:$X$728,"&lt;"&amp;X599))</f>
        <v/>
      </c>
      <c r="B599" s="16" t="s">
        <v>10</v>
      </c>
      <c r="C599" s="16" t="s">
        <v>1783</v>
      </c>
      <c r="D599" s="16" t="s">
        <v>58</v>
      </c>
      <c r="E599" s="16" t="s">
        <v>59</v>
      </c>
      <c r="F599" s="16" t="s">
        <v>1784</v>
      </c>
      <c r="G599" s="16" t="s">
        <v>1785</v>
      </c>
      <c r="H599" s="17" t="n">
        <v>1859</v>
      </c>
      <c r="I599" s="17"/>
      <c r="J599" s="17"/>
      <c r="K599" s="17" t="n">
        <v>1859</v>
      </c>
      <c r="L599" s="17" t="n">
        <f aca="false">IF(AND(IFERROR(SEARCH("현대오일뱅크",$C599),0)&gt;0,IFERROR(SEARCH("직영",$C599),0)&gt;0),$B$13,0)</f>
        <v>0</v>
      </c>
      <c r="M599" s="17" t="n">
        <f aca="false">IF($H599="","",$H599+$L599)</f>
        <v>1859</v>
      </c>
      <c r="N599" s="17" t="str">
        <f aca="false">IF($I599="","",$I599+$L599)</f>
        <v/>
      </c>
      <c r="O599" s="17" t="n">
        <f aca="false">IF($K599="","",$K599+$L599)</f>
        <v>1859</v>
      </c>
      <c r="P599" s="17" t="str">
        <f aca="false">IF($B$10=0,"",IFERROR(IF($B$4&gt;0,"휘발유 "&amp;TEXT(IF($M599="",1/0,$M599*$B$4),"#,##0")&amp;"원","")&amp;IF($B$5&gt;0,IF($B$4&gt;0," / ","")&amp;"고급유 "&amp;TEXT(IF($N599="",1/0,$N599*$B$5),"#,##0")&amp;"원","")&amp;IF($B$6&gt;0,IF(OR($B$4&gt;0,$B$5&gt;0)," / ","")&amp;"경유 "&amp;TEXT(IF($O599="",1/0,$O599*$B$6),"#,##0")&amp;"원",""),""))</f>
        <v/>
      </c>
      <c r="Q599" s="17" t="str">
        <f aca="false">IF($B$10=0,"",IFERROR(IF($B$4&gt;0,IF($M599="",1/0,$M599*$B$4),0)+IF($B$5&gt;0,IF($N599="",1/0,$N599*$B$5),0)+IF($B$6&gt;0,IF($O599="",1/0,$O599*$B$6),0),""))</f>
        <v/>
      </c>
      <c r="R599" s="17"/>
      <c r="S599" s="18" t="str">
        <f aca="false">IF($Q599="","",IF($R599="Y",IFERROR(VLOOKUP($B599,$C$4:$D$13,2,FALSE()),0),0))</f>
        <v/>
      </c>
      <c r="T599" s="17" t="str">
        <f aca="false">IF($Q599="","",ROUNDDOWN($Q599*$S599,0))</f>
        <v/>
      </c>
      <c r="U599" s="17" t="str">
        <f aca="false">IF($Q599="","",$Q599-$T599)</f>
        <v/>
      </c>
      <c r="V599" s="17" t="str">
        <f aca="false">IF($U599="","",IF($B$10=0,"",$U599/$B$10))</f>
        <v/>
      </c>
      <c r="W599" s="17" t="str">
        <f aca="false">IF($Q599="","",IF($B$10=0,"",$Q599/$B$10))</f>
        <v/>
      </c>
      <c r="X599" s="19" t="n">
        <f aca="false">IF($U599="",1000000000000000,$U599)</f>
        <v>1000000000000000</v>
      </c>
      <c r="XFC599" s="6"/>
    </row>
    <row r="600" s="22" customFormat="true" ht="28.5" hidden="false" customHeight="true" outlineLevel="0" collapsed="false">
      <c r="A600" s="16" t="str">
        <f aca="false">IF($U600="","",1+COUNTIF($X$15:$X$728,"&lt;"&amp;X600))</f>
        <v/>
      </c>
      <c r="B600" s="16" t="s">
        <v>16</v>
      </c>
      <c r="C600" s="16" t="s">
        <v>1786</v>
      </c>
      <c r="D600" s="16" t="s">
        <v>708</v>
      </c>
      <c r="E600" s="16" t="s">
        <v>47</v>
      </c>
      <c r="F600" s="16" t="s">
        <v>1787</v>
      </c>
      <c r="G600" s="16" t="s">
        <v>1788</v>
      </c>
      <c r="H600" s="17" t="n">
        <v>1860</v>
      </c>
      <c r="I600" s="17"/>
      <c r="J600" s="17"/>
      <c r="K600" s="17" t="n">
        <v>1880</v>
      </c>
      <c r="L600" s="17" t="n">
        <f aca="false">IF(AND(IFERROR(SEARCH("현대오일뱅크",$C600),0)&gt;0,IFERROR(SEARCH("직영",$C600),0)&gt;0),$B$13,0)</f>
        <v>0</v>
      </c>
      <c r="M600" s="17" t="n">
        <f aca="false">IF($H600="","",$H600+$L600)</f>
        <v>1860</v>
      </c>
      <c r="N600" s="17" t="str">
        <f aca="false">IF($I600="","",$I600+$L600)</f>
        <v/>
      </c>
      <c r="O600" s="17" t="n">
        <f aca="false">IF($K600="","",$K600+$L600)</f>
        <v>1880</v>
      </c>
      <c r="P600" s="17" t="str">
        <f aca="false">IF($B$10=0,"",IFERROR(IF($B$4&gt;0,"휘발유 "&amp;TEXT(IF($M600="",1/0,$M600*$B$4),"#,##0")&amp;"원","")&amp;IF($B$5&gt;0,IF($B$4&gt;0," / ","")&amp;"고급유 "&amp;TEXT(IF($N600="",1/0,$N600*$B$5),"#,##0")&amp;"원","")&amp;IF($B$6&gt;0,IF(OR($B$4&gt;0,$B$5&gt;0)," / ","")&amp;"경유 "&amp;TEXT(IF($O600="",1/0,$O600*$B$6),"#,##0")&amp;"원",""),""))</f>
        <v/>
      </c>
      <c r="Q600" s="17" t="str">
        <f aca="false">IF($B$10=0,"",IFERROR(IF($B$4&gt;0,IF($M600="",1/0,$M600*$B$4),0)+IF($B$5&gt;0,IF($N600="",1/0,$N600*$B$5),0)+IF($B$6&gt;0,IF($O600="",1/0,$O600*$B$6),0),""))</f>
        <v/>
      </c>
      <c r="R600" s="17"/>
      <c r="S600" s="18" t="str">
        <f aca="false">IF($Q600="","",IF($R600="Y",IFERROR(VLOOKUP($B600,$C$4:$D$13,2,FALSE()),0),0))</f>
        <v/>
      </c>
      <c r="T600" s="17" t="str">
        <f aca="false">IF($Q600="","",ROUNDDOWN($Q600*$S600,0))</f>
        <v/>
      </c>
      <c r="U600" s="17" t="str">
        <f aca="false">IF($Q600="","",$Q600-$T600)</f>
        <v/>
      </c>
      <c r="V600" s="17" t="str">
        <f aca="false">IF($U600="","",IF($B$10=0,"",$U600/$B$10))</f>
        <v/>
      </c>
      <c r="W600" s="17" t="str">
        <f aca="false">IF($Q600="","",IF($B$10=0,"",$Q600/$B$10))</f>
        <v/>
      </c>
      <c r="X600" s="19" t="n">
        <f aca="false">IF($U600="",1000000000000000,$U600)</f>
        <v>1000000000000000</v>
      </c>
      <c r="XFC600" s="6"/>
    </row>
    <row r="601" s="22" customFormat="true" ht="28.5" hidden="false" customHeight="true" outlineLevel="0" collapsed="false">
      <c r="A601" s="16" t="str">
        <f aca="false">IF($U601="","",1+COUNTIF($X$15:$X$728,"&lt;"&amp;X601))</f>
        <v/>
      </c>
      <c r="B601" s="16" t="s">
        <v>18</v>
      </c>
      <c r="C601" s="16" t="s">
        <v>1789</v>
      </c>
      <c r="D601" s="16" t="s">
        <v>58</v>
      </c>
      <c r="E601" s="16" t="s">
        <v>59</v>
      </c>
      <c r="F601" s="16" t="s">
        <v>1790</v>
      </c>
      <c r="G601" s="16" t="s">
        <v>1791</v>
      </c>
      <c r="H601" s="17" t="n">
        <v>1860</v>
      </c>
      <c r="I601" s="17"/>
      <c r="J601" s="17"/>
      <c r="K601" s="17" t="n">
        <v>1880</v>
      </c>
      <c r="L601" s="17" t="n">
        <f aca="false">IF(AND(IFERROR(SEARCH("현대오일뱅크",$C601),0)&gt;0,IFERROR(SEARCH("직영",$C601),0)&gt;0),$B$13,0)</f>
        <v>0</v>
      </c>
      <c r="M601" s="17" t="n">
        <f aca="false">IF($H601="","",$H601+$L601)</f>
        <v>1860</v>
      </c>
      <c r="N601" s="17" t="str">
        <f aca="false">IF($I601="","",$I601+$L601)</f>
        <v/>
      </c>
      <c r="O601" s="17" t="n">
        <f aca="false">IF($K601="","",$K601+$L601)</f>
        <v>1880</v>
      </c>
      <c r="P601" s="17" t="str">
        <f aca="false">IF($B$10=0,"",IFERROR(IF($B$4&gt;0,"휘발유 "&amp;TEXT(IF($M601="",1/0,$M601*$B$4),"#,##0")&amp;"원","")&amp;IF($B$5&gt;0,IF($B$4&gt;0," / ","")&amp;"고급유 "&amp;TEXT(IF($N601="",1/0,$N601*$B$5),"#,##0")&amp;"원","")&amp;IF($B$6&gt;0,IF(OR($B$4&gt;0,$B$5&gt;0)," / ","")&amp;"경유 "&amp;TEXT(IF($O601="",1/0,$O601*$B$6),"#,##0")&amp;"원",""),""))</f>
        <v/>
      </c>
      <c r="Q601" s="17" t="str">
        <f aca="false">IF($B$10=0,"",IFERROR(IF($B$4&gt;0,IF($M601="",1/0,$M601*$B$4),0)+IF($B$5&gt;0,IF($N601="",1/0,$N601*$B$5),0)+IF($B$6&gt;0,IF($O601="",1/0,$O601*$B$6),0),""))</f>
        <v/>
      </c>
      <c r="R601" s="17"/>
      <c r="S601" s="18" t="str">
        <f aca="false">IF($Q601="","",IF($R601="Y",IFERROR(VLOOKUP($B601,$C$4:$D$13,2,FALSE()),0),0))</f>
        <v/>
      </c>
      <c r="T601" s="17" t="str">
        <f aca="false">IF($Q601="","",ROUNDDOWN($Q601*$S601,0))</f>
        <v/>
      </c>
      <c r="U601" s="17" t="str">
        <f aca="false">IF($Q601="","",$Q601-$T601)</f>
        <v/>
      </c>
      <c r="V601" s="17" t="str">
        <f aca="false">IF($U601="","",IF($B$10=0,"",$U601/$B$10))</f>
        <v/>
      </c>
      <c r="W601" s="17" t="str">
        <f aca="false">IF($Q601="","",IF($B$10=0,"",$Q601/$B$10))</f>
        <v/>
      </c>
      <c r="X601" s="19" t="n">
        <f aca="false">IF($U601="",1000000000000000,$U601)</f>
        <v>1000000000000000</v>
      </c>
      <c r="XFC601" s="6"/>
    </row>
    <row r="602" s="22" customFormat="true" ht="28.5" hidden="false" customHeight="true" outlineLevel="0" collapsed="false">
      <c r="A602" s="16" t="str">
        <f aca="false">IF($U602="","",1+COUNTIF($X$15:$X$728,"&lt;"&amp;X602))</f>
        <v/>
      </c>
      <c r="B602" s="16" t="s">
        <v>10</v>
      </c>
      <c r="C602" s="16" t="s">
        <v>1792</v>
      </c>
      <c r="D602" s="16" t="s">
        <v>112</v>
      </c>
      <c r="E602" s="16" t="s">
        <v>47</v>
      </c>
      <c r="F602" s="16" t="s">
        <v>1793</v>
      </c>
      <c r="G602" s="16" t="s">
        <v>1794</v>
      </c>
      <c r="H602" s="17" t="n">
        <v>1863</v>
      </c>
      <c r="I602" s="17"/>
      <c r="J602" s="17"/>
      <c r="K602" s="17" t="n">
        <v>1893</v>
      </c>
      <c r="L602" s="17" t="n">
        <f aca="false">IF(AND(IFERROR(SEARCH("현대오일뱅크",$C602),0)&gt;0,IFERROR(SEARCH("직영",$C602),0)&gt;0),$B$13,0)</f>
        <v>0</v>
      </c>
      <c r="M602" s="17" t="n">
        <f aca="false">IF($H602="","",$H602+$L602)</f>
        <v>1863</v>
      </c>
      <c r="N602" s="17" t="str">
        <f aca="false">IF($I602="","",$I602+$L602)</f>
        <v/>
      </c>
      <c r="O602" s="17" t="n">
        <f aca="false">IF($K602="","",$K602+$L602)</f>
        <v>1893</v>
      </c>
      <c r="P602" s="17" t="str">
        <f aca="false">IF($B$10=0,"",IFERROR(IF($B$4&gt;0,"휘발유 "&amp;TEXT(IF($M602="",1/0,$M602*$B$4),"#,##0")&amp;"원","")&amp;IF($B$5&gt;0,IF($B$4&gt;0," / ","")&amp;"고급유 "&amp;TEXT(IF($N602="",1/0,$N602*$B$5),"#,##0")&amp;"원","")&amp;IF($B$6&gt;0,IF(OR($B$4&gt;0,$B$5&gt;0)," / ","")&amp;"경유 "&amp;TEXT(IF($O602="",1/0,$O602*$B$6),"#,##0")&amp;"원",""),""))</f>
        <v/>
      </c>
      <c r="Q602" s="17" t="str">
        <f aca="false">IF($B$10=0,"",IFERROR(IF($B$4&gt;0,IF($M602="",1/0,$M602*$B$4),0)+IF($B$5&gt;0,IF($N602="",1/0,$N602*$B$5),0)+IF($B$6&gt;0,IF($O602="",1/0,$O602*$B$6),0),""))</f>
        <v/>
      </c>
      <c r="R602" s="17"/>
      <c r="S602" s="18" t="str">
        <f aca="false">IF($Q602="","",IF($R602="Y",IFERROR(VLOOKUP($B602,$C$4:$D$13,2,FALSE()),0),0))</f>
        <v/>
      </c>
      <c r="T602" s="17" t="str">
        <f aca="false">IF($Q602="","",ROUNDDOWN($Q602*$S602,0))</f>
        <v/>
      </c>
      <c r="U602" s="17" t="str">
        <f aca="false">IF($Q602="","",$Q602-$T602)</f>
        <v/>
      </c>
      <c r="V602" s="17" t="str">
        <f aca="false">IF($U602="","",IF($B$10=0,"",$U602/$B$10))</f>
        <v/>
      </c>
      <c r="W602" s="17" t="str">
        <f aca="false">IF($Q602="","",IF($B$10=0,"",$Q602/$B$10))</f>
        <v/>
      </c>
      <c r="X602" s="19" t="n">
        <f aca="false">IF($U602="",1000000000000000,$U602)</f>
        <v>1000000000000000</v>
      </c>
      <c r="XFC602" s="6"/>
    </row>
    <row r="603" s="22" customFormat="true" ht="28.5" hidden="false" customHeight="true" outlineLevel="0" collapsed="false">
      <c r="A603" s="16" t="str">
        <f aca="false">IF($U603="","",1+COUNTIF($X$15:$X$728,"&lt;"&amp;X603))</f>
        <v/>
      </c>
      <c r="B603" s="16" t="s">
        <v>10</v>
      </c>
      <c r="C603" s="16" t="s">
        <v>1795</v>
      </c>
      <c r="D603" s="16" t="s">
        <v>112</v>
      </c>
      <c r="E603" s="16" t="s">
        <v>47</v>
      </c>
      <c r="F603" s="16" t="s">
        <v>1796</v>
      </c>
      <c r="G603" s="16" t="s">
        <v>1797</v>
      </c>
      <c r="H603" s="17" t="n">
        <v>1864</v>
      </c>
      <c r="I603" s="17"/>
      <c r="J603" s="17"/>
      <c r="K603" s="17" t="n">
        <v>1892</v>
      </c>
      <c r="L603" s="17" t="n">
        <f aca="false">IF(AND(IFERROR(SEARCH("현대오일뱅크",$C603),0)&gt;0,IFERROR(SEARCH("직영",$C603),0)&gt;0),$B$13,0)</f>
        <v>0</v>
      </c>
      <c r="M603" s="17" t="n">
        <f aca="false">IF($H603="","",$H603+$L603)</f>
        <v>1864</v>
      </c>
      <c r="N603" s="17" t="str">
        <f aca="false">IF($I603="","",$I603+$L603)</f>
        <v/>
      </c>
      <c r="O603" s="17" t="n">
        <f aca="false">IF($K603="","",$K603+$L603)</f>
        <v>1892</v>
      </c>
      <c r="P603" s="17" t="str">
        <f aca="false">IF($B$10=0,"",IFERROR(IF($B$4&gt;0,"휘발유 "&amp;TEXT(IF($M603="",1/0,$M603*$B$4),"#,##0")&amp;"원","")&amp;IF($B$5&gt;0,IF($B$4&gt;0," / ","")&amp;"고급유 "&amp;TEXT(IF($N603="",1/0,$N603*$B$5),"#,##0")&amp;"원","")&amp;IF($B$6&gt;0,IF(OR($B$4&gt;0,$B$5&gt;0)," / ","")&amp;"경유 "&amp;TEXT(IF($O603="",1/0,$O603*$B$6),"#,##0")&amp;"원",""),""))</f>
        <v/>
      </c>
      <c r="Q603" s="17" t="str">
        <f aca="false">IF($B$10=0,"",IFERROR(IF($B$4&gt;0,IF($M603="",1/0,$M603*$B$4),0)+IF($B$5&gt;0,IF($N603="",1/0,$N603*$B$5),0)+IF($B$6&gt;0,IF($O603="",1/0,$O603*$B$6),0),""))</f>
        <v/>
      </c>
      <c r="R603" s="17"/>
      <c r="S603" s="18" t="str">
        <f aca="false">IF($Q603="","",IF($R603="Y",IFERROR(VLOOKUP($B603,$C$4:$D$13,2,FALSE()),0),0))</f>
        <v/>
      </c>
      <c r="T603" s="17" t="str">
        <f aca="false">IF($Q603="","",ROUNDDOWN($Q603*$S603,0))</f>
        <v/>
      </c>
      <c r="U603" s="17" t="str">
        <f aca="false">IF($Q603="","",$Q603-$T603)</f>
        <v/>
      </c>
      <c r="V603" s="17" t="str">
        <f aca="false">IF($U603="","",IF($B$10=0,"",$U603/$B$10))</f>
        <v/>
      </c>
      <c r="W603" s="17" t="str">
        <f aca="false">IF($Q603="","",IF($B$10=0,"",$Q603/$B$10))</f>
        <v/>
      </c>
      <c r="X603" s="19" t="n">
        <f aca="false">IF($U603="",1000000000000000,$U603)</f>
        <v>1000000000000000</v>
      </c>
      <c r="XFC603" s="6"/>
    </row>
    <row r="604" s="22" customFormat="true" ht="28.5" hidden="false" customHeight="true" outlineLevel="0" collapsed="false">
      <c r="A604" s="16" t="str">
        <f aca="false">IF($U604="","",1+COUNTIF($X$15:$X$728,"&lt;"&amp;X604))</f>
        <v/>
      </c>
      <c r="B604" s="16" t="s">
        <v>18</v>
      </c>
      <c r="C604" s="16" t="s">
        <v>1798</v>
      </c>
      <c r="D604" s="16" t="s">
        <v>112</v>
      </c>
      <c r="E604" s="16" t="s">
        <v>47</v>
      </c>
      <c r="F604" s="16" t="s">
        <v>1799</v>
      </c>
      <c r="G604" s="16" t="s">
        <v>1800</v>
      </c>
      <c r="H604" s="17" t="n">
        <v>1865</v>
      </c>
      <c r="I604" s="17"/>
      <c r="J604" s="17"/>
      <c r="K604" s="17" t="n">
        <v>1934</v>
      </c>
      <c r="L604" s="17" t="n">
        <f aca="false">IF(AND(IFERROR(SEARCH("현대오일뱅크",$C604),0)&gt;0,IFERROR(SEARCH("직영",$C604),0)&gt;0),$B$13,0)</f>
        <v>0</v>
      </c>
      <c r="M604" s="17" t="n">
        <f aca="false">IF($H604="","",$H604+$L604)</f>
        <v>1865</v>
      </c>
      <c r="N604" s="17" t="str">
        <f aca="false">IF($I604="","",$I604+$L604)</f>
        <v/>
      </c>
      <c r="O604" s="17" t="n">
        <f aca="false">IF($K604="","",$K604+$L604)</f>
        <v>1934</v>
      </c>
      <c r="P604" s="17" t="str">
        <f aca="false">IF($B$10=0,"",IFERROR(IF($B$4&gt;0,"휘발유 "&amp;TEXT(IF($M604="",1/0,$M604*$B$4),"#,##0")&amp;"원","")&amp;IF($B$5&gt;0,IF($B$4&gt;0," / ","")&amp;"고급유 "&amp;TEXT(IF($N604="",1/0,$N604*$B$5),"#,##0")&amp;"원","")&amp;IF($B$6&gt;0,IF(OR($B$4&gt;0,$B$5&gt;0)," / ","")&amp;"경유 "&amp;TEXT(IF($O604="",1/0,$O604*$B$6),"#,##0")&amp;"원",""),""))</f>
        <v/>
      </c>
      <c r="Q604" s="17" t="str">
        <f aca="false">IF($B$10=0,"",IFERROR(IF($B$4&gt;0,IF($M604="",1/0,$M604*$B$4),0)+IF($B$5&gt;0,IF($N604="",1/0,$N604*$B$5),0)+IF($B$6&gt;0,IF($O604="",1/0,$O604*$B$6),0),""))</f>
        <v/>
      </c>
      <c r="R604" s="17"/>
      <c r="S604" s="18" t="str">
        <f aca="false">IF($Q604="","",IF($R604="Y",IFERROR(VLOOKUP($B604,$C$4:$D$13,2,FALSE()),0),0))</f>
        <v/>
      </c>
      <c r="T604" s="17" t="str">
        <f aca="false">IF($Q604="","",ROUNDDOWN($Q604*$S604,0))</f>
        <v/>
      </c>
      <c r="U604" s="17" t="str">
        <f aca="false">IF($Q604="","",$Q604-$T604)</f>
        <v/>
      </c>
      <c r="V604" s="17" t="str">
        <f aca="false">IF($U604="","",IF($B$10=0,"",$U604/$B$10))</f>
        <v/>
      </c>
      <c r="W604" s="17" t="str">
        <f aca="false">IF($Q604="","",IF($B$10=0,"",$Q604/$B$10))</f>
        <v/>
      </c>
      <c r="X604" s="19" t="n">
        <f aca="false">IF($U604="",1000000000000000,$U604)</f>
        <v>1000000000000000</v>
      </c>
      <c r="XFC604" s="6"/>
    </row>
    <row r="605" s="22" customFormat="true" ht="28.5" hidden="false" customHeight="true" outlineLevel="0" collapsed="false">
      <c r="A605" s="16" t="str">
        <f aca="false">IF($U605="","",1+COUNTIF($X$15:$X$728,"&lt;"&amp;X605))</f>
        <v/>
      </c>
      <c r="B605" s="16" t="s">
        <v>10</v>
      </c>
      <c r="C605" s="16" t="s">
        <v>1801</v>
      </c>
      <c r="D605" s="20" t="s">
        <v>108</v>
      </c>
      <c r="E605" s="16" t="s">
        <v>47</v>
      </c>
      <c r="F605" s="16" t="s">
        <v>1802</v>
      </c>
      <c r="G605" s="16" t="s">
        <v>1803</v>
      </c>
      <c r="H605" s="17" t="n">
        <v>1868</v>
      </c>
      <c r="I605" s="17"/>
      <c r="J605" s="17"/>
      <c r="K605" s="17" t="n">
        <v>1898</v>
      </c>
      <c r="L605" s="17" t="n">
        <f aca="false">IF(AND(IFERROR(SEARCH("현대오일뱅크",$C605),0)&gt;0,IFERROR(SEARCH("직영",$C605),0)&gt;0),$B$13,0)</f>
        <v>0</v>
      </c>
      <c r="M605" s="17" t="n">
        <f aca="false">IF($H605="","",$H605+$L605)</f>
        <v>1868</v>
      </c>
      <c r="N605" s="17" t="str">
        <f aca="false">IF($I605="","",$I605+$L605)</f>
        <v/>
      </c>
      <c r="O605" s="17" t="n">
        <f aca="false">IF($K605="","",$K605+$L605)</f>
        <v>1898</v>
      </c>
      <c r="P605" s="17" t="str">
        <f aca="false">IF($B$10=0,"",IFERROR(IF($B$4&gt;0,"휘발유 "&amp;TEXT(IF($M605="",1/0,$M605*$B$4),"#,##0")&amp;"원","")&amp;IF($B$5&gt;0,IF($B$4&gt;0," / ","")&amp;"고급유 "&amp;TEXT(IF($N605="",1/0,$N605*$B$5),"#,##0")&amp;"원","")&amp;IF($B$6&gt;0,IF(OR($B$4&gt;0,$B$5&gt;0)," / ","")&amp;"경유 "&amp;TEXT(IF($O605="",1/0,$O605*$B$6),"#,##0")&amp;"원",""),""))</f>
        <v/>
      </c>
      <c r="Q605" s="17" t="str">
        <f aca="false">IF($B$10=0,"",IFERROR(IF($B$4&gt;0,IF($M605="",1/0,$M605*$B$4),0)+IF($B$5&gt;0,IF($N605="",1/0,$N605*$B$5),0)+IF($B$6&gt;0,IF($O605="",1/0,$O605*$B$6),0),""))</f>
        <v/>
      </c>
      <c r="R605" s="17"/>
      <c r="S605" s="18" t="str">
        <f aca="false">IF($Q605="","",IF($R605="Y",IFERROR(VLOOKUP($B605,$C$4:$D$13,2,FALSE()),0),0))</f>
        <v/>
      </c>
      <c r="T605" s="17" t="str">
        <f aca="false">IF($Q605="","",ROUNDDOWN($Q605*$S605,0))</f>
        <v/>
      </c>
      <c r="U605" s="17" t="str">
        <f aca="false">IF($Q605="","",$Q605-$T605)</f>
        <v/>
      </c>
      <c r="V605" s="17" t="str">
        <f aca="false">IF($U605="","",IF($B$10=0,"",$U605/$B$10))</f>
        <v/>
      </c>
      <c r="W605" s="17" t="str">
        <f aca="false">IF($Q605="","",IF($B$10=0,"",$Q605/$B$10))</f>
        <v/>
      </c>
      <c r="X605" s="19" t="n">
        <f aca="false">IF($U605="",1000000000000000,$U605)</f>
        <v>1000000000000000</v>
      </c>
      <c r="XFC605" s="6"/>
    </row>
    <row r="606" s="22" customFormat="true" ht="28.5" hidden="false" customHeight="true" outlineLevel="0" collapsed="false">
      <c r="A606" s="16" t="str">
        <f aca="false">IF($U606="","",1+COUNTIF($X$15:$X$728,"&lt;"&amp;X606))</f>
        <v/>
      </c>
      <c r="B606" s="16" t="s">
        <v>12</v>
      </c>
      <c r="C606" s="16" t="s">
        <v>1804</v>
      </c>
      <c r="D606" s="20" t="s">
        <v>108</v>
      </c>
      <c r="E606" s="16" t="s">
        <v>59</v>
      </c>
      <c r="F606" s="16" t="s">
        <v>1805</v>
      </c>
      <c r="G606" s="16" t="s">
        <v>1806</v>
      </c>
      <c r="H606" s="17" t="n">
        <v>1868</v>
      </c>
      <c r="I606" s="17"/>
      <c r="J606" s="17"/>
      <c r="K606" s="17" t="n">
        <v>1868</v>
      </c>
      <c r="L606" s="17" t="n">
        <f aca="false">IF(AND(IFERROR(SEARCH("현대오일뱅크",$C606),0)&gt;0,IFERROR(SEARCH("직영",$C606),0)&gt;0),$B$13,0)</f>
        <v>0</v>
      </c>
      <c r="M606" s="17" t="n">
        <f aca="false">IF($H606="","",$H606+$L606)</f>
        <v>1868</v>
      </c>
      <c r="N606" s="17" t="str">
        <f aca="false">IF($I606="","",$I606+$L606)</f>
        <v/>
      </c>
      <c r="O606" s="17" t="n">
        <f aca="false">IF($K606="","",$K606+$L606)</f>
        <v>1868</v>
      </c>
      <c r="P606" s="17" t="str">
        <f aca="false">IF($B$10=0,"",IFERROR(IF($B$4&gt;0,"휘발유 "&amp;TEXT(IF($M606="",1/0,$M606*$B$4),"#,##0")&amp;"원","")&amp;IF($B$5&gt;0,IF($B$4&gt;0," / ","")&amp;"고급유 "&amp;TEXT(IF($N606="",1/0,$N606*$B$5),"#,##0")&amp;"원","")&amp;IF($B$6&gt;0,IF(OR($B$4&gt;0,$B$5&gt;0)," / ","")&amp;"경유 "&amp;TEXT(IF($O606="",1/0,$O606*$B$6),"#,##0")&amp;"원",""),""))</f>
        <v/>
      </c>
      <c r="Q606" s="17" t="str">
        <f aca="false">IF($B$10=0,"",IFERROR(IF($B$4&gt;0,IF($M606="",1/0,$M606*$B$4),0)+IF($B$5&gt;0,IF($N606="",1/0,$N606*$B$5),0)+IF($B$6&gt;0,IF($O606="",1/0,$O606*$B$6),0),""))</f>
        <v/>
      </c>
      <c r="R606" s="17"/>
      <c r="S606" s="18" t="str">
        <f aca="false">IF($Q606="","",IF($R606="Y",IFERROR(VLOOKUP($B606,$C$4:$D$13,2,FALSE()),0),0))</f>
        <v/>
      </c>
      <c r="T606" s="17" t="str">
        <f aca="false">IF($Q606="","",ROUNDDOWN($Q606*$S606,0))</f>
        <v/>
      </c>
      <c r="U606" s="17" t="str">
        <f aca="false">IF($Q606="","",$Q606-$T606)</f>
        <v/>
      </c>
      <c r="V606" s="17" t="str">
        <f aca="false">IF($U606="","",IF($B$10=0,"",$U606/$B$10))</f>
        <v/>
      </c>
      <c r="W606" s="17" t="str">
        <f aca="false">IF($Q606="","",IF($B$10=0,"",$Q606/$B$10))</f>
        <v/>
      </c>
      <c r="X606" s="19" t="n">
        <f aca="false">IF($U606="",1000000000000000,$U606)</f>
        <v>1000000000000000</v>
      </c>
      <c r="XFC606" s="6"/>
    </row>
    <row r="607" s="22" customFormat="true" ht="28.5" hidden="false" customHeight="true" outlineLevel="0" collapsed="false">
      <c r="A607" s="16" t="str">
        <f aca="false">IF($U607="","",1+COUNTIF($X$15:$X$728,"&lt;"&amp;X607))</f>
        <v/>
      </c>
      <c r="B607" s="16" t="s">
        <v>14</v>
      </c>
      <c r="C607" s="16" t="s">
        <v>1807</v>
      </c>
      <c r="D607" s="16" t="s">
        <v>112</v>
      </c>
      <c r="E607" s="16" t="s">
        <v>59</v>
      </c>
      <c r="F607" s="16" t="s">
        <v>1808</v>
      </c>
      <c r="G607" s="16" t="s">
        <v>1809</v>
      </c>
      <c r="H607" s="17" t="n">
        <v>2099</v>
      </c>
      <c r="I607" s="17"/>
      <c r="J607" s="17"/>
      <c r="K607" s="17" t="n">
        <v>2159</v>
      </c>
      <c r="L607" s="17" t="n">
        <f aca="false">IF(AND(IFERROR(SEARCH("현대오일뱅크",$C607),0)&gt;0,IFERROR(SEARCH("직영",$C607),0)&gt;0),$B$13,0)</f>
        <v>0</v>
      </c>
      <c r="M607" s="17" t="n">
        <f aca="false">IF($H607="","",$H607+$L607)</f>
        <v>2099</v>
      </c>
      <c r="N607" s="17" t="str">
        <f aca="false">IF($I607="","",$I607+$L607)</f>
        <v/>
      </c>
      <c r="O607" s="17" t="n">
        <f aca="false">IF($K607="","",$K607+$L607)</f>
        <v>2159</v>
      </c>
      <c r="P607" s="17" t="str">
        <f aca="false">IF($B$10=0,"",IFERROR(IF($B$4&gt;0,"휘발유 "&amp;TEXT(IF($M607="",1/0,$M607*$B$4),"#,##0")&amp;"원","")&amp;IF($B$5&gt;0,IF($B$4&gt;0," / ","")&amp;"고급유 "&amp;TEXT(IF($N607="",1/0,$N607*$B$5),"#,##0")&amp;"원","")&amp;IF($B$6&gt;0,IF(OR($B$4&gt;0,$B$5&gt;0)," / ","")&amp;"경유 "&amp;TEXT(IF($O607="",1/0,$O607*$B$6),"#,##0")&amp;"원",""),""))</f>
        <v/>
      </c>
      <c r="Q607" s="17" t="str">
        <f aca="false">IF($B$10=0,"",IFERROR(IF($B$4&gt;0,IF($M607="",1/0,$M607*$B$4),0)+IF($B$5&gt;0,IF($N607="",1/0,$N607*$B$5),0)+IF($B$6&gt;0,IF($O607="",1/0,$O607*$B$6),0),""))</f>
        <v/>
      </c>
      <c r="R607" s="17" t="s">
        <v>47</v>
      </c>
      <c r="S607" s="18" t="str">
        <f aca="false">IF($Q607="","",IF($R607="Y",IFERROR(VLOOKUP($B607,$C$4:$D$13,2,FALSE()),0),0))</f>
        <v/>
      </c>
      <c r="T607" s="17" t="str">
        <f aca="false">IF($Q607="","",ROUNDDOWN($Q607*$S607,0))</f>
        <v/>
      </c>
      <c r="U607" s="17" t="str">
        <f aca="false">IF($Q607="","",$Q607-$T607)</f>
        <v/>
      </c>
      <c r="V607" s="17" t="str">
        <f aca="false">IF($U607="","",IF($B$10=0,"",$U607/$B$10))</f>
        <v/>
      </c>
      <c r="W607" s="17" t="str">
        <f aca="false">IF($Q607="","",IF($B$10=0,"",$Q607/$B$10))</f>
        <v/>
      </c>
      <c r="X607" s="19" t="n">
        <f aca="false">IF($U607="",1000000000000000,$U607)</f>
        <v>1000000000000000</v>
      </c>
      <c r="XFC607" s="6"/>
    </row>
    <row r="608" s="22" customFormat="true" ht="28.5" hidden="false" customHeight="true" outlineLevel="0" collapsed="false">
      <c r="A608" s="16" t="str">
        <f aca="false">IF($U608="","",1+COUNTIF($X$15:$X$728,"&lt;"&amp;X608))</f>
        <v/>
      </c>
      <c r="B608" s="16" t="s">
        <v>12</v>
      </c>
      <c r="C608" s="16" t="s">
        <v>749</v>
      </c>
      <c r="D608" s="20" t="s">
        <v>248</v>
      </c>
      <c r="E608" s="16" t="s">
        <v>59</v>
      </c>
      <c r="F608" s="16" t="s">
        <v>1810</v>
      </c>
      <c r="G608" s="16" t="s">
        <v>1811</v>
      </c>
      <c r="H608" s="17" t="n">
        <v>2079</v>
      </c>
      <c r="I608" s="17"/>
      <c r="J608" s="17"/>
      <c r="K608" s="17" t="n">
        <v>2179</v>
      </c>
      <c r="L608" s="17" t="n">
        <f aca="false">IF(AND(IFERROR(SEARCH("현대오일뱅크",$C608),0)&gt;0,IFERROR(SEARCH("직영",$C608),0)&gt;0),$B$13,0)</f>
        <v>0</v>
      </c>
      <c r="M608" s="17" t="n">
        <f aca="false">IF($H608="","",$H608+$L608)</f>
        <v>2079</v>
      </c>
      <c r="N608" s="17" t="str">
        <f aca="false">IF($I608="","",$I608+$L608)</f>
        <v/>
      </c>
      <c r="O608" s="17" t="n">
        <f aca="false">IF($K608="","",$K608+$L608)</f>
        <v>2179</v>
      </c>
      <c r="P608" s="17" t="str">
        <f aca="false">IF($B$10=0,"",IFERROR(IF($B$4&gt;0,"휘발유 "&amp;TEXT(IF($M608="",1/0,$M608*$B$4),"#,##0")&amp;"원","")&amp;IF($B$5&gt;0,IF($B$4&gt;0," / ","")&amp;"고급유 "&amp;TEXT(IF($N608="",1/0,$N608*$B$5),"#,##0")&amp;"원","")&amp;IF($B$6&gt;0,IF(OR($B$4&gt;0,$B$5&gt;0)," / ","")&amp;"경유 "&amp;TEXT(IF($O608="",1/0,$O608*$B$6),"#,##0")&amp;"원",""),""))</f>
        <v/>
      </c>
      <c r="Q608" s="17" t="str">
        <f aca="false">IF($B$10=0,"",IFERROR(IF($B$4&gt;0,IF($M608="",1/0,$M608*$B$4),0)+IF($B$5&gt;0,IF($N608="",1/0,$N608*$B$5),0)+IF($B$6&gt;0,IF($O608="",1/0,$O608*$B$6),0),""))</f>
        <v/>
      </c>
      <c r="R608" s="17" t="s">
        <v>47</v>
      </c>
      <c r="S608" s="18" t="str">
        <f aca="false">IF($Q608="","",IF($R608="Y",IFERROR(VLOOKUP($B608,$C$4:$D$13,2,FALSE()),0),0))</f>
        <v/>
      </c>
      <c r="T608" s="17" t="str">
        <f aca="false">IF($Q608="","",ROUNDDOWN($Q608*$S608,0))</f>
        <v/>
      </c>
      <c r="U608" s="17" t="str">
        <f aca="false">IF($Q608="","",$Q608-$T608)</f>
        <v/>
      </c>
      <c r="V608" s="17" t="str">
        <f aca="false">IF($U608="","",IF($B$10=0,"",$U608/$B$10))</f>
        <v/>
      </c>
      <c r="W608" s="17" t="str">
        <f aca="false">IF($Q608="","",IF($B$10=0,"",$Q608/$B$10))</f>
        <v/>
      </c>
      <c r="X608" s="19" t="n">
        <f aca="false">IF($U608="",1000000000000000,$U608)</f>
        <v>1000000000000000</v>
      </c>
      <c r="XFC608" s="6"/>
    </row>
    <row r="609" s="22" customFormat="true" ht="28.5" hidden="false" customHeight="true" outlineLevel="0" collapsed="false">
      <c r="A609" s="16" t="str">
        <f aca="false">IF($U609="","",1+COUNTIF($X$15:$X$728,"&lt;"&amp;X609))</f>
        <v/>
      </c>
      <c r="B609" s="16" t="s">
        <v>8</v>
      </c>
      <c r="C609" s="16" t="s">
        <v>1093</v>
      </c>
      <c r="D609" s="16" t="s">
        <v>708</v>
      </c>
      <c r="E609" s="16" t="s">
        <v>59</v>
      </c>
      <c r="F609" s="16" t="s">
        <v>1812</v>
      </c>
      <c r="G609" s="16" t="s">
        <v>1813</v>
      </c>
      <c r="H609" s="17" t="n">
        <v>1873</v>
      </c>
      <c r="I609" s="17"/>
      <c r="J609" s="17"/>
      <c r="K609" s="17" t="n">
        <v>1843</v>
      </c>
      <c r="L609" s="17" t="n">
        <f aca="false">IF(AND(IFERROR(SEARCH("현대오일뱅크",$C609),0)&gt;0,IFERROR(SEARCH("직영",$C609),0)&gt;0),$B$13,0)</f>
        <v>0</v>
      </c>
      <c r="M609" s="17" t="n">
        <f aca="false">IF($H609="","",$H609+$L609)</f>
        <v>1873</v>
      </c>
      <c r="N609" s="17" t="str">
        <f aca="false">IF($I609="","",$I609+$L609)</f>
        <v/>
      </c>
      <c r="O609" s="17" t="n">
        <f aca="false">IF($K609="","",$K609+$L609)</f>
        <v>1843</v>
      </c>
      <c r="P609" s="17" t="str">
        <f aca="false">IF($B$10=0,"",IFERROR(IF($B$4&gt;0,"휘발유 "&amp;TEXT(IF($M609="",1/0,$M609*$B$4),"#,##0")&amp;"원","")&amp;IF($B$5&gt;0,IF($B$4&gt;0," / ","")&amp;"고급유 "&amp;TEXT(IF($N609="",1/0,$N609*$B$5),"#,##0")&amp;"원","")&amp;IF($B$6&gt;0,IF(OR($B$4&gt;0,$B$5&gt;0)," / ","")&amp;"경유 "&amp;TEXT(IF($O609="",1/0,$O609*$B$6),"#,##0")&amp;"원",""),""))</f>
        <v/>
      </c>
      <c r="Q609" s="17" t="str">
        <f aca="false">IF($B$10=0,"",IFERROR(IF($B$4&gt;0,IF($M609="",1/0,$M609*$B$4),0)+IF($B$5&gt;0,IF($N609="",1/0,$N609*$B$5),0)+IF($B$6&gt;0,IF($O609="",1/0,$O609*$B$6),0),""))</f>
        <v/>
      </c>
      <c r="R609" s="17"/>
      <c r="S609" s="18" t="str">
        <f aca="false">IF($Q609="","",IF($R609="Y",IFERROR(VLOOKUP($B609,$C$4:$D$13,2,FALSE()),0),0))</f>
        <v/>
      </c>
      <c r="T609" s="17" t="str">
        <f aca="false">IF($Q609="","",ROUNDDOWN($Q609*$S609,0))</f>
        <v/>
      </c>
      <c r="U609" s="17" t="str">
        <f aca="false">IF($Q609="","",$Q609-$T609)</f>
        <v/>
      </c>
      <c r="V609" s="17" t="str">
        <f aca="false">IF($U609="","",IF($B$10=0,"",$U609/$B$10))</f>
        <v/>
      </c>
      <c r="W609" s="17" t="str">
        <f aca="false">IF($Q609="","",IF($B$10=0,"",$Q609/$B$10))</f>
        <v/>
      </c>
      <c r="X609" s="19" t="n">
        <f aca="false">IF($U609="",1000000000000000,$U609)</f>
        <v>1000000000000000</v>
      </c>
      <c r="XFC609" s="6"/>
    </row>
    <row r="610" s="22" customFormat="true" ht="28.5" hidden="false" customHeight="true" outlineLevel="0" collapsed="false">
      <c r="A610" s="16" t="str">
        <f aca="false">IF($U610="","",1+COUNTIF($X$15:$X$728,"&lt;"&amp;X610))</f>
        <v/>
      </c>
      <c r="B610" s="16" t="s">
        <v>10</v>
      </c>
      <c r="C610" s="16" t="s">
        <v>1814</v>
      </c>
      <c r="D610" s="20" t="s">
        <v>108</v>
      </c>
      <c r="E610" s="16" t="s">
        <v>47</v>
      </c>
      <c r="F610" s="16" t="s">
        <v>1815</v>
      </c>
      <c r="G610" s="16" t="s">
        <v>1816</v>
      </c>
      <c r="H610" s="17" t="n">
        <v>1879</v>
      </c>
      <c r="I610" s="17"/>
      <c r="J610" s="17"/>
      <c r="K610" s="17" t="n">
        <v>1949</v>
      </c>
      <c r="L610" s="17" t="n">
        <f aca="false">IF(AND(IFERROR(SEARCH("현대오일뱅크",$C610),0)&gt;0,IFERROR(SEARCH("직영",$C610),0)&gt;0),$B$13,0)</f>
        <v>0</v>
      </c>
      <c r="M610" s="17" t="n">
        <f aca="false">IF($H610="","",$H610+$L610)</f>
        <v>1879</v>
      </c>
      <c r="N610" s="17" t="str">
        <f aca="false">IF($I610="","",$I610+$L610)</f>
        <v/>
      </c>
      <c r="O610" s="17" t="n">
        <f aca="false">IF($K610="","",$K610+$L610)</f>
        <v>1949</v>
      </c>
      <c r="P610" s="17" t="str">
        <f aca="false">IF($B$10=0,"",IFERROR(IF($B$4&gt;0,"휘발유 "&amp;TEXT(IF($M610="",1/0,$M610*$B$4),"#,##0")&amp;"원","")&amp;IF($B$5&gt;0,IF($B$4&gt;0," / ","")&amp;"고급유 "&amp;TEXT(IF($N610="",1/0,$N610*$B$5),"#,##0")&amp;"원","")&amp;IF($B$6&gt;0,IF(OR($B$4&gt;0,$B$5&gt;0)," / ","")&amp;"경유 "&amp;TEXT(IF($O610="",1/0,$O610*$B$6),"#,##0")&amp;"원",""),""))</f>
        <v/>
      </c>
      <c r="Q610" s="17" t="str">
        <f aca="false">IF($B$10=0,"",IFERROR(IF($B$4&gt;0,IF($M610="",1/0,$M610*$B$4),0)+IF($B$5&gt;0,IF($N610="",1/0,$N610*$B$5),0)+IF($B$6&gt;0,IF($O610="",1/0,$O610*$B$6),0),""))</f>
        <v/>
      </c>
      <c r="R610" s="17"/>
      <c r="S610" s="18" t="str">
        <f aca="false">IF($Q610="","",IF($R610="Y",IFERROR(VLOOKUP($B610,$C$4:$D$13,2,FALSE()),0),0))</f>
        <v/>
      </c>
      <c r="T610" s="17" t="str">
        <f aca="false">IF($Q610="","",ROUNDDOWN($Q610*$S610,0))</f>
        <v/>
      </c>
      <c r="U610" s="17" t="str">
        <f aca="false">IF($Q610="","",$Q610-$T610)</f>
        <v/>
      </c>
      <c r="V610" s="17" t="str">
        <f aca="false">IF($U610="","",IF($B$10=0,"",$U610/$B$10))</f>
        <v/>
      </c>
      <c r="W610" s="17" t="str">
        <f aca="false">IF($Q610="","",IF($B$10=0,"",$Q610/$B$10))</f>
        <v/>
      </c>
      <c r="X610" s="19" t="n">
        <f aca="false">IF($U610="",1000000000000000,$U610)</f>
        <v>1000000000000000</v>
      </c>
      <c r="XFC610" s="6"/>
    </row>
    <row r="611" s="22" customFormat="true" ht="28.5" hidden="false" customHeight="true" outlineLevel="0" collapsed="false">
      <c r="A611" s="16" t="str">
        <f aca="false">IF($U611="","",1+COUNTIF($X$15:$X$728,"&lt;"&amp;X611))</f>
        <v/>
      </c>
      <c r="B611" s="16" t="s">
        <v>10</v>
      </c>
      <c r="C611" s="16" t="s">
        <v>1817</v>
      </c>
      <c r="D611" s="16" t="s">
        <v>112</v>
      </c>
      <c r="E611" s="16" t="s">
        <v>47</v>
      </c>
      <c r="F611" s="16" t="s">
        <v>1818</v>
      </c>
      <c r="G611" s="16" t="s">
        <v>1819</v>
      </c>
      <c r="H611" s="17" t="n">
        <v>1879</v>
      </c>
      <c r="I611" s="17"/>
      <c r="J611" s="17"/>
      <c r="K611" s="17" t="n">
        <v>1949</v>
      </c>
      <c r="L611" s="17" t="n">
        <f aca="false">IF(AND(IFERROR(SEARCH("현대오일뱅크",$C611),0)&gt;0,IFERROR(SEARCH("직영",$C611),0)&gt;0),$B$13,0)</f>
        <v>0</v>
      </c>
      <c r="M611" s="17" t="n">
        <f aca="false">IF($H611="","",$H611+$L611)</f>
        <v>1879</v>
      </c>
      <c r="N611" s="17" t="str">
        <f aca="false">IF($I611="","",$I611+$L611)</f>
        <v/>
      </c>
      <c r="O611" s="17" t="n">
        <f aca="false">IF($K611="","",$K611+$L611)</f>
        <v>1949</v>
      </c>
      <c r="P611" s="17" t="str">
        <f aca="false">IF($B$10=0,"",IFERROR(IF($B$4&gt;0,"휘발유 "&amp;TEXT(IF($M611="",1/0,$M611*$B$4),"#,##0")&amp;"원","")&amp;IF($B$5&gt;0,IF($B$4&gt;0," / ","")&amp;"고급유 "&amp;TEXT(IF($N611="",1/0,$N611*$B$5),"#,##0")&amp;"원","")&amp;IF($B$6&gt;0,IF(OR($B$4&gt;0,$B$5&gt;0)," / ","")&amp;"경유 "&amp;TEXT(IF($O611="",1/0,$O611*$B$6),"#,##0")&amp;"원",""),""))</f>
        <v/>
      </c>
      <c r="Q611" s="17" t="str">
        <f aca="false">IF($B$10=0,"",IFERROR(IF($B$4&gt;0,IF($M611="",1/0,$M611*$B$4),0)+IF($B$5&gt;0,IF($N611="",1/0,$N611*$B$5),0)+IF($B$6&gt;0,IF($O611="",1/0,$O611*$B$6),0),""))</f>
        <v/>
      </c>
      <c r="R611" s="17"/>
      <c r="S611" s="18" t="str">
        <f aca="false">IF($Q611="","",IF($R611="Y",IFERROR(VLOOKUP($B611,$C$4:$D$13,2,FALSE()),0),0))</f>
        <v/>
      </c>
      <c r="T611" s="17" t="str">
        <f aca="false">IF($Q611="","",ROUNDDOWN($Q611*$S611,0))</f>
        <v/>
      </c>
      <c r="U611" s="17" t="str">
        <f aca="false">IF($Q611="","",$Q611-$T611)</f>
        <v/>
      </c>
      <c r="V611" s="17" t="str">
        <f aca="false">IF($U611="","",IF($B$10=0,"",$U611/$B$10))</f>
        <v/>
      </c>
      <c r="W611" s="17" t="str">
        <f aca="false">IF($Q611="","",IF($B$10=0,"",$Q611/$B$10))</f>
        <v/>
      </c>
      <c r="X611" s="19" t="n">
        <f aca="false">IF($U611="",1000000000000000,$U611)</f>
        <v>1000000000000000</v>
      </c>
      <c r="XFC611" s="6"/>
    </row>
    <row r="612" s="22" customFormat="true" ht="28.5" hidden="false" customHeight="true" outlineLevel="0" collapsed="false">
      <c r="A612" s="16" t="str">
        <f aca="false">IF($U612="","",1+COUNTIF($X$15:$X$728,"&lt;"&amp;X612))</f>
        <v/>
      </c>
      <c r="B612" s="16" t="s">
        <v>10</v>
      </c>
      <c r="C612" s="16" t="s">
        <v>1820</v>
      </c>
      <c r="D612" s="16" t="s">
        <v>46</v>
      </c>
      <c r="E612" s="16" t="s">
        <v>47</v>
      </c>
      <c r="F612" s="16" t="s">
        <v>1821</v>
      </c>
      <c r="G612" s="16" t="s">
        <v>1822</v>
      </c>
      <c r="H612" s="17" t="n">
        <v>1879</v>
      </c>
      <c r="I612" s="17"/>
      <c r="J612" s="17"/>
      <c r="K612" s="17" t="n">
        <v>1959</v>
      </c>
      <c r="L612" s="17" t="n">
        <f aca="false">IF(AND(IFERROR(SEARCH("현대오일뱅크",$C612),0)&gt;0,IFERROR(SEARCH("직영",$C612),0)&gt;0),$B$13,0)</f>
        <v>0</v>
      </c>
      <c r="M612" s="17" t="n">
        <f aca="false">IF($H612="","",$H612+$L612)</f>
        <v>1879</v>
      </c>
      <c r="N612" s="17" t="str">
        <f aca="false">IF($I612="","",$I612+$L612)</f>
        <v/>
      </c>
      <c r="O612" s="17" t="n">
        <f aca="false">IF($K612="","",$K612+$L612)</f>
        <v>1959</v>
      </c>
      <c r="P612" s="17" t="str">
        <f aca="false">IF($B$10=0,"",IFERROR(IF($B$4&gt;0,"휘발유 "&amp;TEXT(IF($M612="",1/0,$M612*$B$4),"#,##0")&amp;"원","")&amp;IF($B$5&gt;0,IF($B$4&gt;0," / ","")&amp;"고급유 "&amp;TEXT(IF($N612="",1/0,$N612*$B$5),"#,##0")&amp;"원","")&amp;IF($B$6&gt;0,IF(OR($B$4&gt;0,$B$5&gt;0)," / ","")&amp;"경유 "&amp;TEXT(IF($O612="",1/0,$O612*$B$6),"#,##0")&amp;"원",""),""))</f>
        <v/>
      </c>
      <c r="Q612" s="17" t="str">
        <f aca="false">IF($B$10=0,"",IFERROR(IF($B$4&gt;0,IF($M612="",1/0,$M612*$B$4),0)+IF($B$5&gt;0,IF($N612="",1/0,$N612*$B$5),0)+IF($B$6&gt;0,IF($O612="",1/0,$O612*$B$6),0),""))</f>
        <v/>
      </c>
      <c r="R612" s="17"/>
      <c r="S612" s="18" t="str">
        <f aca="false">IF($Q612="","",IF($R612="Y",IFERROR(VLOOKUP($B612,$C$4:$D$13,2,FALSE()),0),0))</f>
        <v/>
      </c>
      <c r="T612" s="17" t="str">
        <f aca="false">IF($Q612="","",ROUNDDOWN($Q612*$S612,0))</f>
        <v/>
      </c>
      <c r="U612" s="17" t="str">
        <f aca="false">IF($Q612="","",$Q612-$T612)</f>
        <v/>
      </c>
      <c r="V612" s="17" t="str">
        <f aca="false">IF($U612="","",IF($B$10=0,"",$U612/$B$10))</f>
        <v/>
      </c>
      <c r="W612" s="17" t="str">
        <f aca="false">IF($Q612="","",IF($B$10=0,"",$Q612/$B$10))</f>
        <v/>
      </c>
      <c r="X612" s="19" t="n">
        <f aca="false">IF($U612="",1000000000000000,$U612)</f>
        <v>1000000000000000</v>
      </c>
      <c r="XFC612" s="6"/>
    </row>
    <row r="613" s="22" customFormat="true" ht="28.5" hidden="false" customHeight="true" outlineLevel="0" collapsed="false">
      <c r="A613" s="16" t="str">
        <f aca="false">IF($U613="","",1+COUNTIF($X$15:$X$728,"&lt;"&amp;X613))</f>
        <v/>
      </c>
      <c r="B613" s="16" t="s">
        <v>10</v>
      </c>
      <c r="C613" s="16" t="s">
        <v>1823</v>
      </c>
      <c r="D613" s="16" t="s">
        <v>51</v>
      </c>
      <c r="E613" s="16" t="s">
        <v>47</v>
      </c>
      <c r="F613" s="16" t="s">
        <v>1824</v>
      </c>
      <c r="G613" s="16" t="s">
        <v>1825</v>
      </c>
      <c r="H613" s="17" t="n">
        <v>1879</v>
      </c>
      <c r="I613" s="17"/>
      <c r="J613" s="17"/>
      <c r="K613" s="17" t="n">
        <v>1949</v>
      </c>
      <c r="L613" s="17" t="n">
        <f aca="false">IF(AND(IFERROR(SEARCH("현대오일뱅크",$C613),0)&gt;0,IFERROR(SEARCH("직영",$C613),0)&gt;0),$B$13,0)</f>
        <v>0</v>
      </c>
      <c r="M613" s="17" t="n">
        <f aca="false">IF($H613="","",$H613+$L613)</f>
        <v>1879</v>
      </c>
      <c r="N613" s="17" t="str">
        <f aca="false">IF($I613="","",$I613+$L613)</f>
        <v/>
      </c>
      <c r="O613" s="17" t="n">
        <f aca="false">IF($K613="","",$K613+$L613)</f>
        <v>1949</v>
      </c>
      <c r="P613" s="17" t="str">
        <f aca="false">IF($B$10=0,"",IFERROR(IF($B$4&gt;0,"휘발유 "&amp;TEXT(IF($M613="",1/0,$M613*$B$4),"#,##0")&amp;"원","")&amp;IF($B$5&gt;0,IF($B$4&gt;0," / ","")&amp;"고급유 "&amp;TEXT(IF($N613="",1/0,$N613*$B$5),"#,##0")&amp;"원","")&amp;IF($B$6&gt;0,IF(OR($B$4&gt;0,$B$5&gt;0)," / ","")&amp;"경유 "&amp;TEXT(IF($O613="",1/0,$O613*$B$6),"#,##0")&amp;"원",""),""))</f>
        <v/>
      </c>
      <c r="Q613" s="17" t="str">
        <f aca="false">IF($B$10=0,"",IFERROR(IF($B$4&gt;0,IF($M613="",1/0,$M613*$B$4),0)+IF($B$5&gt;0,IF($N613="",1/0,$N613*$B$5),0)+IF($B$6&gt;0,IF($O613="",1/0,$O613*$B$6),0),""))</f>
        <v/>
      </c>
      <c r="R613" s="17"/>
      <c r="S613" s="18" t="str">
        <f aca="false">IF($Q613="","",IF($R613="Y",IFERROR(VLOOKUP($B613,$C$4:$D$13,2,FALSE()),0),0))</f>
        <v/>
      </c>
      <c r="T613" s="17" t="str">
        <f aca="false">IF($Q613="","",ROUNDDOWN($Q613*$S613,0))</f>
        <v/>
      </c>
      <c r="U613" s="17" t="str">
        <f aca="false">IF($Q613="","",$Q613-$T613)</f>
        <v/>
      </c>
      <c r="V613" s="17" t="str">
        <f aca="false">IF($U613="","",IF($B$10=0,"",$U613/$B$10))</f>
        <v/>
      </c>
      <c r="W613" s="17" t="str">
        <f aca="false">IF($Q613="","",IF($B$10=0,"",$Q613/$B$10))</f>
        <v/>
      </c>
      <c r="X613" s="19" t="n">
        <f aca="false">IF($U613="",1000000000000000,$U613)</f>
        <v>1000000000000000</v>
      </c>
      <c r="XFC613" s="6"/>
    </row>
    <row r="614" s="22" customFormat="true" ht="28.5" hidden="false" customHeight="true" outlineLevel="0" collapsed="false">
      <c r="A614" s="16" t="str">
        <f aca="false">IF($U614="","",1+COUNTIF($X$15:$X$728,"&lt;"&amp;X614))</f>
        <v/>
      </c>
      <c r="B614" s="16" t="s">
        <v>18</v>
      </c>
      <c r="C614" s="16" t="s">
        <v>1826</v>
      </c>
      <c r="D614" s="16" t="s">
        <v>58</v>
      </c>
      <c r="E614" s="16" t="s">
        <v>59</v>
      </c>
      <c r="F614" s="16" t="s">
        <v>1827</v>
      </c>
      <c r="G614" s="16" t="s">
        <v>1828</v>
      </c>
      <c r="H614" s="17" t="n">
        <v>1880</v>
      </c>
      <c r="I614" s="17"/>
      <c r="J614" s="17"/>
      <c r="K614" s="17" t="n">
        <v>1900</v>
      </c>
      <c r="L614" s="17" t="n">
        <f aca="false">IF(AND(IFERROR(SEARCH("현대오일뱅크",$C614),0)&gt;0,IFERROR(SEARCH("직영",$C614),0)&gt;0),$B$13,0)</f>
        <v>0</v>
      </c>
      <c r="M614" s="17" t="n">
        <f aca="false">IF($H614="","",$H614+$L614)</f>
        <v>1880</v>
      </c>
      <c r="N614" s="17" t="str">
        <f aca="false">IF($I614="","",$I614+$L614)</f>
        <v/>
      </c>
      <c r="O614" s="17" t="n">
        <f aca="false">IF($K614="","",$K614+$L614)</f>
        <v>1900</v>
      </c>
      <c r="P614" s="17" t="str">
        <f aca="false">IF($B$10=0,"",IFERROR(IF($B$4&gt;0,"휘발유 "&amp;TEXT(IF($M614="",1/0,$M614*$B$4),"#,##0")&amp;"원","")&amp;IF($B$5&gt;0,IF($B$4&gt;0," / ","")&amp;"고급유 "&amp;TEXT(IF($N614="",1/0,$N614*$B$5),"#,##0")&amp;"원","")&amp;IF($B$6&gt;0,IF(OR($B$4&gt;0,$B$5&gt;0)," / ","")&amp;"경유 "&amp;TEXT(IF($O614="",1/0,$O614*$B$6),"#,##0")&amp;"원",""),""))</f>
        <v/>
      </c>
      <c r="Q614" s="17" t="str">
        <f aca="false">IF($B$10=0,"",IFERROR(IF($B$4&gt;0,IF($M614="",1/0,$M614*$B$4),0)+IF($B$5&gt;0,IF($N614="",1/0,$N614*$B$5),0)+IF($B$6&gt;0,IF($O614="",1/0,$O614*$B$6),0),""))</f>
        <v/>
      </c>
      <c r="R614" s="17"/>
      <c r="S614" s="18" t="str">
        <f aca="false">IF($Q614="","",IF($R614="Y",IFERROR(VLOOKUP($B614,$C$4:$D$13,2,FALSE()),0),0))</f>
        <v/>
      </c>
      <c r="T614" s="17" t="str">
        <f aca="false">IF($Q614="","",ROUNDDOWN($Q614*$S614,0))</f>
        <v/>
      </c>
      <c r="U614" s="17" t="str">
        <f aca="false">IF($Q614="","",$Q614-$T614)</f>
        <v/>
      </c>
      <c r="V614" s="17" t="str">
        <f aca="false">IF($U614="","",IF($B$10=0,"",$U614/$B$10))</f>
        <v/>
      </c>
      <c r="W614" s="17" t="str">
        <f aca="false">IF($Q614="","",IF($B$10=0,"",$Q614/$B$10))</f>
        <v/>
      </c>
      <c r="X614" s="19" t="n">
        <f aca="false">IF($U614="",1000000000000000,$U614)</f>
        <v>1000000000000000</v>
      </c>
      <c r="XFC614" s="6"/>
    </row>
    <row r="615" s="22" customFormat="true" ht="28.5" hidden="false" customHeight="true" outlineLevel="0" collapsed="false">
      <c r="A615" s="16" t="str">
        <f aca="false">IF($U615="","",1+COUNTIF($X$15:$X$728,"&lt;"&amp;X615))</f>
        <v/>
      </c>
      <c r="B615" s="16" t="s">
        <v>16</v>
      </c>
      <c r="C615" s="16" t="s">
        <v>1829</v>
      </c>
      <c r="D615" s="20" t="s">
        <v>108</v>
      </c>
      <c r="E615" s="16" t="s">
        <v>47</v>
      </c>
      <c r="F615" s="16" t="s">
        <v>1830</v>
      </c>
      <c r="G615" s="16" t="s">
        <v>1831</v>
      </c>
      <c r="H615" s="17" t="n">
        <v>1880</v>
      </c>
      <c r="I615" s="17"/>
      <c r="J615" s="17"/>
      <c r="K615" s="17" t="n">
        <v>1900</v>
      </c>
      <c r="L615" s="17" t="n">
        <f aca="false">IF(AND(IFERROR(SEARCH("현대오일뱅크",$C615),0)&gt;0,IFERROR(SEARCH("직영",$C615),0)&gt;0),$B$13,0)</f>
        <v>0</v>
      </c>
      <c r="M615" s="17" t="n">
        <f aca="false">IF($H615="","",$H615+$L615)</f>
        <v>1880</v>
      </c>
      <c r="N615" s="17" t="str">
        <f aca="false">IF($I615="","",$I615+$L615)</f>
        <v/>
      </c>
      <c r="O615" s="17" t="n">
        <f aca="false">IF($K615="","",$K615+$L615)</f>
        <v>1900</v>
      </c>
      <c r="P615" s="17" t="str">
        <f aca="false">IF($B$10=0,"",IFERROR(IF($B$4&gt;0,"휘발유 "&amp;TEXT(IF($M615="",1/0,$M615*$B$4),"#,##0")&amp;"원","")&amp;IF($B$5&gt;0,IF($B$4&gt;0," / ","")&amp;"고급유 "&amp;TEXT(IF($N615="",1/0,$N615*$B$5),"#,##0")&amp;"원","")&amp;IF($B$6&gt;0,IF(OR($B$4&gt;0,$B$5&gt;0)," / ","")&amp;"경유 "&amp;TEXT(IF($O615="",1/0,$O615*$B$6),"#,##0")&amp;"원",""),""))</f>
        <v/>
      </c>
      <c r="Q615" s="17" t="str">
        <f aca="false">IF($B$10=0,"",IFERROR(IF($B$4&gt;0,IF($M615="",1/0,$M615*$B$4),0)+IF($B$5&gt;0,IF($N615="",1/0,$N615*$B$5),0)+IF($B$6&gt;0,IF($O615="",1/0,$O615*$B$6),0),""))</f>
        <v/>
      </c>
      <c r="R615" s="17"/>
      <c r="S615" s="18" t="str">
        <f aca="false">IF($Q615="","",IF($R615="Y",IFERROR(VLOOKUP($B615,$C$4:$D$13,2,FALSE()),0),0))</f>
        <v/>
      </c>
      <c r="T615" s="17" t="str">
        <f aca="false">IF($Q615="","",ROUNDDOWN($Q615*$S615,0))</f>
        <v/>
      </c>
      <c r="U615" s="17" t="str">
        <f aca="false">IF($Q615="","",$Q615-$T615)</f>
        <v/>
      </c>
      <c r="V615" s="17" t="str">
        <f aca="false">IF($U615="","",IF($B$10=0,"",$U615/$B$10))</f>
        <v/>
      </c>
      <c r="W615" s="17" t="str">
        <f aca="false">IF($Q615="","",IF($B$10=0,"",$Q615/$B$10))</f>
        <v/>
      </c>
      <c r="X615" s="19" t="n">
        <f aca="false">IF($U615="",1000000000000000,$U615)</f>
        <v>1000000000000000</v>
      </c>
      <c r="XFC615" s="6"/>
    </row>
    <row r="616" s="22" customFormat="true" ht="28.5" hidden="false" customHeight="true" outlineLevel="0" collapsed="false">
      <c r="A616" s="16" t="str">
        <f aca="false">IF($U616="","",1+COUNTIF($X$15:$X$728,"&lt;"&amp;X616))</f>
        <v/>
      </c>
      <c r="B616" s="16" t="s">
        <v>18</v>
      </c>
      <c r="C616" s="16" t="s">
        <v>1832</v>
      </c>
      <c r="D616" s="16" t="s">
        <v>629</v>
      </c>
      <c r="E616" s="16" t="s">
        <v>59</v>
      </c>
      <c r="F616" s="16" t="s">
        <v>1833</v>
      </c>
      <c r="G616" s="16" t="s">
        <v>1834</v>
      </c>
      <c r="H616" s="17" t="n">
        <v>1880</v>
      </c>
      <c r="I616" s="17"/>
      <c r="J616" s="17"/>
      <c r="K616" s="17" t="n">
        <v>1895</v>
      </c>
      <c r="L616" s="17" t="n">
        <f aca="false">IF(AND(IFERROR(SEARCH("현대오일뱅크",$C616),0)&gt;0,IFERROR(SEARCH("직영",$C616),0)&gt;0),$B$13,0)</f>
        <v>0</v>
      </c>
      <c r="M616" s="17" t="n">
        <f aca="false">IF($H616="","",$H616+$L616)</f>
        <v>1880</v>
      </c>
      <c r="N616" s="17" t="str">
        <f aca="false">IF($I616="","",$I616+$L616)</f>
        <v/>
      </c>
      <c r="O616" s="17" t="n">
        <f aca="false">IF($K616="","",$K616+$L616)</f>
        <v>1895</v>
      </c>
      <c r="P616" s="17" t="str">
        <f aca="false">IF($B$10=0,"",IFERROR(IF($B$4&gt;0,"휘발유 "&amp;TEXT(IF($M616="",1/0,$M616*$B$4),"#,##0")&amp;"원","")&amp;IF($B$5&gt;0,IF($B$4&gt;0," / ","")&amp;"고급유 "&amp;TEXT(IF($N616="",1/0,$N616*$B$5),"#,##0")&amp;"원","")&amp;IF($B$6&gt;0,IF(OR($B$4&gt;0,$B$5&gt;0)," / ","")&amp;"경유 "&amp;TEXT(IF($O616="",1/0,$O616*$B$6),"#,##0")&amp;"원",""),""))</f>
        <v/>
      </c>
      <c r="Q616" s="17" t="str">
        <f aca="false">IF($B$10=0,"",IFERROR(IF($B$4&gt;0,IF($M616="",1/0,$M616*$B$4),0)+IF($B$5&gt;0,IF($N616="",1/0,$N616*$B$5),0)+IF($B$6&gt;0,IF($O616="",1/0,$O616*$B$6),0),""))</f>
        <v/>
      </c>
      <c r="R616" s="17"/>
      <c r="S616" s="18" t="str">
        <f aca="false">IF($Q616="","",IF($R616="Y",IFERROR(VLOOKUP($B616,$C$4:$D$13,2,FALSE()),0),0))</f>
        <v/>
      </c>
      <c r="T616" s="17" t="str">
        <f aca="false">IF($Q616="","",ROUNDDOWN($Q616*$S616,0))</f>
        <v/>
      </c>
      <c r="U616" s="17" t="str">
        <f aca="false">IF($Q616="","",$Q616-$T616)</f>
        <v/>
      </c>
      <c r="V616" s="17" t="str">
        <f aca="false">IF($U616="","",IF($B$10=0,"",$U616/$B$10))</f>
        <v/>
      </c>
      <c r="W616" s="17" t="str">
        <f aca="false">IF($Q616="","",IF($B$10=0,"",$Q616/$B$10))</f>
        <v/>
      </c>
      <c r="X616" s="19" t="n">
        <f aca="false">IF($U616="",1000000000000000,$U616)</f>
        <v>1000000000000000</v>
      </c>
      <c r="XFC616" s="6"/>
    </row>
    <row r="617" s="22" customFormat="true" ht="28.5" hidden="false" customHeight="true" outlineLevel="0" collapsed="false">
      <c r="A617" s="16" t="str">
        <f aca="false">IF($U617="","",1+COUNTIF($X$15:$X$728,"&lt;"&amp;X617))</f>
        <v/>
      </c>
      <c r="B617" s="16" t="s">
        <v>14</v>
      </c>
      <c r="C617" s="16" t="s">
        <v>1835</v>
      </c>
      <c r="D617" s="16" t="s">
        <v>58</v>
      </c>
      <c r="E617" s="16" t="s">
        <v>47</v>
      </c>
      <c r="F617" s="16" t="s">
        <v>1836</v>
      </c>
      <c r="G617" s="16" t="s">
        <v>1837</v>
      </c>
      <c r="H617" s="17" t="n">
        <v>1885</v>
      </c>
      <c r="I617" s="17"/>
      <c r="J617" s="17"/>
      <c r="K617" s="17" t="n">
        <v>1929</v>
      </c>
      <c r="L617" s="17" t="n">
        <f aca="false">IF(AND(IFERROR(SEARCH("현대오일뱅크",$C617),0)&gt;0,IFERROR(SEARCH("직영",$C617),0)&gt;0),$B$13,0)</f>
        <v>0</v>
      </c>
      <c r="M617" s="17" t="n">
        <f aca="false">IF($H617="","",$H617+$L617)</f>
        <v>1885</v>
      </c>
      <c r="N617" s="17" t="str">
        <f aca="false">IF($I617="","",$I617+$L617)</f>
        <v/>
      </c>
      <c r="O617" s="17" t="n">
        <f aca="false">IF($K617="","",$K617+$L617)</f>
        <v>1929</v>
      </c>
      <c r="P617" s="17" t="str">
        <f aca="false">IF($B$10=0,"",IFERROR(IF($B$4&gt;0,"휘발유 "&amp;TEXT(IF($M617="",1/0,$M617*$B$4),"#,##0")&amp;"원","")&amp;IF($B$5&gt;0,IF($B$4&gt;0," / ","")&amp;"고급유 "&amp;TEXT(IF($N617="",1/0,$N617*$B$5),"#,##0")&amp;"원","")&amp;IF($B$6&gt;0,IF(OR($B$4&gt;0,$B$5&gt;0)," / ","")&amp;"경유 "&amp;TEXT(IF($O617="",1/0,$O617*$B$6),"#,##0")&amp;"원",""),""))</f>
        <v/>
      </c>
      <c r="Q617" s="17" t="str">
        <f aca="false">IF($B$10=0,"",IFERROR(IF($B$4&gt;0,IF($M617="",1/0,$M617*$B$4),0)+IF($B$5&gt;0,IF($N617="",1/0,$N617*$B$5),0)+IF($B$6&gt;0,IF($O617="",1/0,$O617*$B$6),0),""))</f>
        <v/>
      </c>
      <c r="R617" s="17"/>
      <c r="S617" s="18" t="str">
        <f aca="false">IF($Q617="","",IF($R617="Y",IFERROR(VLOOKUP($B617,$C$4:$D$13,2,FALSE()),0),0))</f>
        <v/>
      </c>
      <c r="T617" s="17" t="str">
        <f aca="false">IF($Q617="","",ROUNDDOWN($Q617*$S617,0))</f>
        <v/>
      </c>
      <c r="U617" s="17" t="str">
        <f aca="false">IF($Q617="","",$Q617-$T617)</f>
        <v/>
      </c>
      <c r="V617" s="17" t="str">
        <f aca="false">IF($U617="","",IF($B$10=0,"",$U617/$B$10))</f>
        <v/>
      </c>
      <c r="W617" s="17" t="str">
        <f aca="false">IF($Q617="","",IF($B$10=0,"",$Q617/$B$10))</f>
        <v/>
      </c>
      <c r="X617" s="19" t="n">
        <f aca="false">IF($U617="",1000000000000000,$U617)</f>
        <v>1000000000000000</v>
      </c>
      <c r="XFC617" s="6"/>
    </row>
    <row r="618" s="22" customFormat="true" ht="28.5" hidden="false" customHeight="true" outlineLevel="0" collapsed="false">
      <c r="A618" s="16" t="str">
        <f aca="false">IF($U618="","",1+COUNTIF($X$15:$X$728,"&lt;"&amp;X618))</f>
        <v/>
      </c>
      <c r="B618" s="16" t="s">
        <v>10</v>
      </c>
      <c r="C618" s="16" t="s">
        <v>1838</v>
      </c>
      <c r="D618" s="20" t="s">
        <v>108</v>
      </c>
      <c r="E618" s="16" t="s">
        <v>47</v>
      </c>
      <c r="F618" s="16" t="s">
        <v>1839</v>
      </c>
      <c r="G618" s="16" t="s">
        <v>1840</v>
      </c>
      <c r="H618" s="17" t="n">
        <v>1885</v>
      </c>
      <c r="I618" s="17"/>
      <c r="J618" s="17"/>
      <c r="K618" s="17" t="n">
        <v>1987</v>
      </c>
      <c r="L618" s="17" t="n">
        <f aca="false">IF(AND(IFERROR(SEARCH("현대오일뱅크",$C618),0)&gt;0,IFERROR(SEARCH("직영",$C618),0)&gt;0),$B$13,0)</f>
        <v>0</v>
      </c>
      <c r="M618" s="17" t="n">
        <f aca="false">IF($H618="","",$H618+$L618)</f>
        <v>1885</v>
      </c>
      <c r="N618" s="17" t="str">
        <f aca="false">IF($I618="","",$I618+$L618)</f>
        <v/>
      </c>
      <c r="O618" s="17" t="n">
        <f aca="false">IF($K618="","",$K618+$L618)</f>
        <v>1987</v>
      </c>
      <c r="P618" s="17" t="str">
        <f aca="false">IF($B$10=0,"",IFERROR(IF($B$4&gt;0,"휘발유 "&amp;TEXT(IF($M618="",1/0,$M618*$B$4),"#,##0")&amp;"원","")&amp;IF($B$5&gt;0,IF($B$4&gt;0," / ","")&amp;"고급유 "&amp;TEXT(IF($N618="",1/0,$N618*$B$5),"#,##0")&amp;"원","")&amp;IF($B$6&gt;0,IF(OR($B$4&gt;0,$B$5&gt;0)," / ","")&amp;"경유 "&amp;TEXT(IF($O618="",1/0,$O618*$B$6),"#,##0")&amp;"원",""),""))</f>
        <v/>
      </c>
      <c r="Q618" s="17" t="str">
        <f aca="false">IF($B$10=0,"",IFERROR(IF($B$4&gt;0,IF($M618="",1/0,$M618*$B$4),0)+IF($B$5&gt;0,IF($N618="",1/0,$N618*$B$5),0)+IF($B$6&gt;0,IF($O618="",1/0,$O618*$B$6),0),""))</f>
        <v/>
      </c>
      <c r="R618" s="17"/>
      <c r="S618" s="18" t="str">
        <f aca="false">IF($Q618="","",IF($R618="Y",IFERROR(VLOOKUP($B618,$C$4:$D$13,2,FALSE()),0),0))</f>
        <v/>
      </c>
      <c r="T618" s="17" t="str">
        <f aca="false">IF($Q618="","",ROUNDDOWN($Q618*$S618,0))</f>
        <v/>
      </c>
      <c r="U618" s="17" t="str">
        <f aca="false">IF($Q618="","",$Q618-$T618)</f>
        <v/>
      </c>
      <c r="V618" s="17" t="str">
        <f aca="false">IF($U618="","",IF($B$10=0,"",$U618/$B$10))</f>
        <v/>
      </c>
      <c r="W618" s="17" t="str">
        <f aca="false">IF($Q618="","",IF($B$10=0,"",$Q618/$B$10))</f>
        <v/>
      </c>
      <c r="X618" s="19" t="n">
        <f aca="false">IF($U618="",1000000000000000,$U618)</f>
        <v>1000000000000000</v>
      </c>
      <c r="XFC618" s="6"/>
    </row>
    <row r="619" s="22" customFormat="true" ht="28.5" hidden="false" customHeight="true" outlineLevel="0" collapsed="false">
      <c r="A619" s="16" t="str">
        <f aca="false">IF($U619="","",1+COUNTIF($X$15:$X$728,"&lt;"&amp;X619))</f>
        <v/>
      </c>
      <c r="B619" s="16" t="s">
        <v>12</v>
      </c>
      <c r="C619" s="16" t="s">
        <v>1841</v>
      </c>
      <c r="D619" s="20" t="s">
        <v>294</v>
      </c>
      <c r="E619" s="16" t="s">
        <v>59</v>
      </c>
      <c r="F619" s="16" t="s">
        <v>1842</v>
      </c>
      <c r="G619" s="16" t="s">
        <v>1843</v>
      </c>
      <c r="H619" s="17" t="n">
        <v>2095</v>
      </c>
      <c r="I619" s="17"/>
      <c r="J619" s="17"/>
      <c r="K619" s="17" t="n">
        <v>2165</v>
      </c>
      <c r="L619" s="17" t="n">
        <f aca="false">IF(AND(IFERROR(SEARCH("현대오일뱅크",$C619),0)&gt;0,IFERROR(SEARCH("직영",$C619),0)&gt;0),$B$13,0)</f>
        <v>0</v>
      </c>
      <c r="M619" s="17" t="n">
        <f aca="false">IF($H619="","",$H619+$L619)</f>
        <v>2095</v>
      </c>
      <c r="N619" s="17" t="str">
        <f aca="false">IF($I619="","",$I619+$L619)</f>
        <v/>
      </c>
      <c r="O619" s="17" t="n">
        <f aca="false">IF($K619="","",$K619+$L619)</f>
        <v>2165</v>
      </c>
      <c r="P619" s="17" t="str">
        <f aca="false">IF($B$10=0,"",IFERROR(IF($B$4&gt;0,"휘발유 "&amp;TEXT(IF($M619="",1/0,$M619*$B$4),"#,##0")&amp;"원","")&amp;IF($B$5&gt;0,IF($B$4&gt;0," / ","")&amp;"고급유 "&amp;TEXT(IF($N619="",1/0,$N619*$B$5),"#,##0")&amp;"원","")&amp;IF($B$6&gt;0,IF(OR($B$4&gt;0,$B$5&gt;0)," / ","")&amp;"경유 "&amp;TEXT(IF($O619="",1/0,$O619*$B$6),"#,##0")&amp;"원",""),""))</f>
        <v/>
      </c>
      <c r="Q619" s="17" t="str">
        <f aca="false">IF($B$10=0,"",IFERROR(IF($B$4&gt;0,IF($M619="",1/0,$M619*$B$4),0)+IF($B$5&gt;0,IF($N619="",1/0,$N619*$B$5),0)+IF($B$6&gt;0,IF($O619="",1/0,$O619*$B$6),0),""))</f>
        <v/>
      </c>
      <c r="R619" s="17" t="s">
        <v>47</v>
      </c>
      <c r="S619" s="18" t="str">
        <f aca="false">IF($Q619="","",IF($R619="Y",IFERROR(VLOOKUP($B619,$C$4:$D$13,2,FALSE()),0),0))</f>
        <v/>
      </c>
      <c r="T619" s="17" t="str">
        <f aca="false">IF($Q619="","",ROUNDDOWN($Q619*$S619,0))</f>
        <v/>
      </c>
      <c r="U619" s="17" t="str">
        <f aca="false">IF($Q619="","",$Q619-$T619)</f>
        <v/>
      </c>
      <c r="V619" s="17" t="str">
        <f aca="false">IF($U619="","",IF($B$10=0,"",$U619/$B$10))</f>
        <v/>
      </c>
      <c r="W619" s="17" t="str">
        <f aca="false">IF($Q619="","",IF($B$10=0,"",$Q619/$B$10))</f>
        <v/>
      </c>
      <c r="X619" s="19" t="n">
        <f aca="false">IF($U619="",1000000000000000,$U619)</f>
        <v>1000000000000000</v>
      </c>
      <c r="XFC619" s="6"/>
    </row>
    <row r="620" s="22" customFormat="true" ht="28.5" hidden="false" customHeight="true" outlineLevel="0" collapsed="false">
      <c r="A620" s="16" t="str">
        <f aca="false">IF($U620="","",1+COUNTIF($X$15:$X$728,"&lt;"&amp;X620))</f>
        <v/>
      </c>
      <c r="B620" s="16" t="s">
        <v>14</v>
      </c>
      <c r="C620" s="16" t="s">
        <v>1844</v>
      </c>
      <c r="D620" s="16" t="s">
        <v>51</v>
      </c>
      <c r="E620" s="16" t="s">
        <v>47</v>
      </c>
      <c r="F620" s="16" t="s">
        <v>1845</v>
      </c>
      <c r="G620" s="16" t="s">
        <v>1846</v>
      </c>
      <c r="H620" s="17" t="n">
        <v>1888</v>
      </c>
      <c r="I620" s="17"/>
      <c r="J620" s="17"/>
      <c r="K620" s="17" t="n">
        <v>1958</v>
      </c>
      <c r="L620" s="17" t="n">
        <f aca="false">IF(AND(IFERROR(SEARCH("현대오일뱅크",$C620),0)&gt;0,IFERROR(SEARCH("직영",$C620),0)&gt;0),$B$13,0)</f>
        <v>0</v>
      </c>
      <c r="M620" s="17" t="n">
        <f aca="false">IF($H620="","",$H620+$L620)</f>
        <v>1888</v>
      </c>
      <c r="N620" s="17" t="str">
        <f aca="false">IF($I620="","",$I620+$L620)</f>
        <v/>
      </c>
      <c r="O620" s="17" t="n">
        <f aca="false">IF($K620="","",$K620+$L620)</f>
        <v>1958</v>
      </c>
      <c r="P620" s="17" t="str">
        <f aca="false">IF($B$10=0,"",IFERROR(IF($B$4&gt;0,"휘발유 "&amp;TEXT(IF($M620="",1/0,$M620*$B$4),"#,##0")&amp;"원","")&amp;IF($B$5&gt;0,IF($B$4&gt;0," / ","")&amp;"고급유 "&amp;TEXT(IF($N620="",1/0,$N620*$B$5),"#,##0")&amp;"원","")&amp;IF($B$6&gt;0,IF(OR($B$4&gt;0,$B$5&gt;0)," / ","")&amp;"경유 "&amp;TEXT(IF($O620="",1/0,$O620*$B$6),"#,##0")&amp;"원",""),""))</f>
        <v/>
      </c>
      <c r="Q620" s="17" t="str">
        <f aca="false">IF($B$10=0,"",IFERROR(IF($B$4&gt;0,IF($M620="",1/0,$M620*$B$4),0)+IF($B$5&gt;0,IF($N620="",1/0,$N620*$B$5),0)+IF($B$6&gt;0,IF($O620="",1/0,$O620*$B$6),0),""))</f>
        <v/>
      </c>
      <c r="R620" s="17"/>
      <c r="S620" s="18" t="str">
        <f aca="false">IF($Q620="","",IF($R620="Y",IFERROR(VLOOKUP($B620,$C$4:$D$13,2,FALSE()),0),0))</f>
        <v/>
      </c>
      <c r="T620" s="17" t="str">
        <f aca="false">IF($Q620="","",ROUNDDOWN($Q620*$S620,0))</f>
        <v/>
      </c>
      <c r="U620" s="17" t="str">
        <f aca="false">IF($Q620="","",$Q620-$T620)</f>
        <v/>
      </c>
      <c r="V620" s="17" t="str">
        <f aca="false">IF($U620="","",IF($B$10=0,"",$U620/$B$10))</f>
        <v/>
      </c>
      <c r="W620" s="17" t="str">
        <f aca="false">IF($Q620="","",IF($B$10=0,"",$Q620/$B$10))</f>
        <v/>
      </c>
      <c r="X620" s="19" t="n">
        <f aca="false">IF($U620="",1000000000000000,$U620)</f>
        <v>1000000000000000</v>
      </c>
      <c r="XFC620" s="6"/>
    </row>
    <row r="621" s="22" customFormat="true" ht="28.5" hidden="false" customHeight="true" outlineLevel="0" collapsed="false">
      <c r="A621" s="16" t="str">
        <f aca="false">IF($U621="","",1+COUNTIF($X$15:$X$728,"&lt;"&amp;X621))</f>
        <v/>
      </c>
      <c r="B621" s="16" t="s">
        <v>12</v>
      </c>
      <c r="C621" s="16" t="s">
        <v>1847</v>
      </c>
      <c r="D621" s="20" t="s">
        <v>108</v>
      </c>
      <c r="E621" s="16" t="s">
        <v>59</v>
      </c>
      <c r="F621" s="16" t="s">
        <v>1848</v>
      </c>
      <c r="G621" s="16" t="s">
        <v>1849</v>
      </c>
      <c r="H621" s="17" t="n">
        <v>2098</v>
      </c>
      <c r="I621" s="17"/>
      <c r="J621" s="17"/>
      <c r="K621" s="17" t="n">
        <v>2099</v>
      </c>
      <c r="L621" s="17" t="n">
        <f aca="false">IF(AND(IFERROR(SEARCH("현대오일뱅크",$C621),0)&gt;0,IFERROR(SEARCH("직영",$C621),0)&gt;0),$B$13,0)</f>
        <v>0</v>
      </c>
      <c r="M621" s="17" t="n">
        <f aca="false">IF($H621="","",$H621+$L621)</f>
        <v>2098</v>
      </c>
      <c r="N621" s="17" t="str">
        <f aca="false">IF($I621="","",$I621+$L621)</f>
        <v/>
      </c>
      <c r="O621" s="17" t="n">
        <f aca="false">IF($K621="","",$K621+$L621)</f>
        <v>2099</v>
      </c>
      <c r="P621" s="17" t="str">
        <f aca="false">IF($B$10=0,"",IFERROR(IF($B$4&gt;0,"휘발유 "&amp;TEXT(IF($M621="",1/0,$M621*$B$4),"#,##0")&amp;"원","")&amp;IF($B$5&gt;0,IF($B$4&gt;0," / ","")&amp;"고급유 "&amp;TEXT(IF($N621="",1/0,$N621*$B$5),"#,##0")&amp;"원","")&amp;IF($B$6&gt;0,IF(OR($B$4&gt;0,$B$5&gt;0)," / ","")&amp;"경유 "&amp;TEXT(IF($O621="",1/0,$O621*$B$6),"#,##0")&amp;"원",""),""))</f>
        <v/>
      </c>
      <c r="Q621" s="17" t="str">
        <f aca="false">IF($B$10=0,"",IFERROR(IF($B$4&gt;0,IF($M621="",1/0,$M621*$B$4),0)+IF($B$5&gt;0,IF($N621="",1/0,$N621*$B$5),0)+IF($B$6&gt;0,IF($O621="",1/0,$O621*$B$6),0),""))</f>
        <v/>
      </c>
      <c r="R621" s="17" t="s">
        <v>47</v>
      </c>
      <c r="S621" s="18" t="str">
        <f aca="false">IF($Q621="","",IF($R621="Y",IFERROR(VLOOKUP($B621,$C$4:$D$13,2,FALSE()),0),0))</f>
        <v/>
      </c>
      <c r="T621" s="17" t="str">
        <f aca="false">IF($Q621="","",ROUNDDOWN($Q621*$S621,0))</f>
        <v/>
      </c>
      <c r="U621" s="17" t="str">
        <f aca="false">IF($Q621="","",$Q621-$T621)</f>
        <v/>
      </c>
      <c r="V621" s="17" t="str">
        <f aca="false">IF($U621="","",IF($B$10=0,"",$U621/$B$10))</f>
        <v/>
      </c>
      <c r="W621" s="17" t="str">
        <f aca="false">IF($Q621="","",IF($B$10=0,"",$Q621/$B$10))</f>
        <v/>
      </c>
      <c r="X621" s="19" t="n">
        <f aca="false">IF($U621="",1000000000000000,$U621)</f>
        <v>1000000000000000</v>
      </c>
      <c r="XFC621" s="6"/>
    </row>
    <row r="622" s="22" customFormat="true" ht="28.5" hidden="false" customHeight="true" outlineLevel="0" collapsed="false">
      <c r="A622" s="16" t="str">
        <f aca="false">IF($U622="","",1+COUNTIF($X$15:$X$728,"&lt;"&amp;X622))</f>
        <v/>
      </c>
      <c r="B622" s="16" t="s">
        <v>10</v>
      </c>
      <c r="C622" s="16" t="s">
        <v>1850</v>
      </c>
      <c r="D622" s="20" t="s">
        <v>108</v>
      </c>
      <c r="E622" s="16" t="s">
        <v>47</v>
      </c>
      <c r="F622" s="16" t="s">
        <v>1851</v>
      </c>
      <c r="G622" s="16" t="s">
        <v>1852</v>
      </c>
      <c r="H622" s="17" t="n">
        <v>1889</v>
      </c>
      <c r="I622" s="17"/>
      <c r="J622" s="17"/>
      <c r="K622" s="17" t="n">
        <v>1899</v>
      </c>
      <c r="L622" s="17" t="n">
        <f aca="false">IF(AND(IFERROR(SEARCH("현대오일뱅크",$C622),0)&gt;0,IFERROR(SEARCH("직영",$C622),0)&gt;0),$B$13,0)</f>
        <v>0</v>
      </c>
      <c r="M622" s="17" t="n">
        <f aca="false">IF($H622="","",$H622+$L622)</f>
        <v>1889</v>
      </c>
      <c r="N622" s="17" t="str">
        <f aca="false">IF($I622="","",$I622+$L622)</f>
        <v/>
      </c>
      <c r="O622" s="17" t="n">
        <f aca="false">IF($K622="","",$K622+$L622)</f>
        <v>1899</v>
      </c>
      <c r="P622" s="17" t="str">
        <f aca="false">IF($B$10=0,"",IFERROR(IF($B$4&gt;0,"휘발유 "&amp;TEXT(IF($M622="",1/0,$M622*$B$4),"#,##0")&amp;"원","")&amp;IF($B$5&gt;0,IF($B$4&gt;0," / ","")&amp;"고급유 "&amp;TEXT(IF($N622="",1/0,$N622*$B$5),"#,##0")&amp;"원","")&amp;IF($B$6&gt;0,IF(OR($B$4&gt;0,$B$5&gt;0)," / ","")&amp;"경유 "&amp;TEXT(IF($O622="",1/0,$O622*$B$6),"#,##0")&amp;"원",""),""))</f>
        <v/>
      </c>
      <c r="Q622" s="17" t="str">
        <f aca="false">IF($B$10=0,"",IFERROR(IF($B$4&gt;0,IF($M622="",1/0,$M622*$B$4),0)+IF($B$5&gt;0,IF($N622="",1/0,$N622*$B$5),0)+IF($B$6&gt;0,IF($O622="",1/0,$O622*$B$6),0),""))</f>
        <v/>
      </c>
      <c r="R622" s="17"/>
      <c r="S622" s="18" t="str">
        <f aca="false">IF($Q622="","",IF($R622="Y",IFERROR(VLOOKUP($B622,$C$4:$D$13,2,FALSE()),0),0))</f>
        <v/>
      </c>
      <c r="T622" s="17" t="str">
        <f aca="false">IF($Q622="","",ROUNDDOWN($Q622*$S622,0))</f>
        <v/>
      </c>
      <c r="U622" s="17" t="str">
        <f aca="false">IF($Q622="","",$Q622-$T622)</f>
        <v/>
      </c>
      <c r="V622" s="17" t="str">
        <f aca="false">IF($U622="","",IF($B$10=0,"",$U622/$B$10))</f>
        <v/>
      </c>
      <c r="W622" s="17" t="str">
        <f aca="false">IF($Q622="","",IF($B$10=0,"",$Q622/$B$10))</f>
        <v/>
      </c>
      <c r="X622" s="19" t="n">
        <f aca="false">IF($U622="",1000000000000000,$U622)</f>
        <v>1000000000000000</v>
      </c>
      <c r="XFC622" s="6"/>
    </row>
    <row r="623" s="22" customFormat="true" ht="28.5" hidden="false" customHeight="true" outlineLevel="0" collapsed="false">
      <c r="A623" s="16" t="str">
        <f aca="false">IF($U623="","",1+COUNTIF($X$15:$X$728,"&lt;"&amp;X623))</f>
        <v/>
      </c>
      <c r="B623" s="16" t="s">
        <v>18</v>
      </c>
      <c r="C623" s="16" t="s">
        <v>1853</v>
      </c>
      <c r="D623" s="16" t="s">
        <v>629</v>
      </c>
      <c r="E623" s="16" t="s">
        <v>59</v>
      </c>
      <c r="F623" s="16" t="s">
        <v>1854</v>
      </c>
      <c r="G623" s="16" t="s">
        <v>1855</v>
      </c>
      <c r="H623" s="17" t="n">
        <v>1889</v>
      </c>
      <c r="I623" s="17"/>
      <c r="J623" s="17"/>
      <c r="K623" s="17" t="n">
        <v>1889</v>
      </c>
      <c r="L623" s="17" t="n">
        <f aca="false">IF(AND(IFERROR(SEARCH("현대오일뱅크",$C623),0)&gt;0,IFERROR(SEARCH("직영",$C623),0)&gt;0),$B$13,0)</f>
        <v>0</v>
      </c>
      <c r="M623" s="17" t="n">
        <f aca="false">IF($H623="","",$H623+$L623)</f>
        <v>1889</v>
      </c>
      <c r="N623" s="17" t="str">
        <f aca="false">IF($I623="","",$I623+$L623)</f>
        <v/>
      </c>
      <c r="O623" s="17" t="n">
        <f aca="false">IF($K623="","",$K623+$L623)</f>
        <v>1889</v>
      </c>
      <c r="P623" s="17" t="str">
        <f aca="false">IF($B$10=0,"",IFERROR(IF($B$4&gt;0,"휘발유 "&amp;TEXT(IF($M623="",1/0,$M623*$B$4),"#,##0")&amp;"원","")&amp;IF($B$5&gt;0,IF($B$4&gt;0," / ","")&amp;"고급유 "&amp;TEXT(IF($N623="",1/0,$N623*$B$5),"#,##0")&amp;"원","")&amp;IF($B$6&gt;0,IF(OR($B$4&gt;0,$B$5&gt;0)," / ","")&amp;"경유 "&amp;TEXT(IF($O623="",1/0,$O623*$B$6),"#,##0")&amp;"원",""),""))</f>
        <v/>
      </c>
      <c r="Q623" s="17" t="str">
        <f aca="false">IF($B$10=0,"",IFERROR(IF($B$4&gt;0,IF($M623="",1/0,$M623*$B$4),0)+IF($B$5&gt;0,IF($N623="",1/0,$N623*$B$5),0)+IF($B$6&gt;0,IF($O623="",1/0,$O623*$B$6),0),""))</f>
        <v/>
      </c>
      <c r="R623" s="17"/>
      <c r="S623" s="18" t="str">
        <f aca="false">IF($Q623="","",IF($R623="Y",IFERROR(VLOOKUP($B623,$C$4:$D$13,2,FALSE()),0),0))</f>
        <v/>
      </c>
      <c r="T623" s="17" t="str">
        <f aca="false">IF($Q623="","",ROUNDDOWN($Q623*$S623,0))</f>
        <v/>
      </c>
      <c r="U623" s="17" t="str">
        <f aca="false">IF($Q623="","",$Q623-$T623)</f>
        <v/>
      </c>
      <c r="V623" s="17" t="str">
        <f aca="false">IF($U623="","",IF($B$10=0,"",$U623/$B$10))</f>
        <v/>
      </c>
      <c r="W623" s="17" t="str">
        <f aca="false">IF($Q623="","",IF($B$10=0,"",$Q623/$B$10))</f>
        <v/>
      </c>
      <c r="X623" s="19" t="n">
        <f aca="false">IF($U623="",1000000000000000,$U623)</f>
        <v>1000000000000000</v>
      </c>
      <c r="XFC623" s="6"/>
    </row>
    <row r="624" s="22" customFormat="true" ht="28.5" hidden="false" customHeight="true" outlineLevel="0" collapsed="false">
      <c r="A624" s="16" t="str">
        <f aca="false">IF($U624="","",1+COUNTIF($X$15:$X$728,"&lt;"&amp;X624))</f>
        <v/>
      </c>
      <c r="B624" s="16" t="s">
        <v>18</v>
      </c>
      <c r="C624" s="16" t="s">
        <v>1856</v>
      </c>
      <c r="D624" s="16" t="s">
        <v>629</v>
      </c>
      <c r="E624" s="16" t="s">
        <v>47</v>
      </c>
      <c r="F624" s="16" t="s">
        <v>1857</v>
      </c>
      <c r="G624" s="16" t="s">
        <v>1858</v>
      </c>
      <c r="H624" s="17" t="n">
        <v>1889</v>
      </c>
      <c r="I624" s="17"/>
      <c r="J624" s="17"/>
      <c r="K624" s="17" t="n">
        <v>1889</v>
      </c>
      <c r="L624" s="17" t="n">
        <f aca="false">IF(AND(IFERROR(SEARCH("현대오일뱅크",$C624),0)&gt;0,IFERROR(SEARCH("직영",$C624),0)&gt;0),$B$13,0)</f>
        <v>0</v>
      </c>
      <c r="M624" s="17" t="n">
        <f aca="false">IF($H624="","",$H624+$L624)</f>
        <v>1889</v>
      </c>
      <c r="N624" s="17" t="str">
        <f aca="false">IF($I624="","",$I624+$L624)</f>
        <v/>
      </c>
      <c r="O624" s="17" t="n">
        <f aca="false">IF($K624="","",$K624+$L624)</f>
        <v>1889</v>
      </c>
      <c r="P624" s="17" t="str">
        <f aca="false">IF($B$10=0,"",IFERROR(IF($B$4&gt;0,"휘발유 "&amp;TEXT(IF($M624="",1/0,$M624*$B$4),"#,##0")&amp;"원","")&amp;IF($B$5&gt;0,IF($B$4&gt;0," / ","")&amp;"고급유 "&amp;TEXT(IF($N624="",1/0,$N624*$B$5),"#,##0")&amp;"원","")&amp;IF($B$6&gt;0,IF(OR($B$4&gt;0,$B$5&gt;0)," / ","")&amp;"경유 "&amp;TEXT(IF($O624="",1/0,$O624*$B$6),"#,##0")&amp;"원",""),""))</f>
        <v/>
      </c>
      <c r="Q624" s="17" t="str">
        <f aca="false">IF($B$10=0,"",IFERROR(IF($B$4&gt;0,IF($M624="",1/0,$M624*$B$4),0)+IF($B$5&gt;0,IF($N624="",1/0,$N624*$B$5),0)+IF($B$6&gt;0,IF($O624="",1/0,$O624*$B$6),0),""))</f>
        <v/>
      </c>
      <c r="R624" s="17"/>
      <c r="S624" s="18" t="str">
        <f aca="false">IF($Q624="","",IF($R624="Y",IFERROR(VLOOKUP($B624,$C$4:$D$13,2,FALSE()),0),0))</f>
        <v/>
      </c>
      <c r="T624" s="17" t="str">
        <f aca="false">IF($Q624="","",ROUNDDOWN($Q624*$S624,0))</f>
        <v/>
      </c>
      <c r="U624" s="17" t="str">
        <f aca="false">IF($Q624="","",$Q624-$T624)</f>
        <v/>
      </c>
      <c r="V624" s="17" t="str">
        <f aca="false">IF($U624="","",IF($B$10=0,"",$U624/$B$10))</f>
        <v/>
      </c>
      <c r="W624" s="17" t="str">
        <f aca="false">IF($Q624="","",IF($B$10=0,"",$Q624/$B$10))</f>
        <v/>
      </c>
      <c r="X624" s="19" t="n">
        <f aca="false">IF($U624="",1000000000000000,$U624)</f>
        <v>1000000000000000</v>
      </c>
      <c r="XFC624" s="6"/>
    </row>
    <row r="625" s="22" customFormat="true" ht="28.5" hidden="false" customHeight="true" outlineLevel="0" collapsed="false">
      <c r="A625" s="16" t="str">
        <f aca="false">IF($U625="","",1+COUNTIF($X$15:$X$728,"&lt;"&amp;X625))</f>
        <v/>
      </c>
      <c r="B625" s="16" t="s">
        <v>14</v>
      </c>
      <c r="C625" s="16" t="s">
        <v>1859</v>
      </c>
      <c r="D625" s="16" t="s">
        <v>629</v>
      </c>
      <c r="E625" s="16" t="s">
        <v>47</v>
      </c>
      <c r="F625" s="16" t="s">
        <v>1860</v>
      </c>
      <c r="G625" s="16" t="s">
        <v>1861</v>
      </c>
      <c r="H625" s="17" t="n">
        <v>1889</v>
      </c>
      <c r="I625" s="17"/>
      <c r="J625" s="17"/>
      <c r="K625" s="17" t="n">
        <v>1889</v>
      </c>
      <c r="L625" s="17" t="n">
        <f aca="false">IF(AND(IFERROR(SEARCH("현대오일뱅크",$C625),0)&gt;0,IFERROR(SEARCH("직영",$C625),0)&gt;0),$B$13,0)</f>
        <v>0</v>
      </c>
      <c r="M625" s="17" t="n">
        <f aca="false">IF($H625="","",$H625+$L625)</f>
        <v>1889</v>
      </c>
      <c r="N625" s="17" t="str">
        <f aca="false">IF($I625="","",$I625+$L625)</f>
        <v/>
      </c>
      <c r="O625" s="17" t="n">
        <f aca="false">IF($K625="","",$K625+$L625)</f>
        <v>1889</v>
      </c>
      <c r="P625" s="17" t="str">
        <f aca="false">IF($B$10=0,"",IFERROR(IF($B$4&gt;0,"휘발유 "&amp;TEXT(IF($M625="",1/0,$M625*$B$4),"#,##0")&amp;"원","")&amp;IF($B$5&gt;0,IF($B$4&gt;0," / ","")&amp;"고급유 "&amp;TEXT(IF($N625="",1/0,$N625*$B$5),"#,##0")&amp;"원","")&amp;IF($B$6&gt;0,IF(OR($B$4&gt;0,$B$5&gt;0)," / ","")&amp;"경유 "&amp;TEXT(IF($O625="",1/0,$O625*$B$6),"#,##0")&amp;"원",""),""))</f>
        <v/>
      </c>
      <c r="Q625" s="17" t="str">
        <f aca="false">IF($B$10=0,"",IFERROR(IF($B$4&gt;0,IF($M625="",1/0,$M625*$B$4),0)+IF($B$5&gt;0,IF($N625="",1/0,$N625*$B$5),0)+IF($B$6&gt;0,IF($O625="",1/0,$O625*$B$6),0),""))</f>
        <v/>
      </c>
      <c r="R625" s="17"/>
      <c r="S625" s="18" t="str">
        <f aca="false">IF($Q625="","",IF($R625="Y",IFERROR(VLOOKUP($B625,$C$4:$D$13,2,FALSE()),0),0))</f>
        <v/>
      </c>
      <c r="T625" s="17" t="str">
        <f aca="false">IF($Q625="","",ROUNDDOWN($Q625*$S625,0))</f>
        <v/>
      </c>
      <c r="U625" s="17" t="str">
        <f aca="false">IF($Q625="","",$Q625-$T625)</f>
        <v/>
      </c>
      <c r="V625" s="17" t="str">
        <f aca="false">IF($U625="","",IF($B$10=0,"",$U625/$B$10))</f>
        <v/>
      </c>
      <c r="W625" s="17" t="str">
        <f aca="false">IF($Q625="","",IF($B$10=0,"",$Q625/$B$10))</f>
        <v/>
      </c>
      <c r="X625" s="19" t="n">
        <f aca="false">IF($U625="",1000000000000000,$U625)</f>
        <v>1000000000000000</v>
      </c>
      <c r="XFC625" s="6"/>
    </row>
    <row r="626" s="22" customFormat="true" ht="28.5" hidden="false" customHeight="true" outlineLevel="0" collapsed="false">
      <c r="A626" s="16" t="str">
        <f aca="false">IF($U626="","",1+COUNTIF($X$15:$X$728,"&lt;"&amp;X626))</f>
        <v/>
      </c>
      <c r="B626" s="16" t="s">
        <v>18</v>
      </c>
      <c r="C626" s="16" t="s">
        <v>1862</v>
      </c>
      <c r="D626" s="16" t="s">
        <v>629</v>
      </c>
      <c r="E626" s="16" t="s">
        <v>59</v>
      </c>
      <c r="F626" s="16" t="s">
        <v>1863</v>
      </c>
      <c r="G626" s="16" t="s">
        <v>1864</v>
      </c>
      <c r="H626" s="17" t="n">
        <v>1889</v>
      </c>
      <c r="I626" s="17"/>
      <c r="J626" s="17"/>
      <c r="K626" s="17" t="n">
        <v>1889</v>
      </c>
      <c r="L626" s="17" t="n">
        <f aca="false">IF(AND(IFERROR(SEARCH("현대오일뱅크",$C626),0)&gt;0,IFERROR(SEARCH("직영",$C626),0)&gt;0),$B$13,0)</f>
        <v>0</v>
      </c>
      <c r="M626" s="17" t="n">
        <f aca="false">IF($H626="","",$H626+$L626)</f>
        <v>1889</v>
      </c>
      <c r="N626" s="17" t="str">
        <f aca="false">IF($I626="","",$I626+$L626)</f>
        <v/>
      </c>
      <c r="O626" s="17" t="n">
        <f aca="false">IF($K626="","",$K626+$L626)</f>
        <v>1889</v>
      </c>
      <c r="P626" s="17" t="str">
        <f aca="false">IF($B$10=0,"",IFERROR(IF($B$4&gt;0,"휘발유 "&amp;TEXT(IF($M626="",1/0,$M626*$B$4),"#,##0")&amp;"원","")&amp;IF($B$5&gt;0,IF($B$4&gt;0," / ","")&amp;"고급유 "&amp;TEXT(IF($N626="",1/0,$N626*$B$5),"#,##0")&amp;"원","")&amp;IF($B$6&gt;0,IF(OR($B$4&gt;0,$B$5&gt;0)," / ","")&amp;"경유 "&amp;TEXT(IF($O626="",1/0,$O626*$B$6),"#,##0")&amp;"원",""),""))</f>
        <v/>
      </c>
      <c r="Q626" s="17" t="str">
        <f aca="false">IF($B$10=0,"",IFERROR(IF($B$4&gt;0,IF($M626="",1/0,$M626*$B$4),0)+IF($B$5&gt;0,IF($N626="",1/0,$N626*$B$5),0)+IF($B$6&gt;0,IF($O626="",1/0,$O626*$B$6),0),""))</f>
        <v/>
      </c>
      <c r="R626" s="17"/>
      <c r="S626" s="18" t="str">
        <f aca="false">IF($Q626="","",IF($R626="Y",IFERROR(VLOOKUP($B626,$C$4:$D$13,2,FALSE()),0),0))</f>
        <v/>
      </c>
      <c r="T626" s="17" t="str">
        <f aca="false">IF($Q626="","",ROUNDDOWN($Q626*$S626,0))</f>
        <v/>
      </c>
      <c r="U626" s="17" t="str">
        <f aca="false">IF($Q626="","",$Q626-$T626)</f>
        <v/>
      </c>
      <c r="V626" s="17" t="str">
        <f aca="false">IF($U626="","",IF($B$10=0,"",$U626/$B$10))</f>
        <v/>
      </c>
      <c r="W626" s="17" t="str">
        <f aca="false">IF($Q626="","",IF($B$10=0,"",$Q626/$B$10))</f>
        <v/>
      </c>
      <c r="X626" s="19" t="n">
        <f aca="false">IF($U626="",1000000000000000,$U626)</f>
        <v>1000000000000000</v>
      </c>
      <c r="XFC626" s="6"/>
    </row>
    <row r="627" s="22" customFormat="true" ht="28.5" hidden="false" customHeight="true" outlineLevel="0" collapsed="false">
      <c r="A627" s="16" t="str">
        <f aca="false">IF($U627="","",1+COUNTIF($X$15:$X$728,"&lt;"&amp;X627))</f>
        <v/>
      </c>
      <c r="B627" s="16" t="s">
        <v>6</v>
      </c>
      <c r="C627" s="16" t="s">
        <v>1865</v>
      </c>
      <c r="D627" s="16" t="s">
        <v>58</v>
      </c>
      <c r="E627" s="16" t="s">
        <v>47</v>
      </c>
      <c r="F627" s="16" t="s">
        <v>1866</v>
      </c>
      <c r="G627" s="16" t="s">
        <v>1867</v>
      </c>
      <c r="H627" s="17" t="n">
        <v>1889</v>
      </c>
      <c r="I627" s="17"/>
      <c r="J627" s="17"/>
      <c r="K627" s="17" t="n">
        <v>1929</v>
      </c>
      <c r="L627" s="17" t="n">
        <f aca="false">IF(AND(IFERROR(SEARCH("현대오일뱅크",$C627),0)&gt;0,IFERROR(SEARCH("직영",$C627),0)&gt;0),$B$13,0)</f>
        <v>0</v>
      </c>
      <c r="M627" s="17" t="n">
        <f aca="false">IF($H627="","",$H627+$L627)</f>
        <v>1889</v>
      </c>
      <c r="N627" s="17" t="str">
        <f aca="false">IF($I627="","",$I627+$L627)</f>
        <v/>
      </c>
      <c r="O627" s="17" t="n">
        <f aca="false">IF($K627="","",$K627+$L627)</f>
        <v>1929</v>
      </c>
      <c r="P627" s="17" t="str">
        <f aca="false">IF($B$10=0,"",IFERROR(IF($B$4&gt;0,"휘발유 "&amp;TEXT(IF($M627="",1/0,$M627*$B$4),"#,##0")&amp;"원","")&amp;IF($B$5&gt;0,IF($B$4&gt;0," / ","")&amp;"고급유 "&amp;TEXT(IF($N627="",1/0,$N627*$B$5),"#,##0")&amp;"원","")&amp;IF($B$6&gt;0,IF(OR($B$4&gt;0,$B$5&gt;0)," / ","")&amp;"경유 "&amp;TEXT(IF($O627="",1/0,$O627*$B$6),"#,##0")&amp;"원",""),""))</f>
        <v/>
      </c>
      <c r="Q627" s="17" t="str">
        <f aca="false">IF($B$10=0,"",IFERROR(IF($B$4&gt;0,IF($M627="",1/0,$M627*$B$4),0)+IF($B$5&gt;0,IF($N627="",1/0,$N627*$B$5),0)+IF($B$6&gt;0,IF($O627="",1/0,$O627*$B$6),0),""))</f>
        <v/>
      </c>
      <c r="R627" s="17"/>
      <c r="S627" s="18" t="str">
        <f aca="false">IF($Q627="","",IF($R627="Y",IFERROR(VLOOKUP($B627,$C$4:$D$13,2,FALSE()),0),0))</f>
        <v/>
      </c>
      <c r="T627" s="17" t="str">
        <f aca="false">IF($Q627="","",ROUNDDOWN($Q627*$S627,0))</f>
        <v/>
      </c>
      <c r="U627" s="17" t="str">
        <f aca="false">IF($Q627="","",$Q627-$T627)</f>
        <v/>
      </c>
      <c r="V627" s="17" t="str">
        <f aca="false">IF($U627="","",IF($B$10=0,"",$U627/$B$10))</f>
        <v/>
      </c>
      <c r="W627" s="17" t="str">
        <f aca="false">IF($Q627="","",IF($B$10=0,"",$Q627/$B$10))</f>
        <v/>
      </c>
      <c r="X627" s="19" t="n">
        <f aca="false">IF($U627="",1000000000000000,$U627)</f>
        <v>1000000000000000</v>
      </c>
      <c r="XFC627" s="6"/>
    </row>
    <row r="628" s="22" customFormat="true" ht="28.5" hidden="false" customHeight="true" outlineLevel="0" collapsed="false">
      <c r="A628" s="16" t="str">
        <f aca="false">IF($U628="","",1+COUNTIF($X$15:$X$728,"&lt;"&amp;X628))</f>
        <v/>
      </c>
      <c r="B628" s="16" t="s">
        <v>8</v>
      </c>
      <c r="C628" s="16" t="s">
        <v>1868</v>
      </c>
      <c r="D628" s="16" t="s">
        <v>629</v>
      </c>
      <c r="E628" s="16" t="s">
        <v>59</v>
      </c>
      <c r="F628" s="16" t="s">
        <v>1869</v>
      </c>
      <c r="G628" s="16" t="s">
        <v>1870</v>
      </c>
      <c r="H628" s="17" t="n">
        <v>1890</v>
      </c>
      <c r="I628" s="17"/>
      <c r="J628" s="17"/>
      <c r="K628" s="17" t="n">
        <v>1910</v>
      </c>
      <c r="L628" s="17" t="n">
        <f aca="false">IF(AND(IFERROR(SEARCH("현대오일뱅크",$C628),0)&gt;0,IFERROR(SEARCH("직영",$C628),0)&gt;0),$B$13,0)</f>
        <v>0</v>
      </c>
      <c r="M628" s="17" t="n">
        <f aca="false">IF($H628="","",$H628+$L628)</f>
        <v>1890</v>
      </c>
      <c r="N628" s="17" t="str">
        <f aca="false">IF($I628="","",$I628+$L628)</f>
        <v/>
      </c>
      <c r="O628" s="17" t="n">
        <f aca="false">IF($K628="","",$K628+$L628)</f>
        <v>1910</v>
      </c>
      <c r="P628" s="17" t="str">
        <f aca="false">IF($B$10=0,"",IFERROR(IF($B$4&gt;0,"휘발유 "&amp;TEXT(IF($M628="",1/0,$M628*$B$4),"#,##0")&amp;"원","")&amp;IF($B$5&gt;0,IF($B$4&gt;0," / ","")&amp;"고급유 "&amp;TEXT(IF($N628="",1/0,$N628*$B$5),"#,##0")&amp;"원","")&amp;IF($B$6&gt;0,IF(OR($B$4&gt;0,$B$5&gt;0)," / ","")&amp;"경유 "&amp;TEXT(IF($O628="",1/0,$O628*$B$6),"#,##0")&amp;"원",""),""))</f>
        <v/>
      </c>
      <c r="Q628" s="17" t="str">
        <f aca="false">IF($B$10=0,"",IFERROR(IF($B$4&gt;0,IF($M628="",1/0,$M628*$B$4),0)+IF($B$5&gt;0,IF($N628="",1/0,$N628*$B$5),0)+IF($B$6&gt;0,IF($O628="",1/0,$O628*$B$6),0),""))</f>
        <v/>
      </c>
      <c r="R628" s="17"/>
      <c r="S628" s="18" t="str">
        <f aca="false">IF($Q628="","",IF($R628="Y",IFERROR(VLOOKUP($B628,$C$4:$D$13,2,FALSE()),0),0))</f>
        <v/>
      </c>
      <c r="T628" s="17" t="str">
        <f aca="false">IF($Q628="","",ROUNDDOWN($Q628*$S628,0))</f>
        <v/>
      </c>
      <c r="U628" s="17" t="str">
        <f aca="false">IF($Q628="","",$Q628-$T628)</f>
        <v/>
      </c>
      <c r="V628" s="17" t="str">
        <f aca="false">IF($U628="","",IF($B$10=0,"",$U628/$B$10))</f>
        <v/>
      </c>
      <c r="W628" s="17" t="str">
        <f aca="false">IF($Q628="","",IF($B$10=0,"",$Q628/$B$10))</f>
        <v/>
      </c>
      <c r="X628" s="19" t="n">
        <f aca="false">IF($U628="",1000000000000000,$U628)</f>
        <v>1000000000000000</v>
      </c>
      <c r="XFC628" s="6"/>
    </row>
    <row r="629" s="22" customFormat="true" ht="28.5" hidden="false" customHeight="true" outlineLevel="0" collapsed="false">
      <c r="A629" s="16" t="str">
        <f aca="false">IF($U629="","",1+COUNTIF($X$15:$X$728,"&lt;"&amp;X629))</f>
        <v/>
      </c>
      <c r="B629" s="16" t="s">
        <v>18</v>
      </c>
      <c r="C629" s="16" t="s">
        <v>1871</v>
      </c>
      <c r="D629" s="16" t="s">
        <v>112</v>
      </c>
      <c r="E629" s="16" t="s">
        <v>59</v>
      </c>
      <c r="F629" s="16" t="s">
        <v>1872</v>
      </c>
      <c r="G629" s="16" t="s">
        <v>1873</v>
      </c>
      <c r="H629" s="17" t="n">
        <v>1890</v>
      </c>
      <c r="I629" s="17"/>
      <c r="J629" s="17"/>
      <c r="K629" s="17" t="n">
        <v>1970</v>
      </c>
      <c r="L629" s="17" t="n">
        <f aca="false">IF(AND(IFERROR(SEARCH("현대오일뱅크",$C629),0)&gt;0,IFERROR(SEARCH("직영",$C629),0)&gt;0),$B$13,0)</f>
        <v>0</v>
      </c>
      <c r="M629" s="17" t="n">
        <f aca="false">IF($H629="","",$H629+$L629)</f>
        <v>1890</v>
      </c>
      <c r="N629" s="17" t="str">
        <f aca="false">IF($I629="","",$I629+$L629)</f>
        <v/>
      </c>
      <c r="O629" s="17" t="n">
        <f aca="false">IF($K629="","",$K629+$L629)</f>
        <v>1970</v>
      </c>
      <c r="P629" s="17" t="str">
        <f aca="false">IF($B$10=0,"",IFERROR(IF($B$4&gt;0,"휘발유 "&amp;TEXT(IF($M629="",1/0,$M629*$B$4),"#,##0")&amp;"원","")&amp;IF($B$5&gt;0,IF($B$4&gt;0," / ","")&amp;"고급유 "&amp;TEXT(IF($N629="",1/0,$N629*$B$5),"#,##0")&amp;"원","")&amp;IF($B$6&gt;0,IF(OR($B$4&gt;0,$B$5&gt;0)," / ","")&amp;"경유 "&amp;TEXT(IF($O629="",1/0,$O629*$B$6),"#,##0")&amp;"원",""),""))</f>
        <v/>
      </c>
      <c r="Q629" s="17" t="str">
        <f aca="false">IF($B$10=0,"",IFERROR(IF($B$4&gt;0,IF($M629="",1/0,$M629*$B$4),0)+IF($B$5&gt;0,IF($N629="",1/0,$N629*$B$5),0)+IF($B$6&gt;0,IF($O629="",1/0,$O629*$B$6),0),""))</f>
        <v/>
      </c>
      <c r="R629" s="17"/>
      <c r="S629" s="18" t="str">
        <f aca="false">IF($Q629="","",IF($R629="Y",IFERROR(VLOOKUP($B629,$C$4:$D$13,2,FALSE()),0),0))</f>
        <v/>
      </c>
      <c r="T629" s="17" t="str">
        <f aca="false">IF($Q629="","",ROUNDDOWN($Q629*$S629,0))</f>
        <v/>
      </c>
      <c r="U629" s="17" t="str">
        <f aca="false">IF($Q629="","",$Q629-$T629)</f>
        <v/>
      </c>
      <c r="V629" s="17" t="str">
        <f aca="false">IF($U629="","",IF($B$10=0,"",$U629/$B$10))</f>
        <v/>
      </c>
      <c r="W629" s="17" t="str">
        <f aca="false">IF($Q629="","",IF($B$10=0,"",$Q629/$B$10))</f>
        <v/>
      </c>
      <c r="X629" s="19" t="n">
        <f aca="false">IF($U629="",1000000000000000,$U629)</f>
        <v>1000000000000000</v>
      </c>
      <c r="XFC629" s="6"/>
    </row>
    <row r="630" s="22" customFormat="true" ht="28.5" hidden="false" customHeight="true" outlineLevel="0" collapsed="false">
      <c r="A630" s="16" t="str">
        <f aca="false">IF($U630="","",1+COUNTIF($X$15:$X$728,"&lt;"&amp;X630))</f>
        <v/>
      </c>
      <c r="B630" s="16" t="s">
        <v>8</v>
      </c>
      <c r="C630" s="16" t="s">
        <v>1874</v>
      </c>
      <c r="D630" s="20" t="s">
        <v>108</v>
      </c>
      <c r="E630" s="16" t="s">
        <v>47</v>
      </c>
      <c r="F630" s="16" t="s">
        <v>1875</v>
      </c>
      <c r="G630" s="16" t="s">
        <v>1876</v>
      </c>
      <c r="H630" s="17" t="n">
        <v>1892</v>
      </c>
      <c r="I630" s="17"/>
      <c r="J630" s="17"/>
      <c r="K630" s="17" t="n">
        <v>1925</v>
      </c>
      <c r="L630" s="17" t="n">
        <f aca="false">IF(AND(IFERROR(SEARCH("현대오일뱅크",$C630),0)&gt;0,IFERROR(SEARCH("직영",$C630),0)&gt;0),$B$13,0)</f>
        <v>0</v>
      </c>
      <c r="M630" s="17" t="n">
        <f aca="false">IF($H630="","",$H630+$L630)</f>
        <v>1892</v>
      </c>
      <c r="N630" s="17" t="str">
        <f aca="false">IF($I630="","",$I630+$L630)</f>
        <v/>
      </c>
      <c r="O630" s="17" t="n">
        <f aca="false">IF($K630="","",$K630+$L630)</f>
        <v>1925</v>
      </c>
      <c r="P630" s="17" t="str">
        <f aca="false">IF($B$10=0,"",IFERROR(IF($B$4&gt;0,"휘발유 "&amp;TEXT(IF($M630="",1/0,$M630*$B$4),"#,##0")&amp;"원","")&amp;IF($B$5&gt;0,IF($B$4&gt;0," / ","")&amp;"고급유 "&amp;TEXT(IF($N630="",1/0,$N630*$B$5),"#,##0")&amp;"원","")&amp;IF($B$6&gt;0,IF(OR($B$4&gt;0,$B$5&gt;0)," / ","")&amp;"경유 "&amp;TEXT(IF($O630="",1/0,$O630*$B$6),"#,##0")&amp;"원",""),""))</f>
        <v/>
      </c>
      <c r="Q630" s="17" t="str">
        <f aca="false">IF($B$10=0,"",IFERROR(IF($B$4&gt;0,IF($M630="",1/0,$M630*$B$4),0)+IF($B$5&gt;0,IF($N630="",1/0,$N630*$B$5),0)+IF($B$6&gt;0,IF($O630="",1/0,$O630*$B$6),0),""))</f>
        <v/>
      </c>
      <c r="R630" s="17"/>
      <c r="S630" s="18" t="str">
        <f aca="false">IF($Q630="","",IF($R630="Y",IFERROR(VLOOKUP($B630,$C$4:$D$13,2,FALSE()),0),0))</f>
        <v/>
      </c>
      <c r="T630" s="17" t="str">
        <f aca="false">IF($Q630="","",ROUNDDOWN($Q630*$S630,0))</f>
        <v/>
      </c>
      <c r="U630" s="17" t="str">
        <f aca="false">IF($Q630="","",$Q630-$T630)</f>
        <v/>
      </c>
      <c r="V630" s="17" t="str">
        <f aca="false">IF($U630="","",IF($B$10=0,"",$U630/$B$10))</f>
        <v/>
      </c>
      <c r="W630" s="17" t="str">
        <f aca="false">IF($Q630="","",IF($B$10=0,"",$Q630/$B$10))</f>
        <v/>
      </c>
      <c r="X630" s="19" t="n">
        <f aca="false">IF($U630="",1000000000000000,$U630)</f>
        <v>1000000000000000</v>
      </c>
      <c r="XFC630" s="6"/>
    </row>
    <row r="631" s="22" customFormat="true" ht="28.5" hidden="false" customHeight="true" outlineLevel="0" collapsed="false">
      <c r="A631" s="16" t="str">
        <f aca="false">IF($U631="","",1+COUNTIF($X$15:$X$728,"&lt;"&amp;X631))</f>
        <v/>
      </c>
      <c r="B631" s="16" t="s">
        <v>8</v>
      </c>
      <c r="C631" s="16" t="s">
        <v>1877</v>
      </c>
      <c r="D631" s="16" t="s">
        <v>51</v>
      </c>
      <c r="E631" s="16" t="s">
        <v>47</v>
      </c>
      <c r="F631" s="16" t="s">
        <v>1878</v>
      </c>
      <c r="G631" s="16" t="s">
        <v>1879</v>
      </c>
      <c r="H631" s="17" t="n">
        <v>1893</v>
      </c>
      <c r="I631" s="17"/>
      <c r="J631" s="17"/>
      <c r="K631" s="17" t="n">
        <v>1923</v>
      </c>
      <c r="L631" s="17" t="n">
        <f aca="false">IF(AND(IFERROR(SEARCH("현대오일뱅크",$C631),0)&gt;0,IFERROR(SEARCH("직영",$C631),0)&gt;0),$B$13,0)</f>
        <v>0</v>
      </c>
      <c r="M631" s="17" t="n">
        <f aca="false">IF($H631="","",$H631+$L631)</f>
        <v>1893</v>
      </c>
      <c r="N631" s="17" t="str">
        <f aca="false">IF($I631="","",$I631+$L631)</f>
        <v/>
      </c>
      <c r="O631" s="17" t="n">
        <f aca="false">IF($K631="","",$K631+$L631)</f>
        <v>1923</v>
      </c>
      <c r="P631" s="17" t="str">
        <f aca="false">IF($B$10=0,"",IFERROR(IF($B$4&gt;0,"휘발유 "&amp;TEXT(IF($M631="",1/0,$M631*$B$4),"#,##0")&amp;"원","")&amp;IF($B$5&gt;0,IF($B$4&gt;0," / ","")&amp;"고급유 "&amp;TEXT(IF($N631="",1/0,$N631*$B$5),"#,##0")&amp;"원","")&amp;IF($B$6&gt;0,IF(OR($B$4&gt;0,$B$5&gt;0)," / ","")&amp;"경유 "&amp;TEXT(IF($O631="",1/0,$O631*$B$6),"#,##0")&amp;"원",""),""))</f>
        <v/>
      </c>
      <c r="Q631" s="17" t="str">
        <f aca="false">IF($B$10=0,"",IFERROR(IF($B$4&gt;0,IF($M631="",1/0,$M631*$B$4),0)+IF($B$5&gt;0,IF($N631="",1/0,$N631*$B$5),0)+IF($B$6&gt;0,IF($O631="",1/0,$O631*$B$6),0),""))</f>
        <v/>
      </c>
      <c r="R631" s="17"/>
      <c r="S631" s="18" t="str">
        <f aca="false">IF($Q631="","",IF($R631="Y",IFERROR(VLOOKUP($B631,$C$4:$D$13,2,FALSE()),0),0))</f>
        <v/>
      </c>
      <c r="T631" s="17" t="str">
        <f aca="false">IF($Q631="","",ROUNDDOWN($Q631*$S631,0))</f>
        <v/>
      </c>
      <c r="U631" s="17" t="str">
        <f aca="false">IF($Q631="","",$Q631-$T631)</f>
        <v/>
      </c>
      <c r="V631" s="17" t="str">
        <f aca="false">IF($U631="","",IF($B$10=0,"",$U631/$B$10))</f>
        <v/>
      </c>
      <c r="W631" s="17" t="str">
        <f aca="false">IF($Q631="","",IF($B$10=0,"",$Q631/$B$10))</f>
        <v/>
      </c>
      <c r="X631" s="19" t="n">
        <f aca="false">IF($U631="",1000000000000000,$U631)</f>
        <v>1000000000000000</v>
      </c>
      <c r="XFC631" s="6"/>
    </row>
    <row r="632" s="22" customFormat="true" ht="28.5" hidden="false" customHeight="true" outlineLevel="0" collapsed="false">
      <c r="A632" s="16" t="str">
        <f aca="false">IF($U632="","",1+COUNTIF($X$15:$X$728,"&lt;"&amp;X632))</f>
        <v/>
      </c>
      <c r="B632" s="16" t="s">
        <v>12</v>
      </c>
      <c r="C632" s="16" t="s">
        <v>1880</v>
      </c>
      <c r="D632" s="20" t="s">
        <v>629</v>
      </c>
      <c r="E632" s="16" t="s">
        <v>47</v>
      </c>
      <c r="F632" s="16" t="s">
        <v>1881</v>
      </c>
      <c r="G632" s="16" t="s">
        <v>1882</v>
      </c>
      <c r="H632" s="17" t="n">
        <v>1894</v>
      </c>
      <c r="I632" s="17"/>
      <c r="J632" s="17"/>
      <c r="K632" s="17" t="n">
        <v>1898</v>
      </c>
      <c r="L632" s="17" t="n">
        <f aca="false">IF(AND(IFERROR(SEARCH("현대오일뱅크",$C632),0)&gt;0,IFERROR(SEARCH("직영",$C632),0)&gt;0),$B$13,0)</f>
        <v>0</v>
      </c>
      <c r="M632" s="17" t="n">
        <f aca="false">IF($H632="","",$H632+$L632)</f>
        <v>1894</v>
      </c>
      <c r="N632" s="17" t="str">
        <f aca="false">IF($I632="","",$I632+$L632)</f>
        <v/>
      </c>
      <c r="O632" s="17" t="n">
        <f aca="false">IF($K632="","",$K632+$L632)</f>
        <v>1898</v>
      </c>
      <c r="P632" s="17" t="str">
        <f aca="false">IF($B$10=0,"",IFERROR(IF($B$4&gt;0,"휘발유 "&amp;TEXT(IF($M632="",1/0,$M632*$B$4),"#,##0")&amp;"원","")&amp;IF($B$5&gt;0,IF($B$4&gt;0," / ","")&amp;"고급유 "&amp;TEXT(IF($N632="",1/0,$N632*$B$5),"#,##0")&amp;"원","")&amp;IF($B$6&gt;0,IF(OR($B$4&gt;0,$B$5&gt;0)," / ","")&amp;"경유 "&amp;TEXT(IF($O632="",1/0,$O632*$B$6),"#,##0")&amp;"원",""),""))</f>
        <v/>
      </c>
      <c r="Q632" s="17" t="str">
        <f aca="false">IF($B$10=0,"",IFERROR(IF($B$4&gt;0,IF($M632="",1/0,$M632*$B$4),0)+IF($B$5&gt;0,IF($N632="",1/0,$N632*$B$5),0)+IF($B$6&gt;0,IF($O632="",1/0,$O632*$B$6),0),""))</f>
        <v/>
      </c>
      <c r="R632" s="17"/>
      <c r="S632" s="18" t="str">
        <f aca="false">IF($Q632="","",IF($R632="Y",IFERROR(VLOOKUP($B632,$C$4:$D$13,2,FALSE()),0),0))</f>
        <v/>
      </c>
      <c r="T632" s="17" t="str">
        <f aca="false">IF($Q632="","",ROUNDDOWN($Q632*$S632,0))</f>
        <v/>
      </c>
      <c r="U632" s="17" t="str">
        <f aca="false">IF($Q632="","",$Q632-$T632)</f>
        <v/>
      </c>
      <c r="V632" s="17" t="str">
        <f aca="false">IF($U632="","",IF($B$10=0,"",$U632/$B$10))</f>
        <v/>
      </c>
      <c r="W632" s="17" t="str">
        <f aca="false">IF($Q632="","",IF($B$10=0,"",$Q632/$B$10))</f>
        <v/>
      </c>
      <c r="X632" s="19" t="n">
        <f aca="false">IF($U632="",1000000000000000,$U632)</f>
        <v>1000000000000000</v>
      </c>
      <c r="XFC632" s="6"/>
    </row>
    <row r="633" s="22" customFormat="true" ht="28.5" hidden="false" customHeight="true" outlineLevel="0" collapsed="false">
      <c r="A633" s="16" t="str">
        <f aca="false">IF($U633="","",1+COUNTIF($X$15:$X$728,"&lt;"&amp;X633))</f>
        <v/>
      </c>
      <c r="B633" s="16" t="s">
        <v>12</v>
      </c>
      <c r="C633" s="16" t="s">
        <v>1883</v>
      </c>
      <c r="D633" s="20" t="s">
        <v>112</v>
      </c>
      <c r="E633" s="16" t="s">
        <v>47</v>
      </c>
      <c r="F633" s="16" t="s">
        <v>1884</v>
      </c>
      <c r="G633" s="16" t="s">
        <v>1885</v>
      </c>
      <c r="H633" s="17" t="n">
        <v>1894</v>
      </c>
      <c r="I633" s="17"/>
      <c r="J633" s="17"/>
      <c r="K633" s="17" t="n">
        <v>1954</v>
      </c>
      <c r="L633" s="17" t="n">
        <f aca="false">IF(AND(IFERROR(SEARCH("현대오일뱅크",$C633),0)&gt;0,IFERROR(SEARCH("직영",$C633),0)&gt;0),$B$13,0)</f>
        <v>0</v>
      </c>
      <c r="M633" s="17" t="n">
        <f aca="false">IF($H633="","",$H633+$L633)</f>
        <v>1894</v>
      </c>
      <c r="N633" s="17" t="str">
        <f aca="false">IF($I633="","",$I633+$L633)</f>
        <v/>
      </c>
      <c r="O633" s="17" t="n">
        <f aca="false">IF($K633="","",$K633+$L633)</f>
        <v>1954</v>
      </c>
      <c r="P633" s="17" t="str">
        <f aca="false">IF($B$10=0,"",IFERROR(IF($B$4&gt;0,"휘발유 "&amp;TEXT(IF($M633="",1/0,$M633*$B$4),"#,##0")&amp;"원","")&amp;IF($B$5&gt;0,IF($B$4&gt;0," / ","")&amp;"고급유 "&amp;TEXT(IF($N633="",1/0,$N633*$B$5),"#,##0")&amp;"원","")&amp;IF($B$6&gt;0,IF(OR($B$4&gt;0,$B$5&gt;0)," / ","")&amp;"경유 "&amp;TEXT(IF($O633="",1/0,$O633*$B$6),"#,##0")&amp;"원",""),""))</f>
        <v/>
      </c>
      <c r="Q633" s="17" t="str">
        <f aca="false">IF($B$10=0,"",IFERROR(IF($B$4&gt;0,IF($M633="",1/0,$M633*$B$4),0)+IF($B$5&gt;0,IF($N633="",1/0,$N633*$B$5),0)+IF($B$6&gt;0,IF($O633="",1/0,$O633*$B$6),0),""))</f>
        <v/>
      </c>
      <c r="R633" s="17"/>
      <c r="S633" s="18" t="str">
        <f aca="false">IF($Q633="","",IF($R633="Y",IFERROR(VLOOKUP($B633,$C$4:$D$13,2,FALSE()),0),0))</f>
        <v/>
      </c>
      <c r="T633" s="17" t="str">
        <f aca="false">IF($Q633="","",ROUNDDOWN($Q633*$S633,0))</f>
        <v/>
      </c>
      <c r="U633" s="17" t="str">
        <f aca="false">IF($Q633="","",$Q633-$T633)</f>
        <v/>
      </c>
      <c r="V633" s="17" t="str">
        <f aca="false">IF($U633="","",IF($B$10=0,"",$U633/$B$10))</f>
        <v/>
      </c>
      <c r="W633" s="17" t="str">
        <f aca="false">IF($Q633="","",IF($B$10=0,"",$Q633/$B$10))</f>
        <v/>
      </c>
      <c r="X633" s="19" t="n">
        <f aca="false">IF($U633="",1000000000000000,$U633)</f>
        <v>1000000000000000</v>
      </c>
      <c r="XFC633" s="6"/>
    </row>
    <row r="634" s="22" customFormat="true" ht="28.5" hidden="false" customHeight="true" outlineLevel="0" collapsed="false">
      <c r="A634" s="16" t="str">
        <f aca="false">IF($U634="","",1+COUNTIF($X$15:$X$728,"&lt;"&amp;X634))</f>
        <v/>
      </c>
      <c r="B634" s="16" t="s">
        <v>14</v>
      </c>
      <c r="C634" s="16" t="s">
        <v>1886</v>
      </c>
      <c r="D634" s="16" t="s">
        <v>112</v>
      </c>
      <c r="E634" s="16" t="s">
        <v>47</v>
      </c>
      <c r="F634" s="16" t="s">
        <v>1887</v>
      </c>
      <c r="G634" s="16" t="s">
        <v>1888</v>
      </c>
      <c r="H634" s="17" t="n">
        <v>1894</v>
      </c>
      <c r="I634" s="17"/>
      <c r="J634" s="17"/>
      <c r="K634" s="17" t="n">
        <v>1897</v>
      </c>
      <c r="L634" s="17" t="n">
        <f aca="false">IF(AND(IFERROR(SEARCH("현대오일뱅크",$C634),0)&gt;0,IFERROR(SEARCH("직영",$C634),0)&gt;0),$B$13,0)</f>
        <v>0</v>
      </c>
      <c r="M634" s="17" t="n">
        <f aca="false">IF($H634="","",$H634+$L634)</f>
        <v>1894</v>
      </c>
      <c r="N634" s="17" t="str">
        <f aca="false">IF($I634="","",$I634+$L634)</f>
        <v/>
      </c>
      <c r="O634" s="17" t="n">
        <f aca="false">IF($K634="","",$K634+$L634)</f>
        <v>1897</v>
      </c>
      <c r="P634" s="17" t="str">
        <f aca="false">IF($B$10=0,"",IFERROR(IF($B$4&gt;0,"휘발유 "&amp;TEXT(IF($M634="",1/0,$M634*$B$4),"#,##0")&amp;"원","")&amp;IF($B$5&gt;0,IF($B$4&gt;0," / ","")&amp;"고급유 "&amp;TEXT(IF($N634="",1/0,$N634*$B$5),"#,##0")&amp;"원","")&amp;IF($B$6&gt;0,IF(OR($B$4&gt;0,$B$5&gt;0)," / ","")&amp;"경유 "&amp;TEXT(IF($O634="",1/0,$O634*$B$6),"#,##0")&amp;"원",""),""))</f>
        <v/>
      </c>
      <c r="Q634" s="17" t="str">
        <f aca="false">IF($B$10=0,"",IFERROR(IF($B$4&gt;0,IF($M634="",1/0,$M634*$B$4),0)+IF($B$5&gt;0,IF($N634="",1/0,$N634*$B$5),0)+IF($B$6&gt;0,IF($O634="",1/0,$O634*$B$6),0),""))</f>
        <v/>
      </c>
      <c r="R634" s="17"/>
      <c r="S634" s="18" t="str">
        <f aca="false">IF($Q634="","",IF($R634="Y",IFERROR(VLOOKUP($B634,$C$4:$D$13,2,FALSE()),0),0))</f>
        <v/>
      </c>
      <c r="T634" s="17" t="str">
        <f aca="false">IF($Q634="","",ROUNDDOWN($Q634*$S634,0))</f>
        <v/>
      </c>
      <c r="U634" s="17" t="str">
        <f aca="false">IF($Q634="","",$Q634-$T634)</f>
        <v/>
      </c>
      <c r="V634" s="17" t="str">
        <f aca="false">IF($U634="","",IF($B$10=0,"",$U634/$B$10))</f>
        <v/>
      </c>
      <c r="W634" s="17" t="str">
        <f aca="false">IF($Q634="","",IF($B$10=0,"",$Q634/$B$10))</f>
        <v/>
      </c>
      <c r="X634" s="19" t="n">
        <f aca="false">IF($U634="",1000000000000000,$U634)</f>
        <v>1000000000000000</v>
      </c>
      <c r="XFC634" s="6"/>
    </row>
    <row r="635" s="22" customFormat="true" ht="28.5" hidden="false" customHeight="true" outlineLevel="0" collapsed="false">
      <c r="A635" s="16" t="str">
        <f aca="false">IF($U635="","",1+COUNTIF($X$15:$X$728,"&lt;"&amp;X635))</f>
        <v/>
      </c>
      <c r="B635" s="16" t="s">
        <v>14</v>
      </c>
      <c r="C635" s="16" t="s">
        <v>1889</v>
      </c>
      <c r="D635" s="16" t="s">
        <v>58</v>
      </c>
      <c r="E635" s="16" t="s">
        <v>47</v>
      </c>
      <c r="F635" s="16" t="s">
        <v>1890</v>
      </c>
      <c r="G635" s="16" t="s">
        <v>1891</v>
      </c>
      <c r="H635" s="17" t="n">
        <v>1895</v>
      </c>
      <c r="I635" s="17"/>
      <c r="J635" s="17"/>
      <c r="K635" s="17" t="n">
        <v>1959</v>
      </c>
      <c r="L635" s="17" t="n">
        <f aca="false">IF(AND(IFERROR(SEARCH("현대오일뱅크",$C635),0)&gt;0,IFERROR(SEARCH("직영",$C635),0)&gt;0),$B$13,0)</f>
        <v>0</v>
      </c>
      <c r="M635" s="17" t="n">
        <f aca="false">IF($H635="","",$H635+$L635)</f>
        <v>1895</v>
      </c>
      <c r="N635" s="17" t="str">
        <f aca="false">IF($I635="","",$I635+$L635)</f>
        <v/>
      </c>
      <c r="O635" s="17" t="n">
        <f aca="false">IF($K635="","",$K635+$L635)</f>
        <v>1959</v>
      </c>
      <c r="P635" s="17" t="str">
        <f aca="false">IF($B$10=0,"",IFERROR(IF($B$4&gt;0,"휘발유 "&amp;TEXT(IF($M635="",1/0,$M635*$B$4),"#,##0")&amp;"원","")&amp;IF($B$5&gt;0,IF($B$4&gt;0," / ","")&amp;"고급유 "&amp;TEXT(IF($N635="",1/0,$N635*$B$5),"#,##0")&amp;"원","")&amp;IF($B$6&gt;0,IF(OR($B$4&gt;0,$B$5&gt;0)," / ","")&amp;"경유 "&amp;TEXT(IF($O635="",1/0,$O635*$B$6),"#,##0")&amp;"원",""),""))</f>
        <v/>
      </c>
      <c r="Q635" s="17" t="str">
        <f aca="false">IF($B$10=0,"",IFERROR(IF($B$4&gt;0,IF($M635="",1/0,$M635*$B$4),0)+IF($B$5&gt;0,IF($N635="",1/0,$N635*$B$5),0)+IF($B$6&gt;0,IF($O635="",1/0,$O635*$B$6),0),""))</f>
        <v/>
      </c>
      <c r="R635" s="17"/>
      <c r="S635" s="18" t="str">
        <f aca="false">IF($Q635="","",IF($R635="Y",IFERROR(VLOOKUP($B635,$C$4:$D$13,2,FALSE()),0),0))</f>
        <v/>
      </c>
      <c r="T635" s="17" t="str">
        <f aca="false">IF($Q635="","",ROUNDDOWN($Q635*$S635,0))</f>
        <v/>
      </c>
      <c r="U635" s="17" t="str">
        <f aca="false">IF($Q635="","",$Q635-$T635)</f>
        <v/>
      </c>
      <c r="V635" s="17" t="str">
        <f aca="false">IF($U635="","",IF($B$10=0,"",$U635/$B$10))</f>
        <v/>
      </c>
      <c r="W635" s="17" t="str">
        <f aca="false">IF($Q635="","",IF($B$10=0,"",$Q635/$B$10))</f>
        <v/>
      </c>
      <c r="X635" s="19" t="n">
        <f aca="false">IF($U635="",1000000000000000,$U635)</f>
        <v>1000000000000000</v>
      </c>
      <c r="XFC635" s="6"/>
    </row>
    <row r="636" s="22" customFormat="true" ht="28.5" hidden="false" customHeight="true" outlineLevel="0" collapsed="false">
      <c r="A636" s="16" t="str">
        <f aca="false">IF($U636="","",1+COUNTIF($X$15:$X$728,"&lt;"&amp;X636))</f>
        <v/>
      </c>
      <c r="B636" s="16" t="s">
        <v>12</v>
      </c>
      <c r="C636" s="16" t="s">
        <v>1892</v>
      </c>
      <c r="D636" s="20" t="s">
        <v>294</v>
      </c>
      <c r="E636" s="16" t="s">
        <v>47</v>
      </c>
      <c r="F636" s="16" t="s">
        <v>1893</v>
      </c>
      <c r="G636" s="16" t="s">
        <v>1894</v>
      </c>
      <c r="H636" s="17" t="n">
        <v>1895</v>
      </c>
      <c r="I636" s="17"/>
      <c r="J636" s="17"/>
      <c r="K636" s="17" t="n">
        <v>2035</v>
      </c>
      <c r="L636" s="17" t="n">
        <f aca="false">IF(AND(IFERROR(SEARCH("현대오일뱅크",$C636),0)&gt;0,IFERROR(SEARCH("직영",$C636),0)&gt;0),$B$13,0)</f>
        <v>0</v>
      </c>
      <c r="M636" s="17" t="n">
        <f aca="false">IF($H636="","",$H636+$L636)</f>
        <v>1895</v>
      </c>
      <c r="N636" s="17" t="str">
        <f aca="false">IF($I636="","",$I636+$L636)</f>
        <v/>
      </c>
      <c r="O636" s="17" t="n">
        <f aca="false">IF($K636="","",$K636+$L636)</f>
        <v>2035</v>
      </c>
      <c r="P636" s="17" t="str">
        <f aca="false">IF($B$10=0,"",IFERROR(IF($B$4&gt;0,"휘발유 "&amp;TEXT(IF($M636="",1/0,$M636*$B$4),"#,##0")&amp;"원","")&amp;IF($B$5&gt;0,IF($B$4&gt;0," / ","")&amp;"고급유 "&amp;TEXT(IF($N636="",1/0,$N636*$B$5),"#,##0")&amp;"원","")&amp;IF($B$6&gt;0,IF(OR($B$4&gt;0,$B$5&gt;0)," / ","")&amp;"경유 "&amp;TEXT(IF($O636="",1/0,$O636*$B$6),"#,##0")&amp;"원",""),""))</f>
        <v/>
      </c>
      <c r="Q636" s="17" t="str">
        <f aca="false">IF($B$10=0,"",IFERROR(IF($B$4&gt;0,IF($M636="",1/0,$M636*$B$4),0)+IF($B$5&gt;0,IF($N636="",1/0,$N636*$B$5),0)+IF($B$6&gt;0,IF($O636="",1/0,$O636*$B$6),0),""))</f>
        <v/>
      </c>
      <c r="R636" s="17"/>
      <c r="S636" s="18" t="str">
        <f aca="false">IF($Q636="","",IF($R636="Y",IFERROR(VLOOKUP($B636,$C$4:$D$13,2,FALSE()),0),0))</f>
        <v/>
      </c>
      <c r="T636" s="17" t="str">
        <f aca="false">IF($Q636="","",ROUNDDOWN($Q636*$S636,0))</f>
        <v/>
      </c>
      <c r="U636" s="17" t="str">
        <f aca="false">IF($Q636="","",$Q636-$T636)</f>
        <v/>
      </c>
      <c r="V636" s="17" t="str">
        <f aca="false">IF($U636="","",IF($B$10=0,"",$U636/$B$10))</f>
        <v/>
      </c>
      <c r="W636" s="17" t="str">
        <f aca="false">IF($Q636="","",IF($B$10=0,"",$Q636/$B$10))</f>
        <v/>
      </c>
      <c r="X636" s="19" t="n">
        <f aca="false">IF($U636="",1000000000000000,$U636)</f>
        <v>1000000000000000</v>
      </c>
      <c r="XFC636" s="6"/>
    </row>
    <row r="637" s="22" customFormat="true" ht="28.5" hidden="false" customHeight="true" outlineLevel="0" collapsed="false">
      <c r="A637" s="16" t="str">
        <f aca="false">IF($U637="","",1+COUNTIF($X$15:$X$728,"&lt;"&amp;X637))</f>
        <v/>
      </c>
      <c r="B637" s="16" t="s">
        <v>8</v>
      </c>
      <c r="C637" s="16" t="s">
        <v>1169</v>
      </c>
      <c r="D637" s="16" t="s">
        <v>112</v>
      </c>
      <c r="E637" s="16" t="s">
        <v>47</v>
      </c>
      <c r="F637" s="16" t="s">
        <v>1895</v>
      </c>
      <c r="G637" s="16" t="s">
        <v>1896</v>
      </c>
      <c r="H637" s="17" t="n">
        <v>1895</v>
      </c>
      <c r="I637" s="17"/>
      <c r="J637" s="17"/>
      <c r="K637" s="17" t="n">
        <v>1895</v>
      </c>
      <c r="L637" s="17" t="n">
        <f aca="false">IF(AND(IFERROR(SEARCH("현대오일뱅크",$C637),0)&gt;0,IFERROR(SEARCH("직영",$C637),0)&gt;0),$B$13,0)</f>
        <v>0</v>
      </c>
      <c r="M637" s="17" t="n">
        <f aca="false">IF($H637="","",$H637+$L637)</f>
        <v>1895</v>
      </c>
      <c r="N637" s="17" t="str">
        <f aca="false">IF($I637="","",$I637+$L637)</f>
        <v/>
      </c>
      <c r="O637" s="17" t="n">
        <f aca="false">IF($K637="","",$K637+$L637)</f>
        <v>1895</v>
      </c>
      <c r="P637" s="17" t="str">
        <f aca="false">IF($B$10=0,"",IFERROR(IF($B$4&gt;0,"휘발유 "&amp;TEXT(IF($M637="",1/0,$M637*$B$4),"#,##0")&amp;"원","")&amp;IF($B$5&gt;0,IF($B$4&gt;0," / ","")&amp;"고급유 "&amp;TEXT(IF($N637="",1/0,$N637*$B$5),"#,##0")&amp;"원","")&amp;IF($B$6&gt;0,IF(OR($B$4&gt;0,$B$5&gt;0)," / ","")&amp;"경유 "&amp;TEXT(IF($O637="",1/0,$O637*$B$6),"#,##0")&amp;"원",""),""))</f>
        <v/>
      </c>
      <c r="Q637" s="17" t="str">
        <f aca="false">IF($B$10=0,"",IFERROR(IF($B$4&gt;0,IF($M637="",1/0,$M637*$B$4),0)+IF($B$5&gt;0,IF($N637="",1/0,$N637*$B$5),0)+IF($B$6&gt;0,IF($O637="",1/0,$O637*$B$6),0),""))</f>
        <v/>
      </c>
      <c r="R637" s="17"/>
      <c r="S637" s="18" t="str">
        <f aca="false">IF($Q637="","",IF($R637="Y",IFERROR(VLOOKUP($B637,$C$4:$D$13,2,FALSE()),0),0))</f>
        <v/>
      </c>
      <c r="T637" s="17" t="str">
        <f aca="false">IF($Q637="","",ROUNDDOWN($Q637*$S637,0))</f>
        <v/>
      </c>
      <c r="U637" s="17" t="str">
        <f aca="false">IF($Q637="","",$Q637-$T637)</f>
        <v/>
      </c>
      <c r="V637" s="17" t="str">
        <f aca="false">IF($U637="","",IF($B$10=0,"",$U637/$B$10))</f>
        <v/>
      </c>
      <c r="W637" s="17" t="str">
        <f aca="false">IF($Q637="","",IF($B$10=0,"",$Q637/$B$10))</f>
        <v/>
      </c>
      <c r="X637" s="19" t="n">
        <f aca="false">IF($U637="",1000000000000000,$U637)</f>
        <v>1000000000000000</v>
      </c>
      <c r="XFC637" s="6"/>
    </row>
    <row r="638" s="22" customFormat="true" ht="28.5" hidden="false" customHeight="true" outlineLevel="0" collapsed="false">
      <c r="A638" s="16" t="str">
        <f aca="false">IF($U638="","",1+COUNTIF($X$15:$X$728,"&lt;"&amp;X638))</f>
        <v/>
      </c>
      <c r="B638" s="16" t="s">
        <v>10</v>
      </c>
      <c r="C638" s="16" t="s">
        <v>1897</v>
      </c>
      <c r="D638" s="16" t="s">
        <v>51</v>
      </c>
      <c r="E638" s="16" t="s">
        <v>59</v>
      </c>
      <c r="F638" s="16" t="s">
        <v>1898</v>
      </c>
      <c r="G638" s="16" t="s">
        <v>1899</v>
      </c>
      <c r="H638" s="17" t="n">
        <v>1895</v>
      </c>
      <c r="I638" s="17"/>
      <c r="J638" s="17"/>
      <c r="K638" s="17" t="n">
        <v>1925</v>
      </c>
      <c r="L638" s="17" t="n">
        <f aca="false">IF(AND(IFERROR(SEARCH("현대오일뱅크",$C638),0)&gt;0,IFERROR(SEARCH("직영",$C638),0)&gt;0),$B$13,0)</f>
        <v>0</v>
      </c>
      <c r="M638" s="17" t="n">
        <f aca="false">IF($H638="","",$H638+$L638)</f>
        <v>1895</v>
      </c>
      <c r="N638" s="17" t="str">
        <f aca="false">IF($I638="","",$I638+$L638)</f>
        <v/>
      </c>
      <c r="O638" s="17" t="n">
        <f aca="false">IF($K638="","",$K638+$L638)</f>
        <v>1925</v>
      </c>
      <c r="P638" s="17" t="str">
        <f aca="false">IF($B$10=0,"",IFERROR(IF($B$4&gt;0,"휘발유 "&amp;TEXT(IF($M638="",1/0,$M638*$B$4),"#,##0")&amp;"원","")&amp;IF($B$5&gt;0,IF($B$4&gt;0," / ","")&amp;"고급유 "&amp;TEXT(IF($N638="",1/0,$N638*$B$5),"#,##0")&amp;"원","")&amp;IF($B$6&gt;0,IF(OR($B$4&gt;0,$B$5&gt;0)," / ","")&amp;"경유 "&amp;TEXT(IF($O638="",1/0,$O638*$B$6),"#,##0")&amp;"원",""),""))</f>
        <v/>
      </c>
      <c r="Q638" s="17" t="str">
        <f aca="false">IF($B$10=0,"",IFERROR(IF($B$4&gt;0,IF($M638="",1/0,$M638*$B$4),0)+IF($B$5&gt;0,IF($N638="",1/0,$N638*$B$5),0)+IF($B$6&gt;0,IF($O638="",1/0,$O638*$B$6),0),""))</f>
        <v/>
      </c>
      <c r="R638" s="17"/>
      <c r="S638" s="18" t="str">
        <f aca="false">IF($Q638="","",IF($R638="Y",IFERROR(VLOOKUP($B638,$C$4:$D$13,2,FALSE()),0),0))</f>
        <v/>
      </c>
      <c r="T638" s="17" t="str">
        <f aca="false">IF($Q638="","",ROUNDDOWN($Q638*$S638,0))</f>
        <v/>
      </c>
      <c r="U638" s="17" t="str">
        <f aca="false">IF($Q638="","",$Q638-$T638)</f>
        <v/>
      </c>
      <c r="V638" s="17" t="str">
        <f aca="false">IF($U638="","",IF($B$10=0,"",$U638/$B$10))</f>
        <v/>
      </c>
      <c r="W638" s="17" t="str">
        <f aca="false">IF($Q638="","",IF($B$10=0,"",$Q638/$B$10))</f>
        <v/>
      </c>
      <c r="X638" s="19" t="n">
        <f aca="false">IF($U638="",1000000000000000,$U638)</f>
        <v>1000000000000000</v>
      </c>
      <c r="XFC638" s="6"/>
    </row>
    <row r="639" s="22" customFormat="true" ht="28.5" hidden="false" customHeight="true" outlineLevel="0" collapsed="false">
      <c r="A639" s="16" t="str">
        <f aca="false">IF($U639="","",1+COUNTIF($X$15:$X$728,"&lt;"&amp;X639))</f>
        <v/>
      </c>
      <c r="B639" s="16" t="s">
        <v>10</v>
      </c>
      <c r="C639" s="16" t="s">
        <v>1900</v>
      </c>
      <c r="D639" s="16" t="s">
        <v>112</v>
      </c>
      <c r="E639" s="16" t="s">
        <v>47</v>
      </c>
      <c r="F639" s="16" t="s">
        <v>1901</v>
      </c>
      <c r="G639" s="16" t="s">
        <v>1902</v>
      </c>
      <c r="H639" s="17" t="n">
        <v>1895</v>
      </c>
      <c r="I639" s="17"/>
      <c r="J639" s="17"/>
      <c r="K639" s="17" t="n">
        <v>1945</v>
      </c>
      <c r="L639" s="17" t="n">
        <f aca="false">IF(AND(IFERROR(SEARCH("현대오일뱅크",$C639),0)&gt;0,IFERROR(SEARCH("직영",$C639),0)&gt;0),$B$13,0)</f>
        <v>0</v>
      </c>
      <c r="M639" s="17" t="n">
        <f aca="false">IF($H639="","",$H639+$L639)</f>
        <v>1895</v>
      </c>
      <c r="N639" s="17" t="str">
        <f aca="false">IF($I639="","",$I639+$L639)</f>
        <v/>
      </c>
      <c r="O639" s="17" t="n">
        <f aca="false">IF($K639="","",$K639+$L639)</f>
        <v>1945</v>
      </c>
      <c r="P639" s="17" t="str">
        <f aca="false">IF($B$10=0,"",IFERROR(IF($B$4&gt;0,"휘발유 "&amp;TEXT(IF($M639="",1/0,$M639*$B$4),"#,##0")&amp;"원","")&amp;IF($B$5&gt;0,IF($B$4&gt;0," / ","")&amp;"고급유 "&amp;TEXT(IF($N639="",1/0,$N639*$B$5),"#,##0")&amp;"원","")&amp;IF($B$6&gt;0,IF(OR($B$4&gt;0,$B$5&gt;0)," / ","")&amp;"경유 "&amp;TEXT(IF($O639="",1/0,$O639*$B$6),"#,##0")&amp;"원",""),""))</f>
        <v/>
      </c>
      <c r="Q639" s="17" t="str">
        <f aca="false">IF($B$10=0,"",IFERROR(IF($B$4&gt;0,IF($M639="",1/0,$M639*$B$4),0)+IF($B$5&gt;0,IF($N639="",1/0,$N639*$B$5),0)+IF($B$6&gt;0,IF($O639="",1/0,$O639*$B$6),0),""))</f>
        <v/>
      </c>
      <c r="R639" s="17"/>
      <c r="S639" s="18" t="str">
        <f aca="false">IF($Q639="","",IF($R639="Y",IFERROR(VLOOKUP($B639,$C$4:$D$13,2,FALSE()),0),0))</f>
        <v/>
      </c>
      <c r="T639" s="17" t="str">
        <f aca="false">IF($Q639="","",ROUNDDOWN($Q639*$S639,0))</f>
        <v/>
      </c>
      <c r="U639" s="17" t="str">
        <f aca="false">IF($Q639="","",$Q639-$T639)</f>
        <v/>
      </c>
      <c r="V639" s="17" t="str">
        <f aca="false">IF($U639="","",IF($B$10=0,"",$U639/$B$10))</f>
        <v/>
      </c>
      <c r="W639" s="17" t="str">
        <f aca="false">IF($Q639="","",IF($B$10=0,"",$Q639/$B$10))</f>
        <v/>
      </c>
      <c r="X639" s="19" t="n">
        <f aca="false">IF($U639="",1000000000000000,$U639)</f>
        <v>1000000000000000</v>
      </c>
      <c r="XFC639" s="6"/>
    </row>
    <row r="640" s="22" customFormat="true" ht="28.5" hidden="false" customHeight="true" outlineLevel="0" collapsed="false">
      <c r="A640" s="16" t="str">
        <f aca="false">IF($U640="","",1+COUNTIF($X$15:$X$728,"&lt;"&amp;X640))</f>
        <v/>
      </c>
      <c r="B640" s="16" t="s">
        <v>12</v>
      </c>
      <c r="C640" s="16" t="s">
        <v>1903</v>
      </c>
      <c r="D640" s="20" t="s">
        <v>294</v>
      </c>
      <c r="E640" s="16" t="s">
        <v>47</v>
      </c>
      <c r="F640" s="16" t="s">
        <v>1904</v>
      </c>
      <c r="G640" s="16" t="s">
        <v>1905</v>
      </c>
      <c r="H640" s="17" t="n">
        <v>1895</v>
      </c>
      <c r="I640" s="17"/>
      <c r="J640" s="17"/>
      <c r="K640" s="17" t="n">
        <v>1975</v>
      </c>
      <c r="L640" s="17" t="n">
        <f aca="false">IF(AND(IFERROR(SEARCH("현대오일뱅크",$C640),0)&gt;0,IFERROR(SEARCH("직영",$C640),0)&gt;0),$B$13,0)</f>
        <v>0</v>
      </c>
      <c r="M640" s="17" t="n">
        <f aca="false">IF($H640="","",$H640+$L640)</f>
        <v>1895</v>
      </c>
      <c r="N640" s="17" t="str">
        <f aca="false">IF($I640="","",$I640+$L640)</f>
        <v/>
      </c>
      <c r="O640" s="17" t="n">
        <f aca="false">IF($K640="","",$K640+$L640)</f>
        <v>1975</v>
      </c>
      <c r="P640" s="17" t="str">
        <f aca="false">IF($B$10=0,"",IFERROR(IF($B$4&gt;0,"휘발유 "&amp;TEXT(IF($M640="",1/0,$M640*$B$4),"#,##0")&amp;"원","")&amp;IF($B$5&gt;0,IF($B$4&gt;0," / ","")&amp;"고급유 "&amp;TEXT(IF($N640="",1/0,$N640*$B$5),"#,##0")&amp;"원","")&amp;IF($B$6&gt;0,IF(OR($B$4&gt;0,$B$5&gt;0)," / ","")&amp;"경유 "&amp;TEXT(IF($O640="",1/0,$O640*$B$6),"#,##0")&amp;"원",""),""))</f>
        <v/>
      </c>
      <c r="Q640" s="17" t="str">
        <f aca="false">IF($B$10=0,"",IFERROR(IF($B$4&gt;0,IF($M640="",1/0,$M640*$B$4),0)+IF($B$5&gt;0,IF($N640="",1/0,$N640*$B$5),0)+IF($B$6&gt;0,IF($O640="",1/0,$O640*$B$6),0),""))</f>
        <v/>
      </c>
      <c r="R640" s="17"/>
      <c r="S640" s="18" t="str">
        <f aca="false">IF($Q640="","",IF($R640="Y",IFERROR(VLOOKUP($B640,$C$4:$D$13,2,FALSE()),0),0))</f>
        <v/>
      </c>
      <c r="T640" s="17" t="str">
        <f aca="false">IF($Q640="","",ROUNDDOWN($Q640*$S640,0))</f>
        <v/>
      </c>
      <c r="U640" s="17" t="str">
        <f aca="false">IF($Q640="","",$Q640-$T640)</f>
        <v/>
      </c>
      <c r="V640" s="17" t="str">
        <f aca="false">IF($U640="","",IF($B$10=0,"",$U640/$B$10))</f>
        <v/>
      </c>
      <c r="W640" s="17" t="str">
        <f aca="false">IF($Q640="","",IF($B$10=0,"",$Q640/$B$10))</f>
        <v/>
      </c>
      <c r="X640" s="19" t="n">
        <f aca="false">IF($U640="",1000000000000000,$U640)</f>
        <v>1000000000000000</v>
      </c>
      <c r="XFC640" s="6"/>
    </row>
    <row r="641" s="22" customFormat="true" ht="28.5" hidden="false" customHeight="true" outlineLevel="0" collapsed="false">
      <c r="A641" s="16" t="str">
        <f aca="false">IF($U641="","",1+COUNTIF($X$15:$X$728,"&lt;"&amp;X641))</f>
        <v/>
      </c>
      <c r="B641" s="16" t="s">
        <v>10</v>
      </c>
      <c r="C641" s="16" t="s">
        <v>1906</v>
      </c>
      <c r="D641" s="16" t="s">
        <v>112</v>
      </c>
      <c r="E641" s="16" t="s">
        <v>47</v>
      </c>
      <c r="F641" s="16" t="s">
        <v>1907</v>
      </c>
      <c r="G641" s="16" t="s">
        <v>1908</v>
      </c>
      <c r="H641" s="17" t="n">
        <v>1895</v>
      </c>
      <c r="I641" s="17"/>
      <c r="J641" s="17"/>
      <c r="K641" s="17" t="n">
        <v>1995</v>
      </c>
      <c r="L641" s="17" t="n">
        <f aca="false">IF(AND(IFERROR(SEARCH("현대오일뱅크",$C641),0)&gt;0,IFERROR(SEARCH("직영",$C641),0)&gt;0),$B$13,0)</f>
        <v>0</v>
      </c>
      <c r="M641" s="17" t="n">
        <f aca="false">IF($H641="","",$H641+$L641)</f>
        <v>1895</v>
      </c>
      <c r="N641" s="17" t="str">
        <f aca="false">IF($I641="","",$I641+$L641)</f>
        <v/>
      </c>
      <c r="O641" s="17" t="n">
        <f aca="false">IF($K641="","",$K641+$L641)</f>
        <v>1995</v>
      </c>
      <c r="P641" s="17" t="str">
        <f aca="false">IF($B$10=0,"",IFERROR(IF($B$4&gt;0,"휘발유 "&amp;TEXT(IF($M641="",1/0,$M641*$B$4),"#,##0")&amp;"원","")&amp;IF($B$5&gt;0,IF($B$4&gt;0," / ","")&amp;"고급유 "&amp;TEXT(IF($N641="",1/0,$N641*$B$5),"#,##0")&amp;"원","")&amp;IF($B$6&gt;0,IF(OR($B$4&gt;0,$B$5&gt;0)," / ","")&amp;"경유 "&amp;TEXT(IF($O641="",1/0,$O641*$B$6),"#,##0")&amp;"원",""),""))</f>
        <v/>
      </c>
      <c r="Q641" s="17" t="str">
        <f aca="false">IF($B$10=0,"",IFERROR(IF($B$4&gt;0,IF($M641="",1/0,$M641*$B$4),0)+IF($B$5&gt;0,IF($N641="",1/0,$N641*$B$5),0)+IF($B$6&gt;0,IF($O641="",1/0,$O641*$B$6),0),""))</f>
        <v/>
      </c>
      <c r="R641" s="17"/>
      <c r="S641" s="18" t="str">
        <f aca="false">IF($Q641="","",IF($R641="Y",IFERROR(VLOOKUP($B641,$C$4:$D$13,2,FALSE()),0),0))</f>
        <v/>
      </c>
      <c r="T641" s="17" t="str">
        <f aca="false">IF($Q641="","",ROUNDDOWN($Q641*$S641,0))</f>
        <v/>
      </c>
      <c r="U641" s="17" t="str">
        <f aca="false">IF($Q641="","",$Q641-$T641)</f>
        <v/>
      </c>
      <c r="V641" s="17" t="str">
        <f aca="false">IF($U641="","",IF($B$10=0,"",$U641/$B$10))</f>
        <v/>
      </c>
      <c r="W641" s="17" t="str">
        <f aca="false">IF($Q641="","",IF($B$10=0,"",$Q641/$B$10))</f>
        <v/>
      </c>
      <c r="X641" s="19" t="n">
        <f aca="false">IF($U641="",1000000000000000,$U641)</f>
        <v>1000000000000000</v>
      </c>
      <c r="XFC641" s="6"/>
    </row>
    <row r="642" s="22" customFormat="true" ht="28.5" hidden="false" customHeight="true" outlineLevel="0" collapsed="false">
      <c r="A642" s="16" t="str">
        <f aca="false">IF($U642="","",1+COUNTIF($X$15:$X$728,"&lt;"&amp;X642))</f>
        <v/>
      </c>
      <c r="B642" s="16" t="s">
        <v>8</v>
      </c>
      <c r="C642" s="16" t="s">
        <v>1909</v>
      </c>
      <c r="D642" s="20" t="s">
        <v>108</v>
      </c>
      <c r="E642" s="16" t="s">
        <v>47</v>
      </c>
      <c r="F642" s="16" t="s">
        <v>1910</v>
      </c>
      <c r="G642" s="16" t="s">
        <v>1911</v>
      </c>
      <c r="H642" s="17" t="n">
        <v>1895</v>
      </c>
      <c r="I642" s="17"/>
      <c r="J642" s="17"/>
      <c r="K642" s="17" t="n">
        <v>1925</v>
      </c>
      <c r="L642" s="17" t="n">
        <f aca="false">IF(AND(IFERROR(SEARCH("현대오일뱅크",$C642),0)&gt;0,IFERROR(SEARCH("직영",$C642),0)&gt;0),$B$13,0)</f>
        <v>0</v>
      </c>
      <c r="M642" s="17" t="n">
        <f aca="false">IF($H642="","",$H642+$L642)</f>
        <v>1895</v>
      </c>
      <c r="N642" s="17" t="str">
        <f aca="false">IF($I642="","",$I642+$L642)</f>
        <v/>
      </c>
      <c r="O642" s="17" t="n">
        <f aca="false">IF($K642="","",$K642+$L642)</f>
        <v>1925</v>
      </c>
      <c r="P642" s="17" t="str">
        <f aca="false">IF($B$10=0,"",IFERROR(IF($B$4&gt;0,"휘발유 "&amp;TEXT(IF($M642="",1/0,$M642*$B$4),"#,##0")&amp;"원","")&amp;IF($B$5&gt;0,IF($B$4&gt;0," / ","")&amp;"고급유 "&amp;TEXT(IF($N642="",1/0,$N642*$B$5),"#,##0")&amp;"원","")&amp;IF($B$6&gt;0,IF(OR($B$4&gt;0,$B$5&gt;0)," / ","")&amp;"경유 "&amp;TEXT(IF($O642="",1/0,$O642*$B$6),"#,##0")&amp;"원",""),""))</f>
        <v/>
      </c>
      <c r="Q642" s="17" t="str">
        <f aca="false">IF($B$10=0,"",IFERROR(IF($B$4&gt;0,IF($M642="",1/0,$M642*$B$4),0)+IF($B$5&gt;0,IF($N642="",1/0,$N642*$B$5),0)+IF($B$6&gt;0,IF($O642="",1/0,$O642*$B$6),0),""))</f>
        <v/>
      </c>
      <c r="R642" s="17"/>
      <c r="S642" s="18" t="str">
        <f aca="false">IF($Q642="","",IF($R642="Y",IFERROR(VLOOKUP($B642,$C$4:$D$13,2,FALSE()),0),0))</f>
        <v/>
      </c>
      <c r="T642" s="17" t="str">
        <f aca="false">IF($Q642="","",ROUNDDOWN($Q642*$S642,0))</f>
        <v/>
      </c>
      <c r="U642" s="17" t="str">
        <f aca="false">IF($Q642="","",$Q642-$T642)</f>
        <v/>
      </c>
      <c r="V642" s="17" t="str">
        <f aca="false">IF($U642="","",IF($B$10=0,"",$U642/$B$10))</f>
        <v/>
      </c>
      <c r="W642" s="17" t="str">
        <f aca="false">IF($Q642="","",IF($B$10=0,"",$Q642/$B$10))</f>
        <v/>
      </c>
      <c r="X642" s="19" t="n">
        <f aca="false">IF($U642="",1000000000000000,$U642)</f>
        <v>1000000000000000</v>
      </c>
      <c r="XFC642" s="6"/>
    </row>
    <row r="643" s="22" customFormat="true" ht="28.5" hidden="false" customHeight="true" outlineLevel="0" collapsed="false">
      <c r="A643" s="16" t="str">
        <f aca="false">IF($U643="","",1+COUNTIF($X$15:$X$728,"&lt;"&amp;X643))</f>
        <v/>
      </c>
      <c r="B643" s="16" t="s">
        <v>10</v>
      </c>
      <c r="C643" s="16" t="s">
        <v>1912</v>
      </c>
      <c r="D643" s="16" t="s">
        <v>112</v>
      </c>
      <c r="E643" s="16" t="s">
        <v>47</v>
      </c>
      <c r="F643" s="16" t="s">
        <v>1913</v>
      </c>
      <c r="G643" s="16" t="s">
        <v>1914</v>
      </c>
      <c r="H643" s="17" t="n">
        <v>1895</v>
      </c>
      <c r="I643" s="17"/>
      <c r="J643" s="17"/>
      <c r="K643" s="17" t="n">
        <v>1895</v>
      </c>
      <c r="L643" s="17" t="n">
        <f aca="false">IF(AND(IFERROR(SEARCH("현대오일뱅크",$C643),0)&gt;0,IFERROR(SEARCH("직영",$C643),0)&gt;0),$B$13,0)</f>
        <v>0</v>
      </c>
      <c r="M643" s="17" t="n">
        <f aca="false">IF($H643="","",$H643+$L643)</f>
        <v>1895</v>
      </c>
      <c r="N643" s="17" t="str">
        <f aca="false">IF($I643="","",$I643+$L643)</f>
        <v/>
      </c>
      <c r="O643" s="17" t="n">
        <f aca="false">IF($K643="","",$K643+$L643)</f>
        <v>1895</v>
      </c>
      <c r="P643" s="17" t="str">
        <f aca="false">IF($B$10=0,"",IFERROR(IF($B$4&gt;0,"휘발유 "&amp;TEXT(IF($M643="",1/0,$M643*$B$4),"#,##0")&amp;"원","")&amp;IF($B$5&gt;0,IF($B$4&gt;0," / ","")&amp;"고급유 "&amp;TEXT(IF($N643="",1/0,$N643*$B$5),"#,##0")&amp;"원","")&amp;IF($B$6&gt;0,IF(OR($B$4&gt;0,$B$5&gt;0)," / ","")&amp;"경유 "&amp;TEXT(IF($O643="",1/0,$O643*$B$6),"#,##0")&amp;"원",""),""))</f>
        <v/>
      </c>
      <c r="Q643" s="17" t="str">
        <f aca="false">IF($B$10=0,"",IFERROR(IF($B$4&gt;0,IF($M643="",1/0,$M643*$B$4),0)+IF($B$5&gt;0,IF($N643="",1/0,$N643*$B$5),0)+IF($B$6&gt;0,IF($O643="",1/0,$O643*$B$6),0),""))</f>
        <v/>
      </c>
      <c r="R643" s="17"/>
      <c r="S643" s="18" t="str">
        <f aca="false">IF($Q643="","",IF($R643="Y",IFERROR(VLOOKUP($B643,$C$4:$D$13,2,FALSE()),0),0))</f>
        <v/>
      </c>
      <c r="T643" s="17" t="str">
        <f aca="false">IF($Q643="","",ROUNDDOWN($Q643*$S643,0))</f>
        <v/>
      </c>
      <c r="U643" s="17" t="str">
        <f aca="false">IF($Q643="","",$Q643-$T643)</f>
        <v/>
      </c>
      <c r="V643" s="17" t="str">
        <f aca="false">IF($U643="","",IF($B$10=0,"",$U643/$B$10))</f>
        <v/>
      </c>
      <c r="W643" s="17" t="str">
        <f aca="false">IF($Q643="","",IF($B$10=0,"",$Q643/$B$10))</f>
        <v/>
      </c>
      <c r="X643" s="19" t="n">
        <f aca="false">IF($U643="",1000000000000000,$U643)</f>
        <v>1000000000000000</v>
      </c>
      <c r="XFC643" s="6"/>
    </row>
    <row r="644" s="22" customFormat="true" ht="28.5" hidden="false" customHeight="true" outlineLevel="0" collapsed="false">
      <c r="A644" s="16" t="str">
        <f aca="false">IF($U644="","",1+COUNTIF($X$15:$X$728,"&lt;"&amp;X644))</f>
        <v/>
      </c>
      <c r="B644" s="16" t="s">
        <v>18</v>
      </c>
      <c r="C644" s="16" t="s">
        <v>1915</v>
      </c>
      <c r="D644" s="16" t="s">
        <v>58</v>
      </c>
      <c r="E644" s="16" t="s">
        <v>59</v>
      </c>
      <c r="F644" s="16" t="s">
        <v>1916</v>
      </c>
      <c r="G644" s="16" t="s">
        <v>1917</v>
      </c>
      <c r="H644" s="17" t="n">
        <v>1895</v>
      </c>
      <c r="I644" s="17"/>
      <c r="J644" s="17"/>
      <c r="K644" s="17" t="n">
        <v>1897</v>
      </c>
      <c r="L644" s="17" t="n">
        <f aca="false">IF(AND(IFERROR(SEARCH("현대오일뱅크",$C644),0)&gt;0,IFERROR(SEARCH("직영",$C644),0)&gt;0),$B$13,0)</f>
        <v>0</v>
      </c>
      <c r="M644" s="17" t="n">
        <f aca="false">IF($H644="","",$H644+$L644)</f>
        <v>1895</v>
      </c>
      <c r="N644" s="17" t="str">
        <f aca="false">IF($I644="","",$I644+$L644)</f>
        <v/>
      </c>
      <c r="O644" s="17" t="n">
        <f aca="false">IF($K644="","",$K644+$L644)</f>
        <v>1897</v>
      </c>
      <c r="P644" s="17" t="str">
        <f aca="false">IF($B$10=0,"",IFERROR(IF($B$4&gt;0,"휘발유 "&amp;TEXT(IF($M644="",1/0,$M644*$B$4),"#,##0")&amp;"원","")&amp;IF($B$5&gt;0,IF($B$4&gt;0," / ","")&amp;"고급유 "&amp;TEXT(IF($N644="",1/0,$N644*$B$5),"#,##0")&amp;"원","")&amp;IF($B$6&gt;0,IF(OR($B$4&gt;0,$B$5&gt;0)," / ","")&amp;"경유 "&amp;TEXT(IF($O644="",1/0,$O644*$B$6),"#,##0")&amp;"원",""),""))</f>
        <v/>
      </c>
      <c r="Q644" s="17" t="str">
        <f aca="false">IF($B$10=0,"",IFERROR(IF($B$4&gt;0,IF($M644="",1/0,$M644*$B$4),0)+IF($B$5&gt;0,IF($N644="",1/0,$N644*$B$5),0)+IF($B$6&gt;0,IF($O644="",1/0,$O644*$B$6),0),""))</f>
        <v/>
      </c>
      <c r="R644" s="17"/>
      <c r="S644" s="18" t="str">
        <f aca="false">IF($Q644="","",IF($R644="Y",IFERROR(VLOOKUP($B644,$C$4:$D$13,2,FALSE()),0),0))</f>
        <v/>
      </c>
      <c r="T644" s="17" t="str">
        <f aca="false">IF($Q644="","",ROUNDDOWN($Q644*$S644,0))</f>
        <v/>
      </c>
      <c r="U644" s="17" t="str">
        <f aca="false">IF($Q644="","",$Q644-$T644)</f>
        <v/>
      </c>
      <c r="V644" s="17" t="str">
        <f aca="false">IF($U644="","",IF($B$10=0,"",$U644/$B$10))</f>
        <v/>
      </c>
      <c r="W644" s="17" t="str">
        <f aca="false">IF($Q644="","",IF($B$10=0,"",$Q644/$B$10))</f>
        <v/>
      </c>
      <c r="X644" s="19" t="n">
        <f aca="false">IF($U644="",1000000000000000,$U644)</f>
        <v>1000000000000000</v>
      </c>
      <c r="XFC644" s="6"/>
    </row>
    <row r="645" s="22" customFormat="true" ht="28.5" hidden="false" customHeight="true" outlineLevel="0" collapsed="false">
      <c r="A645" s="16" t="str">
        <f aca="false">IF($U645="","",1+COUNTIF($X$15:$X$728,"&lt;"&amp;X645))</f>
        <v/>
      </c>
      <c r="B645" s="16" t="s">
        <v>10</v>
      </c>
      <c r="C645" s="16" t="s">
        <v>1918</v>
      </c>
      <c r="D645" s="16" t="s">
        <v>58</v>
      </c>
      <c r="E645" s="16" t="s">
        <v>59</v>
      </c>
      <c r="F645" s="16" t="s">
        <v>1919</v>
      </c>
      <c r="G645" s="16" t="s">
        <v>1920</v>
      </c>
      <c r="H645" s="17" t="n">
        <v>1895</v>
      </c>
      <c r="I645" s="17"/>
      <c r="J645" s="17"/>
      <c r="K645" s="17" t="n">
        <v>1945</v>
      </c>
      <c r="L645" s="17" t="n">
        <f aca="false">IF(AND(IFERROR(SEARCH("현대오일뱅크",$C645),0)&gt;0,IFERROR(SEARCH("직영",$C645),0)&gt;0),$B$13,0)</f>
        <v>0</v>
      </c>
      <c r="M645" s="17" t="n">
        <f aca="false">IF($H645="","",$H645+$L645)</f>
        <v>1895</v>
      </c>
      <c r="N645" s="17" t="str">
        <f aca="false">IF($I645="","",$I645+$L645)</f>
        <v/>
      </c>
      <c r="O645" s="17" t="n">
        <f aca="false">IF($K645="","",$K645+$L645)</f>
        <v>1945</v>
      </c>
      <c r="P645" s="17" t="str">
        <f aca="false">IF($B$10=0,"",IFERROR(IF($B$4&gt;0,"휘발유 "&amp;TEXT(IF($M645="",1/0,$M645*$B$4),"#,##0")&amp;"원","")&amp;IF($B$5&gt;0,IF($B$4&gt;0," / ","")&amp;"고급유 "&amp;TEXT(IF($N645="",1/0,$N645*$B$5),"#,##0")&amp;"원","")&amp;IF($B$6&gt;0,IF(OR($B$4&gt;0,$B$5&gt;0)," / ","")&amp;"경유 "&amp;TEXT(IF($O645="",1/0,$O645*$B$6),"#,##0")&amp;"원",""),""))</f>
        <v/>
      </c>
      <c r="Q645" s="17" t="str">
        <f aca="false">IF($B$10=0,"",IFERROR(IF($B$4&gt;0,IF($M645="",1/0,$M645*$B$4),0)+IF($B$5&gt;0,IF($N645="",1/0,$N645*$B$5),0)+IF($B$6&gt;0,IF($O645="",1/0,$O645*$B$6),0),""))</f>
        <v/>
      </c>
      <c r="R645" s="17"/>
      <c r="S645" s="18" t="str">
        <f aca="false">IF($Q645="","",IF($R645="Y",IFERROR(VLOOKUP($B645,$C$4:$D$13,2,FALSE()),0),0))</f>
        <v/>
      </c>
      <c r="T645" s="17" t="str">
        <f aca="false">IF($Q645="","",ROUNDDOWN($Q645*$S645,0))</f>
        <v/>
      </c>
      <c r="U645" s="17" t="str">
        <f aca="false">IF($Q645="","",$Q645-$T645)</f>
        <v/>
      </c>
      <c r="V645" s="17" t="str">
        <f aca="false">IF($U645="","",IF($B$10=0,"",$U645/$B$10))</f>
        <v/>
      </c>
      <c r="W645" s="17" t="str">
        <f aca="false">IF($Q645="","",IF($B$10=0,"",$Q645/$B$10))</f>
        <v/>
      </c>
      <c r="X645" s="19" t="n">
        <f aca="false">IF($U645="",1000000000000000,$U645)</f>
        <v>1000000000000000</v>
      </c>
      <c r="XFC645" s="6"/>
    </row>
    <row r="646" s="22" customFormat="true" ht="28.5" hidden="false" customHeight="true" outlineLevel="0" collapsed="false">
      <c r="A646" s="16" t="str">
        <f aca="false">IF($U646="","",1+COUNTIF($X$15:$X$728,"&lt;"&amp;X646))</f>
        <v/>
      </c>
      <c r="B646" s="16" t="s">
        <v>10</v>
      </c>
      <c r="C646" s="16" t="s">
        <v>814</v>
      </c>
      <c r="D646" s="16" t="s">
        <v>51</v>
      </c>
      <c r="E646" s="16" t="s">
        <v>59</v>
      </c>
      <c r="F646" s="16" t="s">
        <v>1921</v>
      </c>
      <c r="G646" s="16" t="s">
        <v>1922</v>
      </c>
      <c r="H646" s="17" t="n">
        <v>1895</v>
      </c>
      <c r="I646" s="17"/>
      <c r="J646" s="17"/>
      <c r="K646" s="17" t="n">
        <v>1995</v>
      </c>
      <c r="L646" s="17" t="n">
        <f aca="false">IF(AND(IFERROR(SEARCH("현대오일뱅크",$C646),0)&gt;0,IFERROR(SEARCH("직영",$C646),0)&gt;0),$B$13,0)</f>
        <v>0</v>
      </c>
      <c r="M646" s="17" t="n">
        <f aca="false">IF($H646="","",$H646+$L646)</f>
        <v>1895</v>
      </c>
      <c r="N646" s="17" t="str">
        <f aca="false">IF($I646="","",$I646+$L646)</f>
        <v/>
      </c>
      <c r="O646" s="17" t="n">
        <f aca="false">IF($K646="","",$K646+$L646)</f>
        <v>1995</v>
      </c>
      <c r="P646" s="17" t="str">
        <f aca="false">IF($B$10=0,"",IFERROR(IF($B$4&gt;0,"휘발유 "&amp;TEXT(IF($M646="",1/0,$M646*$B$4),"#,##0")&amp;"원","")&amp;IF($B$5&gt;0,IF($B$4&gt;0," / ","")&amp;"고급유 "&amp;TEXT(IF($N646="",1/0,$N646*$B$5),"#,##0")&amp;"원","")&amp;IF($B$6&gt;0,IF(OR($B$4&gt;0,$B$5&gt;0)," / ","")&amp;"경유 "&amp;TEXT(IF($O646="",1/0,$O646*$B$6),"#,##0")&amp;"원",""),""))</f>
        <v/>
      </c>
      <c r="Q646" s="17" t="str">
        <f aca="false">IF($B$10=0,"",IFERROR(IF($B$4&gt;0,IF($M646="",1/0,$M646*$B$4),0)+IF($B$5&gt;0,IF($N646="",1/0,$N646*$B$5),0)+IF($B$6&gt;0,IF($O646="",1/0,$O646*$B$6),0),""))</f>
        <v/>
      </c>
      <c r="R646" s="17"/>
      <c r="S646" s="18" t="str">
        <f aca="false">IF($Q646="","",IF($R646="Y",IFERROR(VLOOKUP($B646,$C$4:$D$13,2,FALSE()),0),0))</f>
        <v/>
      </c>
      <c r="T646" s="17" t="str">
        <f aca="false">IF($Q646="","",ROUNDDOWN($Q646*$S646,0))</f>
        <v/>
      </c>
      <c r="U646" s="17" t="str">
        <f aca="false">IF($Q646="","",$Q646-$T646)</f>
        <v/>
      </c>
      <c r="V646" s="17" t="str">
        <f aca="false">IF($U646="","",IF($B$10=0,"",$U646/$B$10))</f>
        <v/>
      </c>
      <c r="W646" s="17" t="str">
        <f aca="false">IF($Q646="","",IF($B$10=0,"",$Q646/$B$10))</f>
        <v/>
      </c>
      <c r="X646" s="19" t="n">
        <f aca="false">IF($U646="",1000000000000000,$U646)</f>
        <v>1000000000000000</v>
      </c>
      <c r="XFC646" s="6"/>
    </row>
    <row r="647" s="22" customFormat="true" ht="28.5" hidden="false" customHeight="true" outlineLevel="0" collapsed="false">
      <c r="A647" s="16" t="str">
        <f aca="false">IF($U647="","",1+COUNTIF($X$15:$X$728,"&lt;"&amp;X647))</f>
        <v/>
      </c>
      <c r="B647" s="16" t="s">
        <v>6</v>
      </c>
      <c r="C647" s="16" t="s">
        <v>1923</v>
      </c>
      <c r="D647" s="16" t="s">
        <v>51</v>
      </c>
      <c r="E647" s="16" t="s">
        <v>47</v>
      </c>
      <c r="F647" s="16" t="s">
        <v>1924</v>
      </c>
      <c r="G647" s="16" t="s">
        <v>159</v>
      </c>
      <c r="H647" s="17" t="n">
        <v>1895</v>
      </c>
      <c r="I647" s="17"/>
      <c r="J647" s="17"/>
      <c r="K647" s="17" t="n">
        <v>1895</v>
      </c>
      <c r="L647" s="17" t="n">
        <f aca="false">IF(AND(IFERROR(SEARCH("현대오일뱅크",$C647),0)&gt;0,IFERROR(SEARCH("직영",$C647),0)&gt;0),$B$13,0)</f>
        <v>0</v>
      </c>
      <c r="M647" s="17" t="n">
        <f aca="false">IF($H647="","",$H647+$L647)</f>
        <v>1895</v>
      </c>
      <c r="N647" s="17" t="str">
        <f aca="false">IF($I647="","",$I647+$L647)</f>
        <v/>
      </c>
      <c r="O647" s="17" t="n">
        <f aca="false">IF($K647="","",$K647+$L647)</f>
        <v>1895</v>
      </c>
      <c r="P647" s="17" t="str">
        <f aca="false">IF($B$10=0,"",IFERROR(IF($B$4&gt;0,"휘발유 "&amp;TEXT(IF($M647="",1/0,$M647*$B$4),"#,##0")&amp;"원","")&amp;IF($B$5&gt;0,IF($B$4&gt;0," / ","")&amp;"고급유 "&amp;TEXT(IF($N647="",1/0,$N647*$B$5),"#,##0")&amp;"원","")&amp;IF($B$6&gt;0,IF(OR($B$4&gt;0,$B$5&gt;0)," / ","")&amp;"경유 "&amp;TEXT(IF($O647="",1/0,$O647*$B$6),"#,##0")&amp;"원",""),""))</f>
        <v/>
      </c>
      <c r="Q647" s="17" t="str">
        <f aca="false">IF($B$10=0,"",IFERROR(IF($B$4&gt;0,IF($M647="",1/0,$M647*$B$4),0)+IF($B$5&gt;0,IF($N647="",1/0,$N647*$B$5),0)+IF($B$6&gt;0,IF($O647="",1/0,$O647*$B$6),0),""))</f>
        <v/>
      </c>
      <c r="R647" s="17"/>
      <c r="S647" s="18" t="str">
        <f aca="false">IF($Q647="","",IF($R647="Y",IFERROR(VLOOKUP($B647,$C$4:$D$13,2,FALSE()),0),0))</f>
        <v/>
      </c>
      <c r="T647" s="17" t="str">
        <f aca="false">IF($Q647="","",ROUNDDOWN($Q647*$S647,0))</f>
        <v/>
      </c>
      <c r="U647" s="17" t="str">
        <f aca="false">IF($Q647="","",$Q647-$T647)</f>
        <v/>
      </c>
      <c r="V647" s="17" t="str">
        <f aca="false">IF($U647="","",IF($B$10=0,"",$U647/$B$10))</f>
        <v/>
      </c>
      <c r="W647" s="17" t="str">
        <f aca="false">IF($Q647="","",IF($B$10=0,"",$Q647/$B$10))</f>
        <v/>
      </c>
      <c r="X647" s="19" t="n">
        <f aca="false">IF($U647="",1000000000000000,$U647)</f>
        <v>1000000000000000</v>
      </c>
      <c r="XFC647" s="6"/>
    </row>
    <row r="648" s="22" customFormat="true" ht="28.5" hidden="false" customHeight="true" outlineLevel="0" collapsed="false">
      <c r="A648" s="16" t="str">
        <f aca="false">IF($U648="","",1+COUNTIF($X$15:$X$728,"&lt;"&amp;X648))</f>
        <v/>
      </c>
      <c r="B648" s="16" t="s">
        <v>16</v>
      </c>
      <c r="C648" s="16" t="s">
        <v>1925</v>
      </c>
      <c r="D648" s="20" t="s">
        <v>108</v>
      </c>
      <c r="E648" s="16" t="s">
        <v>47</v>
      </c>
      <c r="F648" s="16" t="s">
        <v>1926</v>
      </c>
      <c r="G648" s="16" t="s">
        <v>1927</v>
      </c>
      <c r="H648" s="17" t="n">
        <v>1895</v>
      </c>
      <c r="I648" s="17"/>
      <c r="J648" s="17"/>
      <c r="K648" s="17" t="n">
        <v>1895</v>
      </c>
      <c r="L648" s="17" t="n">
        <f aca="false">IF(AND(IFERROR(SEARCH("현대오일뱅크",$C648),0)&gt;0,IFERROR(SEARCH("직영",$C648),0)&gt;0),$B$13,0)</f>
        <v>0</v>
      </c>
      <c r="M648" s="17" t="n">
        <f aca="false">IF($H648="","",$H648+$L648)</f>
        <v>1895</v>
      </c>
      <c r="N648" s="17" t="str">
        <f aca="false">IF($I648="","",$I648+$L648)</f>
        <v/>
      </c>
      <c r="O648" s="17" t="n">
        <f aca="false">IF($K648="","",$K648+$L648)</f>
        <v>1895</v>
      </c>
      <c r="P648" s="17" t="str">
        <f aca="false">IF($B$10=0,"",IFERROR(IF($B$4&gt;0,"휘발유 "&amp;TEXT(IF($M648="",1/0,$M648*$B$4),"#,##0")&amp;"원","")&amp;IF($B$5&gt;0,IF($B$4&gt;0," / ","")&amp;"고급유 "&amp;TEXT(IF($N648="",1/0,$N648*$B$5),"#,##0")&amp;"원","")&amp;IF($B$6&gt;0,IF(OR($B$4&gt;0,$B$5&gt;0)," / ","")&amp;"경유 "&amp;TEXT(IF($O648="",1/0,$O648*$B$6),"#,##0")&amp;"원",""),""))</f>
        <v/>
      </c>
      <c r="Q648" s="17" t="str">
        <f aca="false">IF($B$10=0,"",IFERROR(IF($B$4&gt;0,IF($M648="",1/0,$M648*$B$4),0)+IF($B$5&gt;0,IF($N648="",1/0,$N648*$B$5),0)+IF($B$6&gt;0,IF($O648="",1/0,$O648*$B$6),0),""))</f>
        <v/>
      </c>
      <c r="R648" s="17"/>
      <c r="S648" s="18" t="str">
        <f aca="false">IF($Q648="","",IF($R648="Y",IFERROR(VLOOKUP($B648,$C$4:$D$13,2,FALSE()),0),0))</f>
        <v/>
      </c>
      <c r="T648" s="17" t="str">
        <f aca="false">IF($Q648="","",ROUNDDOWN($Q648*$S648,0))</f>
        <v/>
      </c>
      <c r="U648" s="17" t="str">
        <f aca="false">IF($Q648="","",$Q648-$T648)</f>
        <v/>
      </c>
      <c r="V648" s="17" t="str">
        <f aca="false">IF($U648="","",IF($B$10=0,"",$U648/$B$10))</f>
        <v/>
      </c>
      <c r="W648" s="17" t="str">
        <f aca="false">IF($Q648="","",IF($B$10=0,"",$Q648/$B$10))</f>
        <v/>
      </c>
      <c r="X648" s="19" t="n">
        <f aca="false">IF($U648="",1000000000000000,$U648)</f>
        <v>1000000000000000</v>
      </c>
      <c r="XFC648" s="6"/>
    </row>
    <row r="649" s="22" customFormat="true" ht="28.5" hidden="false" customHeight="true" outlineLevel="0" collapsed="false">
      <c r="A649" s="16" t="str">
        <f aca="false">IF($U649="","",1+COUNTIF($X$15:$X$728,"&lt;"&amp;X649))</f>
        <v/>
      </c>
      <c r="B649" s="16" t="s">
        <v>10</v>
      </c>
      <c r="C649" s="16" t="s">
        <v>1928</v>
      </c>
      <c r="D649" s="16" t="s">
        <v>112</v>
      </c>
      <c r="E649" s="16" t="s">
        <v>59</v>
      </c>
      <c r="F649" s="16" t="s">
        <v>1929</v>
      </c>
      <c r="G649" s="16" t="s">
        <v>1930</v>
      </c>
      <c r="H649" s="17" t="n">
        <v>1895</v>
      </c>
      <c r="I649" s="17"/>
      <c r="J649" s="17"/>
      <c r="K649" s="17" t="n">
        <v>1945</v>
      </c>
      <c r="L649" s="17" t="n">
        <f aca="false">IF(AND(IFERROR(SEARCH("현대오일뱅크",$C649),0)&gt;0,IFERROR(SEARCH("직영",$C649),0)&gt;0),$B$13,0)</f>
        <v>0</v>
      </c>
      <c r="M649" s="17" t="n">
        <f aca="false">IF($H649="","",$H649+$L649)</f>
        <v>1895</v>
      </c>
      <c r="N649" s="17" t="str">
        <f aca="false">IF($I649="","",$I649+$L649)</f>
        <v/>
      </c>
      <c r="O649" s="17" t="n">
        <f aca="false">IF($K649="","",$K649+$L649)</f>
        <v>1945</v>
      </c>
      <c r="P649" s="17" t="str">
        <f aca="false">IF($B$10=0,"",IFERROR(IF($B$4&gt;0,"휘발유 "&amp;TEXT(IF($M649="",1/0,$M649*$B$4),"#,##0")&amp;"원","")&amp;IF($B$5&gt;0,IF($B$4&gt;0," / ","")&amp;"고급유 "&amp;TEXT(IF($N649="",1/0,$N649*$B$5),"#,##0")&amp;"원","")&amp;IF($B$6&gt;0,IF(OR($B$4&gt;0,$B$5&gt;0)," / ","")&amp;"경유 "&amp;TEXT(IF($O649="",1/0,$O649*$B$6),"#,##0")&amp;"원",""),""))</f>
        <v/>
      </c>
      <c r="Q649" s="17" t="str">
        <f aca="false">IF($B$10=0,"",IFERROR(IF($B$4&gt;0,IF($M649="",1/0,$M649*$B$4),0)+IF($B$5&gt;0,IF($N649="",1/0,$N649*$B$5),0)+IF($B$6&gt;0,IF($O649="",1/0,$O649*$B$6),0),""))</f>
        <v/>
      </c>
      <c r="R649" s="17"/>
      <c r="S649" s="18" t="str">
        <f aca="false">IF($Q649="","",IF($R649="Y",IFERROR(VLOOKUP($B649,$C$4:$D$13,2,FALSE()),0),0))</f>
        <v/>
      </c>
      <c r="T649" s="17" t="str">
        <f aca="false">IF($Q649="","",ROUNDDOWN($Q649*$S649,0))</f>
        <v/>
      </c>
      <c r="U649" s="17" t="str">
        <f aca="false">IF($Q649="","",$Q649-$T649)</f>
        <v/>
      </c>
      <c r="V649" s="17" t="str">
        <f aca="false">IF($U649="","",IF($B$10=0,"",$U649/$B$10))</f>
        <v/>
      </c>
      <c r="W649" s="17" t="str">
        <f aca="false">IF($Q649="","",IF($B$10=0,"",$Q649/$B$10))</f>
        <v/>
      </c>
      <c r="X649" s="19" t="n">
        <f aca="false">IF($U649="",1000000000000000,$U649)</f>
        <v>1000000000000000</v>
      </c>
      <c r="XFC649" s="6"/>
    </row>
    <row r="650" s="22" customFormat="true" ht="28.5" hidden="false" customHeight="true" outlineLevel="0" collapsed="false">
      <c r="A650" s="16" t="str">
        <f aca="false">IF($U650="","",1+COUNTIF($X$15:$X$728,"&lt;"&amp;X650))</f>
        <v/>
      </c>
      <c r="B650" s="16" t="s">
        <v>18</v>
      </c>
      <c r="C650" s="16" t="s">
        <v>1931</v>
      </c>
      <c r="D650" s="16" t="s">
        <v>112</v>
      </c>
      <c r="E650" s="16" t="s">
        <v>47</v>
      </c>
      <c r="F650" s="16" t="s">
        <v>1932</v>
      </c>
      <c r="G650" s="16" t="s">
        <v>1933</v>
      </c>
      <c r="H650" s="17" t="n">
        <v>1897</v>
      </c>
      <c r="I650" s="17"/>
      <c r="J650" s="17"/>
      <c r="K650" s="17" t="n">
        <v>1954</v>
      </c>
      <c r="L650" s="17" t="n">
        <f aca="false">IF(AND(IFERROR(SEARCH("현대오일뱅크",$C650),0)&gt;0,IFERROR(SEARCH("직영",$C650),0)&gt;0),$B$13,0)</f>
        <v>0</v>
      </c>
      <c r="M650" s="17" t="n">
        <f aca="false">IF($H650="","",$H650+$L650)</f>
        <v>1897</v>
      </c>
      <c r="N650" s="17" t="str">
        <f aca="false">IF($I650="","",$I650+$L650)</f>
        <v/>
      </c>
      <c r="O650" s="17" t="n">
        <f aca="false">IF($K650="","",$K650+$L650)</f>
        <v>1954</v>
      </c>
      <c r="P650" s="17" t="str">
        <f aca="false">IF($B$10=0,"",IFERROR(IF($B$4&gt;0,"휘발유 "&amp;TEXT(IF($M650="",1/0,$M650*$B$4),"#,##0")&amp;"원","")&amp;IF($B$5&gt;0,IF($B$4&gt;0," / ","")&amp;"고급유 "&amp;TEXT(IF($N650="",1/0,$N650*$B$5),"#,##0")&amp;"원","")&amp;IF($B$6&gt;0,IF(OR($B$4&gt;0,$B$5&gt;0)," / ","")&amp;"경유 "&amp;TEXT(IF($O650="",1/0,$O650*$B$6),"#,##0")&amp;"원",""),""))</f>
        <v/>
      </c>
      <c r="Q650" s="17" t="str">
        <f aca="false">IF($B$10=0,"",IFERROR(IF($B$4&gt;0,IF($M650="",1/0,$M650*$B$4),0)+IF($B$5&gt;0,IF($N650="",1/0,$N650*$B$5),0)+IF($B$6&gt;0,IF($O650="",1/0,$O650*$B$6),0),""))</f>
        <v/>
      </c>
      <c r="R650" s="17"/>
      <c r="S650" s="18" t="str">
        <f aca="false">IF($Q650="","",IF($R650="Y",IFERROR(VLOOKUP($B650,$C$4:$D$13,2,FALSE()),0),0))</f>
        <v/>
      </c>
      <c r="T650" s="17" t="str">
        <f aca="false">IF($Q650="","",ROUNDDOWN($Q650*$S650,0))</f>
        <v/>
      </c>
      <c r="U650" s="17" t="str">
        <f aca="false">IF($Q650="","",$Q650-$T650)</f>
        <v/>
      </c>
      <c r="V650" s="17" t="str">
        <f aca="false">IF($U650="","",IF($B$10=0,"",$U650/$B$10))</f>
        <v/>
      </c>
      <c r="W650" s="17" t="str">
        <f aca="false">IF($Q650="","",IF($B$10=0,"",$Q650/$B$10))</f>
        <v/>
      </c>
      <c r="X650" s="19" t="n">
        <f aca="false">IF($U650="",1000000000000000,$U650)</f>
        <v>1000000000000000</v>
      </c>
      <c r="XFC650" s="6"/>
    </row>
    <row r="651" s="22" customFormat="true" ht="28.5" hidden="false" customHeight="true" outlineLevel="0" collapsed="false">
      <c r="A651" s="16" t="str">
        <f aca="false">IF($U651="","",1+COUNTIF($X$15:$X$728,"&lt;"&amp;X651))</f>
        <v/>
      </c>
      <c r="B651" s="16" t="s">
        <v>14</v>
      </c>
      <c r="C651" s="16" t="s">
        <v>1934</v>
      </c>
      <c r="D651" s="16" t="s">
        <v>112</v>
      </c>
      <c r="E651" s="16" t="s">
        <v>59</v>
      </c>
      <c r="F651" s="16" t="s">
        <v>1935</v>
      </c>
      <c r="G651" s="16" t="s">
        <v>1936</v>
      </c>
      <c r="H651" s="17" t="n">
        <v>1897</v>
      </c>
      <c r="I651" s="17"/>
      <c r="J651" s="17"/>
      <c r="K651" s="17" t="n">
        <v>1987</v>
      </c>
      <c r="L651" s="17" t="n">
        <f aca="false">IF(AND(IFERROR(SEARCH("현대오일뱅크",$C651),0)&gt;0,IFERROR(SEARCH("직영",$C651),0)&gt;0),$B$13,0)</f>
        <v>0</v>
      </c>
      <c r="M651" s="17" t="n">
        <f aca="false">IF($H651="","",$H651+$L651)</f>
        <v>1897</v>
      </c>
      <c r="N651" s="17" t="str">
        <f aca="false">IF($I651="","",$I651+$L651)</f>
        <v/>
      </c>
      <c r="O651" s="17" t="n">
        <f aca="false">IF($K651="","",$K651+$L651)</f>
        <v>1987</v>
      </c>
      <c r="P651" s="17" t="str">
        <f aca="false">IF($B$10=0,"",IFERROR(IF($B$4&gt;0,"휘발유 "&amp;TEXT(IF($M651="",1/0,$M651*$B$4),"#,##0")&amp;"원","")&amp;IF($B$5&gt;0,IF($B$4&gt;0," / ","")&amp;"고급유 "&amp;TEXT(IF($N651="",1/0,$N651*$B$5),"#,##0")&amp;"원","")&amp;IF($B$6&gt;0,IF(OR($B$4&gt;0,$B$5&gt;0)," / ","")&amp;"경유 "&amp;TEXT(IF($O651="",1/0,$O651*$B$6),"#,##0")&amp;"원",""),""))</f>
        <v/>
      </c>
      <c r="Q651" s="17" t="str">
        <f aca="false">IF($B$10=0,"",IFERROR(IF($B$4&gt;0,IF($M651="",1/0,$M651*$B$4),0)+IF($B$5&gt;0,IF($N651="",1/0,$N651*$B$5),0)+IF($B$6&gt;0,IF($O651="",1/0,$O651*$B$6),0),""))</f>
        <v/>
      </c>
      <c r="R651" s="17"/>
      <c r="S651" s="18" t="str">
        <f aca="false">IF($Q651="","",IF($R651="Y",IFERROR(VLOOKUP($B651,$C$4:$D$13,2,FALSE()),0),0))</f>
        <v/>
      </c>
      <c r="T651" s="17" t="str">
        <f aca="false">IF($Q651="","",ROUNDDOWN($Q651*$S651,0))</f>
        <v/>
      </c>
      <c r="U651" s="17" t="str">
        <f aca="false">IF($Q651="","",$Q651-$T651)</f>
        <v/>
      </c>
      <c r="V651" s="17" t="str">
        <f aca="false">IF($U651="","",IF($B$10=0,"",$U651/$B$10))</f>
        <v/>
      </c>
      <c r="W651" s="17" t="str">
        <f aca="false">IF($Q651="","",IF($B$10=0,"",$Q651/$B$10))</f>
        <v/>
      </c>
      <c r="X651" s="19" t="n">
        <f aca="false">IF($U651="",1000000000000000,$U651)</f>
        <v>1000000000000000</v>
      </c>
      <c r="XFC651" s="6"/>
    </row>
    <row r="652" s="22" customFormat="true" ht="28.5" hidden="false" customHeight="true" outlineLevel="0" collapsed="false">
      <c r="A652" s="16" t="str">
        <f aca="false">IF($U652="","",1+COUNTIF($X$15:$X$728,"&lt;"&amp;X652))</f>
        <v/>
      </c>
      <c r="B652" s="16" t="s">
        <v>8</v>
      </c>
      <c r="C652" s="16" t="s">
        <v>1937</v>
      </c>
      <c r="D652" s="16" t="s">
        <v>58</v>
      </c>
      <c r="E652" s="16" t="s">
        <v>47</v>
      </c>
      <c r="F652" s="16" t="s">
        <v>1938</v>
      </c>
      <c r="G652" s="16" t="s">
        <v>1939</v>
      </c>
      <c r="H652" s="17" t="n">
        <v>1897</v>
      </c>
      <c r="I652" s="17"/>
      <c r="J652" s="17"/>
      <c r="K652" s="17" t="n">
        <v>1897</v>
      </c>
      <c r="L652" s="17" t="n">
        <f aca="false">IF(AND(IFERROR(SEARCH("현대오일뱅크",$C652),0)&gt;0,IFERROR(SEARCH("직영",$C652),0)&gt;0),$B$13,0)</f>
        <v>0</v>
      </c>
      <c r="M652" s="17" t="n">
        <f aca="false">IF($H652="","",$H652+$L652)</f>
        <v>1897</v>
      </c>
      <c r="N652" s="17" t="str">
        <f aca="false">IF($I652="","",$I652+$L652)</f>
        <v/>
      </c>
      <c r="O652" s="17" t="n">
        <f aca="false">IF($K652="","",$K652+$L652)</f>
        <v>1897</v>
      </c>
      <c r="P652" s="17" t="str">
        <f aca="false">IF($B$10=0,"",IFERROR(IF($B$4&gt;0,"휘발유 "&amp;TEXT(IF($M652="",1/0,$M652*$B$4),"#,##0")&amp;"원","")&amp;IF($B$5&gt;0,IF($B$4&gt;0," / ","")&amp;"고급유 "&amp;TEXT(IF($N652="",1/0,$N652*$B$5),"#,##0")&amp;"원","")&amp;IF($B$6&gt;0,IF(OR($B$4&gt;0,$B$5&gt;0)," / ","")&amp;"경유 "&amp;TEXT(IF($O652="",1/0,$O652*$B$6),"#,##0")&amp;"원",""),""))</f>
        <v/>
      </c>
      <c r="Q652" s="17" t="str">
        <f aca="false">IF($B$10=0,"",IFERROR(IF($B$4&gt;0,IF($M652="",1/0,$M652*$B$4),0)+IF($B$5&gt;0,IF($N652="",1/0,$N652*$B$5),0)+IF($B$6&gt;0,IF($O652="",1/0,$O652*$B$6),0),""))</f>
        <v/>
      </c>
      <c r="R652" s="17"/>
      <c r="S652" s="18" t="str">
        <f aca="false">IF($Q652="","",IF($R652="Y",IFERROR(VLOOKUP($B652,$C$4:$D$13,2,FALSE()),0),0))</f>
        <v/>
      </c>
      <c r="T652" s="17" t="str">
        <f aca="false">IF($Q652="","",ROUNDDOWN($Q652*$S652,0))</f>
        <v/>
      </c>
      <c r="U652" s="17" t="str">
        <f aca="false">IF($Q652="","",$Q652-$T652)</f>
        <v/>
      </c>
      <c r="V652" s="17" t="str">
        <f aca="false">IF($U652="","",IF($B$10=0,"",$U652/$B$10))</f>
        <v/>
      </c>
      <c r="W652" s="17" t="str">
        <f aca="false">IF($Q652="","",IF($B$10=0,"",$Q652/$B$10))</f>
        <v/>
      </c>
      <c r="X652" s="19" t="n">
        <f aca="false">IF($U652="",1000000000000000,$U652)</f>
        <v>1000000000000000</v>
      </c>
      <c r="XFC652" s="6"/>
    </row>
    <row r="653" s="22" customFormat="true" ht="28.5" hidden="false" customHeight="true" outlineLevel="0" collapsed="false">
      <c r="A653" s="16" t="str">
        <f aca="false">IF($U653="","",1+COUNTIF($X$15:$X$728,"&lt;"&amp;X653))</f>
        <v/>
      </c>
      <c r="B653" s="16" t="s">
        <v>14</v>
      </c>
      <c r="C653" s="16" t="s">
        <v>1940</v>
      </c>
      <c r="D653" s="16" t="s">
        <v>51</v>
      </c>
      <c r="E653" s="16" t="s">
        <v>47</v>
      </c>
      <c r="F653" s="16" t="s">
        <v>1941</v>
      </c>
      <c r="G653" s="16" t="s">
        <v>1942</v>
      </c>
      <c r="H653" s="17" t="n">
        <v>1897</v>
      </c>
      <c r="I653" s="17"/>
      <c r="J653" s="17"/>
      <c r="K653" s="17" t="n">
        <v>1987</v>
      </c>
      <c r="L653" s="17" t="n">
        <f aca="false">IF(AND(IFERROR(SEARCH("현대오일뱅크",$C653),0)&gt;0,IFERROR(SEARCH("직영",$C653),0)&gt;0),$B$13,0)</f>
        <v>0</v>
      </c>
      <c r="M653" s="17" t="n">
        <f aca="false">IF($H653="","",$H653+$L653)</f>
        <v>1897</v>
      </c>
      <c r="N653" s="17" t="str">
        <f aca="false">IF($I653="","",$I653+$L653)</f>
        <v/>
      </c>
      <c r="O653" s="17" t="n">
        <f aca="false">IF($K653="","",$K653+$L653)</f>
        <v>1987</v>
      </c>
      <c r="P653" s="17" t="str">
        <f aca="false">IF($B$10=0,"",IFERROR(IF($B$4&gt;0,"휘발유 "&amp;TEXT(IF($M653="",1/0,$M653*$B$4),"#,##0")&amp;"원","")&amp;IF($B$5&gt;0,IF($B$4&gt;0," / ","")&amp;"고급유 "&amp;TEXT(IF($N653="",1/0,$N653*$B$5),"#,##0")&amp;"원","")&amp;IF($B$6&gt;0,IF(OR($B$4&gt;0,$B$5&gt;0)," / ","")&amp;"경유 "&amp;TEXT(IF($O653="",1/0,$O653*$B$6),"#,##0")&amp;"원",""),""))</f>
        <v/>
      </c>
      <c r="Q653" s="17" t="str">
        <f aca="false">IF($B$10=0,"",IFERROR(IF($B$4&gt;0,IF($M653="",1/0,$M653*$B$4),0)+IF($B$5&gt;0,IF($N653="",1/0,$N653*$B$5),0)+IF($B$6&gt;0,IF($O653="",1/0,$O653*$B$6),0),""))</f>
        <v/>
      </c>
      <c r="R653" s="17"/>
      <c r="S653" s="18" t="str">
        <f aca="false">IF($Q653="","",IF($R653="Y",IFERROR(VLOOKUP($B653,$C$4:$D$13,2,FALSE()),0),0))</f>
        <v/>
      </c>
      <c r="T653" s="17" t="str">
        <f aca="false">IF($Q653="","",ROUNDDOWN($Q653*$S653,0))</f>
        <v/>
      </c>
      <c r="U653" s="17" t="str">
        <f aca="false">IF($Q653="","",$Q653-$T653)</f>
        <v/>
      </c>
      <c r="V653" s="17" t="str">
        <f aca="false">IF($U653="","",IF($B$10=0,"",$U653/$B$10))</f>
        <v/>
      </c>
      <c r="W653" s="17" t="str">
        <f aca="false">IF($Q653="","",IF($B$10=0,"",$Q653/$B$10))</f>
        <v/>
      </c>
      <c r="X653" s="19" t="n">
        <f aca="false">IF($U653="",1000000000000000,$U653)</f>
        <v>1000000000000000</v>
      </c>
      <c r="XFC653" s="6"/>
    </row>
    <row r="654" s="22" customFormat="true" ht="28.5" hidden="false" customHeight="true" outlineLevel="0" collapsed="false">
      <c r="A654" s="16" t="str">
        <f aca="false">IF($U654="","",1+COUNTIF($X$15:$X$728,"&lt;"&amp;X654))</f>
        <v/>
      </c>
      <c r="B654" s="16" t="s">
        <v>18</v>
      </c>
      <c r="C654" s="16" t="s">
        <v>1943</v>
      </c>
      <c r="D654" s="16" t="s">
        <v>112</v>
      </c>
      <c r="E654" s="16" t="s">
        <v>59</v>
      </c>
      <c r="F654" s="16" t="s">
        <v>1944</v>
      </c>
      <c r="G654" s="16" t="s">
        <v>1945</v>
      </c>
      <c r="H654" s="17" t="n">
        <v>1897</v>
      </c>
      <c r="I654" s="17"/>
      <c r="J654" s="17"/>
      <c r="K654" s="17" t="n">
        <v>1899</v>
      </c>
      <c r="L654" s="17" t="n">
        <f aca="false">IF(AND(IFERROR(SEARCH("현대오일뱅크",$C654),0)&gt;0,IFERROR(SEARCH("직영",$C654),0)&gt;0),$B$13,0)</f>
        <v>0</v>
      </c>
      <c r="M654" s="17" t="n">
        <f aca="false">IF($H654="","",$H654+$L654)</f>
        <v>1897</v>
      </c>
      <c r="N654" s="17" t="str">
        <f aca="false">IF($I654="","",$I654+$L654)</f>
        <v/>
      </c>
      <c r="O654" s="17" t="n">
        <f aca="false">IF($K654="","",$K654+$L654)</f>
        <v>1899</v>
      </c>
      <c r="P654" s="17" t="str">
        <f aca="false">IF($B$10=0,"",IFERROR(IF($B$4&gt;0,"휘발유 "&amp;TEXT(IF($M654="",1/0,$M654*$B$4),"#,##0")&amp;"원","")&amp;IF($B$5&gt;0,IF($B$4&gt;0," / ","")&amp;"고급유 "&amp;TEXT(IF($N654="",1/0,$N654*$B$5),"#,##0")&amp;"원","")&amp;IF($B$6&gt;0,IF(OR($B$4&gt;0,$B$5&gt;0)," / ","")&amp;"경유 "&amp;TEXT(IF($O654="",1/0,$O654*$B$6),"#,##0")&amp;"원",""),""))</f>
        <v/>
      </c>
      <c r="Q654" s="17" t="str">
        <f aca="false">IF($B$10=0,"",IFERROR(IF($B$4&gt;0,IF($M654="",1/0,$M654*$B$4),0)+IF($B$5&gt;0,IF($N654="",1/0,$N654*$B$5),0)+IF($B$6&gt;0,IF($O654="",1/0,$O654*$B$6),0),""))</f>
        <v/>
      </c>
      <c r="R654" s="17"/>
      <c r="S654" s="18" t="str">
        <f aca="false">IF($Q654="","",IF($R654="Y",IFERROR(VLOOKUP($B654,$C$4:$D$13,2,FALSE()),0),0))</f>
        <v/>
      </c>
      <c r="T654" s="17" t="str">
        <f aca="false">IF($Q654="","",ROUNDDOWN($Q654*$S654,0))</f>
        <v/>
      </c>
      <c r="U654" s="17" t="str">
        <f aca="false">IF($Q654="","",$Q654-$T654)</f>
        <v/>
      </c>
      <c r="V654" s="17" t="str">
        <f aca="false">IF($U654="","",IF($B$10=0,"",$U654/$B$10))</f>
        <v/>
      </c>
      <c r="W654" s="17" t="str">
        <f aca="false">IF($Q654="","",IF($B$10=0,"",$Q654/$B$10))</f>
        <v/>
      </c>
      <c r="X654" s="19" t="n">
        <f aca="false">IF($U654="",1000000000000000,$U654)</f>
        <v>1000000000000000</v>
      </c>
      <c r="XFC654" s="6"/>
    </row>
    <row r="655" s="22" customFormat="true" ht="28.5" hidden="false" customHeight="true" outlineLevel="0" collapsed="false">
      <c r="A655" s="16" t="str">
        <f aca="false">IF($U655="","",1+COUNTIF($X$15:$X$728,"&lt;"&amp;X655))</f>
        <v/>
      </c>
      <c r="B655" s="16" t="s">
        <v>10</v>
      </c>
      <c r="C655" s="16" t="s">
        <v>1946</v>
      </c>
      <c r="D655" s="16" t="s">
        <v>112</v>
      </c>
      <c r="E655" s="16" t="s">
        <v>47</v>
      </c>
      <c r="F655" s="16" t="s">
        <v>1947</v>
      </c>
      <c r="G655" s="16" t="s">
        <v>1948</v>
      </c>
      <c r="H655" s="17" t="n">
        <v>1898</v>
      </c>
      <c r="I655" s="17"/>
      <c r="J655" s="17"/>
      <c r="K655" s="17" t="n">
        <v>1928</v>
      </c>
      <c r="L655" s="17" t="n">
        <f aca="false">IF(AND(IFERROR(SEARCH("현대오일뱅크",$C655),0)&gt;0,IFERROR(SEARCH("직영",$C655),0)&gt;0),$B$13,0)</f>
        <v>0</v>
      </c>
      <c r="M655" s="17" t="n">
        <f aca="false">IF($H655="","",$H655+$L655)</f>
        <v>1898</v>
      </c>
      <c r="N655" s="17" t="str">
        <f aca="false">IF($I655="","",$I655+$L655)</f>
        <v/>
      </c>
      <c r="O655" s="17" t="n">
        <f aca="false">IF($K655="","",$K655+$L655)</f>
        <v>1928</v>
      </c>
      <c r="P655" s="17" t="str">
        <f aca="false">IF($B$10=0,"",IFERROR(IF($B$4&gt;0,"휘발유 "&amp;TEXT(IF($M655="",1/0,$M655*$B$4),"#,##0")&amp;"원","")&amp;IF($B$5&gt;0,IF($B$4&gt;0," / ","")&amp;"고급유 "&amp;TEXT(IF($N655="",1/0,$N655*$B$5),"#,##0")&amp;"원","")&amp;IF($B$6&gt;0,IF(OR($B$4&gt;0,$B$5&gt;0)," / ","")&amp;"경유 "&amp;TEXT(IF($O655="",1/0,$O655*$B$6),"#,##0")&amp;"원",""),""))</f>
        <v/>
      </c>
      <c r="Q655" s="17" t="str">
        <f aca="false">IF($B$10=0,"",IFERROR(IF($B$4&gt;0,IF($M655="",1/0,$M655*$B$4),0)+IF($B$5&gt;0,IF($N655="",1/0,$N655*$B$5),0)+IF($B$6&gt;0,IF($O655="",1/0,$O655*$B$6),0),""))</f>
        <v/>
      </c>
      <c r="R655" s="17"/>
      <c r="S655" s="18" t="str">
        <f aca="false">IF($Q655="","",IF($R655="Y",IFERROR(VLOOKUP($B655,$C$4:$D$13,2,FALSE()),0),0))</f>
        <v/>
      </c>
      <c r="T655" s="17" t="str">
        <f aca="false">IF($Q655="","",ROUNDDOWN($Q655*$S655,0))</f>
        <v/>
      </c>
      <c r="U655" s="17" t="str">
        <f aca="false">IF($Q655="","",$Q655-$T655)</f>
        <v/>
      </c>
      <c r="V655" s="17" t="str">
        <f aca="false">IF($U655="","",IF($B$10=0,"",$U655/$B$10))</f>
        <v/>
      </c>
      <c r="W655" s="17" t="str">
        <f aca="false">IF($Q655="","",IF($B$10=0,"",$Q655/$B$10))</f>
        <v/>
      </c>
      <c r="X655" s="19" t="n">
        <f aca="false">IF($U655="",1000000000000000,$U655)</f>
        <v>1000000000000000</v>
      </c>
      <c r="XFC655" s="6"/>
    </row>
    <row r="656" s="22" customFormat="true" ht="28.5" hidden="false" customHeight="true" outlineLevel="0" collapsed="false">
      <c r="A656" s="16" t="str">
        <f aca="false">IF($U656="","",1+COUNTIF($X$15:$X$728,"&lt;"&amp;X656))</f>
        <v/>
      </c>
      <c r="B656" s="16" t="s">
        <v>12</v>
      </c>
      <c r="C656" s="16" t="s">
        <v>1949</v>
      </c>
      <c r="D656" s="20" t="s">
        <v>248</v>
      </c>
      <c r="E656" s="16" t="s">
        <v>47</v>
      </c>
      <c r="F656" s="16" t="s">
        <v>1950</v>
      </c>
      <c r="G656" s="16" t="s">
        <v>1951</v>
      </c>
      <c r="H656" s="17" t="n">
        <v>1898</v>
      </c>
      <c r="I656" s="17"/>
      <c r="J656" s="17"/>
      <c r="K656" s="17" t="n">
        <v>1928</v>
      </c>
      <c r="L656" s="17" t="n">
        <f aca="false">IF(AND(IFERROR(SEARCH("현대오일뱅크",$C656),0)&gt;0,IFERROR(SEARCH("직영",$C656),0)&gt;0),$B$13,0)</f>
        <v>0</v>
      </c>
      <c r="M656" s="17" t="n">
        <f aca="false">IF($H656="","",$H656+$L656)</f>
        <v>1898</v>
      </c>
      <c r="N656" s="17" t="str">
        <f aca="false">IF($I656="","",$I656+$L656)</f>
        <v/>
      </c>
      <c r="O656" s="17" t="n">
        <f aca="false">IF($K656="","",$K656+$L656)</f>
        <v>1928</v>
      </c>
      <c r="P656" s="17" t="str">
        <f aca="false">IF($B$10=0,"",IFERROR(IF($B$4&gt;0,"휘발유 "&amp;TEXT(IF($M656="",1/0,$M656*$B$4),"#,##0")&amp;"원","")&amp;IF($B$5&gt;0,IF($B$4&gt;0," / ","")&amp;"고급유 "&amp;TEXT(IF($N656="",1/0,$N656*$B$5),"#,##0")&amp;"원","")&amp;IF($B$6&gt;0,IF(OR($B$4&gt;0,$B$5&gt;0)," / ","")&amp;"경유 "&amp;TEXT(IF($O656="",1/0,$O656*$B$6),"#,##0")&amp;"원",""),""))</f>
        <v/>
      </c>
      <c r="Q656" s="17" t="str">
        <f aca="false">IF($B$10=0,"",IFERROR(IF($B$4&gt;0,IF($M656="",1/0,$M656*$B$4),0)+IF($B$5&gt;0,IF($N656="",1/0,$N656*$B$5),0)+IF($B$6&gt;0,IF($O656="",1/0,$O656*$B$6),0),""))</f>
        <v/>
      </c>
      <c r="R656" s="17"/>
      <c r="S656" s="18" t="str">
        <f aca="false">IF($Q656="","",IF($R656="Y",IFERROR(VLOOKUP($B656,$C$4:$D$13,2,FALSE()),0),0))</f>
        <v/>
      </c>
      <c r="T656" s="17" t="str">
        <f aca="false">IF($Q656="","",ROUNDDOWN($Q656*$S656,0))</f>
        <v/>
      </c>
      <c r="U656" s="17" t="str">
        <f aca="false">IF($Q656="","",$Q656-$T656)</f>
        <v/>
      </c>
      <c r="V656" s="17" t="str">
        <f aca="false">IF($U656="","",IF($B$10=0,"",$U656/$B$10))</f>
        <v/>
      </c>
      <c r="W656" s="17" t="str">
        <f aca="false">IF($Q656="","",IF($B$10=0,"",$Q656/$B$10))</f>
        <v/>
      </c>
      <c r="X656" s="19" t="n">
        <f aca="false">IF($U656="",1000000000000000,$U656)</f>
        <v>1000000000000000</v>
      </c>
      <c r="XFC656" s="6"/>
    </row>
    <row r="657" s="22" customFormat="true" ht="28.5" hidden="false" customHeight="true" outlineLevel="0" collapsed="false">
      <c r="A657" s="16" t="str">
        <f aca="false">IF($U657="","",1+COUNTIF($X$15:$X$728,"&lt;"&amp;X657))</f>
        <v/>
      </c>
      <c r="B657" s="16" t="s">
        <v>10</v>
      </c>
      <c r="C657" s="16" t="s">
        <v>1952</v>
      </c>
      <c r="D657" s="16" t="s">
        <v>58</v>
      </c>
      <c r="E657" s="16" t="s">
        <v>47</v>
      </c>
      <c r="F657" s="16" t="s">
        <v>1953</v>
      </c>
      <c r="G657" s="16" t="s">
        <v>1954</v>
      </c>
      <c r="H657" s="17" t="n">
        <v>1898</v>
      </c>
      <c r="I657" s="17"/>
      <c r="J657" s="17"/>
      <c r="K657" s="17" t="n">
        <v>1949</v>
      </c>
      <c r="L657" s="17" t="n">
        <f aca="false">IF(AND(IFERROR(SEARCH("현대오일뱅크",$C657),0)&gt;0,IFERROR(SEARCH("직영",$C657),0)&gt;0),$B$13,0)</f>
        <v>0</v>
      </c>
      <c r="M657" s="17" t="n">
        <f aca="false">IF($H657="","",$H657+$L657)</f>
        <v>1898</v>
      </c>
      <c r="N657" s="17" t="str">
        <f aca="false">IF($I657="","",$I657+$L657)</f>
        <v/>
      </c>
      <c r="O657" s="17" t="n">
        <f aca="false">IF($K657="","",$K657+$L657)</f>
        <v>1949</v>
      </c>
      <c r="P657" s="17" t="str">
        <f aca="false">IF($B$10=0,"",IFERROR(IF($B$4&gt;0,"휘발유 "&amp;TEXT(IF($M657="",1/0,$M657*$B$4),"#,##0")&amp;"원","")&amp;IF($B$5&gt;0,IF($B$4&gt;0," / ","")&amp;"고급유 "&amp;TEXT(IF($N657="",1/0,$N657*$B$5),"#,##0")&amp;"원","")&amp;IF($B$6&gt;0,IF(OR($B$4&gt;0,$B$5&gt;0)," / ","")&amp;"경유 "&amp;TEXT(IF($O657="",1/0,$O657*$B$6),"#,##0")&amp;"원",""),""))</f>
        <v/>
      </c>
      <c r="Q657" s="17" t="str">
        <f aca="false">IF($B$10=0,"",IFERROR(IF($B$4&gt;0,IF($M657="",1/0,$M657*$B$4),0)+IF($B$5&gt;0,IF($N657="",1/0,$N657*$B$5),0)+IF($B$6&gt;0,IF($O657="",1/0,$O657*$B$6),0),""))</f>
        <v/>
      </c>
      <c r="R657" s="17"/>
      <c r="S657" s="18" t="str">
        <f aca="false">IF($Q657="","",IF($R657="Y",IFERROR(VLOOKUP($B657,$C$4:$D$13,2,FALSE()),0),0))</f>
        <v/>
      </c>
      <c r="T657" s="17" t="str">
        <f aca="false">IF($Q657="","",ROUNDDOWN($Q657*$S657,0))</f>
        <v/>
      </c>
      <c r="U657" s="17" t="str">
        <f aca="false">IF($Q657="","",$Q657-$T657)</f>
        <v/>
      </c>
      <c r="V657" s="17" t="str">
        <f aca="false">IF($U657="","",IF($B$10=0,"",$U657/$B$10))</f>
        <v/>
      </c>
      <c r="W657" s="17" t="str">
        <f aca="false">IF($Q657="","",IF($B$10=0,"",$Q657/$B$10))</f>
        <v/>
      </c>
      <c r="X657" s="19" t="n">
        <f aca="false">IF($U657="",1000000000000000,$U657)</f>
        <v>1000000000000000</v>
      </c>
      <c r="XFC657" s="6"/>
    </row>
    <row r="658" s="22" customFormat="true" ht="28.5" hidden="false" customHeight="true" outlineLevel="0" collapsed="false">
      <c r="A658" s="16" t="str">
        <f aca="false">IF($U658="","",1+COUNTIF($X$15:$X$728,"&lt;"&amp;X658))</f>
        <v/>
      </c>
      <c r="B658" s="16" t="s">
        <v>10</v>
      </c>
      <c r="C658" s="16" t="s">
        <v>1955</v>
      </c>
      <c r="D658" s="20" t="s">
        <v>108</v>
      </c>
      <c r="E658" s="16" t="s">
        <v>47</v>
      </c>
      <c r="F658" s="16" t="s">
        <v>1956</v>
      </c>
      <c r="G658" s="16" t="s">
        <v>1957</v>
      </c>
      <c r="H658" s="17" t="n">
        <v>1898</v>
      </c>
      <c r="I658" s="17"/>
      <c r="J658" s="17"/>
      <c r="K658" s="17" t="n">
        <v>1958</v>
      </c>
      <c r="L658" s="17" t="n">
        <f aca="false">IF(AND(IFERROR(SEARCH("현대오일뱅크",$C658),0)&gt;0,IFERROR(SEARCH("직영",$C658),0)&gt;0),$B$13,0)</f>
        <v>0</v>
      </c>
      <c r="M658" s="17" t="n">
        <f aca="false">IF($H658="","",$H658+$L658)</f>
        <v>1898</v>
      </c>
      <c r="N658" s="17" t="str">
        <f aca="false">IF($I658="","",$I658+$L658)</f>
        <v/>
      </c>
      <c r="O658" s="17" t="n">
        <f aca="false">IF($K658="","",$K658+$L658)</f>
        <v>1958</v>
      </c>
      <c r="P658" s="17" t="str">
        <f aca="false">IF($B$10=0,"",IFERROR(IF($B$4&gt;0,"휘발유 "&amp;TEXT(IF($M658="",1/0,$M658*$B$4),"#,##0")&amp;"원","")&amp;IF($B$5&gt;0,IF($B$4&gt;0," / ","")&amp;"고급유 "&amp;TEXT(IF($N658="",1/0,$N658*$B$5),"#,##0")&amp;"원","")&amp;IF($B$6&gt;0,IF(OR($B$4&gt;0,$B$5&gt;0)," / ","")&amp;"경유 "&amp;TEXT(IF($O658="",1/0,$O658*$B$6),"#,##0")&amp;"원",""),""))</f>
        <v/>
      </c>
      <c r="Q658" s="17" t="str">
        <f aca="false">IF($B$10=0,"",IFERROR(IF($B$4&gt;0,IF($M658="",1/0,$M658*$B$4),0)+IF($B$5&gt;0,IF($N658="",1/0,$N658*$B$5),0)+IF($B$6&gt;0,IF($O658="",1/0,$O658*$B$6),0),""))</f>
        <v/>
      </c>
      <c r="R658" s="17"/>
      <c r="S658" s="18" t="str">
        <f aca="false">IF($Q658="","",IF($R658="Y",IFERROR(VLOOKUP($B658,$C$4:$D$13,2,FALSE()),0),0))</f>
        <v/>
      </c>
      <c r="T658" s="17" t="str">
        <f aca="false">IF($Q658="","",ROUNDDOWN($Q658*$S658,0))</f>
        <v/>
      </c>
      <c r="U658" s="17" t="str">
        <f aca="false">IF($Q658="","",$Q658-$T658)</f>
        <v/>
      </c>
      <c r="V658" s="17" t="str">
        <f aca="false">IF($U658="","",IF($B$10=0,"",$U658/$B$10))</f>
        <v/>
      </c>
      <c r="W658" s="17" t="str">
        <f aca="false">IF($Q658="","",IF($B$10=0,"",$Q658/$B$10))</f>
        <v/>
      </c>
      <c r="X658" s="19" t="n">
        <f aca="false">IF($U658="",1000000000000000,$U658)</f>
        <v>1000000000000000</v>
      </c>
      <c r="XFC658" s="6"/>
    </row>
    <row r="659" s="22" customFormat="true" ht="28.5" hidden="false" customHeight="true" outlineLevel="0" collapsed="false">
      <c r="A659" s="16" t="str">
        <f aca="false">IF($U659="","",1+COUNTIF($X$15:$X$728,"&lt;"&amp;X659))</f>
        <v/>
      </c>
      <c r="B659" s="16" t="s">
        <v>12</v>
      </c>
      <c r="C659" s="16" t="s">
        <v>1958</v>
      </c>
      <c r="D659" s="20" t="s">
        <v>629</v>
      </c>
      <c r="E659" s="16" t="s">
        <v>47</v>
      </c>
      <c r="F659" s="16" t="s">
        <v>1959</v>
      </c>
      <c r="G659" s="16" t="s">
        <v>1960</v>
      </c>
      <c r="H659" s="17" t="n">
        <v>1898</v>
      </c>
      <c r="I659" s="17"/>
      <c r="J659" s="17"/>
      <c r="K659" s="17" t="n">
        <v>1958</v>
      </c>
      <c r="L659" s="17" t="n">
        <f aca="false">IF(AND(IFERROR(SEARCH("현대오일뱅크",$C659),0)&gt;0,IFERROR(SEARCH("직영",$C659),0)&gt;0),$B$13,0)</f>
        <v>0</v>
      </c>
      <c r="M659" s="17" t="n">
        <f aca="false">IF($H659="","",$H659+$L659)</f>
        <v>1898</v>
      </c>
      <c r="N659" s="17" t="str">
        <f aca="false">IF($I659="","",$I659+$L659)</f>
        <v/>
      </c>
      <c r="O659" s="17" t="n">
        <f aca="false">IF($K659="","",$K659+$L659)</f>
        <v>1958</v>
      </c>
      <c r="P659" s="17" t="str">
        <f aca="false">IF($B$10=0,"",IFERROR(IF($B$4&gt;0,"휘발유 "&amp;TEXT(IF($M659="",1/0,$M659*$B$4),"#,##0")&amp;"원","")&amp;IF($B$5&gt;0,IF($B$4&gt;0," / ","")&amp;"고급유 "&amp;TEXT(IF($N659="",1/0,$N659*$B$5),"#,##0")&amp;"원","")&amp;IF($B$6&gt;0,IF(OR($B$4&gt;0,$B$5&gt;0)," / ","")&amp;"경유 "&amp;TEXT(IF($O659="",1/0,$O659*$B$6),"#,##0")&amp;"원",""),""))</f>
        <v/>
      </c>
      <c r="Q659" s="17" t="str">
        <f aca="false">IF($B$10=0,"",IFERROR(IF($B$4&gt;0,IF($M659="",1/0,$M659*$B$4),0)+IF($B$5&gt;0,IF($N659="",1/0,$N659*$B$5),0)+IF($B$6&gt;0,IF($O659="",1/0,$O659*$B$6),0),""))</f>
        <v/>
      </c>
      <c r="R659" s="17"/>
      <c r="S659" s="18" t="str">
        <f aca="false">IF($Q659="","",IF($R659="Y",IFERROR(VLOOKUP($B659,$C$4:$D$13,2,FALSE()),0),0))</f>
        <v/>
      </c>
      <c r="T659" s="17" t="str">
        <f aca="false">IF($Q659="","",ROUNDDOWN($Q659*$S659,0))</f>
        <v/>
      </c>
      <c r="U659" s="17" t="str">
        <f aca="false">IF($Q659="","",$Q659-$T659)</f>
        <v/>
      </c>
      <c r="V659" s="17" t="str">
        <f aca="false">IF($U659="","",IF($B$10=0,"",$U659/$B$10))</f>
        <v/>
      </c>
      <c r="W659" s="17" t="str">
        <f aca="false">IF($Q659="","",IF($B$10=0,"",$Q659/$B$10))</f>
        <v/>
      </c>
      <c r="X659" s="19" t="n">
        <f aca="false">IF($U659="",1000000000000000,$U659)</f>
        <v>1000000000000000</v>
      </c>
      <c r="XFC659" s="6"/>
    </row>
    <row r="660" s="22" customFormat="true" ht="28.5" hidden="false" customHeight="true" outlineLevel="0" collapsed="false">
      <c r="A660" s="16" t="str">
        <f aca="false">IF($U660="","",1+COUNTIF($X$15:$X$728,"&lt;"&amp;X660))</f>
        <v/>
      </c>
      <c r="B660" s="16" t="s">
        <v>12</v>
      </c>
      <c r="C660" s="16" t="s">
        <v>1961</v>
      </c>
      <c r="D660" s="20" t="s">
        <v>629</v>
      </c>
      <c r="E660" s="16" t="s">
        <v>47</v>
      </c>
      <c r="F660" s="16" t="s">
        <v>1962</v>
      </c>
      <c r="G660" s="16" t="s">
        <v>1963</v>
      </c>
      <c r="H660" s="17" t="n">
        <v>1898</v>
      </c>
      <c r="I660" s="17"/>
      <c r="J660" s="17"/>
      <c r="K660" s="17" t="n">
        <v>1898</v>
      </c>
      <c r="L660" s="17" t="n">
        <f aca="false">IF(AND(IFERROR(SEARCH("현대오일뱅크",$C660),0)&gt;0,IFERROR(SEARCH("직영",$C660),0)&gt;0),$B$13,0)</f>
        <v>0</v>
      </c>
      <c r="M660" s="17" t="n">
        <f aca="false">IF($H660="","",$H660+$L660)</f>
        <v>1898</v>
      </c>
      <c r="N660" s="17" t="str">
        <f aca="false">IF($I660="","",$I660+$L660)</f>
        <v/>
      </c>
      <c r="O660" s="17" t="n">
        <f aca="false">IF($K660="","",$K660+$L660)</f>
        <v>1898</v>
      </c>
      <c r="P660" s="17" t="str">
        <f aca="false">IF($B$10=0,"",IFERROR(IF($B$4&gt;0,"휘발유 "&amp;TEXT(IF($M660="",1/0,$M660*$B$4),"#,##0")&amp;"원","")&amp;IF($B$5&gt;0,IF($B$4&gt;0," / ","")&amp;"고급유 "&amp;TEXT(IF($N660="",1/0,$N660*$B$5),"#,##0")&amp;"원","")&amp;IF($B$6&gt;0,IF(OR($B$4&gt;0,$B$5&gt;0)," / ","")&amp;"경유 "&amp;TEXT(IF($O660="",1/0,$O660*$B$6),"#,##0")&amp;"원",""),""))</f>
        <v/>
      </c>
      <c r="Q660" s="17" t="str">
        <f aca="false">IF($B$10=0,"",IFERROR(IF($B$4&gt;0,IF($M660="",1/0,$M660*$B$4),0)+IF($B$5&gt;0,IF($N660="",1/0,$N660*$B$5),0)+IF($B$6&gt;0,IF($O660="",1/0,$O660*$B$6),0),""))</f>
        <v/>
      </c>
      <c r="R660" s="17"/>
      <c r="S660" s="18" t="str">
        <f aca="false">IF($Q660="","",IF($R660="Y",IFERROR(VLOOKUP($B660,$C$4:$D$13,2,FALSE()),0),0))</f>
        <v/>
      </c>
      <c r="T660" s="17" t="str">
        <f aca="false">IF($Q660="","",ROUNDDOWN($Q660*$S660,0))</f>
        <v/>
      </c>
      <c r="U660" s="17" t="str">
        <f aca="false">IF($Q660="","",$Q660-$T660)</f>
        <v/>
      </c>
      <c r="V660" s="17" t="str">
        <f aca="false">IF($U660="","",IF($B$10=0,"",$U660/$B$10))</f>
        <v/>
      </c>
      <c r="W660" s="17" t="str">
        <f aca="false">IF($Q660="","",IF($B$10=0,"",$Q660/$B$10))</f>
        <v/>
      </c>
      <c r="X660" s="19" t="n">
        <f aca="false">IF($U660="",1000000000000000,$U660)</f>
        <v>1000000000000000</v>
      </c>
      <c r="XFC660" s="6"/>
    </row>
    <row r="661" s="22" customFormat="true" ht="28.5" hidden="false" customHeight="true" outlineLevel="0" collapsed="false">
      <c r="A661" s="16" t="str">
        <f aca="false">IF($U661="","",1+COUNTIF($X$15:$X$728,"&lt;"&amp;X661))</f>
        <v/>
      </c>
      <c r="B661" s="16" t="s">
        <v>12</v>
      </c>
      <c r="C661" s="16" t="s">
        <v>1964</v>
      </c>
      <c r="D661" s="20" t="s">
        <v>294</v>
      </c>
      <c r="E661" s="16" t="s">
        <v>59</v>
      </c>
      <c r="F661" s="16" t="s">
        <v>1965</v>
      </c>
      <c r="G661" s="16" t="s">
        <v>1966</v>
      </c>
      <c r="H661" s="17" t="n">
        <v>1898</v>
      </c>
      <c r="I661" s="17"/>
      <c r="J661" s="17"/>
      <c r="K661" s="17" t="n">
        <v>1939</v>
      </c>
      <c r="L661" s="17" t="n">
        <f aca="false">IF(AND(IFERROR(SEARCH("현대오일뱅크",$C661),0)&gt;0,IFERROR(SEARCH("직영",$C661),0)&gt;0),$B$13,0)</f>
        <v>0</v>
      </c>
      <c r="M661" s="17" t="n">
        <f aca="false">IF($H661="","",$H661+$L661)</f>
        <v>1898</v>
      </c>
      <c r="N661" s="17" t="str">
        <f aca="false">IF($I661="","",$I661+$L661)</f>
        <v/>
      </c>
      <c r="O661" s="17" t="n">
        <f aca="false">IF($K661="","",$K661+$L661)</f>
        <v>1939</v>
      </c>
      <c r="P661" s="17" t="str">
        <f aca="false">IF($B$10=0,"",IFERROR(IF($B$4&gt;0,"휘발유 "&amp;TEXT(IF($M661="",1/0,$M661*$B$4),"#,##0")&amp;"원","")&amp;IF($B$5&gt;0,IF($B$4&gt;0," / ","")&amp;"고급유 "&amp;TEXT(IF($N661="",1/0,$N661*$B$5),"#,##0")&amp;"원","")&amp;IF($B$6&gt;0,IF(OR($B$4&gt;0,$B$5&gt;0)," / ","")&amp;"경유 "&amp;TEXT(IF($O661="",1/0,$O661*$B$6),"#,##0")&amp;"원",""),""))</f>
        <v/>
      </c>
      <c r="Q661" s="17" t="str">
        <f aca="false">IF($B$10=0,"",IFERROR(IF($B$4&gt;0,IF($M661="",1/0,$M661*$B$4),0)+IF($B$5&gt;0,IF($N661="",1/0,$N661*$B$5),0)+IF($B$6&gt;0,IF($O661="",1/0,$O661*$B$6),0),""))</f>
        <v/>
      </c>
      <c r="R661" s="17"/>
      <c r="S661" s="18" t="str">
        <f aca="false">IF($Q661="","",IF($R661="Y",IFERROR(VLOOKUP($B661,$C$4:$D$13,2,FALSE()),0),0))</f>
        <v/>
      </c>
      <c r="T661" s="17" t="str">
        <f aca="false">IF($Q661="","",ROUNDDOWN($Q661*$S661,0))</f>
        <v/>
      </c>
      <c r="U661" s="17" t="str">
        <f aca="false">IF($Q661="","",$Q661-$T661)</f>
        <v/>
      </c>
      <c r="V661" s="17" t="str">
        <f aca="false">IF($U661="","",IF($B$10=0,"",$U661/$B$10))</f>
        <v/>
      </c>
      <c r="W661" s="17" t="str">
        <f aca="false">IF($Q661="","",IF($B$10=0,"",$Q661/$B$10))</f>
        <v/>
      </c>
      <c r="X661" s="19" t="n">
        <f aca="false">IF($U661="",1000000000000000,$U661)</f>
        <v>1000000000000000</v>
      </c>
      <c r="XFC661" s="6"/>
    </row>
    <row r="662" s="22" customFormat="true" ht="28.5" hidden="false" customHeight="true" outlineLevel="0" collapsed="false">
      <c r="A662" s="16" t="str">
        <f aca="false">IF($U662="","",1+COUNTIF($X$15:$X$728,"&lt;"&amp;X662))</f>
        <v/>
      </c>
      <c r="B662" s="16" t="s">
        <v>18</v>
      </c>
      <c r="C662" s="16" t="s">
        <v>1967</v>
      </c>
      <c r="D662" s="16" t="s">
        <v>58</v>
      </c>
      <c r="E662" s="16" t="s">
        <v>47</v>
      </c>
      <c r="F662" s="16" t="s">
        <v>1968</v>
      </c>
      <c r="G662" s="16" t="s">
        <v>1969</v>
      </c>
      <c r="H662" s="17" t="n">
        <v>1929</v>
      </c>
      <c r="I662" s="17"/>
      <c r="J662" s="17"/>
      <c r="K662" s="17" t="n">
        <v>1999</v>
      </c>
      <c r="L662" s="17" t="n">
        <f aca="false">IF(AND(IFERROR(SEARCH("현대오일뱅크",$C662),0)&gt;0,IFERROR(SEARCH("직영",$C662),0)&gt;0),$B$13,0)</f>
        <v>0</v>
      </c>
      <c r="M662" s="17" t="n">
        <f aca="false">IF($H662="","",$H662+$L662)</f>
        <v>1929</v>
      </c>
      <c r="N662" s="17" t="str">
        <f aca="false">IF($I662="","",$I662+$L662)</f>
        <v/>
      </c>
      <c r="O662" s="17" t="n">
        <f aca="false">IF($K662="","",$K662+$L662)</f>
        <v>1999</v>
      </c>
      <c r="P662" s="17" t="str">
        <f aca="false">IF($B$10=0,"",IFERROR(IF($B$4&gt;0,"휘발유 "&amp;TEXT(IF($M662="",1/0,$M662*$B$4),"#,##0")&amp;"원","")&amp;IF($B$5&gt;0,IF($B$4&gt;0," / ","")&amp;"고급유 "&amp;TEXT(IF($N662="",1/0,$N662*$B$5),"#,##0")&amp;"원","")&amp;IF($B$6&gt;0,IF(OR($B$4&gt;0,$B$5&gt;0)," / ","")&amp;"경유 "&amp;TEXT(IF($O662="",1/0,$O662*$B$6),"#,##0")&amp;"원",""),""))</f>
        <v/>
      </c>
      <c r="Q662" s="17" t="str">
        <f aca="false">IF($B$10=0,"",IFERROR(IF($B$4&gt;0,IF($M662="",1/0,$M662*$B$4),0)+IF($B$5&gt;0,IF($N662="",1/0,$N662*$B$5),0)+IF($B$6&gt;0,IF($O662="",1/0,$O662*$B$6),0),""))</f>
        <v/>
      </c>
      <c r="R662" s="17"/>
      <c r="S662" s="18" t="str">
        <f aca="false">IF($Q662="","",IF($R662="Y",IFERROR(VLOOKUP($B662,$C$4:$D$13,2,FALSE()),0),0))</f>
        <v/>
      </c>
      <c r="T662" s="17" t="str">
        <f aca="false">IF($Q662="","",ROUNDDOWN($Q662*$S662,0))</f>
        <v/>
      </c>
      <c r="U662" s="17" t="str">
        <f aca="false">IF($Q662="","",$Q662-$T662)</f>
        <v/>
      </c>
      <c r="V662" s="17" t="str">
        <f aca="false">IF($U662="","",IF($B$10=0,"",$U662/$B$10))</f>
        <v/>
      </c>
      <c r="W662" s="17" t="str">
        <f aca="false">IF($Q662="","",IF($B$10=0,"",$Q662/$B$10))</f>
        <v/>
      </c>
      <c r="X662" s="19" t="n">
        <f aca="false">IF($U662="",1000000000000000,$U662)</f>
        <v>1000000000000000</v>
      </c>
      <c r="XFC662" s="6"/>
    </row>
    <row r="663" s="22" customFormat="true" ht="28.5" hidden="false" customHeight="true" outlineLevel="0" collapsed="false">
      <c r="A663" s="16" t="str">
        <f aca="false">IF($U663="","",1+COUNTIF($X$15:$X$728,"&lt;"&amp;X663))</f>
        <v/>
      </c>
      <c r="B663" s="16" t="s">
        <v>10</v>
      </c>
      <c r="C663" s="16" t="s">
        <v>1970</v>
      </c>
      <c r="D663" s="16" t="s">
        <v>58</v>
      </c>
      <c r="E663" s="16" t="s">
        <v>47</v>
      </c>
      <c r="F663" s="16" t="s">
        <v>1971</v>
      </c>
      <c r="G663" s="16" t="s">
        <v>1972</v>
      </c>
      <c r="H663" s="17" t="n">
        <v>1899</v>
      </c>
      <c r="I663" s="17"/>
      <c r="J663" s="17"/>
      <c r="K663" s="17" t="n">
        <v>1949</v>
      </c>
      <c r="L663" s="17" t="n">
        <f aca="false">IF(AND(IFERROR(SEARCH("현대오일뱅크",$C663),0)&gt;0,IFERROR(SEARCH("직영",$C663),0)&gt;0),$B$13,0)</f>
        <v>0</v>
      </c>
      <c r="M663" s="17" t="n">
        <f aca="false">IF($H663="","",$H663+$L663)</f>
        <v>1899</v>
      </c>
      <c r="N663" s="17" t="str">
        <f aca="false">IF($I663="","",$I663+$L663)</f>
        <v/>
      </c>
      <c r="O663" s="17" t="n">
        <f aca="false">IF($K663="","",$K663+$L663)</f>
        <v>1949</v>
      </c>
      <c r="P663" s="17" t="str">
        <f aca="false">IF($B$10=0,"",IFERROR(IF($B$4&gt;0,"휘발유 "&amp;TEXT(IF($M663="",1/0,$M663*$B$4),"#,##0")&amp;"원","")&amp;IF($B$5&gt;0,IF($B$4&gt;0," / ","")&amp;"고급유 "&amp;TEXT(IF($N663="",1/0,$N663*$B$5),"#,##0")&amp;"원","")&amp;IF($B$6&gt;0,IF(OR($B$4&gt;0,$B$5&gt;0)," / ","")&amp;"경유 "&amp;TEXT(IF($O663="",1/0,$O663*$B$6),"#,##0")&amp;"원",""),""))</f>
        <v/>
      </c>
      <c r="Q663" s="17" t="str">
        <f aca="false">IF($B$10=0,"",IFERROR(IF($B$4&gt;0,IF($M663="",1/0,$M663*$B$4),0)+IF($B$5&gt;0,IF($N663="",1/0,$N663*$B$5),0)+IF($B$6&gt;0,IF($O663="",1/0,$O663*$B$6),0),""))</f>
        <v/>
      </c>
      <c r="R663" s="17"/>
      <c r="S663" s="18" t="str">
        <f aca="false">IF($Q663="","",IF($R663="Y",IFERROR(VLOOKUP($B663,$C$4:$D$13,2,FALSE()),0),0))</f>
        <v/>
      </c>
      <c r="T663" s="17" t="str">
        <f aca="false">IF($Q663="","",ROUNDDOWN($Q663*$S663,0))</f>
        <v/>
      </c>
      <c r="U663" s="17" t="str">
        <f aca="false">IF($Q663="","",$Q663-$T663)</f>
        <v/>
      </c>
      <c r="V663" s="17" t="str">
        <f aca="false">IF($U663="","",IF($B$10=0,"",$U663/$B$10))</f>
        <v/>
      </c>
      <c r="W663" s="17" t="str">
        <f aca="false">IF($Q663="","",IF($B$10=0,"",$Q663/$B$10))</f>
        <v/>
      </c>
      <c r="X663" s="19" t="n">
        <f aca="false">IF($U663="",1000000000000000,$U663)</f>
        <v>1000000000000000</v>
      </c>
      <c r="XFC663" s="6"/>
    </row>
    <row r="664" s="22" customFormat="true" ht="28.5" hidden="false" customHeight="true" outlineLevel="0" collapsed="false">
      <c r="A664" s="16" t="str">
        <f aca="false">IF($U664="","",1+COUNTIF($X$15:$X$728,"&lt;"&amp;X664))</f>
        <v/>
      </c>
      <c r="B664" s="16" t="s">
        <v>10</v>
      </c>
      <c r="C664" s="16" t="s">
        <v>1973</v>
      </c>
      <c r="D664" s="16" t="s">
        <v>58</v>
      </c>
      <c r="E664" s="16" t="s">
        <v>47</v>
      </c>
      <c r="F664" s="16" t="s">
        <v>1974</v>
      </c>
      <c r="G664" s="16" t="s">
        <v>1975</v>
      </c>
      <c r="H664" s="17" t="n">
        <v>1899</v>
      </c>
      <c r="I664" s="17"/>
      <c r="J664" s="17"/>
      <c r="K664" s="17" t="n">
        <v>1899</v>
      </c>
      <c r="L664" s="17" t="n">
        <f aca="false">IF(AND(IFERROR(SEARCH("현대오일뱅크",$C664),0)&gt;0,IFERROR(SEARCH("직영",$C664),0)&gt;0),$B$13,0)</f>
        <v>0</v>
      </c>
      <c r="M664" s="17" t="n">
        <f aca="false">IF($H664="","",$H664+$L664)</f>
        <v>1899</v>
      </c>
      <c r="N664" s="17" t="str">
        <f aca="false">IF($I664="","",$I664+$L664)</f>
        <v/>
      </c>
      <c r="O664" s="17" t="n">
        <f aca="false">IF($K664="","",$K664+$L664)</f>
        <v>1899</v>
      </c>
      <c r="P664" s="17" t="str">
        <f aca="false">IF($B$10=0,"",IFERROR(IF($B$4&gt;0,"휘발유 "&amp;TEXT(IF($M664="",1/0,$M664*$B$4),"#,##0")&amp;"원","")&amp;IF($B$5&gt;0,IF($B$4&gt;0," / ","")&amp;"고급유 "&amp;TEXT(IF($N664="",1/0,$N664*$B$5),"#,##0")&amp;"원","")&amp;IF($B$6&gt;0,IF(OR($B$4&gt;0,$B$5&gt;0)," / ","")&amp;"경유 "&amp;TEXT(IF($O664="",1/0,$O664*$B$6),"#,##0")&amp;"원",""),""))</f>
        <v/>
      </c>
      <c r="Q664" s="17" t="str">
        <f aca="false">IF($B$10=0,"",IFERROR(IF($B$4&gt;0,IF($M664="",1/0,$M664*$B$4),0)+IF($B$5&gt;0,IF($N664="",1/0,$N664*$B$5),0)+IF($B$6&gt;0,IF($O664="",1/0,$O664*$B$6),0),""))</f>
        <v/>
      </c>
      <c r="R664" s="17"/>
      <c r="S664" s="18" t="str">
        <f aca="false">IF($Q664="","",IF($R664="Y",IFERROR(VLOOKUP($B664,$C$4:$D$13,2,FALSE()),0),0))</f>
        <v/>
      </c>
      <c r="T664" s="17" t="str">
        <f aca="false">IF($Q664="","",ROUNDDOWN($Q664*$S664,0))</f>
        <v/>
      </c>
      <c r="U664" s="17" t="str">
        <f aca="false">IF($Q664="","",$Q664-$T664)</f>
        <v/>
      </c>
      <c r="V664" s="17" t="str">
        <f aca="false">IF($U664="","",IF($B$10=0,"",$U664/$B$10))</f>
        <v/>
      </c>
      <c r="W664" s="17" t="str">
        <f aca="false">IF($Q664="","",IF($B$10=0,"",$Q664/$B$10))</f>
        <v/>
      </c>
      <c r="X664" s="19" t="n">
        <f aca="false">IF($U664="",1000000000000000,$U664)</f>
        <v>1000000000000000</v>
      </c>
      <c r="XFC664" s="6"/>
    </row>
    <row r="665" s="22" customFormat="true" ht="28.5" hidden="false" customHeight="true" outlineLevel="0" collapsed="false">
      <c r="A665" s="16" t="str">
        <f aca="false">IF($U665="","",1+COUNTIF($X$15:$X$728,"&lt;"&amp;X665))</f>
        <v/>
      </c>
      <c r="B665" s="16" t="s">
        <v>10</v>
      </c>
      <c r="C665" s="16" t="s">
        <v>1976</v>
      </c>
      <c r="D665" s="16" t="s">
        <v>58</v>
      </c>
      <c r="E665" s="16" t="s">
        <v>47</v>
      </c>
      <c r="F665" s="16" t="s">
        <v>1977</v>
      </c>
      <c r="G665" s="16" t="s">
        <v>1978</v>
      </c>
      <c r="H665" s="17" t="n">
        <v>1899</v>
      </c>
      <c r="I665" s="17"/>
      <c r="J665" s="17"/>
      <c r="K665" s="17" t="n">
        <v>1899</v>
      </c>
      <c r="L665" s="17" t="n">
        <f aca="false">IF(AND(IFERROR(SEARCH("현대오일뱅크",$C665),0)&gt;0,IFERROR(SEARCH("직영",$C665),0)&gt;0),$B$13,0)</f>
        <v>0</v>
      </c>
      <c r="M665" s="17" t="n">
        <f aca="false">IF($H665="","",$H665+$L665)</f>
        <v>1899</v>
      </c>
      <c r="N665" s="17" t="str">
        <f aca="false">IF($I665="","",$I665+$L665)</f>
        <v/>
      </c>
      <c r="O665" s="17" t="n">
        <f aca="false">IF($K665="","",$K665+$L665)</f>
        <v>1899</v>
      </c>
      <c r="P665" s="17" t="str">
        <f aca="false">IF($B$10=0,"",IFERROR(IF($B$4&gt;0,"휘발유 "&amp;TEXT(IF($M665="",1/0,$M665*$B$4),"#,##0")&amp;"원","")&amp;IF($B$5&gt;0,IF($B$4&gt;0," / ","")&amp;"고급유 "&amp;TEXT(IF($N665="",1/0,$N665*$B$5),"#,##0")&amp;"원","")&amp;IF($B$6&gt;0,IF(OR($B$4&gt;0,$B$5&gt;0)," / ","")&amp;"경유 "&amp;TEXT(IF($O665="",1/0,$O665*$B$6),"#,##0")&amp;"원",""),""))</f>
        <v/>
      </c>
      <c r="Q665" s="17" t="str">
        <f aca="false">IF($B$10=0,"",IFERROR(IF($B$4&gt;0,IF($M665="",1/0,$M665*$B$4),0)+IF($B$5&gt;0,IF($N665="",1/0,$N665*$B$5),0)+IF($B$6&gt;0,IF($O665="",1/0,$O665*$B$6),0),""))</f>
        <v/>
      </c>
      <c r="R665" s="17"/>
      <c r="S665" s="18" t="str">
        <f aca="false">IF($Q665="","",IF($R665="Y",IFERROR(VLOOKUP($B665,$C$4:$D$13,2,FALSE()),0),0))</f>
        <v/>
      </c>
      <c r="T665" s="17" t="str">
        <f aca="false">IF($Q665="","",ROUNDDOWN($Q665*$S665,0))</f>
        <v/>
      </c>
      <c r="U665" s="17" t="str">
        <f aca="false">IF($Q665="","",$Q665-$T665)</f>
        <v/>
      </c>
      <c r="V665" s="17" t="str">
        <f aca="false">IF($U665="","",IF($B$10=0,"",$U665/$B$10))</f>
        <v/>
      </c>
      <c r="W665" s="17" t="str">
        <f aca="false">IF($Q665="","",IF($B$10=0,"",$Q665/$B$10))</f>
        <v/>
      </c>
      <c r="X665" s="19" t="n">
        <f aca="false">IF($U665="",1000000000000000,$U665)</f>
        <v>1000000000000000</v>
      </c>
      <c r="XFC665" s="6"/>
    </row>
    <row r="666" s="22" customFormat="true" ht="28.5" hidden="false" customHeight="true" outlineLevel="0" collapsed="false">
      <c r="A666" s="16" t="str">
        <f aca="false">IF($U666="","",1+COUNTIF($X$15:$X$728,"&lt;"&amp;X666))</f>
        <v/>
      </c>
      <c r="B666" s="16" t="s">
        <v>14</v>
      </c>
      <c r="C666" s="16" t="s">
        <v>1979</v>
      </c>
      <c r="D666" s="16" t="s">
        <v>112</v>
      </c>
      <c r="E666" s="16" t="s">
        <v>47</v>
      </c>
      <c r="F666" s="16" t="s">
        <v>1980</v>
      </c>
      <c r="G666" s="16" t="s">
        <v>1981</v>
      </c>
      <c r="H666" s="17" t="n">
        <v>1899</v>
      </c>
      <c r="I666" s="17"/>
      <c r="J666" s="17"/>
      <c r="K666" s="17" t="n">
        <v>1908</v>
      </c>
      <c r="L666" s="17" t="n">
        <f aca="false">IF(AND(IFERROR(SEARCH("현대오일뱅크",$C666),0)&gt;0,IFERROR(SEARCH("직영",$C666),0)&gt;0),$B$13,0)</f>
        <v>0</v>
      </c>
      <c r="M666" s="17" t="n">
        <f aca="false">IF($H666="","",$H666+$L666)</f>
        <v>1899</v>
      </c>
      <c r="N666" s="17" t="str">
        <f aca="false">IF($I666="","",$I666+$L666)</f>
        <v/>
      </c>
      <c r="O666" s="17" t="n">
        <f aca="false">IF($K666="","",$K666+$L666)</f>
        <v>1908</v>
      </c>
      <c r="P666" s="17" t="str">
        <f aca="false">IF($B$10=0,"",IFERROR(IF($B$4&gt;0,"휘발유 "&amp;TEXT(IF($M666="",1/0,$M666*$B$4),"#,##0")&amp;"원","")&amp;IF($B$5&gt;0,IF($B$4&gt;0," / ","")&amp;"고급유 "&amp;TEXT(IF($N666="",1/0,$N666*$B$5),"#,##0")&amp;"원","")&amp;IF($B$6&gt;0,IF(OR($B$4&gt;0,$B$5&gt;0)," / ","")&amp;"경유 "&amp;TEXT(IF($O666="",1/0,$O666*$B$6),"#,##0")&amp;"원",""),""))</f>
        <v/>
      </c>
      <c r="Q666" s="17" t="str">
        <f aca="false">IF($B$10=0,"",IFERROR(IF($B$4&gt;0,IF($M666="",1/0,$M666*$B$4),0)+IF($B$5&gt;0,IF($N666="",1/0,$N666*$B$5),0)+IF($B$6&gt;0,IF($O666="",1/0,$O666*$B$6),0),""))</f>
        <v/>
      </c>
      <c r="R666" s="17"/>
      <c r="S666" s="18" t="str">
        <f aca="false">IF($Q666="","",IF($R666="Y",IFERROR(VLOOKUP($B666,$C$4:$D$13,2,FALSE()),0),0))</f>
        <v/>
      </c>
      <c r="T666" s="17" t="str">
        <f aca="false">IF($Q666="","",ROUNDDOWN($Q666*$S666,0))</f>
        <v/>
      </c>
      <c r="U666" s="17" t="str">
        <f aca="false">IF($Q666="","",$Q666-$T666)</f>
        <v/>
      </c>
      <c r="V666" s="17" t="str">
        <f aca="false">IF($U666="","",IF($B$10=0,"",$U666/$B$10))</f>
        <v/>
      </c>
      <c r="W666" s="17" t="str">
        <f aca="false">IF($Q666="","",IF($B$10=0,"",$Q666/$B$10))</f>
        <v/>
      </c>
      <c r="X666" s="19" t="n">
        <f aca="false">IF($U666="",1000000000000000,$U666)</f>
        <v>1000000000000000</v>
      </c>
      <c r="XFC666" s="6"/>
    </row>
    <row r="667" s="22" customFormat="true" ht="28.5" hidden="false" customHeight="true" outlineLevel="0" collapsed="false">
      <c r="A667" s="16" t="str">
        <f aca="false">IF($U667="","",1+COUNTIF($X$15:$X$728,"&lt;"&amp;X667))</f>
        <v/>
      </c>
      <c r="B667" s="16" t="s">
        <v>10</v>
      </c>
      <c r="C667" s="16" t="s">
        <v>1982</v>
      </c>
      <c r="D667" s="16" t="s">
        <v>58</v>
      </c>
      <c r="E667" s="16" t="s">
        <v>47</v>
      </c>
      <c r="F667" s="16" t="s">
        <v>1983</v>
      </c>
      <c r="G667" s="16" t="s">
        <v>1984</v>
      </c>
      <c r="H667" s="17" t="n">
        <v>1899</v>
      </c>
      <c r="I667" s="17"/>
      <c r="J667" s="17"/>
      <c r="K667" s="17" t="n">
        <v>1939</v>
      </c>
      <c r="L667" s="17" t="n">
        <f aca="false">IF(AND(IFERROR(SEARCH("현대오일뱅크",$C667),0)&gt;0,IFERROR(SEARCH("직영",$C667),0)&gt;0),$B$13,0)</f>
        <v>0</v>
      </c>
      <c r="M667" s="17" t="n">
        <f aca="false">IF($H667="","",$H667+$L667)</f>
        <v>1899</v>
      </c>
      <c r="N667" s="17" t="str">
        <f aca="false">IF($I667="","",$I667+$L667)</f>
        <v/>
      </c>
      <c r="O667" s="17" t="n">
        <f aca="false">IF($K667="","",$K667+$L667)</f>
        <v>1939</v>
      </c>
      <c r="P667" s="17" t="str">
        <f aca="false">IF($B$10=0,"",IFERROR(IF($B$4&gt;0,"휘발유 "&amp;TEXT(IF($M667="",1/0,$M667*$B$4),"#,##0")&amp;"원","")&amp;IF($B$5&gt;0,IF($B$4&gt;0," / ","")&amp;"고급유 "&amp;TEXT(IF($N667="",1/0,$N667*$B$5),"#,##0")&amp;"원","")&amp;IF($B$6&gt;0,IF(OR($B$4&gt;0,$B$5&gt;0)," / ","")&amp;"경유 "&amp;TEXT(IF($O667="",1/0,$O667*$B$6),"#,##0")&amp;"원",""),""))</f>
        <v/>
      </c>
      <c r="Q667" s="17" t="str">
        <f aca="false">IF($B$10=0,"",IFERROR(IF($B$4&gt;0,IF($M667="",1/0,$M667*$B$4),0)+IF($B$5&gt;0,IF($N667="",1/0,$N667*$B$5),0)+IF($B$6&gt;0,IF($O667="",1/0,$O667*$B$6),0),""))</f>
        <v/>
      </c>
      <c r="R667" s="17"/>
      <c r="S667" s="18" t="str">
        <f aca="false">IF($Q667="","",IF($R667="Y",IFERROR(VLOOKUP($B667,$C$4:$D$13,2,FALSE()),0),0))</f>
        <v/>
      </c>
      <c r="T667" s="17" t="str">
        <f aca="false">IF($Q667="","",ROUNDDOWN($Q667*$S667,0))</f>
        <v/>
      </c>
      <c r="U667" s="17" t="str">
        <f aca="false">IF($Q667="","",$Q667-$T667)</f>
        <v/>
      </c>
      <c r="V667" s="17" t="str">
        <f aca="false">IF($U667="","",IF($B$10=0,"",$U667/$B$10))</f>
        <v/>
      </c>
      <c r="W667" s="17" t="str">
        <f aca="false">IF($Q667="","",IF($B$10=0,"",$Q667/$B$10))</f>
        <v/>
      </c>
      <c r="X667" s="19" t="n">
        <f aca="false">IF($U667="",1000000000000000,$U667)</f>
        <v>1000000000000000</v>
      </c>
      <c r="XFC667" s="6"/>
    </row>
    <row r="668" s="22" customFormat="true" ht="28.5" hidden="false" customHeight="true" outlineLevel="0" collapsed="false">
      <c r="A668" s="16" t="str">
        <f aca="false">IF($U668="","",1+COUNTIF($X$15:$X$728,"&lt;"&amp;X668))</f>
        <v/>
      </c>
      <c r="B668" s="16" t="s">
        <v>10</v>
      </c>
      <c r="C668" s="16" t="s">
        <v>1985</v>
      </c>
      <c r="D668" s="16" t="s">
        <v>112</v>
      </c>
      <c r="E668" s="16" t="s">
        <v>47</v>
      </c>
      <c r="F668" s="16" t="s">
        <v>1986</v>
      </c>
      <c r="G668" s="16" t="s">
        <v>1987</v>
      </c>
      <c r="H668" s="17" t="n">
        <v>1899</v>
      </c>
      <c r="I668" s="17"/>
      <c r="J668" s="17"/>
      <c r="K668" s="17" t="n">
        <v>1899</v>
      </c>
      <c r="L668" s="17" t="n">
        <f aca="false">IF(AND(IFERROR(SEARCH("현대오일뱅크",$C668),0)&gt;0,IFERROR(SEARCH("직영",$C668),0)&gt;0),$B$13,0)</f>
        <v>0</v>
      </c>
      <c r="M668" s="17" t="n">
        <f aca="false">IF($H668="","",$H668+$L668)</f>
        <v>1899</v>
      </c>
      <c r="N668" s="17" t="str">
        <f aca="false">IF($I668="","",$I668+$L668)</f>
        <v/>
      </c>
      <c r="O668" s="17" t="n">
        <f aca="false">IF($K668="","",$K668+$L668)</f>
        <v>1899</v>
      </c>
      <c r="P668" s="17" t="str">
        <f aca="false">IF($B$10=0,"",IFERROR(IF($B$4&gt;0,"휘발유 "&amp;TEXT(IF($M668="",1/0,$M668*$B$4),"#,##0")&amp;"원","")&amp;IF($B$5&gt;0,IF($B$4&gt;0," / ","")&amp;"고급유 "&amp;TEXT(IF($N668="",1/0,$N668*$B$5),"#,##0")&amp;"원","")&amp;IF($B$6&gt;0,IF(OR($B$4&gt;0,$B$5&gt;0)," / ","")&amp;"경유 "&amp;TEXT(IF($O668="",1/0,$O668*$B$6),"#,##0")&amp;"원",""),""))</f>
        <v/>
      </c>
      <c r="Q668" s="17" t="str">
        <f aca="false">IF($B$10=0,"",IFERROR(IF($B$4&gt;0,IF($M668="",1/0,$M668*$B$4),0)+IF($B$5&gt;0,IF($N668="",1/0,$N668*$B$5),0)+IF($B$6&gt;0,IF($O668="",1/0,$O668*$B$6),0),""))</f>
        <v/>
      </c>
      <c r="R668" s="17"/>
      <c r="S668" s="18" t="str">
        <f aca="false">IF($Q668="","",IF($R668="Y",IFERROR(VLOOKUP($B668,$C$4:$D$13,2,FALSE()),0),0))</f>
        <v/>
      </c>
      <c r="T668" s="17" t="str">
        <f aca="false">IF($Q668="","",ROUNDDOWN($Q668*$S668,0))</f>
        <v/>
      </c>
      <c r="U668" s="17" t="str">
        <f aca="false">IF($Q668="","",$Q668-$T668)</f>
        <v/>
      </c>
      <c r="V668" s="17" t="str">
        <f aca="false">IF($U668="","",IF($B$10=0,"",$U668/$B$10))</f>
        <v/>
      </c>
      <c r="W668" s="17" t="str">
        <f aca="false">IF($Q668="","",IF($B$10=0,"",$Q668/$B$10))</f>
        <v/>
      </c>
      <c r="X668" s="19" t="n">
        <f aca="false">IF($U668="",1000000000000000,$U668)</f>
        <v>1000000000000000</v>
      </c>
      <c r="XFC668" s="6"/>
    </row>
    <row r="669" s="22" customFormat="true" ht="28.5" hidden="false" customHeight="true" outlineLevel="0" collapsed="false">
      <c r="A669" s="16" t="str">
        <f aca="false">IF($U669="","",1+COUNTIF($X$15:$X$728,"&lt;"&amp;X669))</f>
        <v/>
      </c>
      <c r="B669" s="16" t="s">
        <v>10</v>
      </c>
      <c r="C669" s="16" t="s">
        <v>1988</v>
      </c>
      <c r="D669" s="16" t="s">
        <v>51</v>
      </c>
      <c r="E669" s="16" t="s">
        <v>47</v>
      </c>
      <c r="F669" s="16" t="s">
        <v>1989</v>
      </c>
      <c r="G669" s="16" t="s">
        <v>1990</v>
      </c>
      <c r="H669" s="17" t="n">
        <v>1899</v>
      </c>
      <c r="I669" s="17"/>
      <c r="J669" s="17"/>
      <c r="K669" s="17" t="n">
        <v>1939</v>
      </c>
      <c r="L669" s="17" t="n">
        <f aca="false">IF(AND(IFERROR(SEARCH("현대오일뱅크",$C669),0)&gt;0,IFERROR(SEARCH("직영",$C669),0)&gt;0),$B$13,0)</f>
        <v>0</v>
      </c>
      <c r="M669" s="17" t="n">
        <f aca="false">IF($H669="","",$H669+$L669)</f>
        <v>1899</v>
      </c>
      <c r="N669" s="17" t="str">
        <f aca="false">IF($I669="","",$I669+$L669)</f>
        <v/>
      </c>
      <c r="O669" s="17" t="n">
        <f aca="false">IF($K669="","",$K669+$L669)</f>
        <v>1939</v>
      </c>
      <c r="P669" s="17" t="str">
        <f aca="false">IF($B$10=0,"",IFERROR(IF($B$4&gt;0,"휘발유 "&amp;TEXT(IF($M669="",1/0,$M669*$B$4),"#,##0")&amp;"원","")&amp;IF($B$5&gt;0,IF($B$4&gt;0," / ","")&amp;"고급유 "&amp;TEXT(IF($N669="",1/0,$N669*$B$5),"#,##0")&amp;"원","")&amp;IF($B$6&gt;0,IF(OR($B$4&gt;0,$B$5&gt;0)," / ","")&amp;"경유 "&amp;TEXT(IF($O669="",1/0,$O669*$B$6),"#,##0")&amp;"원",""),""))</f>
        <v/>
      </c>
      <c r="Q669" s="17" t="str">
        <f aca="false">IF($B$10=0,"",IFERROR(IF($B$4&gt;0,IF($M669="",1/0,$M669*$B$4),0)+IF($B$5&gt;0,IF($N669="",1/0,$N669*$B$5),0)+IF($B$6&gt;0,IF($O669="",1/0,$O669*$B$6),0),""))</f>
        <v/>
      </c>
      <c r="R669" s="17"/>
      <c r="S669" s="18" t="str">
        <f aca="false">IF($Q669="","",IF($R669="Y",IFERROR(VLOOKUP($B669,$C$4:$D$13,2,FALSE()),0),0))</f>
        <v/>
      </c>
      <c r="T669" s="17" t="str">
        <f aca="false">IF($Q669="","",ROUNDDOWN($Q669*$S669,0))</f>
        <v/>
      </c>
      <c r="U669" s="17" t="str">
        <f aca="false">IF($Q669="","",$Q669-$T669)</f>
        <v/>
      </c>
      <c r="V669" s="17" t="str">
        <f aca="false">IF($U669="","",IF($B$10=0,"",$U669/$B$10))</f>
        <v/>
      </c>
      <c r="W669" s="17" t="str">
        <f aca="false">IF($Q669="","",IF($B$10=0,"",$Q669/$B$10))</f>
        <v/>
      </c>
      <c r="X669" s="19" t="n">
        <f aca="false">IF($U669="",1000000000000000,$U669)</f>
        <v>1000000000000000</v>
      </c>
      <c r="XFC669" s="6"/>
    </row>
    <row r="670" s="22" customFormat="true" ht="28.5" hidden="false" customHeight="true" outlineLevel="0" collapsed="false">
      <c r="A670" s="16" t="str">
        <f aca="false">IF($U670="","",1+COUNTIF($X$15:$X$728,"&lt;"&amp;X670))</f>
        <v/>
      </c>
      <c r="B670" s="16" t="s">
        <v>12</v>
      </c>
      <c r="C670" s="16" t="s">
        <v>1991</v>
      </c>
      <c r="D670" s="20" t="s">
        <v>248</v>
      </c>
      <c r="E670" s="16" t="s">
        <v>47</v>
      </c>
      <c r="F670" s="16" t="s">
        <v>1992</v>
      </c>
      <c r="G670" s="16" t="s">
        <v>1993</v>
      </c>
      <c r="H670" s="17" t="n">
        <v>1899</v>
      </c>
      <c r="I670" s="17"/>
      <c r="J670" s="17"/>
      <c r="K670" s="17" t="n">
        <v>1939</v>
      </c>
      <c r="L670" s="17" t="n">
        <f aca="false">IF(AND(IFERROR(SEARCH("현대오일뱅크",$C670),0)&gt;0,IFERROR(SEARCH("직영",$C670),0)&gt;0),$B$13,0)</f>
        <v>0</v>
      </c>
      <c r="M670" s="17" t="n">
        <f aca="false">IF($H670="","",$H670+$L670)</f>
        <v>1899</v>
      </c>
      <c r="N670" s="17" t="str">
        <f aca="false">IF($I670="","",$I670+$L670)</f>
        <v/>
      </c>
      <c r="O670" s="17" t="n">
        <f aca="false">IF($K670="","",$K670+$L670)</f>
        <v>1939</v>
      </c>
      <c r="P670" s="17" t="str">
        <f aca="false">IF($B$10=0,"",IFERROR(IF($B$4&gt;0,"휘발유 "&amp;TEXT(IF($M670="",1/0,$M670*$B$4),"#,##0")&amp;"원","")&amp;IF($B$5&gt;0,IF($B$4&gt;0," / ","")&amp;"고급유 "&amp;TEXT(IF($N670="",1/0,$N670*$B$5),"#,##0")&amp;"원","")&amp;IF($B$6&gt;0,IF(OR($B$4&gt;0,$B$5&gt;0)," / ","")&amp;"경유 "&amp;TEXT(IF($O670="",1/0,$O670*$B$6),"#,##0")&amp;"원",""),""))</f>
        <v/>
      </c>
      <c r="Q670" s="17" t="str">
        <f aca="false">IF($B$10=0,"",IFERROR(IF($B$4&gt;0,IF($M670="",1/0,$M670*$B$4),0)+IF($B$5&gt;0,IF($N670="",1/0,$N670*$B$5),0)+IF($B$6&gt;0,IF($O670="",1/0,$O670*$B$6),0),""))</f>
        <v/>
      </c>
      <c r="R670" s="17"/>
      <c r="S670" s="18" t="str">
        <f aca="false">IF($Q670="","",IF($R670="Y",IFERROR(VLOOKUP($B670,$C$4:$D$13,2,FALSE()),0),0))</f>
        <v/>
      </c>
      <c r="T670" s="17" t="str">
        <f aca="false">IF($Q670="","",ROUNDDOWN($Q670*$S670,0))</f>
        <v/>
      </c>
      <c r="U670" s="17" t="str">
        <f aca="false">IF($Q670="","",$Q670-$T670)</f>
        <v/>
      </c>
      <c r="V670" s="17" t="str">
        <f aca="false">IF($U670="","",IF($B$10=0,"",$U670/$B$10))</f>
        <v/>
      </c>
      <c r="W670" s="17" t="str">
        <f aca="false">IF($Q670="","",IF($B$10=0,"",$Q670/$B$10))</f>
        <v/>
      </c>
      <c r="X670" s="19" t="n">
        <f aca="false">IF($U670="",1000000000000000,$U670)</f>
        <v>1000000000000000</v>
      </c>
      <c r="XFC670" s="6"/>
    </row>
    <row r="671" s="22" customFormat="true" ht="28.5" hidden="false" customHeight="true" outlineLevel="0" collapsed="false">
      <c r="A671" s="16" t="str">
        <f aca="false">IF($U671="","",1+COUNTIF($X$15:$X$728,"&lt;"&amp;X671))</f>
        <v/>
      </c>
      <c r="B671" s="16" t="s">
        <v>10</v>
      </c>
      <c r="C671" s="16" t="s">
        <v>1994</v>
      </c>
      <c r="D671" s="16" t="s">
        <v>58</v>
      </c>
      <c r="E671" s="16" t="s">
        <v>47</v>
      </c>
      <c r="F671" s="16" t="s">
        <v>1995</v>
      </c>
      <c r="G671" s="16" t="s">
        <v>1996</v>
      </c>
      <c r="H671" s="17" t="n">
        <v>1899</v>
      </c>
      <c r="I671" s="17"/>
      <c r="J671" s="17"/>
      <c r="K671" s="17" t="n">
        <v>1899</v>
      </c>
      <c r="L671" s="17" t="n">
        <f aca="false">IF(AND(IFERROR(SEARCH("현대오일뱅크",$C671),0)&gt;0,IFERROR(SEARCH("직영",$C671),0)&gt;0),$B$13,0)</f>
        <v>0</v>
      </c>
      <c r="M671" s="17" t="n">
        <f aca="false">IF($H671="","",$H671+$L671)</f>
        <v>1899</v>
      </c>
      <c r="N671" s="17" t="str">
        <f aca="false">IF($I671="","",$I671+$L671)</f>
        <v/>
      </c>
      <c r="O671" s="17" t="n">
        <f aca="false">IF($K671="","",$K671+$L671)</f>
        <v>1899</v>
      </c>
      <c r="P671" s="17" t="str">
        <f aca="false">IF($B$10=0,"",IFERROR(IF($B$4&gt;0,"휘발유 "&amp;TEXT(IF($M671="",1/0,$M671*$B$4),"#,##0")&amp;"원","")&amp;IF($B$5&gt;0,IF($B$4&gt;0," / ","")&amp;"고급유 "&amp;TEXT(IF($N671="",1/0,$N671*$B$5),"#,##0")&amp;"원","")&amp;IF($B$6&gt;0,IF(OR($B$4&gt;0,$B$5&gt;0)," / ","")&amp;"경유 "&amp;TEXT(IF($O671="",1/0,$O671*$B$6),"#,##0")&amp;"원",""),""))</f>
        <v/>
      </c>
      <c r="Q671" s="17" t="str">
        <f aca="false">IF($B$10=0,"",IFERROR(IF($B$4&gt;0,IF($M671="",1/0,$M671*$B$4),0)+IF($B$5&gt;0,IF($N671="",1/0,$N671*$B$5),0)+IF($B$6&gt;0,IF($O671="",1/0,$O671*$B$6),0),""))</f>
        <v/>
      </c>
      <c r="R671" s="17"/>
      <c r="S671" s="18" t="str">
        <f aca="false">IF($Q671="","",IF($R671="Y",IFERROR(VLOOKUP($B671,$C$4:$D$13,2,FALSE()),0),0))</f>
        <v/>
      </c>
      <c r="T671" s="17" t="str">
        <f aca="false">IF($Q671="","",ROUNDDOWN($Q671*$S671,0))</f>
        <v/>
      </c>
      <c r="U671" s="17" t="str">
        <f aca="false">IF($Q671="","",$Q671-$T671)</f>
        <v/>
      </c>
      <c r="V671" s="17" t="str">
        <f aca="false">IF($U671="","",IF($B$10=0,"",$U671/$B$10))</f>
        <v/>
      </c>
      <c r="W671" s="17" t="str">
        <f aca="false">IF($Q671="","",IF($B$10=0,"",$Q671/$B$10))</f>
        <v/>
      </c>
      <c r="X671" s="19" t="n">
        <f aca="false">IF($U671="",1000000000000000,$U671)</f>
        <v>1000000000000000</v>
      </c>
      <c r="XFC671" s="6"/>
    </row>
    <row r="672" s="22" customFormat="true" ht="28.5" hidden="false" customHeight="true" outlineLevel="0" collapsed="false">
      <c r="A672" s="16" t="str">
        <f aca="false">IF($U672="","",1+COUNTIF($X$15:$X$728,"&lt;"&amp;X672))</f>
        <v/>
      </c>
      <c r="B672" s="16" t="s">
        <v>10</v>
      </c>
      <c r="C672" s="16" t="s">
        <v>1997</v>
      </c>
      <c r="D672" s="16" t="s">
        <v>58</v>
      </c>
      <c r="E672" s="16" t="s">
        <v>47</v>
      </c>
      <c r="F672" s="16" t="s">
        <v>1998</v>
      </c>
      <c r="G672" s="16" t="s">
        <v>1999</v>
      </c>
      <c r="H672" s="17" t="n">
        <v>1899</v>
      </c>
      <c r="I672" s="17"/>
      <c r="J672" s="17"/>
      <c r="K672" s="17" t="n">
        <v>1958</v>
      </c>
      <c r="L672" s="17" t="n">
        <f aca="false">IF(AND(IFERROR(SEARCH("현대오일뱅크",$C672),0)&gt;0,IFERROR(SEARCH("직영",$C672),0)&gt;0),$B$13,0)</f>
        <v>0</v>
      </c>
      <c r="M672" s="17" t="n">
        <f aca="false">IF($H672="","",$H672+$L672)</f>
        <v>1899</v>
      </c>
      <c r="N672" s="17" t="str">
        <f aca="false">IF($I672="","",$I672+$L672)</f>
        <v/>
      </c>
      <c r="O672" s="17" t="n">
        <f aca="false">IF($K672="","",$K672+$L672)</f>
        <v>1958</v>
      </c>
      <c r="P672" s="17" t="str">
        <f aca="false">IF($B$10=0,"",IFERROR(IF($B$4&gt;0,"휘발유 "&amp;TEXT(IF($M672="",1/0,$M672*$B$4),"#,##0")&amp;"원","")&amp;IF($B$5&gt;0,IF($B$4&gt;0," / ","")&amp;"고급유 "&amp;TEXT(IF($N672="",1/0,$N672*$B$5),"#,##0")&amp;"원","")&amp;IF($B$6&gt;0,IF(OR($B$4&gt;0,$B$5&gt;0)," / ","")&amp;"경유 "&amp;TEXT(IF($O672="",1/0,$O672*$B$6),"#,##0")&amp;"원",""),""))</f>
        <v/>
      </c>
      <c r="Q672" s="17" t="str">
        <f aca="false">IF($B$10=0,"",IFERROR(IF($B$4&gt;0,IF($M672="",1/0,$M672*$B$4),0)+IF($B$5&gt;0,IF($N672="",1/0,$N672*$B$5),0)+IF($B$6&gt;0,IF($O672="",1/0,$O672*$B$6),0),""))</f>
        <v/>
      </c>
      <c r="R672" s="17"/>
      <c r="S672" s="18" t="str">
        <f aca="false">IF($Q672="","",IF($R672="Y",IFERROR(VLOOKUP($B672,$C$4:$D$13,2,FALSE()),0),0))</f>
        <v/>
      </c>
      <c r="T672" s="17" t="str">
        <f aca="false">IF($Q672="","",ROUNDDOWN($Q672*$S672,0))</f>
        <v/>
      </c>
      <c r="U672" s="17" t="str">
        <f aca="false">IF($Q672="","",$Q672-$T672)</f>
        <v/>
      </c>
      <c r="V672" s="17" t="str">
        <f aca="false">IF($U672="","",IF($B$10=0,"",$U672/$B$10))</f>
        <v/>
      </c>
      <c r="W672" s="17" t="str">
        <f aca="false">IF($Q672="","",IF($B$10=0,"",$Q672/$B$10))</f>
        <v/>
      </c>
      <c r="X672" s="19" t="n">
        <f aca="false">IF($U672="",1000000000000000,$U672)</f>
        <v>1000000000000000</v>
      </c>
      <c r="XFC672" s="6"/>
    </row>
    <row r="673" s="22" customFormat="true" ht="28.5" hidden="false" customHeight="true" outlineLevel="0" collapsed="false">
      <c r="A673" s="16" t="str">
        <f aca="false">IF($U673="","",1+COUNTIF($X$15:$X$728,"&lt;"&amp;X673))</f>
        <v/>
      </c>
      <c r="B673" s="16" t="s">
        <v>10</v>
      </c>
      <c r="C673" s="16" t="s">
        <v>2000</v>
      </c>
      <c r="D673" s="16" t="s">
        <v>58</v>
      </c>
      <c r="E673" s="16" t="s">
        <v>47</v>
      </c>
      <c r="F673" s="16" t="s">
        <v>2001</v>
      </c>
      <c r="G673" s="16" t="s">
        <v>2002</v>
      </c>
      <c r="H673" s="17" t="n">
        <v>1899</v>
      </c>
      <c r="I673" s="17"/>
      <c r="J673" s="17"/>
      <c r="K673" s="17" t="n">
        <v>1959</v>
      </c>
      <c r="L673" s="17" t="n">
        <f aca="false">IF(AND(IFERROR(SEARCH("현대오일뱅크",$C673),0)&gt;0,IFERROR(SEARCH("직영",$C673),0)&gt;0),$B$13,0)</f>
        <v>0</v>
      </c>
      <c r="M673" s="17" t="n">
        <f aca="false">IF($H673="","",$H673+$L673)</f>
        <v>1899</v>
      </c>
      <c r="N673" s="17" t="str">
        <f aca="false">IF($I673="","",$I673+$L673)</f>
        <v/>
      </c>
      <c r="O673" s="17" t="n">
        <f aca="false">IF($K673="","",$K673+$L673)</f>
        <v>1959</v>
      </c>
      <c r="P673" s="17" t="str">
        <f aca="false">IF($B$10=0,"",IFERROR(IF($B$4&gt;0,"휘발유 "&amp;TEXT(IF($M673="",1/0,$M673*$B$4),"#,##0")&amp;"원","")&amp;IF($B$5&gt;0,IF($B$4&gt;0," / ","")&amp;"고급유 "&amp;TEXT(IF($N673="",1/0,$N673*$B$5),"#,##0")&amp;"원","")&amp;IF($B$6&gt;0,IF(OR($B$4&gt;0,$B$5&gt;0)," / ","")&amp;"경유 "&amp;TEXT(IF($O673="",1/0,$O673*$B$6),"#,##0")&amp;"원",""),""))</f>
        <v/>
      </c>
      <c r="Q673" s="17" t="str">
        <f aca="false">IF($B$10=0,"",IFERROR(IF($B$4&gt;0,IF($M673="",1/0,$M673*$B$4),0)+IF($B$5&gt;0,IF($N673="",1/0,$N673*$B$5),0)+IF($B$6&gt;0,IF($O673="",1/0,$O673*$B$6),0),""))</f>
        <v/>
      </c>
      <c r="R673" s="17"/>
      <c r="S673" s="18" t="str">
        <f aca="false">IF($Q673="","",IF($R673="Y",IFERROR(VLOOKUP($B673,$C$4:$D$13,2,FALSE()),0),0))</f>
        <v/>
      </c>
      <c r="T673" s="17" t="str">
        <f aca="false">IF($Q673="","",ROUNDDOWN($Q673*$S673,0))</f>
        <v/>
      </c>
      <c r="U673" s="17" t="str">
        <f aca="false">IF($Q673="","",$Q673-$T673)</f>
        <v/>
      </c>
      <c r="V673" s="17" t="str">
        <f aca="false">IF($U673="","",IF($B$10=0,"",$U673/$B$10))</f>
        <v/>
      </c>
      <c r="W673" s="17" t="str">
        <f aca="false">IF($Q673="","",IF($B$10=0,"",$Q673/$B$10))</f>
        <v/>
      </c>
      <c r="X673" s="19" t="n">
        <f aca="false">IF($U673="",1000000000000000,$U673)</f>
        <v>1000000000000000</v>
      </c>
      <c r="XFC673" s="6"/>
    </row>
    <row r="674" s="22" customFormat="true" ht="28.5" hidden="false" customHeight="true" outlineLevel="0" collapsed="false">
      <c r="A674" s="16" t="str">
        <f aca="false">IF($U674="","",1+COUNTIF($X$15:$X$728,"&lt;"&amp;X674))</f>
        <v/>
      </c>
      <c r="B674" s="16" t="s">
        <v>10</v>
      </c>
      <c r="C674" s="16" t="s">
        <v>2003</v>
      </c>
      <c r="D674" s="16" t="s">
        <v>112</v>
      </c>
      <c r="E674" s="16" t="s">
        <v>47</v>
      </c>
      <c r="F674" s="16" t="s">
        <v>2004</v>
      </c>
      <c r="G674" s="16" t="s">
        <v>2005</v>
      </c>
      <c r="H674" s="17" t="n">
        <v>1899</v>
      </c>
      <c r="I674" s="17"/>
      <c r="J674" s="17"/>
      <c r="K674" s="17" t="n">
        <v>1989</v>
      </c>
      <c r="L674" s="17" t="n">
        <f aca="false">IF(AND(IFERROR(SEARCH("현대오일뱅크",$C674),0)&gt;0,IFERROR(SEARCH("직영",$C674),0)&gt;0),$B$13,0)</f>
        <v>0</v>
      </c>
      <c r="M674" s="17" t="n">
        <f aca="false">IF($H674="","",$H674+$L674)</f>
        <v>1899</v>
      </c>
      <c r="N674" s="17" t="str">
        <f aca="false">IF($I674="","",$I674+$L674)</f>
        <v/>
      </c>
      <c r="O674" s="17" t="n">
        <f aca="false">IF($K674="","",$K674+$L674)</f>
        <v>1989</v>
      </c>
      <c r="P674" s="17" t="str">
        <f aca="false">IF($B$10=0,"",IFERROR(IF($B$4&gt;0,"휘발유 "&amp;TEXT(IF($M674="",1/0,$M674*$B$4),"#,##0")&amp;"원","")&amp;IF($B$5&gt;0,IF($B$4&gt;0," / ","")&amp;"고급유 "&amp;TEXT(IF($N674="",1/0,$N674*$B$5),"#,##0")&amp;"원","")&amp;IF($B$6&gt;0,IF(OR($B$4&gt;0,$B$5&gt;0)," / ","")&amp;"경유 "&amp;TEXT(IF($O674="",1/0,$O674*$B$6),"#,##0")&amp;"원",""),""))</f>
        <v/>
      </c>
      <c r="Q674" s="17" t="str">
        <f aca="false">IF($B$10=0,"",IFERROR(IF($B$4&gt;0,IF($M674="",1/0,$M674*$B$4),0)+IF($B$5&gt;0,IF($N674="",1/0,$N674*$B$5),0)+IF($B$6&gt;0,IF($O674="",1/0,$O674*$B$6),0),""))</f>
        <v/>
      </c>
      <c r="R674" s="17"/>
      <c r="S674" s="18" t="str">
        <f aca="false">IF($Q674="","",IF($R674="Y",IFERROR(VLOOKUP($B674,$C$4:$D$13,2,FALSE()),0),0))</f>
        <v/>
      </c>
      <c r="T674" s="17" t="str">
        <f aca="false">IF($Q674="","",ROUNDDOWN($Q674*$S674,0))</f>
        <v/>
      </c>
      <c r="U674" s="17" t="str">
        <f aca="false">IF($Q674="","",$Q674-$T674)</f>
        <v/>
      </c>
      <c r="V674" s="17" t="str">
        <f aca="false">IF($U674="","",IF($B$10=0,"",$U674/$B$10))</f>
        <v/>
      </c>
      <c r="W674" s="17" t="str">
        <f aca="false">IF($Q674="","",IF($B$10=0,"",$Q674/$B$10))</f>
        <v/>
      </c>
      <c r="X674" s="19" t="n">
        <f aca="false">IF($U674="",1000000000000000,$U674)</f>
        <v>1000000000000000</v>
      </c>
      <c r="XFC674" s="6"/>
    </row>
    <row r="675" s="22" customFormat="true" ht="28.5" hidden="false" customHeight="true" outlineLevel="0" collapsed="false">
      <c r="A675" s="16" t="str">
        <f aca="false">IF($U675="","",1+COUNTIF($X$15:$X$728,"&lt;"&amp;X675))</f>
        <v/>
      </c>
      <c r="B675" s="16" t="s">
        <v>18</v>
      </c>
      <c r="C675" s="16" t="s">
        <v>2006</v>
      </c>
      <c r="D675" s="20" t="s">
        <v>108</v>
      </c>
      <c r="E675" s="16" t="s">
        <v>59</v>
      </c>
      <c r="F675" s="16" t="s">
        <v>2007</v>
      </c>
      <c r="G675" s="16" t="s">
        <v>2008</v>
      </c>
      <c r="H675" s="17" t="n">
        <v>1899</v>
      </c>
      <c r="I675" s="17"/>
      <c r="J675" s="17"/>
      <c r="K675" s="17" t="n">
        <v>1999</v>
      </c>
      <c r="L675" s="17" t="n">
        <f aca="false">IF(AND(IFERROR(SEARCH("현대오일뱅크",$C675),0)&gt;0,IFERROR(SEARCH("직영",$C675),0)&gt;0),$B$13,0)</f>
        <v>0</v>
      </c>
      <c r="M675" s="17" t="n">
        <f aca="false">IF($H675="","",$H675+$L675)</f>
        <v>1899</v>
      </c>
      <c r="N675" s="17" t="str">
        <f aca="false">IF($I675="","",$I675+$L675)</f>
        <v/>
      </c>
      <c r="O675" s="17" t="n">
        <f aca="false">IF($K675="","",$K675+$L675)</f>
        <v>1999</v>
      </c>
      <c r="P675" s="17" t="str">
        <f aca="false">IF($B$10=0,"",IFERROR(IF($B$4&gt;0,"휘발유 "&amp;TEXT(IF($M675="",1/0,$M675*$B$4),"#,##0")&amp;"원","")&amp;IF($B$5&gt;0,IF($B$4&gt;0," / ","")&amp;"고급유 "&amp;TEXT(IF($N675="",1/0,$N675*$B$5),"#,##0")&amp;"원","")&amp;IF($B$6&gt;0,IF(OR($B$4&gt;0,$B$5&gt;0)," / ","")&amp;"경유 "&amp;TEXT(IF($O675="",1/0,$O675*$B$6),"#,##0")&amp;"원",""),""))</f>
        <v/>
      </c>
      <c r="Q675" s="17" t="str">
        <f aca="false">IF($B$10=0,"",IFERROR(IF($B$4&gt;0,IF($M675="",1/0,$M675*$B$4),0)+IF($B$5&gt;0,IF($N675="",1/0,$N675*$B$5),0)+IF($B$6&gt;0,IF($O675="",1/0,$O675*$B$6),0),""))</f>
        <v/>
      </c>
      <c r="R675" s="17"/>
      <c r="S675" s="18" t="str">
        <f aca="false">IF($Q675="","",IF($R675="Y",IFERROR(VLOOKUP($B675,$C$4:$D$13,2,FALSE()),0),0))</f>
        <v/>
      </c>
      <c r="T675" s="17" t="str">
        <f aca="false">IF($Q675="","",ROUNDDOWN($Q675*$S675,0))</f>
        <v/>
      </c>
      <c r="U675" s="17" t="str">
        <f aca="false">IF($Q675="","",$Q675-$T675)</f>
        <v/>
      </c>
      <c r="V675" s="17" t="str">
        <f aca="false">IF($U675="","",IF($B$10=0,"",$U675/$B$10))</f>
        <v/>
      </c>
      <c r="W675" s="17" t="str">
        <f aca="false">IF($Q675="","",IF($B$10=0,"",$Q675/$B$10))</f>
        <v/>
      </c>
      <c r="X675" s="19" t="n">
        <f aca="false">IF($U675="",1000000000000000,$U675)</f>
        <v>1000000000000000</v>
      </c>
      <c r="XFC675" s="6"/>
    </row>
    <row r="676" s="22" customFormat="true" ht="28.5" hidden="false" customHeight="true" outlineLevel="0" collapsed="false">
      <c r="A676" s="16" t="str">
        <f aca="false">IF($U676="","",1+COUNTIF($X$15:$X$728,"&lt;"&amp;X676))</f>
        <v/>
      </c>
      <c r="B676" s="16" t="s">
        <v>16</v>
      </c>
      <c r="C676" s="16" t="s">
        <v>2009</v>
      </c>
      <c r="D676" s="16" t="s">
        <v>112</v>
      </c>
      <c r="E676" s="16" t="s">
        <v>59</v>
      </c>
      <c r="F676" s="16" t="s">
        <v>2010</v>
      </c>
      <c r="G676" s="16" t="s">
        <v>2011</v>
      </c>
      <c r="H676" s="17" t="n">
        <v>1899</v>
      </c>
      <c r="I676" s="17"/>
      <c r="J676" s="17"/>
      <c r="K676" s="17" t="n">
        <v>1899</v>
      </c>
      <c r="L676" s="17" t="n">
        <f aca="false">IF(AND(IFERROR(SEARCH("현대오일뱅크",$C676),0)&gt;0,IFERROR(SEARCH("직영",$C676),0)&gt;0),$B$13,0)</f>
        <v>0</v>
      </c>
      <c r="M676" s="17" t="n">
        <f aca="false">IF($H676="","",$H676+$L676)</f>
        <v>1899</v>
      </c>
      <c r="N676" s="17" t="str">
        <f aca="false">IF($I676="","",$I676+$L676)</f>
        <v/>
      </c>
      <c r="O676" s="17" t="n">
        <f aca="false">IF($K676="","",$K676+$L676)</f>
        <v>1899</v>
      </c>
      <c r="P676" s="17" t="str">
        <f aca="false">IF($B$10=0,"",IFERROR(IF($B$4&gt;0,"휘발유 "&amp;TEXT(IF($M676="",1/0,$M676*$B$4),"#,##0")&amp;"원","")&amp;IF($B$5&gt;0,IF($B$4&gt;0," / ","")&amp;"고급유 "&amp;TEXT(IF($N676="",1/0,$N676*$B$5),"#,##0")&amp;"원","")&amp;IF($B$6&gt;0,IF(OR($B$4&gt;0,$B$5&gt;0)," / ","")&amp;"경유 "&amp;TEXT(IF($O676="",1/0,$O676*$B$6),"#,##0")&amp;"원",""),""))</f>
        <v/>
      </c>
      <c r="Q676" s="17" t="str">
        <f aca="false">IF($B$10=0,"",IFERROR(IF($B$4&gt;0,IF($M676="",1/0,$M676*$B$4),0)+IF($B$5&gt;0,IF($N676="",1/0,$N676*$B$5),0)+IF($B$6&gt;0,IF($O676="",1/0,$O676*$B$6),0),""))</f>
        <v/>
      </c>
      <c r="R676" s="17"/>
      <c r="S676" s="18" t="str">
        <f aca="false">IF($Q676="","",IF($R676="Y",IFERROR(VLOOKUP($B676,$C$4:$D$13,2,FALSE()),0),0))</f>
        <v/>
      </c>
      <c r="T676" s="17" t="str">
        <f aca="false">IF($Q676="","",ROUNDDOWN($Q676*$S676,0))</f>
        <v/>
      </c>
      <c r="U676" s="17" t="str">
        <f aca="false">IF($Q676="","",$Q676-$T676)</f>
        <v/>
      </c>
      <c r="V676" s="17" t="str">
        <f aca="false">IF($U676="","",IF($B$10=0,"",$U676/$B$10))</f>
        <v/>
      </c>
      <c r="W676" s="17" t="str">
        <f aca="false">IF($Q676="","",IF($B$10=0,"",$Q676/$B$10))</f>
        <v/>
      </c>
      <c r="X676" s="19" t="n">
        <f aca="false">IF($U676="",1000000000000000,$U676)</f>
        <v>1000000000000000</v>
      </c>
      <c r="XFC676" s="6"/>
    </row>
    <row r="677" s="22" customFormat="true" ht="28.5" hidden="false" customHeight="true" outlineLevel="0" collapsed="false">
      <c r="A677" s="16" t="str">
        <f aca="false">IF($U677="","",1+COUNTIF($X$15:$X$728,"&lt;"&amp;X677))</f>
        <v/>
      </c>
      <c r="B677" s="16" t="s">
        <v>10</v>
      </c>
      <c r="C677" s="16" t="s">
        <v>2012</v>
      </c>
      <c r="D677" s="20" t="s">
        <v>108</v>
      </c>
      <c r="E677" s="16" t="s">
        <v>47</v>
      </c>
      <c r="F677" s="16" t="s">
        <v>2013</v>
      </c>
      <c r="G677" s="16" t="s">
        <v>2014</v>
      </c>
      <c r="H677" s="17" t="n">
        <v>1899</v>
      </c>
      <c r="I677" s="17"/>
      <c r="J677" s="17"/>
      <c r="K677" s="17" t="n">
        <v>1897</v>
      </c>
      <c r="L677" s="17" t="n">
        <f aca="false">IF(AND(IFERROR(SEARCH("현대오일뱅크",$C677),0)&gt;0,IFERROR(SEARCH("직영",$C677),0)&gt;0),$B$13,0)</f>
        <v>0</v>
      </c>
      <c r="M677" s="17" t="n">
        <f aca="false">IF($H677="","",$H677+$L677)</f>
        <v>1899</v>
      </c>
      <c r="N677" s="17" t="str">
        <f aca="false">IF($I677="","",$I677+$L677)</f>
        <v/>
      </c>
      <c r="O677" s="17" t="n">
        <f aca="false">IF($K677="","",$K677+$L677)</f>
        <v>1897</v>
      </c>
      <c r="P677" s="17" t="str">
        <f aca="false">IF($B$10=0,"",IFERROR(IF($B$4&gt;0,"휘발유 "&amp;TEXT(IF($M677="",1/0,$M677*$B$4),"#,##0")&amp;"원","")&amp;IF($B$5&gt;0,IF($B$4&gt;0," / ","")&amp;"고급유 "&amp;TEXT(IF($N677="",1/0,$N677*$B$5),"#,##0")&amp;"원","")&amp;IF($B$6&gt;0,IF(OR($B$4&gt;0,$B$5&gt;0)," / ","")&amp;"경유 "&amp;TEXT(IF($O677="",1/0,$O677*$B$6),"#,##0")&amp;"원",""),""))</f>
        <v/>
      </c>
      <c r="Q677" s="17" t="str">
        <f aca="false">IF($B$10=0,"",IFERROR(IF($B$4&gt;0,IF($M677="",1/0,$M677*$B$4),0)+IF($B$5&gt;0,IF($N677="",1/0,$N677*$B$5),0)+IF($B$6&gt;0,IF($O677="",1/0,$O677*$B$6),0),""))</f>
        <v/>
      </c>
      <c r="R677" s="17"/>
      <c r="S677" s="18" t="str">
        <f aca="false">IF($Q677="","",IF($R677="Y",IFERROR(VLOOKUP($B677,$C$4:$D$13,2,FALSE()),0),0))</f>
        <v/>
      </c>
      <c r="T677" s="17" t="str">
        <f aca="false">IF($Q677="","",ROUNDDOWN($Q677*$S677,0))</f>
        <v/>
      </c>
      <c r="U677" s="17" t="str">
        <f aca="false">IF($Q677="","",$Q677-$T677)</f>
        <v/>
      </c>
      <c r="V677" s="17" t="str">
        <f aca="false">IF($U677="","",IF($B$10=0,"",$U677/$B$10))</f>
        <v/>
      </c>
      <c r="W677" s="17" t="str">
        <f aca="false">IF($Q677="","",IF($B$10=0,"",$Q677/$B$10))</f>
        <v/>
      </c>
      <c r="X677" s="19" t="n">
        <f aca="false">IF($U677="",1000000000000000,$U677)</f>
        <v>1000000000000000</v>
      </c>
      <c r="XFC677" s="6"/>
    </row>
    <row r="678" s="22" customFormat="true" ht="28.5" hidden="false" customHeight="true" outlineLevel="0" collapsed="false">
      <c r="A678" s="16" t="str">
        <f aca="false">IF($U678="","",1+COUNTIF($X$15:$X$728,"&lt;"&amp;X678))</f>
        <v/>
      </c>
      <c r="B678" s="16" t="s">
        <v>10</v>
      </c>
      <c r="C678" s="16" t="s">
        <v>2015</v>
      </c>
      <c r="D678" s="16" t="s">
        <v>112</v>
      </c>
      <c r="E678" s="16" t="s">
        <v>59</v>
      </c>
      <c r="F678" s="16" t="s">
        <v>2016</v>
      </c>
      <c r="G678" s="16" t="s">
        <v>2017</v>
      </c>
      <c r="H678" s="17" t="n">
        <v>1899</v>
      </c>
      <c r="I678" s="17"/>
      <c r="J678" s="17"/>
      <c r="K678" s="17" t="n">
        <v>1899</v>
      </c>
      <c r="L678" s="17" t="n">
        <f aca="false">IF(AND(IFERROR(SEARCH("현대오일뱅크",$C678),0)&gt;0,IFERROR(SEARCH("직영",$C678),0)&gt;0),$B$13,0)</f>
        <v>0</v>
      </c>
      <c r="M678" s="17" t="n">
        <f aca="false">IF($H678="","",$H678+$L678)</f>
        <v>1899</v>
      </c>
      <c r="N678" s="17" t="str">
        <f aca="false">IF($I678="","",$I678+$L678)</f>
        <v/>
      </c>
      <c r="O678" s="17" t="n">
        <f aca="false">IF($K678="","",$K678+$L678)</f>
        <v>1899</v>
      </c>
      <c r="P678" s="17" t="str">
        <f aca="false">IF($B$10=0,"",IFERROR(IF($B$4&gt;0,"휘발유 "&amp;TEXT(IF($M678="",1/0,$M678*$B$4),"#,##0")&amp;"원","")&amp;IF($B$5&gt;0,IF($B$4&gt;0," / ","")&amp;"고급유 "&amp;TEXT(IF($N678="",1/0,$N678*$B$5),"#,##0")&amp;"원","")&amp;IF($B$6&gt;0,IF(OR($B$4&gt;0,$B$5&gt;0)," / ","")&amp;"경유 "&amp;TEXT(IF($O678="",1/0,$O678*$B$6),"#,##0")&amp;"원",""),""))</f>
        <v/>
      </c>
      <c r="Q678" s="17" t="str">
        <f aca="false">IF($B$10=0,"",IFERROR(IF($B$4&gt;0,IF($M678="",1/0,$M678*$B$4),0)+IF($B$5&gt;0,IF($N678="",1/0,$N678*$B$5),0)+IF($B$6&gt;0,IF($O678="",1/0,$O678*$B$6),0),""))</f>
        <v/>
      </c>
      <c r="R678" s="17"/>
      <c r="S678" s="18" t="str">
        <f aca="false">IF($Q678="","",IF($R678="Y",IFERROR(VLOOKUP($B678,$C$4:$D$13,2,FALSE()),0),0))</f>
        <v/>
      </c>
      <c r="T678" s="17" t="str">
        <f aca="false">IF($Q678="","",ROUNDDOWN($Q678*$S678,0))</f>
        <v/>
      </c>
      <c r="U678" s="17" t="str">
        <f aca="false">IF($Q678="","",$Q678-$T678)</f>
        <v/>
      </c>
      <c r="V678" s="17" t="str">
        <f aca="false">IF($U678="","",IF($B$10=0,"",$U678/$B$10))</f>
        <v/>
      </c>
      <c r="W678" s="17" t="str">
        <f aca="false">IF($Q678="","",IF($B$10=0,"",$Q678/$B$10))</f>
        <v/>
      </c>
      <c r="X678" s="19" t="n">
        <f aca="false">IF($U678="",1000000000000000,$U678)</f>
        <v>1000000000000000</v>
      </c>
      <c r="XFC678" s="6"/>
    </row>
    <row r="679" s="22" customFormat="true" ht="28.5" hidden="false" customHeight="true" outlineLevel="0" collapsed="false">
      <c r="A679" s="16" t="str">
        <f aca="false">IF($U679="","",1+COUNTIF($X$15:$X$728,"&lt;"&amp;X679))</f>
        <v/>
      </c>
      <c r="B679" s="16" t="s">
        <v>16</v>
      </c>
      <c r="C679" s="16" t="s">
        <v>2018</v>
      </c>
      <c r="D679" s="16" t="s">
        <v>58</v>
      </c>
      <c r="E679" s="16" t="s">
        <v>47</v>
      </c>
      <c r="F679" s="16" t="s">
        <v>2019</v>
      </c>
      <c r="G679" s="16" t="s">
        <v>2020</v>
      </c>
      <c r="H679" s="17" t="n">
        <v>1899</v>
      </c>
      <c r="I679" s="17"/>
      <c r="J679" s="17"/>
      <c r="K679" s="17" t="n">
        <v>1949</v>
      </c>
      <c r="L679" s="17" t="n">
        <f aca="false">IF(AND(IFERROR(SEARCH("현대오일뱅크",$C679),0)&gt;0,IFERROR(SEARCH("직영",$C679),0)&gt;0),$B$13,0)</f>
        <v>0</v>
      </c>
      <c r="M679" s="17" t="n">
        <f aca="false">IF($H679="","",$H679+$L679)</f>
        <v>1899</v>
      </c>
      <c r="N679" s="17" t="str">
        <f aca="false">IF($I679="","",$I679+$L679)</f>
        <v/>
      </c>
      <c r="O679" s="17" t="n">
        <f aca="false">IF($K679="","",$K679+$L679)</f>
        <v>1949</v>
      </c>
      <c r="P679" s="17" t="str">
        <f aca="false">IF($B$10=0,"",IFERROR(IF($B$4&gt;0,"휘발유 "&amp;TEXT(IF($M679="",1/0,$M679*$B$4),"#,##0")&amp;"원","")&amp;IF($B$5&gt;0,IF($B$4&gt;0," / ","")&amp;"고급유 "&amp;TEXT(IF($N679="",1/0,$N679*$B$5),"#,##0")&amp;"원","")&amp;IF($B$6&gt;0,IF(OR($B$4&gt;0,$B$5&gt;0)," / ","")&amp;"경유 "&amp;TEXT(IF($O679="",1/0,$O679*$B$6),"#,##0")&amp;"원",""),""))</f>
        <v/>
      </c>
      <c r="Q679" s="17" t="str">
        <f aca="false">IF($B$10=0,"",IFERROR(IF($B$4&gt;0,IF($M679="",1/0,$M679*$B$4),0)+IF($B$5&gt;0,IF($N679="",1/0,$N679*$B$5),0)+IF($B$6&gt;0,IF($O679="",1/0,$O679*$B$6),0),""))</f>
        <v/>
      </c>
      <c r="R679" s="17"/>
      <c r="S679" s="18" t="str">
        <f aca="false">IF($Q679="","",IF($R679="Y",IFERROR(VLOOKUP($B679,$C$4:$D$13,2,FALSE()),0),0))</f>
        <v/>
      </c>
      <c r="T679" s="17" t="str">
        <f aca="false">IF($Q679="","",ROUNDDOWN($Q679*$S679,0))</f>
        <v/>
      </c>
      <c r="U679" s="17" t="str">
        <f aca="false">IF($Q679="","",$Q679-$T679)</f>
        <v/>
      </c>
      <c r="V679" s="17" t="str">
        <f aca="false">IF($U679="","",IF($B$10=0,"",$U679/$B$10))</f>
        <v/>
      </c>
      <c r="W679" s="17" t="str">
        <f aca="false">IF($Q679="","",IF($B$10=0,"",$Q679/$B$10))</f>
        <v/>
      </c>
      <c r="X679" s="19" t="n">
        <f aca="false">IF($U679="",1000000000000000,$U679)</f>
        <v>1000000000000000</v>
      </c>
      <c r="XFC679" s="6"/>
    </row>
    <row r="680" s="22" customFormat="true" ht="28.5" hidden="false" customHeight="true" outlineLevel="0" collapsed="false">
      <c r="A680" s="16" t="str">
        <f aca="false">IF($U680="","",1+COUNTIF($X$15:$X$728,"&lt;"&amp;X680))</f>
        <v/>
      </c>
      <c r="B680" s="16" t="s">
        <v>14</v>
      </c>
      <c r="C680" s="16" t="s">
        <v>2021</v>
      </c>
      <c r="D680" s="16" t="s">
        <v>112</v>
      </c>
      <c r="E680" s="16" t="s">
        <v>59</v>
      </c>
      <c r="F680" s="16" t="s">
        <v>2022</v>
      </c>
      <c r="G680" s="16" t="s">
        <v>2023</v>
      </c>
      <c r="H680" s="17" t="n">
        <v>1899</v>
      </c>
      <c r="I680" s="17"/>
      <c r="J680" s="17"/>
      <c r="K680" s="17" t="n">
        <v>1959</v>
      </c>
      <c r="L680" s="17" t="n">
        <f aca="false">IF(AND(IFERROR(SEARCH("현대오일뱅크",$C680),0)&gt;0,IFERROR(SEARCH("직영",$C680),0)&gt;0),$B$13,0)</f>
        <v>0</v>
      </c>
      <c r="M680" s="17" t="n">
        <f aca="false">IF($H680="","",$H680+$L680)</f>
        <v>1899</v>
      </c>
      <c r="N680" s="17" t="str">
        <f aca="false">IF($I680="","",$I680+$L680)</f>
        <v/>
      </c>
      <c r="O680" s="17" t="n">
        <f aca="false">IF($K680="","",$K680+$L680)</f>
        <v>1959</v>
      </c>
      <c r="P680" s="17" t="str">
        <f aca="false">IF($B$10=0,"",IFERROR(IF($B$4&gt;0,"휘발유 "&amp;TEXT(IF($M680="",1/0,$M680*$B$4),"#,##0")&amp;"원","")&amp;IF($B$5&gt;0,IF($B$4&gt;0," / ","")&amp;"고급유 "&amp;TEXT(IF($N680="",1/0,$N680*$B$5),"#,##0")&amp;"원","")&amp;IF($B$6&gt;0,IF(OR($B$4&gt;0,$B$5&gt;0)," / ","")&amp;"경유 "&amp;TEXT(IF($O680="",1/0,$O680*$B$6),"#,##0")&amp;"원",""),""))</f>
        <v/>
      </c>
      <c r="Q680" s="17" t="str">
        <f aca="false">IF($B$10=0,"",IFERROR(IF($B$4&gt;0,IF($M680="",1/0,$M680*$B$4),0)+IF($B$5&gt;0,IF($N680="",1/0,$N680*$B$5),0)+IF($B$6&gt;0,IF($O680="",1/0,$O680*$B$6),0),""))</f>
        <v/>
      </c>
      <c r="R680" s="17"/>
      <c r="S680" s="18" t="str">
        <f aca="false">IF($Q680="","",IF($R680="Y",IFERROR(VLOOKUP($B680,$C$4:$D$13,2,FALSE()),0),0))</f>
        <v/>
      </c>
      <c r="T680" s="17" t="str">
        <f aca="false">IF($Q680="","",ROUNDDOWN($Q680*$S680,0))</f>
        <v/>
      </c>
      <c r="U680" s="17" t="str">
        <f aca="false">IF($Q680="","",$Q680-$T680)</f>
        <v/>
      </c>
      <c r="V680" s="17" t="str">
        <f aca="false">IF($U680="","",IF($B$10=0,"",$U680/$B$10))</f>
        <v/>
      </c>
      <c r="W680" s="17" t="str">
        <f aca="false">IF($Q680="","",IF($B$10=0,"",$Q680/$B$10))</f>
        <v/>
      </c>
      <c r="X680" s="19" t="n">
        <f aca="false">IF($U680="",1000000000000000,$U680)</f>
        <v>1000000000000000</v>
      </c>
      <c r="XFC680" s="6"/>
    </row>
    <row r="681" s="22" customFormat="true" ht="28.5" hidden="false" customHeight="true" outlineLevel="0" collapsed="false">
      <c r="A681" s="16" t="str">
        <f aca="false">IF($U681="","",1+COUNTIF($X$15:$X$728,"&lt;"&amp;X681))</f>
        <v/>
      </c>
      <c r="B681" s="16" t="s">
        <v>10</v>
      </c>
      <c r="C681" s="16" t="s">
        <v>2024</v>
      </c>
      <c r="D681" s="16" t="s">
        <v>629</v>
      </c>
      <c r="E681" s="16" t="s">
        <v>59</v>
      </c>
      <c r="F681" s="16" t="s">
        <v>2025</v>
      </c>
      <c r="G681" s="16" t="s">
        <v>2026</v>
      </c>
      <c r="H681" s="17" t="n">
        <v>1899</v>
      </c>
      <c r="I681" s="17"/>
      <c r="J681" s="17"/>
      <c r="K681" s="17" t="n">
        <v>1979</v>
      </c>
      <c r="L681" s="17" t="n">
        <f aca="false">IF(AND(IFERROR(SEARCH("현대오일뱅크",$C681),0)&gt;0,IFERROR(SEARCH("직영",$C681),0)&gt;0),$B$13,0)</f>
        <v>0</v>
      </c>
      <c r="M681" s="17" t="n">
        <f aca="false">IF($H681="","",$H681+$L681)</f>
        <v>1899</v>
      </c>
      <c r="N681" s="17" t="str">
        <f aca="false">IF($I681="","",$I681+$L681)</f>
        <v/>
      </c>
      <c r="O681" s="17" t="n">
        <f aca="false">IF($K681="","",$K681+$L681)</f>
        <v>1979</v>
      </c>
      <c r="P681" s="17" t="str">
        <f aca="false">IF($B$10=0,"",IFERROR(IF($B$4&gt;0,"휘발유 "&amp;TEXT(IF($M681="",1/0,$M681*$B$4),"#,##0")&amp;"원","")&amp;IF($B$5&gt;0,IF($B$4&gt;0," / ","")&amp;"고급유 "&amp;TEXT(IF($N681="",1/0,$N681*$B$5),"#,##0")&amp;"원","")&amp;IF($B$6&gt;0,IF(OR($B$4&gt;0,$B$5&gt;0)," / ","")&amp;"경유 "&amp;TEXT(IF($O681="",1/0,$O681*$B$6),"#,##0")&amp;"원",""),""))</f>
        <v/>
      </c>
      <c r="Q681" s="17" t="str">
        <f aca="false">IF($B$10=0,"",IFERROR(IF($B$4&gt;0,IF($M681="",1/0,$M681*$B$4),0)+IF($B$5&gt;0,IF($N681="",1/0,$N681*$B$5),0)+IF($B$6&gt;0,IF($O681="",1/0,$O681*$B$6),0),""))</f>
        <v/>
      </c>
      <c r="R681" s="17"/>
      <c r="S681" s="18" t="str">
        <f aca="false">IF($Q681="","",IF($R681="Y",IFERROR(VLOOKUP($B681,$C$4:$D$13,2,FALSE()),0),0))</f>
        <v/>
      </c>
      <c r="T681" s="17" t="str">
        <f aca="false">IF($Q681="","",ROUNDDOWN($Q681*$S681,0))</f>
        <v/>
      </c>
      <c r="U681" s="17" t="str">
        <f aca="false">IF($Q681="","",$Q681-$T681)</f>
        <v/>
      </c>
      <c r="V681" s="17" t="str">
        <f aca="false">IF($U681="","",IF($B$10=0,"",$U681/$B$10))</f>
        <v/>
      </c>
      <c r="W681" s="17" t="str">
        <f aca="false">IF($Q681="","",IF($B$10=0,"",$Q681/$B$10))</f>
        <v/>
      </c>
      <c r="X681" s="19" t="n">
        <f aca="false">IF($U681="",1000000000000000,$U681)</f>
        <v>1000000000000000</v>
      </c>
      <c r="XFC681" s="6"/>
    </row>
    <row r="682" s="22" customFormat="true" ht="28.5" hidden="false" customHeight="true" outlineLevel="0" collapsed="false">
      <c r="A682" s="16" t="str">
        <f aca="false">IF($U682="","",1+COUNTIF($X$15:$X$728,"&lt;"&amp;X682))</f>
        <v/>
      </c>
      <c r="B682" s="16" t="s">
        <v>10</v>
      </c>
      <c r="C682" s="16" t="s">
        <v>2027</v>
      </c>
      <c r="D682" s="16" t="s">
        <v>58</v>
      </c>
      <c r="E682" s="16" t="s">
        <v>47</v>
      </c>
      <c r="F682" s="16" t="s">
        <v>2028</v>
      </c>
      <c r="G682" s="16" t="s">
        <v>2029</v>
      </c>
      <c r="H682" s="17" t="n">
        <v>1899</v>
      </c>
      <c r="I682" s="17"/>
      <c r="J682" s="17"/>
      <c r="K682" s="17" t="n">
        <v>1919</v>
      </c>
      <c r="L682" s="17" t="n">
        <f aca="false">IF(AND(IFERROR(SEARCH("현대오일뱅크",$C682),0)&gt;0,IFERROR(SEARCH("직영",$C682),0)&gt;0),$B$13,0)</f>
        <v>0</v>
      </c>
      <c r="M682" s="17" t="n">
        <f aca="false">IF($H682="","",$H682+$L682)</f>
        <v>1899</v>
      </c>
      <c r="N682" s="17" t="str">
        <f aca="false">IF($I682="","",$I682+$L682)</f>
        <v/>
      </c>
      <c r="O682" s="17" t="n">
        <f aca="false">IF($K682="","",$K682+$L682)</f>
        <v>1919</v>
      </c>
      <c r="P682" s="17" t="str">
        <f aca="false">IF($B$10=0,"",IFERROR(IF($B$4&gt;0,"휘발유 "&amp;TEXT(IF($M682="",1/0,$M682*$B$4),"#,##0")&amp;"원","")&amp;IF($B$5&gt;0,IF($B$4&gt;0," / ","")&amp;"고급유 "&amp;TEXT(IF($N682="",1/0,$N682*$B$5),"#,##0")&amp;"원","")&amp;IF($B$6&gt;0,IF(OR($B$4&gt;0,$B$5&gt;0)," / ","")&amp;"경유 "&amp;TEXT(IF($O682="",1/0,$O682*$B$6),"#,##0")&amp;"원",""),""))</f>
        <v/>
      </c>
      <c r="Q682" s="17" t="str">
        <f aca="false">IF($B$10=0,"",IFERROR(IF($B$4&gt;0,IF($M682="",1/0,$M682*$B$4),0)+IF($B$5&gt;0,IF($N682="",1/0,$N682*$B$5),0)+IF($B$6&gt;0,IF($O682="",1/0,$O682*$B$6),0),""))</f>
        <v/>
      </c>
      <c r="R682" s="17"/>
      <c r="S682" s="18" t="str">
        <f aca="false">IF($Q682="","",IF($R682="Y",IFERROR(VLOOKUP($B682,$C$4:$D$13,2,FALSE()),0),0))</f>
        <v/>
      </c>
      <c r="T682" s="17" t="str">
        <f aca="false">IF($Q682="","",ROUNDDOWN($Q682*$S682,0))</f>
        <v/>
      </c>
      <c r="U682" s="17" t="str">
        <f aca="false">IF($Q682="","",$Q682-$T682)</f>
        <v/>
      </c>
      <c r="V682" s="17" t="str">
        <f aca="false">IF($U682="","",IF($B$10=0,"",$U682/$B$10))</f>
        <v/>
      </c>
      <c r="W682" s="17" t="str">
        <f aca="false">IF($Q682="","",IF($B$10=0,"",$Q682/$B$10))</f>
        <v/>
      </c>
      <c r="X682" s="19" t="n">
        <f aca="false">IF($U682="",1000000000000000,$U682)</f>
        <v>1000000000000000</v>
      </c>
      <c r="XFC682" s="6"/>
    </row>
    <row r="683" s="22" customFormat="true" ht="28.5" hidden="false" customHeight="true" outlineLevel="0" collapsed="false">
      <c r="A683" s="16" t="str">
        <f aca="false">IF($U683="","",1+COUNTIF($X$15:$X$728,"&lt;"&amp;X683))</f>
        <v/>
      </c>
      <c r="B683" s="16" t="s">
        <v>10</v>
      </c>
      <c r="C683" s="16" t="s">
        <v>2030</v>
      </c>
      <c r="D683" s="16" t="s">
        <v>58</v>
      </c>
      <c r="E683" s="16" t="s">
        <v>47</v>
      </c>
      <c r="F683" s="16" t="s">
        <v>2031</v>
      </c>
      <c r="G683" s="16" t="s">
        <v>2032</v>
      </c>
      <c r="H683" s="17" t="n">
        <v>1899</v>
      </c>
      <c r="I683" s="17"/>
      <c r="J683" s="17"/>
      <c r="K683" s="17" t="n">
        <v>1949</v>
      </c>
      <c r="L683" s="17" t="n">
        <f aca="false">IF(AND(IFERROR(SEARCH("현대오일뱅크",$C683),0)&gt;0,IFERROR(SEARCH("직영",$C683),0)&gt;0),$B$13,0)</f>
        <v>0</v>
      </c>
      <c r="M683" s="17" t="n">
        <f aca="false">IF($H683="","",$H683+$L683)</f>
        <v>1899</v>
      </c>
      <c r="N683" s="17" t="str">
        <f aca="false">IF($I683="","",$I683+$L683)</f>
        <v/>
      </c>
      <c r="O683" s="17" t="n">
        <f aca="false">IF($K683="","",$K683+$L683)</f>
        <v>1949</v>
      </c>
      <c r="P683" s="17" t="str">
        <f aca="false">IF($B$10=0,"",IFERROR(IF($B$4&gt;0,"휘발유 "&amp;TEXT(IF($M683="",1/0,$M683*$B$4),"#,##0")&amp;"원","")&amp;IF($B$5&gt;0,IF($B$4&gt;0," / ","")&amp;"고급유 "&amp;TEXT(IF($N683="",1/0,$N683*$B$5),"#,##0")&amp;"원","")&amp;IF($B$6&gt;0,IF(OR($B$4&gt;0,$B$5&gt;0)," / ","")&amp;"경유 "&amp;TEXT(IF($O683="",1/0,$O683*$B$6),"#,##0")&amp;"원",""),""))</f>
        <v/>
      </c>
      <c r="Q683" s="17" t="str">
        <f aca="false">IF($B$10=0,"",IFERROR(IF($B$4&gt;0,IF($M683="",1/0,$M683*$B$4),0)+IF($B$5&gt;0,IF($N683="",1/0,$N683*$B$5),0)+IF($B$6&gt;0,IF($O683="",1/0,$O683*$B$6),0),""))</f>
        <v/>
      </c>
      <c r="R683" s="17"/>
      <c r="S683" s="18" t="str">
        <f aca="false">IF($Q683="","",IF($R683="Y",IFERROR(VLOOKUP($B683,$C$4:$D$13,2,FALSE()),0),0))</f>
        <v/>
      </c>
      <c r="T683" s="17" t="str">
        <f aca="false">IF($Q683="","",ROUNDDOWN($Q683*$S683,0))</f>
        <v/>
      </c>
      <c r="U683" s="17" t="str">
        <f aca="false">IF($Q683="","",$Q683-$T683)</f>
        <v/>
      </c>
      <c r="V683" s="17" t="str">
        <f aca="false">IF($U683="","",IF($B$10=0,"",$U683/$B$10))</f>
        <v/>
      </c>
      <c r="W683" s="17" t="str">
        <f aca="false">IF($Q683="","",IF($B$10=0,"",$Q683/$B$10))</f>
        <v/>
      </c>
      <c r="X683" s="19" t="n">
        <f aca="false">IF($U683="",1000000000000000,$U683)</f>
        <v>1000000000000000</v>
      </c>
      <c r="XFC683" s="6"/>
    </row>
    <row r="684" s="22" customFormat="true" ht="28.5" hidden="false" customHeight="true" outlineLevel="0" collapsed="false">
      <c r="A684" s="16" t="str">
        <f aca="false">IF($U684="","",1+COUNTIF($X$15:$X$728,"&lt;"&amp;X684))</f>
        <v/>
      </c>
      <c r="B684" s="16" t="s">
        <v>14</v>
      </c>
      <c r="C684" s="16" t="s">
        <v>2033</v>
      </c>
      <c r="D684" s="16" t="s">
        <v>112</v>
      </c>
      <c r="E684" s="16" t="s">
        <v>47</v>
      </c>
      <c r="F684" s="16" t="s">
        <v>2034</v>
      </c>
      <c r="G684" s="16" t="s">
        <v>2035</v>
      </c>
      <c r="H684" s="17" t="n">
        <v>1899</v>
      </c>
      <c r="I684" s="17"/>
      <c r="J684" s="17"/>
      <c r="K684" s="17" t="n">
        <v>1999</v>
      </c>
      <c r="L684" s="17" t="n">
        <f aca="false">IF(AND(IFERROR(SEARCH("현대오일뱅크",$C684),0)&gt;0,IFERROR(SEARCH("직영",$C684),0)&gt;0),$B$13,0)</f>
        <v>0</v>
      </c>
      <c r="M684" s="17" t="n">
        <f aca="false">IF($H684="","",$H684+$L684)</f>
        <v>1899</v>
      </c>
      <c r="N684" s="17" t="str">
        <f aca="false">IF($I684="","",$I684+$L684)</f>
        <v/>
      </c>
      <c r="O684" s="17" t="n">
        <f aca="false">IF($K684="","",$K684+$L684)</f>
        <v>1999</v>
      </c>
      <c r="P684" s="17" t="str">
        <f aca="false">IF($B$10=0,"",IFERROR(IF($B$4&gt;0,"휘발유 "&amp;TEXT(IF($M684="",1/0,$M684*$B$4),"#,##0")&amp;"원","")&amp;IF($B$5&gt;0,IF($B$4&gt;0," / ","")&amp;"고급유 "&amp;TEXT(IF($N684="",1/0,$N684*$B$5),"#,##0")&amp;"원","")&amp;IF($B$6&gt;0,IF(OR($B$4&gt;0,$B$5&gt;0)," / ","")&amp;"경유 "&amp;TEXT(IF($O684="",1/0,$O684*$B$6),"#,##0")&amp;"원",""),""))</f>
        <v/>
      </c>
      <c r="Q684" s="17" t="str">
        <f aca="false">IF($B$10=0,"",IFERROR(IF($B$4&gt;0,IF($M684="",1/0,$M684*$B$4),0)+IF($B$5&gt;0,IF($N684="",1/0,$N684*$B$5),0)+IF($B$6&gt;0,IF($O684="",1/0,$O684*$B$6),0),""))</f>
        <v/>
      </c>
      <c r="R684" s="17"/>
      <c r="S684" s="18" t="str">
        <f aca="false">IF($Q684="","",IF($R684="Y",IFERROR(VLOOKUP($B684,$C$4:$D$13,2,FALSE()),0),0))</f>
        <v/>
      </c>
      <c r="T684" s="17" t="str">
        <f aca="false">IF($Q684="","",ROUNDDOWN($Q684*$S684,0))</f>
        <v/>
      </c>
      <c r="U684" s="17" t="str">
        <f aca="false">IF($Q684="","",$Q684-$T684)</f>
        <v/>
      </c>
      <c r="V684" s="17" t="str">
        <f aca="false">IF($U684="","",IF($B$10=0,"",$U684/$B$10))</f>
        <v/>
      </c>
      <c r="W684" s="17" t="str">
        <f aca="false">IF($Q684="","",IF($B$10=0,"",$Q684/$B$10))</f>
        <v/>
      </c>
      <c r="X684" s="19" t="n">
        <f aca="false">IF($U684="",1000000000000000,$U684)</f>
        <v>1000000000000000</v>
      </c>
      <c r="XFC684" s="6"/>
    </row>
    <row r="685" s="22" customFormat="true" ht="28.5" hidden="false" customHeight="true" outlineLevel="0" collapsed="false">
      <c r="A685" s="16" t="str">
        <f aca="false">IF($U685="","",1+COUNTIF($X$15:$X$728,"&lt;"&amp;X685))</f>
        <v/>
      </c>
      <c r="B685" s="16" t="s">
        <v>14</v>
      </c>
      <c r="C685" s="16" t="s">
        <v>2036</v>
      </c>
      <c r="D685" s="16" t="s">
        <v>112</v>
      </c>
      <c r="E685" s="16" t="s">
        <v>47</v>
      </c>
      <c r="F685" s="16" t="s">
        <v>2037</v>
      </c>
      <c r="G685" s="16" t="s">
        <v>2038</v>
      </c>
      <c r="H685" s="17" t="n">
        <v>1899</v>
      </c>
      <c r="I685" s="17"/>
      <c r="J685" s="17"/>
      <c r="K685" s="17" t="n">
        <v>1999</v>
      </c>
      <c r="L685" s="17" t="n">
        <f aca="false">IF(AND(IFERROR(SEARCH("현대오일뱅크",$C685),0)&gt;0,IFERROR(SEARCH("직영",$C685),0)&gt;0),$B$13,0)</f>
        <v>0</v>
      </c>
      <c r="M685" s="17" t="n">
        <f aca="false">IF($H685="","",$H685+$L685)</f>
        <v>1899</v>
      </c>
      <c r="N685" s="17" t="str">
        <f aca="false">IF($I685="","",$I685+$L685)</f>
        <v/>
      </c>
      <c r="O685" s="17" t="n">
        <f aca="false">IF($K685="","",$K685+$L685)</f>
        <v>1999</v>
      </c>
      <c r="P685" s="17" t="str">
        <f aca="false">IF($B$10=0,"",IFERROR(IF($B$4&gt;0,"휘발유 "&amp;TEXT(IF($M685="",1/0,$M685*$B$4),"#,##0")&amp;"원","")&amp;IF($B$5&gt;0,IF($B$4&gt;0," / ","")&amp;"고급유 "&amp;TEXT(IF($N685="",1/0,$N685*$B$5),"#,##0")&amp;"원","")&amp;IF($B$6&gt;0,IF(OR($B$4&gt;0,$B$5&gt;0)," / ","")&amp;"경유 "&amp;TEXT(IF($O685="",1/0,$O685*$B$6),"#,##0")&amp;"원",""),""))</f>
        <v/>
      </c>
      <c r="Q685" s="17" t="str">
        <f aca="false">IF($B$10=0,"",IFERROR(IF($B$4&gt;0,IF($M685="",1/0,$M685*$B$4),0)+IF($B$5&gt;0,IF($N685="",1/0,$N685*$B$5),0)+IF($B$6&gt;0,IF($O685="",1/0,$O685*$B$6),0),""))</f>
        <v/>
      </c>
      <c r="R685" s="17"/>
      <c r="S685" s="18" t="str">
        <f aca="false">IF($Q685="","",IF($R685="Y",IFERROR(VLOOKUP($B685,$C$4:$D$13,2,FALSE()),0),0))</f>
        <v/>
      </c>
      <c r="T685" s="17" t="str">
        <f aca="false">IF($Q685="","",ROUNDDOWN($Q685*$S685,0))</f>
        <v/>
      </c>
      <c r="U685" s="17" t="str">
        <f aca="false">IF($Q685="","",$Q685-$T685)</f>
        <v/>
      </c>
      <c r="V685" s="17" t="str">
        <f aca="false">IF($U685="","",IF($B$10=0,"",$U685/$B$10))</f>
        <v/>
      </c>
      <c r="W685" s="17" t="str">
        <f aca="false">IF($Q685="","",IF($B$10=0,"",$Q685/$B$10))</f>
        <v/>
      </c>
      <c r="X685" s="19" t="n">
        <f aca="false">IF($U685="",1000000000000000,$U685)</f>
        <v>1000000000000000</v>
      </c>
      <c r="XFC685" s="6"/>
    </row>
    <row r="686" s="22" customFormat="true" ht="28.5" hidden="false" customHeight="true" outlineLevel="0" collapsed="false">
      <c r="A686" s="16" t="str">
        <f aca="false">IF($U686="","",1+COUNTIF($X$15:$X$728,"&lt;"&amp;X686))</f>
        <v/>
      </c>
      <c r="B686" s="16" t="s">
        <v>16</v>
      </c>
      <c r="C686" s="16" t="s">
        <v>2039</v>
      </c>
      <c r="D686" s="20" t="s">
        <v>108</v>
      </c>
      <c r="E686" s="16" t="s">
        <v>59</v>
      </c>
      <c r="F686" s="16" t="s">
        <v>2040</v>
      </c>
      <c r="G686" s="16" t="s">
        <v>2041</v>
      </c>
      <c r="H686" s="17" t="n">
        <v>1900</v>
      </c>
      <c r="I686" s="17"/>
      <c r="J686" s="17"/>
      <c r="K686" s="17" t="n">
        <v>2050</v>
      </c>
      <c r="L686" s="17" t="n">
        <f aca="false">IF(AND(IFERROR(SEARCH("현대오일뱅크",$C686),0)&gt;0,IFERROR(SEARCH("직영",$C686),0)&gt;0),$B$13,0)</f>
        <v>0</v>
      </c>
      <c r="M686" s="17" t="n">
        <f aca="false">IF($H686="","",$H686+$L686)</f>
        <v>1900</v>
      </c>
      <c r="N686" s="17" t="str">
        <f aca="false">IF($I686="","",$I686+$L686)</f>
        <v/>
      </c>
      <c r="O686" s="17" t="n">
        <f aca="false">IF($K686="","",$K686+$L686)</f>
        <v>2050</v>
      </c>
      <c r="P686" s="17" t="str">
        <f aca="false">IF($B$10=0,"",IFERROR(IF($B$4&gt;0,"휘발유 "&amp;TEXT(IF($M686="",1/0,$M686*$B$4),"#,##0")&amp;"원","")&amp;IF($B$5&gt;0,IF($B$4&gt;0," / ","")&amp;"고급유 "&amp;TEXT(IF($N686="",1/0,$N686*$B$5),"#,##0")&amp;"원","")&amp;IF($B$6&gt;0,IF(OR($B$4&gt;0,$B$5&gt;0)," / ","")&amp;"경유 "&amp;TEXT(IF($O686="",1/0,$O686*$B$6),"#,##0")&amp;"원",""),""))</f>
        <v/>
      </c>
      <c r="Q686" s="17" t="str">
        <f aca="false">IF($B$10=0,"",IFERROR(IF($B$4&gt;0,IF($M686="",1/0,$M686*$B$4),0)+IF($B$5&gt;0,IF($N686="",1/0,$N686*$B$5),0)+IF($B$6&gt;0,IF($O686="",1/0,$O686*$B$6),0),""))</f>
        <v/>
      </c>
      <c r="R686" s="17"/>
      <c r="S686" s="18" t="str">
        <f aca="false">IF($Q686="","",IF($R686="Y",IFERROR(VLOOKUP($B686,$C$4:$D$13,2,FALSE()),0),0))</f>
        <v/>
      </c>
      <c r="T686" s="17" t="str">
        <f aca="false">IF($Q686="","",ROUNDDOWN($Q686*$S686,0))</f>
        <v/>
      </c>
      <c r="U686" s="17" t="str">
        <f aca="false">IF($Q686="","",$Q686-$T686)</f>
        <v/>
      </c>
      <c r="V686" s="17" t="str">
        <f aca="false">IF($U686="","",IF($B$10=0,"",$U686/$B$10))</f>
        <v/>
      </c>
      <c r="W686" s="17" t="str">
        <f aca="false">IF($Q686="","",IF($B$10=0,"",$Q686/$B$10))</f>
        <v/>
      </c>
      <c r="X686" s="19" t="n">
        <f aca="false">IF($U686="",1000000000000000,$U686)</f>
        <v>1000000000000000</v>
      </c>
      <c r="XFC686" s="6"/>
    </row>
    <row r="687" s="22" customFormat="true" ht="28.5" hidden="false" customHeight="true" outlineLevel="0" collapsed="false">
      <c r="A687" s="16" t="str">
        <f aca="false">IF($U687="","",1+COUNTIF($X$15:$X$728,"&lt;"&amp;X687))</f>
        <v/>
      </c>
      <c r="B687" s="16" t="s">
        <v>10</v>
      </c>
      <c r="C687" s="16" t="s">
        <v>2042</v>
      </c>
      <c r="D687" s="20" t="s">
        <v>108</v>
      </c>
      <c r="E687" s="16" t="s">
        <v>59</v>
      </c>
      <c r="F687" s="16" t="s">
        <v>2043</v>
      </c>
      <c r="G687" s="16" t="s">
        <v>2044</v>
      </c>
      <c r="H687" s="17" t="n">
        <v>1900</v>
      </c>
      <c r="I687" s="17"/>
      <c r="J687" s="17"/>
      <c r="K687" s="17" t="n">
        <v>1900</v>
      </c>
      <c r="L687" s="17" t="n">
        <f aca="false">IF(AND(IFERROR(SEARCH("현대오일뱅크",$C687),0)&gt;0,IFERROR(SEARCH("직영",$C687),0)&gt;0),$B$13,0)</f>
        <v>0</v>
      </c>
      <c r="M687" s="17" t="n">
        <f aca="false">IF($H687="","",$H687+$L687)</f>
        <v>1900</v>
      </c>
      <c r="N687" s="17" t="str">
        <f aca="false">IF($I687="","",$I687+$L687)</f>
        <v/>
      </c>
      <c r="O687" s="17" t="n">
        <f aca="false">IF($K687="","",$K687+$L687)</f>
        <v>1900</v>
      </c>
      <c r="P687" s="17" t="str">
        <f aca="false">IF($B$10=0,"",IFERROR(IF($B$4&gt;0,"휘발유 "&amp;TEXT(IF($M687="",1/0,$M687*$B$4),"#,##0")&amp;"원","")&amp;IF($B$5&gt;0,IF($B$4&gt;0," / ","")&amp;"고급유 "&amp;TEXT(IF($N687="",1/0,$N687*$B$5),"#,##0")&amp;"원","")&amp;IF($B$6&gt;0,IF(OR($B$4&gt;0,$B$5&gt;0)," / ","")&amp;"경유 "&amp;TEXT(IF($O687="",1/0,$O687*$B$6),"#,##0")&amp;"원",""),""))</f>
        <v/>
      </c>
      <c r="Q687" s="17" t="str">
        <f aca="false">IF($B$10=0,"",IFERROR(IF($B$4&gt;0,IF($M687="",1/0,$M687*$B$4),0)+IF($B$5&gt;0,IF($N687="",1/0,$N687*$B$5),0)+IF($B$6&gt;0,IF($O687="",1/0,$O687*$B$6),0),""))</f>
        <v/>
      </c>
      <c r="R687" s="17"/>
      <c r="S687" s="18" t="str">
        <f aca="false">IF($Q687="","",IF($R687="Y",IFERROR(VLOOKUP($B687,$C$4:$D$13,2,FALSE()),0),0))</f>
        <v/>
      </c>
      <c r="T687" s="17" t="str">
        <f aca="false">IF($Q687="","",ROUNDDOWN($Q687*$S687,0))</f>
        <v/>
      </c>
      <c r="U687" s="17" t="str">
        <f aca="false">IF($Q687="","",$Q687-$T687)</f>
        <v/>
      </c>
      <c r="V687" s="17" t="str">
        <f aca="false">IF($U687="","",IF($B$10=0,"",$U687/$B$10))</f>
        <v/>
      </c>
      <c r="W687" s="17" t="str">
        <f aca="false">IF($Q687="","",IF($B$10=0,"",$Q687/$B$10))</f>
        <v/>
      </c>
      <c r="X687" s="19" t="n">
        <f aca="false">IF($U687="",1000000000000000,$U687)</f>
        <v>1000000000000000</v>
      </c>
      <c r="XFC687" s="6"/>
    </row>
    <row r="688" s="22" customFormat="true" ht="28.5" hidden="false" customHeight="true" outlineLevel="0" collapsed="false">
      <c r="A688" s="16" t="str">
        <f aca="false">IF($U688="","",1+COUNTIF($X$15:$X$728,"&lt;"&amp;X688))</f>
        <v/>
      </c>
      <c r="B688" s="16" t="s">
        <v>16</v>
      </c>
      <c r="C688" s="16" t="s">
        <v>2045</v>
      </c>
      <c r="D688" s="16" t="s">
        <v>58</v>
      </c>
      <c r="E688" s="16" t="s">
        <v>47</v>
      </c>
      <c r="F688" s="16" t="s">
        <v>2046</v>
      </c>
      <c r="G688" s="16" t="s">
        <v>2047</v>
      </c>
      <c r="H688" s="17" t="n">
        <v>1900</v>
      </c>
      <c r="I688" s="17"/>
      <c r="J688" s="17"/>
      <c r="K688" s="17" t="n">
        <v>1900</v>
      </c>
      <c r="L688" s="17" t="n">
        <f aca="false">IF(AND(IFERROR(SEARCH("현대오일뱅크",$C688),0)&gt;0,IFERROR(SEARCH("직영",$C688),0)&gt;0),$B$13,0)</f>
        <v>0</v>
      </c>
      <c r="M688" s="17" t="n">
        <f aca="false">IF($H688="","",$H688+$L688)</f>
        <v>1900</v>
      </c>
      <c r="N688" s="17" t="str">
        <f aca="false">IF($I688="","",$I688+$L688)</f>
        <v/>
      </c>
      <c r="O688" s="17" t="n">
        <f aca="false">IF($K688="","",$K688+$L688)</f>
        <v>1900</v>
      </c>
      <c r="P688" s="17" t="str">
        <f aca="false">IF($B$10=0,"",IFERROR(IF($B$4&gt;0,"휘발유 "&amp;TEXT(IF($M688="",1/0,$M688*$B$4),"#,##0")&amp;"원","")&amp;IF($B$5&gt;0,IF($B$4&gt;0," / ","")&amp;"고급유 "&amp;TEXT(IF($N688="",1/0,$N688*$B$5),"#,##0")&amp;"원","")&amp;IF($B$6&gt;0,IF(OR($B$4&gt;0,$B$5&gt;0)," / ","")&amp;"경유 "&amp;TEXT(IF($O688="",1/0,$O688*$B$6),"#,##0")&amp;"원",""),""))</f>
        <v/>
      </c>
      <c r="Q688" s="17" t="str">
        <f aca="false">IF($B$10=0,"",IFERROR(IF($B$4&gt;0,IF($M688="",1/0,$M688*$B$4),0)+IF($B$5&gt;0,IF($N688="",1/0,$N688*$B$5),0)+IF($B$6&gt;0,IF($O688="",1/0,$O688*$B$6),0),""))</f>
        <v/>
      </c>
      <c r="R688" s="17"/>
      <c r="S688" s="18" t="str">
        <f aca="false">IF($Q688="","",IF($R688="Y",IFERROR(VLOOKUP($B688,$C$4:$D$13,2,FALSE()),0),0))</f>
        <v/>
      </c>
      <c r="T688" s="17" t="str">
        <f aca="false">IF($Q688="","",ROUNDDOWN($Q688*$S688,0))</f>
        <v/>
      </c>
      <c r="U688" s="17" t="str">
        <f aca="false">IF($Q688="","",$Q688-$T688)</f>
        <v/>
      </c>
      <c r="V688" s="17" t="str">
        <f aca="false">IF($U688="","",IF($B$10=0,"",$U688/$B$10))</f>
        <v/>
      </c>
      <c r="W688" s="17" t="str">
        <f aca="false">IF($Q688="","",IF($B$10=0,"",$Q688/$B$10))</f>
        <v/>
      </c>
      <c r="X688" s="19" t="n">
        <f aca="false">IF($U688="",1000000000000000,$U688)</f>
        <v>1000000000000000</v>
      </c>
      <c r="XFC688" s="6"/>
    </row>
    <row r="689" s="22" customFormat="true" ht="28.5" hidden="false" customHeight="true" outlineLevel="0" collapsed="false">
      <c r="A689" s="16" t="str">
        <f aca="false">IF($U689="","",1+COUNTIF($X$15:$X$728,"&lt;"&amp;X689))</f>
        <v/>
      </c>
      <c r="B689" s="16" t="s">
        <v>8</v>
      </c>
      <c r="C689" s="16" t="s">
        <v>2048</v>
      </c>
      <c r="D689" s="16" t="s">
        <v>629</v>
      </c>
      <c r="E689" s="16" t="s">
        <v>59</v>
      </c>
      <c r="F689" s="16" t="s">
        <v>2049</v>
      </c>
      <c r="G689" s="16" t="s">
        <v>2050</v>
      </c>
      <c r="H689" s="17" t="n">
        <v>1900</v>
      </c>
      <c r="I689" s="17"/>
      <c r="J689" s="17"/>
      <c r="K689" s="17" t="n">
        <v>1970</v>
      </c>
      <c r="L689" s="17" t="n">
        <f aca="false">IF(AND(IFERROR(SEARCH("현대오일뱅크",$C689),0)&gt;0,IFERROR(SEARCH("직영",$C689),0)&gt;0),$B$13,0)</f>
        <v>0</v>
      </c>
      <c r="M689" s="17" t="n">
        <f aca="false">IF($H689="","",$H689+$L689)</f>
        <v>1900</v>
      </c>
      <c r="N689" s="17" t="str">
        <f aca="false">IF($I689="","",$I689+$L689)</f>
        <v/>
      </c>
      <c r="O689" s="17" t="n">
        <f aca="false">IF($K689="","",$K689+$L689)</f>
        <v>1970</v>
      </c>
      <c r="P689" s="17" t="str">
        <f aca="false">IF($B$10=0,"",IFERROR(IF($B$4&gt;0,"휘발유 "&amp;TEXT(IF($M689="",1/0,$M689*$B$4),"#,##0")&amp;"원","")&amp;IF($B$5&gt;0,IF($B$4&gt;0," / ","")&amp;"고급유 "&amp;TEXT(IF($N689="",1/0,$N689*$B$5),"#,##0")&amp;"원","")&amp;IF($B$6&gt;0,IF(OR($B$4&gt;0,$B$5&gt;0)," / ","")&amp;"경유 "&amp;TEXT(IF($O689="",1/0,$O689*$B$6),"#,##0")&amp;"원",""),""))</f>
        <v/>
      </c>
      <c r="Q689" s="17" t="str">
        <f aca="false">IF($B$10=0,"",IFERROR(IF($B$4&gt;0,IF($M689="",1/0,$M689*$B$4),0)+IF($B$5&gt;0,IF($N689="",1/0,$N689*$B$5),0)+IF($B$6&gt;0,IF($O689="",1/0,$O689*$B$6),0),""))</f>
        <v/>
      </c>
      <c r="R689" s="17"/>
      <c r="S689" s="18" t="str">
        <f aca="false">IF($Q689="","",IF($R689="Y",IFERROR(VLOOKUP($B689,$C$4:$D$13,2,FALSE()),0),0))</f>
        <v/>
      </c>
      <c r="T689" s="17" t="str">
        <f aca="false">IF($Q689="","",ROUNDDOWN($Q689*$S689,0))</f>
        <v/>
      </c>
      <c r="U689" s="17" t="str">
        <f aca="false">IF($Q689="","",$Q689-$T689)</f>
        <v/>
      </c>
      <c r="V689" s="17" t="str">
        <f aca="false">IF($U689="","",IF($B$10=0,"",$U689/$B$10))</f>
        <v/>
      </c>
      <c r="W689" s="17" t="str">
        <f aca="false">IF($Q689="","",IF($B$10=0,"",$Q689/$B$10))</f>
        <v/>
      </c>
      <c r="X689" s="19" t="n">
        <f aca="false">IF($U689="",1000000000000000,$U689)</f>
        <v>1000000000000000</v>
      </c>
      <c r="XFC689" s="6"/>
    </row>
    <row r="690" s="22" customFormat="true" ht="28.5" hidden="false" customHeight="true" outlineLevel="0" collapsed="false">
      <c r="A690" s="16" t="str">
        <f aca="false">IF($U690="","",1+COUNTIF($X$15:$X$728,"&lt;"&amp;X690))</f>
        <v/>
      </c>
      <c r="B690" s="16" t="s">
        <v>16</v>
      </c>
      <c r="C690" s="16" t="s">
        <v>2051</v>
      </c>
      <c r="D690" s="16" t="s">
        <v>58</v>
      </c>
      <c r="E690" s="16" t="s">
        <v>47</v>
      </c>
      <c r="F690" s="16" t="s">
        <v>2052</v>
      </c>
      <c r="G690" s="16" t="s">
        <v>2053</v>
      </c>
      <c r="H690" s="17" t="n">
        <v>1900</v>
      </c>
      <c r="I690" s="17"/>
      <c r="J690" s="17"/>
      <c r="K690" s="17" t="n">
        <v>1900</v>
      </c>
      <c r="L690" s="17" t="n">
        <f aca="false">IF(AND(IFERROR(SEARCH("현대오일뱅크",$C690),0)&gt;0,IFERROR(SEARCH("직영",$C690),0)&gt;0),$B$13,0)</f>
        <v>0</v>
      </c>
      <c r="M690" s="17" t="n">
        <f aca="false">IF($H690="","",$H690+$L690)</f>
        <v>1900</v>
      </c>
      <c r="N690" s="17" t="str">
        <f aca="false">IF($I690="","",$I690+$L690)</f>
        <v/>
      </c>
      <c r="O690" s="17" t="n">
        <f aca="false">IF($K690="","",$K690+$L690)</f>
        <v>1900</v>
      </c>
      <c r="P690" s="17" t="str">
        <f aca="false">IF($B$10=0,"",IFERROR(IF($B$4&gt;0,"휘발유 "&amp;TEXT(IF($M690="",1/0,$M690*$B$4),"#,##0")&amp;"원","")&amp;IF($B$5&gt;0,IF($B$4&gt;0," / ","")&amp;"고급유 "&amp;TEXT(IF($N690="",1/0,$N690*$B$5),"#,##0")&amp;"원","")&amp;IF($B$6&gt;0,IF(OR($B$4&gt;0,$B$5&gt;0)," / ","")&amp;"경유 "&amp;TEXT(IF($O690="",1/0,$O690*$B$6),"#,##0")&amp;"원",""),""))</f>
        <v/>
      </c>
      <c r="Q690" s="17" t="str">
        <f aca="false">IF($B$10=0,"",IFERROR(IF($B$4&gt;0,IF($M690="",1/0,$M690*$B$4),0)+IF($B$5&gt;0,IF($N690="",1/0,$N690*$B$5),0)+IF($B$6&gt;0,IF($O690="",1/0,$O690*$B$6),0),""))</f>
        <v/>
      </c>
      <c r="R690" s="17"/>
      <c r="S690" s="18" t="str">
        <f aca="false">IF($Q690="","",IF($R690="Y",IFERROR(VLOOKUP($B690,$C$4:$D$13,2,FALSE()),0),0))</f>
        <v/>
      </c>
      <c r="T690" s="17" t="str">
        <f aca="false">IF($Q690="","",ROUNDDOWN($Q690*$S690,0))</f>
        <v/>
      </c>
      <c r="U690" s="17" t="str">
        <f aca="false">IF($Q690="","",$Q690-$T690)</f>
        <v/>
      </c>
      <c r="V690" s="17" t="str">
        <f aca="false">IF($U690="","",IF($B$10=0,"",$U690/$B$10))</f>
        <v/>
      </c>
      <c r="W690" s="17" t="str">
        <f aca="false">IF($Q690="","",IF($B$10=0,"",$Q690/$B$10))</f>
        <v/>
      </c>
      <c r="X690" s="19" t="n">
        <f aca="false">IF($U690="",1000000000000000,$U690)</f>
        <v>1000000000000000</v>
      </c>
      <c r="XFC690" s="6"/>
    </row>
    <row r="691" s="22" customFormat="true" ht="28.5" hidden="false" customHeight="true" outlineLevel="0" collapsed="false">
      <c r="A691" s="16" t="str">
        <f aca="false">IF($U691="","",1+COUNTIF($X$15:$X$728,"&lt;"&amp;X691))</f>
        <v/>
      </c>
      <c r="B691" s="16" t="s">
        <v>16</v>
      </c>
      <c r="C691" s="16" t="s">
        <v>2054</v>
      </c>
      <c r="D691" s="16" t="s">
        <v>629</v>
      </c>
      <c r="E691" s="16" t="s">
        <v>59</v>
      </c>
      <c r="F691" s="16" t="s">
        <v>2055</v>
      </c>
      <c r="G691" s="16" t="s">
        <v>2056</v>
      </c>
      <c r="H691" s="17" t="n">
        <v>1900</v>
      </c>
      <c r="I691" s="17"/>
      <c r="J691" s="17"/>
      <c r="K691" s="17" t="n">
        <v>1900</v>
      </c>
      <c r="L691" s="17" t="n">
        <f aca="false">IF(AND(IFERROR(SEARCH("현대오일뱅크",$C691),0)&gt;0,IFERROR(SEARCH("직영",$C691),0)&gt;0),$B$13,0)</f>
        <v>0</v>
      </c>
      <c r="M691" s="17" t="n">
        <f aca="false">IF($H691="","",$H691+$L691)</f>
        <v>1900</v>
      </c>
      <c r="N691" s="17" t="str">
        <f aca="false">IF($I691="","",$I691+$L691)</f>
        <v/>
      </c>
      <c r="O691" s="17" t="n">
        <f aca="false">IF($K691="","",$K691+$L691)</f>
        <v>1900</v>
      </c>
      <c r="P691" s="17" t="str">
        <f aca="false">IF($B$10=0,"",IFERROR(IF($B$4&gt;0,"휘발유 "&amp;TEXT(IF($M691="",1/0,$M691*$B$4),"#,##0")&amp;"원","")&amp;IF($B$5&gt;0,IF($B$4&gt;0," / ","")&amp;"고급유 "&amp;TEXT(IF($N691="",1/0,$N691*$B$5),"#,##0")&amp;"원","")&amp;IF($B$6&gt;0,IF(OR($B$4&gt;0,$B$5&gt;0)," / ","")&amp;"경유 "&amp;TEXT(IF($O691="",1/0,$O691*$B$6),"#,##0")&amp;"원",""),""))</f>
        <v/>
      </c>
      <c r="Q691" s="17" t="str">
        <f aca="false">IF($B$10=0,"",IFERROR(IF($B$4&gt;0,IF($M691="",1/0,$M691*$B$4),0)+IF($B$5&gt;0,IF($N691="",1/0,$N691*$B$5),0)+IF($B$6&gt;0,IF($O691="",1/0,$O691*$B$6),0),""))</f>
        <v/>
      </c>
      <c r="R691" s="17"/>
      <c r="S691" s="18" t="str">
        <f aca="false">IF($Q691="","",IF($R691="Y",IFERROR(VLOOKUP($B691,$C$4:$D$13,2,FALSE()),0),0))</f>
        <v/>
      </c>
      <c r="T691" s="17" t="str">
        <f aca="false">IF($Q691="","",ROUNDDOWN($Q691*$S691,0))</f>
        <v/>
      </c>
      <c r="U691" s="17" t="str">
        <f aca="false">IF($Q691="","",$Q691-$T691)</f>
        <v/>
      </c>
      <c r="V691" s="17" t="str">
        <f aca="false">IF($U691="","",IF($B$10=0,"",$U691/$B$10))</f>
        <v/>
      </c>
      <c r="W691" s="17" t="str">
        <f aca="false">IF($Q691="","",IF($B$10=0,"",$Q691/$B$10))</f>
        <v/>
      </c>
      <c r="X691" s="19" t="n">
        <f aca="false">IF($U691="",1000000000000000,$U691)</f>
        <v>1000000000000000</v>
      </c>
      <c r="XFC691" s="6"/>
    </row>
    <row r="692" s="22" customFormat="true" ht="28.5" hidden="false" customHeight="true" outlineLevel="0" collapsed="false">
      <c r="A692" s="16" t="str">
        <f aca="false">IF($U692="","",1+COUNTIF($X$15:$X$728,"&lt;"&amp;X692))</f>
        <v/>
      </c>
      <c r="B692" s="16" t="s">
        <v>10</v>
      </c>
      <c r="C692" s="16" t="s">
        <v>2057</v>
      </c>
      <c r="D692" s="16" t="s">
        <v>112</v>
      </c>
      <c r="E692" s="16" t="s">
        <v>47</v>
      </c>
      <c r="F692" s="16" t="s">
        <v>2058</v>
      </c>
      <c r="G692" s="16" t="s">
        <v>2059</v>
      </c>
      <c r="H692" s="17" t="n">
        <v>1909</v>
      </c>
      <c r="I692" s="17"/>
      <c r="J692" s="17"/>
      <c r="K692" s="17" t="n">
        <v>1969</v>
      </c>
      <c r="L692" s="17" t="n">
        <f aca="false">IF(AND(IFERROR(SEARCH("현대오일뱅크",$C692),0)&gt;0,IFERROR(SEARCH("직영",$C692),0)&gt;0),$B$13,0)</f>
        <v>0</v>
      </c>
      <c r="M692" s="17" t="n">
        <f aca="false">IF($H692="","",$H692+$L692)</f>
        <v>1909</v>
      </c>
      <c r="N692" s="17" t="str">
        <f aca="false">IF($I692="","",$I692+$L692)</f>
        <v/>
      </c>
      <c r="O692" s="17" t="n">
        <f aca="false">IF($K692="","",$K692+$L692)</f>
        <v>1969</v>
      </c>
      <c r="P692" s="17" t="str">
        <f aca="false">IF($B$10=0,"",IFERROR(IF($B$4&gt;0,"휘발유 "&amp;TEXT(IF($M692="",1/0,$M692*$B$4),"#,##0")&amp;"원","")&amp;IF($B$5&gt;0,IF($B$4&gt;0," / ","")&amp;"고급유 "&amp;TEXT(IF($N692="",1/0,$N692*$B$5),"#,##0")&amp;"원","")&amp;IF($B$6&gt;0,IF(OR($B$4&gt;0,$B$5&gt;0)," / ","")&amp;"경유 "&amp;TEXT(IF($O692="",1/0,$O692*$B$6),"#,##0")&amp;"원",""),""))</f>
        <v/>
      </c>
      <c r="Q692" s="17" t="str">
        <f aca="false">IF($B$10=0,"",IFERROR(IF($B$4&gt;0,IF($M692="",1/0,$M692*$B$4),0)+IF($B$5&gt;0,IF($N692="",1/0,$N692*$B$5),0)+IF($B$6&gt;0,IF($O692="",1/0,$O692*$B$6),0),""))</f>
        <v/>
      </c>
      <c r="R692" s="17"/>
      <c r="S692" s="18" t="str">
        <f aca="false">IF($Q692="","",IF($R692="Y",IFERROR(VLOOKUP($B692,$C$4:$D$13,2,FALSE()),0),0))</f>
        <v/>
      </c>
      <c r="T692" s="17" t="str">
        <f aca="false">IF($Q692="","",ROUNDDOWN($Q692*$S692,0))</f>
        <v/>
      </c>
      <c r="U692" s="17" t="str">
        <f aca="false">IF($Q692="","",$Q692-$T692)</f>
        <v/>
      </c>
      <c r="V692" s="17" t="str">
        <f aca="false">IF($U692="","",IF($B$10=0,"",$U692/$B$10))</f>
        <v/>
      </c>
      <c r="W692" s="17" t="str">
        <f aca="false">IF($Q692="","",IF($B$10=0,"",$Q692/$B$10))</f>
        <v/>
      </c>
      <c r="X692" s="19" t="n">
        <f aca="false">IF($U692="",1000000000000000,$U692)</f>
        <v>1000000000000000</v>
      </c>
      <c r="XFC692" s="6"/>
    </row>
    <row r="693" s="22" customFormat="true" ht="28.5" hidden="false" customHeight="true" outlineLevel="0" collapsed="false">
      <c r="A693" s="16" t="str">
        <f aca="false">IF($U693="","",1+COUNTIF($X$15:$X$728,"&lt;"&amp;X693))</f>
        <v/>
      </c>
      <c r="B693" s="16" t="s">
        <v>10</v>
      </c>
      <c r="C693" s="16" t="s">
        <v>2060</v>
      </c>
      <c r="D693" s="16" t="s">
        <v>51</v>
      </c>
      <c r="E693" s="16" t="s">
        <v>59</v>
      </c>
      <c r="F693" s="16" t="s">
        <v>2061</v>
      </c>
      <c r="G693" s="16" t="s">
        <v>2062</v>
      </c>
      <c r="H693" s="17" t="n">
        <v>1909</v>
      </c>
      <c r="I693" s="17"/>
      <c r="J693" s="17"/>
      <c r="K693" s="17" t="n">
        <v>1949</v>
      </c>
      <c r="L693" s="17" t="n">
        <f aca="false">IF(AND(IFERROR(SEARCH("현대오일뱅크",$C693),0)&gt;0,IFERROR(SEARCH("직영",$C693),0)&gt;0),$B$13,0)</f>
        <v>0</v>
      </c>
      <c r="M693" s="17" t="n">
        <f aca="false">IF($H693="","",$H693+$L693)</f>
        <v>1909</v>
      </c>
      <c r="N693" s="17" t="str">
        <f aca="false">IF($I693="","",$I693+$L693)</f>
        <v/>
      </c>
      <c r="O693" s="17" t="n">
        <f aca="false">IF($K693="","",$K693+$L693)</f>
        <v>1949</v>
      </c>
      <c r="P693" s="17" t="str">
        <f aca="false">IF($B$10=0,"",IFERROR(IF($B$4&gt;0,"휘발유 "&amp;TEXT(IF($M693="",1/0,$M693*$B$4),"#,##0")&amp;"원","")&amp;IF($B$5&gt;0,IF($B$4&gt;0," / ","")&amp;"고급유 "&amp;TEXT(IF($N693="",1/0,$N693*$B$5),"#,##0")&amp;"원","")&amp;IF($B$6&gt;0,IF(OR($B$4&gt;0,$B$5&gt;0)," / ","")&amp;"경유 "&amp;TEXT(IF($O693="",1/0,$O693*$B$6),"#,##0")&amp;"원",""),""))</f>
        <v/>
      </c>
      <c r="Q693" s="17" t="str">
        <f aca="false">IF($B$10=0,"",IFERROR(IF($B$4&gt;0,IF($M693="",1/0,$M693*$B$4),0)+IF($B$5&gt;0,IF($N693="",1/0,$N693*$B$5),0)+IF($B$6&gt;0,IF($O693="",1/0,$O693*$B$6),0),""))</f>
        <v/>
      </c>
      <c r="R693" s="17"/>
      <c r="S693" s="18" t="str">
        <f aca="false">IF($Q693="","",IF($R693="Y",IFERROR(VLOOKUP($B693,$C$4:$D$13,2,FALSE()),0),0))</f>
        <v/>
      </c>
      <c r="T693" s="17" t="str">
        <f aca="false">IF($Q693="","",ROUNDDOWN($Q693*$S693,0))</f>
        <v/>
      </c>
      <c r="U693" s="17" t="str">
        <f aca="false">IF($Q693="","",$Q693-$T693)</f>
        <v/>
      </c>
      <c r="V693" s="17" t="str">
        <f aca="false">IF($U693="","",IF($B$10=0,"",$U693/$B$10))</f>
        <v/>
      </c>
      <c r="W693" s="17" t="str">
        <f aca="false">IF($Q693="","",IF($B$10=0,"",$Q693/$B$10))</f>
        <v/>
      </c>
      <c r="X693" s="19" t="n">
        <f aca="false">IF($U693="",1000000000000000,$U693)</f>
        <v>1000000000000000</v>
      </c>
      <c r="XFC693" s="6"/>
    </row>
    <row r="694" s="22" customFormat="true" ht="28.5" hidden="false" customHeight="true" outlineLevel="0" collapsed="false">
      <c r="A694" s="16" t="str">
        <f aca="false">IF($U694="","",1+COUNTIF($X$15:$X$728,"&lt;"&amp;X694))</f>
        <v/>
      </c>
      <c r="B694" s="16" t="s">
        <v>8</v>
      </c>
      <c r="C694" s="16" t="s">
        <v>2063</v>
      </c>
      <c r="D694" s="16" t="s">
        <v>46</v>
      </c>
      <c r="E694" s="16" t="s">
        <v>47</v>
      </c>
      <c r="F694" s="16" t="s">
        <v>2064</v>
      </c>
      <c r="G694" s="16" t="s">
        <v>2065</v>
      </c>
      <c r="H694" s="17" t="n">
        <v>1913</v>
      </c>
      <c r="I694" s="17"/>
      <c r="J694" s="17"/>
      <c r="K694" s="17" t="n">
        <v>1923</v>
      </c>
      <c r="L694" s="17" t="n">
        <f aca="false">IF(AND(IFERROR(SEARCH("현대오일뱅크",$C694),0)&gt;0,IFERROR(SEARCH("직영",$C694),0)&gt;0),$B$13,0)</f>
        <v>0</v>
      </c>
      <c r="M694" s="17" t="n">
        <f aca="false">IF($H694="","",$H694+$L694)</f>
        <v>1913</v>
      </c>
      <c r="N694" s="17" t="str">
        <f aca="false">IF($I694="","",$I694+$L694)</f>
        <v/>
      </c>
      <c r="O694" s="17" t="n">
        <f aca="false">IF($K694="","",$K694+$L694)</f>
        <v>1923</v>
      </c>
      <c r="P694" s="17" t="str">
        <f aca="false">IF($B$10=0,"",IFERROR(IF($B$4&gt;0,"휘발유 "&amp;TEXT(IF($M694="",1/0,$M694*$B$4),"#,##0")&amp;"원","")&amp;IF($B$5&gt;0,IF($B$4&gt;0," / ","")&amp;"고급유 "&amp;TEXT(IF($N694="",1/0,$N694*$B$5),"#,##0")&amp;"원","")&amp;IF($B$6&gt;0,IF(OR($B$4&gt;0,$B$5&gt;0)," / ","")&amp;"경유 "&amp;TEXT(IF($O694="",1/0,$O694*$B$6),"#,##0")&amp;"원",""),""))</f>
        <v/>
      </c>
      <c r="Q694" s="17" t="str">
        <f aca="false">IF($B$10=0,"",IFERROR(IF($B$4&gt;0,IF($M694="",1/0,$M694*$B$4),0)+IF($B$5&gt;0,IF($N694="",1/0,$N694*$B$5),0)+IF($B$6&gt;0,IF($O694="",1/0,$O694*$B$6),0),""))</f>
        <v/>
      </c>
      <c r="R694" s="17"/>
      <c r="S694" s="18" t="str">
        <f aca="false">IF($Q694="","",IF($R694="Y",IFERROR(VLOOKUP($B694,$C$4:$D$13,2,FALSE()),0),0))</f>
        <v/>
      </c>
      <c r="T694" s="17" t="str">
        <f aca="false">IF($Q694="","",ROUNDDOWN($Q694*$S694,0))</f>
        <v/>
      </c>
      <c r="U694" s="17" t="str">
        <f aca="false">IF($Q694="","",$Q694-$T694)</f>
        <v/>
      </c>
      <c r="V694" s="17" t="str">
        <f aca="false">IF($U694="","",IF($B$10=0,"",$U694/$B$10))</f>
        <v/>
      </c>
      <c r="W694" s="17" t="str">
        <f aca="false">IF($Q694="","",IF($B$10=0,"",$Q694/$B$10))</f>
        <v/>
      </c>
      <c r="X694" s="19" t="n">
        <f aca="false">IF($U694="",1000000000000000,$U694)</f>
        <v>1000000000000000</v>
      </c>
      <c r="XFC694" s="6"/>
    </row>
    <row r="695" s="22" customFormat="true" ht="28.5" hidden="false" customHeight="true" outlineLevel="0" collapsed="false">
      <c r="A695" s="16" t="str">
        <f aca="false">IF($U695="","",1+COUNTIF($X$15:$X$728,"&lt;"&amp;X695))</f>
        <v/>
      </c>
      <c r="B695" s="16" t="s">
        <v>14</v>
      </c>
      <c r="C695" s="16" t="s">
        <v>2066</v>
      </c>
      <c r="D695" s="20" t="s">
        <v>108</v>
      </c>
      <c r="E695" s="16" t="s">
        <v>47</v>
      </c>
      <c r="F695" s="16" t="s">
        <v>2067</v>
      </c>
      <c r="G695" s="16" t="s">
        <v>2068</v>
      </c>
      <c r="H695" s="17" t="n">
        <v>1915</v>
      </c>
      <c r="I695" s="17"/>
      <c r="J695" s="17"/>
      <c r="K695" s="17" t="n">
        <v>1895</v>
      </c>
      <c r="L695" s="17" t="n">
        <f aca="false">IF(AND(IFERROR(SEARCH("현대오일뱅크",$C695),0)&gt;0,IFERROR(SEARCH("직영",$C695),0)&gt;0),$B$13,0)</f>
        <v>0</v>
      </c>
      <c r="M695" s="17" t="n">
        <f aca="false">IF($H695="","",$H695+$L695)</f>
        <v>1915</v>
      </c>
      <c r="N695" s="17" t="str">
        <f aca="false">IF($I695="","",$I695+$L695)</f>
        <v/>
      </c>
      <c r="O695" s="17" t="n">
        <f aca="false">IF($K695="","",$K695+$L695)</f>
        <v>1895</v>
      </c>
      <c r="P695" s="17" t="str">
        <f aca="false">IF($B$10=0,"",IFERROR(IF($B$4&gt;0,"휘발유 "&amp;TEXT(IF($M695="",1/0,$M695*$B$4),"#,##0")&amp;"원","")&amp;IF($B$5&gt;0,IF($B$4&gt;0," / ","")&amp;"고급유 "&amp;TEXT(IF($N695="",1/0,$N695*$B$5),"#,##0")&amp;"원","")&amp;IF($B$6&gt;0,IF(OR($B$4&gt;0,$B$5&gt;0)," / ","")&amp;"경유 "&amp;TEXT(IF($O695="",1/0,$O695*$B$6),"#,##0")&amp;"원",""),""))</f>
        <v/>
      </c>
      <c r="Q695" s="17" t="str">
        <f aca="false">IF($B$10=0,"",IFERROR(IF($B$4&gt;0,IF($M695="",1/0,$M695*$B$4),0)+IF($B$5&gt;0,IF($N695="",1/0,$N695*$B$5),0)+IF($B$6&gt;0,IF($O695="",1/0,$O695*$B$6),0),""))</f>
        <v/>
      </c>
      <c r="R695" s="17"/>
      <c r="S695" s="18" t="str">
        <f aca="false">IF($Q695="","",IF($R695="Y",IFERROR(VLOOKUP($B695,$C$4:$D$13,2,FALSE()),0),0))</f>
        <v/>
      </c>
      <c r="T695" s="17" t="str">
        <f aca="false">IF($Q695="","",ROUNDDOWN($Q695*$S695,0))</f>
        <v/>
      </c>
      <c r="U695" s="17" t="str">
        <f aca="false">IF($Q695="","",$Q695-$T695)</f>
        <v/>
      </c>
      <c r="V695" s="17" t="str">
        <f aca="false">IF($U695="","",IF($B$10=0,"",$U695/$B$10))</f>
        <v/>
      </c>
      <c r="W695" s="17" t="str">
        <f aca="false">IF($Q695="","",IF($B$10=0,"",$Q695/$B$10))</f>
        <v/>
      </c>
      <c r="X695" s="19" t="n">
        <f aca="false">IF($U695="",1000000000000000,$U695)</f>
        <v>1000000000000000</v>
      </c>
      <c r="XFC695" s="6"/>
    </row>
    <row r="696" s="22" customFormat="true" ht="28.5" hidden="false" customHeight="true" outlineLevel="0" collapsed="false">
      <c r="A696" s="16" t="str">
        <f aca="false">IF($U696="","",1+COUNTIF($X$15:$X$728,"&lt;"&amp;X696))</f>
        <v/>
      </c>
      <c r="B696" s="16" t="s">
        <v>12</v>
      </c>
      <c r="C696" s="16" t="s">
        <v>2069</v>
      </c>
      <c r="D696" s="20" t="s">
        <v>629</v>
      </c>
      <c r="E696" s="16" t="s">
        <v>59</v>
      </c>
      <c r="F696" s="16" t="s">
        <v>2070</v>
      </c>
      <c r="G696" s="16" t="s">
        <v>2071</v>
      </c>
      <c r="H696" s="17" t="n">
        <v>1915</v>
      </c>
      <c r="I696" s="17"/>
      <c r="J696" s="17"/>
      <c r="K696" s="17" t="n">
        <v>1935</v>
      </c>
      <c r="L696" s="17" t="n">
        <f aca="false">IF(AND(IFERROR(SEARCH("현대오일뱅크",$C696),0)&gt;0,IFERROR(SEARCH("직영",$C696),0)&gt;0),$B$13,0)</f>
        <v>0</v>
      </c>
      <c r="M696" s="17" t="n">
        <f aca="false">IF($H696="","",$H696+$L696)</f>
        <v>1915</v>
      </c>
      <c r="N696" s="17" t="str">
        <f aca="false">IF($I696="","",$I696+$L696)</f>
        <v/>
      </c>
      <c r="O696" s="17" t="n">
        <f aca="false">IF($K696="","",$K696+$L696)</f>
        <v>1935</v>
      </c>
      <c r="P696" s="17" t="str">
        <f aca="false">IF($B$10=0,"",IFERROR(IF($B$4&gt;0,"휘발유 "&amp;TEXT(IF($M696="",1/0,$M696*$B$4),"#,##0")&amp;"원","")&amp;IF($B$5&gt;0,IF($B$4&gt;0," / ","")&amp;"고급유 "&amp;TEXT(IF($N696="",1/0,$N696*$B$5),"#,##0")&amp;"원","")&amp;IF($B$6&gt;0,IF(OR($B$4&gt;0,$B$5&gt;0)," / ","")&amp;"경유 "&amp;TEXT(IF($O696="",1/0,$O696*$B$6),"#,##0")&amp;"원",""),""))</f>
        <v/>
      </c>
      <c r="Q696" s="17" t="str">
        <f aca="false">IF($B$10=0,"",IFERROR(IF($B$4&gt;0,IF($M696="",1/0,$M696*$B$4),0)+IF($B$5&gt;0,IF($N696="",1/0,$N696*$B$5),0)+IF($B$6&gt;0,IF($O696="",1/0,$O696*$B$6),0),""))</f>
        <v/>
      </c>
      <c r="R696" s="17"/>
      <c r="S696" s="18" t="str">
        <f aca="false">IF($Q696="","",IF($R696="Y",IFERROR(VLOOKUP($B696,$C$4:$D$13,2,FALSE()),0),0))</f>
        <v/>
      </c>
      <c r="T696" s="17" t="str">
        <f aca="false">IF($Q696="","",ROUNDDOWN($Q696*$S696,0))</f>
        <v/>
      </c>
      <c r="U696" s="17" t="str">
        <f aca="false">IF($Q696="","",$Q696-$T696)</f>
        <v/>
      </c>
      <c r="V696" s="17" t="str">
        <f aca="false">IF($U696="","",IF($B$10=0,"",$U696/$B$10))</f>
        <v/>
      </c>
      <c r="W696" s="17" t="str">
        <f aca="false">IF($Q696="","",IF($B$10=0,"",$Q696/$B$10))</f>
        <v/>
      </c>
      <c r="X696" s="19" t="n">
        <f aca="false">IF($U696="",1000000000000000,$U696)</f>
        <v>1000000000000000</v>
      </c>
      <c r="XFC696" s="6"/>
    </row>
    <row r="697" s="22" customFormat="true" ht="28.5" hidden="false" customHeight="true" outlineLevel="0" collapsed="false">
      <c r="A697" s="16" t="str">
        <f aca="false">IF($U697="","",1+COUNTIF($X$15:$X$728,"&lt;"&amp;X697))</f>
        <v/>
      </c>
      <c r="B697" s="16" t="s">
        <v>18</v>
      </c>
      <c r="C697" s="16" t="s">
        <v>2072</v>
      </c>
      <c r="D697" s="16" t="s">
        <v>58</v>
      </c>
      <c r="E697" s="16" t="s">
        <v>47</v>
      </c>
      <c r="F697" s="16" t="s">
        <v>2073</v>
      </c>
      <c r="G697" s="16" t="s">
        <v>2074</v>
      </c>
      <c r="H697" s="17" t="n">
        <v>1915</v>
      </c>
      <c r="I697" s="17"/>
      <c r="J697" s="17"/>
      <c r="K697" s="17" t="n">
        <v>1975</v>
      </c>
      <c r="L697" s="17" t="n">
        <f aca="false">IF(AND(IFERROR(SEARCH("현대오일뱅크",$C697),0)&gt;0,IFERROR(SEARCH("직영",$C697),0)&gt;0),$B$13,0)</f>
        <v>0</v>
      </c>
      <c r="M697" s="17" t="n">
        <f aca="false">IF($H697="","",$H697+$L697)</f>
        <v>1915</v>
      </c>
      <c r="N697" s="17" t="str">
        <f aca="false">IF($I697="","",$I697+$L697)</f>
        <v/>
      </c>
      <c r="O697" s="17" t="n">
        <f aca="false">IF($K697="","",$K697+$L697)</f>
        <v>1975</v>
      </c>
      <c r="P697" s="17" t="str">
        <f aca="false">IF($B$10=0,"",IFERROR(IF($B$4&gt;0,"휘발유 "&amp;TEXT(IF($M697="",1/0,$M697*$B$4),"#,##0")&amp;"원","")&amp;IF($B$5&gt;0,IF($B$4&gt;0," / ","")&amp;"고급유 "&amp;TEXT(IF($N697="",1/0,$N697*$B$5),"#,##0")&amp;"원","")&amp;IF($B$6&gt;0,IF(OR($B$4&gt;0,$B$5&gt;0)," / ","")&amp;"경유 "&amp;TEXT(IF($O697="",1/0,$O697*$B$6),"#,##0")&amp;"원",""),""))</f>
        <v/>
      </c>
      <c r="Q697" s="17" t="str">
        <f aca="false">IF($B$10=0,"",IFERROR(IF($B$4&gt;0,IF($M697="",1/0,$M697*$B$4),0)+IF($B$5&gt;0,IF($N697="",1/0,$N697*$B$5),0)+IF($B$6&gt;0,IF($O697="",1/0,$O697*$B$6),0),""))</f>
        <v/>
      </c>
      <c r="R697" s="17"/>
      <c r="S697" s="18" t="str">
        <f aca="false">IF($Q697="","",IF($R697="Y",IFERROR(VLOOKUP($B697,$C$4:$D$13,2,FALSE()),0),0))</f>
        <v/>
      </c>
      <c r="T697" s="17" t="str">
        <f aca="false">IF($Q697="","",ROUNDDOWN($Q697*$S697,0))</f>
        <v/>
      </c>
      <c r="U697" s="17" t="str">
        <f aca="false">IF($Q697="","",$Q697-$T697)</f>
        <v/>
      </c>
      <c r="V697" s="17" t="str">
        <f aca="false">IF($U697="","",IF($B$10=0,"",$U697/$B$10))</f>
        <v/>
      </c>
      <c r="W697" s="17" t="str">
        <f aca="false">IF($Q697="","",IF($B$10=0,"",$Q697/$B$10))</f>
        <v/>
      </c>
      <c r="X697" s="19" t="n">
        <f aca="false">IF($U697="",1000000000000000,$U697)</f>
        <v>1000000000000000</v>
      </c>
      <c r="XFC697" s="6"/>
    </row>
    <row r="698" s="22" customFormat="true" ht="28.5" hidden="false" customHeight="true" outlineLevel="0" collapsed="false">
      <c r="A698" s="16" t="str">
        <f aca="false">IF($U698="","",1+COUNTIF($X$15:$X$728,"&lt;"&amp;X698))</f>
        <v/>
      </c>
      <c r="B698" s="16" t="s">
        <v>10</v>
      </c>
      <c r="C698" s="16" t="s">
        <v>2075</v>
      </c>
      <c r="D698" s="16" t="s">
        <v>51</v>
      </c>
      <c r="E698" s="16" t="s">
        <v>47</v>
      </c>
      <c r="F698" s="16" t="s">
        <v>2076</v>
      </c>
      <c r="G698" s="16" t="s">
        <v>2077</v>
      </c>
      <c r="H698" s="17" t="n">
        <v>1915</v>
      </c>
      <c r="I698" s="17"/>
      <c r="J698" s="17"/>
      <c r="K698" s="17" t="n">
        <v>1905</v>
      </c>
      <c r="L698" s="17" t="n">
        <f aca="false">IF(AND(IFERROR(SEARCH("현대오일뱅크",$C698),0)&gt;0,IFERROR(SEARCH("직영",$C698),0)&gt;0),$B$13,0)</f>
        <v>0</v>
      </c>
      <c r="M698" s="17" t="n">
        <f aca="false">IF($H698="","",$H698+$L698)</f>
        <v>1915</v>
      </c>
      <c r="N698" s="17" t="str">
        <f aca="false">IF($I698="","",$I698+$L698)</f>
        <v/>
      </c>
      <c r="O698" s="17" t="n">
        <f aca="false">IF($K698="","",$K698+$L698)</f>
        <v>1905</v>
      </c>
      <c r="P698" s="17" t="str">
        <f aca="false">IF($B$10=0,"",IFERROR(IF($B$4&gt;0,"휘발유 "&amp;TEXT(IF($M698="",1/0,$M698*$B$4),"#,##0")&amp;"원","")&amp;IF($B$5&gt;0,IF($B$4&gt;0," / ","")&amp;"고급유 "&amp;TEXT(IF($N698="",1/0,$N698*$B$5),"#,##0")&amp;"원","")&amp;IF($B$6&gt;0,IF(OR($B$4&gt;0,$B$5&gt;0)," / ","")&amp;"경유 "&amp;TEXT(IF($O698="",1/0,$O698*$B$6),"#,##0")&amp;"원",""),""))</f>
        <v/>
      </c>
      <c r="Q698" s="17" t="str">
        <f aca="false">IF($B$10=0,"",IFERROR(IF($B$4&gt;0,IF($M698="",1/0,$M698*$B$4),0)+IF($B$5&gt;0,IF($N698="",1/0,$N698*$B$5),0)+IF($B$6&gt;0,IF($O698="",1/0,$O698*$B$6),0),""))</f>
        <v/>
      </c>
      <c r="R698" s="17"/>
      <c r="S698" s="18" t="str">
        <f aca="false">IF($Q698="","",IF($R698="Y",IFERROR(VLOOKUP($B698,$C$4:$D$13,2,FALSE()),0),0))</f>
        <v/>
      </c>
      <c r="T698" s="17" t="str">
        <f aca="false">IF($Q698="","",ROUNDDOWN($Q698*$S698,0))</f>
        <v/>
      </c>
      <c r="U698" s="17" t="str">
        <f aca="false">IF($Q698="","",$Q698-$T698)</f>
        <v/>
      </c>
      <c r="V698" s="17" t="str">
        <f aca="false">IF($U698="","",IF($B$10=0,"",$U698/$B$10))</f>
        <v/>
      </c>
      <c r="W698" s="17" t="str">
        <f aca="false">IF($Q698="","",IF($B$10=0,"",$Q698/$B$10))</f>
        <v/>
      </c>
      <c r="X698" s="19" t="n">
        <f aca="false">IF($U698="",1000000000000000,$U698)</f>
        <v>1000000000000000</v>
      </c>
      <c r="XFC698" s="6"/>
    </row>
    <row r="699" s="22" customFormat="true" ht="28.5" hidden="false" customHeight="true" outlineLevel="0" collapsed="false">
      <c r="A699" s="16" t="str">
        <f aca="false">IF($U699="","",1+COUNTIF($X$15:$X$728,"&lt;"&amp;X699))</f>
        <v/>
      </c>
      <c r="B699" s="16" t="s">
        <v>10</v>
      </c>
      <c r="C699" s="16" t="s">
        <v>2078</v>
      </c>
      <c r="D699" s="20" t="s">
        <v>108</v>
      </c>
      <c r="E699" s="16" t="s">
        <v>47</v>
      </c>
      <c r="F699" s="16" t="s">
        <v>2079</v>
      </c>
      <c r="G699" s="16" t="s">
        <v>2080</v>
      </c>
      <c r="H699" s="17" t="n">
        <v>1915</v>
      </c>
      <c r="I699" s="17"/>
      <c r="J699" s="17"/>
      <c r="K699" s="17" t="n">
        <v>1919</v>
      </c>
      <c r="L699" s="17" t="n">
        <f aca="false">IF(AND(IFERROR(SEARCH("현대오일뱅크",$C699),0)&gt;0,IFERROR(SEARCH("직영",$C699),0)&gt;0),$B$13,0)</f>
        <v>0</v>
      </c>
      <c r="M699" s="17" t="n">
        <f aca="false">IF($H699="","",$H699+$L699)</f>
        <v>1915</v>
      </c>
      <c r="N699" s="17" t="str">
        <f aca="false">IF($I699="","",$I699+$L699)</f>
        <v/>
      </c>
      <c r="O699" s="17" t="n">
        <f aca="false">IF($K699="","",$K699+$L699)</f>
        <v>1919</v>
      </c>
      <c r="P699" s="17" t="str">
        <f aca="false">IF($B$10=0,"",IFERROR(IF($B$4&gt;0,"휘발유 "&amp;TEXT(IF($M699="",1/0,$M699*$B$4),"#,##0")&amp;"원","")&amp;IF($B$5&gt;0,IF($B$4&gt;0," / ","")&amp;"고급유 "&amp;TEXT(IF($N699="",1/0,$N699*$B$5),"#,##0")&amp;"원","")&amp;IF($B$6&gt;0,IF(OR($B$4&gt;0,$B$5&gt;0)," / ","")&amp;"경유 "&amp;TEXT(IF($O699="",1/0,$O699*$B$6),"#,##0")&amp;"원",""),""))</f>
        <v/>
      </c>
      <c r="Q699" s="17" t="str">
        <f aca="false">IF($B$10=0,"",IFERROR(IF($B$4&gt;0,IF($M699="",1/0,$M699*$B$4),0)+IF($B$5&gt;0,IF($N699="",1/0,$N699*$B$5),0)+IF($B$6&gt;0,IF($O699="",1/0,$O699*$B$6),0),""))</f>
        <v/>
      </c>
      <c r="R699" s="17"/>
      <c r="S699" s="18" t="str">
        <f aca="false">IF($Q699="","",IF($R699="Y",IFERROR(VLOOKUP($B699,$C$4:$D$13,2,FALSE()),0),0))</f>
        <v/>
      </c>
      <c r="T699" s="17" t="str">
        <f aca="false">IF($Q699="","",ROUNDDOWN($Q699*$S699,0))</f>
        <v/>
      </c>
      <c r="U699" s="17" t="str">
        <f aca="false">IF($Q699="","",$Q699-$T699)</f>
        <v/>
      </c>
      <c r="V699" s="17" t="str">
        <f aca="false">IF($U699="","",IF($B$10=0,"",$U699/$B$10))</f>
        <v/>
      </c>
      <c r="W699" s="17" t="str">
        <f aca="false">IF($Q699="","",IF($B$10=0,"",$Q699/$B$10))</f>
        <v/>
      </c>
      <c r="X699" s="19" t="n">
        <f aca="false">IF($U699="",1000000000000000,$U699)</f>
        <v>1000000000000000</v>
      </c>
      <c r="XFC699" s="6"/>
    </row>
    <row r="700" s="22" customFormat="true" ht="28.5" hidden="false" customHeight="true" outlineLevel="0" collapsed="false">
      <c r="A700" s="16" t="str">
        <f aca="false">IF($U700="","",1+COUNTIF($X$15:$X$728,"&lt;"&amp;X700))</f>
        <v/>
      </c>
      <c r="B700" s="16" t="s">
        <v>14</v>
      </c>
      <c r="C700" s="16" t="s">
        <v>2081</v>
      </c>
      <c r="D700" s="16" t="s">
        <v>112</v>
      </c>
      <c r="E700" s="16" t="s">
        <v>47</v>
      </c>
      <c r="F700" s="16" t="s">
        <v>2082</v>
      </c>
      <c r="G700" s="16" t="s">
        <v>2083</v>
      </c>
      <c r="H700" s="17" t="n">
        <v>1915</v>
      </c>
      <c r="I700" s="17"/>
      <c r="J700" s="17"/>
      <c r="K700" s="17" t="n">
        <v>1894</v>
      </c>
      <c r="L700" s="17" t="n">
        <f aca="false">IF(AND(IFERROR(SEARCH("현대오일뱅크",$C700),0)&gt;0,IFERROR(SEARCH("직영",$C700),0)&gt;0),$B$13,0)</f>
        <v>0</v>
      </c>
      <c r="M700" s="17" t="n">
        <f aca="false">IF($H700="","",$H700+$L700)</f>
        <v>1915</v>
      </c>
      <c r="N700" s="17" t="str">
        <f aca="false">IF($I700="","",$I700+$L700)</f>
        <v/>
      </c>
      <c r="O700" s="17" t="n">
        <f aca="false">IF($K700="","",$K700+$L700)</f>
        <v>1894</v>
      </c>
      <c r="P700" s="17" t="str">
        <f aca="false">IF($B$10=0,"",IFERROR(IF($B$4&gt;0,"휘발유 "&amp;TEXT(IF($M700="",1/0,$M700*$B$4),"#,##0")&amp;"원","")&amp;IF($B$5&gt;0,IF($B$4&gt;0," / ","")&amp;"고급유 "&amp;TEXT(IF($N700="",1/0,$N700*$B$5),"#,##0")&amp;"원","")&amp;IF($B$6&gt;0,IF(OR($B$4&gt;0,$B$5&gt;0)," / ","")&amp;"경유 "&amp;TEXT(IF($O700="",1/0,$O700*$B$6),"#,##0")&amp;"원",""),""))</f>
        <v/>
      </c>
      <c r="Q700" s="17" t="str">
        <f aca="false">IF($B$10=0,"",IFERROR(IF($B$4&gt;0,IF($M700="",1/0,$M700*$B$4),0)+IF($B$5&gt;0,IF($N700="",1/0,$N700*$B$5),0)+IF($B$6&gt;0,IF($O700="",1/0,$O700*$B$6),0),""))</f>
        <v/>
      </c>
      <c r="R700" s="17"/>
      <c r="S700" s="18" t="str">
        <f aca="false">IF($Q700="","",IF($R700="Y",IFERROR(VLOOKUP($B700,$C$4:$D$13,2,FALSE()),0),0))</f>
        <v/>
      </c>
      <c r="T700" s="17" t="str">
        <f aca="false">IF($Q700="","",ROUNDDOWN($Q700*$S700,0))</f>
        <v/>
      </c>
      <c r="U700" s="17" t="str">
        <f aca="false">IF($Q700="","",$Q700-$T700)</f>
        <v/>
      </c>
      <c r="V700" s="17" t="str">
        <f aca="false">IF($U700="","",IF($B$10=0,"",$U700/$B$10))</f>
        <v/>
      </c>
      <c r="W700" s="17" t="str">
        <f aca="false">IF($Q700="","",IF($B$10=0,"",$Q700/$B$10))</f>
        <v/>
      </c>
      <c r="X700" s="19" t="n">
        <f aca="false">IF($U700="",1000000000000000,$U700)</f>
        <v>1000000000000000</v>
      </c>
      <c r="XFC700" s="6"/>
    </row>
    <row r="701" s="22" customFormat="true" ht="28.5" hidden="false" customHeight="true" outlineLevel="0" collapsed="false">
      <c r="A701" s="16" t="str">
        <f aca="false">IF($U701="","",1+COUNTIF($X$15:$X$728,"&lt;"&amp;X701))</f>
        <v/>
      </c>
      <c r="B701" s="16" t="s">
        <v>18</v>
      </c>
      <c r="C701" s="16" t="s">
        <v>2084</v>
      </c>
      <c r="D701" s="20" t="s">
        <v>108</v>
      </c>
      <c r="E701" s="16" t="s">
        <v>47</v>
      </c>
      <c r="F701" s="16" t="s">
        <v>2085</v>
      </c>
      <c r="G701" s="16" t="s">
        <v>2086</v>
      </c>
      <c r="H701" s="17" t="n">
        <v>1916</v>
      </c>
      <c r="I701" s="17"/>
      <c r="J701" s="17"/>
      <c r="K701" s="17" t="n">
        <v>1939</v>
      </c>
      <c r="L701" s="17" t="n">
        <f aca="false">IF(AND(IFERROR(SEARCH("현대오일뱅크",$C701),0)&gt;0,IFERROR(SEARCH("직영",$C701),0)&gt;0),$B$13,0)</f>
        <v>0</v>
      </c>
      <c r="M701" s="17" t="n">
        <f aca="false">IF($H701="","",$H701+$L701)</f>
        <v>1916</v>
      </c>
      <c r="N701" s="17" t="str">
        <f aca="false">IF($I701="","",$I701+$L701)</f>
        <v/>
      </c>
      <c r="O701" s="17" t="n">
        <f aca="false">IF($K701="","",$K701+$L701)</f>
        <v>1939</v>
      </c>
      <c r="P701" s="17" t="str">
        <f aca="false">IF($B$10=0,"",IFERROR(IF($B$4&gt;0,"휘발유 "&amp;TEXT(IF($M701="",1/0,$M701*$B$4),"#,##0")&amp;"원","")&amp;IF($B$5&gt;0,IF($B$4&gt;0," / ","")&amp;"고급유 "&amp;TEXT(IF($N701="",1/0,$N701*$B$5),"#,##0")&amp;"원","")&amp;IF($B$6&gt;0,IF(OR($B$4&gt;0,$B$5&gt;0)," / ","")&amp;"경유 "&amp;TEXT(IF($O701="",1/0,$O701*$B$6),"#,##0")&amp;"원",""),""))</f>
        <v/>
      </c>
      <c r="Q701" s="17" t="str">
        <f aca="false">IF($B$10=0,"",IFERROR(IF($B$4&gt;0,IF($M701="",1/0,$M701*$B$4),0)+IF($B$5&gt;0,IF($N701="",1/0,$N701*$B$5),0)+IF($B$6&gt;0,IF($O701="",1/0,$O701*$B$6),0),""))</f>
        <v/>
      </c>
      <c r="R701" s="17"/>
      <c r="S701" s="18" t="str">
        <f aca="false">IF($Q701="","",IF($R701="Y",IFERROR(VLOOKUP($B701,$C$4:$D$13,2,FALSE()),0),0))</f>
        <v/>
      </c>
      <c r="T701" s="17" t="str">
        <f aca="false">IF($Q701="","",ROUNDDOWN($Q701*$S701,0))</f>
        <v/>
      </c>
      <c r="U701" s="17" t="str">
        <f aca="false">IF($Q701="","",$Q701-$T701)</f>
        <v/>
      </c>
      <c r="V701" s="17" t="str">
        <f aca="false">IF($U701="","",IF($B$10=0,"",$U701/$B$10))</f>
        <v/>
      </c>
      <c r="W701" s="17" t="str">
        <f aca="false">IF($Q701="","",IF($B$10=0,"",$Q701/$B$10))</f>
        <v/>
      </c>
      <c r="X701" s="19" t="n">
        <f aca="false">IF($U701="",1000000000000000,$U701)</f>
        <v>1000000000000000</v>
      </c>
      <c r="XFC701" s="6"/>
    </row>
    <row r="702" s="22" customFormat="true" ht="28.5" hidden="false" customHeight="true" outlineLevel="0" collapsed="false">
      <c r="A702" s="16" t="str">
        <f aca="false">IF($U702="","",1+COUNTIF($X$15:$X$728,"&lt;"&amp;X702))</f>
        <v/>
      </c>
      <c r="B702" s="16" t="s">
        <v>14</v>
      </c>
      <c r="C702" s="16" t="s">
        <v>2087</v>
      </c>
      <c r="D702" s="16" t="s">
        <v>112</v>
      </c>
      <c r="E702" s="16" t="s">
        <v>47</v>
      </c>
      <c r="F702" s="16" t="s">
        <v>2088</v>
      </c>
      <c r="G702" s="16" t="s">
        <v>2089</v>
      </c>
      <c r="H702" s="17" t="n">
        <v>1917</v>
      </c>
      <c r="I702" s="17"/>
      <c r="J702" s="17"/>
      <c r="K702" s="17" t="n">
        <v>2027</v>
      </c>
      <c r="L702" s="17" t="n">
        <f aca="false">IF(AND(IFERROR(SEARCH("현대오일뱅크",$C702),0)&gt;0,IFERROR(SEARCH("직영",$C702),0)&gt;0),$B$13,0)</f>
        <v>0</v>
      </c>
      <c r="M702" s="17" t="n">
        <f aca="false">IF($H702="","",$H702+$L702)</f>
        <v>1917</v>
      </c>
      <c r="N702" s="17" t="str">
        <f aca="false">IF($I702="","",$I702+$L702)</f>
        <v/>
      </c>
      <c r="O702" s="17" t="n">
        <f aca="false">IF($K702="","",$K702+$L702)</f>
        <v>2027</v>
      </c>
      <c r="P702" s="17" t="str">
        <f aca="false">IF($B$10=0,"",IFERROR(IF($B$4&gt;0,"휘발유 "&amp;TEXT(IF($M702="",1/0,$M702*$B$4),"#,##0")&amp;"원","")&amp;IF($B$5&gt;0,IF($B$4&gt;0," / ","")&amp;"고급유 "&amp;TEXT(IF($N702="",1/0,$N702*$B$5),"#,##0")&amp;"원","")&amp;IF($B$6&gt;0,IF(OR($B$4&gt;0,$B$5&gt;0)," / ","")&amp;"경유 "&amp;TEXT(IF($O702="",1/0,$O702*$B$6),"#,##0")&amp;"원",""),""))</f>
        <v/>
      </c>
      <c r="Q702" s="17" t="str">
        <f aca="false">IF($B$10=0,"",IFERROR(IF($B$4&gt;0,IF($M702="",1/0,$M702*$B$4),0)+IF($B$5&gt;0,IF($N702="",1/0,$N702*$B$5),0)+IF($B$6&gt;0,IF($O702="",1/0,$O702*$B$6),0),""))</f>
        <v/>
      </c>
      <c r="R702" s="17"/>
      <c r="S702" s="18" t="str">
        <f aca="false">IF($Q702="","",IF($R702="Y",IFERROR(VLOOKUP($B702,$C$4:$D$13,2,FALSE()),0),0))</f>
        <v/>
      </c>
      <c r="T702" s="17" t="str">
        <f aca="false">IF($Q702="","",ROUNDDOWN($Q702*$S702,0))</f>
        <v/>
      </c>
      <c r="U702" s="17" t="str">
        <f aca="false">IF($Q702="","",$Q702-$T702)</f>
        <v/>
      </c>
      <c r="V702" s="17" t="str">
        <f aca="false">IF($U702="","",IF($B$10=0,"",$U702/$B$10))</f>
        <v/>
      </c>
      <c r="W702" s="17" t="str">
        <f aca="false">IF($Q702="","",IF($B$10=0,"",$Q702/$B$10))</f>
        <v/>
      </c>
      <c r="X702" s="19" t="n">
        <f aca="false">IF($U702="",1000000000000000,$U702)</f>
        <v>1000000000000000</v>
      </c>
      <c r="XFC702" s="6"/>
    </row>
    <row r="703" s="22" customFormat="true" ht="28.5" hidden="false" customHeight="true" outlineLevel="0" collapsed="false">
      <c r="A703" s="16" t="str">
        <f aca="false">IF($U703="","",1+COUNTIF($X$15:$X$728,"&lt;"&amp;X703))</f>
        <v/>
      </c>
      <c r="B703" s="16" t="s">
        <v>12</v>
      </c>
      <c r="C703" s="16" t="s">
        <v>2090</v>
      </c>
      <c r="D703" s="20" t="s">
        <v>294</v>
      </c>
      <c r="E703" s="16" t="s">
        <v>47</v>
      </c>
      <c r="F703" s="16" t="s">
        <v>2091</v>
      </c>
      <c r="G703" s="16" t="s">
        <v>2092</v>
      </c>
      <c r="H703" s="17" t="n">
        <v>1917</v>
      </c>
      <c r="I703" s="17"/>
      <c r="J703" s="17"/>
      <c r="K703" s="17" t="n">
        <v>1992</v>
      </c>
      <c r="L703" s="17" t="n">
        <f aca="false">IF(AND(IFERROR(SEARCH("현대오일뱅크",$C703),0)&gt;0,IFERROR(SEARCH("직영",$C703),0)&gt;0),$B$13,0)</f>
        <v>0</v>
      </c>
      <c r="M703" s="17" t="n">
        <f aca="false">IF($H703="","",$H703+$L703)</f>
        <v>1917</v>
      </c>
      <c r="N703" s="17" t="str">
        <f aca="false">IF($I703="","",$I703+$L703)</f>
        <v/>
      </c>
      <c r="O703" s="17" t="n">
        <f aca="false">IF($K703="","",$K703+$L703)</f>
        <v>1992</v>
      </c>
      <c r="P703" s="17" t="str">
        <f aca="false">IF($B$10=0,"",IFERROR(IF($B$4&gt;0,"휘발유 "&amp;TEXT(IF($M703="",1/0,$M703*$B$4),"#,##0")&amp;"원","")&amp;IF($B$5&gt;0,IF($B$4&gt;0," / ","")&amp;"고급유 "&amp;TEXT(IF($N703="",1/0,$N703*$B$5),"#,##0")&amp;"원","")&amp;IF($B$6&gt;0,IF(OR($B$4&gt;0,$B$5&gt;0)," / ","")&amp;"경유 "&amp;TEXT(IF($O703="",1/0,$O703*$B$6),"#,##0")&amp;"원",""),""))</f>
        <v/>
      </c>
      <c r="Q703" s="17" t="str">
        <f aca="false">IF($B$10=0,"",IFERROR(IF($B$4&gt;0,IF($M703="",1/0,$M703*$B$4),0)+IF($B$5&gt;0,IF($N703="",1/0,$N703*$B$5),0)+IF($B$6&gt;0,IF($O703="",1/0,$O703*$B$6),0),""))</f>
        <v/>
      </c>
      <c r="R703" s="17"/>
      <c r="S703" s="18" t="str">
        <f aca="false">IF($Q703="","",IF($R703="Y",IFERROR(VLOOKUP($B703,$C$4:$D$13,2,FALSE()),0),0))</f>
        <v/>
      </c>
      <c r="T703" s="17" t="str">
        <f aca="false">IF($Q703="","",ROUNDDOWN($Q703*$S703,0))</f>
        <v/>
      </c>
      <c r="U703" s="17" t="str">
        <f aca="false">IF($Q703="","",$Q703-$T703)</f>
        <v/>
      </c>
      <c r="V703" s="17" t="str">
        <f aca="false">IF($U703="","",IF($B$10=0,"",$U703/$B$10))</f>
        <v/>
      </c>
      <c r="W703" s="17" t="str">
        <f aca="false">IF($Q703="","",IF($B$10=0,"",$Q703/$B$10))</f>
        <v/>
      </c>
      <c r="X703" s="19" t="n">
        <f aca="false">IF($U703="",1000000000000000,$U703)</f>
        <v>1000000000000000</v>
      </c>
      <c r="XFC703" s="6"/>
    </row>
    <row r="704" s="22" customFormat="true" ht="28.5" hidden="false" customHeight="true" outlineLevel="0" collapsed="false">
      <c r="A704" s="16" t="str">
        <f aca="false">IF($U704="","",1+COUNTIF($X$15:$X$728,"&lt;"&amp;X704))</f>
        <v/>
      </c>
      <c r="B704" s="16" t="s">
        <v>8</v>
      </c>
      <c r="C704" s="16" t="s">
        <v>2093</v>
      </c>
      <c r="D704" s="16" t="s">
        <v>46</v>
      </c>
      <c r="E704" s="16" t="s">
        <v>47</v>
      </c>
      <c r="F704" s="16" t="s">
        <v>2094</v>
      </c>
      <c r="G704" s="16" t="s">
        <v>2095</v>
      </c>
      <c r="H704" s="17" t="n">
        <v>1918</v>
      </c>
      <c r="I704" s="17"/>
      <c r="J704" s="17"/>
      <c r="K704" s="17" t="n">
        <v>1948</v>
      </c>
      <c r="L704" s="17" t="n">
        <f aca="false">IF(AND(IFERROR(SEARCH("현대오일뱅크",$C704),0)&gt;0,IFERROR(SEARCH("직영",$C704),0)&gt;0),$B$13,0)</f>
        <v>0</v>
      </c>
      <c r="M704" s="17" t="n">
        <f aca="false">IF($H704="","",$H704+$L704)</f>
        <v>1918</v>
      </c>
      <c r="N704" s="17" t="str">
        <f aca="false">IF($I704="","",$I704+$L704)</f>
        <v/>
      </c>
      <c r="O704" s="17" t="n">
        <f aca="false">IF($K704="","",$K704+$L704)</f>
        <v>1948</v>
      </c>
      <c r="P704" s="17" t="str">
        <f aca="false">IF($B$10=0,"",IFERROR(IF($B$4&gt;0,"휘발유 "&amp;TEXT(IF($M704="",1/0,$M704*$B$4),"#,##0")&amp;"원","")&amp;IF($B$5&gt;0,IF($B$4&gt;0," / ","")&amp;"고급유 "&amp;TEXT(IF($N704="",1/0,$N704*$B$5),"#,##0")&amp;"원","")&amp;IF($B$6&gt;0,IF(OR($B$4&gt;0,$B$5&gt;0)," / ","")&amp;"경유 "&amp;TEXT(IF($O704="",1/0,$O704*$B$6),"#,##0")&amp;"원",""),""))</f>
        <v/>
      </c>
      <c r="Q704" s="17" t="str">
        <f aca="false">IF($B$10=0,"",IFERROR(IF($B$4&gt;0,IF($M704="",1/0,$M704*$B$4),0)+IF($B$5&gt;0,IF($N704="",1/0,$N704*$B$5),0)+IF($B$6&gt;0,IF($O704="",1/0,$O704*$B$6),0),""))</f>
        <v/>
      </c>
      <c r="R704" s="17"/>
      <c r="S704" s="18" t="str">
        <f aca="false">IF($Q704="","",IF($R704="Y",IFERROR(VLOOKUP($B704,$C$4:$D$13,2,FALSE()),0),0))</f>
        <v/>
      </c>
      <c r="T704" s="17" t="str">
        <f aca="false">IF($Q704="","",ROUNDDOWN($Q704*$S704,0))</f>
        <v/>
      </c>
      <c r="U704" s="17" t="str">
        <f aca="false">IF($Q704="","",$Q704-$T704)</f>
        <v/>
      </c>
      <c r="V704" s="17" t="str">
        <f aca="false">IF($U704="","",IF($B$10=0,"",$U704/$B$10))</f>
        <v/>
      </c>
      <c r="W704" s="17" t="str">
        <f aca="false">IF($Q704="","",IF($B$10=0,"",$Q704/$B$10))</f>
        <v/>
      </c>
      <c r="X704" s="19" t="n">
        <f aca="false">IF($U704="",1000000000000000,$U704)</f>
        <v>1000000000000000</v>
      </c>
      <c r="XFC704" s="6"/>
    </row>
    <row r="705" s="22" customFormat="true" ht="28.5" hidden="false" customHeight="true" outlineLevel="0" collapsed="false">
      <c r="A705" s="16" t="str">
        <f aca="false">IF($U705="","",1+COUNTIF($X$15:$X$728,"&lt;"&amp;X705))</f>
        <v/>
      </c>
      <c r="B705" s="16" t="s">
        <v>14</v>
      </c>
      <c r="C705" s="16" t="s">
        <v>2096</v>
      </c>
      <c r="D705" s="16" t="s">
        <v>112</v>
      </c>
      <c r="E705" s="16" t="s">
        <v>47</v>
      </c>
      <c r="F705" s="16" t="s">
        <v>2097</v>
      </c>
      <c r="G705" s="16" t="s">
        <v>2098</v>
      </c>
      <c r="H705" s="17" t="n">
        <v>1918</v>
      </c>
      <c r="I705" s="17"/>
      <c r="J705" s="17"/>
      <c r="K705" s="17" t="n">
        <v>1918</v>
      </c>
      <c r="L705" s="17" t="n">
        <f aca="false">IF(AND(IFERROR(SEARCH("현대오일뱅크",$C705),0)&gt;0,IFERROR(SEARCH("직영",$C705),0)&gt;0),$B$13,0)</f>
        <v>0</v>
      </c>
      <c r="M705" s="17" t="n">
        <f aca="false">IF($H705="","",$H705+$L705)</f>
        <v>1918</v>
      </c>
      <c r="N705" s="17" t="str">
        <f aca="false">IF($I705="","",$I705+$L705)</f>
        <v/>
      </c>
      <c r="O705" s="17" t="n">
        <f aca="false">IF($K705="","",$K705+$L705)</f>
        <v>1918</v>
      </c>
      <c r="P705" s="17" t="str">
        <f aca="false">IF($B$10=0,"",IFERROR(IF($B$4&gt;0,"휘발유 "&amp;TEXT(IF($M705="",1/0,$M705*$B$4),"#,##0")&amp;"원","")&amp;IF($B$5&gt;0,IF($B$4&gt;0," / ","")&amp;"고급유 "&amp;TEXT(IF($N705="",1/0,$N705*$B$5),"#,##0")&amp;"원","")&amp;IF($B$6&gt;0,IF(OR($B$4&gt;0,$B$5&gt;0)," / ","")&amp;"경유 "&amp;TEXT(IF($O705="",1/0,$O705*$B$6),"#,##0")&amp;"원",""),""))</f>
        <v/>
      </c>
      <c r="Q705" s="17" t="str">
        <f aca="false">IF($B$10=0,"",IFERROR(IF($B$4&gt;0,IF($M705="",1/0,$M705*$B$4),0)+IF($B$5&gt;0,IF($N705="",1/0,$N705*$B$5),0)+IF($B$6&gt;0,IF($O705="",1/0,$O705*$B$6),0),""))</f>
        <v/>
      </c>
      <c r="R705" s="17"/>
      <c r="S705" s="18" t="str">
        <f aca="false">IF($Q705="","",IF($R705="Y",IFERROR(VLOOKUP($B705,$C$4:$D$13,2,FALSE()),0),0))</f>
        <v/>
      </c>
      <c r="T705" s="17" t="str">
        <f aca="false">IF($Q705="","",ROUNDDOWN($Q705*$S705,0))</f>
        <v/>
      </c>
      <c r="U705" s="17" t="str">
        <f aca="false">IF($Q705="","",$Q705-$T705)</f>
        <v/>
      </c>
      <c r="V705" s="17" t="str">
        <f aca="false">IF($U705="","",IF($B$10=0,"",$U705/$B$10))</f>
        <v/>
      </c>
      <c r="W705" s="17" t="str">
        <f aca="false">IF($Q705="","",IF($B$10=0,"",$Q705/$B$10))</f>
        <v/>
      </c>
      <c r="X705" s="19" t="n">
        <f aca="false">IF($U705="",1000000000000000,$U705)</f>
        <v>1000000000000000</v>
      </c>
      <c r="XFC705" s="6"/>
    </row>
    <row r="706" s="22" customFormat="true" ht="28.5" hidden="false" customHeight="true" outlineLevel="0" collapsed="false">
      <c r="A706" s="16" t="str">
        <f aca="false">IF($U706="","",1+COUNTIF($X$15:$X$728,"&lt;"&amp;X706))</f>
        <v/>
      </c>
      <c r="B706" s="16" t="s">
        <v>8</v>
      </c>
      <c r="C706" s="16" t="s">
        <v>2099</v>
      </c>
      <c r="D706" s="20" t="s">
        <v>108</v>
      </c>
      <c r="E706" s="16" t="s">
        <v>47</v>
      </c>
      <c r="F706" s="16" t="s">
        <v>2100</v>
      </c>
      <c r="G706" s="16" t="s">
        <v>2101</v>
      </c>
      <c r="H706" s="17" t="n">
        <v>1918</v>
      </c>
      <c r="I706" s="17"/>
      <c r="J706" s="17"/>
      <c r="K706" s="17" t="n">
        <v>1948</v>
      </c>
      <c r="L706" s="17" t="n">
        <f aca="false">IF(AND(IFERROR(SEARCH("현대오일뱅크",$C706),0)&gt;0,IFERROR(SEARCH("직영",$C706),0)&gt;0),$B$13,0)</f>
        <v>0</v>
      </c>
      <c r="M706" s="17" t="n">
        <f aca="false">IF($H706="","",$H706+$L706)</f>
        <v>1918</v>
      </c>
      <c r="N706" s="17" t="str">
        <f aca="false">IF($I706="","",$I706+$L706)</f>
        <v/>
      </c>
      <c r="O706" s="17" t="n">
        <f aca="false">IF($K706="","",$K706+$L706)</f>
        <v>1948</v>
      </c>
      <c r="P706" s="17" t="str">
        <f aca="false">IF($B$10=0,"",IFERROR(IF($B$4&gt;0,"휘발유 "&amp;TEXT(IF($M706="",1/0,$M706*$B$4),"#,##0")&amp;"원","")&amp;IF($B$5&gt;0,IF($B$4&gt;0," / ","")&amp;"고급유 "&amp;TEXT(IF($N706="",1/0,$N706*$B$5),"#,##0")&amp;"원","")&amp;IF($B$6&gt;0,IF(OR($B$4&gt;0,$B$5&gt;0)," / ","")&amp;"경유 "&amp;TEXT(IF($O706="",1/0,$O706*$B$6),"#,##0")&amp;"원",""),""))</f>
        <v/>
      </c>
      <c r="Q706" s="17" t="str">
        <f aca="false">IF($B$10=0,"",IFERROR(IF($B$4&gt;0,IF($M706="",1/0,$M706*$B$4),0)+IF($B$5&gt;0,IF($N706="",1/0,$N706*$B$5),0)+IF($B$6&gt;0,IF($O706="",1/0,$O706*$B$6),0),""))</f>
        <v/>
      </c>
      <c r="R706" s="17"/>
      <c r="S706" s="18" t="str">
        <f aca="false">IF($Q706="","",IF($R706="Y",IFERROR(VLOOKUP($B706,$C$4:$D$13,2,FALSE()),0),0))</f>
        <v/>
      </c>
      <c r="T706" s="17" t="str">
        <f aca="false">IF($Q706="","",ROUNDDOWN($Q706*$S706,0))</f>
        <v/>
      </c>
      <c r="U706" s="17" t="str">
        <f aca="false">IF($Q706="","",$Q706-$T706)</f>
        <v/>
      </c>
      <c r="V706" s="17" t="str">
        <f aca="false">IF($U706="","",IF($B$10=0,"",$U706/$B$10))</f>
        <v/>
      </c>
      <c r="W706" s="17" t="str">
        <f aca="false">IF($Q706="","",IF($B$10=0,"",$Q706/$B$10))</f>
        <v/>
      </c>
      <c r="X706" s="19" t="n">
        <f aca="false">IF($U706="",1000000000000000,$U706)</f>
        <v>1000000000000000</v>
      </c>
      <c r="XFC706" s="6"/>
    </row>
    <row r="707" s="22" customFormat="true" ht="28.5" hidden="false" customHeight="true" outlineLevel="0" collapsed="false">
      <c r="A707" s="16" t="str">
        <f aca="false">IF($U707="","",1+COUNTIF($X$15:$X$728,"&lt;"&amp;X707))</f>
        <v/>
      </c>
      <c r="B707" s="16" t="s">
        <v>14</v>
      </c>
      <c r="C707" s="16" t="s">
        <v>2102</v>
      </c>
      <c r="D707" s="16" t="s">
        <v>58</v>
      </c>
      <c r="E707" s="16" t="s">
        <v>59</v>
      </c>
      <c r="F707" s="16" t="s">
        <v>2103</v>
      </c>
      <c r="G707" s="16" t="s">
        <v>2104</v>
      </c>
      <c r="H707" s="17" t="n">
        <v>1918</v>
      </c>
      <c r="I707" s="17"/>
      <c r="J707" s="17"/>
      <c r="K707" s="17" t="n">
        <v>1948</v>
      </c>
      <c r="L707" s="17" t="n">
        <f aca="false">IF(AND(IFERROR(SEARCH("현대오일뱅크",$C707),0)&gt;0,IFERROR(SEARCH("직영",$C707),0)&gt;0),$B$13,0)</f>
        <v>0</v>
      </c>
      <c r="M707" s="17" t="n">
        <f aca="false">IF($H707="","",$H707+$L707)</f>
        <v>1918</v>
      </c>
      <c r="N707" s="17" t="str">
        <f aca="false">IF($I707="","",$I707+$L707)</f>
        <v/>
      </c>
      <c r="O707" s="17" t="n">
        <f aca="false">IF($K707="","",$K707+$L707)</f>
        <v>1948</v>
      </c>
      <c r="P707" s="17" t="str">
        <f aca="false">IF($B$10=0,"",IFERROR(IF($B$4&gt;0,"휘발유 "&amp;TEXT(IF($M707="",1/0,$M707*$B$4),"#,##0")&amp;"원","")&amp;IF($B$5&gt;0,IF($B$4&gt;0," / ","")&amp;"고급유 "&amp;TEXT(IF($N707="",1/0,$N707*$B$5),"#,##0")&amp;"원","")&amp;IF($B$6&gt;0,IF(OR($B$4&gt;0,$B$5&gt;0)," / ","")&amp;"경유 "&amp;TEXT(IF($O707="",1/0,$O707*$B$6),"#,##0")&amp;"원",""),""))</f>
        <v/>
      </c>
      <c r="Q707" s="17" t="str">
        <f aca="false">IF($B$10=0,"",IFERROR(IF($B$4&gt;0,IF($M707="",1/0,$M707*$B$4),0)+IF($B$5&gt;0,IF($N707="",1/0,$N707*$B$5),0)+IF($B$6&gt;0,IF($O707="",1/0,$O707*$B$6),0),""))</f>
        <v/>
      </c>
      <c r="R707" s="17"/>
      <c r="S707" s="18" t="str">
        <f aca="false">IF($Q707="","",IF($R707="Y",IFERROR(VLOOKUP($B707,$C$4:$D$13,2,FALSE()),0),0))</f>
        <v/>
      </c>
      <c r="T707" s="17" t="str">
        <f aca="false">IF($Q707="","",ROUNDDOWN($Q707*$S707,0))</f>
        <v/>
      </c>
      <c r="U707" s="17" t="str">
        <f aca="false">IF($Q707="","",$Q707-$T707)</f>
        <v/>
      </c>
      <c r="V707" s="17" t="str">
        <f aca="false">IF($U707="","",IF($B$10=0,"",$U707/$B$10))</f>
        <v/>
      </c>
      <c r="W707" s="17" t="str">
        <f aca="false">IF($Q707="","",IF($B$10=0,"",$Q707/$B$10))</f>
        <v/>
      </c>
      <c r="X707" s="19" t="n">
        <f aca="false">IF($U707="",1000000000000000,$U707)</f>
        <v>1000000000000000</v>
      </c>
      <c r="XFC707" s="6"/>
    </row>
    <row r="708" s="22" customFormat="true" ht="28.5" hidden="false" customHeight="true" outlineLevel="0" collapsed="false">
      <c r="A708" s="16" t="str">
        <f aca="false">IF($U708="","",1+COUNTIF($X$15:$X$728,"&lt;"&amp;X708))</f>
        <v/>
      </c>
      <c r="B708" s="16" t="s">
        <v>8</v>
      </c>
      <c r="C708" s="16" t="s">
        <v>2105</v>
      </c>
      <c r="D708" s="16" t="s">
        <v>46</v>
      </c>
      <c r="E708" s="16" t="s">
        <v>47</v>
      </c>
      <c r="F708" s="16" t="s">
        <v>2106</v>
      </c>
      <c r="G708" s="16" t="s">
        <v>2107</v>
      </c>
      <c r="H708" s="17" t="n">
        <v>1918</v>
      </c>
      <c r="I708" s="17"/>
      <c r="J708" s="17"/>
      <c r="K708" s="17" t="n">
        <v>1948</v>
      </c>
      <c r="L708" s="17" t="n">
        <f aca="false">IF(AND(IFERROR(SEARCH("현대오일뱅크",$C708),0)&gt;0,IFERROR(SEARCH("직영",$C708),0)&gt;0),$B$13,0)</f>
        <v>0</v>
      </c>
      <c r="M708" s="17" t="n">
        <f aca="false">IF($H708="","",$H708+$L708)</f>
        <v>1918</v>
      </c>
      <c r="N708" s="17" t="str">
        <f aca="false">IF($I708="","",$I708+$L708)</f>
        <v/>
      </c>
      <c r="O708" s="17" t="n">
        <f aca="false">IF($K708="","",$K708+$L708)</f>
        <v>1948</v>
      </c>
      <c r="P708" s="17" t="str">
        <f aca="false">IF($B$10=0,"",IFERROR(IF($B$4&gt;0,"휘발유 "&amp;TEXT(IF($M708="",1/0,$M708*$B$4),"#,##0")&amp;"원","")&amp;IF($B$5&gt;0,IF($B$4&gt;0," / ","")&amp;"고급유 "&amp;TEXT(IF($N708="",1/0,$N708*$B$5),"#,##0")&amp;"원","")&amp;IF($B$6&gt;0,IF(OR($B$4&gt;0,$B$5&gt;0)," / ","")&amp;"경유 "&amp;TEXT(IF($O708="",1/0,$O708*$B$6),"#,##0")&amp;"원",""),""))</f>
        <v/>
      </c>
      <c r="Q708" s="17" t="str">
        <f aca="false">IF($B$10=0,"",IFERROR(IF($B$4&gt;0,IF($M708="",1/0,$M708*$B$4),0)+IF($B$5&gt;0,IF($N708="",1/0,$N708*$B$5),0)+IF($B$6&gt;0,IF($O708="",1/0,$O708*$B$6),0),""))</f>
        <v/>
      </c>
      <c r="R708" s="17"/>
      <c r="S708" s="18" t="str">
        <f aca="false">IF($Q708="","",IF($R708="Y",IFERROR(VLOOKUP($B708,$C$4:$D$13,2,FALSE()),0),0))</f>
        <v/>
      </c>
      <c r="T708" s="17" t="str">
        <f aca="false">IF($Q708="","",ROUNDDOWN($Q708*$S708,0))</f>
        <v/>
      </c>
      <c r="U708" s="17" t="str">
        <f aca="false">IF($Q708="","",$Q708-$T708)</f>
        <v/>
      </c>
      <c r="V708" s="17" t="str">
        <f aca="false">IF($U708="","",IF($B$10=0,"",$U708/$B$10))</f>
        <v/>
      </c>
      <c r="W708" s="17" t="str">
        <f aca="false">IF($Q708="","",IF($B$10=0,"",$Q708/$B$10))</f>
        <v/>
      </c>
      <c r="X708" s="19" t="n">
        <f aca="false">IF($U708="",1000000000000000,$U708)</f>
        <v>1000000000000000</v>
      </c>
      <c r="XFC708" s="6"/>
    </row>
    <row r="709" s="22" customFormat="true" ht="28.5" hidden="false" customHeight="true" outlineLevel="0" collapsed="false">
      <c r="A709" s="16" t="str">
        <f aca="false">IF($U709="","",1+COUNTIF($X$15:$X$728,"&lt;"&amp;X709))</f>
        <v/>
      </c>
      <c r="B709" s="16" t="s">
        <v>8</v>
      </c>
      <c r="C709" s="16" t="s">
        <v>711</v>
      </c>
      <c r="D709" s="16" t="s">
        <v>112</v>
      </c>
      <c r="E709" s="16" t="s">
        <v>59</v>
      </c>
      <c r="F709" s="16" t="s">
        <v>2108</v>
      </c>
      <c r="G709" s="16" t="s">
        <v>2109</v>
      </c>
      <c r="H709" s="17" t="n">
        <v>1918</v>
      </c>
      <c r="I709" s="17"/>
      <c r="J709" s="17"/>
      <c r="K709" s="17" t="n">
        <v>1948</v>
      </c>
      <c r="L709" s="17" t="n">
        <f aca="false">IF(AND(IFERROR(SEARCH("현대오일뱅크",$C709),0)&gt;0,IFERROR(SEARCH("직영",$C709),0)&gt;0),$B$13,0)</f>
        <v>0</v>
      </c>
      <c r="M709" s="17" t="n">
        <f aca="false">IF($H709="","",$H709+$L709)</f>
        <v>1918</v>
      </c>
      <c r="N709" s="17" t="str">
        <f aca="false">IF($I709="","",$I709+$L709)</f>
        <v/>
      </c>
      <c r="O709" s="17" t="n">
        <f aca="false">IF($K709="","",$K709+$L709)</f>
        <v>1948</v>
      </c>
      <c r="P709" s="17" t="str">
        <f aca="false">IF($B$10=0,"",IFERROR(IF($B$4&gt;0,"휘발유 "&amp;TEXT(IF($M709="",1/0,$M709*$B$4),"#,##0")&amp;"원","")&amp;IF($B$5&gt;0,IF($B$4&gt;0," / ","")&amp;"고급유 "&amp;TEXT(IF($N709="",1/0,$N709*$B$5),"#,##0")&amp;"원","")&amp;IF($B$6&gt;0,IF(OR($B$4&gt;0,$B$5&gt;0)," / ","")&amp;"경유 "&amp;TEXT(IF($O709="",1/0,$O709*$B$6),"#,##0")&amp;"원",""),""))</f>
        <v/>
      </c>
      <c r="Q709" s="17" t="str">
        <f aca="false">IF($B$10=0,"",IFERROR(IF($B$4&gt;0,IF($M709="",1/0,$M709*$B$4),0)+IF($B$5&gt;0,IF($N709="",1/0,$N709*$B$5),0)+IF($B$6&gt;0,IF($O709="",1/0,$O709*$B$6),0),""))</f>
        <v/>
      </c>
      <c r="R709" s="17"/>
      <c r="S709" s="18" t="str">
        <f aca="false">IF($Q709="","",IF($R709="Y",IFERROR(VLOOKUP($B709,$C$4:$D$13,2,FALSE()),0),0))</f>
        <v/>
      </c>
      <c r="T709" s="17" t="str">
        <f aca="false">IF($Q709="","",ROUNDDOWN($Q709*$S709,0))</f>
        <v/>
      </c>
      <c r="U709" s="17" t="str">
        <f aca="false">IF($Q709="","",$Q709-$T709)</f>
        <v/>
      </c>
      <c r="V709" s="17" t="str">
        <f aca="false">IF($U709="","",IF($B$10=0,"",$U709/$B$10))</f>
        <v/>
      </c>
      <c r="W709" s="17" t="str">
        <f aca="false">IF($Q709="","",IF($B$10=0,"",$Q709/$B$10))</f>
        <v/>
      </c>
      <c r="X709" s="19" t="n">
        <f aca="false">IF($U709="",1000000000000000,$U709)</f>
        <v>1000000000000000</v>
      </c>
      <c r="XFC709" s="6"/>
    </row>
    <row r="710" s="22" customFormat="true" ht="28.5" hidden="false" customHeight="true" outlineLevel="0" collapsed="false">
      <c r="A710" s="16" t="str">
        <f aca="false">IF($U710="","",1+COUNTIF($X$15:$X$728,"&lt;"&amp;X710))</f>
        <v/>
      </c>
      <c r="B710" s="16" t="s">
        <v>10</v>
      </c>
      <c r="C710" s="16" t="s">
        <v>2110</v>
      </c>
      <c r="D710" s="20" t="s">
        <v>108</v>
      </c>
      <c r="E710" s="16" t="s">
        <v>59</v>
      </c>
      <c r="F710" s="16" t="s">
        <v>2111</v>
      </c>
      <c r="G710" s="16" t="s">
        <v>2112</v>
      </c>
      <c r="H710" s="17" t="n">
        <v>1918</v>
      </c>
      <c r="I710" s="17"/>
      <c r="J710" s="17"/>
      <c r="K710" s="17" t="n">
        <v>1939</v>
      </c>
      <c r="L710" s="17" t="n">
        <f aca="false">IF(AND(IFERROR(SEARCH("현대오일뱅크",$C710),0)&gt;0,IFERROR(SEARCH("직영",$C710),0)&gt;0),$B$13,0)</f>
        <v>0</v>
      </c>
      <c r="M710" s="17" t="n">
        <f aca="false">IF($H710="","",$H710+$L710)</f>
        <v>1918</v>
      </c>
      <c r="N710" s="17" t="str">
        <f aca="false">IF($I710="","",$I710+$L710)</f>
        <v/>
      </c>
      <c r="O710" s="17" t="n">
        <f aca="false">IF($K710="","",$K710+$L710)</f>
        <v>1939</v>
      </c>
      <c r="P710" s="17" t="str">
        <f aca="false">IF($B$10=0,"",IFERROR(IF($B$4&gt;0,"휘발유 "&amp;TEXT(IF($M710="",1/0,$M710*$B$4),"#,##0")&amp;"원","")&amp;IF($B$5&gt;0,IF($B$4&gt;0," / ","")&amp;"고급유 "&amp;TEXT(IF($N710="",1/0,$N710*$B$5),"#,##0")&amp;"원","")&amp;IF($B$6&gt;0,IF(OR($B$4&gt;0,$B$5&gt;0)," / ","")&amp;"경유 "&amp;TEXT(IF($O710="",1/0,$O710*$B$6),"#,##0")&amp;"원",""),""))</f>
        <v/>
      </c>
      <c r="Q710" s="17" t="str">
        <f aca="false">IF($B$10=0,"",IFERROR(IF($B$4&gt;0,IF($M710="",1/0,$M710*$B$4),0)+IF($B$5&gt;0,IF($N710="",1/0,$N710*$B$5),0)+IF($B$6&gt;0,IF($O710="",1/0,$O710*$B$6),0),""))</f>
        <v/>
      </c>
      <c r="R710" s="17"/>
      <c r="S710" s="18" t="str">
        <f aca="false">IF($Q710="","",IF($R710="Y",IFERROR(VLOOKUP($B710,$C$4:$D$13,2,FALSE()),0),0))</f>
        <v/>
      </c>
      <c r="T710" s="17" t="str">
        <f aca="false">IF($Q710="","",ROUNDDOWN($Q710*$S710,0))</f>
        <v/>
      </c>
      <c r="U710" s="17" t="str">
        <f aca="false">IF($Q710="","",$Q710-$T710)</f>
        <v/>
      </c>
      <c r="V710" s="17" t="str">
        <f aca="false">IF($U710="","",IF($B$10=0,"",$U710/$B$10))</f>
        <v/>
      </c>
      <c r="W710" s="17" t="str">
        <f aca="false">IF($Q710="","",IF($B$10=0,"",$Q710/$B$10))</f>
        <v/>
      </c>
      <c r="X710" s="19" t="n">
        <f aca="false">IF($U710="",1000000000000000,$U710)</f>
        <v>1000000000000000</v>
      </c>
      <c r="XFC710" s="6"/>
    </row>
    <row r="711" s="22" customFormat="true" ht="28.5" hidden="false" customHeight="true" outlineLevel="0" collapsed="false">
      <c r="A711" s="16" t="str">
        <f aca="false">IF($U711="","",1+COUNTIF($X$15:$X$728,"&lt;"&amp;X711))</f>
        <v/>
      </c>
      <c r="B711" s="16" t="s">
        <v>10</v>
      </c>
      <c r="C711" s="16" t="s">
        <v>2113</v>
      </c>
      <c r="D711" s="16" t="s">
        <v>58</v>
      </c>
      <c r="E711" s="16" t="s">
        <v>47</v>
      </c>
      <c r="F711" s="16" t="s">
        <v>2114</v>
      </c>
      <c r="G711" s="16" t="s">
        <v>2115</v>
      </c>
      <c r="H711" s="17" t="n">
        <v>1919</v>
      </c>
      <c r="I711" s="17"/>
      <c r="J711" s="17"/>
      <c r="K711" s="17" t="n">
        <v>1899</v>
      </c>
      <c r="L711" s="17" t="n">
        <f aca="false">IF(AND(IFERROR(SEARCH("현대오일뱅크",$C711),0)&gt;0,IFERROR(SEARCH("직영",$C711),0)&gt;0),$B$13,0)</f>
        <v>0</v>
      </c>
      <c r="M711" s="17" t="n">
        <f aca="false">IF($H711="","",$H711+$L711)</f>
        <v>1919</v>
      </c>
      <c r="N711" s="17" t="str">
        <f aca="false">IF($I711="","",$I711+$L711)</f>
        <v/>
      </c>
      <c r="O711" s="17" t="n">
        <f aca="false">IF($K711="","",$K711+$L711)</f>
        <v>1899</v>
      </c>
      <c r="P711" s="17" t="str">
        <f aca="false">IF($B$10=0,"",IFERROR(IF($B$4&gt;0,"휘발유 "&amp;TEXT(IF($M711="",1/0,$M711*$B$4),"#,##0")&amp;"원","")&amp;IF($B$5&gt;0,IF($B$4&gt;0," / ","")&amp;"고급유 "&amp;TEXT(IF($N711="",1/0,$N711*$B$5),"#,##0")&amp;"원","")&amp;IF($B$6&gt;0,IF(OR($B$4&gt;0,$B$5&gt;0)," / ","")&amp;"경유 "&amp;TEXT(IF($O711="",1/0,$O711*$B$6),"#,##0")&amp;"원",""),""))</f>
        <v/>
      </c>
      <c r="Q711" s="17" t="str">
        <f aca="false">IF($B$10=0,"",IFERROR(IF($B$4&gt;0,IF($M711="",1/0,$M711*$B$4),0)+IF($B$5&gt;0,IF($N711="",1/0,$N711*$B$5),0)+IF($B$6&gt;0,IF($O711="",1/0,$O711*$B$6),0),""))</f>
        <v/>
      </c>
      <c r="R711" s="17"/>
      <c r="S711" s="18" t="str">
        <f aca="false">IF($Q711="","",IF($R711="Y",IFERROR(VLOOKUP($B711,$C$4:$D$13,2,FALSE()),0),0))</f>
        <v/>
      </c>
      <c r="T711" s="17" t="str">
        <f aca="false">IF($Q711="","",ROUNDDOWN($Q711*$S711,0))</f>
        <v/>
      </c>
      <c r="U711" s="17" t="str">
        <f aca="false">IF($Q711="","",$Q711-$T711)</f>
        <v/>
      </c>
      <c r="V711" s="17" t="str">
        <f aca="false">IF($U711="","",IF($B$10=0,"",$U711/$B$10))</f>
        <v/>
      </c>
      <c r="W711" s="17" t="str">
        <f aca="false">IF($Q711="","",IF($B$10=0,"",$Q711/$B$10))</f>
        <v/>
      </c>
      <c r="X711" s="19" t="n">
        <f aca="false">IF($U711="",1000000000000000,$U711)</f>
        <v>1000000000000000</v>
      </c>
      <c r="XFC711" s="6"/>
    </row>
    <row r="712" s="22" customFormat="true" ht="28.5" hidden="false" customHeight="true" outlineLevel="0" collapsed="false">
      <c r="A712" s="16" t="str">
        <f aca="false">IF($U712="","",1+COUNTIF($X$15:$X$728,"&lt;"&amp;X712))</f>
        <v/>
      </c>
      <c r="B712" s="16" t="s">
        <v>14</v>
      </c>
      <c r="C712" s="16" t="s">
        <v>2116</v>
      </c>
      <c r="D712" s="20" t="s">
        <v>108</v>
      </c>
      <c r="E712" s="16" t="s">
        <v>47</v>
      </c>
      <c r="F712" s="16" t="s">
        <v>2117</v>
      </c>
      <c r="G712" s="16" t="s">
        <v>2118</v>
      </c>
      <c r="H712" s="17" t="n">
        <v>1919</v>
      </c>
      <c r="I712" s="17"/>
      <c r="J712" s="17"/>
      <c r="K712" s="17" t="n">
        <v>1997</v>
      </c>
      <c r="L712" s="17" t="n">
        <f aca="false">IF(AND(IFERROR(SEARCH("현대오일뱅크",$C712),0)&gt;0,IFERROR(SEARCH("직영",$C712),0)&gt;0),$B$13,0)</f>
        <v>0</v>
      </c>
      <c r="M712" s="17" t="n">
        <f aca="false">IF($H712="","",$H712+$L712)</f>
        <v>1919</v>
      </c>
      <c r="N712" s="17" t="str">
        <f aca="false">IF($I712="","",$I712+$L712)</f>
        <v/>
      </c>
      <c r="O712" s="17" t="n">
        <f aca="false">IF($K712="","",$K712+$L712)</f>
        <v>1997</v>
      </c>
      <c r="P712" s="17" t="str">
        <f aca="false">IF($B$10=0,"",IFERROR(IF($B$4&gt;0,"휘발유 "&amp;TEXT(IF($M712="",1/0,$M712*$B$4),"#,##0")&amp;"원","")&amp;IF($B$5&gt;0,IF($B$4&gt;0," / ","")&amp;"고급유 "&amp;TEXT(IF($N712="",1/0,$N712*$B$5),"#,##0")&amp;"원","")&amp;IF($B$6&gt;0,IF(OR($B$4&gt;0,$B$5&gt;0)," / ","")&amp;"경유 "&amp;TEXT(IF($O712="",1/0,$O712*$B$6),"#,##0")&amp;"원",""),""))</f>
        <v/>
      </c>
      <c r="Q712" s="17" t="str">
        <f aca="false">IF($B$10=0,"",IFERROR(IF($B$4&gt;0,IF($M712="",1/0,$M712*$B$4),0)+IF($B$5&gt;0,IF($N712="",1/0,$N712*$B$5),0)+IF($B$6&gt;0,IF($O712="",1/0,$O712*$B$6),0),""))</f>
        <v/>
      </c>
      <c r="R712" s="17"/>
      <c r="S712" s="18" t="str">
        <f aca="false">IF($Q712="","",IF($R712="Y",IFERROR(VLOOKUP($B712,$C$4:$D$13,2,FALSE()),0),0))</f>
        <v/>
      </c>
      <c r="T712" s="17" t="str">
        <f aca="false">IF($Q712="","",ROUNDDOWN($Q712*$S712,0))</f>
        <v/>
      </c>
      <c r="U712" s="17" t="str">
        <f aca="false">IF($Q712="","",$Q712-$T712)</f>
        <v/>
      </c>
      <c r="V712" s="17" t="str">
        <f aca="false">IF($U712="","",IF($B$10=0,"",$U712/$B$10))</f>
        <v/>
      </c>
      <c r="W712" s="17" t="str">
        <f aca="false">IF($Q712="","",IF($B$10=0,"",$Q712/$B$10))</f>
        <v/>
      </c>
      <c r="X712" s="19" t="n">
        <f aca="false">IF($U712="",1000000000000000,$U712)</f>
        <v>1000000000000000</v>
      </c>
      <c r="XFC712" s="6"/>
    </row>
    <row r="713" s="22" customFormat="true" ht="28.5" hidden="false" customHeight="true" outlineLevel="0" collapsed="false">
      <c r="A713" s="16" t="str">
        <f aca="false">IF($U713="","",1+COUNTIF($X$15:$X$728,"&lt;"&amp;X713))</f>
        <v/>
      </c>
      <c r="B713" s="16" t="s">
        <v>12</v>
      </c>
      <c r="C713" s="16" t="s">
        <v>2119</v>
      </c>
      <c r="D713" s="20" t="s">
        <v>294</v>
      </c>
      <c r="E713" s="16" t="s">
        <v>47</v>
      </c>
      <c r="F713" s="16" t="s">
        <v>2120</v>
      </c>
      <c r="G713" s="16" t="s">
        <v>2121</v>
      </c>
      <c r="H713" s="17" t="n">
        <v>1919</v>
      </c>
      <c r="I713" s="17"/>
      <c r="J713" s="17"/>
      <c r="K713" s="17" t="n">
        <v>1895</v>
      </c>
      <c r="L713" s="17" t="n">
        <f aca="false">IF(AND(IFERROR(SEARCH("현대오일뱅크",$C713),0)&gt;0,IFERROR(SEARCH("직영",$C713),0)&gt;0),$B$13,0)</f>
        <v>0</v>
      </c>
      <c r="M713" s="17" t="n">
        <f aca="false">IF($H713="","",$H713+$L713)</f>
        <v>1919</v>
      </c>
      <c r="N713" s="17" t="str">
        <f aca="false">IF($I713="","",$I713+$L713)</f>
        <v/>
      </c>
      <c r="O713" s="17" t="n">
        <f aca="false">IF($K713="","",$K713+$L713)</f>
        <v>1895</v>
      </c>
      <c r="P713" s="17" t="str">
        <f aca="false">IF($B$10=0,"",IFERROR(IF($B$4&gt;0,"휘발유 "&amp;TEXT(IF($M713="",1/0,$M713*$B$4),"#,##0")&amp;"원","")&amp;IF($B$5&gt;0,IF($B$4&gt;0," / ","")&amp;"고급유 "&amp;TEXT(IF($N713="",1/0,$N713*$B$5),"#,##0")&amp;"원","")&amp;IF($B$6&gt;0,IF(OR($B$4&gt;0,$B$5&gt;0)," / ","")&amp;"경유 "&amp;TEXT(IF($O713="",1/0,$O713*$B$6),"#,##0")&amp;"원",""),""))</f>
        <v/>
      </c>
      <c r="Q713" s="17" t="str">
        <f aca="false">IF($B$10=0,"",IFERROR(IF($B$4&gt;0,IF($M713="",1/0,$M713*$B$4),0)+IF($B$5&gt;0,IF($N713="",1/0,$N713*$B$5),0)+IF($B$6&gt;0,IF($O713="",1/0,$O713*$B$6),0),""))</f>
        <v/>
      </c>
      <c r="R713" s="17"/>
      <c r="S713" s="18" t="str">
        <f aca="false">IF($Q713="","",IF($R713="Y",IFERROR(VLOOKUP($B713,$C$4:$D$13,2,FALSE()),0),0))</f>
        <v/>
      </c>
      <c r="T713" s="17" t="str">
        <f aca="false">IF($Q713="","",ROUNDDOWN($Q713*$S713,0))</f>
        <v/>
      </c>
      <c r="U713" s="17" t="str">
        <f aca="false">IF($Q713="","",$Q713-$T713)</f>
        <v/>
      </c>
      <c r="V713" s="17" t="str">
        <f aca="false">IF($U713="","",IF($B$10=0,"",$U713/$B$10))</f>
        <v/>
      </c>
      <c r="W713" s="17" t="str">
        <f aca="false">IF($Q713="","",IF($B$10=0,"",$Q713/$B$10))</f>
        <v/>
      </c>
      <c r="X713" s="19" t="n">
        <f aca="false">IF($U713="",1000000000000000,$U713)</f>
        <v>1000000000000000</v>
      </c>
      <c r="XFC713" s="6"/>
    </row>
    <row r="714" s="22" customFormat="true" ht="28.5" hidden="false" customHeight="true" outlineLevel="0" collapsed="false">
      <c r="A714" s="16" t="str">
        <f aca="false">IF($U714="","",1+COUNTIF($X$15:$X$728,"&lt;"&amp;X714))</f>
        <v/>
      </c>
      <c r="B714" s="16" t="s">
        <v>8</v>
      </c>
      <c r="C714" s="16" t="s">
        <v>2122</v>
      </c>
      <c r="D714" s="20" t="s">
        <v>108</v>
      </c>
      <c r="E714" s="16" t="s">
        <v>47</v>
      </c>
      <c r="F714" s="16" t="s">
        <v>2123</v>
      </c>
      <c r="G714" s="16" t="s">
        <v>2124</v>
      </c>
      <c r="H714" s="17" t="n">
        <v>1919</v>
      </c>
      <c r="I714" s="17"/>
      <c r="J714" s="17"/>
      <c r="K714" s="17" t="n">
        <v>1949</v>
      </c>
      <c r="L714" s="17" t="n">
        <f aca="false">IF(AND(IFERROR(SEARCH("현대오일뱅크",$C714),0)&gt;0,IFERROR(SEARCH("직영",$C714),0)&gt;0),$B$13,0)</f>
        <v>0</v>
      </c>
      <c r="M714" s="17" t="n">
        <f aca="false">IF($H714="","",$H714+$L714)</f>
        <v>1919</v>
      </c>
      <c r="N714" s="17" t="str">
        <f aca="false">IF($I714="","",$I714+$L714)</f>
        <v/>
      </c>
      <c r="O714" s="17" t="n">
        <f aca="false">IF($K714="","",$K714+$L714)</f>
        <v>1949</v>
      </c>
      <c r="P714" s="17" t="str">
        <f aca="false">IF($B$10=0,"",IFERROR(IF($B$4&gt;0,"휘발유 "&amp;TEXT(IF($M714="",1/0,$M714*$B$4),"#,##0")&amp;"원","")&amp;IF($B$5&gt;0,IF($B$4&gt;0," / ","")&amp;"고급유 "&amp;TEXT(IF($N714="",1/0,$N714*$B$5),"#,##0")&amp;"원","")&amp;IF($B$6&gt;0,IF(OR($B$4&gt;0,$B$5&gt;0)," / ","")&amp;"경유 "&amp;TEXT(IF($O714="",1/0,$O714*$B$6),"#,##0")&amp;"원",""),""))</f>
        <v/>
      </c>
      <c r="Q714" s="17" t="str">
        <f aca="false">IF($B$10=0,"",IFERROR(IF($B$4&gt;0,IF($M714="",1/0,$M714*$B$4),0)+IF($B$5&gt;0,IF($N714="",1/0,$N714*$B$5),0)+IF($B$6&gt;0,IF($O714="",1/0,$O714*$B$6),0),""))</f>
        <v/>
      </c>
      <c r="R714" s="17"/>
      <c r="S714" s="18" t="str">
        <f aca="false">IF($Q714="","",IF($R714="Y",IFERROR(VLOOKUP($B714,$C$4:$D$13,2,FALSE()),0),0))</f>
        <v/>
      </c>
      <c r="T714" s="17" t="str">
        <f aca="false">IF($Q714="","",ROUNDDOWN($Q714*$S714,0))</f>
        <v/>
      </c>
      <c r="U714" s="17" t="str">
        <f aca="false">IF($Q714="","",$Q714-$T714)</f>
        <v/>
      </c>
      <c r="V714" s="17" t="str">
        <f aca="false">IF($U714="","",IF($B$10=0,"",$U714/$B$10))</f>
        <v/>
      </c>
      <c r="W714" s="17" t="str">
        <f aca="false">IF($Q714="","",IF($B$10=0,"",$Q714/$B$10))</f>
        <v/>
      </c>
      <c r="X714" s="19" t="n">
        <f aca="false">IF($U714="",1000000000000000,$U714)</f>
        <v>1000000000000000</v>
      </c>
      <c r="XFC714" s="6"/>
    </row>
    <row r="715" s="22" customFormat="true" ht="28.5" hidden="false" customHeight="true" outlineLevel="0" collapsed="false">
      <c r="A715" s="16" t="str">
        <f aca="false">IF($U715="","",1+COUNTIF($X$15:$X$728,"&lt;"&amp;X715))</f>
        <v/>
      </c>
      <c r="B715" s="16" t="s">
        <v>14</v>
      </c>
      <c r="C715" s="16" t="s">
        <v>2125</v>
      </c>
      <c r="D715" s="16" t="s">
        <v>629</v>
      </c>
      <c r="E715" s="16" t="s">
        <v>47</v>
      </c>
      <c r="F715" s="16" t="s">
        <v>2126</v>
      </c>
      <c r="G715" s="16" t="s">
        <v>2127</v>
      </c>
      <c r="H715" s="17" t="n">
        <v>1919</v>
      </c>
      <c r="I715" s="17"/>
      <c r="J715" s="17"/>
      <c r="K715" s="17" t="n">
        <v>1939</v>
      </c>
      <c r="L715" s="17" t="n">
        <f aca="false">IF(AND(IFERROR(SEARCH("현대오일뱅크",$C715),0)&gt;0,IFERROR(SEARCH("직영",$C715),0)&gt;0),$B$13,0)</f>
        <v>0</v>
      </c>
      <c r="M715" s="17" t="n">
        <f aca="false">IF($H715="","",$H715+$L715)</f>
        <v>1919</v>
      </c>
      <c r="N715" s="17" t="str">
        <f aca="false">IF($I715="","",$I715+$L715)</f>
        <v/>
      </c>
      <c r="O715" s="17" t="n">
        <f aca="false">IF($K715="","",$K715+$L715)</f>
        <v>1939</v>
      </c>
      <c r="P715" s="17" t="str">
        <f aca="false">IF($B$10=0,"",IFERROR(IF($B$4&gt;0,"휘발유 "&amp;TEXT(IF($M715="",1/0,$M715*$B$4),"#,##0")&amp;"원","")&amp;IF($B$5&gt;0,IF($B$4&gt;0," / ","")&amp;"고급유 "&amp;TEXT(IF($N715="",1/0,$N715*$B$5),"#,##0")&amp;"원","")&amp;IF($B$6&gt;0,IF(OR($B$4&gt;0,$B$5&gt;0)," / ","")&amp;"경유 "&amp;TEXT(IF($O715="",1/0,$O715*$B$6),"#,##0")&amp;"원",""),""))</f>
        <v/>
      </c>
      <c r="Q715" s="17" t="str">
        <f aca="false">IF($B$10=0,"",IFERROR(IF($B$4&gt;0,IF($M715="",1/0,$M715*$B$4),0)+IF($B$5&gt;0,IF($N715="",1/0,$N715*$B$5),0)+IF($B$6&gt;0,IF($O715="",1/0,$O715*$B$6),0),""))</f>
        <v/>
      </c>
      <c r="R715" s="17"/>
      <c r="S715" s="18" t="str">
        <f aca="false">IF($Q715="","",IF($R715="Y",IFERROR(VLOOKUP($B715,$C$4:$D$13,2,FALSE()),0),0))</f>
        <v/>
      </c>
      <c r="T715" s="17" t="str">
        <f aca="false">IF($Q715="","",ROUNDDOWN($Q715*$S715,0))</f>
        <v/>
      </c>
      <c r="U715" s="17" t="str">
        <f aca="false">IF($Q715="","",$Q715-$T715)</f>
        <v/>
      </c>
      <c r="V715" s="17" t="str">
        <f aca="false">IF($U715="","",IF($B$10=0,"",$U715/$B$10))</f>
        <v/>
      </c>
      <c r="W715" s="17" t="str">
        <f aca="false">IF($Q715="","",IF($B$10=0,"",$Q715/$B$10))</f>
        <v/>
      </c>
      <c r="X715" s="19" t="n">
        <f aca="false">IF($U715="",1000000000000000,$U715)</f>
        <v>1000000000000000</v>
      </c>
      <c r="XFC715" s="6"/>
    </row>
    <row r="716" s="22" customFormat="true" ht="28.5" hidden="false" customHeight="true" outlineLevel="0" collapsed="false">
      <c r="A716" s="16" t="str">
        <f aca="false">IF($U716="","",1+COUNTIF($X$15:$X$728,"&lt;"&amp;X716))</f>
        <v/>
      </c>
      <c r="B716" s="16" t="s">
        <v>10</v>
      </c>
      <c r="C716" s="16" t="s">
        <v>2128</v>
      </c>
      <c r="D716" s="16" t="s">
        <v>58</v>
      </c>
      <c r="E716" s="16" t="s">
        <v>59</v>
      </c>
      <c r="F716" s="16" t="s">
        <v>2129</v>
      </c>
      <c r="G716" s="16" t="s">
        <v>2130</v>
      </c>
      <c r="H716" s="17" t="n">
        <v>1919</v>
      </c>
      <c r="I716" s="17"/>
      <c r="J716" s="17"/>
      <c r="K716" s="17" t="n">
        <v>1959</v>
      </c>
      <c r="L716" s="17" t="n">
        <f aca="false">IF(AND(IFERROR(SEARCH("현대오일뱅크",$C716),0)&gt;0,IFERROR(SEARCH("직영",$C716),0)&gt;0),$B$13,0)</f>
        <v>0</v>
      </c>
      <c r="M716" s="17" t="n">
        <f aca="false">IF($H716="","",$H716+$L716)</f>
        <v>1919</v>
      </c>
      <c r="N716" s="17" t="str">
        <f aca="false">IF($I716="","",$I716+$L716)</f>
        <v/>
      </c>
      <c r="O716" s="17" t="n">
        <f aca="false">IF($K716="","",$K716+$L716)</f>
        <v>1959</v>
      </c>
      <c r="P716" s="17" t="str">
        <f aca="false">IF($B$10=0,"",IFERROR(IF($B$4&gt;0,"휘발유 "&amp;TEXT(IF($M716="",1/0,$M716*$B$4),"#,##0")&amp;"원","")&amp;IF($B$5&gt;0,IF($B$4&gt;0," / ","")&amp;"고급유 "&amp;TEXT(IF($N716="",1/0,$N716*$B$5),"#,##0")&amp;"원","")&amp;IF($B$6&gt;0,IF(OR($B$4&gt;0,$B$5&gt;0)," / ","")&amp;"경유 "&amp;TEXT(IF($O716="",1/0,$O716*$B$6),"#,##0")&amp;"원",""),""))</f>
        <v/>
      </c>
      <c r="Q716" s="17" t="str">
        <f aca="false">IF($B$10=0,"",IFERROR(IF($B$4&gt;0,IF($M716="",1/0,$M716*$B$4),0)+IF($B$5&gt;0,IF($N716="",1/0,$N716*$B$5),0)+IF($B$6&gt;0,IF($O716="",1/0,$O716*$B$6),0),""))</f>
        <v/>
      </c>
      <c r="R716" s="17"/>
      <c r="S716" s="18" t="str">
        <f aca="false">IF($Q716="","",IF($R716="Y",IFERROR(VLOOKUP($B716,$C$4:$D$13,2,FALSE()),0),0))</f>
        <v/>
      </c>
      <c r="T716" s="17" t="str">
        <f aca="false">IF($Q716="","",ROUNDDOWN($Q716*$S716,0))</f>
        <v/>
      </c>
      <c r="U716" s="17" t="str">
        <f aca="false">IF($Q716="","",$Q716-$T716)</f>
        <v/>
      </c>
      <c r="V716" s="17" t="str">
        <f aca="false">IF($U716="","",IF($B$10=0,"",$U716/$B$10))</f>
        <v/>
      </c>
      <c r="W716" s="17" t="str">
        <f aca="false">IF($Q716="","",IF($B$10=0,"",$Q716/$B$10))</f>
        <v/>
      </c>
      <c r="X716" s="19" t="n">
        <f aca="false">IF($U716="",1000000000000000,$U716)</f>
        <v>1000000000000000</v>
      </c>
      <c r="XFC716" s="6"/>
    </row>
    <row r="717" s="22" customFormat="true" ht="28.5" hidden="false" customHeight="true" outlineLevel="0" collapsed="false">
      <c r="A717" s="16" t="str">
        <f aca="false">IF($U717="","",1+COUNTIF($X$15:$X$728,"&lt;"&amp;X717))</f>
        <v/>
      </c>
      <c r="B717" s="16" t="s">
        <v>12</v>
      </c>
      <c r="C717" s="16" t="s">
        <v>2131</v>
      </c>
      <c r="D717" s="20" t="s">
        <v>112</v>
      </c>
      <c r="E717" s="16" t="s">
        <v>47</v>
      </c>
      <c r="F717" s="16" t="s">
        <v>2132</v>
      </c>
      <c r="G717" s="16" t="s">
        <v>2133</v>
      </c>
      <c r="H717" s="17" t="n">
        <v>1919</v>
      </c>
      <c r="I717" s="17"/>
      <c r="J717" s="17"/>
      <c r="K717" s="17" t="n">
        <v>1899</v>
      </c>
      <c r="L717" s="17" t="n">
        <f aca="false">IF(AND(IFERROR(SEARCH("현대오일뱅크",$C717),0)&gt;0,IFERROR(SEARCH("직영",$C717),0)&gt;0),$B$13,0)</f>
        <v>0</v>
      </c>
      <c r="M717" s="17" t="n">
        <f aca="false">IF($H717="","",$H717+$L717)</f>
        <v>1919</v>
      </c>
      <c r="N717" s="17" t="str">
        <f aca="false">IF($I717="","",$I717+$L717)</f>
        <v/>
      </c>
      <c r="O717" s="17" t="n">
        <f aca="false">IF($K717="","",$K717+$L717)</f>
        <v>1899</v>
      </c>
      <c r="P717" s="17" t="str">
        <f aca="false">IF($B$10=0,"",IFERROR(IF($B$4&gt;0,"휘발유 "&amp;TEXT(IF($M717="",1/0,$M717*$B$4),"#,##0")&amp;"원","")&amp;IF($B$5&gt;0,IF($B$4&gt;0," / ","")&amp;"고급유 "&amp;TEXT(IF($N717="",1/0,$N717*$B$5),"#,##0")&amp;"원","")&amp;IF($B$6&gt;0,IF(OR($B$4&gt;0,$B$5&gt;0)," / ","")&amp;"경유 "&amp;TEXT(IF($O717="",1/0,$O717*$B$6),"#,##0")&amp;"원",""),""))</f>
        <v/>
      </c>
      <c r="Q717" s="17" t="str">
        <f aca="false">IF($B$10=0,"",IFERROR(IF($B$4&gt;0,IF($M717="",1/0,$M717*$B$4),0)+IF($B$5&gt;0,IF($N717="",1/0,$N717*$B$5),0)+IF($B$6&gt;0,IF($O717="",1/0,$O717*$B$6),0),""))</f>
        <v/>
      </c>
      <c r="R717" s="17"/>
      <c r="S717" s="18" t="str">
        <f aca="false">IF($Q717="","",IF($R717="Y",IFERROR(VLOOKUP($B717,$C$4:$D$13,2,FALSE()),0),0))</f>
        <v/>
      </c>
      <c r="T717" s="17" t="str">
        <f aca="false">IF($Q717="","",ROUNDDOWN($Q717*$S717,0))</f>
        <v/>
      </c>
      <c r="U717" s="17" t="str">
        <f aca="false">IF($Q717="","",$Q717-$T717)</f>
        <v/>
      </c>
      <c r="V717" s="17" t="str">
        <f aca="false">IF($U717="","",IF($B$10=0,"",$U717/$B$10))</f>
        <v/>
      </c>
      <c r="W717" s="17" t="str">
        <f aca="false">IF($Q717="","",IF($B$10=0,"",$Q717/$B$10))</f>
        <v/>
      </c>
      <c r="X717" s="19" t="n">
        <f aca="false">IF($U717="",1000000000000000,$U717)</f>
        <v>1000000000000000</v>
      </c>
      <c r="XFC717" s="6"/>
    </row>
    <row r="718" s="22" customFormat="true" ht="28.5" hidden="false" customHeight="true" outlineLevel="0" collapsed="false">
      <c r="A718" s="16" t="str">
        <f aca="false">IF($U718="","",1+COUNTIF($X$15:$X$728,"&lt;"&amp;X718))</f>
        <v/>
      </c>
      <c r="B718" s="16" t="s">
        <v>14</v>
      </c>
      <c r="C718" s="16" t="s">
        <v>2134</v>
      </c>
      <c r="D718" s="16" t="s">
        <v>58</v>
      </c>
      <c r="E718" s="16" t="s">
        <v>47</v>
      </c>
      <c r="F718" s="16" t="s">
        <v>2135</v>
      </c>
      <c r="G718" s="16" t="s">
        <v>2136</v>
      </c>
      <c r="H718" s="17" t="n">
        <v>1919</v>
      </c>
      <c r="I718" s="17"/>
      <c r="J718" s="17"/>
      <c r="K718" s="17" t="n">
        <v>1965</v>
      </c>
      <c r="L718" s="17" t="n">
        <f aca="false">IF(AND(IFERROR(SEARCH("현대오일뱅크",$C718),0)&gt;0,IFERROR(SEARCH("직영",$C718),0)&gt;0),$B$13,0)</f>
        <v>0</v>
      </c>
      <c r="M718" s="17" t="n">
        <f aca="false">IF($H718="","",$H718+$L718)</f>
        <v>1919</v>
      </c>
      <c r="N718" s="17" t="str">
        <f aca="false">IF($I718="","",$I718+$L718)</f>
        <v/>
      </c>
      <c r="O718" s="17" t="n">
        <f aca="false">IF($K718="","",$K718+$L718)</f>
        <v>1965</v>
      </c>
      <c r="P718" s="17" t="str">
        <f aca="false">IF($B$10=0,"",IFERROR(IF($B$4&gt;0,"휘발유 "&amp;TEXT(IF($M718="",1/0,$M718*$B$4),"#,##0")&amp;"원","")&amp;IF($B$5&gt;0,IF($B$4&gt;0," / ","")&amp;"고급유 "&amp;TEXT(IF($N718="",1/0,$N718*$B$5),"#,##0")&amp;"원","")&amp;IF($B$6&gt;0,IF(OR($B$4&gt;0,$B$5&gt;0)," / ","")&amp;"경유 "&amp;TEXT(IF($O718="",1/0,$O718*$B$6),"#,##0")&amp;"원",""),""))</f>
        <v/>
      </c>
      <c r="Q718" s="17" t="str">
        <f aca="false">IF($B$10=0,"",IFERROR(IF($B$4&gt;0,IF($M718="",1/0,$M718*$B$4),0)+IF($B$5&gt;0,IF($N718="",1/0,$N718*$B$5),0)+IF($B$6&gt;0,IF($O718="",1/0,$O718*$B$6),0),""))</f>
        <v/>
      </c>
      <c r="R718" s="17"/>
      <c r="S718" s="18" t="str">
        <f aca="false">IF($Q718="","",IF($R718="Y",IFERROR(VLOOKUP($B718,$C$4:$D$13,2,FALSE()),0),0))</f>
        <v/>
      </c>
      <c r="T718" s="17" t="str">
        <f aca="false">IF($Q718="","",ROUNDDOWN($Q718*$S718,0))</f>
        <v/>
      </c>
      <c r="U718" s="17" t="str">
        <f aca="false">IF($Q718="","",$Q718-$T718)</f>
        <v/>
      </c>
      <c r="V718" s="17" t="str">
        <f aca="false">IF($U718="","",IF($B$10=0,"",$U718/$B$10))</f>
        <v/>
      </c>
      <c r="W718" s="17" t="str">
        <f aca="false">IF($Q718="","",IF($B$10=0,"",$Q718/$B$10))</f>
        <v/>
      </c>
      <c r="X718" s="19" t="n">
        <f aca="false">IF($U718="",1000000000000000,$U718)</f>
        <v>1000000000000000</v>
      </c>
      <c r="XFC718" s="6"/>
    </row>
    <row r="719" s="22" customFormat="true" ht="28.5" hidden="false" customHeight="true" outlineLevel="0" collapsed="false">
      <c r="A719" s="16" t="str">
        <f aca="false">IF($U719="","",1+COUNTIF($X$15:$X$728,"&lt;"&amp;X719))</f>
        <v/>
      </c>
      <c r="B719" s="16" t="s">
        <v>14</v>
      </c>
      <c r="C719" s="16" t="s">
        <v>2137</v>
      </c>
      <c r="D719" s="16" t="s">
        <v>58</v>
      </c>
      <c r="E719" s="16" t="s">
        <v>47</v>
      </c>
      <c r="F719" s="16" t="s">
        <v>2138</v>
      </c>
      <c r="G719" s="16" t="s">
        <v>2139</v>
      </c>
      <c r="H719" s="17" t="n">
        <v>1919</v>
      </c>
      <c r="I719" s="17"/>
      <c r="J719" s="17"/>
      <c r="K719" s="17" t="n">
        <v>1999</v>
      </c>
      <c r="L719" s="17" t="n">
        <f aca="false">IF(AND(IFERROR(SEARCH("현대오일뱅크",$C719),0)&gt;0,IFERROR(SEARCH("직영",$C719),0)&gt;0),$B$13,0)</f>
        <v>0</v>
      </c>
      <c r="M719" s="17" t="n">
        <f aca="false">IF($H719="","",$H719+$L719)</f>
        <v>1919</v>
      </c>
      <c r="N719" s="17" t="str">
        <f aca="false">IF($I719="","",$I719+$L719)</f>
        <v/>
      </c>
      <c r="O719" s="17" t="n">
        <f aca="false">IF($K719="","",$K719+$L719)</f>
        <v>1999</v>
      </c>
      <c r="P719" s="17" t="str">
        <f aca="false">IF($B$10=0,"",IFERROR(IF($B$4&gt;0,"휘발유 "&amp;TEXT(IF($M719="",1/0,$M719*$B$4),"#,##0")&amp;"원","")&amp;IF($B$5&gt;0,IF($B$4&gt;0," / ","")&amp;"고급유 "&amp;TEXT(IF($N719="",1/0,$N719*$B$5),"#,##0")&amp;"원","")&amp;IF($B$6&gt;0,IF(OR($B$4&gt;0,$B$5&gt;0)," / ","")&amp;"경유 "&amp;TEXT(IF($O719="",1/0,$O719*$B$6),"#,##0")&amp;"원",""),""))</f>
        <v/>
      </c>
      <c r="Q719" s="17" t="str">
        <f aca="false">IF($B$10=0,"",IFERROR(IF($B$4&gt;0,IF($M719="",1/0,$M719*$B$4),0)+IF($B$5&gt;0,IF($N719="",1/0,$N719*$B$5),0)+IF($B$6&gt;0,IF($O719="",1/0,$O719*$B$6),0),""))</f>
        <v/>
      </c>
      <c r="R719" s="17"/>
      <c r="S719" s="18" t="str">
        <f aca="false">IF($Q719="","",IF($R719="Y",IFERROR(VLOOKUP($B719,$C$4:$D$13,2,FALSE()),0),0))</f>
        <v/>
      </c>
      <c r="T719" s="17" t="str">
        <f aca="false">IF($Q719="","",ROUNDDOWN($Q719*$S719,0))</f>
        <v/>
      </c>
      <c r="U719" s="17" t="str">
        <f aca="false">IF($Q719="","",$Q719-$T719)</f>
        <v/>
      </c>
      <c r="V719" s="17" t="str">
        <f aca="false">IF($U719="","",IF($B$10=0,"",$U719/$B$10))</f>
        <v/>
      </c>
      <c r="W719" s="17" t="str">
        <f aca="false">IF($Q719="","",IF($B$10=0,"",$Q719/$B$10))</f>
        <v/>
      </c>
      <c r="X719" s="19" t="n">
        <f aca="false">IF($U719="",1000000000000000,$U719)</f>
        <v>1000000000000000</v>
      </c>
      <c r="XFC719" s="6"/>
    </row>
    <row r="720" s="22" customFormat="true" ht="28.5" hidden="false" customHeight="true" outlineLevel="0" collapsed="false">
      <c r="A720" s="16" t="str">
        <f aca="false">IF($U720="","",1+COUNTIF($X$15:$X$728,"&lt;"&amp;X720))</f>
        <v/>
      </c>
      <c r="B720" s="16" t="s">
        <v>10</v>
      </c>
      <c r="C720" s="16" t="s">
        <v>2140</v>
      </c>
      <c r="D720" s="16" t="s">
        <v>46</v>
      </c>
      <c r="E720" s="16" t="s">
        <v>47</v>
      </c>
      <c r="F720" s="16" t="s">
        <v>2141</v>
      </c>
      <c r="G720" s="16" t="s">
        <v>2142</v>
      </c>
      <c r="H720" s="17" t="n">
        <v>1919</v>
      </c>
      <c r="I720" s="17"/>
      <c r="J720" s="17"/>
      <c r="K720" s="17" t="n">
        <v>1919</v>
      </c>
      <c r="L720" s="17" t="n">
        <f aca="false">IF(AND(IFERROR(SEARCH("현대오일뱅크",$C720),0)&gt;0,IFERROR(SEARCH("직영",$C720),0)&gt;0),$B$13,0)</f>
        <v>0</v>
      </c>
      <c r="M720" s="17" t="n">
        <f aca="false">IF($H720="","",$H720+$L720)</f>
        <v>1919</v>
      </c>
      <c r="N720" s="17" t="str">
        <f aca="false">IF($I720="","",$I720+$L720)</f>
        <v/>
      </c>
      <c r="O720" s="17" t="n">
        <f aca="false">IF($K720="","",$K720+$L720)</f>
        <v>1919</v>
      </c>
      <c r="P720" s="17" t="str">
        <f aca="false">IF($B$10=0,"",IFERROR(IF($B$4&gt;0,"휘발유 "&amp;TEXT(IF($M720="",1/0,$M720*$B$4),"#,##0")&amp;"원","")&amp;IF($B$5&gt;0,IF($B$4&gt;0," / ","")&amp;"고급유 "&amp;TEXT(IF($N720="",1/0,$N720*$B$5),"#,##0")&amp;"원","")&amp;IF($B$6&gt;0,IF(OR($B$4&gt;0,$B$5&gt;0)," / ","")&amp;"경유 "&amp;TEXT(IF($O720="",1/0,$O720*$B$6),"#,##0")&amp;"원",""),""))</f>
        <v/>
      </c>
      <c r="Q720" s="17" t="str">
        <f aca="false">IF($B$10=0,"",IFERROR(IF($B$4&gt;0,IF($M720="",1/0,$M720*$B$4),0)+IF($B$5&gt;0,IF($N720="",1/0,$N720*$B$5),0)+IF($B$6&gt;0,IF($O720="",1/0,$O720*$B$6),0),""))</f>
        <v/>
      </c>
      <c r="R720" s="17"/>
      <c r="S720" s="18" t="str">
        <f aca="false">IF($Q720="","",IF($R720="Y",IFERROR(VLOOKUP($B720,$C$4:$D$13,2,FALSE()),0),0))</f>
        <v/>
      </c>
      <c r="T720" s="17" t="str">
        <f aca="false">IF($Q720="","",ROUNDDOWN($Q720*$S720,0))</f>
        <v/>
      </c>
      <c r="U720" s="17" t="str">
        <f aca="false">IF($Q720="","",$Q720-$T720)</f>
        <v/>
      </c>
      <c r="V720" s="17" t="str">
        <f aca="false">IF($U720="","",IF($B$10=0,"",$U720/$B$10))</f>
        <v/>
      </c>
      <c r="W720" s="17" t="str">
        <f aca="false">IF($Q720="","",IF($B$10=0,"",$Q720/$B$10))</f>
        <v/>
      </c>
      <c r="X720" s="19" t="n">
        <f aca="false">IF($U720="",1000000000000000,$U720)</f>
        <v>1000000000000000</v>
      </c>
      <c r="XFC720" s="6"/>
    </row>
    <row r="721" s="22" customFormat="true" ht="28.5" hidden="false" customHeight="true" outlineLevel="0" collapsed="false">
      <c r="A721" s="16" t="str">
        <f aca="false">IF($U721="","",1+COUNTIF($X$15:$X$728,"&lt;"&amp;X721))</f>
        <v/>
      </c>
      <c r="B721" s="16" t="s">
        <v>14</v>
      </c>
      <c r="C721" s="16" t="s">
        <v>2143</v>
      </c>
      <c r="D721" s="16" t="s">
        <v>58</v>
      </c>
      <c r="E721" s="16" t="s">
        <v>59</v>
      </c>
      <c r="F721" s="16" t="s">
        <v>2144</v>
      </c>
      <c r="G721" s="16" t="s">
        <v>2145</v>
      </c>
      <c r="H721" s="17" t="n">
        <v>1919</v>
      </c>
      <c r="I721" s="17"/>
      <c r="J721" s="17"/>
      <c r="K721" s="17" t="n">
        <v>1929</v>
      </c>
      <c r="L721" s="17" t="n">
        <f aca="false">IF(AND(IFERROR(SEARCH("현대오일뱅크",$C721),0)&gt;0,IFERROR(SEARCH("직영",$C721),0)&gt;0),$B$13,0)</f>
        <v>0</v>
      </c>
      <c r="M721" s="17" t="n">
        <f aca="false">IF($H721="","",$H721+$L721)</f>
        <v>1919</v>
      </c>
      <c r="N721" s="17" t="str">
        <f aca="false">IF($I721="","",$I721+$L721)</f>
        <v/>
      </c>
      <c r="O721" s="17" t="n">
        <f aca="false">IF($K721="","",$K721+$L721)</f>
        <v>1929</v>
      </c>
      <c r="P721" s="17" t="str">
        <f aca="false">IF($B$10=0,"",IFERROR(IF($B$4&gt;0,"휘발유 "&amp;TEXT(IF($M721="",1/0,$M721*$B$4),"#,##0")&amp;"원","")&amp;IF($B$5&gt;0,IF($B$4&gt;0," / ","")&amp;"고급유 "&amp;TEXT(IF($N721="",1/0,$N721*$B$5),"#,##0")&amp;"원","")&amp;IF($B$6&gt;0,IF(OR($B$4&gt;0,$B$5&gt;0)," / ","")&amp;"경유 "&amp;TEXT(IF($O721="",1/0,$O721*$B$6),"#,##0")&amp;"원",""),""))</f>
        <v/>
      </c>
      <c r="Q721" s="17" t="str">
        <f aca="false">IF($B$10=0,"",IFERROR(IF($B$4&gt;0,IF($M721="",1/0,$M721*$B$4),0)+IF($B$5&gt;0,IF($N721="",1/0,$N721*$B$5),0)+IF($B$6&gt;0,IF($O721="",1/0,$O721*$B$6),0),""))</f>
        <v/>
      </c>
      <c r="R721" s="17"/>
      <c r="S721" s="18" t="str">
        <f aca="false">IF($Q721="","",IF($R721="Y",IFERROR(VLOOKUP($B721,$C$4:$D$13,2,FALSE()),0),0))</f>
        <v/>
      </c>
      <c r="T721" s="17" t="str">
        <f aca="false">IF($Q721="","",ROUNDDOWN($Q721*$S721,0))</f>
        <v/>
      </c>
      <c r="U721" s="17" t="str">
        <f aca="false">IF($Q721="","",$Q721-$T721)</f>
        <v/>
      </c>
      <c r="V721" s="17" t="str">
        <f aca="false">IF($U721="","",IF($B$10=0,"",$U721/$B$10))</f>
        <v/>
      </c>
      <c r="W721" s="17" t="str">
        <f aca="false">IF($Q721="","",IF($B$10=0,"",$Q721/$B$10))</f>
        <v/>
      </c>
      <c r="X721" s="19" t="n">
        <f aca="false">IF($U721="",1000000000000000,$U721)</f>
        <v>1000000000000000</v>
      </c>
      <c r="XFC721" s="6"/>
    </row>
    <row r="722" s="22" customFormat="true" ht="28.5" hidden="false" customHeight="true" outlineLevel="0" collapsed="false">
      <c r="A722" s="16" t="str">
        <f aca="false">IF($U722="","",1+COUNTIF($X$15:$X$728,"&lt;"&amp;X722))</f>
        <v/>
      </c>
      <c r="B722" s="16" t="s">
        <v>10</v>
      </c>
      <c r="C722" s="16" t="s">
        <v>2146</v>
      </c>
      <c r="D722" s="16" t="s">
        <v>112</v>
      </c>
      <c r="E722" s="16" t="s">
        <v>47</v>
      </c>
      <c r="F722" s="16" t="s">
        <v>2147</v>
      </c>
      <c r="G722" s="16" t="s">
        <v>2148</v>
      </c>
      <c r="H722" s="17" t="n">
        <v>1919</v>
      </c>
      <c r="I722" s="17"/>
      <c r="J722" s="17"/>
      <c r="K722" s="17" t="n">
        <v>1979</v>
      </c>
      <c r="L722" s="17" t="n">
        <f aca="false">IF(AND(IFERROR(SEARCH("현대오일뱅크",$C722),0)&gt;0,IFERROR(SEARCH("직영",$C722),0)&gt;0),$B$13,0)</f>
        <v>0</v>
      </c>
      <c r="M722" s="17" t="n">
        <f aca="false">IF($H722="","",$H722+$L722)</f>
        <v>1919</v>
      </c>
      <c r="N722" s="17" t="str">
        <f aca="false">IF($I722="","",$I722+$L722)</f>
        <v/>
      </c>
      <c r="O722" s="17" t="n">
        <f aca="false">IF($K722="","",$K722+$L722)</f>
        <v>1979</v>
      </c>
      <c r="P722" s="17" t="str">
        <f aca="false">IF($B$10=0,"",IFERROR(IF($B$4&gt;0,"휘발유 "&amp;TEXT(IF($M722="",1/0,$M722*$B$4),"#,##0")&amp;"원","")&amp;IF($B$5&gt;0,IF($B$4&gt;0," / ","")&amp;"고급유 "&amp;TEXT(IF($N722="",1/0,$N722*$B$5),"#,##0")&amp;"원","")&amp;IF($B$6&gt;0,IF(OR($B$4&gt;0,$B$5&gt;0)," / ","")&amp;"경유 "&amp;TEXT(IF($O722="",1/0,$O722*$B$6),"#,##0")&amp;"원",""),""))</f>
        <v/>
      </c>
      <c r="Q722" s="17" t="str">
        <f aca="false">IF($B$10=0,"",IFERROR(IF($B$4&gt;0,IF($M722="",1/0,$M722*$B$4),0)+IF($B$5&gt;0,IF($N722="",1/0,$N722*$B$5),0)+IF($B$6&gt;0,IF($O722="",1/0,$O722*$B$6),0),""))</f>
        <v/>
      </c>
      <c r="R722" s="17"/>
      <c r="S722" s="18" t="str">
        <f aca="false">IF($Q722="","",IF($R722="Y",IFERROR(VLOOKUP($B722,$C$4:$D$13,2,FALSE()),0),0))</f>
        <v/>
      </c>
      <c r="T722" s="17" t="str">
        <f aca="false">IF($Q722="","",ROUNDDOWN($Q722*$S722,0))</f>
        <v/>
      </c>
      <c r="U722" s="17" t="str">
        <f aca="false">IF($Q722="","",$Q722-$T722)</f>
        <v/>
      </c>
      <c r="V722" s="17" t="str">
        <f aca="false">IF($U722="","",IF($B$10=0,"",$U722/$B$10))</f>
        <v/>
      </c>
      <c r="W722" s="17" t="str">
        <f aca="false">IF($Q722="","",IF($B$10=0,"",$Q722/$B$10))</f>
        <v/>
      </c>
      <c r="X722" s="19" t="n">
        <f aca="false">IF($U722="",1000000000000000,$U722)</f>
        <v>1000000000000000</v>
      </c>
      <c r="XFC722" s="6"/>
    </row>
    <row r="723" s="22" customFormat="true" ht="28.5" hidden="false" customHeight="true" outlineLevel="0" collapsed="false">
      <c r="A723" s="16" t="str">
        <f aca="false">IF($U723="","",1+COUNTIF($X$15:$X$728,"&lt;"&amp;X723))</f>
        <v/>
      </c>
      <c r="B723" s="16" t="s">
        <v>8</v>
      </c>
      <c r="C723" s="16" t="s">
        <v>2149</v>
      </c>
      <c r="D723" s="16" t="s">
        <v>629</v>
      </c>
      <c r="E723" s="16" t="s">
        <v>47</v>
      </c>
      <c r="F723" s="16" t="s">
        <v>2150</v>
      </c>
      <c r="G723" s="16" t="s">
        <v>2151</v>
      </c>
      <c r="H723" s="17" t="n">
        <v>1920</v>
      </c>
      <c r="I723" s="17"/>
      <c r="J723" s="17"/>
      <c r="K723" s="17" t="n">
        <v>1950</v>
      </c>
      <c r="L723" s="17" t="n">
        <f aca="false">IF(AND(IFERROR(SEARCH("현대오일뱅크",$C723),0)&gt;0,IFERROR(SEARCH("직영",$C723),0)&gt;0),$B$13,0)</f>
        <v>0</v>
      </c>
      <c r="M723" s="17" t="n">
        <f aca="false">IF($H723="","",$H723+$L723)</f>
        <v>1920</v>
      </c>
      <c r="N723" s="17" t="str">
        <f aca="false">IF($I723="","",$I723+$L723)</f>
        <v/>
      </c>
      <c r="O723" s="17" t="n">
        <f aca="false">IF($K723="","",$K723+$L723)</f>
        <v>1950</v>
      </c>
      <c r="P723" s="17" t="str">
        <f aca="false">IF($B$10=0,"",IFERROR(IF($B$4&gt;0,"휘발유 "&amp;TEXT(IF($M723="",1/0,$M723*$B$4),"#,##0")&amp;"원","")&amp;IF($B$5&gt;0,IF($B$4&gt;0," / ","")&amp;"고급유 "&amp;TEXT(IF($N723="",1/0,$N723*$B$5),"#,##0")&amp;"원","")&amp;IF($B$6&gt;0,IF(OR($B$4&gt;0,$B$5&gt;0)," / ","")&amp;"경유 "&amp;TEXT(IF($O723="",1/0,$O723*$B$6),"#,##0")&amp;"원",""),""))</f>
        <v/>
      </c>
      <c r="Q723" s="17" t="str">
        <f aca="false">IF($B$10=0,"",IFERROR(IF($B$4&gt;0,IF($M723="",1/0,$M723*$B$4),0)+IF($B$5&gt;0,IF($N723="",1/0,$N723*$B$5),0)+IF($B$6&gt;0,IF($O723="",1/0,$O723*$B$6),0),""))</f>
        <v/>
      </c>
      <c r="R723" s="17"/>
      <c r="S723" s="18" t="str">
        <f aca="false">IF($Q723="","",IF($R723="Y",IFERROR(VLOOKUP($B723,$C$4:$D$13,2,FALSE()),0),0))</f>
        <v/>
      </c>
      <c r="T723" s="17" t="str">
        <f aca="false">IF($Q723="","",ROUNDDOWN($Q723*$S723,0))</f>
        <v/>
      </c>
      <c r="U723" s="17" t="str">
        <f aca="false">IF($Q723="","",$Q723-$T723)</f>
        <v/>
      </c>
      <c r="V723" s="17" t="str">
        <f aca="false">IF($U723="","",IF($B$10=0,"",$U723/$B$10))</f>
        <v/>
      </c>
      <c r="W723" s="17" t="str">
        <f aca="false">IF($Q723="","",IF($B$10=0,"",$Q723/$B$10))</f>
        <v/>
      </c>
      <c r="X723" s="19" t="n">
        <f aca="false">IF($U723="",1000000000000000,$U723)</f>
        <v>1000000000000000</v>
      </c>
      <c r="XFC723" s="6"/>
    </row>
    <row r="724" s="22" customFormat="true" ht="28.5" hidden="false" customHeight="true" outlineLevel="0" collapsed="false">
      <c r="A724" s="16" t="str">
        <f aca="false">IF($U724="","",1+COUNTIF($X$15:$X$728,"&lt;"&amp;X724))</f>
        <v/>
      </c>
      <c r="B724" s="16" t="s">
        <v>12</v>
      </c>
      <c r="C724" s="16" t="s">
        <v>2152</v>
      </c>
      <c r="D724" s="20" t="s">
        <v>294</v>
      </c>
      <c r="E724" s="16" t="s">
        <v>47</v>
      </c>
      <c r="F724" s="16" t="s">
        <v>2153</v>
      </c>
      <c r="G724" s="16" t="s">
        <v>2154</v>
      </c>
      <c r="H724" s="17" t="n">
        <v>1920</v>
      </c>
      <c r="I724" s="17"/>
      <c r="J724" s="17"/>
      <c r="K724" s="17" t="n">
        <v>1950</v>
      </c>
      <c r="L724" s="17" t="n">
        <f aca="false">IF(AND(IFERROR(SEARCH("현대오일뱅크",$C724),0)&gt;0,IFERROR(SEARCH("직영",$C724),0)&gt;0),$B$13,0)</f>
        <v>0</v>
      </c>
      <c r="M724" s="17" t="n">
        <f aca="false">IF($H724="","",$H724+$L724)</f>
        <v>1920</v>
      </c>
      <c r="N724" s="17" t="str">
        <f aca="false">IF($I724="","",$I724+$L724)</f>
        <v/>
      </c>
      <c r="O724" s="17" t="n">
        <f aca="false">IF($K724="","",$K724+$L724)</f>
        <v>1950</v>
      </c>
      <c r="P724" s="17" t="str">
        <f aca="false">IF($B$10=0,"",IFERROR(IF($B$4&gt;0,"휘발유 "&amp;TEXT(IF($M724="",1/0,$M724*$B$4),"#,##0")&amp;"원","")&amp;IF($B$5&gt;0,IF($B$4&gt;0," / ","")&amp;"고급유 "&amp;TEXT(IF($N724="",1/0,$N724*$B$5),"#,##0")&amp;"원","")&amp;IF($B$6&gt;0,IF(OR($B$4&gt;0,$B$5&gt;0)," / ","")&amp;"경유 "&amp;TEXT(IF($O724="",1/0,$O724*$B$6),"#,##0")&amp;"원",""),""))</f>
        <v/>
      </c>
      <c r="Q724" s="17" t="str">
        <f aca="false">IF($B$10=0,"",IFERROR(IF($B$4&gt;0,IF($M724="",1/0,$M724*$B$4),0)+IF($B$5&gt;0,IF($N724="",1/0,$N724*$B$5),0)+IF($B$6&gt;0,IF($O724="",1/0,$O724*$B$6),0),""))</f>
        <v/>
      </c>
      <c r="R724" s="17"/>
      <c r="S724" s="18" t="str">
        <f aca="false">IF($Q724="","",IF($R724="Y",IFERROR(VLOOKUP($B724,$C$4:$D$13,2,FALSE()),0),0))</f>
        <v/>
      </c>
      <c r="T724" s="17" t="str">
        <f aca="false">IF($Q724="","",ROUNDDOWN($Q724*$S724,0))</f>
        <v/>
      </c>
      <c r="U724" s="17" t="str">
        <f aca="false">IF($Q724="","",$Q724-$T724)</f>
        <v/>
      </c>
      <c r="V724" s="17" t="str">
        <f aca="false">IF($U724="","",IF($B$10=0,"",$U724/$B$10))</f>
        <v/>
      </c>
      <c r="W724" s="17" t="str">
        <f aca="false">IF($Q724="","",IF($B$10=0,"",$Q724/$B$10))</f>
        <v/>
      </c>
      <c r="X724" s="19" t="n">
        <f aca="false">IF($U724="",1000000000000000,$U724)</f>
        <v>1000000000000000</v>
      </c>
      <c r="XFC724" s="6"/>
    </row>
    <row r="725" s="22" customFormat="true" ht="28.5" hidden="false" customHeight="true" outlineLevel="0" collapsed="false">
      <c r="A725" s="16" t="str">
        <f aca="false">IF($U725="","",1+COUNTIF($X$15:$X$728,"&lt;"&amp;X725))</f>
        <v/>
      </c>
      <c r="B725" s="16" t="s">
        <v>12</v>
      </c>
      <c r="C725" s="16" t="s">
        <v>2155</v>
      </c>
      <c r="D725" s="20" t="s">
        <v>629</v>
      </c>
      <c r="E725" s="16" t="s">
        <v>47</v>
      </c>
      <c r="F725" s="16" t="s">
        <v>2156</v>
      </c>
      <c r="G725" s="16" t="s">
        <v>2157</v>
      </c>
      <c r="H725" s="17" t="n">
        <v>1920</v>
      </c>
      <c r="I725" s="17"/>
      <c r="J725" s="17"/>
      <c r="K725" s="17" t="n">
        <v>1950</v>
      </c>
      <c r="L725" s="17" t="n">
        <f aca="false">IF(AND(IFERROR(SEARCH("현대오일뱅크",$C725),0)&gt;0,IFERROR(SEARCH("직영",$C725),0)&gt;0),$B$13,0)</f>
        <v>0</v>
      </c>
      <c r="M725" s="17" t="n">
        <f aca="false">IF($H725="","",$H725+$L725)</f>
        <v>1920</v>
      </c>
      <c r="N725" s="17" t="str">
        <f aca="false">IF($I725="","",$I725+$L725)</f>
        <v/>
      </c>
      <c r="O725" s="17" t="n">
        <f aca="false">IF($K725="","",$K725+$L725)</f>
        <v>1950</v>
      </c>
      <c r="P725" s="17" t="str">
        <f aca="false">IF($B$10=0,"",IFERROR(IF($B$4&gt;0,"휘발유 "&amp;TEXT(IF($M725="",1/0,$M725*$B$4),"#,##0")&amp;"원","")&amp;IF($B$5&gt;0,IF($B$4&gt;0," / ","")&amp;"고급유 "&amp;TEXT(IF($N725="",1/0,$N725*$B$5),"#,##0")&amp;"원","")&amp;IF($B$6&gt;0,IF(OR($B$4&gt;0,$B$5&gt;0)," / ","")&amp;"경유 "&amp;TEXT(IF($O725="",1/0,$O725*$B$6),"#,##0")&amp;"원",""),""))</f>
        <v/>
      </c>
      <c r="Q725" s="17" t="str">
        <f aca="false">IF($B$10=0,"",IFERROR(IF($B$4&gt;0,IF($M725="",1/0,$M725*$B$4),0)+IF($B$5&gt;0,IF($N725="",1/0,$N725*$B$5),0)+IF($B$6&gt;0,IF($O725="",1/0,$O725*$B$6),0),""))</f>
        <v/>
      </c>
      <c r="R725" s="17"/>
      <c r="S725" s="18" t="str">
        <f aca="false">IF($Q725="","",IF($R725="Y",IFERROR(VLOOKUP($B725,$C$4:$D$13,2,FALSE()),0),0))</f>
        <v/>
      </c>
      <c r="T725" s="17" t="str">
        <f aca="false">IF($Q725="","",ROUNDDOWN($Q725*$S725,0))</f>
        <v/>
      </c>
      <c r="U725" s="17" t="str">
        <f aca="false">IF($Q725="","",$Q725-$T725)</f>
        <v/>
      </c>
      <c r="V725" s="17" t="str">
        <f aca="false">IF($U725="","",IF($B$10=0,"",$U725/$B$10))</f>
        <v/>
      </c>
      <c r="W725" s="17" t="str">
        <f aca="false">IF($Q725="","",IF($B$10=0,"",$Q725/$B$10))</f>
        <v/>
      </c>
      <c r="X725" s="19" t="n">
        <f aca="false">IF($U725="",1000000000000000,$U725)</f>
        <v>1000000000000000</v>
      </c>
      <c r="XFC725" s="6"/>
    </row>
    <row r="726" s="22" customFormat="true" ht="28.5" hidden="false" customHeight="true" outlineLevel="0" collapsed="false">
      <c r="A726" s="16" t="str">
        <f aca="false">IF($U726="","",1+COUNTIF($X$15:$X$728,"&lt;"&amp;X726))</f>
        <v/>
      </c>
      <c r="B726" s="16" t="s">
        <v>12</v>
      </c>
      <c r="C726" s="16" t="s">
        <v>2158</v>
      </c>
      <c r="D726" s="20" t="s">
        <v>629</v>
      </c>
      <c r="E726" s="16" t="s">
        <v>47</v>
      </c>
      <c r="F726" s="16" t="s">
        <v>2159</v>
      </c>
      <c r="G726" s="16" t="s">
        <v>2160</v>
      </c>
      <c r="H726" s="17" t="n">
        <v>1920</v>
      </c>
      <c r="I726" s="17"/>
      <c r="J726" s="17"/>
      <c r="K726" s="17" t="n">
        <v>1950</v>
      </c>
      <c r="L726" s="17" t="n">
        <f aca="false">IF(AND(IFERROR(SEARCH("현대오일뱅크",$C726),0)&gt;0,IFERROR(SEARCH("직영",$C726),0)&gt;0),$B$13,0)</f>
        <v>0</v>
      </c>
      <c r="M726" s="17" t="n">
        <f aca="false">IF($H726="","",$H726+$L726)</f>
        <v>1920</v>
      </c>
      <c r="N726" s="17" t="str">
        <f aca="false">IF($I726="","",$I726+$L726)</f>
        <v/>
      </c>
      <c r="O726" s="17" t="n">
        <f aca="false">IF($K726="","",$K726+$L726)</f>
        <v>1950</v>
      </c>
      <c r="P726" s="17" t="str">
        <f aca="false">IF($B$10=0,"",IFERROR(IF($B$4&gt;0,"휘발유 "&amp;TEXT(IF($M726="",1/0,$M726*$B$4),"#,##0")&amp;"원","")&amp;IF($B$5&gt;0,IF($B$4&gt;0," / ","")&amp;"고급유 "&amp;TEXT(IF($N726="",1/0,$N726*$B$5),"#,##0")&amp;"원","")&amp;IF($B$6&gt;0,IF(OR($B$4&gt;0,$B$5&gt;0)," / ","")&amp;"경유 "&amp;TEXT(IF($O726="",1/0,$O726*$B$6),"#,##0")&amp;"원",""),""))</f>
        <v/>
      </c>
      <c r="Q726" s="17" t="str">
        <f aca="false">IF($B$10=0,"",IFERROR(IF($B$4&gt;0,IF($M726="",1/0,$M726*$B$4),0)+IF($B$5&gt;0,IF($N726="",1/0,$N726*$B$5),0)+IF($B$6&gt;0,IF($O726="",1/0,$O726*$B$6),0),""))</f>
        <v/>
      </c>
      <c r="R726" s="17"/>
      <c r="S726" s="18" t="str">
        <f aca="false">IF($Q726="","",IF($R726="Y",IFERROR(VLOOKUP($B726,$C$4:$D$13,2,FALSE()),0),0))</f>
        <v/>
      </c>
      <c r="T726" s="17" t="str">
        <f aca="false">IF($Q726="","",ROUNDDOWN($Q726*$S726,0))</f>
        <v/>
      </c>
      <c r="U726" s="17" t="str">
        <f aca="false">IF($Q726="","",$Q726-$T726)</f>
        <v/>
      </c>
      <c r="V726" s="17" t="str">
        <f aca="false">IF($U726="","",IF($B$10=0,"",$U726/$B$10))</f>
        <v/>
      </c>
      <c r="W726" s="17" t="str">
        <f aca="false">IF($Q726="","",IF($B$10=0,"",$Q726/$B$10))</f>
        <v/>
      </c>
      <c r="X726" s="19" t="n">
        <f aca="false">IF($U726="",1000000000000000,$U726)</f>
        <v>1000000000000000</v>
      </c>
      <c r="XFC726" s="6"/>
    </row>
    <row r="727" s="6" customFormat="true" ht="28.6" hidden="false" customHeight="true" outlineLevel="0" collapsed="false">
      <c r="A727" s="16" t="str">
        <f aca="false">IF($U727="","",1+COUNTIF($X$15:$X$728,"&lt;"&amp;X727))</f>
        <v/>
      </c>
      <c r="B727" s="16" t="s">
        <v>18</v>
      </c>
      <c r="C727" s="16" t="s">
        <v>2161</v>
      </c>
      <c r="D727" s="16" t="s">
        <v>112</v>
      </c>
      <c r="E727" s="16" t="s">
        <v>47</v>
      </c>
      <c r="F727" s="16" t="s">
        <v>2162</v>
      </c>
      <c r="G727" s="16" t="s">
        <v>2163</v>
      </c>
      <c r="H727" s="17" t="n">
        <v>1922</v>
      </c>
      <c r="I727" s="17"/>
      <c r="J727" s="17"/>
      <c r="K727" s="17" t="n">
        <v>1922</v>
      </c>
      <c r="L727" s="17" t="n">
        <f aca="false">IF(AND(IFERROR(SEARCH("현대오일뱅크",$C727),0)&gt;0,IFERROR(SEARCH("직영",$C727),0)&gt;0),$B$13,0)</f>
        <v>0</v>
      </c>
      <c r="M727" s="17" t="n">
        <f aca="false">IF($H727="","",$H727+$L727)</f>
        <v>1922</v>
      </c>
      <c r="N727" s="17" t="str">
        <f aca="false">IF($I727="","",$I727+$L727)</f>
        <v/>
      </c>
      <c r="O727" s="17" t="n">
        <f aca="false">IF($K727="","",$K727+$L727)</f>
        <v>1922</v>
      </c>
      <c r="P727" s="17" t="str">
        <f aca="false">IF($B$10=0,"",IFERROR(IF($B$4&gt;0,"휘발유 "&amp;TEXT(IF($M727="",1/0,$M727*$B$4),"#,##0")&amp;"원","")&amp;IF($B$5&gt;0,IF($B$4&gt;0," / ","")&amp;"고급유 "&amp;TEXT(IF($N727="",1/0,$N727*$B$5),"#,##0")&amp;"원","")&amp;IF($B$6&gt;0,IF(OR($B$4&gt;0,$B$5&gt;0)," / ","")&amp;"경유 "&amp;TEXT(IF($O727="",1/0,$O727*$B$6),"#,##0")&amp;"원",""),""))</f>
        <v/>
      </c>
      <c r="Q727" s="17" t="str">
        <f aca="false">IF($B$10=0,"",IFERROR(IF($B$4&gt;0,IF($M727="",1/0,$M727*$B$4),0)+IF($B$5&gt;0,IF($N727="",1/0,$N727*$B$5),0)+IF($B$6&gt;0,IF($O727="",1/0,$O727*$B$6),0),""))</f>
        <v/>
      </c>
      <c r="R727" s="17"/>
      <c r="S727" s="18" t="str">
        <f aca="false">IF($Q727="","",IF($R727="Y",IFERROR(VLOOKUP($B727,$C$4:$D$13,2,FALSE()),0),0))</f>
        <v/>
      </c>
      <c r="T727" s="17" t="str">
        <f aca="false">IF($Q727="","",ROUNDDOWN($Q727*$S727,0))</f>
        <v/>
      </c>
      <c r="U727" s="17" t="str">
        <f aca="false">IF($Q727="","",$Q727-$T727)</f>
        <v/>
      </c>
      <c r="V727" s="17" t="str">
        <f aca="false">IF($U727="","",IF($B$10=0,"",$U727/$B$10))</f>
        <v/>
      </c>
      <c r="W727" s="17" t="str">
        <f aca="false">IF($Q727="","",IF($B$10=0,"",$Q727/$B$10))</f>
        <v/>
      </c>
      <c r="X727" s="19" t="n">
        <f aca="false">IF($U727="",1000000000000000,$U727)</f>
        <v>1000000000000000</v>
      </c>
    </row>
    <row r="728" s="6" customFormat="true" ht="28.6" hidden="false" customHeight="true" outlineLevel="0" collapsed="false">
      <c r="A728" s="16" t="str">
        <f aca="false">IF($U728="","",1+COUNTIF($X$15:$X$728,"&lt;"&amp;X728))</f>
        <v/>
      </c>
      <c r="B728" s="16" t="s">
        <v>18</v>
      </c>
      <c r="C728" s="16" t="s">
        <v>2164</v>
      </c>
      <c r="D728" s="16" t="s">
        <v>58</v>
      </c>
      <c r="E728" s="16" t="s">
        <v>47</v>
      </c>
      <c r="F728" s="16" t="s">
        <v>2165</v>
      </c>
      <c r="G728" s="16" t="s">
        <v>2166</v>
      </c>
      <c r="H728" s="17" t="n">
        <v>1922</v>
      </c>
      <c r="I728" s="17"/>
      <c r="J728" s="17"/>
      <c r="K728" s="17" t="n">
        <v>1992</v>
      </c>
      <c r="L728" s="17" t="n">
        <f aca="false">IF(AND(IFERROR(SEARCH("현대오일뱅크",$C728),0)&gt;0,IFERROR(SEARCH("직영",$C728),0)&gt;0),$B$13,0)</f>
        <v>0</v>
      </c>
      <c r="M728" s="17" t="n">
        <f aca="false">IF($H728="","",$H728+$L728)</f>
        <v>1922</v>
      </c>
      <c r="N728" s="17" t="str">
        <f aca="false">IF($I728="","",$I728+$L728)</f>
        <v/>
      </c>
      <c r="O728" s="17" t="n">
        <f aca="false">IF($K728="","",$K728+$L728)</f>
        <v>1992</v>
      </c>
      <c r="P728" s="17" t="str">
        <f aca="false">IF($B$10=0,"",IFERROR(IF($B$4&gt;0,"휘발유 "&amp;TEXT(IF($M728="",1/0,$M728*$B$4),"#,##0")&amp;"원","")&amp;IF($B$5&gt;0,IF($B$4&gt;0," / ","")&amp;"고급유 "&amp;TEXT(IF($N728="",1/0,$N728*$B$5),"#,##0")&amp;"원","")&amp;IF($B$6&gt;0,IF(OR($B$4&gt;0,$B$5&gt;0)," / ","")&amp;"경유 "&amp;TEXT(IF($O728="",1/0,$O728*$B$6),"#,##0")&amp;"원",""),""))</f>
        <v/>
      </c>
      <c r="Q728" s="17" t="str">
        <f aca="false">IF($B$10=0,"",IFERROR(IF($B$4&gt;0,IF($M728="",1/0,$M728*$B$4),0)+IF($B$5&gt;0,IF($N728="",1/0,$N728*$B$5),0)+IF($B$6&gt;0,IF($O728="",1/0,$O728*$B$6),0),""))</f>
        <v/>
      </c>
      <c r="R728" s="17"/>
      <c r="S728" s="18" t="str">
        <f aca="false">IF($Q728="","",IF($R728="Y",IFERROR(VLOOKUP($B728,$C$4:$D$13,2,FALSE()),0),0))</f>
        <v/>
      </c>
      <c r="T728" s="17" t="str">
        <f aca="false">IF($Q728="","",ROUNDDOWN($Q728*$S728,0))</f>
        <v/>
      </c>
      <c r="U728" s="17" t="str">
        <f aca="false">IF($Q728="","",$Q728-$T728)</f>
        <v/>
      </c>
      <c r="V728" s="17" t="str">
        <f aca="false">IF($U728="","",IF($B$10=0,"",$U728/$B$10))</f>
        <v/>
      </c>
      <c r="W728" s="17" t="str">
        <f aca="false">IF($Q728="","",IF($B$10=0,"",$Q728/$B$10))</f>
        <v/>
      </c>
      <c r="X728" s="19" t="n">
        <f aca="false">IF($U728="",1000000000000000,$U728)</f>
        <v>1000000000000000</v>
      </c>
    </row>
    <row r="729" s="6" customFormat="true" ht="28.6" hidden="false" customHeight="true" outlineLevel="0" collapsed="false">
      <c r="A729" s="16" t="str">
        <f aca="false">IF($U729="","",1+COUNTIF($X$15:$X$728,"&lt;"&amp;X729))</f>
        <v/>
      </c>
      <c r="B729" s="16" t="s">
        <v>12</v>
      </c>
      <c r="C729" s="16" t="s">
        <v>2167</v>
      </c>
      <c r="D729" s="20" t="s">
        <v>294</v>
      </c>
      <c r="E729" s="16" t="s">
        <v>47</v>
      </c>
      <c r="F729" s="16" t="s">
        <v>2168</v>
      </c>
      <c r="G729" s="16" t="s">
        <v>2169</v>
      </c>
      <c r="H729" s="17" t="n">
        <v>1925</v>
      </c>
      <c r="I729" s="17"/>
      <c r="J729" s="17"/>
      <c r="K729" s="17" t="n">
        <v>1995</v>
      </c>
      <c r="L729" s="17" t="n">
        <f aca="false">IF(AND(IFERROR(SEARCH("현대오일뱅크",$C729),0)&gt;0,IFERROR(SEARCH("직영",$C729),0)&gt;0),$B$13,0)</f>
        <v>0</v>
      </c>
      <c r="M729" s="17" t="n">
        <f aca="false">IF($H729="","",$H729+$L729)</f>
        <v>1925</v>
      </c>
      <c r="N729" s="17" t="str">
        <f aca="false">IF($I729="","",$I729+$L729)</f>
        <v/>
      </c>
      <c r="O729" s="17" t="n">
        <f aca="false">IF($K729="","",$K729+$L729)</f>
        <v>1995</v>
      </c>
      <c r="P729" s="17" t="str">
        <f aca="false">IF($B$10=0,"",IFERROR(IF($B$4&gt;0,"휘발유 "&amp;TEXT(IF($M729="",1/0,$M729*$B$4),"#,##0")&amp;"원","")&amp;IF($B$5&gt;0,IF($B$4&gt;0," / ","")&amp;"고급유 "&amp;TEXT(IF($N729="",1/0,$N729*$B$5),"#,##0")&amp;"원","")&amp;IF($B$6&gt;0,IF(OR($B$4&gt;0,$B$5&gt;0)," / ","")&amp;"경유 "&amp;TEXT(IF($O729="",1/0,$O729*$B$6),"#,##0")&amp;"원",""),""))</f>
        <v/>
      </c>
      <c r="Q729" s="17" t="str">
        <f aca="false">IF($B$10=0,"",IFERROR(IF($B$4&gt;0,IF($M729="",1/0,$M729*$B$4),0)+IF($B$5&gt;0,IF($N729="",1/0,$N729*$B$5),0)+IF($B$6&gt;0,IF($O729="",1/0,$O729*$B$6),0),""))</f>
        <v/>
      </c>
      <c r="R729" s="17"/>
      <c r="S729" s="18" t="str">
        <f aca="false">IF($Q729="","",IF($R729="Y",IFERROR(VLOOKUP($B729,$C$4:$D$13,2,FALSE()),0),0))</f>
        <v/>
      </c>
      <c r="T729" s="17" t="str">
        <f aca="false">IF($Q729="","",ROUNDDOWN($Q729*$S729,0))</f>
        <v/>
      </c>
      <c r="U729" s="17" t="str">
        <f aca="false">IF($Q729="","",$Q729-$T729)</f>
        <v/>
      </c>
      <c r="V729" s="17" t="str">
        <f aca="false">IF($U729="","",IF($B$10=0,"",$U729/$B$10))</f>
        <v/>
      </c>
      <c r="W729" s="17" t="str">
        <f aca="false">IF($Q729="","",IF($B$10=0,"",$Q729/$B$10))</f>
        <v/>
      </c>
      <c r="X729" s="19" t="n">
        <f aca="false">IF($U729="",1000000000000000,$U729)</f>
        <v>1000000000000000</v>
      </c>
    </row>
    <row r="730" s="6" customFormat="true" ht="28.6" hidden="false" customHeight="true" outlineLevel="0" collapsed="false">
      <c r="A730" s="16" t="str">
        <f aca="false">IF($U730="","",1+COUNTIF($X$15:$X$728,"&lt;"&amp;X730))</f>
        <v/>
      </c>
      <c r="B730" s="16" t="s">
        <v>12</v>
      </c>
      <c r="C730" s="16" t="s">
        <v>532</v>
      </c>
      <c r="D730" s="20" t="s">
        <v>248</v>
      </c>
      <c r="E730" s="16" t="s">
        <v>47</v>
      </c>
      <c r="F730" s="16" t="s">
        <v>2170</v>
      </c>
      <c r="G730" s="16" t="s">
        <v>2171</v>
      </c>
      <c r="H730" s="17" t="n">
        <v>1925</v>
      </c>
      <c r="I730" s="17"/>
      <c r="J730" s="17"/>
      <c r="K730" s="17" t="n">
        <v>1985</v>
      </c>
      <c r="L730" s="17" t="n">
        <f aca="false">IF(AND(IFERROR(SEARCH("현대오일뱅크",$C730),0)&gt;0,IFERROR(SEARCH("직영",$C730),0)&gt;0),$B$13,0)</f>
        <v>0</v>
      </c>
      <c r="M730" s="17" t="n">
        <f aca="false">IF($H730="","",$H730+$L730)</f>
        <v>1925</v>
      </c>
      <c r="N730" s="17" t="str">
        <f aca="false">IF($I730="","",$I730+$L730)</f>
        <v/>
      </c>
      <c r="O730" s="17" t="n">
        <f aca="false">IF($K730="","",$K730+$L730)</f>
        <v>1985</v>
      </c>
      <c r="P730" s="17" t="str">
        <f aca="false">IF($B$10=0,"",IFERROR(IF($B$4&gt;0,"휘발유 "&amp;TEXT(IF($M730="",1/0,$M730*$B$4),"#,##0")&amp;"원","")&amp;IF($B$5&gt;0,IF($B$4&gt;0," / ","")&amp;"고급유 "&amp;TEXT(IF($N730="",1/0,$N730*$B$5),"#,##0")&amp;"원","")&amp;IF($B$6&gt;0,IF(OR($B$4&gt;0,$B$5&gt;0)," / ","")&amp;"경유 "&amp;TEXT(IF($O730="",1/0,$O730*$B$6),"#,##0")&amp;"원",""),""))</f>
        <v/>
      </c>
      <c r="Q730" s="17" t="str">
        <f aca="false">IF($B$10=0,"",IFERROR(IF($B$4&gt;0,IF($M730="",1/0,$M730*$B$4),0)+IF($B$5&gt;0,IF($N730="",1/0,$N730*$B$5),0)+IF($B$6&gt;0,IF($O730="",1/0,$O730*$B$6),0),""))</f>
        <v/>
      </c>
      <c r="R730" s="17"/>
      <c r="S730" s="18" t="str">
        <f aca="false">IF($Q730="","",IF($R730="Y",IFERROR(VLOOKUP($B730,$C$4:$D$13,2,FALSE()),0),0))</f>
        <v/>
      </c>
      <c r="T730" s="17" t="str">
        <f aca="false">IF($Q730="","",ROUNDDOWN($Q730*$S730,0))</f>
        <v/>
      </c>
      <c r="U730" s="17" t="str">
        <f aca="false">IF($Q730="","",$Q730-$T730)</f>
        <v/>
      </c>
      <c r="V730" s="17" t="str">
        <f aca="false">IF($U730="","",IF($B$10=0,"",$U730/$B$10))</f>
        <v/>
      </c>
      <c r="W730" s="17" t="str">
        <f aca="false">IF($Q730="","",IF($B$10=0,"",$Q730/$B$10))</f>
        <v/>
      </c>
      <c r="X730" s="19" t="n">
        <f aca="false">IF($U730="",1000000000000000,$U730)</f>
        <v>1000000000000000</v>
      </c>
    </row>
    <row r="731" s="6" customFormat="true" ht="28.6" hidden="false" customHeight="true" outlineLevel="0" collapsed="false">
      <c r="A731" s="16" t="str">
        <f aca="false">IF($U731="","",1+COUNTIF($X$15:$X$728,"&lt;"&amp;X731))</f>
        <v/>
      </c>
      <c r="B731" s="16" t="s">
        <v>18</v>
      </c>
      <c r="C731" s="16" t="s">
        <v>2172</v>
      </c>
      <c r="D731" s="20" t="s">
        <v>294</v>
      </c>
      <c r="E731" s="16" t="s">
        <v>47</v>
      </c>
      <c r="F731" s="16" t="s">
        <v>2173</v>
      </c>
      <c r="G731" s="16" t="s">
        <v>2174</v>
      </c>
      <c r="H731" s="17" t="n">
        <v>1922</v>
      </c>
      <c r="I731" s="17"/>
      <c r="J731" s="17"/>
      <c r="K731" s="17" t="n">
        <v>1926</v>
      </c>
      <c r="L731" s="17" t="n">
        <f aca="false">IF(AND(IFERROR(SEARCH("현대오일뱅크",$C731),0)&gt;0,IFERROR(SEARCH("직영",$C731),0)&gt;0),$B$13,0)</f>
        <v>0</v>
      </c>
      <c r="M731" s="17" t="n">
        <f aca="false">IF($H731="","",$H731+$L731)</f>
        <v>1922</v>
      </c>
      <c r="N731" s="17" t="str">
        <f aca="false">IF($I731="","",$I731+$L731)</f>
        <v/>
      </c>
      <c r="O731" s="17" t="n">
        <f aca="false">IF($K731="","",$K731+$L731)</f>
        <v>1926</v>
      </c>
      <c r="P731" s="17" t="str">
        <f aca="false">IF($B$10=0,"",IFERROR(IF($B$4&gt;0,"휘발유 "&amp;TEXT(IF($M731="",1/0,$M731*$B$4),"#,##0")&amp;"원","")&amp;IF($B$5&gt;0,IF($B$4&gt;0," / ","")&amp;"고급유 "&amp;TEXT(IF($N731="",1/0,$N731*$B$5),"#,##0")&amp;"원","")&amp;IF($B$6&gt;0,IF(OR($B$4&gt;0,$B$5&gt;0)," / ","")&amp;"경유 "&amp;TEXT(IF($O731="",1/0,$O731*$B$6),"#,##0")&amp;"원",""),""))</f>
        <v/>
      </c>
      <c r="Q731" s="17" t="str">
        <f aca="false">IF($B$10=0,"",IFERROR(IF($B$4&gt;0,IF($M731="",1/0,$M731*$B$4),0)+IF($B$5&gt;0,IF($N731="",1/0,$N731*$B$5),0)+IF($B$6&gt;0,IF($O731="",1/0,$O731*$B$6),0),""))</f>
        <v/>
      </c>
      <c r="R731" s="17"/>
      <c r="S731" s="18" t="str">
        <f aca="false">IF($Q731="","",IF($R731="Y",IFERROR(VLOOKUP($B731,$C$4:$D$13,2,FALSE()),0),0))</f>
        <v/>
      </c>
      <c r="T731" s="17" t="str">
        <f aca="false">IF($Q731="","",ROUNDDOWN($Q731*$S731,0))</f>
        <v/>
      </c>
      <c r="U731" s="17" t="str">
        <f aca="false">IF($Q731="","",$Q731-$T731)</f>
        <v/>
      </c>
      <c r="V731" s="17" t="str">
        <f aca="false">IF($U731="","",IF($B$10=0,"",$U731/$B$10))</f>
        <v/>
      </c>
      <c r="W731" s="17" t="str">
        <f aca="false">IF($Q731="","",IF($B$10=0,"",$Q731/$B$10))</f>
        <v/>
      </c>
      <c r="X731" s="19" t="n">
        <f aca="false">IF($U731="",1000000000000000,$U731)</f>
        <v>1000000000000000</v>
      </c>
    </row>
    <row r="732" s="6" customFormat="true" ht="28.6" hidden="false" customHeight="true" outlineLevel="0" collapsed="false">
      <c r="A732" s="16" t="str">
        <f aca="false">IF($U732="","",1+COUNTIF($X$15:$X$728,"&lt;"&amp;X732))</f>
        <v/>
      </c>
      <c r="B732" s="16" t="s">
        <v>10</v>
      </c>
      <c r="C732" s="16" t="s">
        <v>2175</v>
      </c>
      <c r="D732" s="20" t="s">
        <v>108</v>
      </c>
      <c r="E732" s="16" t="s">
        <v>59</v>
      </c>
      <c r="F732" s="16" t="s">
        <v>2176</v>
      </c>
      <c r="G732" s="16" t="s">
        <v>2177</v>
      </c>
      <c r="H732" s="17" t="n">
        <v>1928</v>
      </c>
      <c r="I732" s="17"/>
      <c r="J732" s="17"/>
      <c r="K732" s="17" t="n">
        <v>1958</v>
      </c>
      <c r="L732" s="17" t="n">
        <f aca="false">IF(AND(IFERROR(SEARCH("현대오일뱅크",$C732),0)&gt;0,IFERROR(SEARCH("직영",$C732),0)&gt;0),$B$13,0)</f>
        <v>0</v>
      </c>
      <c r="M732" s="17" t="n">
        <f aca="false">IF($H732="","",$H732+$L732)</f>
        <v>1928</v>
      </c>
      <c r="N732" s="17" t="str">
        <f aca="false">IF($I732="","",$I732+$L732)</f>
        <v/>
      </c>
      <c r="O732" s="17" t="n">
        <f aca="false">IF($K732="","",$K732+$L732)</f>
        <v>1958</v>
      </c>
      <c r="P732" s="17" t="str">
        <f aca="false">IF($B$10=0,"",IFERROR(IF($B$4&gt;0,"휘발유 "&amp;TEXT(IF($M732="",1/0,$M732*$B$4),"#,##0")&amp;"원","")&amp;IF($B$5&gt;0,IF($B$4&gt;0," / ","")&amp;"고급유 "&amp;TEXT(IF($N732="",1/0,$N732*$B$5),"#,##0")&amp;"원","")&amp;IF($B$6&gt;0,IF(OR($B$4&gt;0,$B$5&gt;0)," / ","")&amp;"경유 "&amp;TEXT(IF($O732="",1/0,$O732*$B$6),"#,##0")&amp;"원",""),""))</f>
        <v/>
      </c>
      <c r="Q732" s="17" t="str">
        <f aca="false">IF($B$10=0,"",IFERROR(IF($B$4&gt;0,IF($M732="",1/0,$M732*$B$4),0)+IF($B$5&gt;0,IF($N732="",1/0,$N732*$B$5),0)+IF($B$6&gt;0,IF($O732="",1/0,$O732*$B$6),0),""))</f>
        <v/>
      </c>
      <c r="R732" s="17"/>
      <c r="S732" s="18" t="str">
        <f aca="false">IF($Q732="","",IF($R732="Y",IFERROR(VLOOKUP($B732,$C$4:$D$13,2,FALSE()),0),0))</f>
        <v/>
      </c>
      <c r="T732" s="17" t="str">
        <f aca="false">IF($Q732="","",ROUNDDOWN($Q732*$S732,0))</f>
        <v/>
      </c>
      <c r="U732" s="17" t="str">
        <f aca="false">IF($Q732="","",$Q732-$T732)</f>
        <v/>
      </c>
      <c r="V732" s="17" t="str">
        <f aca="false">IF($U732="","",IF($B$10=0,"",$U732/$B$10))</f>
        <v/>
      </c>
      <c r="W732" s="17" t="str">
        <f aca="false">IF($Q732="","",IF($B$10=0,"",$Q732/$B$10))</f>
        <v/>
      </c>
      <c r="X732" s="19" t="n">
        <f aca="false">IF($U732="",1000000000000000,$U732)</f>
        <v>1000000000000000</v>
      </c>
    </row>
    <row r="733" s="6" customFormat="true" ht="28.6" hidden="false" customHeight="true" outlineLevel="0" collapsed="false">
      <c r="A733" s="16" t="str">
        <f aca="false">IF($U733="","",1+COUNTIF($X$15:$X$728,"&lt;"&amp;X733))</f>
        <v/>
      </c>
      <c r="B733" s="16" t="s">
        <v>10</v>
      </c>
      <c r="C733" s="16" t="s">
        <v>2178</v>
      </c>
      <c r="D733" s="16" t="s">
        <v>51</v>
      </c>
      <c r="E733" s="16" t="s">
        <v>59</v>
      </c>
      <c r="F733" s="16" t="s">
        <v>2179</v>
      </c>
      <c r="G733" s="16" t="s">
        <v>2180</v>
      </c>
      <c r="H733" s="17" t="n">
        <v>1928</v>
      </c>
      <c r="I733" s="17"/>
      <c r="J733" s="17"/>
      <c r="K733" s="17" t="n">
        <v>1928</v>
      </c>
      <c r="L733" s="17" t="n">
        <f aca="false">IF(AND(IFERROR(SEARCH("현대오일뱅크",$C733),0)&gt;0,IFERROR(SEARCH("직영",$C733),0)&gt;0),$B$13,0)</f>
        <v>0</v>
      </c>
      <c r="M733" s="17" t="n">
        <f aca="false">IF($H733="","",$H733+$L733)</f>
        <v>1928</v>
      </c>
      <c r="N733" s="17" t="str">
        <f aca="false">IF($I733="","",$I733+$L733)</f>
        <v/>
      </c>
      <c r="O733" s="17" t="n">
        <f aca="false">IF($K733="","",$K733+$L733)</f>
        <v>1928</v>
      </c>
      <c r="P733" s="17" t="str">
        <f aca="false">IF($B$10=0,"",IFERROR(IF($B$4&gt;0,"휘발유 "&amp;TEXT(IF($M733="",1/0,$M733*$B$4),"#,##0")&amp;"원","")&amp;IF($B$5&gt;0,IF($B$4&gt;0," / ","")&amp;"고급유 "&amp;TEXT(IF($N733="",1/0,$N733*$B$5),"#,##0")&amp;"원","")&amp;IF($B$6&gt;0,IF(OR($B$4&gt;0,$B$5&gt;0)," / ","")&amp;"경유 "&amp;TEXT(IF($O733="",1/0,$O733*$B$6),"#,##0")&amp;"원",""),""))</f>
        <v/>
      </c>
      <c r="Q733" s="17" t="str">
        <f aca="false">IF($B$10=0,"",IFERROR(IF($B$4&gt;0,IF($M733="",1/0,$M733*$B$4),0)+IF($B$5&gt;0,IF($N733="",1/0,$N733*$B$5),0)+IF($B$6&gt;0,IF($O733="",1/0,$O733*$B$6),0),""))</f>
        <v/>
      </c>
      <c r="R733" s="17"/>
      <c r="S733" s="18" t="str">
        <f aca="false">IF($Q733="","",IF($R733="Y",IFERROR(VLOOKUP($B733,$C$4:$D$13,2,FALSE()),0),0))</f>
        <v/>
      </c>
      <c r="T733" s="17" t="str">
        <f aca="false">IF($Q733="","",ROUNDDOWN($Q733*$S733,0))</f>
        <v/>
      </c>
      <c r="U733" s="17" t="str">
        <f aca="false">IF($Q733="","",$Q733-$T733)</f>
        <v/>
      </c>
      <c r="V733" s="17" t="str">
        <f aca="false">IF($U733="","",IF($B$10=0,"",$U733/$B$10))</f>
        <v/>
      </c>
      <c r="W733" s="17" t="str">
        <f aca="false">IF($Q733="","",IF($B$10=0,"",$Q733/$B$10))</f>
        <v/>
      </c>
      <c r="X733" s="19" t="n">
        <f aca="false">IF($U733="",1000000000000000,$U733)</f>
        <v>1000000000000000</v>
      </c>
    </row>
    <row r="734" s="6" customFormat="true" ht="28.6" hidden="false" customHeight="true" outlineLevel="0" collapsed="false">
      <c r="A734" s="16" t="str">
        <f aca="false">IF($U734="","",1+COUNTIF($X$15:$X$728,"&lt;"&amp;X734))</f>
        <v/>
      </c>
      <c r="B734" s="16" t="s">
        <v>10</v>
      </c>
      <c r="C734" s="16" t="s">
        <v>2181</v>
      </c>
      <c r="D734" s="16" t="s">
        <v>58</v>
      </c>
      <c r="E734" s="16" t="s">
        <v>47</v>
      </c>
      <c r="F734" s="16" t="s">
        <v>2182</v>
      </c>
      <c r="G734" s="16" t="s">
        <v>2183</v>
      </c>
      <c r="H734" s="17" t="n">
        <v>1928</v>
      </c>
      <c r="I734" s="17"/>
      <c r="J734" s="17"/>
      <c r="K734" s="17" t="n">
        <v>1948</v>
      </c>
      <c r="L734" s="17" t="n">
        <f aca="false">IF(AND(IFERROR(SEARCH("현대오일뱅크",$C734),0)&gt;0,IFERROR(SEARCH("직영",$C734),0)&gt;0),$B$13,0)</f>
        <v>0</v>
      </c>
      <c r="M734" s="17" t="n">
        <f aca="false">IF($H734="","",$H734+$L734)</f>
        <v>1928</v>
      </c>
      <c r="N734" s="17" t="str">
        <f aca="false">IF($I734="","",$I734+$L734)</f>
        <v/>
      </c>
      <c r="O734" s="17" t="n">
        <f aca="false">IF($K734="","",$K734+$L734)</f>
        <v>1948</v>
      </c>
      <c r="P734" s="17" t="str">
        <f aca="false">IF($B$10=0,"",IFERROR(IF($B$4&gt;0,"휘발유 "&amp;TEXT(IF($M734="",1/0,$M734*$B$4),"#,##0")&amp;"원","")&amp;IF($B$5&gt;0,IF($B$4&gt;0," / ","")&amp;"고급유 "&amp;TEXT(IF($N734="",1/0,$N734*$B$5),"#,##0")&amp;"원","")&amp;IF($B$6&gt;0,IF(OR($B$4&gt;0,$B$5&gt;0)," / ","")&amp;"경유 "&amp;TEXT(IF($O734="",1/0,$O734*$B$6),"#,##0")&amp;"원",""),""))</f>
        <v/>
      </c>
      <c r="Q734" s="17" t="str">
        <f aca="false">IF($B$10=0,"",IFERROR(IF($B$4&gt;0,IF($M734="",1/0,$M734*$B$4),0)+IF($B$5&gt;0,IF($N734="",1/0,$N734*$B$5),0)+IF($B$6&gt;0,IF($O734="",1/0,$O734*$B$6),0),""))</f>
        <v/>
      </c>
      <c r="R734" s="17"/>
      <c r="S734" s="18" t="str">
        <f aca="false">IF($Q734="","",IF($R734="Y",IFERROR(VLOOKUP($B734,$C$4:$D$13,2,FALSE()),0),0))</f>
        <v/>
      </c>
      <c r="T734" s="17" t="str">
        <f aca="false">IF($Q734="","",ROUNDDOWN($Q734*$S734,0))</f>
        <v/>
      </c>
      <c r="U734" s="17" t="str">
        <f aca="false">IF($Q734="","",$Q734-$T734)</f>
        <v/>
      </c>
      <c r="V734" s="17" t="str">
        <f aca="false">IF($U734="","",IF($B$10=0,"",$U734/$B$10))</f>
        <v/>
      </c>
      <c r="W734" s="17" t="str">
        <f aca="false">IF($Q734="","",IF($B$10=0,"",$Q734/$B$10))</f>
        <v/>
      </c>
      <c r="X734" s="19" t="n">
        <f aca="false">IF($U734="",1000000000000000,$U734)</f>
        <v>1000000000000000</v>
      </c>
    </row>
    <row r="735" s="6" customFormat="true" ht="28.6" hidden="false" customHeight="true" outlineLevel="0" collapsed="false">
      <c r="A735" s="16" t="str">
        <f aca="false">IF($U735="","",1+COUNTIF($X$15:$X$728,"&lt;"&amp;X735))</f>
        <v/>
      </c>
      <c r="B735" s="16" t="s">
        <v>6</v>
      </c>
      <c r="C735" s="16" t="s">
        <v>2184</v>
      </c>
      <c r="D735" s="20" t="s">
        <v>108</v>
      </c>
      <c r="E735" s="16" t="s">
        <v>47</v>
      </c>
      <c r="F735" s="16" t="s">
        <v>2185</v>
      </c>
      <c r="G735" s="16" t="s">
        <v>2186</v>
      </c>
      <c r="H735" s="17" t="n">
        <v>1929</v>
      </c>
      <c r="I735" s="17"/>
      <c r="J735" s="17"/>
      <c r="K735" s="17" t="n">
        <v>1929</v>
      </c>
      <c r="L735" s="17" t="n">
        <f aca="false">IF(AND(IFERROR(SEARCH("현대오일뱅크",$C735),0)&gt;0,IFERROR(SEARCH("직영",$C735),0)&gt;0),$B$13,0)</f>
        <v>0</v>
      </c>
      <c r="M735" s="17" t="n">
        <f aca="false">IF($H735="","",$H735+$L735)</f>
        <v>1929</v>
      </c>
      <c r="N735" s="17" t="str">
        <f aca="false">IF($I735="","",$I735+$L735)</f>
        <v/>
      </c>
      <c r="O735" s="17" t="n">
        <f aca="false">IF($K735="","",$K735+$L735)</f>
        <v>1929</v>
      </c>
      <c r="P735" s="17" t="str">
        <f aca="false">IF($B$10=0,"",IFERROR(IF($B$4&gt;0,"휘발유 "&amp;TEXT(IF($M735="",1/0,$M735*$B$4),"#,##0")&amp;"원","")&amp;IF($B$5&gt;0,IF($B$4&gt;0," / ","")&amp;"고급유 "&amp;TEXT(IF($N735="",1/0,$N735*$B$5),"#,##0")&amp;"원","")&amp;IF($B$6&gt;0,IF(OR($B$4&gt;0,$B$5&gt;0)," / ","")&amp;"경유 "&amp;TEXT(IF($O735="",1/0,$O735*$B$6),"#,##0")&amp;"원",""),""))</f>
        <v/>
      </c>
      <c r="Q735" s="17" t="str">
        <f aca="false">IF($B$10=0,"",IFERROR(IF($B$4&gt;0,IF($M735="",1/0,$M735*$B$4),0)+IF($B$5&gt;0,IF($N735="",1/0,$N735*$B$5),0)+IF($B$6&gt;0,IF($O735="",1/0,$O735*$B$6),0),""))</f>
        <v/>
      </c>
      <c r="R735" s="17"/>
      <c r="S735" s="18" t="str">
        <f aca="false">IF($Q735="","",IF($R735="Y",IFERROR(VLOOKUP($B735,$C$4:$D$13,2,FALSE()),0),0))</f>
        <v/>
      </c>
      <c r="T735" s="17" t="str">
        <f aca="false">IF($Q735="","",ROUNDDOWN($Q735*$S735,0))</f>
        <v/>
      </c>
      <c r="U735" s="17" t="str">
        <f aca="false">IF($Q735="","",$Q735-$T735)</f>
        <v/>
      </c>
      <c r="V735" s="17" t="str">
        <f aca="false">IF($U735="","",IF($B$10=0,"",$U735/$B$10))</f>
        <v/>
      </c>
      <c r="W735" s="17" t="str">
        <f aca="false">IF($Q735="","",IF($B$10=0,"",$Q735/$B$10))</f>
        <v/>
      </c>
      <c r="X735" s="19" t="n">
        <f aca="false">IF($U735="",1000000000000000,$U735)</f>
        <v>1000000000000000</v>
      </c>
    </row>
    <row r="736" s="6" customFormat="true" ht="28.6" hidden="false" customHeight="true" outlineLevel="0" collapsed="false">
      <c r="A736" s="16" t="str">
        <f aca="false">IF($U736="","",1+COUNTIF($X$15:$X$728,"&lt;"&amp;X736))</f>
        <v/>
      </c>
      <c r="B736" s="16" t="s">
        <v>6</v>
      </c>
      <c r="C736" s="16" t="s">
        <v>2187</v>
      </c>
      <c r="D736" s="16" t="s">
        <v>112</v>
      </c>
      <c r="E736" s="16" t="s">
        <v>47</v>
      </c>
      <c r="F736" s="16" t="s">
        <v>2188</v>
      </c>
      <c r="G736" s="16" t="s">
        <v>2189</v>
      </c>
      <c r="H736" s="17" t="n">
        <v>1929</v>
      </c>
      <c r="I736" s="17"/>
      <c r="J736" s="17"/>
      <c r="K736" s="17" t="n">
        <v>1899</v>
      </c>
      <c r="L736" s="17" t="n">
        <f aca="false">IF(AND(IFERROR(SEARCH("현대오일뱅크",$C736),0)&gt;0,IFERROR(SEARCH("직영",$C736),0)&gt;0),$B$13,0)</f>
        <v>0</v>
      </c>
      <c r="M736" s="17" t="n">
        <f aca="false">IF($H736="","",$H736+$L736)</f>
        <v>1929</v>
      </c>
      <c r="N736" s="17" t="str">
        <f aca="false">IF($I736="","",$I736+$L736)</f>
        <v/>
      </c>
      <c r="O736" s="17" t="n">
        <f aca="false">IF($K736="","",$K736+$L736)</f>
        <v>1899</v>
      </c>
      <c r="P736" s="17" t="str">
        <f aca="false">IF($B$10=0,"",IFERROR(IF($B$4&gt;0,"휘발유 "&amp;TEXT(IF($M736="",1/0,$M736*$B$4),"#,##0")&amp;"원","")&amp;IF($B$5&gt;0,IF($B$4&gt;0," / ","")&amp;"고급유 "&amp;TEXT(IF($N736="",1/0,$N736*$B$5),"#,##0")&amp;"원","")&amp;IF($B$6&gt;0,IF(OR($B$4&gt;0,$B$5&gt;0)," / ","")&amp;"경유 "&amp;TEXT(IF($O736="",1/0,$O736*$B$6),"#,##0")&amp;"원",""),""))</f>
        <v/>
      </c>
      <c r="Q736" s="17" t="str">
        <f aca="false">IF($B$10=0,"",IFERROR(IF($B$4&gt;0,IF($M736="",1/0,$M736*$B$4),0)+IF($B$5&gt;0,IF($N736="",1/0,$N736*$B$5),0)+IF($B$6&gt;0,IF($O736="",1/0,$O736*$B$6),0),""))</f>
        <v/>
      </c>
      <c r="R736" s="17"/>
      <c r="S736" s="18" t="str">
        <f aca="false">IF($Q736="","",IF($R736="Y",IFERROR(VLOOKUP($B736,$C$4:$D$13,2,FALSE()),0),0))</f>
        <v/>
      </c>
      <c r="T736" s="17" t="str">
        <f aca="false">IF($Q736="","",ROUNDDOWN($Q736*$S736,0))</f>
        <v/>
      </c>
      <c r="U736" s="17" t="str">
        <f aca="false">IF($Q736="","",$Q736-$T736)</f>
        <v/>
      </c>
      <c r="V736" s="17" t="str">
        <f aca="false">IF($U736="","",IF($B$10=0,"",$U736/$B$10))</f>
        <v/>
      </c>
      <c r="W736" s="17" t="str">
        <f aca="false">IF($Q736="","",IF($B$10=0,"",$Q736/$B$10))</f>
        <v/>
      </c>
      <c r="X736" s="19" t="n">
        <f aca="false">IF($U736="",1000000000000000,$U736)</f>
        <v>1000000000000000</v>
      </c>
    </row>
    <row r="737" s="6" customFormat="true" ht="28.6" hidden="false" customHeight="true" outlineLevel="0" collapsed="false">
      <c r="A737" s="16" t="str">
        <f aca="false">IF($U737="","",1+COUNTIF($X$15:$X$728,"&lt;"&amp;X737))</f>
        <v/>
      </c>
      <c r="B737" s="16" t="s">
        <v>10</v>
      </c>
      <c r="C737" s="16" t="s">
        <v>2190</v>
      </c>
      <c r="D737" s="16" t="s">
        <v>58</v>
      </c>
      <c r="E737" s="16" t="s">
        <v>47</v>
      </c>
      <c r="F737" s="16" t="s">
        <v>2191</v>
      </c>
      <c r="G737" s="16" t="s">
        <v>2192</v>
      </c>
      <c r="H737" s="17" t="n">
        <v>1929</v>
      </c>
      <c r="I737" s="17"/>
      <c r="J737" s="17"/>
      <c r="K737" s="17" t="n">
        <v>1959</v>
      </c>
      <c r="L737" s="17" t="n">
        <f aca="false">IF(AND(IFERROR(SEARCH("현대오일뱅크",$C737),0)&gt;0,IFERROR(SEARCH("직영",$C737),0)&gt;0),$B$13,0)</f>
        <v>0</v>
      </c>
      <c r="M737" s="17" t="n">
        <f aca="false">IF($H737="","",$H737+$L737)</f>
        <v>1929</v>
      </c>
      <c r="N737" s="17" t="str">
        <f aca="false">IF($I737="","",$I737+$L737)</f>
        <v/>
      </c>
      <c r="O737" s="17" t="n">
        <f aca="false">IF($K737="","",$K737+$L737)</f>
        <v>1959</v>
      </c>
      <c r="P737" s="17" t="str">
        <f aca="false">IF($B$10=0,"",IFERROR(IF($B$4&gt;0,"휘발유 "&amp;TEXT(IF($M737="",1/0,$M737*$B$4),"#,##0")&amp;"원","")&amp;IF($B$5&gt;0,IF($B$4&gt;0," / ","")&amp;"고급유 "&amp;TEXT(IF($N737="",1/0,$N737*$B$5),"#,##0")&amp;"원","")&amp;IF($B$6&gt;0,IF(OR($B$4&gt;0,$B$5&gt;0)," / ","")&amp;"경유 "&amp;TEXT(IF($O737="",1/0,$O737*$B$6),"#,##0")&amp;"원",""),""))</f>
        <v/>
      </c>
      <c r="Q737" s="17" t="str">
        <f aca="false">IF($B$10=0,"",IFERROR(IF($B$4&gt;0,IF($M737="",1/0,$M737*$B$4),0)+IF($B$5&gt;0,IF($N737="",1/0,$N737*$B$5),0)+IF($B$6&gt;0,IF($O737="",1/0,$O737*$B$6),0),""))</f>
        <v/>
      </c>
      <c r="R737" s="17"/>
      <c r="S737" s="18" t="str">
        <f aca="false">IF($Q737="","",IF($R737="Y",IFERROR(VLOOKUP($B737,$C$4:$D$13,2,FALSE()),0),0))</f>
        <v/>
      </c>
      <c r="T737" s="17" t="str">
        <f aca="false">IF($Q737="","",ROUNDDOWN($Q737*$S737,0))</f>
        <v/>
      </c>
      <c r="U737" s="17" t="str">
        <f aca="false">IF($Q737="","",$Q737-$T737)</f>
        <v/>
      </c>
      <c r="V737" s="17" t="str">
        <f aca="false">IF($U737="","",IF($B$10=0,"",$U737/$B$10))</f>
        <v/>
      </c>
      <c r="W737" s="17" t="str">
        <f aca="false">IF($Q737="","",IF($B$10=0,"",$Q737/$B$10))</f>
        <v/>
      </c>
      <c r="X737" s="19" t="n">
        <f aca="false">IF($U737="",1000000000000000,$U737)</f>
        <v>1000000000000000</v>
      </c>
    </row>
    <row r="738" s="6" customFormat="true" ht="28.6" hidden="false" customHeight="true" outlineLevel="0" collapsed="false">
      <c r="A738" s="16" t="str">
        <f aca="false">IF($U738="","",1+COUNTIF($X$15:$X$728,"&lt;"&amp;X738))</f>
        <v/>
      </c>
      <c r="B738" s="16" t="s">
        <v>12</v>
      </c>
      <c r="C738" s="16" t="s">
        <v>2193</v>
      </c>
      <c r="D738" s="20" t="s">
        <v>294</v>
      </c>
      <c r="E738" s="16" t="s">
        <v>47</v>
      </c>
      <c r="F738" s="16" t="s">
        <v>2194</v>
      </c>
      <c r="G738" s="16" t="s">
        <v>2195</v>
      </c>
      <c r="H738" s="17" t="n">
        <v>1929</v>
      </c>
      <c r="I738" s="17"/>
      <c r="J738" s="17"/>
      <c r="K738" s="17" t="n">
        <v>1949</v>
      </c>
      <c r="L738" s="17" t="n">
        <f aca="false">IF(AND(IFERROR(SEARCH("현대오일뱅크",$C738),0)&gt;0,IFERROR(SEARCH("직영",$C738),0)&gt;0),$B$13,0)</f>
        <v>0</v>
      </c>
      <c r="M738" s="17" t="n">
        <f aca="false">IF($H738="","",$H738+$L738)</f>
        <v>1929</v>
      </c>
      <c r="N738" s="17" t="str">
        <f aca="false">IF($I738="","",$I738+$L738)</f>
        <v/>
      </c>
      <c r="O738" s="17" t="n">
        <f aca="false">IF($K738="","",$K738+$L738)</f>
        <v>1949</v>
      </c>
      <c r="P738" s="17" t="str">
        <f aca="false">IF($B$10=0,"",IFERROR(IF($B$4&gt;0,"휘발유 "&amp;TEXT(IF($M738="",1/0,$M738*$B$4),"#,##0")&amp;"원","")&amp;IF($B$5&gt;0,IF($B$4&gt;0," / ","")&amp;"고급유 "&amp;TEXT(IF($N738="",1/0,$N738*$B$5),"#,##0")&amp;"원","")&amp;IF($B$6&gt;0,IF(OR($B$4&gt;0,$B$5&gt;0)," / ","")&amp;"경유 "&amp;TEXT(IF($O738="",1/0,$O738*$B$6),"#,##0")&amp;"원",""),""))</f>
        <v/>
      </c>
      <c r="Q738" s="17" t="str">
        <f aca="false">IF($B$10=0,"",IFERROR(IF($B$4&gt;0,IF($M738="",1/0,$M738*$B$4),0)+IF($B$5&gt;0,IF($N738="",1/0,$N738*$B$5),0)+IF($B$6&gt;0,IF($O738="",1/0,$O738*$B$6),0),""))</f>
        <v/>
      </c>
      <c r="R738" s="17"/>
      <c r="S738" s="18" t="str">
        <f aca="false">IF($Q738="","",IF($R738="Y",IFERROR(VLOOKUP($B738,$C$4:$D$13,2,FALSE()),0),0))</f>
        <v/>
      </c>
      <c r="T738" s="17" t="str">
        <f aca="false">IF($Q738="","",ROUNDDOWN($Q738*$S738,0))</f>
        <v/>
      </c>
      <c r="U738" s="17" t="str">
        <f aca="false">IF($Q738="","",$Q738-$T738)</f>
        <v/>
      </c>
      <c r="V738" s="17" t="str">
        <f aca="false">IF($U738="","",IF($B$10=0,"",$U738/$B$10))</f>
        <v/>
      </c>
      <c r="W738" s="17" t="str">
        <f aca="false">IF($Q738="","",IF($B$10=0,"",$Q738/$B$10))</f>
        <v/>
      </c>
      <c r="X738" s="19" t="n">
        <f aca="false">IF($U738="",1000000000000000,$U738)</f>
        <v>1000000000000000</v>
      </c>
    </row>
    <row r="739" s="6" customFormat="true" ht="28.6" hidden="false" customHeight="true" outlineLevel="0" collapsed="false">
      <c r="A739" s="16" t="str">
        <f aca="false">IF($U739="","",1+COUNTIF($X$15:$X$728,"&lt;"&amp;X739))</f>
        <v/>
      </c>
      <c r="B739" s="16" t="s">
        <v>10</v>
      </c>
      <c r="C739" s="16" t="s">
        <v>2196</v>
      </c>
      <c r="D739" s="16" t="s">
        <v>112</v>
      </c>
      <c r="E739" s="16" t="s">
        <v>59</v>
      </c>
      <c r="F739" s="16" t="s">
        <v>2197</v>
      </c>
      <c r="G739" s="16" t="s">
        <v>2198</v>
      </c>
      <c r="H739" s="17" t="n">
        <v>1929</v>
      </c>
      <c r="I739" s="17"/>
      <c r="J739" s="17"/>
      <c r="K739" s="17" t="n">
        <v>1939</v>
      </c>
      <c r="L739" s="17" t="n">
        <f aca="false">IF(AND(IFERROR(SEARCH("현대오일뱅크",$C739),0)&gt;0,IFERROR(SEARCH("직영",$C739),0)&gt;0),$B$13,0)</f>
        <v>0</v>
      </c>
      <c r="M739" s="17" t="n">
        <f aca="false">IF($H739="","",$H739+$L739)</f>
        <v>1929</v>
      </c>
      <c r="N739" s="17" t="str">
        <f aca="false">IF($I739="","",$I739+$L739)</f>
        <v/>
      </c>
      <c r="O739" s="17" t="n">
        <f aca="false">IF($K739="","",$K739+$L739)</f>
        <v>1939</v>
      </c>
      <c r="P739" s="17" t="str">
        <f aca="false">IF($B$10=0,"",IFERROR(IF($B$4&gt;0,"휘발유 "&amp;TEXT(IF($M739="",1/0,$M739*$B$4),"#,##0")&amp;"원","")&amp;IF($B$5&gt;0,IF($B$4&gt;0," / ","")&amp;"고급유 "&amp;TEXT(IF($N739="",1/0,$N739*$B$5),"#,##0")&amp;"원","")&amp;IF($B$6&gt;0,IF(OR($B$4&gt;0,$B$5&gt;0)," / ","")&amp;"경유 "&amp;TEXT(IF($O739="",1/0,$O739*$B$6),"#,##0")&amp;"원",""),""))</f>
        <v/>
      </c>
      <c r="Q739" s="17" t="str">
        <f aca="false">IF($B$10=0,"",IFERROR(IF($B$4&gt;0,IF($M739="",1/0,$M739*$B$4),0)+IF($B$5&gt;0,IF($N739="",1/0,$N739*$B$5),0)+IF($B$6&gt;0,IF($O739="",1/0,$O739*$B$6),0),""))</f>
        <v/>
      </c>
      <c r="R739" s="17"/>
      <c r="S739" s="18" t="str">
        <f aca="false">IF($Q739="","",IF($R739="Y",IFERROR(VLOOKUP($B739,$C$4:$D$13,2,FALSE()),0),0))</f>
        <v/>
      </c>
      <c r="T739" s="17" t="str">
        <f aca="false">IF($Q739="","",ROUNDDOWN($Q739*$S739,0))</f>
        <v/>
      </c>
      <c r="U739" s="17" t="str">
        <f aca="false">IF($Q739="","",$Q739-$T739)</f>
        <v/>
      </c>
      <c r="V739" s="17" t="str">
        <f aca="false">IF($U739="","",IF($B$10=0,"",$U739/$B$10))</f>
        <v/>
      </c>
      <c r="W739" s="17" t="str">
        <f aca="false">IF($Q739="","",IF($B$10=0,"",$Q739/$B$10))</f>
        <v/>
      </c>
      <c r="X739" s="19" t="n">
        <f aca="false">IF($U739="",1000000000000000,$U739)</f>
        <v>1000000000000000</v>
      </c>
    </row>
    <row r="740" s="6" customFormat="true" ht="28.6" hidden="false" customHeight="true" outlineLevel="0" collapsed="false">
      <c r="A740" s="16" t="str">
        <f aca="false">IF($U740="","",1+COUNTIF($X$15:$X$728,"&lt;"&amp;X740))</f>
        <v/>
      </c>
      <c r="B740" s="16" t="s">
        <v>10</v>
      </c>
      <c r="C740" s="16" t="s">
        <v>2199</v>
      </c>
      <c r="D740" s="20" t="s">
        <v>108</v>
      </c>
      <c r="E740" s="16" t="s">
        <v>59</v>
      </c>
      <c r="F740" s="16" t="s">
        <v>2200</v>
      </c>
      <c r="G740" s="16" t="s">
        <v>2201</v>
      </c>
      <c r="H740" s="17" t="n">
        <v>1929</v>
      </c>
      <c r="I740" s="17"/>
      <c r="J740" s="17"/>
      <c r="K740" s="17" t="n">
        <v>1955</v>
      </c>
      <c r="L740" s="17" t="n">
        <f aca="false">IF(AND(IFERROR(SEARCH("현대오일뱅크",$C740),0)&gt;0,IFERROR(SEARCH("직영",$C740),0)&gt;0),$B$13,0)</f>
        <v>0</v>
      </c>
      <c r="M740" s="17" t="n">
        <f aca="false">IF($H740="","",$H740+$L740)</f>
        <v>1929</v>
      </c>
      <c r="N740" s="17" t="str">
        <f aca="false">IF($I740="","",$I740+$L740)</f>
        <v/>
      </c>
      <c r="O740" s="17" t="n">
        <f aca="false">IF($K740="","",$K740+$L740)</f>
        <v>1955</v>
      </c>
      <c r="P740" s="17" t="str">
        <f aca="false">IF($B$10=0,"",IFERROR(IF($B$4&gt;0,"휘발유 "&amp;TEXT(IF($M740="",1/0,$M740*$B$4),"#,##0")&amp;"원","")&amp;IF($B$5&gt;0,IF($B$4&gt;0," / ","")&amp;"고급유 "&amp;TEXT(IF($N740="",1/0,$N740*$B$5),"#,##0")&amp;"원","")&amp;IF($B$6&gt;0,IF(OR($B$4&gt;0,$B$5&gt;0)," / ","")&amp;"경유 "&amp;TEXT(IF($O740="",1/0,$O740*$B$6),"#,##0")&amp;"원",""),""))</f>
        <v/>
      </c>
      <c r="Q740" s="17" t="str">
        <f aca="false">IF($B$10=0,"",IFERROR(IF($B$4&gt;0,IF($M740="",1/0,$M740*$B$4),0)+IF($B$5&gt;0,IF($N740="",1/0,$N740*$B$5),0)+IF($B$6&gt;0,IF($O740="",1/0,$O740*$B$6),0),""))</f>
        <v/>
      </c>
      <c r="R740" s="17"/>
      <c r="S740" s="18" t="str">
        <f aca="false">IF($Q740="","",IF($R740="Y",IFERROR(VLOOKUP($B740,$C$4:$D$13,2,FALSE()),0),0))</f>
        <v/>
      </c>
      <c r="T740" s="17" t="str">
        <f aca="false">IF($Q740="","",ROUNDDOWN($Q740*$S740,0))</f>
        <v/>
      </c>
      <c r="U740" s="17" t="str">
        <f aca="false">IF($Q740="","",$Q740-$T740)</f>
        <v/>
      </c>
      <c r="V740" s="17" t="str">
        <f aca="false">IF($U740="","",IF($B$10=0,"",$U740/$B$10))</f>
        <v/>
      </c>
      <c r="W740" s="17" t="str">
        <f aca="false">IF($Q740="","",IF($B$10=0,"",$Q740/$B$10))</f>
        <v/>
      </c>
      <c r="X740" s="19" t="n">
        <f aca="false">IF($U740="",1000000000000000,$U740)</f>
        <v>1000000000000000</v>
      </c>
    </row>
    <row r="741" s="6" customFormat="true" ht="28.6" hidden="false" customHeight="true" outlineLevel="0" collapsed="false">
      <c r="A741" s="16" t="str">
        <f aca="false">IF($U741="","",1+COUNTIF($X$15:$X$728,"&lt;"&amp;X741))</f>
        <v/>
      </c>
      <c r="B741" s="16" t="s">
        <v>12</v>
      </c>
      <c r="C741" s="16" t="s">
        <v>2202</v>
      </c>
      <c r="D741" s="20" t="s">
        <v>112</v>
      </c>
      <c r="E741" s="16" t="s">
        <v>47</v>
      </c>
      <c r="F741" s="16" t="s">
        <v>2203</v>
      </c>
      <c r="G741" s="16" t="s">
        <v>2204</v>
      </c>
      <c r="H741" s="17" t="n">
        <v>1929</v>
      </c>
      <c r="I741" s="17"/>
      <c r="J741" s="17"/>
      <c r="K741" s="17" t="n">
        <v>1989</v>
      </c>
      <c r="L741" s="17" t="n">
        <f aca="false">IF(AND(IFERROR(SEARCH("현대오일뱅크",$C741),0)&gt;0,IFERROR(SEARCH("직영",$C741),0)&gt;0),$B$13,0)</f>
        <v>0</v>
      </c>
      <c r="M741" s="17" t="n">
        <f aca="false">IF($H741="","",$H741+$L741)</f>
        <v>1929</v>
      </c>
      <c r="N741" s="17" t="str">
        <f aca="false">IF($I741="","",$I741+$L741)</f>
        <v/>
      </c>
      <c r="O741" s="17" t="n">
        <f aca="false">IF($K741="","",$K741+$L741)</f>
        <v>1989</v>
      </c>
      <c r="P741" s="17" t="str">
        <f aca="false">IF($B$10=0,"",IFERROR(IF($B$4&gt;0,"휘발유 "&amp;TEXT(IF($M741="",1/0,$M741*$B$4),"#,##0")&amp;"원","")&amp;IF($B$5&gt;0,IF($B$4&gt;0," / ","")&amp;"고급유 "&amp;TEXT(IF($N741="",1/0,$N741*$B$5),"#,##0")&amp;"원","")&amp;IF($B$6&gt;0,IF(OR($B$4&gt;0,$B$5&gt;0)," / ","")&amp;"경유 "&amp;TEXT(IF($O741="",1/0,$O741*$B$6),"#,##0")&amp;"원",""),""))</f>
        <v/>
      </c>
      <c r="Q741" s="17" t="str">
        <f aca="false">IF($B$10=0,"",IFERROR(IF($B$4&gt;0,IF($M741="",1/0,$M741*$B$4),0)+IF($B$5&gt;0,IF($N741="",1/0,$N741*$B$5),0)+IF($B$6&gt;0,IF($O741="",1/0,$O741*$B$6),0),""))</f>
        <v/>
      </c>
      <c r="R741" s="17"/>
      <c r="S741" s="18" t="str">
        <f aca="false">IF($Q741="","",IF($R741="Y",IFERROR(VLOOKUP($B741,$C$4:$D$13,2,FALSE()),0),0))</f>
        <v/>
      </c>
      <c r="T741" s="17" t="str">
        <f aca="false">IF($Q741="","",ROUNDDOWN($Q741*$S741,0))</f>
        <v/>
      </c>
      <c r="U741" s="17" t="str">
        <f aca="false">IF($Q741="","",$Q741-$T741)</f>
        <v/>
      </c>
      <c r="V741" s="17" t="str">
        <f aca="false">IF($U741="","",IF($B$10=0,"",$U741/$B$10))</f>
        <v/>
      </c>
      <c r="W741" s="17" t="str">
        <f aca="false">IF($Q741="","",IF($B$10=0,"",$Q741/$B$10))</f>
        <v/>
      </c>
      <c r="X741" s="19" t="n">
        <f aca="false">IF($U741="",1000000000000000,$U741)</f>
        <v>1000000000000000</v>
      </c>
    </row>
    <row r="742" s="6" customFormat="true" ht="28.6" hidden="false" customHeight="true" outlineLevel="0" collapsed="false">
      <c r="A742" s="16" t="str">
        <f aca="false">IF($U742="","",1+COUNTIF($X$15:$X$728,"&lt;"&amp;X742))</f>
        <v/>
      </c>
      <c r="B742" s="16" t="s">
        <v>12</v>
      </c>
      <c r="C742" s="16" t="s">
        <v>2205</v>
      </c>
      <c r="D742" s="20" t="s">
        <v>629</v>
      </c>
      <c r="E742" s="16" t="s">
        <v>47</v>
      </c>
      <c r="F742" s="16" t="s">
        <v>2206</v>
      </c>
      <c r="G742" s="16" t="s">
        <v>2207</v>
      </c>
      <c r="H742" s="17" t="n">
        <v>1929</v>
      </c>
      <c r="I742" s="17"/>
      <c r="J742" s="17"/>
      <c r="K742" s="17" t="n">
        <v>1949</v>
      </c>
      <c r="L742" s="17" t="n">
        <f aca="false">IF(AND(IFERROR(SEARCH("현대오일뱅크",$C742),0)&gt;0,IFERROR(SEARCH("직영",$C742),0)&gt;0),$B$13,0)</f>
        <v>0</v>
      </c>
      <c r="M742" s="17" t="n">
        <f aca="false">IF($H742="","",$H742+$L742)</f>
        <v>1929</v>
      </c>
      <c r="N742" s="17" t="str">
        <f aca="false">IF($I742="","",$I742+$L742)</f>
        <v/>
      </c>
      <c r="O742" s="17" t="n">
        <f aca="false">IF($K742="","",$K742+$L742)</f>
        <v>1949</v>
      </c>
      <c r="P742" s="17" t="str">
        <f aca="false">IF($B$10=0,"",IFERROR(IF($B$4&gt;0,"휘발유 "&amp;TEXT(IF($M742="",1/0,$M742*$B$4),"#,##0")&amp;"원","")&amp;IF($B$5&gt;0,IF($B$4&gt;0," / ","")&amp;"고급유 "&amp;TEXT(IF($N742="",1/0,$N742*$B$5),"#,##0")&amp;"원","")&amp;IF($B$6&gt;0,IF(OR($B$4&gt;0,$B$5&gt;0)," / ","")&amp;"경유 "&amp;TEXT(IF($O742="",1/0,$O742*$B$6),"#,##0")&amp;"원",""),""))</f>
        <v/>
      </c>
      <c r="Q742" s="17" t="str">
        <f aca="false">IF($B$10=0,"",IFERROR(IF($B$4&gt;0,IF($M742="",1/0,$M742*$B$4),0)+IF($B$5&gt;0,IF($N742="",1/0,$N742*$B$5),0)+IF($B$6&gt;0,IF($O742="",1/0,$O742*$B$6),0),""))</f>
        <v/>
      </c>
      <c r="R742" s="17"/>
      <c r="S742" s="18" t="str">
        <f aca="false">IF($Q742="","",IF($R742="Y",IFERROR(VLOOKUP($B742,$C$4:$D$13,2,FALSE()),0),0))</f>
        <v/>
      </c>
      <c r="T742" s="17" t="str">
        <f aca="false">IF($Q742="","",ROUNDDOWN($Q742*$S742,0))</f>
        <v/>
      </c>
      <c r="U742" s="17" t="str">
        <f aca="false">IF($Q742="","",$Q742-$T742)</f>
        <v/>
      </c>
      <c r="V742" s="17" t="str">
        <f aca="false">IF($U742="","",IF($B$10=0,"",$U742/$B$10))</f>
        <v/>
      </c>
      <c r="W742" s="17" t="str">
        <f aca="false">IF($Q742="","",IF($B$10=0,"",$Q742/$B$10))</f>
        <v/>
      </c>
      <c r="X742" s="19" t="n">
        <f aca="false">IF($U742="",1000000000000000,$U742)</f>
        <v>1000000000000000</v>
      </c>
    </row>
    <row r="743" s="6" customFormat="true" ht="28.6" hidden="false" customHeight="true" outlineLevel="0" collapsed="false">
      <c r="A743" s="16" t="str">
        <f aca="false">IF($U743="","",1+COUNTIF($X$15:$X$728,"&lt;"&amp;X743))</f>
        <v/>
      </c>
      <c r="B743" s="16" t="s">
        <v>12</v>
      </c>
      <c r="C743" s="16" t="s">
        <v>2208</v>
      </c>
      <c r="D743" s="20" t="s">
        <v>294</v>
      </c>
      <c r="E743" s="16" t="s">
        <v>47</v>
      </c>
      <c r="F743" s="16" t="s">
        <v>2209</v>
      </c>
      <c r="G743" s="16" t="s">
        <v>2210</v>
      </c>
      <c r="H743" s="17" t="n">
        <v>1929</v>
      </c>
      <c r="I743" s="17"/>
      <c r="J743" s="17"/>
      <c r="K743" s="17" t="n">
        <v>2039</v>
      </c>
      <c r="L743" s="17" t="n">
        <f aca="false">IF(AND(IFERROR(SEARCH("현대오일뱅크",$C743),0)&gt;0,IFERROR(SEARCH("직영",$C743),0)&gt;0),$B$13,0)</f>
        <v>0</v>
      </c>
      <c r="M743" s="17" t="n">
        <f aca="false">IF($H743="","",$H743+$L743)</f>
        <v>1929</v>
      </c>
      <c r="N743" s="17" t="str">
        <f aca="false">IF($I743="","",$I743+$L743)</f>
        <v/>
      </c>
      <c r="O743" s="17" t="n">
        <f aca="false">IF($K743="","",$K743+$L743)</f>
        <v>2039</v>
      </c>
      <c r="P743" s="17" t="str">
        <f aca="false">IF($B$10=0,"",IFERROR(IF($B$4&gt;0,"휘발유 "&amp;TEXT(IF($M743="",1/0,$M743*$B$4),"#,##0")&amp;"원","")&amp;IF($B$5&gt;0,IF($B$4&gt;0," / ","")&amp;"고급유 "&amp;TEXT(IF($N743="",1/0,$N743*$B$5),"#,##0")&amp;"원","")&amp;IF($B$6&gt;0,IF(OR($B$4&gt;0,$B$5&gt;0)," / ","")&amp;"경유 "&amp;TEXT(IF($O743="",1/0,$O743*$B$6),"#,##0")&amp;"원",""),""))</f>
        <v/>
      </c>
      <c r="Q743" s="17" t="str">
        <f aca="false">IF($B$10=0,"",IFERROR(IF($B$4&gt;0,IF($M743="",1/0,$M743*$B$4),0)+IF($B$5&gt;0,IF($N743="",1/0,$N743*$B$5),0)+IF($B$6&gt;0,IF($O743="",1/0,$O743*$B$6),0),""))</f>
        <v/>
      </c>
      <c r="R743" s="17"/>
      <c r="S743" s="18" t="str">
        <f aca="false">IF($Q743="","",IF($R743="Y",IFERROR(VLOOKUP($B743,$C$4:$D$13,2,FALSE()),0),0))</f>
        <v/>
      </c>
      <c r="T743" s="17" t="str">
        <f aca="false">IF($Q743="","",ROUNDDOWN($Q743*$S743,0))</f>
        <v/>
      </c>
      <c r="U743" s="17" t="str">
        <f aca="false">IF($Q743="","",$Q743-$T743)</f>
        <v/>
      </c>
      <c r="V743" s="17" t="str">
        <f aca="false">IF($U743="","",IF($B$10=0,"",$U743/$B$10))</f>
        <v/>
      </c>
      <c r="W743" s="17" t="str">
        <f aca="false">IF($Q743="","",IF($B$10=0,"",$Q743/$B$10))</f>
        <v/>
      </c>
      <c r="X743" s="19" t="n">
        <f aca="false">IF($U743="",1000000000000000,$U743)</f>
        <v>1000000000000000</v>
      </c>
    </row>
    <row r="744" s="6" customFormat="true" ht="28.6" hidden="false" customHeight="true" outlineLevel="0" collapsed="false">
      <c r="A744" s="16" t="str">
        <f aca="false">IF($U744="","",1+COUNTIF($X$15:$X$728,"&lt;"&amp;X744))</f>
        <v/>
      </c>
      <c r="B744" s="16" t="s">
        <v>10</v>
      </c>
      <c r="C744" s="16" t="s">
        <v>2211</v>
      </c>
      <c r="D744" s="16" t="s">
        <v>51</v>
      </c>
      <c r="E744" s="16" t="s">
        <v>59</v>
      </c>
      <c r="F744" s="16" t="s">
        <v>2212</v>
      </c>
      <c r="G744" s="16" t="s">
        <v>2213</v>
      </c>
      <c r="H744" s="17" t="n">
        <v>1929</v>
      </c>
      <c r="I744" s="17"/>
      <c r="J744" s="17"/>
      <c r="K744" s="17" t="n">
        <v>1949</v>
      </c>
      <c r="L744" s="17" t="n">
        <f aca="false">IF(AND(IFERROR(SEARCH("현대오일뱅크",$C744),0)&gt;0,IFERROR(SEARCH("직영",$C744),0)&gt;0),$B$13,0)</f>
        <v>0</v>
      </c>
      <c r="M744" s="17" t="n">
        <f aca="false">IF($H744="","",$H744+$L744)</f>
        <v>1929</v>
      </c>
      <c r="N744" s="17" t="str">
        <f aca="false">IF($I744="","",$I744+$L744)</f>
        <v/>
      </c>
      <c r="O744" s="17" t="n">
        <f aca="false">IF($K744="","",$K744+$L744)</f>
        <v>1949</v>
      </c>
      <c r="P744" s="17" t="str">
        <f aca="false">IF($B$10=0,"",IFERROR(IF($B$4&gt;0,"휘발유 "&amp;TEXT(IF($M744="",1/0,$M744*$B$4),"#,##0")&amp;"원","")&amp;IF($B$5&gt;0,IF($B$4&gt;0," / ","")&amp;"고급유 "&amp;TEXT(IF($N744="",1/0,$N744*$B$5),"#,##0")&amp;"원","")&amp;IF($B$6&gt;0,IF(OR($B$4&gt;0,$B$5&gt;0)," / ","")&amp;"경유 "&amp;TEXT(IF($O744="",1/0,$O744*$B$6),"#,##0")&amp;"원",""),""))</f>
        <v/>
      </c>
      <c r="Q744" s="17" t="str">
        <f aca="false">IF($B$10=0,"",IFERROR(IF($B$4&gt;0,IF($M744="",1/0,$M744*$B$4),0)+IF($B$5&gt;0,IF($N744="",1/0,$N744*$B$5),0)+IF($B$6&gt;0,IF($O744="",1/0,$O744*$B$6),0),""))</f>
        <v/>
      </c>
      <c r="R744" s="17"/>
      <c r="S744" s="18" t="str">
        <f aca="false">IF($Q744="","",IF($R744="Y",IFERROR(VLOOKUP($B744,$C$4:$D$13,2,FALSE()),0),0))</f>
        <v/>
      </c>
      <c r="T744" s="17" t="str">
        <f aca="false">IF($Q744="","",ROUNDDOWN($Q744*$S744,0))</f>
        <v/>
      </c>
      <c r="U744" s="17" t="str">
        <f aca="false">IF($Q744="","",$Q744-$T744)</f>
        <v/>
      </c>
      <c r="V744" s="17" t="str">
        <f aca="false">IF($U744="","",IF($B$10=0,"",$U744/$B$10))</f>
        <v/>
      </c>
      <c r="W744" s="17" t="str">
        <f aca="false">IF($Q744="","",IF($B$10=0,"",$Q744/$B$10))</f>
        <v/>
      </c>
      <c r="X744" s="19" t="n">
        <f aca="false">IF($U744="",1000000000000000,$U744)</f>
        <v>1000000000000000</v>
      </c>
    </row>
    <row r="745" s="6" customFormat="true" ht="28.6" hidden="false" customHeight="true" outlineLevel="0" collapsed="false">
      <c r="A745" s="16" t="str">
        <f aca="false">IF($U745="","",1+COUNTIF($X$15:$X$728,"&lt;"&amp;X745))</f>
        <v/>
      </c>
      <c r="B745" s="16" t="s">
        <v>12</v>
      </c>
      <c r="C745" s="16" t="s">
        <v>2214</v>
      </c>
      <c r="D745" s="20" t="s">
        <v>248</v>
      </c>
      <c r="E745" s="16" t="s">
        <v>47</v>
      </c>
      <c r="F745" s="16" t="s">
        <v>2215</v>
      </c>
      <c r="G745" s="16" t="s">
        <v>2216</v>
      </c>
      <c r="H745" s="17" t="n">
        <v>1929</v>
      </c>
      <c r="I745" s="17"/>
      <c r="J745" s="17"/>
      <c r="K745" s="17" t="n">
        <v>1969</v>
      </c>
      <c r="L745" s="17" t="n">
        <f aca="false">IF(AND(IFERROR(SEARCH("현대오일뱅크",$C745),0)&gt;0,IFERROR(SEARCH("직영",$C745),0)&gt;0),$B$13,0)</f>
        <v>0</v>
      </c>
      <c r="M745" s="17" t="n">
        <f aca="false">IF($H745="","",$H745+$L745)</f>
        <v>1929</v>
      </c>
      <c r="N745" s="17" t="str">
        <f aca="false">IF($I745="","",$I745+$L745)</f>
        <v/>
      </c>
      <c r="O745" s="17" t="n">
        <f aca="false">IF($K745="","",$K745+$L745)</f>
        <v>1969</v>
      </c>
      <c r="P745" s="17" t="str">
        <f aca="false">IF($B$10=0,"",IFERROR(IF($B$4&gt;0,"휘발유 "&amp;TEXT(IF($M745="",1/0,$M745*$B$4),"#,##0")&amp;"원","")&amp;IF($B$5&gt;0,IF($B$4&gt;0," / ","")&amp;"고급유 "&amp;TEXT(IF($N745="",1/0,$N745*$B$5),"#,##0")&amp;"원","")&amp;IF($B$6&gt;0,IF(OR($B$4&gt;0,$B$5&gt;0)," / ","")&amp;"경유 "&amp;TEXT(IF($O745="",1/0,$O745*$B$6),"#,##0")&amp;"원",""),""))</f>
        <v/>
      </c>
      <c r="Q745" s="17" t="str">
        <f aca="false">IF($B$10=0,"",IFERROR(IF($B$4&gt;0,IF($M745="",1/0,$M745*$B$4),0)+IF($B$5&gt;0,IF($N745="",1/0,$N745*$B$5),0)+IF($B$6&gt;0,IF($O745="",1/0,$O745*$B$6),0),""))</f>
        <v/>
      </c>
      <c r="R745" s="17"/>
      <c r="S745" s="18" t="str">
        <f aca="false">IF($Q745="","",IF($R745="Y",IFERROR(VLOOKUP($B745,$C$4:$D$13,2,FALSE()),0),0))</f>
        <v/>
      </c>
      <c r="T745" s="17" t="str">
        <f aca="false">IF($Q745="","",ROUNDDOWN($Q745*$S745,0))</f>
        <v/>
      </c>
      <c r="U745" s="17" t="str">
        <f aca="false">IF($Q745="","",$Q745-$T745)</f>
        <v/>
      </c>
      <c r="V745" s="17" t="str">
        <f aca="false">IF($U745="","",IF($B$10=0,"",$U745/$B$10))</f>
        <v/>
      </c>
      <c r="W745" s="17" t="str">
        <f aca="false">IF($Q745="","",IF($B$10=0,"",$Q745/$B$10))</f>
        <v/>
      </c>
      <c r="X745" s="19" t="n">
        <f aca="false">IF($U745="",1000000000000000,$U745)</f>
        <v>1000000000000000</v>
      </c>
    </row>
    <row r="746" s="6" customFormat="true" ht="28.6" hidden="false" customHeight="true" outlineLevel="0" collapsed="false">
      <c r="A746" s="16" t="str">
        <f aca="false">IF($U746="","",1+COUNTIF($X$15:$X$728,"&lt;"&amp;X746))</f>
        <v/>
      </c>
      <c r="B746" s="16" t="s">
        <v>6</v>
      </c>
      <c r="C746" s="16" t="s">
        <v>2217</v>
      </c>
      <c r="D746" s="16" t="s">
        <v>112</v>
      </c>
      <c r="E746" s="16" t="s">
        <v>47</v>
      </c>
      <c r="F746" s="16" t="s">
        <v>2218</v>
      </c>
      <c r="G746" s="16" t="s">
        <v>2219</v>
      </c>
      <c r="H746" s="17" t="n">
        <v>1929</v>
      </c>
      <c r="I746" s="17"/>
      <c r="J746" s="17"/>
      <c r="K746" s="17" t="n">
        <v>1979</v>
      </c>
      <c r="L746" s="17" t="n">
        <f aca="false">IF(AND(IFERROR(SEARCH("현대오일뱅크",$C746),0)&gt;0,IFERROR(SEARCH("직영",$C746),0)&gt;0),$B$13,0)</f>
        <v>0</v>
      </c>
      <c r="M746" s="17" t="n">
        <f aca="false">IF($H746="","",$H746+$L746)</f>
        <v>1929</v>
      </c>
      <c r="N746" s="17" t="str">
        <f aca="false">IF($I746="","",$I746+$L746)</f>
        <v/>
      </c>
      <c r="O746" s="17" t="n">
        <f aca="false">IF($K746="","",$K746+$L746)</f>
        <v>1979</v>
      </c>
      <c r="P746" s="17" t="str">
        <f aca="false">IF($B$10=0,"",IFERROR(IF($B$4&gt;0,"휘발유 "&amp;TEXT(IF($M746="",1/0,$M746*$B$4),"#,##0")&amp;"원","")&amp;IF($B$5&gt;0,IF($B$4&gt;0," / ","")&amp;"고급유 "&amp;TEXT(IF($N746="",1/0,$N746*$B$5),"#,##0")&amp;"원","")&amp;IF($B$6&gt;0,IF(OR($B$4&gt;0,$B$5&gt;0)," / ","")&amp;"경유 "&amp;TEXT(IF($O746="",1/0,$O746*$B$6),"#,##0")&amp;"원",""),""))</f>
        <v/>
      </c>
      <c r="Q746" s="17" t="str">
        <f aca="false">IF($B$10=0,"",IFERROR(IF($B$4&gt;0,IF($M746="",1/0,$M746*$B$4),0)+IF($B$5&gt;0,IF($N746="",1/0,$N746*$B$5),0)+IF($B$6&gt;0,IF($O746="",1/0,$O746*$B$6),0),""))</f>
        <v/>
      </c>
      <c r="R746" s="17"/>
      <c r="S746" s="18" t="str">
        <f aca="false">IF($Q746="","",IF($R746="Y",IFERROR(VLOOKUP($B746,$C$4:$D$13,2,FALSE()),0),0))</f>
        <v/>
      </c>
      <c r="T746" s="17" t="str">
        <f aca="false">IF($Q746="","",ROUNDDOWN($Q746*$S746,0))</f>
        <v/>
      </c>
      <c r="U746" s="17" t="str">
        <f aca="false">IF($Q746="","",$Q746-$T746)</f>
        <v/>
      </c>
      <c r="V746" s="17" t="str">
        <f aca="false">IF($U746="","",IF($B$10=0,"",$U746/$B$10))</f>
        <v/>
      </c>
      <c r="W746" s="17" t="str">
        <f aca="false">IF($Q746="","",IF($B$10=0,"",$Q746/$B$10))</f>
        <v/>
      </c>
      <c r="X746" s="19" t="n">
        <f aca="false">IF($U746="",1000000000000000,$U746)</f>
        <v>1000000000000000</v>
      </c>
    </row>
    <row r="747" s="6" customFormat="true" ht="28.6" hidden="false" customHeight="true" outlineLevel="0" collapsed="false">
      <c r="A747" s="16" t="str">
        <f aca="false">IF($U747="","",1+COUNTIF($X$15:$X$728,"&lt;"&amp;X747))</f>
        <v/>
      </c>
      <c r="B747" s="16" t="s">
        <v>12</v>
      </c>
      <c r="C747" s="16" t="s">
        <v>2220</v>
      </c>
      <c r="D747" s="20" t="s">
        <v>112</v>
      </c>
      <c r="E747" s="16" t="s">
        <v>47</v>
      </c>
      <c r="F747" s="16" t="s">
        <v>2221</v>
      </c>
      <c r="G747" s="16" t="s">
        <v>2222</v>
      </c>
      <c r="H747" s="17" t="n">
        <v>1929</v>
      </c>
      <c r="I747" s="17"/>
      <c r="J747" s="17"/>
      <c r="K747" s="17" t="n">
        <v>1999</v>
      </c>
      <c r="L747" s="17" t="n">
        <f aca="false">IF(AND(IFERROR(SEARCH("현대오일뱅크",$C747),0)&gt;0,IFERROR(SEARCH("직영",$C747),0)&gt;0),$B$13,0)</f>
        <v>0</v>
      </c>
      <c r="M747" s="17" t="n">
        <f aca="false">IF($H747="","",$H747+$L747)</f>
        <v>1929</v>
      </c>
      <c r="N747" s="17" t="str">
        <f aca="false">IF($I747="","",$I747+$L747)</f>
        <v/>
      </c>
      <c r="O747" s="17" t="n">
        <f aca="false">IF($K747="","",$K747+$L747)</f>
        <v>1999</v>
      </c>
      <c r="P747" s="17" t="str">
        <f aca="false">IF($B$10=0,"",IFERROR(IF($B$4&gt;0,"휘발유 "&amp;TEXT(IF($M747="",1/0,$M747*$B$4),"#,##0")&amp;"원","")&amp;IF($B$5&gt;0,IF($B$4&gt;0," / ","")&amp;"고급유 "&amp;TEXT(IF($N747="",1/0,$N747*$B$5),"#,##0")&amp;"원","")&amp;IF($B$6&gt;0,IF(OR($B$4&gt;0,$B$5&gt;0)," / ","")&amp;"경유 "&amp;TEXT(IF($O747="",1/0,$O747*$B$6),"#,##0")&amp;"원",""),""))</f>
        <v/>
      </c>
      <c r="Q747" s="17" t="str">
        <f aca="false">IF($B$10=0,"",IFERROR(IF($B$4&gt;0,IF($M747="",1/0,$M747*$B$4),0)+IF($B$5&gt;0,IF($N747="",1/0,$N747*$B$5),0)+IF($B$6&gt;0,IF($O747="",1/0,$O747*$B$6),0),""))</f>
        <v/>
      </c>
      <c r="R747" s="17"/>
      <c r="S747" s="18" t="str">
        <f aca="false">IF($Q747="","",IF($R747="Y",IFERROR(VLOOKUP($B747,$C$4:$D$13,2,FALSE()),0),0))</f>
        <v/>
      </c>
      <c r="T747" s="17" t="str">
        <f aca="false">IF($Q747="","",ROUNDDOWN($Q747*$S747,0))</f>
        <v/>
      </c>
      <c r="U747" s="17" t="str">
        <f aca="false">IF($Q747="","",$Q747-$T747)</f>
        <v/>
      </c>
      <c r="V747" s="17" t="str">
        <f aca="false">IF($U747="","",IF($B$10=0,"",$U747/$B$10))</f>
        <v/>
      </c>
      <c r="W747" s="17" t="str">
        <f aca="false">IF($Q747="","",IF($B$10=0,"",$Q747/$B$10))</f>
        <v/>
      </c>
      <c r="X747" s="19" t="n">
        <f aca="false">IF($U747="",1000000000000000,$U747)</f>
        <v>1000000000000000</v>
      </c>
    </row>
    <row r="748" s="6" customFormat="true" ht="28.6" hidden="false" customHeight="true" outlineLevel="0" collapsed="false">
      <c r="A748" s="16" t="str">
        <f aca="false">IF($U748="","",1+COUNTIF($X$15:$X$728,"&lt;"&amp;X748))</f>
        <v/>
      </c>
      <c r="B748" s="16" t="s">
        <v>10</v>
      </c>
      <c r="C748" s="16" t="s">
        <v>2223</v>
      </c>
      <c r="D748" s="16" t="s">
        <v>58</v>
      </c>
      <c r="E748" s="16" t="s">
        <v>47</v>
      </c>
      <c r="F748" s="16" t="s">
        <v>2224</v>
      </c>
      <c r="G748" s="16" t="s">
        <v>2225</v>
      </c>
      <c r="H748" s="17" t="n">
        <v>1929</v>
      </c>
      <c r="I748" s="17"/>
      <c r="J748" s="17"/>
      <c r="K748" s="17" t="n">
        <v>1969</v>
      </c>
      <c r="L748" s="17" t="n">
        <f aca="false">IF(AND(IFERROR(SEARCH("현대오일뱅크",$C748),0)&gt;0,IFERROR(SEARCH("직영",$C748),0)&gt;0),$B$13,0)</f>
        <v>0</v>
      </c>
      <c r="M748" s="17" t="n">
        <f aca="false">IF($H748="","",$H748+$L748)</f>
        <v>1929</v>
      </c>
      <c r="N748" s="17" t="str">
        <f aca="false">IF($I748="","",$I748+$L748)</f>
        <v/>
      </c>
      <c r="O748" s="17" t="n">
        <f aca="false">IF($K748="","",$K748+$L748)</f>
        <v>1969</v>
      </c>
      <c r="P748" s="17" t="str">
        <f aca="false">IF($B$10=0,"",IFERROR(IF($B$4&gt;0,"휘발유 "&amp;TEXT(IF($M748="",1/0,$M748*$B$4),"#,##0")&amp;"원","")&amp;IF($B$5&gt;0,IF($B$4&gt;0," / ","")&amp;"고급유 "&amp;TEXT(IF($N748="",1/0,$N748*$B$5),"#,##0")&amp;"원","")&amp;IF($B$6&gt;0,IF(OR($B$4&gt;0,$B$5&gt;0)," / ","")&amp;"경유 "&amp;TEXT(IF($O748="",1/0,$O748*$B$6),"#,##0")&amp;"원",""),""))</f>
        <v/>
      </c>
      <c r="Q748" s="17" t="str">
        <f aca="false">IF($B$10=0,"",IFERROR(IF($B$4&gt;0,IF($M748="",1/0,$M748*$B$4),0)+IF($B$5&gt;0,IF($N748="",1/0,$N748*$B$5),0)+IF($B$6&gt;0,IF($O748="",1/0,$O748*$B$6),0),""))</f>
        <v/>
      </c>
      <c r="R748" s="17"/>
      <c r="S748" s="18" t="str">
        <f aca="false">IF($Q748="","",IF($R748="Y",IFERROR(VLOOKUP($B748,$C$4:$D$13,2,FALSE()),0),0))</f>
        <v/>
      </c>
      <c r="T748" s="17" t="str">
        <f aca="false">IF($Q748="","",ROUNDDOWN($Q748*$S748,0))</f>
        <v/>
      </c>
      <c r="U748" s="17" t="str">
        <f aca="false">IF($Q748="","",$Q748-$T748)</f>
        <v/>
      </c>
      <c r="V748" s="17" t="str">
        <f aca="false">IF($U748="","",IF($B$10=0,"",$U748/$B$10))</f>
        <v/>
      </c>
      <c r="W748" s="17" t="str">
        <f aca="false">IF($Q748="","",IF($B$10=0,"",$Q748/$B$10))</f>
        <v/>
      </c>
      <c r="X748" s="19" t="n">
        <f aca="false">IF($U748="",1000000000000000,$U748)</f>
        <v>1000000000000000</v>
      </c>
    </row>
    <row r="749" s="6" customFormat="true" ht="28.6" hidden="false" customHeight="true" outlineLevel="0" collapsed="false">
      <c r="A749" s="16" t="str">
        <f aca="false">IF($U749="","",1+COUNTIF($X$15:$X$728,"&lt;"&amp;X749))</f>
        <v/>
      </c>
      <c r="B749" s="16" t="s">
        <v>10</v>
      </c>
      <c r="C749" s="16" t="s">
        <v>2226</v>
      </c>
      <c r="D749" s="16" t="s">
        <v>112</v>
      </c>
      <c r="E749" s="16" t="s">
        <v>47</v>
      </c>
      <c r="F749" s="16" t="s">
        <v>2227</v>
      </c>
      <c r="G749" s="16" t="s">
        <v>2228</v>
      </c>
      <c r="H749" s="17" t="n">
        <v>1929</v>
      </c>
      <c r="I749" s="17"/>
      <c r="J749" s="17"/>
      <c r="K749" s="17" t="n">
        <v>1969</v>
      </c>
      <c r="L749" s="17" t="n">
        <f aca="false">IF(AND(IFERROR(SEARCH("현대오일뱅크",$C749),0)&gt;0,IFERROR(SEARCH("직영",$C749),0)&gt;0),$B$13,0)</f>
        <v>0</v>
      </c>
      <c r="M749" s="17" t="n">
        <f aca="false">IF($H749="","",$H749+$L749)</f>
        <v>1929</v>
      </c>
      <c r="N749" s="17" t="str">
        <f aca="false">IF($I749="","",$I749+$L749)</f>
        <v/>
      </c>
      <c r="O749" s="17" t="n">
        <f aca="false">IF($K749="","",$K749+$L749)</f>
        <v>1969</v>
      </c>
      <c r="P749" s="17" t="str">
        <f aca="false">IF($B$10=0,"",IFERROR(IF($B$4&gt;0,"휘발유 "&amp;TEXT(IF($M749="",1/0,$M749*$B$4),"#,##0")&amp;"원","")&amp;IF($B$5&gt;0,IF($B$4&gt;0," / ","")&amp;"고급유 "&amp;TEXT(IF($N749="",1/0,$N749*$B$5),"#,##0")&amp;"원","")&amp;IF($B$6&gt;0,IF(OR($B$4&gt;0,$B$5&gt;0)," / ","")&amp;"경유 "&amp;TEXT(IF($O749="",1/0,$O749*$B$6),"#,##0")&amp;"원",""),""))</f>
        <v/>
      </c>
      <c r="Q749" s="17" t="str">
        <f aca="false">IF($B$10=0,"",IFERROR(IF($B$4&gt;0,IF($M749="",1/0,$M749*$B$4),0)+IF($B$5&gt;0,IF($N749="",1/0,$N749*$B$5),0)+IF($B$6&gt;0,IF($O749="",1/0,$O749*$B$6),0),""))</f>
        <v/>
      </c>
      <c r="R749" s="17"/>
      <c r="S749" s="18" t="str">
        <f aca="false">IF($Q749="","",IF($R749="Y",IFERROR(VLOOKUP($B749,$C$4:$D$13,2,FALSE()),0),0))</f>
        <v/>
      </c>
      <c r="T749" s="17" t="str">
        <f aca="false">IF($Q749="","",ROUNDDOWN($Q749*$S749,0))</f>
        <v/>
      </c>
      <c r="U749" s="17" t="str">
        <f aca="false">IF($Q749="","",$Q749-$T749)</f>
        <v/>
      </c>
      <c r="V749" s="17" t="str">
        <f aca="false">IF($U749="","",IF($B$10=0,"",$U749/$B$10))</f>
        <v/>
      </c>
      <c r="W749" s="17" t="str">
        <f aca="false">IF($Q749="","",IF($B$10=0,"",$Q749/$B$10))</f>
        <v/>
      </c>
      <c r="X749" s="19" t="n">
        <f aca="false">IF($U749="",1000000000000000,$U749)</f>
        <v>1000000000000000</v>
      </c>
    </row>
    <row r="750" s="6" customFormat="true" ht="28.6" hidden="false" customHeight="true" outlineLevel="0" collapsed="false">
      <c r="A750" s="16" t="str">
        <f aca="false">IF($U750="","",1+COUNTIF($X$15:$X$728,"&lt;"&amp;X750))</f>
        <v/>
      </c>
      <c r="B750" s="16" t="s">
        <v>14</v>
      </c>
      <c r="C750" s="16" t="s">
        <v>2229</v>
      </c>
      <c r="D750" s="16" t="s">
        <v>51</v>
      </c>
      <c r="E750" s="16" t="s">
        <v>47</v>
      </c>
      <c r="F750" s="16" t="s">
        <v>2230</v>
      </c>
      <c r="G750" s="16" t="s">
        <v>2231</v>
      </c>
      <c r="H750" s="17" t="n">
        <v>1930</v>
      </c>
      <c r="I750" s="17"/>
      <c r="J750" s="17"/>
      <c r="K750" s="17" t="n">
        <v>1939</v>
      </c>
      <c r="L750" s="17" t="n">
        <f aca="false">IF(AND(IFERROR(SEARCH("현대오일뱅크",$C750),0)&gt;0,IFERROR(SEARCH("직영",$C750),0)&gt;0),$B$13,0)</f>
        <v>0</v>
      </c>
      <c r="M750" s="17" t="n">
        <f aca="false">IF($H750="","",$H750+$L750)</f>
        <v>1930</v>
      </c>
      <c r="N750" s="17" t="str">
        <f aca="false">IF($I750="","",$I750+$L750)</f>
        <v/>
      </c>
      <c r="O750" s="17" t="n">
        <f aca="false">IF($K750="","",$K750+$L750)</f>
        <v>1939</v>
      </c>
      <c r="P750" s="17" t="str">
        <f aca="false">IF($B$10=0,"",IFERROR(IF($B$4&gt;0,"휘발유 "&amp;TEXT(IF($M750="",1/0,$M750*$B$4),"#,##0")&amp;"원","")&amp;IF($B$5&gt;0,IF($B$4&gt;0," / ","")&amp;"고급유 "&amp;TEXT(IF($N750="",1/0,$N750*$B$5),"#,##0")&amp;"원","")&amp;IF($B$6&gt;0,IF(OR($B$4&gt;0,$B$5&gt;0)," / ","")&amp;"경유 "&amp;TEXT(IF($O750="",1/0,$O750*$B$6),"#,##0")&amp;"원",""),""))</f>
        <v/>
      </c>
      <c r="Q750" s="17" t="str">
        <f aca="false">IF($B$10=0,"",IFERROR(IF($B$4&gt;0,IF($M750="",1/0,$M750*$B$4),0)+IF($B$5&gt;0,IF($N750="",1/0,$N750*$B$5),0)+IF($B$6&gt;0,IF($O750="",1/0,$O750*$B$6),0),""))</f>
        <v/>
      </c>
      <c r="R750" s="17"/>
      <c r="S750" s="18" t="str">
        <f aca="false">IF($Q750="","",IF($R750="Y",IFERROR(VLOOKUP($B750,$C$4:$D$13,2,FALSE()),0),0))</f>
        <v/>
      </c>
      <c r="T750" s="17" t="str">
        <f aca="false">IF($Q750="","",ROUNDDOWN($Q750*$S750,0))</f>
        <v/>
      </c>
      <c r="U750" s="17" t="str">
        <f aca="false">IF($Q750="","",$Q750-$T750)</f>
        <v/>
      </c>
      <c r="V750" s="17" t="str">
        <f aca="false">IF($U750="","",IF($B$10=0,"",$U750/$B$10))</f>
        <v/>
      </c>
      <c r="W750" s="17" t="str">
        <f aca="false">IF($Q750="","",IF($B$10=0,"",$Q750/$B$10))</f>
        <v/>
      </c>
      <c r="X750" s="19" t="n">
        <f aca="false">IF($U750="",1000000000000000,$U750)</f>
        <v>1000000000000000</v>
      </c>
    </row>
    <row r="751" s="6" customFormat="true" ht="28.6" hidden="false" customHeight="true" outlineLevel="0" collapsed="false">
      <c r="A751" s="16" t="str">
        <f aca="false">IF($U751="","",1+COUNTIF($X$15:$X$728,"&lt;"&amp;X751))</f>
        <v/>
      </c>
      <c r="B751" s="16" t="s">
        <v>10</v>
      </c>
      <c r="C751" s="16" t="s">
        <v>2232</v>
      </c>
      <c r="D751" s="16" t="s">
        <v>58</v>
      </c>
      <c r="E751" s="16" t="s">
        <v>47</v>
      </c>
      <c r="F751" s="16" t="s">
        <v>2233</v>
      </c>
      <c r="G751" s="16" t="s">
        <v>2234</v>
      </c>
      <c r="H751" s="17" t="n">
        <v>1930</v>
      </c>
      <c r="I751" s="17"/>
      <c r="J751" s="17"/>
      <c r="K751" s="17" t="n">
        <v>1959</v>
      </c>
      <c r="L751" s="17" t="n">
        <f aca="false">IF(AND(IFERROR(SEARCH("현대오일뱅크",$C751),0)&gt;0,IFERROR(SEARCH("직영",$C751),0)&gt;0),$B$13,0)</f>
        <v>0</v>
      </c>
      <c r="M751" s="17" t="n">
        <f aca="false">IF($H751="","",$H751+$L751)</f>
        <v>1930</v>
      </c>
      <c r="N751" s="17" t="str">
        <f aca="false">IF($I751="","",$I751+$L751)</f>
        <v/>
      </c>
      <c r="O751" s="17" t="n">
        <f aca="false">IF($K751="","",$K751+$L751)</f>
        <v>1959</v>
      </c>
      <c r="P751" s="17" t="str">
        <f aca="false">IF($B$10=0,"",IFERROR(IF($B$4&gt;0,"휘발유 "&amp;TEXT(IF($M751="",1/0,$M751*$B$4),"#,##0")&amp;"원","")&amp;IF($B$5&gt;0,IF($B$4&gt;0," / ","")&amp;"고급유 "&amp;TEXT(IF($N751="",1/0,$N751*$B$5),"#,##0")&amp;"원","")&amp;IF($B$6&gt;0,IF(OR($B$4&gt;0,$B$5&gt;0)," / ","")&amp;"경유 "&amp;TEXT(IF($O751="",1/0,$O751*$B$6),"#,##0")&amp;"원",""),""))</f>
        <v/>
      </c>
      <c r="Q751" s="17" t="str">
        <f aca="false">IF($B$10=0,"",IFERROR(IF($B$4&gt;0,IF($M751="",1/0,$M751*$B$4),0)+IF($B$5&gt;0,IF($N751="",1/0,$N751*$B$5),0)+IF($B$6&gt;0,IF($O751="",1/0,$O751*$B$6),0),""))</f>
        <v/>
      </c>
      <c r="R751" s="17"/>
      <c r="S751" s="18" t="str">
        <f aca="false">IF($Q751="","",IF($R751="Y",IFERROR(VLOOKUP($B751,$C$4:$D$13,2,FALSE()),0),0))</f>
        <v/>
      </c>
      <c r="T751" s="17" t="str">
        <f aca="false">IF($Q751="","",ROUNDDOWN($Q751*$S751,0))</f>
        <v/>
      </c>
      <c r="U751" s="17" t="str">
        <f aca="false">IF($Q751="","",$Q751-$T751)</f>
        <v/>
      </c>
      <c r="V751" s="17" t="str">
        <f aca="false">IF($U751="","",IF($B$10=0,"",$U751/$B$10))</f>
        <v/>
      </c>
      <c r="W751" s="17" t="str">
        <f aca="false">IF($Q751="","",IF($B$10=0,"",$Q751/$B$10))</f>
        <v/>
      </c>
      <c r="X751" s="19" t="n">
        <f aca="false">IF($U751="",1000000000000000,$U751)</f>
        <v>1000000000000000</v>
      </c>
    </row>
    <row r="752" s="6" customFormat="true" ht="28.6" hidden="false" customHeight="true" outlineLevel="0" collapsed="false">
      <c r="A752" s="16" t="str">
        <f aca="false">IF($U752="","",1+COUNTIF($X$15:$X$728,"&lt;"&amp;X752))</f>
        <v/>
      </c>
      <c r="B752" s="16" t="s">
        <v>8</v>
      </c>
      <c r="C752" s="16" t="s">
        <v>2235</v>
      </c>
      <c r="D752" s="16" t="s">
        <v>58</v>
      </c>
      <c r="E752" s="16" t="s">
        <v>47</v>
      </c>
      <c r="F752" s="16" t="s">
        <v>2236</v>
      </c>
      <c r="G752" s="16" t="s">
        <v>2237</v>
      </c>
      <c r="H752" s="17" t="n">
        <v>1930</v>
      </c>
      <c r="I752" s="17"/>
      <c r="J752" s="17"/>
      <c r="K752" s="17" t="n">
        <v>1959</v>
      </c>
      <c r="L752" s="17" t="n">
        <f aca="false">IF(AND(IFERROR(SEARCH("현대오일뱅크",$C752),0)&gt;0,IFERROR(SEARCH("직영",$C752),0)&gt;0),$B$13,0)</f>
        <v>0</v>
      </c>
      <c r="M752" s="17" t="n">
        <f aca="false">IF($H752="","",$H752+$L752)</f>
        <v>1930</v>
      </c>
      <c r="N752" s="17" t="str">
        <f aca="false">IF($I752="","",$I752+$L752)</f>
        <v/>
      </c>
      <c r="O752" s="17" t="n">
        <f aca="false">IF($K752="","",$K752+$L752)</f>
        <v>1959</v>
      </c>
      <c r="P752" s="17" t="str">
        <f aca="false">IF($B$10=0,"",IFERROR(IF($B$4&gt;0,"휘발유 "&amp;TEXT(IF($M752="",1/0,$M752*$B$4),"#,##0")&amp;"원","")&amp;IF($B$5&gt;0,IF($B$4&gt;0," / ","")&amp;"고급유 "&amp;TEXT(IF($N752="",1/0,$N752*$B$5),"#,##0")&amp;"원","")&amp;IF($B$6&gt;0,IF(OR($B$4&gt;0,$B$5&gt;0)," / ","")&amp;"경유 "&amp;TEXT(IF($O752="",1/0,$O752*$B$6),"#,##0")&amp;"원",""),""))</f>
        <v/>
      </c>
      <c r="Q752" s="17" t="str">
        <f aca="false">IF($B$10=0,"",IFERROR(IF($B$4&gt;0,IF($M752="",1/0,$M752*$B$4),0)+IF($B$5&gt;0,IF($N752="",1/0,$N752*$B$5),0)+IF($B$6&gt;0,IF($O752="",1/0,$O752*$B$6),0),""))</f>
        <v/>
      </c>
      <c r="R752" s="17"/>
      <c r="S752" s="18" t="str">
        <f aca="false">IF($Q752="","",IF($R752="Y",IFERROR(VLOOKUP($B752,$C$4:$D$13,2,FALSE()),0),0))</f>
        <v/>
      </c>
      <c r="T752" s="17" t="str">
        <f aca="false">IF($Q752="","",ROUNDDOWN($Q752*$S752,0))</f>
        <v/>
      </c>
      <c r="U752" s="17" t="str">
        <f aca="false">IF($Q752="","",$Q752-$T752)</f>
        <v/>
      </c>
      <c r="V752" s="17" t="str">
        <f aca="false">IF($U752="","",IF($B$10=0,"",$U752/$B$10))</f>
        <v/>
      </c>
      <c r="W752" s="17" t="str">
        <f aca="false">IF($Q752="","",IF($B$10=0,"",$Q752/$B$10))</f>
        <v/>
      </c>
      <c r="X752" s="19" t="n">
        <f aca="false">IF($U752="",1000000000000000,$U752)</f>
        <v>1000000000000000</v>
      </c>
    </row>
    <row r="753" s="6" customFormat="true" ht="28.6" hidden="false" customHeight="true" outlineLevel="0" collapsed="false">
      <c r="A753" s="16" t="str">
        <f aca="false">IF($U753="","",1+COUNTIF($X$15:$X$728,"&lt;"&amp;X753))</f>
        <v/>
      </c>
      <c r="B753" s="16" t="s">
        <v>12</v>
      </c>
      <c r="C753" s="16" t="s">
        <v>976</v>
      </c>
      <c r="D753" s="20" t="s">
        <v>112</v>
      </c>
      <c r="E753" s="16" t="s">
        <v>47</v>
      </c>
      <c r="F753" s="16" t="s">
        <v>2238</v>
      </c>
      <c r="G753" s="16" t="s">
        <v>2239</v>
      </c>
      <c r="H753" s="17" t="n">
        <v>2145</v>
      </c>
      <c r="I753" s="17"/>
      <c r="J753" s="17"/>
      <c r="K753" s="17" t="n">
        <v>2145</v>
      </c>
      <c r="L753" s="17" t="n">
        <f aca="false">IF(AND(IFERROR(SEARCH("현대오일뱅크",$C753),0)&gt;0,IFERROR(SEARCH("직영",$C753),0)&gt;0),$B$13,0)</f>
        <v>0</v>
      </c>
      <c r="M753" s="17" t="n">
        <f aca="false">IF($H753="","",$H753+$L753)</f>
        <v>2145</v>
      </c>
      <c r="N753" s="17" t="str">
        <f aca="false">IF($I753="","",$I753+$L753)</f>
        <v/>
      </c>
      <c r="O753" s="17" t="n">
        <f aca="false">IF($K753="","",$K753+$L753)</f>
        <v>2145</v>
      </c>
      <c r="P753" s="17" t="str">
        <f aca="false">IF($B$10=0,"",IFERROR(IF($B$4&gt;0,"휘발유 "&amp;TEXT(IF($M753="",1/0,$M753*$B$4),"#,##0")&amp;"원","")&amp;IF($B$5&gt;0,IF($B$4&gt;0," / ","")&amp;"고급유 "&amp;TEXT(IF($N753="",1/0,$N753*$B$5),"#,##0")&amp;"원","")&amp;IF($B$6&gt;0,IF(OR($B$4&gt;0,$B$5&gt;0)," / ","")&amp;"경유 "&amp;TEXT(IF($O753="",1/0,$O753*$B$6),"#,##0")&amp;"원",""),""))</f>
        <v/>
      </c>
      <c r="Q753" s="17" t="str">
        <f aca="false">IF($B$10=0,"",IFERROR(IF($B$4&gt;0,IF($M753="",1/0,$M753*$B$4),0)+IF($B$5&gt;0,IF($N753="",1/0,$N753*$B$5),0)+IF($B$6&gt;0,IF($O753="",1/0,$O753*$B$6),0),""))</f>
        <v/>
      </c>
      <c r="R753" s="17" t="s">
        <v>47</v>
      </c>
      <c r="S753" s="18" t="str">
        <f aca="false">IF($Q753="","",IF($R753="Y",IFERROR(VLOOKUP($B753,$C$4:$D$13,2,FALSE()),0),0))</f>
        <v/>
      </c>
      <c r="T753" s="17" t="str">
        <f aca="false">IF($Q753="","",ROUNDDOWN($Q753*$S753,0))</f>
        <v/>
      </c>
      <c r="U753" s="17" t="str">
        <f aca="false">IF($Q753="","",$Q753-$T753)</f>
        <v/>
      </c>
      <c r="V753" s="17" t="str">
        <f aca="false">IF($U753="","",IF($B$10=0,"",$U753/$B$10))</f>
        <v/>
      </c>
      <c r="W753" s="17" t="str">
        <f aca="false">IF($Q753="","",IF($B$10=0,"",$Q753/$B$10))</f>
        <v/>
      </c>
      <c r="X753" s="19" t="n">
        <f aca="false">IF($U753="",1000000000000000,$U753)</f>
        <v>1000000000000000</v>
      </c>
    </row>
    <row r="754" s="6" customFormat="true" ht="28.6" hidden="false" customHeight="true" outlineLevel="0" collapsed="false">
      <c r="A754" s="16" t="str">
        <f aca="false">IF($U754="","",1+COUNTIF($X$15:$X$728,"&lt;"&amp;X754))</f>
        <v/>
      </c>
      <c r="B754" s="16" t="s">
        <v>6</v>
      </c>
      <c r="C754" s="16" t="s">
        <v>2240</v>
      </c>
      <c r="D754" s="16" t="s">
        <v>51</v>
      </c>
      <c r="E754" s="16" t="s">
        <v>59</v>
      </c>
      <c r="F754" s="16" t="s">
        <v>2241</v>
      </c>
      <c r="G754" s="16" t="s">
        <v>2242</v>
      </c>
      <c r="H754" s="17" t="n">
        <v>2148</v>
      </c>
      <c r="I754" s="17"/>
      <c r="J754" s="17"/>
      <c r="K754" s="17" t="n">
        <v>2148</v>
      </c>
      <c r="L754" s="17" t="n">
        <f aca="false">IF(AND(IFERROR(SEARCH("현대오일뱅크",$C754),0)&gt;0,IFERROR(SEARCH("직영",$C754),0)&gt;0),$B$13,0)</f>
        <v>0</v>
      </c>
      <c r="M754" s="17" t="n">
        <f aca="false">IF($H754="","",$H754+$L754)</f>
        <v>2148</v>
      </c>
      <c r="N754" s="17" t="str">
        <f aca="false">IF($I754="","",$I754+$L754)</f>
        <v/>
      </c>
      <c r="O754" s="17" t="n">
        <f aca="false">IF($K754="","",$K754+$L754)</f>
        <v>2148</v>
      </c>
      <c r="P754" s="17" t="str">
        <f aca="false">IF($B$10=0,"",IFERROR(IF($B$4&gt;0,"휘발유 "&amp;TEXT(IF($M754="",1/0,$M754*$B$4),"#,##0")&amp;"원","")&amp;IF($B$5&gt;0,IF($B$4&gt;0," / ","")&amp;"고급유 "&amp;TEXT(IF($N754="",1/0,$N754*$B$5),"#,##0")&amp;"원","")&amp;IF($B$6&gt;0,IF(OR($B$4&gt;0,$B$5&gt;0)," / ","")&amp;"경유 "&amp;TEXT(IF($O754="",1/0,$O754*$B$6),"#,##0")&amp;"원",""),""))</f>
        <v/>
      </c>
      <c r="Q754" s="17" t="str">
        <f aca="false">IF($B$10=0,"",IFERROR(IF($B$4&gt;0,IF($M754="",1/0,$M754*$B$4),0)+IF($B$5&gt;0,IF($N754="",1/0,$N754*$B$5),0)+IF($B$6&gt;0,IF($O754="",1/0,$O754*$B$6),0),""))</f>
        <v/>
      </c>
      <c r="R754" s="17" t="s">
        <v>47</v>
      </c>
      <c r="S754" s="18" t="str">
        <f aca="false">IF($Q754="","",IF($R754="Y",IFERROR(VLOOKUP($B754,$C$4:$D$13,2,FALSE()),0),0))</f>
        <v/>
      </c>
      <c r="T754" s="17" t="str">
        <f aca="false">IF($Q754="","",ROUNDDOWN($Q754*$S754,0))</f>
        <v/>
      </c>
      <c r="U754" s="17" t="str">
        <f aca="false">IF($Q754="","",$Q754-$T754)</f>
        <v/>
      </c>
      <c r="V754" s="17" t="str">
        <f aca="false">IF($U754="","",IF($B$10=0,"",$U754/$B$10))</f>
        <v/>
      </c>
      <c r="W754" s="17" t="str">
        <f aca="false">IF($Q754="","",IF($B$10=0,"",$Q754/$B$10))</f>
        <v/>
      </c>
      <c r="X754" s="19" t="n">
        <f aca="false">IF($U754="",1000000000000000,$U754)</f>
        <v>1000000000000000</v>
      </c>
    </row>
    <row r="755" s="6" customFormat="true" ht="28.6" hidden="false" customHeight="true" outlineLevel="0" collapsed="false">
      <c r="A755" s="16" t="str">
        <f aca="false">IF($U755="","",1+COUNTIF($X$15:$X$728,"&lt;"&amp;X755))</f>
        <v/>
      </c>
      <c r="B755" s="16" t="s">
        <v>14</v>
      </c>
      <c r="C755" s="16" t="s">
        <v>2243</v>
      </c>
      <c r="D755" s="16" t="s">
        <v>51</v>
      </c>
      <c r="E755" s="16" t="s">
        <v>47</v>
      </c>
      <c r="F755" s="16" t="s">
        <v>2244</v>
      </c>
      <c r="G755" s="16" t="s">
        <v>2245</v>
      </c>
      <c r="H755" s="17" t="n">
        <v>1935</v>
      </c>
      <c r="I755" s="17"/>
      <c r="J755" s="17"/>
      <c r="K755" s="17" t="n">
        <v>1985</v>
      </c>
      <c r="L755" s="17" t="n">
        <f aca="false">IF(AND(IFERROR(SEARCH("현대오일뱅크",$C755),0)&gt;0,IFERROR(SEARCH("직영",$C755),0)&gt;0),$B$13,0)</f>
        <v>0</v>
      </c>
      <c r="M755" s="17" t="n">
        <f aca="false">IF($H755="","",$H755+$L755)</f>
        <v>1935</v>
      </c>
      <c r="N755" s="17" t="str">
        <f aca="false">IF($I755="","",$I755+$L755)</f>
        <v/>
      </c>
      <c r="O755" s="17" t="n">
        <f aca="false">IF($K755="","",$K755+$L755)</f>
        <v>1985</v>
      </c>
      <c r="P755" s="17" t="str">
        <f aca="false">IF($B$10=0,"",IFERROR(IF($B$4&gt;0,"휘발유 "&amp;TEXT(IF($M755="",1/0,$M755*$B$4),"#,##0")&amp;"원","")&amp;IF($B$5&gt;0,IF($B$4&gt;0," / ","")&amp;"고급유 "&amp;TEXT(IF($N755="",1/0,$N755*$B$5),"#,##0")&amp;"원","")&amp;IF($B$6&gt;0,IF(OR($B$4&gt;0,$B$5&gt;0)," / ","")&amp;"경유 "&amp;TEXT(IF($O755="",1/0,$O755*$B$6),"#,##0")&amp;"원",""),""))</f>
        <v/>
      </c>
      <c r="Q755" s="17" t="str">
        <f aca="false">IF($B$10=0,"",IFERROR(IF($B$4&gt;0,IF($M755="",1/0,$M755*$B$4),0)+IF($B$5&gt;0,IF($N755="",1/0,$N755*$B$5),0)+IF($B$6&gt;0,IF($O755="",1/0,$O755*$B$6),0),""))</f>
        <v/>
      </c>
      <c r="R755" s="17"/>
      <c r="S755" s="18" t="str">
        <f aca="false">IF($Q755="","",IF($R755="Y",IFERROR(VLOOKUP($B755,$C$4:$D$13,2,FALSE()),0),0))</f>
        <v/>
      </c>
      <c r="T755" s="17" t="str">
        <f aca="false">IF($Q755="","",ROUNDDOWN($Q755*$S755,0))</f>
        <v/>
      </c>
      <c r="U755" s="17" t="str">
        <f aca="false">IF($Q755="","",$Q755-$T755)</f>
        <v/>
      </c>
      <c r="V755" s="17" t="str">
        <f aca="false">IF($U755="","",IF($B$10=0,"",$U755/$B$10))</f>
        <v/>
      </c>
      <c r="W755" s="17" t="str">
        <f aca="false">IF($Q755="","",IF($B$10=0,"",$Q755/$B$10))</f>
        <v/>
      </c>
      <c r="X755" s="19" t="n">
        <f aca="false">IF($U755="",1000000000000000,$U755)</f>
        <v>1000000000000000</v>
      </c>
    </row>
    <row r="756" s="6" customFormat="true" ht="28.6" hidden="false" customHeight="true" outlineLevel="0" collapsed="false">
      <c r="A756" s="16" t="str">
        <f aca="false">IF($U756="","",1+COUNTIF($X$15:$X$728,"&lt;"&amp;X756))</f>
        <v/>
      </c>
      <c r="B756" s="16" t="s">
        <v>10</v>
      </c>
      <c r="C756" s="16" t="s">
        <v>2246</v>
      </c>
      <c r="D756" s="20" t="s">
        <v>108</v>
      </c>
      <c r="E756" s="16" t="s">
        <v>47</v>
      </c>
      <c r="F756" s="16" t="s">
        <v>2247</v>
      </c>
      <c r="G756" s="16" t="s">
        <v>2248</v>
      </c>
      <c r="H756" s="17" t="n">
        <v>1935</v>
      </c>
      <c r="I756" s="17"/>
      <c r="J756" s="17"/>
      <c r="K756" s="17" t="n">
        <v>1995</v>
      </c>
      <c r="L756" s="17" t="n">
        <f aca="false">IF(AND(IFERROR(SEARCH("현대오일뱅크",$C756),0)&gt;0,IFERROR(SEARCH("직영",$C756),0)&gt;0),$B$13,0)</f>
        <v>0</v>
      </c>
      <c r="M756" s="17" t="n">
        <f aca="false">IF($H756="","",$H756+$L756)</f>
        <v>1935</v>
      </c>
      <c r="N756" s="17" t="str">
        <f aca="false">IF($I756="","",$I756+$L756)</f>
        <v/>
      </c>
      <c r="O756" s="17" t="n">
        <f aca="false">IF($K756="","",$K756+$L756)</f>
        <v>1995</v>
      </c>
      <c r="P756" s="17" t="str">
        <f aca="false">IF($B$10=0,"",IFERROR(IF($B$4&gt;0,"휘발유 "&amp;TEXT(IF($M756="",1/0,$M756*$B$4),"#,##0")&amp;"원","")&amp;IF($B$5&gt;0,IF($B$4&gt;0," / ","")&amp;"고급유 "&amp;TEXT(IF($N756="",1/0,$N756*$B$5),"#,##0")&amp;"원","")&amp;IF($B$6&gt;0,IF(OR($B$4&gt;0,$B$5&gt;0)," / ","")&amp;"경유 "&amp;TEXT(IF($O756="",1/0,$O756*$B$6),"#,##0")&amp;"원",""),""))</f>
        <v/>
      </c>
      <c r="Q756" s="17" t="str">
        <f aca="false">IF($B$10=0,"",IFERROR(IF($B$4&gt;0,IF($M756="",1/0,$M756*$B$4),0)+IF($B$5&gt;0,IF($N756="",1/0,$N756*$B$5),0)+IF($B$6&gt;0,IF($O756="",1/0,$O756*$B$6),0),""))</f>
        <v/>
      </c>
      <c r="R756" s="17"/>
      <c r="S756" s="18" t="str">
        <f aca="false">IF($Q756="","",IF($R756="Y",IFERROR(VLOOKUP($B756,$C$4:$D$13,2,FALSE()),0),0))</f>
        <v/>
      </c>
      <c r="T756" s="17" t="str">
        <f aca="false">IF($Q756="","",ROUNDDOWN($Q756*$S756,0))</f>
        <v/>
      </c>
      <c r="U756" s="17" t="str">
        <f aca="false">IF($Q756="","",$Q756-$T756)</f>
        <v/>
      </c>
      <c r="V756" s="17" t="str">
        <f aca="false">IF($U756="","",IF($B$10=0,"",$U756/$B$10))</f>
        <v/>
      </c>
      <c r="W756" s="17" t="str">
        <f aca="false">IF($Q756="","",IF($B$10=0,"",$Q756/$B$10))</f>
        <v/>
      </c>
      <c r="X756" s="19" t="n">
        <f aca="false">IF($U756="",1000000000000000,$U756)</f>
        <v>1000000000000000</v>
      </c>
    </row>
    <row r="757" s="6" customFormat="true" ht="28.6" hidden="false" customHeight="true" outlineLevel="0" collapsed="false">
      <c r="A757" s="16" t="str">
        <f aca="false">IF($U757="","",1+COUNTIF($X$15:$X$728,"&lt;"&amp;X757))</f>
        <v/>
      </c>
      <c r="B757" s="16" t="s">
        <v>12</v>
      </c>
      <c r="C757" s="16" t="s">
        <v>2249</v>
      </c>
      <c r="D757" s="20" t="s">
        <v>629</v>
      </c>
      <c r="E757" s="16" t="s">
        <v>59</v>
      </c>
      <c r="F757" s="16" t="s">
        <v>2250</v>
      </c>
      <c r="G757" s="16" t="s">
        <v>2251</v>
      </c>
      <c r="H757" s="17" t="n">
        <v>1935</v>
      </c>
      <c r="I757" s="17"/>
      <c r="J757" s="17"/>
      <c r="K757" s="17" t="n">
        <v>1995</v>
      </c>
      <c r="L757" s="17" t="n">
        <f aca="false">IF(AND(IFERROR(SEARCH("현대오일뱅크",$C757),0)&gt;0,IFERROR(SEARCH("직영",$C757),0)&gt;0),$B$13,0)</f>
        <v>0</v>
      </c>
      <c r="M757" s="17" t="n">
        <f aca="false">IF($H757="","",$H757+$L757)</f>
        <v>1935</v>
      </c>
      <c r="N757" s="17" t="str">
        <f aca="false">IF($I757="","",$I757+$L757)</f>
        <v/>
      </c>
      <c r="O757" s="17" t="n">
        <f aca="false">IF($K757="","",$K757+$L757)</f>
        <v>1995</v>
      </c>
      <c r="P757" s="17" t="str">
        <f aca="false">IF($B$10=0,"",IFERROR(IF($B$4&gt;0,"휘발유 "&amp;TEXT(IF($M757="",1/0,$M757*$B$4),"#,##0")&amp;"원","")&amp;IF($B$5&gt;0,IF($B$4&gt;0," / ","")&amp;"고급유 "&amp;TEXT(IF($N757="",1/0,$N757*$B$5),"#,##0")&amp;"원","")&amp;IF($B$6&gt;0,IF(OR($B$4&gt;0,$B$5&gt;0)," / ","")&amp;"경유 "&amp;TEXT(IF($O757="",1/0,$O757*$B$6),"#,##0")&amp;"원",""),""))</f>
        <v/>
      </c>
      <c r="Q757" s="17" t="str">
        <f aca="false">IF($B$10=0,"",IFERROR(IF($B$4&gt;0,IF($M757="",1/0,$M757*$B$4),0)+IF($B$5&gt;0,IF($N757="",1/0,$N757*$B$5),0)+IF($B$6&gt;0,IF($O757="",1/0,$O757*$B$6),0),""))</f>
        <v/>
      </c>
      <c r="R757" s="17"/>
      <c r="S757" s="18" t="str">
        <f aca="false">IF($Q757="","",IF($R757="Y",IFERROR(VLOOKUP($B757,$C$4:$D$13,2,FALSE()),0),0))</f>
        <v/>
      </c>
      <c r="T757" s="17" t="str">
        <f aca="false">IF($Q757="","",ROUNDDOWN($Q757*$S757,0))</f>
        <v/>
      </c>
      <c r="U757" s="17" t="str">
        <f aca="false">IF($Q757="","",$Q757-$T757)</f>
        <v/>
      </c>
      <c r="V757" s="17" t="str">
        <f aca="false">IF($U757="","",IF($B$10=0,"",$U757/$B$10))</f>
        <v/>
      </c>
      <c r="W757" s="17" t="str">
        <f aca="false">IF($Q757="","",IF($B$10=0,"",$Q757/$B$10))</f>
        <v/>
      </c>
      <c r="X757" s="19" t="n">
        <f aca="false">IF($U757="",1000000000000000,$U757)</f>
        <v>1000000000000000</v>
      </c>
    </row>
    <row r="758" s="6" customFormat="true" ht="28.6" hidden="false" customHeight="true" outlineLevel="0" collapsed="false">
      <c r="A758" s="16" t="str">
        <f aca="false">IF($U758="","",1+COUNTIF($X$15:$X$728,"&lt;"&amp;X758))</f>
        <v/>
      </c>
      <c r="B758" s="16" t="s">
        <v>12</v>
      </c>
      <c r="C758" s="16" t="s">
        <v>2252</v>
      </c>
      <c r="D758" s="20" t="s">
        <v>629</v>
      </c>
      <c r="E758" s="16" t="s">
        <v>59</v>
      </c>
      <c r="F758" s="16" t="s">
        <v>2253</v>
      </c>
      <c r="G758" s="16" t="s">
        <v>2254</v>
      </c>
      <c r="H758" s="17" t="n">
        <v>1935</v>
      </c>
      <c r="I758" s="17"/>
      <c r="J758" s="17"/>
      <c r="K758" s="17" t="n">
        <v>1995</v>
      </c>
      <c r="L758" s="17" t="n">
        <f aca="false">IF(AND(IFERROR(SEARCH("현대오일뱅크",$C758),0)&gt;0,IFERROR(SEARCH("직영",$C758),0)&gt;0),$B$13,0)</f>
        <v>0</v>
      </c>
      <c r="M758" s="17" t="n">
        <f aca="false">IF($H758="","",$H758+$L758)</f>
        <v>1935</v>
      </c>
      <c r="N758" s="17" t="str">
        <f aca="false">IF($I758="","",$I758+$L758)</f>
        <v/>
      </c>
      <c r="O758" s="17" t="n">
        <f aca="false">IF($K758="","",$K758+$L758)</f>
        <v>1995</v>
      </c>
      <c r="P758" s="17" t="str">
        <f aca="false">IF($B$10=0,"",IFERROR(IF($B$4&gt;0,"휘발유 "&amp;TEXT(IF($M758="",1/0,$M758*$B$4),"#,##0")&amp;"원","")&amp;IF($B$5&gt;0,IF($B$4&gt;0," / ","")&amp;"고급유 "&amp;TEXT(IF($N758="",1/0,$N758*$B$5),"#,##0")&amp;"원","")&amp;IF($B$6&gt;0,IF(OR($B$4&gt;0,$B$5&gt;0)," / ","")&amp;"경유 "&amp;TEXT(IF($O758="",1/0,$O758*$B$6),"#,##0")&amp;"원",""),""))</f>
        <v/>
      </c>
      <c r="Q758" s="17" t="str">
        <f aca="false">IF($B$10=0,"",IFERROR(IF($B$4&gt;0,IF($M758="",1/0,$M758*$B$4),0)+IF($B$5&gt;0,IF($N758="",1/0,$N758*$B$5),0)+IF($B$6&gt;0,IF($O758="",1/0,$O758*$B$6),0),""))</f>
        <v/>
      </c>
      <c r="R758" s="17"/>
      <c r="S758" s="18" t="str">
        <f aca="false">IF($Q758="","",IF($R758="Y",IFERROR(VLOOKUP($B758,$C$4:$D$13,2,FALSE()),0),0))</f>
        <v/>
      </c>
      <c r="T758" s="17" t="str">
        <f aca="false">IF($Q758="","",ROUNDDOWN($Q758*$S758,0))</f>
        <v/>
      </c>
      <c r="U758" s="17" t="str">
        <f aca="false">IF($Q758="","",$Q758-$T758)</f>
        <v/>
      </c>
      <c r="V758" s="17" t="str">
        <f aca="false">IF($U758="","",IF($B$10=0,"",$U758/$B$10))</f>
        <v/>
      </c>
      <c r="W758" s="17" t="str">
        <f aca="false">IF($Q758="","",IF($B$10=0,"",$Q758/$B$10))</f>
        <v/>
      </c>
      <c r="X758" s="19" t="n">
        <f aca="false">IF($U758="",1000000000000000,$U758)</f>
        <v>1000000000000000</v>
      </c>
    </row>
    <row r="759" s="6" customFormat="true" ht="28.6" hidden="false" customHeight="true" outlineLevel="0" collapsed="false">
      <c r="A759" s="16" t="str">
        <f aca="false">IF($U759="","",1+COUNTIF($X$15:$X$728,"&lt;"&amp;X759))</f>
        <v/>
      </c>
      <c r="B759" s="16" t="s">
        <v>12</v>
      </c>
      <c r="C759" s="16" t="s">
        <v>2255</v>
      </c>
      <c r="D759" s="20" t="s">
        <v>629</v>
      </c>
      <c r="E759" s="16" t="s">
        <v>47</v>
      </c>
      <c r="F759" s="16" t="s">
        <v>2256</v>
      </c>
      <c r="G759" s="16" t="s">
        <v>2257</v>
      </c>
      <c r="H759" s="17" t="n">
        <v>1935</v>
      </c>
      <c r="I759" s="17"/>
      <c r="J759" s="17"/>
      <c r="K759" s="17" t="n">
        <v>1995</v>
      </c>
      <c r="L759" s="17" t="n">
        <f aca="false">IF(AND(IFERROR(SEARCH("현대오일뱅크",$C759),0)&gt;0,IFERROR(SEARCH("직영",$C759),0)&gt;0),$B$13,0)</f>
        <v>0</v>
      </c>
      <c r="M759" s="17" t="n">
        <f aca="false">IF($H759="","",$H759+$L759)</f>
        <v>1935</v>
      </c>
      <c r="N759" s="17" t="str">
        <f aca="false">IF($I759="","",$I759+$L759)</f>
        <v/>
      </c>
      <c r="O759" s="17" t="n">
        <f aca="false">IF($K759="","",$K759+$L759)</f>
        <v>1995</v>
      </c>
      <c r="P759" s="17" t="str">
        <f aca="false">IF($B$10=0,"",IFERROR(IF($B$4&gt;0,"휘발유 "&amp;TEXT(IF($M759="",1/0,$M759*$B$4),"#,##0")&amp;"원","")&amp;IF($B$5&gt;0,IF($B$4&gt;0," / ","")&amp;"고급유 "&amp;TEXT(IF($N759="",1/0,$N759*$B$5),"#,##0")&amp;"원","")&amp;IF($B$6&gt;0,IF(OR($B$4&gt;0,$B$5&gt;0)," / ","")&amp;"경유 "&amp;TEXT(IF($O759="",1/0,$O759*$B$6),"#,##0")&amp;"원",""),""))</f>
        <v/>
      </c>
      <c r="Q759" s="17" t="str">
        <f aca="false">IF($B$10=0,"",IFERROR(IF($B$4&gt;0,IF($M759="",1/0,$M759*$B$4),0)+IF($B$5&gt;0,IF($N759="",1/0,$N759*$B$5),0)+IF($B$6&gt;0,IF($O759="",1/0,$O759*$B$6),0),""))</f>
        <v/>
      </c>
      <c r="R759" s="17"/>
      <c r="S759" s="18" t="str">
        <f aca="false">IF($Q759="","",IF($R759="Y",IFERROR(VLOOKUP($B759,$C$4:$D$13,2,FALSE()),0),0))</f>
        <v/>
      </c>
      <c r="T759" s="17" t="str">
        <f aca="false">IF($Q759="","",ROUNDDOWN($Q759*$S759,0))</f>
        <v/>
      </c>
      <c r="U759" s="17" t="str">
        <f aca="false">IF($Q759="","",$Q759-$T759)</f>
        <v/>
      </c>
      <c r="V759" s="17" t="str">
        <f aca="false">IF($U759="","",IF($B$10=0,"",$U759/$B$10))</f>
        <v/>
      </c>
      <c r="W759" s="17" t="str">
        <f aca="false">IF($Q759="","",IF($B$10=0,"",$Q759/$B$10))</f>
        <v/>
      </c>
      <c r="X759" s="19" t="n">
        <f aca="false">IF($U759="",1000000000000000,$U759)</f>
        <v>1000000000000000</v>
      </c>
    </row>
    <row r="760" s="6" customFormat="true" ht="28.6" hidden="false" customHeight="true" outlineLevel="0" collapsed="false">
      <c r="A760" s="16" t="str">
        <f aca="false">IF($U760="","",1+COUNTIF($X$15:$X$728,"&lt;"&amp;X760))</f>
        <v/>
      </c>
      <c r="B760" s="16" t="s">
        <v>12</v>
      </c>
      <c r="C760" s="16" t="s">
        <v>2258</v>
      </c>
      <c r="D760" s="20" t="s">
        <v>112</v>
      </c>
      <c r="E760" s="16" t="s">
        <v>47</v>
      </c>
      <c r="F760" s="16" t="s">
        <v>2259</v>
      </c>
      <c r="G760" s="16" t="s">
        <v>2260</v>
      </c>
      <c r="H760" s="17" t="n">
        <v>1935</v>
      </c>
      <c r="I760" s="17"/>
      <c r="J760" s="17"/>
      <c r="K760" s="17" t="n">
        <v>1985</v>
      </c>
      <c r="L760" s="17" t="n">
        <f aca="false">IF(AND(IFERROR(SEARCH("현대오일뱅크",$C760),0)&gt;0,IFERROR(SEARCH("직영",$C760),0)&gt;0),$B$13,0)</f>
        <v>0</v>
      </c>
      <c r="M760" s="17" t="n">
        <f aca="false">IF($H760="","",$H760+$L760)</f>
        <v>1935</v>
      </c>
      <c r="N760" s="17" t="str">
        <f aca="false">IF($I760="","",$I760+$L760)</f>
        <v/>
      </c>
      <c r="O760" s="17" t="n">
        <f aca="false">IF($K760="","",$K760+$L760)</f>
        <v>1985</v>
      </c>
      <c r="P760" s="17" t="str">
        <f aca="false">IF($B$10=0,"",IFERROR(IF($B$4&gt;0,"휘발유 "&amp;TEXT(IF($M760="",1/0,$M760*$B$4),"#,##0")&amp;"원","")&amp;IF($B$5&gt;0,IF($B$4&gt;0," / ","")&amp;"고급유 "&amp;TEXT(IF($N760="",1/0,$N760*$B$5),"#,##0")&amp;"원","")&amp;IF($B$6&gt;0,IF(OR($B$4&gt;0,$B$5&gt;0)," / ","")&amp;"경유 "&amp;TEXT(IF($O760="",1/0,$O760*$B$6),"#,##0")&amp;"원",""),""))</f>
        <v/>
      </c>
      <c r="Q760" s="17" t="str">
        <f aca="false">IF($B$10=0,"",IFERROR(IF($B$4&gt;0,IF($M760="",1/0,$M760*$B$4),0)+IF($B$5&gt;0,IF($N760="",1/0,$N760*$B$5),0)+IF($B$6&gt;0,IF($O760="",1/0,$O760*$B$6),0),""))</f>
        <v/>
      </c>
      <c r="R760" s="17"/>
      <c r="S760" s="18" t="str">
        <f aca="false">IF($Q760="","",IF($R760="Y",IFERROR(VLOOKUP($B760,$C$4:$D$13,2,FALSE()),0),0))</f>
        <v/>
      </c>
      <c r="T760" s="17" t="str">
        <f aca="false">IF($Q760="","",ROUNDDOWN($Q760*$S760,0))</f>
        <v/>
      </c>
      <c r="U760" s="17" t="str">
        <f aca="false">IF($Q760="","",$Q760-$T760)</f>
        <v/>
      </c>
      <c r="V760" s="17" t="str">
        <f aca="false">IF($U760="","",IF($B$10=0,"",$U760/$B$10))</f>
        <v/>
      </c>
      <c r="W760" s="17" t="str">
        <f aca="false">IF($Q760="","",IF($B$10=0,"",$Q760/$B$10))</f>
        <v/>
      </c>
      <c r="X760" s="19" t="n">
        <f aca="false">IF($U760="",1000000000000000,$U760)</f>
        <v>1000000000000000</v>
      </c>
    </row>
    <row r="761" s="6" customFormat="true" ht="28.6" hidden="false" customHeight="true" outlineLevel="0" collapsed="false">
      <c r="A761" s="16" t="str">
        <f aca="false">IF($U761="","",1+COUNTIF($X$15:$X$728,"&lt;"&amp;X761))</f>
        <v/>
      </c>
      <c r="B761" s="16" t="s">
        <v>8</v>
      </c>
      <c r="C761" s="16" t="s">
        <v>2261</v>
      </c>
      <c r="D761" s="16" t="s">
        <v>112</v>
      </c>
      <c r="E761" s="16" t="s">
        <v>47</v>
      </c>
      <c r="F761" s="16" t="s">
        <v>2262</v>
      </c>
      <c r="G761" s="16" t="s">
        <v>2263</v>
      </c>
      <c r="H761" s="17" t="n">
        <v>1938</v>
      </c>
      <c r="I761" s="17"/>
      <c r="J761" s="17"/>
      <c r="K761" s="17" t="n">
        <v>1998</v>
      </c>
      <c r="L761" s="17" t="n">
        <f aca="false">IF(AND(IFERROR(SEARCH("현대오일뱅크",$C761),0)&gt;0,IFERROR(SEARCH("직영",$C761),0)&gt;0),$B$13,0)</f>
        <v>0</v>
      </c>
      <c r="M761" s="17" t="n">
        <f aca="false">IF($H761="","",$H761+$L761)</f>
        <v>1938</v>
      </c>
      <c r="N761" s="17" t="str">
        <f aca="false">IF($I761="","",$I761+$L761)</f>
        <v/>
      </c>
      <c r="O761" s="17" t="n">
        <f aca="false">IF($K761="","",$K761+$L761)</f>
        <v>1998</v>
      </c>
      <c r="P761" s="17" t="str">
        <f aca="false">IF($B$10=0,"",IFERROR(IF($B$4&gt;0,"휘발유 "&amp;TEXT(IF($M761="",1/0,$M761*$B$4),"#,##0")&amp;"원","")&amp;IF($B$5&gt;0,IF($B$4&gt;0," / ","")&amp;"고급유 "&amp;TEXT(IF($N761="",1/0,$N761*$B$5),"#,##0")&amp;"원","")&amp;IF($B$6&gt;0,IF(OR($B$4&gt;0,$B$5&gt;0)," / ","")&amp;"경유 "&amp;TEXT(IF($O761="",1/0,$O761*$B$6),"#,##0")&amp;"원",""),""))</f>
        <v/>
      </c>
      <c r="Q761" s="17" t="str">
        <f aca="false">IF($B$10=0,"",IFERROR(IF($B$4&gt;0,IF($M761="",1/0,$M761*$B$4),0)+IF($B$5&gt;0,IF($N761="",1/0,$N761*$B$5),0)+IF($B$6&gt;0,IF($O761="",1/0,$O761*$B$6),0),""))</f>
        <v/>
      </c>
      <c r="R761" s="17"/>
      <c r="S761" s="18" t="str">
        <f aca="false">IF($Q761="","",IF($R761="Y",IFERROR(VLOOKUP($B761,$C$4:$D$13,2,FALSE()),0),0))</f>
        <v/>
      </c>
      <c r="T761" s="17" t="str">
        <f aca="false">IF($Q761="","",ROUNDDOWN($Q761*$S761,0))</f>
        <v/>
      </c>
      <c r="U761" s="17" t="str">
        <f aca="false">IF($Q761="","",$Q761-$T761)</f>
        <v/>
      </c>
      <c r="V761" s="17" t="str">
        <f aca="false">IF($U761="","",IF($B$10=0,"",$U761/$B$10))</f>
        <v/>
      </c>
      <c r="W761" s="17" t="str">
        <f aca="false">IF($Q761="","",IF($B$10=0,"",$Q761/$B$10))</f>
        <v/>
      </c>
      <c r="X761" s="19" t="n">
        <f aca="false">IF($U761="",1000000000000000,$U761)</f>
        <v>1000000000000000</v>
      </c>
    </row>
    <row r="762" s="6" customFormat="true" ht="28.6" hidden="false" customHeight="true" outlineLevel="0" collapsed="false">
      <c r="A762" s="16" t="str">
        <f aca="false">IF($U762="","",1+COUNTIF($X$15:$X$728,"&lt;"&amp;X762))</f>
        <v/>
      </c>
      <c r="B762" s="16" t="s">
        <v>14</v>
      </c>
      <c r="C762" s="16" t="s">
        <v>2264</v>
      </c>
      <c r="D762" s="16" t="s">
        <v>112</v>
      </c>
      <c r="E762" s="16" t="s">
        <v>47</v>
      </c>
      <c r="F762" s="16" t="s">
        <v>2265</v>
      </c>
      <c r="G762" s="16" t="s">
        <v>2266</v>
      </c>
      <c r="H762" s="17" t="n">
        <v>1938</v>
      </c>
      <c r="I762" s="17"/>
      <c r="J762" s="17"/>
      <c r="K762" s="17" t="n">
        <v>1937</v>
      </c>
      <c r="L762" s="17" t="n">
        <f aca="false">IF(AND(IFERROR(SEARCH("현대오일뱅크",$C762),0)&gt;0,IFERROR(SEARCH("직영",$C762),0)&gt;0),$B$13,0)</f>
        <v>0</v>
      </c>
      <c r="M762" s="17" t="n">
        <f aca="false">IF($H762="","",$H762+$L762)</f>
        <v>1938</v>
      </c>
      <c r="N762" s="17" t="str">
        <f aca="false">IF($I762="","",$I762+$L762)</f>
        <v/>
      </c>
      <c r="O762" s="17" t="n">
        <f aca="false">IF($K762="","",$K762+$L762)</f>
        <v>1937</v>
      </c>
      <c r="P762" s="17" t="str">
        <f aca="false">IF($B$10=0,"",IFERROR(IF($B$4&gt;0,"휘발유 "&amp;TEXT(IF($M762="",1/0,$M762*$B$4),"#,##0")&amp;"원","")&amp;IF($B$5&gt;0,IF($B$4&gt;0," / ","")&amp;"고급유 "&amp;TEXT(IF($N762="",1/0,$N762*$B$5),"#,##0")&amp;"원","")&amp;IF($B$6&gt;0,IF(OR($B$4&gt;0,$B$5&gt;0)," / ","")&amp;"경유 "&amp;TEXT(IF($O762="",1/0,$O762*$B$6),"#,##0")&amp;"원",""),""))</f>
        <v/>
      </c>
      <c r="Q762" s="17" t="str">
        <f aca="false">IF($B$10=0,"",IFERROR(IF($B$4&gt;0,IF($M762="",1/0,$M762*$B$4),0)+IF($B$5&gt;0,IF($N762="",1/0,$N762*$B$5),0)+IF($B$6&gt;0,IF($O762="",1/0,$O762*$B$6),0),""))</f>
        <v/>
      </c>
      <c r="R762" s="17"/>
      <c r="S762" s="18" t="str">
        <f aca="false">IF($Q762="","",IF($R762="Y",IFERROR(VLOOKUP($B762,$C$4:$D$13,2,FALSE()),0),0))</f>
        <v/>
      </c>
      <c r="T762" s="17" t="str">
        <f aca="false">IF($Q762="","",ROUNDDOWN($Q762*$S762,0))</f>
        <v/>
      </c>
      <c r="U762" s="17" t="str">
        <f aca="false">IF($Q762="","",$Q762-$T762)</f>
        <v/>
      </c>
      <c r="V762" s="17" t="str">
        <f aca="false">IF($U762="","",IF($B$10=0,"",$U762/$B$10))</f>
        <v/>
      </c>
      <c r="W762" s="17" t="str">
        <f aca="false">IF($Q762="","",IF($B$10=0,"",$Q762/$B$10))</f>
        <v/>
      </c>
      <c r="X762" s="19" t="n">
        <f aca="false">IF($U762="",1000000000000000,$U762)</f>
        <v>1000000000000000</v>
      </c>
    </row>
    <row r="763" s="6" customFormat="true" ht="28.6" hidden="false" customHeight="true" outlineLevel="0" collapsed="false">
      <c r="A763" s="16" t="str">
        <f aca="false">IF($U763="","",1+COUNTIF($X$15:$X$728,"&lt;"&amp;X763))</f>
        <v/>
      </c>
      <c r="B763" s="16" t="s">
        <v>14</v>
      </c>
      <c r="C763" s="16" t="s">
        <v>2267</v>
      </c>
      <c r="D763" s="20" t="s">
        <v>108</v>
      </c>
      <c r="E763" s="16" t="s">
        <v>59</v>
      </c>
      <c r="F763" s="16" t="s">
        <v>2268</v>
      </c>
      <c r="G763" s="16" t="s">
        <v>2269</v>
      </c>
      <c r="H763" s="17" t="n">
        <v>1939</v>
      </c>
      <c r="I763" s="17"/>
      <c r="J763" s="17"/>
      <c r="K763" s="17" t="n">
        <v>1999</v>
      </c>
      <c r="L763" s="17" t="n">
        <f aca="false">IF(AND(IFERROR(SEARCH("현대오일뱅크",$C763),0)&gt;0,IFERROR(SEARCH("직영",$C763),0)&gt;0),$B$13,0)</f>
        <v>0</v>
      </c>
      <c r="M763" s="17" t="n">
        <f aca="false">IF($H763="","",$H763+$L763)</f>
        <v>1939</v>
      </c>
      <c r="N763" s="17" t="str">
        <f aca="false">IF($I763="","",$I763+$L763)</f>
        <v/>
      </c>
      <c r="O763" s="17" t="n">
        <f aca="false">IF($K763="","",$K763+$L763)</f>
        <v>1999</v>
      </c>
      <c r="P763" s="17" t="str">
        <f aca="false">IF($B$10=0,"",IFERROR(IF($B$4&gt;0,"휘발유 "&amp;TEXT(IF($M763="",1/0,$M763*$B$4),"#,##0")&amp;"원","")&amp;IF($B$5&gt;0,IF($B$4&gt;0," / ","")&amp;"고급유 "&amp;TEXT(IF($N763="",1/0,$N763*$B$5),"#,##0")&amp;"원","")&amp;IF($B$6&gt;0,IF(OR($B$4&gt;0,$B$5&gt;0)," / ","")&amp;"경유 "&amp;TEXT(IF($O763="",1/0,$O763*$B$6),"#,##0")&amp;"원",""),""))</f>
        <v/>
      </c>
      <c r="Q763" s="17" t="str">
        <f aca="false">IF($B$10=0,"",IFERROR(IF($B$4&gt;0,IF($M763="",1/0,$M763*$B$4),0)+IF($B$5&gt;0,IF($N763="",1/0,$N763*$B$5),0)+IF($B$6&gt;0,IF($O763="",1/0,$O763*$B$6),0),""))</f>
        <v/>
      </c>
      <c r="R763" s="17"/>
      <c r="S763" s="18" t="str">
        <f aca="false">IF($Q763="","",IF($R763="Y",IFERROR(VLOOKUP($B763,$C$4:$D$13,2,FALSE()),0),0))</f>
        <v/>
      </c>
      <c r="T763" s="17" t="str">
        <f aca="false">IF($Q763="","",ROUNDDOWN($Q763*$S763,0))</f>
        <v/>
      </c>
      <c r="U763" s="17" t="str">
        <f aca="false">IF($Q763="","",$Q763-$T763)</f>
        <v/>
      </c>
      <c r="V763" s="17" t="str">
        <f aca="false">IF($U763="","",IF($B$10=0,"",$U763/$B$10))</f>
        <v/>
      </c>
      <c r="W763" s="17" t="str">
        <f aca="false">IF($Q763="","",IF($B$10=0,"",$Q763/$B$10))</f>
        <v/>
      </c>
      <c r="X763" s="19" t="n">
        <f aca="false">IF($U763="",1000000000000000,$U763)</f>
        <v>1000000000000000</v>
      </c>
    </row>
    <row r="764" s="6" customFormat="true" ht="28.6" hidden="false" customHeight="true" outlineLevel="0" collapsed="false">
      <c r="A764" s="16" t="str">
        <f aca="false">IF($U764="","",1+COUNTIF($X$15:$X$728,"&lt;"&amp;X764))</f>
        <v/>
      </c>
      <c r="B764" s="16" t="s">
        <v>10</v>
      </c>
      <c r="C764" s="16" t="s">
        <v>2270</v>
      </c>
      <c r="D764" s="20" t="s">
        <v>108</v>
      </c>
      <c r="E764" s="16" t="s">
        <v>47</v>
      </c>
      <c r="F764" s="16" t="s">
        <v>2271</v>
      </c>
      <c r="G764" s="16" t="s">
        <v>2272</v>
      </c>
      <c r="H764" s="17" t="n">
        <v>1939</v>
      </c>
      <c r="I764" s="17"/>
      <c r="J764" s="17"/>
      <c r="K764" s="17" t="n">
        <v>1959</v>
      </c>
      <c r="L764" s="17" t="n">
        <f aca="false">IF(AND(IFERROR(SEARCH("현대오일뱅크",$C764),0)&gt;0,IFERROR(SEARCH("직영",$C764),0)&gt;0),$B$13,0)</f>
        <v>0</v>
      </c>
      <c r="M764" s="17" t="n">
        <f aca="false">IF($H764="","",$H764+$L764)</f>
        <v>1939</v>
      </c>
      <c r="N764" s="17" t="str">
        <f aca="false">IF($I764="","",$I764+$L764)</f>
        <v/>
      </c>
      <c r="O764" s="17" t="n">
        <f aca="false">IF($K764="","",$K764+$L764)</f>
        <v>1959</v>
      </c>
      <c r="P764" s="17" t="str">
        <f aca="false">IF($B$10=0,"",IFERROR(IF($B$4&gt;0,"휘발유 "&amp;TEXT(IF($M764="",1/0,$M764*$B$4),"#,##0")&amp;"원","")&amp;IF($B$5&gt;0,IF($B$4&gt;0," / ","")&amp;"고급유 "&amp;TEXT(IF($N764="",1/0,$N764*$B$5),"#,##0")&amp;"원","")&amp;IF($B$6&gt;0,IF(OR($B$4&gt;0,$B$5&gt;0)," / ","")&amp;"경유 "&amp;TEXT(IF($O764="",1/0,$O764*$B$6),"#,##0")&amp;"원",""),""))</f>
        <v/>
      </c>
      <c r="Q764" s="17" t="str">
        <f aca="false">IF($B$10=0,"",IFERROR(IF($B$4&gt;0,IF($M764="",1/0,$M764*$B$4),0)+IF($B$5&gt;0,IF($N764="",1/0,$N764*$B$5),0)+IF($B$6&gt;0,IF($O764="",1/0,$O764*$B$6),0),""))</f>
        <v/>
      </c>
      <c r="R764" s="17"/>
      <c r="S764" s="18" t="str">
        <f aca="false">IF($Q764="","",IF($R764="Y",IFERROR(VLOOKUP($B764,$C$4:$D$13,2,FALSE()),0),0))</f>
        <v/>
      </c>
      <c r="T764" s="17" t="str">
        <f aca="false">IF($Q764="","",ROUNDDOWN($Q764*$S764,0))</f>
        <v/>
      </c>
      <c r="U764" s="17" t="str">
        <f aca="false">IF($Q764="","",$Q764-$T764)</f>
        <v/>
      </c>
      <c r="V764" s="17" t="str">
        <f aca="false">IF($U764="","",IF($B$10=0,"",$U764/$B$10))</f>
        <v/>
      </c>
      <c r="W764" s="17" t="str">
        <f aca="false">IF($Q764="","",IF($B$10=0,"",$Q764/$B$10))</f>
        <v/>
      </c>
      <c r="X764" s="19" t="n">
        <f aca="false">IF($U764="",1000000000000000,$U764)</f>
        <v>1000000000000000</v>
      </c>
    </row>
    <row r="765" s="6" customFormat="true" ht="28.6" hidden="false" customHeight="true" outlineLevel="0" collapsed="false">
      <c r="A765" s="16" t="str">
        <f aca="false">IF($U765="","",1+COUNTIF($X$15:$X$728,"&lt;"&amp;X765))</f>
        <v/>
      </c>
      <c r="B765" s="16" t="s">
        <v>12</v>
      </c>
      <c r="C765" s="16" t="s">
        <v>2273</v>
      </c>
      <c r="D765" s="20" t="s">
        <v>294</v>
      </c>
      <c r="E765" s="16" t="s">
        <v>47</v>
      </c>
      <c r="F765" s="16" t="s">
        <v>2274</v>
      </c>
      <c r="G765" s="16" t="s">
        <v>2275</v>
      </c>
      <c r="H765" s="17" t="n">
        <v>1939</v>
      </c>
      <c r="I765" s="17"/>
      <c r="J765" s="17"/>
      <c r="K765" s="17" t="n">
        <v>1929</v>
      </c>
      <c r="L765" s="17" t="n">
        <f aca="false">IF(AND(IFERROR(SEARCH("현대오일뱅크",$C765),0)&gt;0,IFERROR(SEARCH("직영",$C765),0)&gt;0),$B$13,0)</f>
        <v>0</v>
      </c>
      <c r="M765" s="17" t="n">
        <f aca="false">IF($H765="","",$H765+$L765)</f>
        <v>1939</v>
      </c>
      <c r="N765" s="17" t="str">
        <f aca="false">IF($I765="","",$I765+$L765)</f>
        <v/>
      </c>
      <c r="O765" s="17" t="n">
        <f aca="false">IF($K765="","",$K765+$L765)</f>
        <v>1929</v>
      </c>
      <c r="P765" s="17" t="str">
        <f aca="false">IF($B$10=0,"",IFERROR(IF($B$4&gt;0,"휘발유 "&amp;TEXT(IF($M765="",1/0,$M765*$B$4),"#,##0")&amp;"원","")&amp;IF($B$5&gt;0,IF($B$4&gt;0," / ","")&amp;"고급유 "&amp;TEXT(IF($N765="",1/0,$N765*$B$5),"#,##0")&amp;"원","")&amp;IF($B$6&gt;0,IF(OR($B$4&gt;0,$B$5&gt;0)," / ","")&amp;"경유 "&amp;TEXT(IF($O765="",1/0,$O765*$B$6),"#,##0")&amp;"원",""),""))</f>
        <v/>
      </c>
      <c r="Q765" s="17" t="str">
        <f aca="false">IF($B$10=0,"",IFERROR(IF($B$4&gt;0,IF($M765="",1/0,$M765*$B$4),0)+IF($B$5&gt;0,IF($N765="",1/0,$N765*$B$5),0)+IF($B$6&gt;0,IF($O765="",1/0,$O765*$B$6),0),""))</f>
        <v/>
      </c>
      <c r="R765" s="17"/>
      <c r="S765" s="18" t="str">
        <f aca="false">IF($Q765="","",IF($R765="Y",IFERROR(VLOOKUP($B765,$C$4:$D$13,2,FALSE()),0),0))</f>
        <v/>
      </c>
      <c r="T765" s="17" t="str">
        <f aca="false">IF($Q765="","",ROUNDDOWN($Q765*$S765,0))</f>
        <v/>
      </c>
      <c r="U765" s="17" t="str">
        <f aca="false">IF($Q765="","",$Q765-$T765)</f>
        <v/>
      </c>
      <c r="V765" s="17" t="str">
        <f aca="false">IF($U765="","",IF($B$10=0,"",$U765/$B$10))</f>
        <v/>
      </c>
      <c r="W765" s="17" t="str">
        <f aca="false">IF($Q765="","",IF($B$10=0,"",$Q765/$B$10))</f>
        <v/>
      </c>
      <c r="X765" s="19" t="n">
        <f aca="false">IF($U765="",1000000000000000,$U765)</f>
        <v>1000000000000000</v>
      </c>
    </row>
    <row r="766" s="6" customFormat="true" ht="28.6" hidden="false" customHeight="true" outlineLevel="0" collapsed="false">
      <c r="A766" s="16" t="str">
        <f aca="false">IF($U766="","",1+COUNTIF($X$15:$X$728,"&lt;"&amp;X766))</f>
        <v/>
      </c>
      <c r="B766" s="16" t="s">
        <v>14</v>
      </c>
      <c r="C766" s="16" t="s">
        <v>2276</v>
      </c>
      <c r="D766" s="16" t="s">
        <v>629</v>
      </c>
      <c r="E766" s="16" t="s">
        <v>59</v>
      </c>
      <c r="F766" s="16" t="s">
        <v>2277</v>
      </c>
      <c r="G766" s="16" t="s">
        <v>2278</v>
      </c>
      <c r="H766" s="17" t="n">
        <v>1939</v>
      </c>
      <c r="I766" s="17"/>
      <c r="J766" s="17"/>
      <c r="K766" s="17" t="n">
        <v>1939</v>
      </c>
      <c r="L766" s="17" t="n">
        <f aca="false">IF(AND(IFERROR(SEARCH("현대오일뱅크",$C766),0)&gt;0,IFERROR(SEARCH("직영",$C766),0)&gt;0),$B$13,0)</f>
        <v>0</v>
      </c>
      <c r="M766" s="17" t="n">
        <f aca="false">IF($H766="","",$H766+$L766)</f>
        <v>1939</v>
      </c>
      <c r="N766" s="17" t="str">
        <f aca="false">IF($I766="","",$I766+$L766)</f>
        <v/>
      </c>
      <c r="O766" s="17" t="n">
        <f aca="false">IF($K766="","",$K766+$L766)</f>
        <v>1939</v>
      </c>
      <c r="P766" s="17" t="str">
        <f aca="false">IF($B$10=0,"",IFERROR(IF($B$4&gt;0,"휘발유 "&amp;TEXT(IF($M766="",1/0,$M766*$B$4),"#,##0")&amp;"원","")&amp;IF($B$5&gt;0,IF($B$4&gt;0," / ","")&amp;"고급유 "&amp;TEXT(IF($N766="",1/0,$N766*$B$5),"#,##0")&amp;"원","")&amp;IF($B$6&gt;0,IF(OR($B$4&gt;0,$B$5&gt;0)," / ","")&amp;"경유 "&amp;TEXT(IF($O766="",1/0,$O766*$B$6),"#,##0")&amp;"원",""),""))</f>
        <v/>
      </c>
      <c r="Q766" s="17" t="str">
        <f aca="false">IF($B$10=0,"",IFERROR(IF($B$4&gt;0,IF($M766="",1/0,$M766*$B$4),0)+IF($B$5&gt;0,IF($N766="",1/0,$N766*$B$5),0)+IF($B$6&gt;0,IF($O766="",1/0,$O766*$B$6),0),""))</f>
        <v/>
      </c>
      <c r="R766" s="17"/>
      <c r="S766" s="18" t="str">
        <f aca="false">IF($Q766="","",IF($R766="Y",IFERROR(VLOOKUP($B766,$C$4:$D$13,2,FALSE()),0),0))</f>
        <v/>
      </c>
      <c r="T766" s="17" t="str">
        <f aca="false">IF($Q766="","",ROUNDDOWN($Q766*$S766,0))</f>
        <v/>
      </c>
      <c r="U766" s="17" t="str">
        <f aca="false">IF($Q766="","",$Q766-$T766)</f>
        <v/>
      </c>
      <c r="V766" s="17" t="str">
        <f aca="false">IF($U766="","",IF($B$10=0,"",$U766/$B$10))</f>
        <v/>
      </c>
      <c r="W766" s="17" t="str">
        <f aca="false">IF($Q766="","",IF($B$10=0,"",$Q766/$B$10))</f>
        <v/>
      </c>
      <c r="X766" s="19" t="n">
        <f aca="false">IF($U766="",1000000000000000,$U766)</f>
        <v>1000000000000000</v>
      </c>
    </row>
    <row r="767" s="6" customFormat="true" ht="28.6" hidden="false" customHeight="true" outlineLevel="0" collapsed="false">
      <c r="A767" s="16" t="str">
        <f aca="false">IF($U767="","",1+COUNTIF($X$15:$X$728,"&lt;"&amp;X767))</f>
        <v/>
      </c>
      <c r="B767" s="16" t="s">
        <v>14</v>
      </c>
      <c r="C767" s="16" t="s">
        <v>2279</v>
      </c>
      <c r="D767" s="16" t="s">
        <v>58</v>
      </c>
      <c r="E767" s="16" t="s">
        <v>47</v>
      </c>
      <c r="F767" s="16" t="s">
        <v>2280</v>
      </c>
      <c r="G767" s="16" t="s">
        <v>2281</v>
      </c>
      <c r="H767" s="17" t="n">
        <v>1939</v>
      </c>
      <c r="I767" s="17"/>
      <c r="J767" s="17"/>
      <c r="K767" s="17" t="n">
        <v>1999</v>
      </c>
      <c r="L767" s="17" t="n">
        <f aca="false">IF(AND(IFERROR(SEARCH("현대오일뱅크",$C767),0)&gt;0,IFERROR(SEARCH("직영",$C767),0)&gt;0),$B$13,0)</f>
        <v>0</v>
      </c>
      <c r="M767" s="17" t="n">
        <f aca="false">IF($H767="","",$H767+$L767)</f>
        <v>1939</v>
      </c>
      <c r="N767" s="17" t="str">
        <f aca="false">IF($I767="","",$I767+$L767)</f>
        <v/>
      </c>
      <c r="O767" s="17" t="n">
        <f aca="false">IF($K767="","",$K767+$L767)</f>
        <v>1999</v>
      </c>
      <c r="P767" s="17" t="str">
        <f aca="false">IF($B$10=0,"",IFERROR(IF($B$4&gt;0,"휘발유 "&amp;TEXT(IF($M767="",1/0,$M767*$B$4),"#,##0")&amp;"원","")&amp;IF($B$5&gt;0,IF($B$4&gt;0," / ","")&amp;"고급유 "&amp;TEXT(IF($N767="",1/0,$N767*$B$5),"#,##0")&amp;"원","")&amp;IF($B$6&gt;0,IF(OR($B$4&gt;0,$B$5&gt;0)," / ","")&amp;"경유 "&amp;TEXT(IF($O767="",1/0,$O767*$B$6),"#,##0")&amp;"원",""),""))</f>
        <v/>
      </c>
      <c r="Q767" s="17" t="str">
        <f aca="false">IF($B$10=0,"",IFERROR(IF($B$4&gt;0,IF($M767="",1/0,$M767*$B$4),0)+IF($B$5&gt;0,IF($N767="",1/0,$N767*$B$5),0)+IF($B$6&gt;0,IF($O767="",1/0,$O767*$B$6),0),""))</f>
        <v/>
      </c>
      <c r="R767" s="17"/>
      <c r="S767" s="18" t="str">
        <f aca="false">IF($Q767="","",IF($R767="Y",IFERROR(VLOOKUP($B767,$C$4:$D$13,2,FALSE()),0),0))</f>
        <v/>
      </c>
      <c r="T767" s="17" t="str">
        <f aca="false">IF($Q767="","",ROUNDDOWN($Q767*$S767,0))</f>
        <v/>
      </c>
      <c r="U767" s="17" t="str">
        <f aca="false">IF($Q767="","",$Q767-$T767)</f>
        <v/>
      </c>
      <c r="V767" s="17" t="str">
        <f aca="false">IF($U767="","",IF($B$10=0,"",$U767/$B$10))</f>
        <v/>
      </c>
      <c r="W767" s="17" t="str">
        <f aca="false">IF($Q767="","",IF($B$10=0,"",$Q767/$B$10))</f>
        <v/>
      </c>
      <c r="X767" s="19" t="n">
        <f aca="false">IF($U767="",1000000000000000,$U767)</f>
        <v>1000000000000000</v>
      </c>
    </row>
    <row r="768" s="6" customFormat="true" ht="28.6" hidden="false" customHeight="true" outlineLevel="0" collapsed="false">
      <c r="A768" s="16" t="str">
        <f aca="false">IF($U768="","",1+COUNTIF($X$15:$X$728,"&lt;"&amp;X768))</f>
        <v/>
      </c>
      <c r="B768" s="16" t="s">
        <v>14</v>
      </c>
      <c r="C768" s="16" t="s">
        <v>2282</v>
      </c>
      <c r="D768" s="16" t="s">
        <v>58</v>
      </c>
      <c r="E768" s="16" t="s">
        <v>47</v>
      </c>
      <c r="F768" s="16" t="s">
        <v>2283</v>
      </c>
      <c r="G768" s="16" t="s">
        <v>2284</v>
      </c>
      <c r="H768" s="17" t="n">
        <v>1939</v>
      </c>
      <c r="I768" s="17"/>
      <c r="J768" s="17"/>
      <c r="K768" s="17" t="n">
        <v>1999</v>
      </c>
      <c r="L768" s="17" t="n">
        <f aca="false">IF(AND(IFERROR(SEARCH("현대오일뱅크",$C768),0)&gt;0,IFERROR(SEARCH("직영",$C768),0)&gt;0),$B$13,0)</f>
        <v>0</v>
      </c>
      <c r="M768" s="17" t="n">
        <f aca="false">IF($H768="","",$H768+$L768)</f>
        <v>1939</v>
      </c>
      <c r="N768" s="17" t="str">
        <f aca="false">IF($I768="","",$I768+$L768)</f>
        <v/>
      </c>
      <c r="O768" s="17" t="n">
        <f aca="false">IF($K768="","",$K768+$L768)</f>
        <v>1999</v>
      </c>
      <c r="P768" s="17" t="str">
        <f aca="false">IF($B$10=0,"",IFERROR(IF($B$4&gt;0,"휘발유 "&amp;TEXT(IF($M768="",1/0,$M768*$B$4),"#,##0")&amp;"원","")&amp;IF($B$5&gt;0,IF($B$4&gt;0," / ","")&amp;"고급유 "&amp;TEXT(IF($N768="",1/0,$N768*$B$5),"#,##0")&amp;"원","")&amp;IF($B$6&gt;0,IF(OR($B$4&gt;0,$B$5&gt;0)," / ","")&amp;"경유 "&amp;TEXT(IF($O768="",1/0,$O768*$B$6),"#,##0")&amp;"원",""),""))</f>
        <v/>
      </c>
      <c r="Q768" s="17" t="str">
        <f aca="false">IF($B$10=0,"",IFERROR(IF($B$4&gt;0,IF($M768="",1/0,$M768*$B$4),0)+IF($B$5&gt;0,IF($N768="",1/0,$N768*$B$5),0)+IF($B$6&gt;0,IF($O768="",1/0,$O768*$B$6),0),""))</f>
        <v/>
      </c>
      <c r="R768" s="17"/>
      <c r="S768" s="18" t="str">
        <f aca="false">IF($Q768="","",IF($R768="Y",IFERROR(VLOOKUP($B768,$C$4:$D$13,2,FALSE()),0),0))</f>
        <v/>
      </c>
      <c r="T768" s="17" t="str">
        <f aca="false">IF($Q768="","",ROUNDDOWN($Q768*$S768,0))</f>
        <v/>
      </c>
      <c r="U768" s="17" t="str">
        <f aca="false">IF($Q768="","",$Q768-$T768)</f>
        <v/>
      </c>
      <c r="V768" s="17" t="str">
        <f aca="false">IF($U768="","",IF($B$10=0,"",$U768/$B$10))</f>
        <v/>
      </c>
      <c r="W768" s="17" t="str">
        <f aca="false">IF($Q768="","",IF($B$10=0,"",$Q768/$B$10))</f>
        <v/>
      </c>
      <c r="X768" s="19" t="n">
        <f aca="false">IF($U768="",1000000000000000,$U768)</f>
        <v>1000000000000000</v>
      </c>
    </row>
    <row r="769" s="6" customFormat="true" ht="28.6" hidden="false" customHeight="true" outlineLevel="0" collapsed="false">
      <c r="A769" s="16" t="str">
        <f aca="false">IF($U769="","",1+COUNTIF($X$15:$X$728,"&lt;"&amp;X769))</f>
        <v/>
      </c>
      <c r="B769" s="16" t="s">
        <v>14</v>
      </c>
      <c r="C769" s="16" t="s">
        <v>2285</v>
      </c>
      <c r="D769" s="16" t="s">
        <v>112</v>
      </c>
      <c r="E769" s="16" t="s">
        <v>47</v>
      </c>
      <c r="F769" s="16" t="s">
        <v>2286</v>
      </c>
      <c r="G769" s="16" t="s">
        <v>2287</v>
      </c>
      <c r="H769" s="17" t="n">
        <v>1939</v>
      </c>
      <c r="I769" s="17"/>
      <c r="J769" s="17"/>
      <c r="K769" s="17" t="n">
        <v>1989</v>
      </c>
      <c r="L769" s="17" t="n">
        <f aca="false">IF(AND(IFERROR(SEARCH("현대오일뱅크",$C769),0)&gt;0,IFERROR(SEARCH("직영",$C769),0)&gt;0),$B$13,0)</f>
        <v>0</v>
      </c>
      <c r="M769" s="17" t="n">
        <f aca="false">IF($H769="","",$H769+$L769)</f>
        <v>1939</v>
      </c>
      <c r="N769" s="17" t="str">
        <f aca="false">IF($I769="","",$I769+$L769)</f>
        <v/>
      </c>
      <c r="O769" s="17" t="n">
        <f aca="false">IF($K769="","",$K769+$L769)</f>
        <v>1989</v>
      </c>
      <c r="P769" s="17" t="str">
        <f aca="false">IF($B$10=0,"",IFERROR(IF($B$4&gt;0,"휘발유 "&amp;TEXT(IF($M769="",1/0,$M769*$B$4),"#,##0")&amp;"원","")&amp;IF($B$5&gt;0,IF($B$4&gt;0," / ","")&amp;"고급유 "&amp;TEXT(IF($N769="",1/0,$N769*$B$5),"#,##0")&amp;"원","")&amp;IF($B$6&gt;0,IF(OR($B$4&gt;0,$B$5&gt;0)," / ","")&amp;"경유 "&amp;TEXT(IF($O769="",1/0,$O769*$B$6),"#,##0")&amp;"원",""),""))</f>
        <v/>
      </c>
      <c r="Q769" s="17" t="str">
        <f aca="false">IF($B$10=0,"",IFERROR(IF($B$4&gt;0,IF($M769="",1/0,$M769*$B$4),0)+IF($B$5&gt;0,IF($N769="",1/0,$N769*$B$5),0)+IF($B$6&gt;0,IF($O769="",1/0,$O769*$B$6),0),""))</f>
        <v/>
      </c>
      <c r="R769" s="17"/>
      <c r="S769" s="18" t="str">
        <f aca="false">IF($Q769="","",IF($R769="Y",IFERROR(VLOOKUP($B769,$C$4:$D$13,2,FALSE()),0),0))</f>
        <v/>
      </c>
      <c r="T769" s="17" t="str">
        <f aca="false">IF($Q769="","",ROUNDDOWN($Q769*$S769,0))</f>
        <v/>
      </c>
      <c r="U769" s="17" t="str">
        <f aca="false">IF($Q769="","",$Q769-$T769)</f>
        <v/>
      </c>
      <c r="V769" s="17" t="str">
        <f aca="false">IF($U769="","",IF($B$10=0,"",$U769/$B$10))</f>
        <v/>
      </c>
      <c r="W769" s="17" t="str">
        <f aca="false">IF($Q769="","",IF($B$10=0,"",$Q769/$B$10))</f>
        <v/>
      </c>
      <c r="X769" s="19" t="n">
        <f aca="false">IF($U769="",1000000000000000,$U769)</f>
        <v>1000000000000000</v>
      </c>
    </row>
    <row r="770" s="6" customFormat="true" ht="28.6" hidden="false" customHeight="true" outlineLevel="0" collapsed="false">
      <c r="A770" s="16" t="str">
        <f aca="false">IF($U770="","",1+COUNTIF($X$15:$X$728,"&lt;"&amp;X770))</f>
        <v/>
      </c>
      <c r="B770" s="16" t="s">
        <v>14</v>
      </c>
      <c r="C770" s="16" t="s">
        <v>2288</v>
      </c>
      <c r="D770" s="16" t="s">
        <v>629</v>
      </c>
      <c r="E770" s="16" t="s">
        <v>59</v>
      </c>
      <c r="F770" s="16" t="s">
        <v>2289</v>
      </c>
      <c r="G770" s="16" t="s">
        <v>2290</v>
      </c>
      <c r="H770" s="17" t="n">
        <v>1939</v>
      </c>
      <c r="I770" s="17"/>
      <c r="J770" s="17"/>
      <c r="K770" s="17" t="n">
        <v>1939</v>
      </c>
      <c r="L770" s="17" t="n">
        <f aca="false">IF(AND(IFERROR(SEARCH("현대오일뱅크",$C770),0)&gt;0,IFERROR(SEARCH("직영",$C770),0)&gt;0),$B$13,0)</f>
        <v>0</v>
      </c>
      <c r="M770" s="17" t="n">
        <f aca="false">IF($H770="","",$H770+$L770)</f>
        <v>1939</v>
      </c>
      <c r="N770" s="17" t="str">
        <f aca="false">IF($I770="","",$I770+$L770)</f>
        <v/>
      </c>
      <c r="O770" s="17" t="n">
        <f aca="false">IF($K770="","",$K770+$L770)</f>
        <v>1939</v>
      </c>
      <c r="P770" s="17" t="str">
        <f aca="false">IF($B$10=0,"",IFERROR(IF($B$4&gt;0,"휘발유 "&amp;TEXT(IF($M770="",1/0,$M770*$B$4),"#,##0")&amp;"원","")&amp;IF($B$5&gt;0,IF($B$4&gt;0," / ","")&amp;"고급유 "&amp;TEXT(IF($N770="",1/0,$N770*$B$5),"#,##0")&amp;"원","")&amp;IF($B$6&gt;0,IF(OR($B$4&gt;0,$B$5&gt;0)," / ","")&amp;"경유 "&amp;TEXT(IF($O770="",1/0,$O770*$B$6),"#,##0")&amp;"원",""),""))</f>
        <v/>
      </c>
      <c r="Q770" s="17" t="str">
        <f aca="false">IF($B$10=0,"",IFERROR(IF($B$4&gt;0,IF($M770="",1/0,$M770*$B$4),0)+IF($B$5&gt;0,IF($N770="",1/0,$N770*$B$5),0)+IF($B$6&gt;0,IF($O770="",1/0,$O770*$B$6),0),""))</f>
        <v/>
      </c>
      <c r="R770" s="17"/>
      <c r="S770" s="18" t="str">
        <f aca="false">IF($Q770="","",IF($R770="Y",IFERROR(VLOOKUP($B770,$C$4:$D$13,2,FALSE()),0),0))</f>
        <v/>
      </c>
      <c r="T770" s="17" t="str">
        <f aca="false">IF($Q770="","",ROUNDDOWN($Q770*$S770,0))</f>
        <v/>
      </c>
      <c r="U770" s="17" t="str">
        <f aca="false">IF($Q770="","",$Q770-$T770)</f>
        <v/>
      </c>
      <c r="V770" s="17" t="str">
        <f aca="false">IF($U770="","",IF($B$10=0,"",$U770/$B$10))</f>
        <v/>
      </c>
      <c r="W770" s="17" t="str">
        <f aca="false">IF($Q770="","",IF($B$10=0,"",$Q770/$B$10))</f>
        <v/>
      </c>
      <c r="X770" s="19" t="n">
        <f aca="false">IF($U770="",1000000000000000,$U770)</f>
        <v>1000000000000000</v>
      </c>
    </row>
    <row r="771" s="6" customFormat="true" ht="28.6" hidden="false" customHeight="true" outlineLevel="0" collapsed="false">
      <c r="A771" s="16" t="str">
        <f aca="false">IF($U771="","",1+COUNTIF($X$15:$X$728,"&lt;"&amp;X771))</f>
        <v/>
      </c>
      <c r="B771" s="16" t="s">
        <v>12</v>
      </c>
      <c r="C771" s="16" t="s">
        <v>2291</v>
      </c>
      <c r="D771" s="20" t="s">
        <v>294</v>
      </c>
      <c r="E771" s="16" t="s">
        <v>59</v>
      </c>
      <c r="F771" s="16" t="s">
        <v>2292</v>
      </c>
      <c r="G771" s="16" t="s">
        <v>2293</v>
      </c>
      <c r="H771" s="17" t="n">
        <v>1939</v>
      </c>
      <c r="I771" s="17"/>
      <c r="J771" s="17"/>
      <c r="K771" s="17" t="n">
        <v>1997</v>
      </c>
      <c r="L771" s="17" t="n">
        <f aca="false">IF(AND(IFERROR(SEARCH("현대오일뱅크",$C771),0)&gt;0,IFERROR(SEARCH("직영",$C771),0)&gt;0),$B$13,0)</f>
        <v>0</v>
      </c>
      <c r="M771" s="17" t="n">
        <f aca="false">IF($H771="","",$H771+$L771)</f>
        <v>1939</v>
      </c>
      <c r="N771" s="17" t="str">
        <f aca="false">IF($I771="","",$I771+$L771)</f>
        <v/>
      </c>
      <c r="O771" s="17" t="n">
        <f aca="false">IF($K771="","",$K771+$L771)</f>
        <v>1997</v>
      </c>
      <c r="P771" s="17" t="str">
        <f aca="false">IF($B$10=0,"",IFERROR(IF($B$4&gt;0,"휘발유 "&amp;TEXT(IF($M771="",1/0,$M771*$B$4),"#,##0")&amp;"원","")&amp;IF($B$5&gt;0,IF($B$4&gt;0," / ","")&amp;"고급유 "&amp;TEXT(IF($N771="",1/0,$N771*$B$5),"#,##0")&amp;"원","")&amp;IF($B$6&gt;0,IF(OR($B$4&gt;0,$B$5&gt;0)," / ","")&amp;"경유 "&amp;TEXT(IF($O771="",1/0,$O771*$B$6),"#,##0")&amp;"원",""),""))</f>
        <v/>
      </c>
      <c r="Q771" s="17" t="str">
        <f aca="false">IF($B$10=0,"",IFERROR(IF($B$4&gt;0,IF($M771="",1/0,$M771*$B$4),0)+IF($B$5&gt;0,IF($N771="",1/0,$N771*$B$5),0)+IF($B$6&gt;0,IF($O771="",1/0,$O771*$B$6),0),""))</f>
        <v/>
      </c>
      <c r="R771" s="17"/>
      <c r="S771" s="18" t="str">
        <f aca="false">IF($Q771="","",IF($R771="Y",IFERROR(VLOOKUP($B771,$C$4:$D$13,2,FALSE()),0),0))</f>
        <v/>
      </c>
      <c r="T771" s="17" t="str">
        <f aca="false">IF($Q771="","",ROUNDDOWN($Q771*$S771,0))</f>
        <v/>
      </c>
      <c r="U771" s="17" t="str">
        <f aca="false">IF($Q771="","",$Q771-$T771)</f>
        <v/>
      </c>
      <c r="V771" s="17" t="str">
        <f aca="false">IF($U771="","",IF($B$10=0,"",$U771/$B$10))</f>
        <v/>
      </c>
      <c r="W771" s="17" t="str">
        <f aca="false">IF($Q771="","",IF($B$10=0,"",$Q771/$B$10))</f>
        <v/>
      </c>
      <c r="X771" s="19" t="n">
        <f aca="false">IF($U771="",1000000000000000,$U771)</f>
        <v>1000000000000000</v>
      </c>
    </row>
    <row r="772" s="6" customFormat="true" ht="28.6" hidden="false" customHeight="true" outlineLevel="0" collapsed="false">
      <c r="A772" s="16" t="str">
        <f aca="false">IF($U772="","",1+COUNTIF($X$15:$X$728,"&lt;"&amp;X772))</f>
        <v/>
      </c>
      <c r="B772" s="16" t="s">
        <v>14</v>
      </c>
      <c r="C772" s="16" t="s">
        <v>2294</v>
      </c>
      <c r="D772" s="16" t="s">
        <v>629</v>
      </c>
      <c r="E772" s="16" t="s">
        <v>59</v>
      </c>
      <c r="F772" s="16" t="s">
        <v>2295</v>
      </c>
      <c r="G772" s="16" t="s">
        <v>2296</v>
      </c>
      <c r="H772" s="17" t="n">
        <v>1939</v>
      </c>
      <c r="I772" s="17"/>
      <c r="J772" s="17"/>
      <c r="K772" s="17" t="n">
        <v>1939</v>
      </c>
      <c r="L772" s="17" t="n">
        <f aca="false">IF(AND(IFERROR(SEARCH("현대오일뱅크",$C772),0)&gt;0,IFERROR(SEARCH("직영",$C772),0)&gt;0),$B$13,0)</f>
        <v>0</v>
      </c>
      <c r="M772" s="17" t="n">
        <f aca="false">IF($H772="","",$H772+$L772)</f>
        <v>1939</v>
      </c>
      <c r="N772" s="17" t="str">
        <f aca="false">IF($I772="","",$I772+$L772)</f>
        <v/>
      </c>
      <c r="O772" s="17" t="n">
        <f aca="false">IF($K772="","",$K772+$L772)</f>
        <v>1939</v>
      </c>
      <c r="P772" s="17" t="str">
        <f aca="false">IF($B$10=0,"",IFERROR(IF($B$4&gt;0,"휘발유 "&amp;TEXT(IF($M772="",1/0,$M772*$B$4),"#,##0")&amp;"원","")&amp;IF($B$5&gt;0,IF($B$4&gt;0," / ","")&amp;"고급유 "&amp;TEXT(IF($N772="",1/0,$N772*$B$5),"#,##0")&amp;"원","")&amp;IF($B$6&gt;0,IF(OR($B$4&gt;0,$B$5&gt;0)," / ","")&amp;"경유 "&amp;TEXT(IF($O772="",1/0,$O772*$B$6),"#,##0")&amp;"원",""),""))</f>
        <v/>
      </c>
      <c r="Q772" s="17" t="str">
        <f aca="false">IF($B$10=0,"",IFERROR(IF($B$4&gt;0,IF($M772="",1/0,$M772*$B$4),0)+IF($B$5&gt;0,IF($N772="",1/0,$N772*$B$5),0)+IF($B$6&gt;0,IF($O772="",1/0,$O772*$B$6),0),""))</f>
        <v/>
      </c>
      <c r="R772" s="17"/>
      <c r="S772" s="18" t="str">
        <f aca="false">IF($Q772="","",IF($R772="Y",IFERROR(VLOOKUP($B772,$C$4:$D$13,2,FALSE()),0),0))</f>
        <v/>
      </c>
      <c r="T772" s="17" t="str">
        <f aca="false">IF($Q772="","",ROUNDDOWN($Q772*$S772,0))</f>
        <v/>
      </c>
      <c r="U772" s="17" t="str">
        <f aca="false">IF($Q772="","",$Q772-$T772)</f>
        <v/>
      </c>
      <c r="V772" s="17" t="str">
        <f aca="false">IF($U772="","",IF($B$10=0,"",$U772/$B$10))</f>
        <v/>
      </c>
      <c r="W772" s="17" t="str">
        <f aca="false">IF($Q772="","",IF($B$10=0,"",$Q772/$B$10))</f>
        <v/>
      </c>
      <c r="X772" s="19" t="n">
        <f aca="false">IF($U772="",1000000000000000,$U772)</f>
        <v>1000000000000000</v>
      </c>
    </row>
    <row r="773" s="6" customFormat="true" ht="28.6" hidden="false" customHeight="true" outlineLevel="0" collapsed="false">
      <c r="A773" s="16" t="str">
        <f aca="false">IF($U773="","",1+COUNTIF($X$15:$X$728,"&lt;"&amp;X773))</f>
        <v/>
      </c>
      <c r="B773" s="16" t="s">
        <v>14</v>
      </c>
      <c r="C773" s="16" t="s">
        <v>2297</v>
      </c>
      <c r="D773" s="16" t="s">
        <v>58</v>
      </c>
      <c r="E773" s="16" t="s">
        <v>47</v>
      </c>
      <c r="F773" s="16" t="s">
        <v>2298</v>
      </c>
      <c r="G773" s="16" t="s">
        <v>2299</v>
      </c>
      <c r="H773" s="17" t="n">
        <v>1939</v>
      </c>
      <c r="I773" s="17"/>
      <c r="J773" s="17"/>
      <c r="K773" s="17" t="n">
        <v>1959</v>
      </c>
      <c r="L773" s="17" t="n">
        <f aca="false">IF(AND(IFERROR(SEARCH("현대오일뱅크",$C773),0)&gt;0,IFERROR(SEARCH("직영",$C773),0)&gt;0),$B$13,0)</f>
        <v>0</v>
      </c>
      <c r="M773" s="17" t="n">
        <f aca="false">IF($H773="","",$H773+$L773)</f>
        <v>1939</v>
      </c>
      <c r="N773" s="17" t="str">
        <f aca="false">IF($I773="","",$I773+$L773)</f>
        <v/>
      </c>
      <c r="O773" s="17" t="n">
        <f aca="false">IF($K773="","",$K773+$L773)</f>
        <v>1959</v>
      </c>
      <c r="P773" s="17" t="str">
        <f aca="false">IF($B$10=0,"",IFERROR(IF($B$4&gt;0,"휘발유 "&amp;TEXT(IF($M773="",1/0,$M773*$B$4),"#,##0")&amp;"원","")&amp;IF($B$5&gt;0,IF($B$4&gt;0," / ","")&amp;"고급유 "&amp;TEXT(IF($N773="",1/0,$N773*$B$5),"#,##0")&amp;"원","")&amp;IF($B$6&gt;0,IF(OR($B$4&gt;0,$B$5&gt;0)," / ","")&amp;"경유 "&amp;TEXT(IF($O773="",1/0,$O773*$B$6),"#,##0")&amp;"원",""),""))</f>
        <v/>
      </c>
      <c r="Q773" s="17" t="str">
        <f aca="false">IF($B$10=0,"",IFERROR(IF($B$4&gt;0,IF($M773="",1/0,$M773*$B$4),0)+IF($B$5&gt;0,IF($N773="",1/0,$N773*$B$5),0)+IF($B$6&gt;0,IF($O773="",1/0,$O773*$B$6),0),""))</f>
        <v/>
      </c>
      <c r="R773" s="17"/>
      <c r="S773" s="18" t="str">
        <f aca="false">IF($Q773="","",IF($R773="Y",IFERROR(VLOOKUP($B773,$C$4:$D$13,2,FALSE()),0),0))</f>
        <v/>
      </c>
      <c r="T773" s="17" t="str">
        <f aca="false">IF($Q773="","",ROUNDDOWN($Q773*$S773,0))</f>
        <v/>
      </c>
      <c r="U773" s="17" t="str">
        <f aca="false">IF($Q773="","",$Q773-$T773)</f>
        <v/>
      </c>
      <c r="V773" s="17" t="str">
        <f aca="false">IF($U773="","",IF($B$10=0,"",$U773/$B$10))</f>
        <v/>
      </c>
      <c r="W773" s="17" t="str">
        <f aca="false">IF($Q773="","",IF($B$10=0,"",$Q773/$B$10))</f>
        <v/>
      </c>
      <c r="X773" s="19" t="n">
        <f aca="false">IF($U773="",1000000000000000,$U773)</f>
        <v>1000000000000000</v>
      </c>
    </row>
    <row r="774" s="6" customFormat="true" ht="28.6" hidden="false" customHeight="true" outlineLevel="0" collapsed="false">
      <c r="A774" s="16" t="str">
        <f aca="false">IF($U774="","",1+COUNTIF($X$15:$X$728,"&lt;"&amp;X774))</f>
        <v/>
      </c>
      <c r="B774" s="16" t="s">
        <v>10</v>
      </c>
      <c r="C774" s="16" t="s">
        <v>2300</v>
      </c>
      <c r="D774" s="20" t="s">
        <v>108</v>
      </c>
      <c r="E774" s="16" t="s">
        <v>47</v>
      </c>
      <c r="F774" s="16" t="s">
        <v>2301</v>
      </c>
      <c r="G774" s="16" t="s">
        <v>2302</v>
      </c>
      <c r="H774" s="17" t="n">
        <v>1939</v>
      </c>
      <c r="I774" s="17"/>
      <c r="J774" s="17"/>
      <c r="K774" s="17" t="n">
        <v>1997</v>
      </c>
      <c r="L774" s="17" t="n">
        <f aca="false">IF(AND(IFERROR(SEARCH("현대오일뱅크",$C774),0)&gt;0,IFERROR(SEARCH("직영",$C774),0)&gt;0),$B$13,0)</f>
        <v>0</v>
      </c>
      <c r="M774" s="17" t="n">
        <f aca="false">IF($H774="","",$H774+$L774)</f>
        <v>1939</v>
      </c>
      <c r="N774" s="17" t="str">
        <f aca="false">IF($I774="","",$I774+$L774)</f>
        <v/>
      </c>
      <c r="O774" s="17" t="n">
        <f aca="false">IF($K774="","",$K774+$L774)</f>
        <v>1997</v>
      </c>
      <c r="P774" s="17" t="str">
        <f aca="false">IF($B$10=0,"",IFERROR(IF($B$4&gt;0,"휘발유 "&amp;TEXT(IF($M774="",1/0,$M774*$B$4),"#,##0")&amp;"원","")&amp;IF($B$5&gt;0,IF($B$4&gt;0," / ","")&amp;"고급유 "&amp;TEXT(IF($N774="",1/0,$N774*$B$5),"#,##0")&amp;"원","")&amp;IF($B$6&gt;0,IF(OR($B$4&gt;0,$B$5&gt;0)," / ","")&amp;"경유 "&amp;TEXT(IF($O774="",1/0,$O774*$B$6),"#,##0")&amp;"원",""),""))</f>
        <v/>
      </c>
      <c r="Q774" s="17" t="str">
        <f aca="false">IF($B$10=0,"",IFERROR(IF($B$4&gt;0,IF($M774="",1/0,$M774*$B$4),0)+IF($B$5&gt;0,IF($N774="",1/0,$N774*$B$5),0)+IF($B$6&gt;0,IF($O774="",1/0,$O774*$B$6),0),""))</f>
        <v/>
      </c>
      <c r="R774" s="17"/>
      <c r="S774" s="18" t="str">
        <f aca="false">IF($Q774="","",IF($R774="Y",IFERROR(VLOOKUP($B774,$C$4:$D$13,2,FALSE()),0),0))</f>
        <v/>
      </c>
      <c r="T774" s="17" t="str">
        <f aca="false">IF($Q774="","",ROUNDDOWN($Q774*$S774,0))</f>
        <v/>
      </c>
      <c r="U774" s="17" t="str">
        <f aca="false">IF($Q774="","",$Q774-$T774)</f>
        <v/>
      </c>
      <c r="V774" s="17" t="str">
        <f aca="false">IF($U774="","",IF($B$10=0,"",$U774/$B$10))</f>
        <v/>
      </c>
      <c r="W774" s="17" t="str">
        <f aca="false">IF($Q774="","",IF($B$10=0,"",$Q774/$B$10))</f>
        <v/>
      </c>
      <c r="X774" s="19" t="n">
        <f aca="false">IF($U774="",1000000000000000,$U774)</f>
        <v>1000000000000000</v>
      </c>
    </row>
    <row r="775" s="6" customFormat="true" ht="28.6" hidden="false" customHeight="true" outlineLevel="0" collapsed="false">
      <c r="A775" s="16" t="str">
        <f aca="false">IF($U775="","",1+COUNTIF($X$15:$X$728,"&lt;"&amp;X775))</f>
        <v/>
      </c>
      <c r="B775" s="16" t="s">
        <v>10</v>
      </c>
      <c r="C775" s="16" t="s">
        <v>2303</v>
      </c>
      <c r="D775" s="20" t="s">
        <v>108</v>
      </c>
      <c r="E775" s="16" t="s">
        <v>47</v>
      </c>
      <c r="F775" s="16" t="s">
        <v>2304</v>
      </c>
      <c r="G775" s="16" t="s">
        <v>2305</v>
      </c>
      <c r="H775" s="17" t="n">
        <v>1940</v>
      </c>
      <c r="I775" s="17"/>
      <c r="J775" s="17"/>
      <c r="K775" s="17" t="n">
        <v>1895</v>
      </c>
      <c r="L775" s="17" t="n">
        <f aca="false">IF(AND(IFERROR(SEARCH("현대오일뱅크",$C775),0)&gt;0,IFERROR(SEARCH("직영",$C775),0)&gt;0),$B$13,0)</f>
        <v>0</v>
      </c>
      <c r="M775" s="17" t="n">
        <f aca="false">IF($H775="","",$H775+$L775)</f>
        <v>1940</v>
      </c>
      <c r="N775" s="17" t="str">
        <f aca="false">IF($I775="","",$I775+$L775)</f>
        <v/>
      </c>
      <c r="O775" s="17" t="n">
        <f aca="false">IF($K775="","",$K775+$L775)</f>
        <v>1895</v>
      </c>
      <c r="P775" s="17" t="str">
        <f aca="false">IF($B$10=0,"",IFERROR(IF($B$4&gt;0,"휘발유 "&amp;TEXT(IF($M775="",1/0,$M775*$B$4),"#,##0")&amp;"원","")&amp;IF($B$5&gt;0,IF($B$4&gt;0," / ","")&amp;"고급유 "&amp;TEXT(IF($N775="",1/0,$N775*$B$5),"#,##0")&amp;"원","")&amp;IF($B$6&gt;0,IF(OR($B$4&gt;0,$B$5&gt;0)," / ","")&amp;"경유 "&amp;TEXT(IF($O775="",1/0,$O775*$B$6),"#,##0")&amp;"원",""),""))</f>
        <v/>
      </c>
      <c r="Q775" s="17" t="str">
        <f aca="false">IF($B$10=0,"",IFERROR(IF($B$4&gt;0,IF($M775="",1/0,$M775*$B$4),0)+IF($B$5&gt;0,IF($N775="",1/0,$N775*$B$5),0)+IF($B$6&gt;0,IF($O775="",1/0,$O775*$B$6),0),""))</f>
        <v/>
      </c>
      <c r="R775" s="17"/>
      <c r="S775" s="18" t="str">
        <f aca="false">IF($Q775="","",IF($R775="Y",IFERROR(VLOOKUP($B775,$C$4:$D$13,2,FALSE()),0),0))</f>
        <v/>
      </c>
      <c r="T775" s="17" t="str">
        <f aca="false">IF($Q775="","",ROUNDDOWN($Q775*$S775,0))</f>
        <v/>
      </c>
      <c r="U775" s="17" t="str">
        <f aca="false">IF($Q775="","",$Q775-$T775)</f>
        <v/>
      </c>
      <c r="V775" s="17" t="str">
        <f aca="false">IF($U775="","",IF($B$10=0,"",$U775/$B$10))</f>
        <v/>
      </c>
      <c r="W775" s="17" t="str">
        <f aca="false">IF($Q775="","",IF($B$10=0,"",$Q775/$B$10))</f>
        <v/>
      </c>
      <c r="X775" s="19" t="n">
        <f aca="false">IF($U775="",1000000000000000,$U775)</f>
        <v>1000000000000000</v>
      </c>
    </row>
    <row r="776" s="6" customFormat="true" ht="28.6" hidden="false" customHeight="true" outlineLevel="0" collapsed="false">
      <c r="A776" s="16" t="str">
        <f aca="false">IF($U776="","",1+COUNTIF($X$15:$X$728,"&lt;"&amp;X776))</f>
        <v/>
      </c>
      <c r="B776" s="16" t="s">
        <v>18</v>
      </c>
      <c r="C776" s="16" t="s">
        <v>2306</v>
      </c>
      <c r="D776" s="16" t="s">
        <v>112</v>
      </c>
      <c r="E776" s="16" t="s">
        <v>47</v>
      </c>
      <c r="F776" s="16" t="s">
        <v>2307</v>
      </c>
      <c r="G776" s="16" t="s">
        <v>2308</v>
      </c>
      <c r="H776" s="17" t="n">
        <v>1942</v>
      </c>
      <c r="I776" s="17"/>
      <c r="J776" s="17"/>
      <c r="K776" s="17" t="n">
        <v>1982</v>
      </c>
      <c r="L776" s="17" t="n">
        <f aca="false">IF(AND(IFERROR(SEARCH("현대오일뱅크",$C776),0)&gt;0,IFERROR(SEARCH("직영",$C776),0)&gt;0),$B$13,0)</f>
        <v>0</v>
      </c>
      <c r="M776" s="17" t="n">
        <f aca="false">IF($H776="","",$H776+$L776)</f>
        <v>1942</v>
      </c>
      <c r="N776" s="17" t="str">
        <f aca="false">IF($I776="","",$I776+$L776)</f>
        <v/>
      </c>
      <c r="O776" s="17" t="n">
        <f aca="false">IF($K776="","",$K776+$L776)</f>
        <v>1982</v>
      </c>
      <c r="P776" s="17" t="str">
        <f aca="false">IF($B$10=0,"",IFERROR(IF($B$4&gt;0,"휘발유 "&amp;TEXT(IF($M776="",1/0,$M776*$B$4),"#,##0")&amp;"원","")&amp;IF($B$5&gt;0,IF($B$4&gt;0," / ","")&amp;"고급유 "&amp;TEXT(IF($N776="",1/0,$N776*$B$5),"#,##0")&amp;"원","")&amp;IF($B$6&gt;0,IF(OR($B$4&gt;0,$B$5&gt;0)," / ","")&amp;"경유 "&amp;TEXT(IF($O776="",1/0,$O776*$B$6),"#,##0")&amp;"원",""),""))</f>
        <v/>
      </c>
      <c r="Q776" s="17" t="str">
        <f aca="false">IF($B$10=0,"",IFERROR(IF($B$4&gt;0,IF($M776="",1/0,$M776*$B$4),0)+IF($B$5&gt;0,IF($N776="",1/0,$N776*$B$5),0)+IF($B$6&gt;0,IF($O776="",1/0,$O776*$B$6),0),""))</f>
        <v/>
      </c>
      <c r="R776" s="17"/>
      <c r="S776" s="18" t="str">
        <f aca="false">IF($Q776="","",IF($R776="Y",IFERROR(VLOOKUP($B776,$C$4:$D$13,2,FALSE()),0),0))</f>
        <v/>
      </c>
      <c r="T776" s="17" t="str">
        <f aca="false">IF($Q776="","",ROUNDDOWN($Q776*$S776,0))</f>
        <v/>
      </c>
      <c r="U776" s="17" t="str">
        <f aca="false">IF($Q776="","",$Q776-$T776)</f>
        <v/>
      </c>
      <c r="V776" s="17" t="str">
        <f aca="false">IF($U776="","",IF($B$10=0,"",$U776/$B$10))</f>
        <v/>
      </c>
      <c r="W776" s="17" t="str">
        <f aca="false">IF($Q776="","",IF($B$10=0,"",$Q776/$B$10))</f>
        <v/>
      </c>
      <c r="X776" s="19" t="n">
        <f aca="false">IF($U776="",1000000000000000,$U776)</f>
        <v>1000000000000000</v>
      </c>
    </row>
    <row r="777" s="6" customFormat="true" ht="28.6" hidden="false" customHeight="true" outlineLevel="0" collapsed="false">
      <c r="A777" s="16" t="str">
        <f aca="false">IF($U777="","",1+COUNTIF($X$15:$X$728,"&lt;"&amp;X777))</f>
        <v/>
      </c>
      <c r="B777" s="16" t="s">
        <v>18</v>
      </c>
      <c r="C777" s="16" t="s">
        <v>217</v>
      </c>
      <c r="D777" s="16" t="s">
        <v>112</v>
      </c>
      <c r="E777" s="16" t="s">
        <v>47</v>
      </c>
      <c r="F777" s="16" t="s">
        <v>2309</v>
      </c>
      <c r="G777" s="16" t="s">
        <v>2310</v>
      </c>
      <c r="H777" s="17" t="n">
        <v>1942</v>
      </c>
      <c r="I777" s="17"/>
      <c r="J777" s="17"/>
      <c r="K777" s="17" t="n">
        <v>1982</v>
      </c>
      <c r="L777" s="17" t="n">
        <f aca="false">IF(AND(IFERROR(SEARCH("현대오일뱅크",$C777),0)&gt;0,IFERROR(SEARCH("직영",$C777),0)&gt;0),$B$13,0)</f>
        <v>0</v>
      </c>
      <c r="M777" s="17" t="n">
        <f aca="false">IF($H777="","",$H777+$L777)</f>
        <v>1942</v>
      </c>
      <c r="N777" s="17" t="str">
        <f aca="false">IF($I777="","",$I777+$L777)</f>
        <v/>
      </c>
      <c r="O777" s="17" t="n">
        <f aca="false">IF($K777="","",$K777+$L777)</f>
        <v>1982</v>
      </c>
      <c r="P777" s="17" t="str">
        <f aca="false">IF($B$10=0,"",IFERROR(IF($B$4&gt;0,"휘발유 "&amp;TEXT(IF($M777="",1/0,$M777*$B$4),"#,##0")&amp;"원","")&amp;IF($B$5&gt;0,IF($B$4&gt;0," / ","")&amp;"고급유 "&amp;TEXT(IF($N777="",1/0,$N777*$B$5),"#,##0")&amp;"원","")&amp;IF($B$6&gt;0,IF(OR($B$4&gt;0,$B$5&gt;0)," / ","")&amp;"경유 "&amp;TEXT(IF($O777="",1/0,$O777*$B$6),"#,##0")&amp;"원",""),""))</f>
        <v/>
      </c>
      <c r="Q777" s="17" t="str">
        <f aca="false">IF($B$10=0,"",IFERROR(IF($B$4&gt;0,IF($M777="",1/0,$M777*$B$4),0)+IF($B$5&gt;0,IF($N777="",1/0,$N777*$B$5),0)+IF($B$6&gt;0,IF($O777="",1/0,$O777*$B$6),0),""))</f>
        <v/>
      </c>
      <c r="R777" s="17"/>
      <c r="S777" s="18" t="str">
        <f aca="false">IF($Q777="","",IF($R777="Y",IFERROR(VLOOKUP($B777,$C$4:$D$13,2,FALSE()),0),0))</f>
        <v/>
      </c>
      <c r="T777" s="17" t="str">
        <f aca="false">IF($Q777="","",ROUNDDOWN($Q777*$S777,0))</f>
        <v/>
      </c>
      <c r="U777" s="17" t="str">
        <f aca="false">IF($Q777="","",$Q777-$T777)</f>
        <v/>
      </c>
      <c r="V777" s="17" t="str">
        <f aca="false">IF($U777="","",IF($B$10=0,"",$U777/$B$10))</f>
        <v/>
      </c>
      <c r="W777" s="17" t="str">
        <f aca="false">IF($Q777="","",IF($B$10=0,"",$Q777/$B$10))</f>
        <v/>
      </c>
      <c r="X777" s="19" t="n">
        <f aca="false">IF($U777="",1000000000000000,$U777)</f>
        <v>1000000000000000</v>
      </c>
    </row>
    <row r="778" s="6" customFormat="true" ht="28.6" hidden="false" customHeight="true" outlineLevel="0" collapsed="false">
      <c r="A778" s="16" t="str">
        <f aca="false">IF($U778="","",1+COUNTIF($X$15:$X$728,"&lt;"&amp;X778))</f>
        <v/>
      </c>
      <c r="B778" s="16" t="s">
        <v>18</v>
      </c>
      <c r="C778" s="16" t="s">
        <v>2311</v>
      </c>
      <c r="D778" s="16" t="s">
        <v>58</v>
      </c>
      <c r="E778" s="16" t="s">
        <v>47</v>
      </c>
      <c r="F778" s="16" t="s">
        <v>2312</v>
      </c>
      <c r="G778" s="16" t="s">
        <v>2313</v>
      </c>
      <c r="H778" s="17" t="n">
        <v>1945</v>
      </c>
      <c r="I778" s="17"/>
      <c r="J778" s="17"/>
      <c r="K778" s="17" t="n">
        <v>1960</v>
      </c>
      <c r="L778" s="17" t="n">
        <f aca="false">IF(AND(IFERROR(SEARCH("현대오일뱅크",$C778),0)&gt;0,IFERROR(SEARCH("직영",$C778),0)&gt;0),$B$13,0)</f>
        <v>0</v>
      </c>
      <c r="M778" s="17" t="n">
        <f aca="false">IF($H778="","",$H778+$L778)</f>
        <v>1945</v>
      </c>
      <c r="N778" s="17" t="str">
        <f aca="false">IF($I778="","",$I778+$L778)</f>
        <v/>
      </c>
      <c r="O778" s="17" t="n">
        <f aca="false">IF($K778="","",$K778+$L778)</f>
        <v>1960</v>
      </c>
      <c r="P778" s="17" t="str">
        <f aca="false">IF($B$10=0,"",IFERROR(IF($B$4&gt;0,"휘발유 "&amp;TEXT(IF($M778="",1/0,$M778*$B$4),"#,##0")&amp;"원","")&amp;IF($B$5&gt;0,IF($B$4&gt;0," / ","")&amp;"고급유 "&amp;TEXT(IF($N778="",1/0,$N778*$B$5),"#,##0")&amp;"원","")&amp;IF($B$6&gt;0,IF(OR($B$4&gt;0,$B$5&gt;0)," / ","")&amp;"경유 "&amp;TEXT(IF($O778="",1/0,$O778*$B$6),"#,##0")&amp;"원",""),""))</f>
        <v/>
      </c>
      <c r="Q778" s="17" t="str">
        <f aca="false">IF($B$10=0,"",IFERROR(IF($B$4&gt;0,IF($M778="",1/0,$M778*$B$4),0)+IF($B$5&gt;0,IF($N778="",1/0,$N778*$B$5),0)+IF($B$6&gt;0,IF($O778="",1/0,$O778*$B$6),0),""))</f>
        <v/>
      </c>
      <c r="R778" s="17"/>
      <c r="S778" s="18" t="str">
        <f aca="false">IF($Q778="","",IF($R778="Y",IFERROR(VLOOKUP($B778,$C$4:$D$13,2,FALSE()),0),0))</f>
        <v/>
      </c>
      <c r="T778" s="17" t="str">
        <f aca="false">IF($Q778="","",ROUNDDOWN($Q778*$S778,0))</f>
        <v/>
      </c>
      <c r="U778" s="17" t="str">
        <f aca="false">IF($Q778="","",$Q778-$T778)</f>
        <v/>
      </c>
      <c r="V778" s="17" t="str">
        <f aca="false">IF($U778="","",IF($B$10=0,"",$U778/$B$10))</f>
        <v/>
      </c>
      <c r="W778" s="17" t="str">
        <f aca="false">IF($Q778="","",IF($B$10=0,"",$Q778/$B$10))</f>
        <v/>
      </c>
      <c r="X778" s="19" t="n">
        <f aca="false">IF($U778="",1000000000000000,$U778)</f>
        <v>1000000000000000</v>
      </c>
    </row>
    <row r="779" s="6" customFormat="true" ht="28.6" hidden="false" customHeight="true" outlineLevel="0" collapsed="false">
      <c r="A779" s="16" t="str">
        <f aca="false">IF($U779="","",1+COUNTIF($X$15:$X$728,"&lt;"&amp;X779))</f>
        <v/>
      </c>
      <c r="B779" s="16" t="s">
        <v>12</v>
      </c>
      <c r="C779" s="16" t="s">
        <v>2314</v>
      </c>
      <c r="D779" s="20" t="s">
        <v>294</v>
      </c>
      <c r="E779" s="16" t="s">
        <v>59</v>
      </c>
      <c r="F779" s="16" t="s">
        <v>2315</v>
      </c>
      <c r="G779" s="16" t="s">
        <v>2316</v>
      </c>
      <c r="H779" s="17" t="n">
        <v>1945</v>
      </c>
      <c r="I779" s="17"/>
      <c r="J779" s="17"/>
      <c r="K779" s="17" t="n">
        <v>2158</v>
      </c>
      <c r="L779" s="17" t="n">
        <f aca="false">IF(AND(IFERROR(SEARCH("현대오일뱅크",$C779),0)&gt;0,IFERROR(SEARCH("직영",$C779),0)&gt;0),$B$13,0)</f>
        <v>0</v>
      </c>
      <c r="M779" s="17" t="n">
        <f aca="false">IF($H779="","",$H779+$L779)</f>
        <v>1945</v>
      </c>
      <c r="N779" s="17" t="str">
        <f aca="false">IF($I779="","",$I779+$L779)</f>
        <v/>
      </c>
      <c r="O779" s="17" t="n">
        <f aca="false">IF($K779="","",$K779+$L779)</f>
        <v>2158</v>
      </c>
      <c r="P779" s="17" t="str">
        <f aca="false">IF($B$10=0,"",IFERROR(IF($B$4&gt;0,"휘발유 "&amp;TEXT(IF($M779="",1/0,$M779*$B$4),"#,##0")&amp;"원","")&amp;IF($B$5&gt;0,IF($B$4&gt;0," / ","")&amp;"고급유 "&amp;TEXT(IF($N779="",1/0,$N779*$B$5),"#,##0")&amp;"원","")&amp;IF($B$6&gt;0,IF(OR($B$4&gt;0,$B$5&gt;0)," / ","")&amp;"경유 "&amp;TEXT(IF($O779="",1/0,$O779*$B$6),"#,##0")&amp;"원",""),""))</f>
        <v/>
      </c>
      <c r="Q779" s="17" t="str">
        <f aca="false">IF($B$10=0,"",IFERROR(IF($B$4&gt;0,IF($M779="",1/0,$M779*$B$4),0)+IF($B$5&gt;0,IF($N779="",1/0,$N779*$B$5),0)+IF($B$6&gt;0,IF($O779="",1/0,$O779*$B$6),0),""))</f>
        <v/>
      </c>
      <c r="R779" s="17"/>
      <c r="S779" s="18" t="str">
        <f aca="false">IF($Q779="","",IF($R779="Y",IFERROR(VLOOKUP($B779,$C$4:$D$13,2,FALSE()),0),0))</f>
        <v/>
      </c>
      <c r="T779" s="17" t="str">
        <f aca="false">IF($Q779="","",ROUNDDOWN($Q779*$S779,0))</f>
        <v/>
      </c>
      <c r="U779" s="17" t="str">
        <f aca="false">IF($Q779="","",$Q779-$T779)</f>
        <v/>
      </c>
      <c r="V779" s="17" t="str">
        <f aca="false">IF($U779="","",IF($B$10=0,"",$U779/$B$10))</f>
        <v/>
      </c>
      <c r="W779" s="17" t="str">
        <f aca="false">IF($Q779="","",IF($B$10=0,"",$Q779/$B$10))</f>
        <v/>
      </c>
      <c r="X779" s="19" t="n">
        <f aca="false">IF($U779="",1000000000000000,$U779)</f>
        <v>1000000000000000</v>
      </c>
    </row>
    <row r="780" s="6" customFormat="true" ht="28.6" hidden="false" customHeight="true" outlineLevel="0" collapsed="false">
      <c r="A780" s="16" t="str">
        <f aca="false">IF($U780="","",1+COUNTIF($X$15:$X$728,"&lt;"&amp;X780))</f>
        <v/>
      </c>
      <c r="B780" s="16" t="s">
        <v>14</v>
      </c>
      <c r="C780" s="16" t="s">
        <v>2317</v>
      </c>
      <c r="D780" s="16" t="s">
        <v>58</v>
      </c>
      <c r="E780" s="16" t="s">
        <v>47</v>
      </c>
      <c r="F780" s="16" t="s">
        <v>2318</v>
      </c>
      <c r="G780" s="16" t="s">
        <v>2319</v>
      </c>
      <c r="H780" s="17" t="n">
        <v>1945</v>
      </c>
      <c r="I780" s="17"/>
      <c r="J780" s="17"/>
      <c r="K780" s="17" t="n">
        <v>1985</v>
      </c>
      <c r="L780" s="17" t="n">
        <f aca="false">IF(AND(IFERROR(SEARCH("현대오일뱅크",$C780),0)&gt;0,IFERROR(SEARCH("직영",$C780),0)&gt;0),$B$13,0)</f>
        <v>0</v>
      </c>
      <c r="M780" s="17" t="n">
        <f aca="false">IF($H780="","",$H780+$L780)</f>
        <v>1945</v>
      </c>
      <c r="N780" s="17" t="str">
        <f aca="false">IF($I780="","",$I780+$L780)</f>
        <v/>
      </c>
      <c r="O780" s="17" t="n">
        <f aca="false">IF($K780="","",$K780+$L780)</f>
        <v>1985</v>
      </c>
      <c r="P780" s="17" t="str">
        <f aca="false">IF($B$10=0,"",IFERROR(IF($B$4&gt;0,"휘발유 "&amp;TEXT(IF($M780="",1/0,$M780*$B$4),"#,##0")&amp;"원","")&amp;IF($B$5&gt;0,IF($B$4&gt;0," / ","")&amp;"고급유 "&amp;TEXT(IF($N780="",1/0,$N780*$B$5),"#,##0")&amp;"원","")&amp;IF($B$6&gt;0,IF(OR($B$4&gt;0,$B$5&gt;0)," / ","")&amp;"경유 "&amp;TEXT(IF($O780="",1/0,$O780*$B$6),"#,##0")&amp;"원",""),""))</f>
        <v/>
      </c>
      <c r="Q780" s="17" t="str">
        <f aca="false">IF($B$10=0,"",IFERROR(IF($B$4&gt;0,IF($M780="",1/0,$M780*$B$4),0)+IF($B$5&gt;0,IF($N780="",1/0,$N780*$B$5),0)+IF($B$6&gt;0,IF($O780="",1/0,$O780*$B$6),0),""))</f>
        <v/>
      </c>
      <c r="R780" s="17"/>
      <c r="S780" s="18" t="str">
        <f aca="false">IF($Q780="","",IF($R780="Y",IFERROR(VLOOKUP($B780,$C$4:$D$13,2,FALSE()),0),0))</f>
        <v/>
      </c>
      <c r="T780" s="17" t="str">
        <f aca="false">IF($Q780="","",ROUNDDOWN($Q780*$S780,0))</f>
        <v/>
      </c>
      <c r="U780" s="17" t="str">
        <f aca="false">IF($Q780="","",$Q780-$T780)</f>
        <v/>
      </c>
      <c r="V780" s="17" t="str">
        <f aca="false">IF($U780="","",IF($B$10=0,"",$U780/$B$10))</f>
        <v/>
      </c>
      <c r="W780" s="17" t="str">
        <f aca="false">IF($Q780="","",IF($B$10=0,"",$Q780/$B$10))</f>
        <v/>
      </c>
      <c r="X780" s="19" t="n">
        <f aca="false">IF($U780="",1000000000000000,$U780)</f>
        <v>1000000000000000</v>
      </c>
    </row>
    <row r="781" s="6" customFormat="true" ht="28.6" hidden="false" customHeight="true" outlineLevel="0" collapsed="false">
      <c r="A781" s="16" t="str">
        <f aca="false">IF($U781="","",1+COUNTIF($X$15:$X$728,"&lt;"&amp;X781))</f>
        <v/>
      </c>
      <c r="B781" s="16" t="s">
        <v>12</v>
      </c>
      <c r="C781" s="16" t="s">
        <v>2320</v>
      </c>
      <c r="D781" s="20" t="s">
        <v>294</v>
      </c>
      <c r="E781" s="16" t="s">
        <v>47</v>
      </c>
      <c r="F781" s="16" t="s">
        <v>2321</v>
      </c>
      <c r="G781" s="16" t="s">
        <v>2322</v>
      </c>
      <c r="H781" s="17" t="n">
        <v>1945</v>
      </c>
      <c r="I781" s="17"/>
      <c r="J781" s="17"/>
      <c r="K781" s="17" t="n">
        <v>1985</v>
      </c>
      <c r="L781" s="17" t="n">
        <f aca="false">IF(AND(IFERROR(SEARCH("현대오일뱅크",$C781),0)&gt;0,IFERROR(SEARCH("직영",$C781),0)&gt;0),$B$13,0)</f>
        <v>0</v>
      </c>
      <c r="M781" s="17" t="n">
        <f aca="false">IF($H781="","",$H781+$L781)</f>
        <v>1945</v>
      </c>
      <c r="N781" s="17" t="str">
        <f aca="false">IF($I781="","",$I781+$L781)</f>
        <v/>
      </c>
      <c r="O781" s="17" t="n">
        <f aca="false">IF($K781="","",$K781+$L781)</f>
        <v>1985</v>
      </c>
      <c r="P781" s="17" t="str">
        <f aca="false">IF($B$10=0,"",IFERROR(IF($B$4&gt;0,"휘발유 "&amp;TEXT(IF($M781="",1/0,$M781*$B$4),"#,##0")&amp;"원","")&amp;IF($B$5&gt;0,IF($B$4&gt;0," / ","")&amp;"고급유 "&amp;TEXT(IF($N781="",1/0,$N781*$B$5),"#,##0")&amp;"원","")&amp;IF($B$6&gt;0,IF(OR($B$4&gt;0,$B$5&gt;0)," / ","")&amp;"경유 "&amp;TEXT(IF($O781="",1/0,$O781*$B$6),"#,##0")&amp;"원",""),""))</f>
        <v/>
      </c>
      <c r="Q781" s="17" t="str">
        <f aca="false">IF($B$10=0,"",IFERROR(IF($B$4&gt;0,IF($M781="",1/0,$M781*$B$4),0)+IF($B$5&gt;0,IF($N781="",1/0,$N781*$B$5),0)+IF($B$6&gt;0,IF($O781="",1/0,$O781*$B$6),0),""))</f>
        <v/>
      </c>
      <c r="R781" s="17"/>
      <c r="S781" s="18" t="str">
        <f aca="false">IF($Q781="","",IF($R781="Y",IFERROR(VLOOKUP($B781,$C$4:$D$13,2,FALSE()),0),0))</f>
        <v/>
      </c>
      <c r="T781" s="17" t="str">
        <f aca="false">IF($Q781="","",ROUNDDOWN($Q781*$S781,0))</f>
        <v/>
      </c>
      <c r="U781" s="17" t="str">
        <f aca="false">IF($Q781="","",$Q781-$T781)</f>
        <v/>
      </c>
      <c r="V781" s="17" t="str">
        <f aca="false">IF($U781="","",IF($B$10=0,"",$U781/$B$10))</f>
        <v/>
      </c>
      <c r="W781" s="17" t="str">
        <f aca="false">IF($Q781="","",IF($B$10=0,"",$Q781/$B$10))</f>
        <v/>
      </c>
      <c r="X781" s="19" t="n">
        <f aca="false">IF($U781="",1000000000000000,$U781)</f>
        <v>1000000000000000</v>
      </c>
    </row>
    <row r="782" s="6" customFormat="true" ht="28.6" hidden="false" customHeight="true" outlineLevel="0" collapsed="false">
      <c r="A782" s="16" t="str">
        <f aca="false">IF($U782="","",1+COUNTIF($X$15:$X$728,"&lt;"&amp;X782))</f>
        <v/>
      </c>
      <c r="B782" s="16" t="s">
        <v>12</v>
      </c>
      <c r="C782" s="16" t="s">
        <v>2323</v>
      </c>
      <c r="D782" s="20" t="s">
        <v>112</v>
      </c>
      <c r="E782" s="16" t="s">
        <v>59</v>
      </c>
      <c r="F782" s="16" t="s">
        <v>2324</v>
      </c>
      <c r="G782" s="16" t="s">
        <v>2325</v>
      </c>
      <c r="H782" s="17" t="n">
        <v>1945</v>
      </c>
      <c r="I782" s="17"/>
      <c r="J782" s="17"/>
      <c r="K782" s="17" t="n">
        <v>1995</v>
      </c>
      <c r="L782" s="17" t="n">
        <f aca="false">IF(AND(IFERROR(SEARCH("현대오일뱅크",$C782),0)&gt;0,IFERROR(SEARCH("직영",$C782),0)&gt;0),$B$13,0)</f>
        <v>0</v>
      </c>
      <c r="M782" s="17" t="n">
        <f aca="false">IF($H782="","",$H782+$L782)</f>
        <v>1945</v>
      </c>
      <c r="N782" s="17" t="str">
        <f aca="false">IF($I782="","",$I782+$L782)</f>
        <v/>
      </c>
      <c r="O782" s="17" t="n">
        <f aca="false">IF($K782="","",$K782+$L782)</f>
        <v>1995</v>
      </c>
      <c r="P782" s="17" t="str">
        <f aca="false">IF($B$10=0,"",IFERROR(IF($B$4&gt;0,"휘발유 "&amp;TEXT(IF($M782="",1/0,$M782*$B$4),"#,##0")&amp;"원","")&amp;IF($B$5&gt;0,IF($B$4&gt;0," / ","")&amp;"고급유 "&amp;TEXT(IF($N782="",1/0,$N782*$B$5),"#,##0")&amp;"원","")&amp;IF($B$6&gt;0,IF(OR($B$4&gt;0,$B$5&gt;0)," / ","")&amp;"경유 "&amp;TEXT(IF($O782="",1/0,$O782*$B$6),"#,##0")&amp;"원",""),""))</f>
        <v/>
      </c>
      <c r="Q782" s="17" t="str">
        <f aca="false">IF($B$10=0,"",IFERROR(IF($B$4&gt;0,IF($M782="",1/0,$M782*$B$4),0)+IF($B$5&gt;0,IF($N782="",1/0,$N782*$B$5),0)+IF($B$6&gt;0,IF($O782="",1/0,$O782*$B$6),0),""))</f>
        <v/>
      </c>
      <c r="R782" s="17"/>
      <c r="S782" s="18" t="str">
        <f aca="false">IF($Q782="","",IF($R782="Y",IFERROR(VLOOKUP($B782,$C$4:$D$13,2,FALSE()),0),0))</f>
        <v/>
      </c>
      <c r="T782" s="17" t="str">
        <f aca="false">IF($Q782="","",ROUNDDOWN($Q782*$S782,0))</f>
        <v/>
      </c>
      <c r="U782" s="17" t="str">
        <f aca="false">IF($Q782="","",$Q782-$T782)</f>
        <v/>
      </c>
      <c r="V782" s="17" t="str">
        <f aca="false">IF($U782="","",IF($B$10=0,"",$U782/$B$10))</f>
        <v/>
      </c>
      <c r="W782" s="17" t="str">
        <f aca="false">IF($Q782="","",IF($B$10=0,"",$Q782/$B$10))</f>
        <v/>
      </c>
      <c r="X782" s="19" t="n">
        <f aca="false">IF($U782="",1000000000000000,$U782)</f>
        <v>1000000000000000</v>
      </c>
    </row>
    <row r="783" s="6" customFormat="true" ht="28.6" hidden="false" customHeight="true" outlineLevel="0" collapsed="false">
      <c r="A783" s="16" t="str">
        <f aca="false">IF($U783="","",1+COUNTIF($X$15:$X$728,"&lt;"&amp;X783))</f>
        <v/>
      </c>
      <c r="B783" s="16" t="s">
        <v>18</v>
      </c>
      <c r="C783" s="16" t="s">
        <v>2326</v>
      </c>
      <c r="D783" s="16" t="s">
        <v>58</v>
      </c>
      <c r="E783" s="16" t="s">
        <v>47</v>
      </c>
      <c r="F783" s="16" t="s">
        <v>2327</v>
      </c>
      <c r="G783" s="16" t="s">
        <v>2328</v>
      </c>
      <c r="H783" s="17" t="n">
        <v>1945</v>
      </c>
      <c r="I783" s="17"/>
      <c r="J783" s="17"/>
      <c r="K783" s="17" t="n">
        <v>1935</v>
      </c>
      <c r="L783" s="17" t="n">
        <f aca="false">IF(AND(IFERROR(SEARCH("현대오일뱅크",$C783),0)&gt;0,IFERROR(SEARCH("직영",$C783),0)&gt;0),$B$13,0)</f>
        <v>0</v>
      </c>
      <c r="M783" s="17" t="n">
        <f aca="false">IF($H783="","",$H783+$L783)</f>
        <v>1945</v>
      </c>
      <c r="N783" s="17" t="str">
        <f aca="false">IF($I783="","",$I783+$L783)</f>
        <v/>
      </c>
      <c r="O783" s="17" t="n">
        <f aca="false">IF($K783="","",$K783+$L783)</f>
        <v>1935</v>
      </c>
      <c r="P783" s="17" t="str">
        <f aca="false">IF($B$10=0,"",IFERROR(IF($B$4&gt;0,"휘발유 "&amp;TEXT(IF($M783="",1/0,$M783*$B$4),"#,##0")&amp;"원","")&amp;IF($B$5&gt;0,IF($B$4&gt;0," / ","")&amp;"고급유 "&amp;TEXT(IF($N783="",1/0,$N783*$B$5),"#,##0")&amp;"원","")&amp;IF($B$6&gt;0,IF(OR($B$4&gt;0,$B$5&gt;0)," / ","")&amp;"경유 "&amp;TEXT(IF($O783="",1/0,$O783*$B$6),"#,##0")&amp;"원",""),""))</f>
        <v/>
      </c>
      <c r="Q783" s="17" t="str">
        <f aca="false">IF($B$10=0,"",IFERROR(IF($B$4&gt;0,IF($M783="",1/0,$M783*$B$4),0)+IF($B$5&gt;0,IF($N783="",1/0,$N783*$B$5),0)+IF($B$6&gt;0,IF($O783="",1/0,$O783*$B$6),0),""))</f>
        <v/>
      </c>
      <c r="R783" s="17"/>
      <c r="S783" s="18" t="str">
        <f aca="false">IF($Q783="","",IF($R783="Y",IFERROR(VLOOKUP($B783,$C$4:$D$13,2,FALSE()),0),0))</f>
        <v/>
      </c>
      <c r="T783" s="17" t="str">
        <f aca="false">IF($Q783="","",ROUNDDOWN($Q783*$S783,0))</f>
        <v/>
      </c>
      <c r="U783" s="17" t="str">
        <f aca="false">IF($Q783="","",$Q783-$T783)</f>
        <v/>
      </c>
      <c r="V783" s="17" t="str">
        <f aca="false">IF($U783="","",IF($B$10=0,"",$U783/$B$10))</f>
        <v/>
      </c>
      <c r="W783" s="17" t="str">
        <f aca="false">IF($Q783="","",IF($B$10=0,"",$Q783/$B$10))</f>
        <v/>
      </c>
      <c r="X783" s="19" t="n">
        <f aca="false">IF($U783="",1000000000000000,$U783)</f>
        <v>1000000000000000</v>
      </c>
    </row>
    <row r="784" s="6" customFormat="true" ht="28.6" hidden="false" customHeight="true" outlineLevel="0" collapsed="false">
      <c r="A784" s="16" t="str">
        <f aca="false">IF($U784="","",1+COUNTIF($X$15:$X$728,"&lt;"&amp;X784))</f>
        <v/>
      </c>
      <c r="B784" s="16" t="s">
        <v>14</v>
      </c>
      <c r="C784" s="16" t="s">
        <v>619</v>
      </c>
      <c r="D784" s="16" t="s">
        <v>51</v>
      </c>
      <c r="E784" s="16" t="s">
        <v>59</v>
      </c>
      <c r="F784" s="16" t="s">
        <v>2329</v>
      </c>
      <c r="G784" s="16" t="s">
        <v>2330</v>
      </c>
      <c r="H784" s="17" t="n">
        <v>1945</v>
      </c>
      <c r="I784" s="17"/>
      <c r="J784" s="17"/>
      <c r="K784" s="17" t="n">
        <v>1965</v>
      </c>
      <c r="L784" s="17" t="n">
        <f aca="false">IF(AND(IFERROR(SEARCH("현대오일뱅크",$C784),0)&gt;0,IFERROR(SEARCH("직영",$C784),0)&gt;0),$B$13,0)</f>
        <v>0</v>
      </c>
      <c r="M784" s="17" t="n">
        <f aca="false">IF($H784="","",$H784+$L784)</f>
        <v>1945</v>
      </c>
      <c r="N784" s="17" t="str">
        <f aca="false">IF($I784="","",$I784+$L784)</f>
        <v/>
      </c>
      <c r="O784" s="17" t="n">
        <f aca="false">IF($K784="","",$K784+$L784)</f>
        <v>1965</v>
      </c>
      <c r="P784" s="17" t="str">
        <f aca="false">IF($B$10=0,"",IFERROR(IF($B$4&gt;0,"휘발유 "&amp;TEXT(IF($M784="",1/0,$M784*$B$4),"#,##0")&amp;"원","")&amp;IF($B$5&gt;0,IF($B$4&gt;0," / ","")&amp;"고급유 "&amp;TEXT(IF($N784="",1/0,$N784*$B$5),"#,##0")&amp;"원","")&amp;IF($B$6&gt;0,IF(OR($B$4&gt;0,$B$5&gt;0)," / ","")&amp;"경유 "&amp;TEXT(IF($O784="",1/0,$O784*$B$6),"#,##0")&amp;"원",""),""))</f>
        <v/>
      </c>
      <c r="Q784" s="17" t="str">
        <f aca="false">IF($B$10=0,"",IFERROR(IF($B$4&gt;0,IF($M784="",1/0,$M784*$B$4),0)+IF($B$5&gt;0,IF($N784="",1/0,$N784*$B$5),0)+IF($B$6&gt;0,IF($O784="",1/0,$O784*$B$6),0),""))</f>
        <v/>
      </c>
      <c r="R784" s="17"/>
      <c r="S784" s="18" t="str">
        <f aca="false">IF($Q784="","",IF($R784="Y",IFERROR(VLOOKUP($B784,$C$4:$D$13,2,FALSE()),0),0))</f>
        <v/>
      </c>
      <c r="T784" s="17" t="str">
        <f aca="false">IF($Q784="","",ROUNDDOWN($Q784*$S784,0))</f>
        <v/>
      </c>
      <c r="U784" s="17" t="str">
        <f aca="false">IF($Q784="","",$Q784-$T784)</f>
        <v/>
      </c>
      <c r="V784" s="17" t="str">
        <f aca="false">IF($U784="","",IF($B$10=0,"",$U784/$B$10))</f>
        <v/>
      </c>
      <c r="W784" s="17" t="str">
        <f aca="false">IF($Q784="","",IF($B$10=0,"",$Q784/$B$10))</f>
        <v/>
      </c>
      <c r="X784" s="19" t="n">
        <f aca="false">IF($U784="",1000000000000000,$U784)</f>
        <v>1000000000000000</v>
      </c>
    </row>
    <row r="785" s="6" customFormat="true" ht="28.6" hidden="false" customHeight="true" outlineLevel="0" collapsed="false">
      <c r="A785" s="16" t="str">
        <f aca="false">IF($U785="","",1+COUNTIF($X$15:$X$728,"&lt;"&amp;X785))</f>
        <v/>
      </c>
      <c r="B785" s="16" t="s">
        <v>14</v>
      </c>
      <c r="C785" s="16" t="s">
        <v>2331</v>
      </c>
      <c r="D785" s="16" t="s">
        <v>58</v>
      </c>
      <c r="E785" s="16" t="s">
        <v>47</v>
      </c>
      <c r="F785" s="16" t="s">
        <v>2332</v>
      </c>
      <c r="G785" s="16" t="s">
        <v>2333</v>
      </c>
      <c r="H785" s="17" t="n">
        <v>1945</v>
      </c>
      <c r="I785" s="17"/>
      <c r="J785" s="17"/>
      <c r="K785" s="17" t="n">
        <v>1969</v>
      </c>
      <c r="L785" s="17" t="n">
        <f aca="false">IF(AND(IFERROR(SEARCH("현대오일뱅크",$C785),0)&gt;0,IFERROR(SEARCH("직영",$C785),0)&gt;0),$B$13,0)</f>
        <v>0</v>
      </c>
      <c r="M785" s="17" t="n">
        <f aca="false">IF($H785="","",$H785+$L785)</f>
        <v>1945</v>
      </c>
      <c r="N785" s="17" t="str">
        <f aca="false">IF($I785="","",$I785+$L785)</f>
        <v/>
      </c>
      <c r="O785" s="17" t="n">
        <f aca="false">IF($K785="","",$K785+$L785)</f>
        <v>1969</v>
      </c>
      <c r="P785" s="17" t="str">
        <f aca="false">IF($B$10=0,"",IFERROR(IF($B$4&gt;0,"휘발유 "&amp;TEXT(IF($M785="",1/0,$M785*$B$4),"#,##0")&amp;"원","")&amp;IF($B$5&gt;0,IF($B$4&gt;0," / ","")&amp;"고급유 "&amp;TEXT(IF($N785="",1/0,$N785*$B$5),"#,##0")&amp;"원","")&amp;IF($B$6&gt;0,IF(OR($B$4&gt;0,$B$5&gt;0)," / ","")&amp;"경유 "&amp;TEXT(IF($O785="",1/0,$O785*$B$6),"#,##0")&amp;"원",""),""))</f>
        <v/>
      </c>
      <c r="Q785" s="17" t="str">
        <f aca="false">IF($B$10=0,"",IFERROR(IF($B$4&gt;0,IF($M785="",1/0,$M785*$B$4),0)+IF($B$5&gt;0,IF($N785="",1/0,$N785*$B$5),0)+IF($B$6&gt;0,IF($O785="",1/0,$O785*$B$6),0),""))</f>
        <v/>
      </c>
      <c r="R785" s="17"/>
      <c r="S785" s="18" t="str">
        <f aca="false">IF($Q785="","",IF($R785="Y",IFERROR(VLOOKUP($B785,$C$4:$D$13,2,FALSE()),0),0))</f>
        <v/>
      </c>
      <c r="T785" s="17" t="str">
        <f aca="false">IF($Q785="","",ROUNDDOWN($Q785*$S785,0))</f>
        <v/>
      </c>
      <c r="U785" s="17" t="str">
        <f aca="false">IF($Q785="","",$Q785-$T785)</f>
        <v/>
      </c>
      <c r="V785" s="17" t="str">
        <f aca="false">IF($U785="","",IF($B$10=0,"",$U785/$B$10))</f>
        <v/>
      </c>
      <c r="W785" s="17" t="str">
        <f aca="false">IF($Q785="","",IF($B$10=0,"",$Q785/$B$10))</f>
        <v/>
      </c>
      <c r="X785" s="19" t="n">
        <f aca="false">IF($U785="",1000000000000000,$U785)</f>
        <v>1000000000000000</v>
      </c>
    </row>
    <row r="786" s="6" customFormat="true" ht="28.6" hidden="false" customHeight="true" outlineLevel="0" collapsed="false">
      <c r="A786" s="16" t="str">
        <f aca="false">IF($U786="","",1+COUNTIF($X$15:$X$728,"&lt;"&amp;X786))</f>
        <v/>
      </c>
      <c r="B786" s="16" t="s">
        <v>6</v>
      </c>
      <c r="C786" s="16" t="s">
        <v>2334</v>
      </c>
      <c r="D786" s="16" t="s">
        <v>58</v>
      </c>
      <c r="E786" s="16" t="s">
        <v>47</v>
      </c>
      <c r="F786" s="16" t="s">
        <v>2335</v>
      </c>
      <c r="G786" s="16" t="s">
        <v>2336</v>
      </c>
      <c r="H786" s="17" t="n">
        <v>1945</v>
      </c>
      <c r="I786" s="17"/>
      <c r="J786" s="17"/>
      <c r="K786" s="17" t="n">
        <v>1985</v>
      </c>
      <c r="L786" s="17" t="n">
        <f aca="false">IF(AND(IFERROR(SEARCH("현대오일뱅크",$C786),0)&gt;0,IFERROR(SEARCH("직영",$C786),0)&gt;0),$B$13,0)</f>
        <v>0</v>
      </c>
      <c r="M786" s="17" t="n">
        <f aca="false">IF($H786="","",$H786+$L786)</f>
        <v>1945</v>
      </c>
      <c r="N786" s="17" t="str">
        <f aca="false">IF($I786="","",$I786+$L786)</f>
        <v/>
      </c>
      <c r="O786" s="17" t="n">
        <f aca="false">IF($K786="","",$K786+$L786)</f>
        <v>1985</v>
      </c>
      <c r="P786" s="17" t="str">
        <f aca="false">IF($B$10=0,"",IFERROR(IF($B$4&gt;0,"휘발유 "&amp;TEXT(IF($M786="",1/0,$M786*$B$4),"#,##0")&amp;"원","")&amp;IF($B$5&gt;0,IF($B$4&gt;0," / ","")&amp;"고급유 "&amp;TEXT(IF($N786="",1/0,$N786*$B$5),"#,##0")&amp;"원","")&amp;IF($B$6&gt;0,IF(OR($B$4&gt;0,$B$5&gt;0)," / ","")&amp;"경유 "&amp;TEXT(IF($O786="",1/0,$O786*$B$6),"#,##0")&amp;"원",""),""))</f>
        <v/>
      </c>
      <c r="Q786" s="17" t="str">
        <f aca="false">IF($B$10=0,"",IFERROR(IF($B$4&gt;0,IF($M786="",1/0,$M786*$B$4),0)+IF($B$5&gt;0,IF($N786="",1/0,$N786*$B$5),0)+IF($B$6&gt;0,IF($O786="",1/0,$O786*$B$6),0),""))</f>
        <v/>
      </c>
      <c r="R786" s="17"/>
      <c r="S786" s="18" t="str">
        <f aca="false">IF($Q786="","",IF($R786="Y",IFERROR(VLOOKUP($B786,$C$4:$D$13,2,FALSE()),0),0))</f>
        <v/>
      </c>
      <c r="T786" s="17" t="str">
        <f aca="false">IF($Q786="","",ROUNDDOWN($Q786*$S786,0))</f>
        <v/>
      </c>
      <c r="U786" s="17" t="str">
        <f aca="false">IF($Q786="","",$Q786-$T786)</f>
        <v/>
      </c>
      <c r="V786" s="17" t="str">
        <f aca="false">IF($U786="","",IF($B$10=0,"",$U786/$B$10))</f>
        <v/>
      </c>
      <c r="W786" s="17" t="str">
        <f aca="false">IF($Q786="","",IF($B$10=0,"",$Q786/$B$10))</f>
        <v/>
      </c>
      <c r="X786" s="19" t="n">
        <f aca="false">IF($U786="",1000000000000000,$U786)</f>
        <v>1000000000000000</v>
      </c>
    </row>
    <row r="787" s="6" customFormat="true" ht="28.6" hidden="false" customHeight="true" outlineLevel="0" collapsed="false">
      <c r="A787" s="16" t="str">
        <f aca="false">IF($U787="","",1+COUNTIF($X$15:$X$728,"&lt;"&amp;X787))</f>
        <v/>
      </c>
      <c r="B787" s="16" t="s">
        <v>12</v>
      </c>
      <c r="C787" s="16" t="s">
        <v>1093</v>
      </c>
      <c r="D787" s="20" t="s">
        <v>294</v>
      </c>
      <c r="E787" s="16" t="s">
        <v>59</v>
      </c>
      <c r="F787" s="16" t="s">
        <v>2337</v>
      </c>
      <c r="G787" s="16" t="s">
        <v>2338</v>
      </c>
      <c r="H787" s="17" t="n">
        <v>1948</v>
      </c>
      <c r="I787" s="17"/>
      <c r="J787" s="17"/>
      <c r="K787" s="17" t="n">
        <v>2048</v>
      </c>
      <c r="L787" s="17" t="n">
        <f aca="false">IF(AND(IFERROR(SEARCH("현대오일뱅크",$C787),0)&gt;0,IFERROR(SEARCH("직영",$C787),0)&gt;0),$B$13,0)</f>
        <v>0</v>
      </c>
      <c r="M787" s="17" t="n">
        <f aca="false">IF($H787="","",$H787+$L787)</f>
        <v>1948</v>
      </c>
      <c r="N787" s="17" t="str">
        <f aca="false">IF($I787="","",$I787+$L787)</f>
        <v/>
      </c>
      <c r="O787" s="17" t="n">
        <f aca="false">IF($K787="","",$K787+$L787)</f>
        <v>2048</v>
      </c>
      <c r="P787" s="17" t="str">
        <f aca="false">IF($B$10=0,"",IFERROR(IF($B$4&gt;0,"휘발유 "&amp;TEXT(IF($M787="",1/0,$M787*$B$4),"#,##0")&amp;"원","")&amp;IF($B$5&gt;0,IF($B$4&gt;0," / ","")&amp;"고급유 "&amp;TEXT(IF($N787="",1/0,$N787*$B$5),"#,##0")&amp;"원","")&amp;IF($B$6&gt;0,IF(OR($B$4&gt;0,$B$5&gt;0)," / ","")&amp;"경유 "&amp;TEXT(IF($O787="",1/0,$O787*$B$6),"#,##0")&amp;"원",""),""))</f>
        <v/>
      </c>
      <c r="Q787" s="17" t="str">
        <f aca="false">IF($B$10=0,"",IFERROR(IF($B$4&gt;0,IF($M787="",1/0,$M787*$B$4),0)+IF($B$5&gt;0,IF($N787="",1/0,$N787*$B$5),0)+IF($B$6&gt;0,IF($O787="",1/0,$O787*$B$6),0),""))</f>
        <v/>
      </c>
      <c r="R787" s="17"/>
      <c r="S787" s="18" t="str">
        <f aca="false">IF($Q787="","",IF($R787="Y",IFERROR(VLOOKUP($B787,$C$4:$D$13,2,FALSE()),0),0))</f>
        <v/>
      </c>
      <c r="T787" s="17" t="str">
        <f aca="false">IF($Q787="","",ROUNDDOWN($Q787*$S787,0))</f>
        <v/>
      </c>
      <c r="U787" s="17" t="str">
        <f aca="false">IF($Q787="","",$Q787-$T787)</f>
        <v/>
      </c>
      <c r="V787" s="17" t="str">
        <f aca="false">IF($U787="","",IF($B$10=0,"",$U787/$B$10))</f>
        <v/>
      </c>
      <c r="W787" s="17" t="str">
        <f aca="false">IF($Q787="","",IF($B$10=0,"",$Q787/$B$10))</f>
        <v/>
      </c>
      <c r="X787" s="19" t="n">
        <f aca="false">IF($U787="",1000000000000000,$U787)</f>
        <v>1000000000000000</v>
      </c>
    </row>
    <row r="788" s="6" customFormat="true" ht="28.6" hidden="false" customHeight="true" outlineLevel="0" collapsed="false">
      <c r="A788" s="16" t="str">
        <f aca="false">IF($U788="","",1+COUNTIF($X$15:$X$728,"&lt;"&amp;X788))</f>
        <v/>
      </c>
      <c r="B788" s="16" t="s">
        <v>8</v>
      </c>
      <c r="C788" s="16" t="s">
        <v>2339</v>
      </c>
      <c r="D788" s="16" t="s">
        <v>58</v>
      </c>
      <c r="E788" s="16" t="s">
        <v>47</v>
      </c>
      <c r="F788" s="16" t="s">
        <v>2340</v>
      </c>
      <c r="G788" s="16" t="s">
        <v>2341</v>
      </c>
      <c r="H788" s="17" t="n">
        <v>1948</v>
      </c>
      <c r="I788" s="17"/>
      <c r="J788" s="17"/>
      <c r="K788" s="17" t="n">
        <v>1998</v>
      </c>
      <c r="L788" s="17" t="n">
        <f aca="false">IF(AND(IFERROR(SEARCH("현대오일뱅크",$C788),0)&gt;0,IFERROR(SEARCH("직영",$C788),0)&gt;0),$B$13,0)</f>
        <v>0</v>
      </c>
      <c r="M788" s="17" t="n">
        <f aca="false">IF($H788="","",$H788+$L788)</f>
        <v>1948</v>
      </c>
      <c r="N788" s="17" t="str">
        <f aca="false">IF($I788="","",$I788+$L788)</f>
        <v/>
      </c>
      <c r="O788" s="17" t="n">
        <f aca="false">IF($K788="","",$K788+$L788)</f>
        <v>1998</v>
      </c>
      <c r="P788" s="17" t="str">
        <f aca="false">IF($B$10=0,"",IFERROR(IF($B$4&gt;0,"휘발유 "&amp;TEXT(IF($M788="",1/0,$M788*$B$4),"#,##0")&amp;"원","")&amp;IF($B$5&gt;0,IF($B$4&gt;0," / ","")&amp;"고급유 "&amp;TEXT(IF($N788="",1/0,$N788*$B$5),"#,##0")&amp;"원","")&amp;IF($B$6&gt;0,IF(OR($B$4&gt;0,$B$5&gt;0)," / ","")&amp;"경유 "&amp;TEXT(IF($O788="",1/0,$O788*$B$6),"#,##0")&amp;"원",""),""))</f>
        <v/>
      </c>
      <c r="Q788" s="17" t="str">
        <f aca="false">IF($B$10=0,"",IFERROR(IF($B$4&gt;0,IF($M788="",1/0,$M788*$B$4),0)+IF($B$5&gt;0,IF($N788="",1/0,$N788*$B$5),0)+IF($B$6&gt;0,IF($O788="",1/0,$O788*$B$6),0),""))</f>
        <v/>
      </c>
      <c r="R788" s="17"/>
      <c r="S788" s="18" t="str">
        <f aca="false">IF($Q788="","",IF($R788="Y",IFERROR(VLOOKUP($B788,$C$4:$D$13,2,FALSE()),0),0))</f>
        <v/>
      </c>
      <c r="T788" s="17" t="str">
        <f aca="false">IF($Q788="","",ROUNDDOWN($Q788*$S788,0))</f>
        <v/>
      </c>
      <c r="U788" s="17" t="str">
        <f aca="false">IF($Q788="","",$Q788-$T788)</f>
        <v/>
      </c>
      <c r="V788" s="17" t="str">
        <f aca="false">IF($U788="","",IF($B$10=0,"",$U788/$B$10))</f>
        <v/>
      </c>
      <c r="W788" s="17" t="str">
        <f aca="false">IF($Q788="","",IF($B$10=0,"",$Q788/$B$10))</f>
        <v/>
      </c>
      <c r="X788" s="19" t="n">
        <f aca="false">IF($U788="",1000000000000000,$U788)</f>
        <v>1000000000000000</v>
      </c>
    </row>
    <row r="789" s="6" customFormat="true" ht="28.6" hidden="false" customHeight="true" outlineLevel="0" collapsed="false">
      <c r="A789" s="16" t="str">
        <f aca="false">IF($U789="","",1+COUNTIF($X$15:$X$728,"&lt;"&amp;X789))</f>
        <v/>
      </c>
      <c r="B789" s="16" t="s">
        <v>10</v>
      </c>
      <c r="C789" s="16" t="s">
        <v>2342</v>
      </c>
      <c r="D789" s="16" t="s">
        <v>51</v>
      </c>
      <c r="E789" s="16" t="s">
        <v>47</v>
      </c>
      <c r="F789" s="16" t="s">
        <v>2343</v>
      </c>
      <c r="G789" s="16" t="s">
        <v>2344</v>
      </c>
      <c r="H789" s="17" t="n">
        <v>1948</v>
      </c>
      <c r="I789" s="17"/>
      <c r="J789" s="17"/>
      <c r="K789" s="17" t="n">
        <v>1968</v>
      </c>
      <c r="L789" s="17" t="n">
        <f aca="false">IF(AND(IFERROR(SEARCH("현대오일뱅크",$C789),0)&gt;0,IFERROR(SEARCH("직영",$C789),0)&gt;0),$B$13,0)</f>
        <v>0</v>
      </c>
      <c r="M789" s="17" t="n">
        <f aca="false">IF($H789="","",$H789+$L789)</f>
        <v>1948</v>
      </c>
      <c r="N789" s="17" t="str">
        <f aca="false">IF($I789="","",$I789+$L789)</f>
        <v/>
      </c>
      <c r="O789" s="17" t="n">
        <f aca="false">IF($K789="","",$K789+$L789)</f>
        <v>1968</v>
      </c>
      <c r="P789" s="17" t="str">
        <f aca="false">IF($B$10=0,"",IFERROR(IF($B$4&gt;0,"휘발유 "&amp;TEXT(IF($M789="",1/0,$M789*$B$4),"#,##0")&amp;"원","")&amp;IF($B$5&gt;0,IF($B$4&gt;0," / ","")&amp;"고급유 "&amp;TEXT(IF($N789="",1/0,$N789*$B$5),"#,##0")&amp;"원","")&amp;IF($B$6&gt;0,IF(OR($B$4&gt;0,$B$5&gt;0)," / ","")&amp;"경유 "&amp;TEXT(IF($O789="",1/0,$O789*$B$6),"#,##0")&amp;"원",""),""))</f>
        <v/>
      </c>
      <c r="Q789" s="17" t="str">
        <f aca="false">IF($B$10=0,"",IFERROR(IF($B$4&gt;0,IF($M789="",1/0,$M789*$B$4),0)+IF($B$5&gt;0,IF($N789="",1/0,$N789*$B$5),0)+IF($B$6&gt;0,IF($O789="",1/0,$O789*$B$6),0),""))</f>
        <v/>
      </c>
      <c r="R789" s="17"/>
      <c r="S789" s="18" t="str">
        <f aca="false">IF($Q789="","",IF($R789="Y",IFERROR(VLOOKUP($B789,$C$4:$D$13,2,FALSE()),0),0))</f>
        <v/>
      </c>
      <c r="T789" s="17" t="str">
        <f aca="false">IF($Q789="","",ROUNDDOWN($Q789*$S789,0))</f>
        <v/>
      </c>
      <c r="U789" s="17" t="str">
        <f aca="false">IF($Q789="","",$Q789-$T789)</f>
        <v/>
      </c>
      <c r="V789" s="17" t="str">
        <f aca="false">IF($U789="","",IF($B$10=0,"",$U789/$B$10))</f>
        <v/>
      </c>
      <c r="W789" s="17" t="str">
        <f aca="false">IF($Q789="","",IF($B$10=0,"",$Q789/$B$10))</f>
        <v/>
      </c>
      <c r="X789" s="19" t="n">
        <f aca="false">IF($U789="",1000000000000000,$U789)</f>
        <v>1000000000000000</v>
      </c>
    </row>
    <row r="790" s="6" customFormat="true" ht="28.6" hidden="false" customHeight="true" outlineLevel="0" collapsed="false">
      <c r="A790" s="16" t="str">
        <f aca="false">IF($U790="","",1+COUNTIF($X$15:$X$728,"&lt;"&amp;X790))</f>
        <v/>
      </c>
      <c r="B790" s="16" t="s">
        <v>12</v>
      </c>
      <c r="C790" s="16" t="s">
        <v>2345</v>
      </c>
      <c r="D790" s="20" t="s">
        <v>112</v>
      </c>
      <c r="E790" s="16" t="s">
        <v>47</v>
      </c>
      <c r="F790" s="16" t="s">
        <v>2346</v>
      </c>
      <c r="G790" s="16" t="s">
        <v>2347</v>
      </c>
      <c r="H790" s="17" t="n">
        <v>1948</v>
      </c>
      <c r="I790" s="17"/>
      <c r="J790" s="17"/>
      <c r="K790" s="17" t="n">
        <v>1978</v>
      </c>
      <c r="L790" s="17" t="n">
        <f aca="false">IF(AND(IFERROR(SEARCH("현대오일뱅크",$C790),0)&gt;0,IFERROR(SEARCH("직영",$C790),0)&gt;0),$B$13,0)</f>
        <v>0</v>
      </c>
      <c r="M790" s="17" t="n">
        <f aca="false">IF($H790="","",$H790+$L790)</f>
        <v>1948</v>
      </c>
      <c r="N790" s="17" t="str">
        <f aca="false">IF($I790="","",$I790+$L790)</f>
        <v/>
      </c>
      <c r="O790" s="17" t="n">
        <f aca="false">IF($K790="","",$K790+$L790)</f>
        <v>1978</v>
      </c>
      <c r="P790" s="17" t="str">
        <f aca="false">IF($B$10=0,"",IFERROR(IF($B$4&gt;0,"휘발유 "&amp;TEXT(IF($M790="",1/0,$M790*$B$4),"#,##0")&amp;"원","")&amp;IF($B$5&gt;0,IF($B$4&gt;0," / ","")&amp;"고급유 "&amp;TEXT(IF($N790="",1/0,$N790*$B$5),"#,##0")&amp;"원","")&amp;IF($B$6&gt;0,IF(OR($B$4&gt;0,$B$5&gt;0)," / ","")&amp;"경유 "&amp;TEXT(IF($O790="",1/0,$O790*$B$6),"#,##0")&amp;"원",""),""))</f>
        <v/>
      </c>
      <c r="Q790" s="17" t="str">
        <f aca="false">IF($B$10=0,"",IFERROR(IF($B$4&gt;0,IF($M790="",1/0,$M790*$B$4),0)+IF($B$5&gt;0,IF($N790="",1/0,$N790*$B$5),0)+IF($B$6&gt;0,IF($O790="",1/0,$O790*$B$6),0),""))</f>
        <v/>
      </c>
      <c r="R790" s="17"/>
      <c r="S790" s="18" t="str">
        <f aca="false">IF($Q790="","",IF($R790="Y",IFERROR(VLOOKUP($B790,$C$4:$D$13,2,FALSE()),0),0))</f>
        <v/>
      </c>
      <c r="T790" s="17" t="str">
        <f aca="false">IF($Q790="","",ROUNDDOWN($Q790*$S790,0))</f>
        <v/>
      </c>
      <c r="U790" s="17" t="str">
        <f aca="false">IF($Q790="","",$Q790-$T790)</f>
        <v/>
      </c>
      <c r="V790" s="17" t="str">
        <f aca="false">IF($U790="","",IF($B$10=0,"",$U790/$B$10))</f>
        <v/>
      </c>
      <c r="W790" s="17" t="str">
        <f aca="false">IF($Q790="","",IF($B$10=0,"",$Q790/$B$10))</f>
        <v/>
      </c>
      <c r="X790" s="19" t="n">
        <f aca="false">IF($U790="",1000000000000000,$U790)</f>
        <v>1000000000000000</v>
      </c>
    </row>
    <row r="791" s="6" customFormat="true" ht="28.6" hidden="false" customHeight="true" outlineLevel="0" collapsed="false">
      <c r="A791" s="16" t="str">
        <f aca="false">IF($U791="","",1+COUNTIF($X$15:$X$728,"&lt;"&amp;X791))</f>
        <v/>
      </c>
      <c r="B791" s="16" t="s">
        <v>14</v>
      </c>
      <c r="C791" s="16" t="s">
        <v>2348</v>
      </c>
      <c r="D791" s="16" t="s">
        <v>58</v>
      </c>
      <c r="E791" s="16" t="s">
        <v>47</v>
      </c>
      <c r="F791" s="16" t="s">
        <v>2349</v>
      </c>
      <c r="G791" s="16" t="s">
        <v>2350</v>
      </c>
      <c r="H791" s="17" t="n">
        <v>1948</v>
      </c>
      <c r="I791" s="17"/>
      <c r="J791" s="17"/>
      <c r="K791" s="17" t="n">
        <v>1998</v>
      </c>
      <c r="L791" s="17" t="n">
        <f aca="false">IF(AND(IFERROR(SEARCH("현대오일뱅크",$C791),0)&gt;0,IFERROR(SEARCH("직영",$C791),0)&gt;0),$B$13,0)</f>
        <v>0</v>
      </c>
      <c r="M791" s="17" t="n">
        <f aca="false">IF($H791="","",$H791+$L791)</f>
        <v>1948</v>
      </c>
      <c r="N791" s="17" t="str">
        <f aca="false">IF($I791="","",$I791+$L791)</f>
        <v/>
      </c>
      <c r="O791" s="17" t="n">
        <f aca="false">IF($K791="","",$K791+$L791)</f>
        <v>1998</v>
      </c>
      <c r="P791" s="17" t="str">
        <f aca="false">IF($B$10=0,"",IFERROR(IF($B$4&gt;0,"휘발유 "&amp;TEXT(IF($M791="",1/0,$M791*$B$4),"#,##0")&amp;"원","")&amp;IF($B$5&gt;0,IF($B$4&gt;0," / ","")&amp;"고급유 "&amp;TEXT(IF($N791="",1/0,$N791*$B$5),"#,##0")&amp;"원","")&amp;IF($B$6&gt;0,IF(OR($B$4&gt;0,$B$5&gt;0)," / ","")&amp;"경유 "&amp;TEXT(IF($O791="",1/0,$O791*$B$6),"#,##0")&amp;"원",""),""))</f>
        <v/>
      </c>
      <c r="Q791" s="17" t="str">
        <f aca="false">IF($B$10=0,"",IFERROR(IF($B$4&gt;0,IF($M791="",1/0,$M791*$B$4),0)+IF($B$5&gt;0,IF($N791="",1/0,$N791*$B$5),0)+IF($B$6&gt;0,IF($O791="",1/0,$O791*$B$6),0),""))</f>
        <v/>
      </c>
      <c r="R791" s="17"/>
      <c r="S791" s="18" t="str">
        <f aca="false">IF($Q791="","",IF($R791="Y",IFERROR(VLOOKUP($B791,$C$4:$D$13,2,FALSE()),0),0))</f>
        <v/>
      </c>
      <c r="T791" s="17" t="str">
        <f aca="false">IF($Q791="","",ROUNDDOWN($Q791*$S791,0))</f>
        <v/>
      </c>
      <c r="U791" s="17" t="str">
        <f aca="false">IF($Q791="","",$Q791-$T791)</f>
        <v/>
      </c>
      <c r="V791" s="17" t="str">
        <f aca="false">IF($U791="","",IF($B$10=0,"",$U791/$B$10))</f>
        <v/>
      </c>
      <c r="W791" s="17" t="str">
        <f aca="false">IF($Q791="","",IF($B$10=0,"",$Q791/$B$10))</f>
        <v/>
      </c>
      <c r="X791" s="19" t="n">
        <f aca="false">IF($U791="",1000000000000000,$U791)</f>
        <v>1000000000000000</v>
      </c>
    </row>
    <row r="792" s="6" customFormat="true" ht="28.6" hidden="false" customHeight="true" outlineLevel="0" collapsed="false">
      <c r="A792" s="16" t="str">
        <f aca="false">IF($U792="","",1+COUNTIF($X$15:$X$728,"&lt;"&amp;X792))</f>
        <v/>
      </c>
      <c r="B792" s="16" t="s">
        <v>14</v>
      </c>
      <c r="C792" s="16" t="s">
        <v>2351</v>
      </c>
      <c r="D792" s="20" t="s">
        <v>108</v>
      </c>
      <c r="E792" s="16" t="s">
        <v>47</v>
      </c>
      <c r="F792" s="16" t="s">
        <v>2352</v>
      </c>
      <c r="G792" s="16" t="s">
        <v>2353</v>
      </c>
      <c r="H792" s="17" t="n">
        <v>1948</v>
      </c>
      <c r="I792" s="17"/>
      <c r="J792" s="17"/>
      <c r="K792" s="17" t="n">
        <v>1998</v>
      </c>
      <c r="L792" s="17" t="n">
        <f aca="false">IF(AND(IFERROR(SEARCH("현대오일뱅크",$C792),0)&gt;0,IFERROR(SEARCH("직영",$C792),0)&gt;0),$B$13,0)</f>
        <v>0</v>
      </c>
      <c r="M792" s="17" t="n">
        <f aca="false">IF($H792="","",$H792+$L792)</f>
        <v>1948</v>
      </c>
      <c r="N792" s="17" t="str">
        <f aca="false">IF($I792="","",$I792+$L792)</f>
        <v/>
      </c>
      <c r="O792" s="17" t="n">
        <f aca="false">IF($K792="","",$K792+$L792)</f>
        <v>1998</v>
      </c>
      <c r="P792" s="17" t="str">
        <f aca="false">IF($B$10=0,"",IFERROR(IF($B$4&gt;0,"휘발유 "&amp;TEXT(IF($M792="",1/0,$M792*$B$4),"#,##0")&amp;"원","")&amp;IF($B$5&gt;0,IF($B$4&gt;0," / ","")&amp;"고급유 "&amp;TEXT(IF($N792="",1/0,$N792*$B$5),"#,##0")&amp;"원","")&amp;IF($B$6&gt;0,IF(OR($B$4&gt;0,$B$5&gt;0)," / ","")&amp;"경유 "&amp;TEXT(IF($O792="",1/0,$O792*$B$6),"#,##0")&amp;"원",""),""))</f>
        <v/>
      </c>
      <c r="Q792" s="17" t="str">
        <f aca="false">IF($B$10=0,"",IFERROR(IF($B$4&gt;0,IF($M792="",1/0,$M792*$B$4),0)+IF($B$5&gt;0,IF($N792="",1/0,$N792*$B$5),0)+IF($B$6&gt;0,IF($O792="",1/0,$O792*$B$6),0),""))</f>
        <v/>
      </c>
      <c r="R792" s="17"/>
      <c r="S792" s="18" t="str">
        <f aca="false">IF($Q792="","",IF($R792="Y",IFERROR(VLOOKUP($B792,$C$4:$D$13,2,FALSE()),0),0))</f>
        <v/>
      </c>
      <c r="T792" s="17" t="str">
        <f aca="false">IF($Q792="","",ROUNDDOWN($Q792*$S792,0))</f>
        <v/>
      </c>
      <c r="U792" s="17" t="str">
        <f aca="false">IF($Q792="","",$Q792-$T792)</f>
        <v/>
      </c>
      <c r="V792" s="17" t="str">
        <f aca="false">IF($U792="","",IF($B$10=0,"",$U792/$B$10))</f>
        <v/>
      </c>
      <c r="W792" s="17" t="str">
        <f aca="false">IF($Q792="","",IF($B$10=0,"",$Q792/$B$10))</f>
        <v/>
      </c>
      <c r="X792" s="19" t="n">
        <f aca="false">IF($U792="",1000000000000000,$U792)</f>
        <v>1000000000000000</v>
      </c>
    </row>
    <row r="793" s="6" customFormat="true" ht="28.6" hidden="false" customHeight="true" outlineLevel="0" collapsed="false">
      <c r="A793" s="16" t="str">
        <f aca="false">IF($U793="","",1+COUNTIF($X$15:$X$728,"&lt;"&amp;X793))</f>
        <v/>
      </c>
      <c r="B793" s="16" t="s">
        <v>12</v>
      </c>
      <c r="C793" s="16" t="s">
        <v>2354</v>
      </c>
      <c r="D793" s="20" t="s">
        <v>108</v>
      </c>
      <c r="E793" s="16" t="s">
        <v>47</v>
      </c>
      <c r="F793" s="16" t="s">
        <v>2355</v>
      </c>
      <c r="G793" s="16" t="s">
        <v>2356</v>
      </c>
      <c r="H793" s="17" t="n">
        <v>1948</v>
      </c>
      <c r="I793" s="17"/>
      <c r="J793" s="17"/>
      <c r="K793" s="17" t="n">
        <v>1968</v>
      </c>
      <c r="L793" s="17" t="n">
        <f aca="false">IF(AND(IFERROR(SEARCH("현대오일뱅크",$C793),0)&gt;0,IFERROR(SEARCH("직영",$C793),0)&gt;0),$B$13,0)</f>
        <v>0</v>
      </c>
      <c r="M793" s="17" t="n">
        <f aca="false">IF($H793="","",$H793+$L793)</f>
        <v>1948</v>
      </c>
      <c r="N793" s="17" t="str">
        <f aca="false">IF($I793="","",$I793+$L793)</f>
        <v/>
      </c>
      <c r="O793" s="17" t="n">
        <f aca="false">IF($K793="","",$K793+$L793)</f>
        <v>1968</v>
      </c>
      <c r="P793" s="17" t="str">
        <f aca="false">IF($B$10=0,"",IFERROR(IF($B$4&gt;0,"휘발유 "&amp;TEXT(IF($M793="",1/0,$M793*$B$4),"#,##0")&amp;"원","")&amp;IF($B$5&gt;0,IF($B$4&gt;0," / ","")&amp;"고급유 "&amp;TEXT(IF($N793="",1/0,$N793*$B$5),"#,##0")&amp;"원","")&amp;IF($B$6&gt;0,IF(OR($B$4&gt;0,$B$5&gt;0)," / ","")&amp;"경유 "&amp;TEXT(IF($O793="",1/0,$O793*$B$6),"#,##0")&amp;"원",""),""))</f>
        <v/>
      </c>
      <c r="Q793" s="17" t="str">
        <f aca="false">IF($B$10=0,"",IFERROR(IF($B$4&gt;0,IF($M793="",1/0,$M793*$B$4),0)+IF($B$5&gt;0,IF($N793="",1/0,$N793*$B$5),0)+IF($B$6&gt;0,IF($O793="",1/0,$O793*$B$6),0),""))</f>
        <v/>
      </c>
      <c r="R793" s="17"/>
      <c r="S793" s="18" t="str">
        <f aca="false">IF($Q793="","",IF($R793="Y",IFERROR(VLOOKUP($B793,$C$4:$D$13,2,FALSE()),0),0))</f>
        <v/>
      </c>
      <c r="T793" s="17" t="str">
        <f aca="false">IF($Q793="","",ROUNDDOWN($Q793*$S793,0))</f>
        <v/>
      </c>
      <c r="U793" s="17" t="str">
        <f aca="false">IF($Q793="","",$Q793-$T793)</f>
        <v/>
      </c>
      <c r="V793" s="17" t="str">
        <f aca="false">IF($U793="","",IF($B$10=0,"",$U793/$B$10))</f>
        <v/>
      </c>
      <c r="W793" s="17" t="str">
        <f aca="false">IF($Q793="","",IF($B$10=0,"",$Q793/$B$10))</f>
        <v/>
      </c>
      <c r="X793" s="19" t="n">
        <f aca="false">IF($U793="",1000000000000000,$U793)</f>
        <v>1000000000000000</v>
      </c>
    </row>
    <row r="794" s="6" customFormat="true" ht="28.6" hidden="false" customHeight="true" outlineLevel="0" collapsed="false">
      <c r="A794" s="16" t="str">
        <f aca="false">IF($U794="","",1+COUNTIF($X$15:$X$728,"&lt;"&amp;X794))</f>
        <v/>
      </c>
      <c r="B794" s="16" t="s">
        <v>10</v>
      </c>
      <c r="C794" s="16" t="s">
        <v>466</v>
      </c>
      <c r="D794" s="16" t="s">
        <v>58</v>
      </c>
      <c r="E794" s="16" t="s">
        <v>59</v>
      </c>
      <c r="F794" s="16" t="s">
        <v>2357</v>
      </c>
      <c r="G794" s="16" t="s">
        <v>2358</v>
      </c>
      <c r="H794" s="17" t="n">
        <v>1948</v>
      </c>
      <c r="I794" s="17"/>
      <c r="J794" s="17"/>
      <c r="K794" s="17" t="n">
        <v>1968</v>
      </c>
      <c r="L794" s="17" t="n">
        <f aca="false">IF(AND(IFERROR(SEARCH("현대오일뱅크",$C794),0)&gt;0,IFERROR(SEARCH("직영",$C794),0)&gt;0),$B$13,0)</f>
        <v>0</v>
      </c>
      <c r="M794" s="17" t="n">
        <f aca="false">IF($H794="","",$H794+$L794)</f>
        <v>1948</v>
      </c>
      <c r="N794" s="17" t="str">
        <f aca="false">IF($I794="","",$I794+$L794)</f>
        <v/>
      </c>
      <c r="O794" s="17" t="n">
        <f aca="false">IF($K794="","",$K794+$L794)</f>
        <v>1968</v>
      </c>
      <c r="P794" s="17" t="str">
        <f aca="false">IF($B$10=0,"",IFERROR(IF($B$4&gt;0,"휘발유 "&amp;TEXT(IF($M794="",1/0,$M794*$B$4),"#,##0")&amp;"원","")&amp;IF($B$5&gt;0,IF($B$4&gt;0," / ","")&amp;"고급유 "&amp;TEXT(IF($N794="",1/0,$N794*$B$5),"#,##0")&amp;"원","")&amp;IF($B$6&gt;0,IF(OR($B$4&gt;0,$B$5&gt;0)," / ","")&amp;"경유 "&amp;TEXT(IF($O794="",1/0,$O794*$B$6),"#,##0")&amp;"원",""),""))</f>
        <v/>
      </c>
      <c r="Q794" s="17" t="str">
        <f aca="false">IF($B$10=0,"",IFERROR(IF($B$4&gt;0,IF($M794="",1/0,$M794*$B$4),0)+IF($B$5&gt;0,IF($N794="",1/0,$N794*$B$5),0)+IF($B$6&gt;0,IF($O794="",1/0,$O794*$B$6),0),""))</f>
        <v/>
      </c>
      <c r="R794" s="17"/>
      <c r="S794" s="18" t="str">
        <f aca="false">IF($Q794="","",IF($R794="Y",IFERROR(VLOOKUP($B794,$C$4:$D$13,2,FALSE()),0),0))</f>
        <v/>
      </c>
      <c r="T794" s="17" t="str">
        <f aca="false">IF($Q794="","",ROUNDDOWN($Q794*$S794,0))</f>
        <v/>
      </c>
      <c r="U794" s="17" t="str">
        <f aca="false">IF($Q794="","",$Q794-$T794)</f>
        <v/>
      </c>
      <c r="V794" s="17" t="str">
        <f aca="false">IF($U794="","",IF($B$10=0,"",$U794/$B$10))</f>
        <v/>
      </c>
      <c r="W794" s="17" t="str">
        <f aca="false">IF($Q794="","",IF($B$10=0,"",$Q794/$B$10))</f>
        <v/>
      </c>
      <c r="X794" s="19" t="n">
        <f aca="false">IF($U794="",1000000000000000,$U794)</f>
        <v>1000000000000000</v>
      </c>
    </row>
    <row r="795" s="6" customFormat="true" ht="28.6" hidden="false" customHeight="true" outlineLevel="0" collapsed="false">
      <c r="A795" s="16" t="str">
        <f aca="false">IF($U795="","",1+COUNTIF($X$15:$X$728,"&lt;"&amp;X795))</f>
        <v/>
      </c>
      <c r="B795" s="16" t="s">
        <v>6</v>
      </c>
      <c r="C795" s="16" t="s">
        <v>2359</v>
      </c>
      <c r="D795" s="16" t="s">
        <v>112</v>
      </c>
      <c r="E795" s="16" t="s">
        <v>47</v>
      </c>
      <c r="F795" s="16" t="s">
        <v>2360</v>
      </c>
      <c r="G795" s="16" t="s">
        <v>2361</v>
      </c>
      <c r="H795" s="17" t="n">
        <v>1949</v>
      </c>
      <c r="I795" s="17"/>
      <c r="J795" s="17"/>
      <c r="K795" s="17" t="n">
        <v>2049</v>
      </c>
      <c r="L795" s="17" t="n">
        <f aca="false">IF(AND(IFERROR(SEARCH("현대오일뱅크",$C795),0)&gt;0,IFERROR(SEARCH("직영",$C795),0)&gt;0),$B$13,0)</f>
        <v>0</v>
      </c>
      <c r="M795" s="17" t="n">
        <f aca="false">IF($H795="","",$H795+$L795)</f>
        <v>1949</v>
      </c>
      <c r="N795" s="17" t="str">
        <f aca="false">IF($I795="","",$I795+$L795)</f>
        <v/>
      </c>
      <c r="O795" s="17" t="n">
        <f aca="false">IF($K795="","",$K795+$L795)</f>
        <v>2049</v>
      </c>
      <c r="P795" s="17" t="str">
        <f aca="false">IF($B$10=0,"",IFERROR(IF($B$4&gt;0,"휘발유 "&amp;TEXT(IF($M795="",1/0,$M795*$B$4),"#,##0")&amp;"원","")&amp;IF($B$5&gt;0,IF($B$4&gt;0," / ","")&amp;"고급유 "&amp;TEXT(IF($N795="",1/0,$N795*$B$5),"#,##0")&amp;"원","")&amp;IF($B$6&gt;0,IF(OR($B$4&gt;0,$B$5&gt;0)," / ","")&amp;"경유 "&amp;TEXT(IF($O795="",1/0,$O795*$B$6),"#,##0")&amp;"원",""),""))</f>
        <v/>
      </c>
      <c r="Q795" s="17" t="str">
        <f aca="false">IF($B$10=0,"",IFERROR(IF($B$4&gt;0,IF($M795="",1/0,$M795*$B$4),0)+IF($B$5&gt;0,IF($N795="",1/0,$N795*$B$5),0)+IF($B$6&gt;0,IF($O795="",1/0,$O795*$B$6),0),""))</f>
        <v/>
      </c>
      <c r="R795" s="17"/>
      <c r="S795" s="18" t="str">
        <f aca="false">IF($Q795="","",IF($R795="Y",IFERROR(VLOOKUP($B795,$C$4:$D$13,2,FALSE()),0),0))</f>
        <v/>
      </c>
      <c r="T795" s="17" t="str">
        <f aca="false">IF($Q795="","",ROUNDDOWN($Q795*$S795,0))</f>
        <v/>
      </c>
      <c r="U795" s="17" t="str">
        <f aca="false">IF($Q795="","",$Q795-$T795)</f>
        <v/>
      </c>
      <c r="V795" s="17" t="str">
        <f aca="false">IF($U795="","",IF($B$10=0,"",$U795/$B$10))</f>
        <v/>
      </c>
      <c r="W795" s="17" t="str">
        <f aca="false">IF($Q795="","",IF($B$10=0,"",$Q795/$B$10))</f>
        <v/>
      </c>
      <c r="X795" s="19" t="n">
        <f aca="false">IF($U795="",1000000000000000,$U795)</f>
        <v>1000000000000000</v>
      </c>
    </row>
    <row r="796" s="6" customFormat="true" ht="28.6" hidden="false" customHeight="true" outlineLevel="0" collapsed="false">
      <c r="A796" s="16" t="str">
        <f aca="false">IF($U796="","",1+COUNTIF($X$15:$X$728,"&lt;"&amp;X796))</f>
        <v/>
      </c>
      <c r="B796" s="16" t="s">
        <v>12</v>
      </c>
      <c r="C796" s="16" t="s">
        <v>2362</v>
      </c>
      <c r="D796" s="20" t="s">
        <v>248</v>
      </c>
      <c r="E796" s="16" t="s">
        <v>47</v>
      </c>
      <c r="F796" s="16" t="s">
        <v>2363</v>
      </c>
      <c r="G796" s="16" t="s">
        <v>2364</v>
      </c>
      <c r="H796" s="17" t="n">
        <v>1949</v>
      </c>
      <c r="I796" s="17"/>
      <c r="J796" s="17"/>
      <c r="K796" s="17" t="n">
        <v>2059</v>
      </c>
      <c r="L796" s="17" t="n">
        <f aca="false">IF(AND(IFERROR(SEARCH("현대오일뱅크",$C796),0)&gt;0,IFERROR(SEARCH("직영",$C796),0)&gt;0),$B$13,0)</f>
        <v>0</v>
      </c>
      <c r="M796" s="17" t="n">
        <f aca="false">IF($H796="","",$H796+$L796)</f>
        <v>1949</v>
      </c>
      <c r="N796" s="17" t="str">
        <f aca="false">IF($I796="","",$I796+$L796)</f>
        <v/>
      </c>
      <c r="O796" s="17" t="n">
        <f aca="false">IF($K796="","",$K796+$L796)</f>
        <v>2059</v>
      </c>
      <c r="P796" s="17" t="str">
        <f aca="false">IF($B$10=0,"",IFERROR(IF($B$4&gt;0,"휘발유 "&amp;TEXT(IF($M796="",1/0,$M796*$B$4),"#,##0")&amp;"원","")&amp;IF($B$5&gt;0,IF($B$4&gt;0," / ","")&amp;"고급유 "&amp;TEXT(IF($N796="",1/0,$N796*$B$5),"#,##0")&amp;"원","")&amp;IF($B$6&gt;0,IF(OR($B$4&gt;0,$B$5&gt;0)," / ","")&amp;"경유 "&amp;TEXT(IF($O796="",1/0,$O796*$B$6),"#,##0")&amp;"원",""),""))</f>
        <v/>
      </c>
      <c r="Q796" s="17" t="str">
        <f aca="false">IF($B$10=0,"",IFERROR(IF($B$4&gt;0,IF($M796="",1/0,$M796*$B$4),0)+IF($B$5&gt;0,IF($N796="",1/0,$N796*$B$5),0)+IF($B$6&gt;0,IF($O796="",1/0,$O796*$B$6),0),""))</f>
        <v/>
      </c>
      <c r="R796" s="17"/>
      <c r="S796" s="18" t="str">
        <f aca="false">IF($Q796="","",IF($R796="Y",IFERROR(VLOOKUP($B796,$C$4:$D$13,2,FALSE()),0),0))</f>
        <v/>
      </c>
      <c r="T796" s="17" t="str">
        <f aca="false">IF($Q796="","",ROUNDDOWN($Q796*$S796,0))</f>
        <v/>
      </c>
      <c r="U796" s="17" t="str">
        <f aca="false">IF($Q796="","",$Q796-$T796)</f>
        <v/>
      </c>
      <c r="V796" s="17" t="str">
        <f aca="false">IF($U796="","",IF($B$10=0,"",$U796/$B$10))</f>
        <v/>
      </c>
      <c r="W796" s="17" t="str">
        <f aca="false">IF($Q796="","",IF($B$10=0,"",$Q796/$B$10))</f>
        <v/>
      </c>
      <c r="X796" s="19" t="n">
        <f aca="false">IF($U796="",1000000000000000,$U796)</f>
        <v>1000000000000000</v>
      </c>
    </row>
    <row r="797" s="6" customFormat="true" ht="28.6" hidden="false" customHeight="true" outlineLevel="0" collapsed="false">
      <c r="A797" s="16" t="str">
        <f aca="false">IF($U797="","",1+COUNTIF($X$15:$X$728,"&lt;"&amp;X797))</f>
        <v/>
      </c>
      <c r="B797" s="16" t="s">
        <v>8</v>
      </c>
      <c r="C797" s="16" t="s">
        <v>2365</v>
      </c>
      <c r="D797" s="20" t="s">
        <v>108</v>
      </c>
      <c r="E797" s="16" t="s">
        <v>47</v>
      </c>
      <c r="F797" s="16" t="s">
        <v>2366</v>
      </c>
      <c r="G797" s="16" t="s">
        <v>2367</v>
      </c>
      <c r="H797" s="17" t="n">
        <v>1949</v>
      </c>
      <c r="I797" s="17"/>
      <c r="J797" s="17"/>
      <c r="K797" s="17" t="n">
        <v>1929</v>
      </c>
      <c r="L797" s="17" t="n">
        <f aca="false">IF(AND(IFERROR(SEARCH("현대오일뱅크",$C797),0)&gt;0,IFERROR(SEARCH("직영",$C797),0)&gt;0),$B$13,0)</f>
        <v>0</v>
      </c>
      <c r="M797" s="17" t="n">
        <f aca="false">IF($H797="","",$H797+$L797)</f>
        <v>1949</v>
      </c>
      <c r="N797" s="17" t="str">
        <f aca="false">IF($I797="","",$I797+$L797)</f>
        <v/>
      </c>
      <c r="O797" s="17" t="n">
        <f aca="false">IF($K797="","",$K797+$L797)</f>
        <v>1929</v>
      </c>
      <c r="P797" s="17" t="str">
        <f aca="false">IF($B$10=0,"",IFERROR(IF($B$4&gt;0,"휘발유 "&amp;TEXT(IF($M797="",1/0,$M797*$B$4),"#,##0")&amp;"원","")&amp;IF($B$5&gt;0,IF($B$4&gt;0," / ","")&amp;"고급유 "&amp;TEXT(IF($N797="",1/0,$N797*$B$5),"#,##0")&amp;"원","")&amp;IF($B$6&gt;0,IF(OR($B$4&gt;0,$B$5&gt;0)," / ","")&amp;"경유 "&amp;TEXT(IF($O797="",1/0,$O797*$B$6),"#,##0")&amp;"원",""),""))</f>
        <v/>
      </c>
      <c r="Q797" s="17" t="str">
        <f aca="false">IF($B$10=0,"",IFERROR(IF($B$4&gt;0,IF($M797="",1/0,$M797*$B$4),0)+IF($B$5&gt;0,IF($N797="",1/0,$N797*$B$5),0)+IF($B$6&gt;0,IF($O797="",1/0,$O797*$B$6),0),""))</f>
        <v/>
      </c>
      <c r="R797" s="17"/>
      <c r="S797" s="18" t="str">
        <f aca="false">IF($Q797="","",IF($R797="Y",IFERROR(VLOOKUP($B797,$C$4:$D$13,2,FALSE()),0),0))</f>
        <v/>
      </c>
      <c r="T797" s="17" t="str">
        <f aca="false">IF($Q797="","",ROUNDDOWN($Q797*$S797,0))</f>
        <v/>
      </c>
      <c r="U797" s="17" t="str">
        <f aca="false">IF($Q797="","",$Q797-$T797)</f>
        <v/>
      </c>
      <c r="V797" s="17" t="str">
        <f aca="false">IF($U797="","",IF($B$10=0,"",$U797/$B$10))</f>
        <v/>
      </c>
      <c r="W797" s="17" t="str">
        <f aca="false">IF($Q797="","",IF($B$10=0,"",$Q797/$B$10))</f>
        <v/>
      </c>
      <c r="X797" s="19" t="n">
        <f aca="false">IF($U797="",1000000000000000,$U797)</f>
        <v>1000000000000000</v>
      </c>
    </row>
    <row r="798" s="6" customFormat="true" ht="28.6" hidden="false" customHeight="true" outlineLevel="0" collapsed="false">
      <c r="A798" s="16" t="str">
        <f aca="false">IF($U798="","",1+COUNTIF($X$15:$X$728,"&lt;"&amp;X798))</f>
        <v/>
      </c>
      <c r="B798" s="16" t="s">
        <v>14</v>
      </c>
      <c r="C798" s="16" t="s">
        <v>2368</v>
      </c>
      <c r="D798" s="16" t="s">
        <v>112</v>
      </c>
      <c r="E798" s="16" t="s">
        <v>59</v>
      </c>
      <c r="F798" s="16" t="s">
        <v>2369</v>
      </c>
      <c r="G798" s="16" t="s">
        <v>2370</v>
      </c>
      <c r="H798" s="17" t="n">
        <v>1949</v>
      </c>
      <c r="I798" s="17"/>
      <c r="J798" s="17"/>
      <c r="K798" s="17" t="n">
        <v>1999</v>
      </c>
      <c r="L798" s="17" t="n">
        <f aca="false">IF(AND(IFERROR(SEARCH("현대오일뱅크",$C798),0)&gt;0,IFERROR(SEARCH("직영",$C798),0)&gt;0),$B$13,0)</f>
        <v>0</v>
      </c>
      <c r="M798" s="17" t="n">
        <f aca="false">IF($H798="","",$H798+$L798)</f>
        <v>1949</v>
      </c>
      <c r="N798" s="17" t="str">
        <f aca="false">IF($I798="","",$I798+$L798)</f>
        <v/>
      </c>
      <c r="O798" s="17" t="n">
        <f aca="false">IF($K798="","",$K798+$L798)</f>
        <v>1999</v>
      </c>
      <c r="P798" s="17" t="str">
        <f aca="false">IF($B$10=0,"",IFERROR(IF($B$4&gt;0,"휘발유 "&amp;TEXT(IF($M798="",1/0,$M798*$B$4),"#,##0")&amp;"원","")&amp;IF($B$5&gt;0,IF($B$4&gt;0," / ","")&amp;"고급유 "&amp;TEXT(IF($N798="",1/0,$N798*$B$5),"#,##0")&amp;"원","")&amp;IF($B$6&gt;0,IF(OR($B$4&gt;0,$B$5&gt;0)," / ","")&amp;"경유 "&amp;TEXT(IF($O798="",1/0,$O798*$B$6),"#,##0")&amp;"원",""),""))</f>
        <v/>
      </c>
      <c r="Q798" s="17" t="str">
        <f aca="false">IF($B$10=0,"",IFERROR(IF($B$4&gt;0,IF($M798="",1/0,$M798*$B$4),0)+IF($B$5&gt;0,IF($N798="",1/0,$N798*$B$5),0)+IF($B$6&gt;0,IF($O798="",1/0,$O798*$B$6),0),""))</f>
        <v/>
      </c>
      <c r="R798" s="17"/>
      <c r="S798" s="18" t="str">
        <f aca="false">IF($Q798="","",IF($R798="Y",IFERROR(VLOOKUP($B798,$C$4:$D$13,2,FALSE()),0),0))</f>
        <v/>
      </c>
      <c r="T798" s="17" t="str">
        <f aca="false">IF($Q798="","",ROUNDDOWN($Q798*$S798,0))</f>
        <v/>
      </c>
      <c r="U798" s="17" t="str">
        <f aca="false">IF($Q798="","",$Q798-$T798)</f>
        <v/>
      </c>
      <c r="V798" s="17" t="str">
        <f aca="false">IF($U798="","",IF($B$10=0,"",$U798/$B$10))</f>
        <v/>
      </c>
      <c r="W798" s="17" t="str">
        <f aca="false">IF($Q798="","",IF($B$10=0,"",$Q798/$B$10))</f>
        <v/>
      </c>
      <c r="X798" s="19" t="n">
        <f aca="false">IF($U798="",1000000000000000,$U798)</f>
        <v>1000000000000000</v>
      </c>
    </row>
    <row r="799" s="6" customFormat="true" ht="28.6" hidden="false" customHeight="true" outlineLevel="0" collapsed="false">
      <c r="A799" s="16" t="str">
        <f aca="false">IF($U799="","",1+COUNTIF($X$15:$X$728,"&lt;"&amp;X799))</f>
        <v/>
      </c>
      <c r="B799" s="16" t="s">
        <v>16</v>
      </c>
      <c r="C799" s="16" t="s">
        <v>2371</v>
      </c>
      <c r="D799" s="20" t="s">
        <v>108</v>
      </c>
      <c r="E799" s="16" t="s">
        <v>47</v>
      </c>
      <c r="F799" s="16" t="s">
        <v>2372</v>
      </c>
      <c r="G799" s="16" t="s">
        <v>2373</v>
      </c>
      <c r="H799" s="17" t="n">
        <v>1850</v>
      </c>
      <c r="I799" s="17"/>
      <c r="J799" s="17"/>
      <c r="K799" s="17" t="n">
        <v>1870</v>
      </c>
      <c r="L799" s="17" t="n">
        <f aca="false">IF(AND(IFERROR(SEARCH("현대오일뱅크",$C799),0)&gt;0,IFERROR(SEARCH("직영",$C799),0)&gt;0),$B$13,0)</f>
        <v>0</v>
      </c>
      <c r="M799" s="17" t="n">
        <f aca="false">IF($H799="","",$H799+$L799)</f>
        <v>1850</v>
      </c>
      <c r="N799" s="17" t="str">
        <f aca="false">IF($I799="","",$I799+$L799)</f>
        <v/>
      </c>
      <c r="O799" s="17" t="n">
        <f aca="false">IF($K799="","",$K799+$L799)</f>
        <v>1870</v>
      </c>
      <c r="P799" s="17" t="str">
        <f aca="false">IF($B$10=0,"",IFERROR(IF($B$4&gt;0,"휘발유 "&amp;TEXT(IF($M799="",1/0,$M799*$B$4),"#,##0")&amp;"원","")&amp;IF($B$5&gt;0,IF($B$4&gt;0," / ","")&amp;"고급유 "&amp;TEXT(IF($N799="",1/0,$N799*$B$5),"#,##0")&amp;"원","")&amp;IF($B$6&gt;0,IF(OR($B$4&gt;0,$B$5&gt;0)," / ","")&amp;"경유 "&amp;TEXT(IF($O799="",1/0,$O799*$B$6),"#,##0")&amp;"원",""),""))</f>
        <v/>
      </c>
      <c r="Q799" s="17" t="str">
        <f aca="false">IF($B$10=0,"",IFERROR(IF($B$4&gt;0,IF($M799="",1/0,$M799*$B$4),0)+IF($B$5&gt;0,IF($N799="",1/0,$N799*$B$5),0)+IF($B$6&gt;0,IF($O799="",1/0,$O799*$B$6),0),""))</f>
        <v/>
      </c>
      <c r="R799" s="17"/>
      <c r="S799" s="18" t="str">
        <f aca="false">IF($Q799="","",IF($R799="Y",IFERROR(VLOOKUP($B799,$C$4:$D$13,2,FALSE()),0),0))</f>
        <v/>
      </c>
      <c r="T799" s="17" t="str">
        <f aca="false">IF($Q799="","",ROUNDDOWN($Q799*$S799,0))</f>
        <v/>
      </c>
      <c r="U799" s="17" t="str">
        <f aca="false">IF($Q799="","",$Q799-$T799)</f>
        <v/>
      </c>
      <c r="V799" s="17" t="str">
        <f aca="false">IF($U799="","",IF($B$10=0,"",$U799/$B$10))</f>
        <v/>
      </c>
      <c r="W799" s="17" t="str">
        <f aca="false">IF($Q799="","",IF($B$10=0,"",$Q799/$B$10))</f>
        <v/>
      </c>
      <c r="X799" s="19" t="n">
        <f aca="false">IF($U799="",1000000000000000,$U799)</f>
        <v>1000000000000000</v>
      </c>
    </row>
    <row r="800" s="6" customFormat="true" ht="28.6" hidden="false" customHeight="true" outlineLevel="0" collapsed="false">
      <c r="A800" s="16" t="str">
        <f aca="false">IF($U800="","",1+COUNTIF($X$15:$X$728,"&lt;"&amp;X800))</f>
        <v/>
      </c>
      <c r="B800" s="16" t="s">
        <v>10</v>
      </c>
      <c r="C800" s="16" t="s">
        <v>2374</v>
      </c>
      <c r="D800" s="16" t="s">
        <v>51</v>
      </c>
      <c r="E800" s="16" t="s">
        <v>59</v>
      </c>
      <c r="F800" s="16" t="s">
        <v>2375</v>
      </c>
      <c r="G800" s="16" t="s">
        <v>2376</v>
      </c>
      <c r="H800" s="17" t="n">
        <v>1949</v>
      </c>
      <c r="I800" s="17"/>
      <c r="J800" s="17"/>
      <c r="K800" s="17" t="n">
        <v>1969</v>
      </c>
      <c r="L800" s="17" t="n">
        <f aca="false">IF(AND(IFERROR(SEARCH("현대오일뱅크",$C800),0)&gt;0,IFERROR(SEARCH("직영",$C800),0)&gt;0),$B$13,0)</f>
        <v>0</v>
      </c>
      <c r="M800" s="17" t="n">
        <f aca="false">IF($H800="","",$H800+$L800)</f>
        <v>1949</v>
      </c>
      <c r="N800" s="17" t="str">
        <f aca="false">IF($I800="","",$I800+$L800)</f>
        <v/>
      </c>
      <c r="O800" s="17" t="n">
        <f aca="false">IF($K800="","",$K800+$L800)</f>
        <v>1969</v>
      </c>
      <c r="P800" s="17" t="str">
        <f aca="false">IF($B$10=0,"",IFERROR(IF($B$4&gt;0,"휘발유 "&amp;TEXT(IF($M800="",1/0,$M800*$B$4),"#,##0")&amp;"원","")&amp;IF($B$5&gt;0,IF($B$4&gt;0," / ","")&amp;"고급유 "&amp;TEXT(IF($N800="",1/0,$N800*$B$5),"#,##0")&amp;"원","")&amp;IF($B$6&gt;0,IF(OR($B$4&gt;0,$B$5&gt;0)," / ","")&amp;"경유 "&amp;TEXT(IF($O800="",1/0,$O800*$B$6),"#,##0")&amp;"원",""),""))</f>
        <v/>
      </c>
      <c r="Q800" s="17" t="str">
        <f aca="false">IF($B$10=0,"",IFERROR(IF($B$4&gt;0,IF($M800="",1/0,$M800*$B$4),0)+IF($B$5&gt;0,IF($N800="",1/0,$N800*$B$5),0)+IF($B$6&gt;0,IF($O800="",1/0,$O800*$B$6),0),""))</f>
        <v/>
      </c>
      <c r="R800" s="17"/>
      <c r="S800" s="18" t="str">
        <f aca="false">IF($Q800="","",IF($R800="Y",IFERROR(VLOOKUP($B800,$C$4:$D$13,2,FALSE()),0),0))</f>
        <v/>
      </c>
      <c r="T800" s="17" t="str">
        <f aca="false">IF($Q800="","",ROUNDDOWN($Q800*$S800,0))</f>
        <v/>
      </c>
      <c r="U800" s="17" t="str">
        <f aca="false">IF($Q800="","",$Q800-$T800)</f>
        <v/>
      </c>
      <c r="V800" s="17" t="str">
        <f aca="false">IF($U800="","",IF($B$10=0,"",$U800/$B$10))</f>
        <v/>
      </c>
      <c r="W800" s="17" t="str">
        <f aca="false">IF($Q800="","",IF($B$10=0,"",$Q800/$B$10))</f>
        <v/>
      </c>
      <c r="X800" s="19" t="n">
        <f aca="false">IF($U800="",1000000000000000,$U800)</f>
        <v>1000000000000000</v>
      </c>
    </row>
    <row r="801" s="6" customFormat="true" ht="28.6" hidden="false" customHeight="true" outlineLevel="0" collapsed="false">
      <c r="A801" s="16" t="str">
        <f aca="false">IF($U801="","",1+COUNTIF($X$15:$X$728,"&lt;"&amp;X801))</f>
        <v/>
      </c>
      <c r="B801" s="16" t="s">
        <v>14</v>
      </c>
      <c r="C801" s="16" t="s">
        <v>2377</v>
      </c>
      <c r="D801" s="16" t="s">
        <v>112</v>
      </c>
      <c r="E801" s="16" t="s">
        <v>47</v>
      </c>
      <c r="F801" s="16" t="s">
        <v>2378</v>
      </c>
      <c r="G801" s="16" t="s">
        <v>2379</v>
      </c>
      <c r="H801" s="17" t="n">
        <v>1949</v>
      </c>
      <c r="I801" s="17"/>
      <c r="J801" s="17"/>
      <c r="K801" s="17" t="n">
        <v>2049</v>
      </c>
      <c r="L801" s="17" t="n">
        <f aca="false">IF(AND(IFERROR(SEARCH("현대오일뱅크",$C801),0)&gt;0,IFERROR(SEARCH("직영",$C801),0)&gt;0),$B$13,0)</f>
        <v>0</v>
      </c>
      <c r="M801" s="17" t="n">
        <f aca="false">IF($H801="","",$H801+$L801)</f>
        <v>1949</v>
      </c>
      <c r="N801" s="17" t="str">
        <f aca="false">IF($I801="","",$I801+$L801)</f>
        <v/>
      </c>
      <c r="O801" s="17" t="n">
        <f aca="false">IF($K801="","",$K801+$L801)</f>
        <v>2049</v>
      </c>
      <c r="P801" s="17" t="str">
        <f aca="false">IF($B$10=0,"",IFERROR(IF($B$4&gt;0,"휘발유 "&amp;TEXT(IF($M801="",1/0,$M801*$B$4),"#,##0")&amp;"원","")&amp;IF($B$5&gt;0,IF($B$4&gt;0," / ","")&amp;"고급유 "&amp;TEXT(IF($N801="",1/0,$N801*$B$5),"#,##0")&amp;"원","")&amp;IF($B$6&gt;0,IF(OR($B$4&gt;0,$B$5&gt;0)," / ","")&amp;"경유 "&amp;TEXT(IF($O801="",1/0,$O801*$B$6),"#,##0")&amp;"원",""),""))</f>
        <v/>
      </c>
      <c r="Q801" s="17" t="str">
        <f aca="false">IF($B$10=0,"",IFERROR(IF($B$4&gt;0,IF($M801="",1/0,$M801*$B$4),0)+IF($B$5&gt;0,IF($N801="",1/0,$N801*$B$5),0)+IF($B$6&gt;0,IF($O801="",1/0,$O801*$B$6),0),""))</f>
        <v/>
      </c>
      <c r="R801" s="17"/>
      <c r="S801" s="18" t="str">
        <f aca="false">IF($Q801="","",IF($R801="Y",IFERROR(VLOOKUP($B801,$C$4:$D$13,2,FALSE()),0),0))</f>
        <v/>
      </c>
      <c r="T801" s="17" t="str">
        <f aca="false">IF($Q801="","",ROUNDDOWN($Q801*$S801,0))</f>
        <v/>
      </c>
      <c r="U801" s="17" t="str">
        <f aca="false">IF($Q801="","",$Q801-$T801)</f>
        <v/>
      </c>
      <c r="V801" s="17" t="str">
        <f aca="false">IF($U801="","",IF($B$10=0,"",$U801/$B$10))</f>
        <v/>
      </c>
      <c r="W801" s="17" t="str">
        <f aca="false">IF($Q801="","",IF($B$10=0,"",$Q801/$B$10))</f>
        <v/>
      </c>
      <c r="X801" s="19" t="n">
        <f aca="false">IF($U801="",1000000000000000,$U801)</f>
        <v>1000000000000000</v>
      </c>
    </row>
    <row r="802" s="6" customFormat="true" ht="28.6" hidden="false" customHeight="true" outlineLevel="0" collapsed="false">
      <c r="A802" s="16" t="str">
        <f aca="false">IF($U802="","",1+COUNTIF($X$15:$X$728,"&lt;"&amp;X802))</f>
        <v/>
      </c>
      <c r="B802" s="16" t="s">
        <v>12</v>
      </c>
      <c r="C802" s="16" t="s">
        <v>2380</v>
      </c>
      <c r="D802" s="20" t="s">
        <v>108</v>
      </c>
      <c r="E802" s="16" t="s">
        <v>47</v>
      </c>
      <c r="F802" s="16" t="s">
        <v>2381</v>
      </c>
      <c r="G802" s="16" t="s">
        <v>2382</v>
      </c>
      <c r="H802" s="17" t="n">
        <v>1949</v>
      </c>
      <c r="I802" s="17"/>
      <c r="J802" s="17"/>
      <c r="K802" s="17" t="n">
        <v>1935</v>
      </c>
      <c r="L802" s="17" t="n">
        <f aca="false">IF(AND(IFERROR(SEARCH("현대오일뱅크",$C802),0)&gt;0,IFERROR(SEARCH("직영",$C802),0)&gt;0),$B$13,0)</f>
        <v>0</v>
      </c>
      <c r="M802" s="17" t="n">
        <f aca="false">IF($H802="","",$H802+$L802)</f>
        <v>1949</v>
      </c>
      <c r="N802" s="17" t="str">
        <f aca="false">IF($I802="","",$I802+$L802)</f>
        <v/>
      </c>
      <c r="O802" s="17" t="n">
        <f aca="false">IF($K802="","",$K802+$L802)</f>
        <v>1935</v>
      </c>
      <c r="P802" s="17" t="str">
        <f aca="false">IF($B$10=0,"",IFERROR(IF($B$4&gt;0,"휘발유 "&amp;TEXT(IF($M802="",1/0,$M802*$B$4),"#,##0")&amp;"원","")&amp;IF($B$5&gt;0,IF($B$4&gt;0," / ","")&amp;"고급유 "&amp;TEXT(IF($N802="",1/0,$N802*$B$5),"#,##0")&amp;"원","")&amp;IF($B$6&gt;0,IF(OR($B$4&gt;0,$B$5&gt;0)," / ","")&amp;"경유 "&amp;TEXT(IF($O802="",1/0,$O802*$B$6),"#,##0")&amp;"원",""),""))</f>
        <v/>
      </c>
      <c r="Q802" s="17" t="str">
        <f aca="false">IF($B$10=0,"",IFERROR(IF($B$4&gt;0,IF($M802="",1/0,$M802*$B$4),0)+IF($B$5&gt;0,IF($N802="",1/0,$N802*$B$5),0)+IF($B$6&gt;0,IF($O802="",1/0,$O802*$B$6),0),""))</f>
        <v/>
      </c>
      <c r="R802" s="17"/>
      <c r="S802" s="18" t="str">
        <f aca="false">IF($Q802="","",IF($R802="Y",IFERROR(VLOOKUP($B802,$C$4:$D$13,2,FALSE()),0),0))</f>
        <v/>
      </c>
      <c r="T802" s="17" t="str">
        <f aca="false">IF($Q802="","",ROUNDDOWN($Q802*$S802,0))</f>
        <v/>
      </c>
      <c r="U802" s="17" t="str">
        <f aca="false">IF($Q802="","",$Q802-$T802)</f>
        <v/>
      </c>
      <c r="V802" s="17" t="str">
        <f aca="false">IF($U802="","",IF($B$10=0,"",$U802/$B$10))</f>
        <v/>
      </c>
      <c r="W802" s="17" t="str">
        <f aca="false">IF($Q802="","",IF($B$10=0,"",$Q802/$B$10))</f>
        <v/>
      </c>
      <c r="X802" s="19" t="n">
        <f aca="false">IF($U802="",1000000000000000,$U802)</f>
        <v>1000000000000000</v>
      </c>
    </row>
    <row r="803" s="6" customFormat="true" ht="28.6" hidden="false" customHeight="true" outlineLevel="0" collapsed="false">
      <c r="A803" s="16" t="str">
        <f aca="false">IF($U803="","",1+COUNTIF($X$15:$X$728,"&lt;"&amp;X803))</f>
        <v/>
      </c>
      <c r="B803" s="16" t="s">
        <v>12</v>
      </c>
      <c r="C803" s="16" t="s">
        <v>2383</v>
      </c>
      <c r="D803" s="20" t="s">
        <v>112</v>
      </c>
      <c r="E803" s="16" t="s">
        <v>47</v>
      </c>
      <c r="F803" s="16" t="s">
        <v>2384</v>
      </c>
      <c r="G803" s="16" t="s">
        <v>2385</v>
      </c>
      <c r="H803" s="17" t="n">
        <v>1949</v>
      </c>
      <c r="I803" s="17"/>
      <c r="J803" s="17"/>
      <c r="K803" s="17" t="n">
        <v>2059</v>
      </c>
      <c r="L803" s="17" t="n">
        <f aca="false">IF(AND(IFERROR(SEARCH("현대오일뱅크",$C803),0)&gt;0,IFERROR(SEARCH("직영",$C803),0)&gt;0),$B$13,0)</f>
        <v>0</v>
      </c>
      <c r="M803" s="17" t="n">
        <f aca="false">IF($H803="","",$H803+$L803)</f>
        <v>1949</v>
      </c>
      <c r="N803" s="17" t="str">
        <f aca="false">IF($I803="","",$I803+$L803)</f>
        <v/>
      </c>
      <c r="O803" s="17" t="n">
        <f aca="false">IF($K803="","",$K803+$L803)</f>
        <v>2059</v>
      </c>
      <c r="P803" s="17" t="str">
        <f aca="false">IF($B$10=0,"",IFERROR(IF($B$4&gt;0,"휘발유 "&amp;TEXT(IF($M803="",1/0,$M803*$B$4),"#,##0")&amp;"원","")&amp;IF($B$5&gt;0,IF($B$4&gt;0," / ","")&amp;"고급유 "&amp;TEXT(IF($N803="",1/0,$N803*$B$5),"#,##0")&amp;"원","")&amp;IF($B$6&gt;0,IF(OR($B$4&gt;0,$B$5&gt;0)," / ","")&amp;"경유 "&amp;TEXT(IF($O803="",1/0,$O803*$B$6),"#,##0")&amp;"원",""),""))</f>
        <v/>
      </c>
      <c r="Q803" s="17" t="str">
        <f aca="false">IF($B$10=0,"",IFERROR(IF($B$4&gt;0,IF($M803="",1/0,$M803*$B$4),0)+IF($B$5&gt;0,IF($N803="",1/0,$N803*$B$5),0)+IF($B$6&gt;0,IF($O803="",1/0,$O803*$B$6),0),""))</f>
        <v/>
      </c>
      <c r="R803" s="17"/>
      <c r="S803" s="18" t="str">
        <f aca="false">IF($Q803="","",IF($R803="Y",IFERROR(VLOOKUP($B803,$C$4:$D$13,2,FALSE()),0),0))</f>
        <v/>
      </c>
      <c r="T803" s="17" t="str">
        <f aca="false">IF($Q803="","",ROUNDDOWN($Q803*$S803,0))</f>
        <v/>
      </c>
      <c r="U803" s="17" t="str">
        <f aca="false">IF($Q803="","",$Q803-$T803)</f>
        <v/>
      </c>
      <c r="V803" s="17" t="str">
        <f aca="false">IF($U803="","",IF($B$10=0,"",$U803/$B$10))</f>
        <v/>
      </c>
      <c r="W803" s="17" t="str">
        <f aca="false">IF($Q803="","",IF($B$10=0,"",$Q803/$B$10))</f>
        <v/>
      </c>
      <c r="X803" s="19" t="n">
        <f aca="false">IF($U803="",1000000000000000,$U803)</f>
        <v>1000000000000000</v>
      </c>
    </row>
    <row r="804" s="6" customFormat="true" ht="28.6" hidden="false" customHeight="true" outlineLevel="0" collapsed="false">
      <c r="A804" s="16" t="str">
        <f aca="false">IF($U804="","",1+COUNTIF($X$15:$X$728,"&lt;"&amp;X804))</f>
        <v/>
      </c>
      <c r="B804" s="16" t="s">
        <v>12</v>
      </c>
      <c r="C804" s="16" t="s">
        <v>2386</v>
      </c>
      <c r="D804" s="20" t="s">
        <v>294</v>
      </c>
      <c r="E804" s="16" t="s">
        <v>47</v>
      </c>
      <c r="F804" s="16" t="s">
        <v>2387</v>
      </c>
      <c r="G804" s="16" t="s">
        <v>2388</v>
      </c>
      <c r="H804" s="17" t="n">
        <v>1949</v>
      </c>
      <c r="I804" s="17"/>
      <c r="J804" s="17"/>
      <c r="K804" s="17" t="n">
        <v>2059</v>
      </c>
      <c r="L804" s="17" t="n">
        <f aca="false">IF(AND(IFERROR(SEARCH("현대오일뱅크",$C804),0)&gt;0,IFERROR(SEARCH("직영",$C804),0)&gt;0),$B$13,0)</f>
        <v>0</v>
      </c>
      <c r="M804" s="17" t="n">
        <f aca="false">IF($H804="","",$H804+$L804)</f>
        <v>1949</v>
      </c>
      <c r="N804" s="17" t="str">
        <f aca="false">IF($I804="","",$I804+$L804)</f>
        <v/>
      </c>
      <c r="O804" s="17" t="n">
        <f aca="false">IF($K804="","",$K804+$L804)</f>
        <v>2059</v>
      </c>
      <c r="P804" s="17" t="str">
        <f aca="false">IF($B$10=0,"",IFERROR(IF($B$4&gt;0,"휘발유 "&amp;TEXT(IF($M804="",1/0,$M804*$B$4),"#,##0")&amp;"원","")&amp;IF($B$5&gt;0,IF($B$4&gt;0," / ","")&amp;"고급유 "&amp;TEXT(IF($N804="",1/0,$N804*$B$5),"#,##0")&amp;"원","")&amp;IF($B$6&gt;0,IF(OR($B$4&gt;0,$B$5&gt;0)," / ","")&amp;"경유 "&amp;TEXT(IF($O804="",1/0,$O804*$B$6),"#,##0")&amp;"원",""),""))</f>
        <v/>
      </c>
      <c r="Q804" s="17" t="str">
        <f aca="false">IF($B$10=0,"",IFERROR(IF($B$4&gt;0,IF($M804="",1/0,$M804*$B$4),0)+IF($B$5&gt;0,IF($N804="",1/0,$N804*$B$5),0)+IF($B$6&gt;0,IF($O804="",1/0,$O804*$B$6),0),""))</f>
        <v/>
      </c>
      <c r="R804" s="17"/>
      <c r="S804" s="18" t="str">
        <f aca="false">IF($Q804="","",IF($R804="Y",IFERROR(VLOOKUP($B804,$C$4:$D$13,2,FALSE()),0),0))</f>
        <v/>
      </c>
      <c r="T804" s="17" t="str">
        <f aca="false">IF($Q804="","",ROUNDDOWN($Q804*$S804,0))</f>
        <v/>
      </c>
      <c r="U804" s="17" t="str">
        <f aca="false">IF($Q804="","",$Q804-$T804)</f>
        <v/>
      </c>
      <c r="V804" s="17" t="str">
        <f aca="false">IF($U804="","",IF($B$10=0,"",$U804/$B$10))</f>
        <v/>
      </c>
      <c r="W804" s="17" t="str">
        <f aca="false">IF($Q804="","",IF($B$10=0,"",$Q804/$B$10))</f>
        <v/>
      </c>
      <c r="X804" s="19" t="n">
        <f aca="false">IF($U804="",1000000000000000,$U804)</f>
        <v>1000000000000000</v>
      </c>
    </row>
    <row r="805" s="6" customFormat="true" ht="28.6" hidden="false" customHeight="true" outlineLevel="0" collapsed="false">
      <c r="A805" s="16" t="str">
        <f aca="false">IF($U805="","",1+COUNTIF($X$15:$X$728,"&lt;"&amp;X805))</f>
        <v/>
      </c>
      <c r="B805" s="16" t="s">
        <v>16</v>
      </c>
      <c r="C805" s="16" t="s">
        <v>2389</v>
      </c>
      <c r="D805" s="16" t="s">
        <v>51</v>
      </c>
      <c r="E805" s="16" t="s">
        <v>47</v>
      </c>
      <c r="F805" s="16" t="s">
        <v>2390</v>
      </c>
      <c r="G805" s="16" t="s">
        <v>2391</v>
      </c>
      <c r="H805" s="17" t="n">
        <v>1949</v>
      </c>
      <c r="I805" s="17"/>
      <c r="J805" s="17"/>
      <c r="K805" s="17" t="n">
        <v>1899</v>
      </c>
      <c r="L805" s="17" t="n">
        <f aca="false">IF(AND(IFERROR(SEARCH("현대오일뱅크",$C805),0)&gt;0,IFERROR(SEARCH("직영",$C805),0)&gt;0),$B$13,0)</f>
        <v>0</v>
      </c>
      <c r="M805" s="17" t="n">
        <f aca="false">IF($H805="","",$H805+$L805)</f>
        <v>1949</v>
      </c>
      <c r="N805" s="17" t="str">
        <f aca="false">IF($I805="","",$I805+$L805)</f>
        <v/>
      </c>
      <c r="O805" s="17" t="n">
        <f aca="false">IF($K805="","",$K805+$L805)</f>
        <v>1899</v>
      </c>
      <c r="P805" s="17" t="str">
        <f aca="false">IF($B$10=0,"",IFERROR(IF($B$4&gt;0,"휘발유 "&amp;TEXT(IF($M805="",1/0,$M805*$B$4),"#,##0")&amp;"원","")&amp;IF($B$5&gt;0,IF($B$4&gt;0," / ","")&amp;"고급유 "&amp;TEXT(IF($N805="",1/0,$N805*$B$5),"#,##0")&amp;"원","")&amp;IF($B$6&gt;0,IF(OR($B$4&gt;0,$B$5&gt;0)," / ","")&amp;"경유 "&amp;TEXT(IF($O805="",1/0,$O805*$B$6),"#,##0")&amp;"원",""),""))</f>
        <v/>
      </c>
      <c r="Q805" s="17" t="str">
        <f aca="false">IF($B$10=0,"",IFERROR(IF($B$4&gt;0,IF($M805="",1/0,$M805*$B$4),0)+IF($B$5&gt;0,IF($N805="",1/0,$N805*$B$5),0)+IF($B$6&gt;0,IF($O805="",1/0,$O805*$B$6),0),""))</f>
        <v/>
      </c>
      <c r="R805" s="17"/>
      <c r="S805" s="18" t="str">
        <f aca="false">IF($Q805="","",IF($R805="Y",IFERROR(VLOOKUP($B805,$C$4:$D$13,2,FALSE()),0),0))</f>
        <v/>
      </c>
      <c r="T805" s="17" t="str">
        <f aca="false">IF($Q805="","",ROUNDDOWN($Q805*$S805,0))</f>
        <v/>
      </c>
      <c r="U805" s="17" t="str">
        <f aca="false">IF($Q805="","",$Q805-$T805)</f>
        <v/>
      </c>
      <c r="V805" s="17" t="str">
        <f aca="false">IF($U805="","",IF($B$10=0,"",$U805/$B$10))</f>
        <v/>
      </c>
      <c r="W805" s="17" t="str">
        <f aca="false">IF($Q805="","",IF($B$10=0,"",$Q805/$B$10))</f>
        <v/>
      </c>
      <c r="X805" s="19" t="n">
        <f aca="false">IF($U805="",1000000000000000,$U805)</f>
        <v>1000000000000000</v>
      </c>
    </row>
    <row r="806" s="6" customFormat="true" ht="28.6" hidden="false" customHeight="true" outlineLevel="0" collapsed="false">
      <c r="A806" s="16" t="str">
        <f aca="false">IF($U806="","",1+COUNTIF($X$15:$X$728,"&lt;"&amp;X806))</f>
        <v/>
      </c>
      <c r="B806" s="16" t="s">
        <v>10</v>
      </c>
      <c r="C806" s="16" t="s">
        <v>2392</v>
      </c>
      <c r="D806" s="16" t="s">
        <v>58</v>
      </c>
      <c r="E806" s="16" t="s">
        <v>47</v>
      </c>
      <c r="F806" s="16" t="s">
        <v>2393</v>
      </c>
      <c r="G806" s="16" t="s">
        <v>2394</v>
      </c>
      <c r="H806" s="17" t="n">
        <v>1949</v>
      </c>
      <c r="I806" s="17"/>
      <c r="J806" s="17"/>
      <c r="K806" s="17" t="n">
        <v>1879</v>
      </c>
      <c r="L806" s="17" t="n">
        <f aca="false">IF(AND(IFERROR(SEARCH("현대오일뱅크",$C806),0)&gt;0,IFERROR(SEARCH("직영",$C806),0)&gt;0),$B$13,0)</f>
        <v>0</v>
      </c>
      <c r="M806" s="17" t="n">
        <f aca="false">IF($H806="","",$H806+$L806)</f>
        <v>1949</v>
      </c>
      <c r="N806" s="17" t="str">
        <f aca="false">IF($I806="","",$I806+$L806)</f>
        <v/>
      </c>
      <c r="O806" s="17" t="n">
        <f aca="false">IF($K806="","",$K806+$L806)</f>
        <v>1879</v>
      </c>
      <c r="P806" s="17" t="str">
        <f aca="false">IF($B$10=0,"",IFERROR(IF($B$4&gt;0,"휘발유 "&amp;TEXT(IF($M806="",1/0,$M806*$B$4),"#,##0")&amp;"원","")&amp;IF($B$5&gt;0,IF($B$4&gt;0," / ","")&amp;"고급유 "&amp;TEXT(IF($N806="",1/0,$N806*$B$5),"#,##0")&amp;"원","")&amp;IF($B$6&gt;0,IF(OR($B$4&gt;0,$B$5&gt;0)," / ","")&amp;"경유 "&amp;TEXT(IF($O806="",1/0,$O806*$B$6),"#,##0")&amp;"원",""),""))</f>
        <v/>
      </c>
      <c r="Q806" s="17" t="str">
        <f aca="false">IF($B$10=0,"",IFERROR(IF($B$4&gt;0,IF($M806="",1/0,$M806*$B$4),0)+IF($B$5&gt;0,IF($N806="",1/0,$N806*$B$5),0)+IF($B$6&gt;0,IF($O806="",1/0,$O806*$B$6),0),""))</f>
        <v/>
      </c>
      <c r="R806" s="17"/>
      <c r="S806" s="18" t="str">
        <f aca="false">IF($Q806="","",IF($R806="Y",IFERROR(VLOOKUP($B806,$C$4:$D$13,2,FALSE()),0),0))</f>
        <v/>
      </c>
      <c r="T806" s="17" t="str">
        <f aca="false">IF($Q806="","",ROUNDDOWN($Q806*$S806,0))</f>
        <v/>
      </c>
      <c r="U806" s="17" t="str">
        <f aca="false">IF($Q806="","",$Q806-$T806)</f>
        <v/>
      </c>
      <c r="V806" s="17" t="str">
        <f aca="false">IF($U806="","",IF($B$10=0,"",$U806/$B$10))</f>
        <v/>
      </c>
      <c r="W806" s="17" t="str">
        <f aca="false">IF($Q806="","",IF($B$10=0,"",$Q806/$B$10))</f>
        <v/>
      </c>
      <c r="X806" s="19" t="n">
        <f aca="false">IF($U806="",1000000000000000,$U806)</f>
        <v>1000000000000000</v>
      </c>
    </row>
    <row r="807" s="6" customFormat="true" ht="28.6" hidden="false" customHeight="true" outlineLevel="0" collapsed="false">
      <c r="A807" s="16" t="str">
        <f aca="false">IF($U807="","",1+COUNTIF($X$15:$X$728,"&lt;"&amp;X807))</f>
        <v/>
      </c>
      <c r="B807" s="16" t="s">
        <v>12</v>
      </c>
      <c r="C807" s="16" t="s">
        <v>2395</v>
      </c>
      <c r="D807" s="20" t="s">
        <v>248</v>
      </c>
      <c r="E807" s="16" t="s">
        <v>47</v>
      </c>
      <c r="F807" s="16" t="s">
        <v>2396</v>
      </c>
      <c r="G807" s="16" t="s">
        <v>2397</v>
      </c>
      <c r="H807" s="17" t="n">
        <v>1949</v>
      </c>
      <c r="I807" s="17"/>
      <c r="J807" s="17"/>
      <c r="K807" s="17" t="n">
        <v>1999</v>
      </c>
      <c r="L807" s="17" t="n">
        <f aca="false">IF(AND(IFERROR(SEARCH("현대오일뱅크",$C807),0)&gt;0,IFERROR(SEARCH("직영",$C807),0)&gt;0),$B$13,0)</f>
        <v>0</v>
      </c>
      <c r="M807" s="17" t="n">
        <f aca="false">IF($H807="","",$H807+$L807)</f>
        <v>1949</v>
      </c>
      <c r="N807" s="17" t="str">
        <f aca="false">IF($I807="","",$I807+$L807)</f>
        <v/>
      </c>
      <c r="O807" s="17" t="n">
        <f aca="false">IF($K807="","",$K807+$L807)</f>
        <v>1999</v>
      </c>
      <c r="P807" s="17" t="str">
        <f aca="false">IF($B$10=0,"",IFERROR(IF($B$4&gt;0,"휘발유 "&amp;TEXT(IF($M807="",1/0,$M807*$B$4),"#,##0")&amp;"원","")&amp;IF($B$5&gt;0,IF($B$4&gt;0," / ","")&amp;"고급유 "&amp;TEXT(IF($N807="",1/0,$N807*$B$5),"#,##0")&amp;"원","")&amp;IF($B$6&gt;0,IF(OR($B$4&gt;0,$B$5&gt;0)," / ","")&amp;"경유 "&amp;TEXT(IF($O807="",1/0,$O807*$B$6),"#,##0")&amp;"원",""),""))</f>
        <v/>
      </c>
      <c r="Q807" s="17" t="str">
        <f aca="false">IF($B$10=0,"",IFERROR(IF($B$4&gt;0,IF($M807="",1/0,$M807*$B$4),0)+IF($B$5&gt;0,IF($N807="",1/0,$N807*$B$5),0)+IF($B$6&gt;0,IF($O807="",1/0,$O807*$B$6),0),""))</f>
        <v/>
      </c>
      <c r="R807" s="17"/>
      <c r="S807" s="18" t="str">
        <f aca="false">IF($Q807="","",IF($R807="Y",IFERROR(VLOOKUP($B807,$C$4:$D$13,2,FALSE()),0),0))</f>
        <v/>
      </c>
      <c r="T807" s="17" t="str">
        <f aca="false">IF($Q807="","",ROUNDDOWN($Q807*$S807,0))</f>
        <v/>
      </c>
      <c r="U807" s="17" t="str">
        <f aca="false">IF($Q807="","",$Q807-$T807)</f>
        <v/>
      </c>
      <c r="V807" s="17" t="str">
        <f aca="false">IF($U807="","",IF($B$10=0,"",$U807/$B$10))</f>
        <v/>
      </c>
      <c r="W807" s="17" t="str">
        <f aca="false">IF($Q807="","",IF($B$10=0,"",$Q807/$B$10))</f>
        <v/>
      </c>
      <c r="X807" s="19" t="n">
        <f aca="false">IF($U807="",1000000000000000,$U807)</f>
        <v>1000000000000000</v>
      </c>
    </row>
    <row r="808" s="6" customFormat="true" ht="28.6" hidden="false" customHeight="true" outlineLevel="0" collapsed="false">
      <c r="A808" s="16" t="str">
        <f aca="false">IF($U808="","",1+COUNTIF($X$15:$X$728,"&lt;"&amp;X808))</f>
        <v/>
      </c>
      <c r="B808" s="16" t="s">
        <v>12</v>
      </c>
      <c r="C808" s="16" t="s">
        <v>2398</v>
      </c>
      <c r="D808" s="20" t="s">
        <v>112</v>
      </c>
      <c r="E808" s="16" t="s">
        <v>47</v>
      </c>
      <c r="F808" s="16" t="s">
        <v>2399</v>
      </c>
      <c r="G808" s="16" t="s">
        <v>2400</v>
      </c>
      <c r="H808" s="17" t="n">
        <v>1949</v>
      </c>
      <c r="I808" s="17"/>
      <c r="J808" s="17"/>
      <c r="K808" s="17" t="n">
        <v>2049</v>
      </c>
      <c r="L808" s="17" t="n">
        <f aca="false">IF(AND(IFERROR(SEARCH("현대오일뱅크",$C808),0)&gt;0,IFERROR(SEARCH("직영",$C808),0)&gt;0),$B$13,0)</f>
        <v>0</v>
      </c>
      <c r="M808" s="17" t="n">
        <f aca="false">IF($H808="","",$H808+$L808)</f>
        <v>1949</v>
      </c>
      <c r="N808" s="17" t="str">
        <f aca="false">IF($I808="","",$I808+$L808)</f>
        <v/>
      </c>
      <c r="O808" s="17" t="n">
        <f aca="false">IF($K808="","",$K808+$L808)</f>
        <v>2049</v>
      </c>
      <c r="P808" s="17" t="str">
        <f aca="false">IF($B$10=0,"",IFERROR(IF($B$4&gt;0,"휘발유 "&amp;TEXT(IF($M808="",1/0,$M808*$B$4),"#,##0")&amp;"원","")&amp;IF($B$5&gt;0,IF($B$4&gt;0," / ","")&amp;"고급유 "&amp;TEXT(IF($N808="",1/0,$N808*$B$5),"#,##0")&amp;"원","")&amp;IF($B$6&gt;0,IF(OR($B$4&gt;0,$B$5&gt;0)," / ","")&amp;"경유 "&amp;TEXT(IF($O808="",1/0,$O808*$B$6),"#,##0")&amp;"원",""),""))</f>
        <v/>
      </c>
      <c r="Q808" s="17" t="str">
        <f aca="false">IF($B$10=0,"",IFERROR(IF($B$4&gt;0,IF($M808="",1/0,$M808*$B$4),0)+IF($B$5&gt;0,IF($N808="",1/0,$N808*$B$5),0)+IF($B$6&gt;0,IF($O808="",1/0,$O808*$B$6),0),""))</f>
        <v/>
      </c>
      <c r="R808" s="17"/>
      <c r="S808" s="18" t="str">
        <f aca="false">IF($Q808="","",IF($R808="Y",IFERROR(VLOOKUP($B808,$C$4:$D$13,2,FALSE()),0),0))</f>
        <v/>
      </c>
      <c r="T808" s="17" t="str">
        <f aca="false">IF($Q808="","",ROUNDDOWN($Q808*$S808,0))</f>
        <v/>
      </c>
      <c r="U808" s="17" t="str">
        <f aca="false">IF($Q808="","",$Q808-$T808)</f>
        <v/>
      </c>
      <c r="V808" s="17" t="str">
        <f aca="false">IF($U808="","",IF($B$10=0,"",$U808/$B$10))</f>
        <v/>
      </c>
      <c r="W808" s="17" t="str">
        <f aca="false">IF($Q808="","",IF($B$10=0,"",$Q808/$B$10))</f>
        <v/>
      </c>
      <c r="X808" s="19" t="n">
        <f aca="false">IF($U808="",1000000000000000,$U808)</f>
        <v>1000000000000000</v>
      </c>
    </row>
    <row r="809" s="6" customFormat="true" ht="28.6" hidden="false" customHeight="true" outlineLevel="0" collapsed="false">
      <c r="A809" s="16" t="str">
        <f aca="false">IF($U809="","",1+COUNTIF($X$15:$X$728,"&lt;"&amp;X809))</f>
        <v/>
      </c>
      <c r="B809" s="16" t="s">
        <v>14</v>
      </c>
      <c r="C809" s="16" t="s">
        <v>2401</v>
      </c>
      <c r="D809" s="20" t="s">
        <v>108</v>
      </c>
      <c r="E809" s="16" t="s">
        <v>47</v>
      </c>
      <c r="F809" s="16" t="s">
        <v>2402</v>
      </c>
      <c r="G809" s="16" t="s">
        <v>2403</v>
      </c>
      <c r="H809" s="17" t="n">
        <v>1949</v>
      </c>
      <c r="I809" s="17"/>
      <c r="J809" s="17"/>
      <c r="K809" s="17" t="n">
        <v>1989</v>
      </c>
      <c r="L809" s="17" t="n">
        <f aca="false">IF(AND(IFERROR(SEARCH("현대오일뱅크",$C809),0)&gt;0,IFERROR(SEARCH("직영",$C809),0)&gt;0),$B$13,0)</f>
        <v>0</v>
      </c>
      <c r="M809" s="17" t="n">
        <f aca="false">IF($H809="","",$H809+$L809)</f>
        <v>1949</v>
      </c>
      <c r="N809" s="17" t="str">
        <f aca="false">IF($I809="","",$I809+$L809)</f>
        <v/>
      </c>
      <c r="O809" s="17" t="n">
        <f aca="false">IF($K809="","",$K809+$L809)</f>
        <v>1989</v>
      </c>
      <c r="P809" s="17" t="str">
        <f aca="false">IF($B$10=0,"",IFERROR(IF($B$4&gt;0,"휘발유 "&amp;TEXT(IF($M809="",1/0,$M809*$B$4),"#,##0")&amp;"원","")&amp;IF($B$5&gt;0,IF($B$4&gt;0," / ","")&amp;"고급유 "&amp;TEXT(IF($N809="",1/0,$N809*$B$5),"#,##0")&amp;"원","")&amp;IF($B$6&gt;0,IF(OR($B$4&gt;0,$B$5&gt;0)," / ","")&amp;"경유 "&amp;TEXT(IF($O809="",1/0,$O809*$B$6),"#,##0")&amp;"원",""),""))</f>
        <v/>
      </c>
      <c r="Q809" s="17" t="str">
        <f aca="false">IF($B$10=0,"",IFERROR(IF($B$4&gt;0,IF($M809="",1/0,$M809*$B$4),0)+IF($B$5&gt;0,IF($N809="",1/0,$N809*$B$5),0)+IF($B$6&gt;0,IF($O809="",1/0,$O809*$B$6),0),""))</f>
        <v/>
      </c>
      <c r="R809" s="17"/>
      <c r="S809" s="18" t="str">
        <f aca="false">IF($Q809="","",IF($R809="Y",IFERROR(VLOOKUP($B809,$C$4:$D$13,2,FALSE()),0),0))</f>
        <v/>
      </c>
      <c r="T809" s="17" t="str">
        <f aca="false">IF($Q809="","",ROUNDDOWN($Q809*$S809,0))</f>
        <v/>
      </c>
      <c r="U809" s="17" t="str">
        <f aca="false">IF($Q809="","",$Q809-$T809)</f>
        <v/>
      </c>
      <c r="V809" s="17" t="str">
        <f aca="false">IF($U809="","",IF($B$10=0,"",$U809/$B$10))</f>
        <v/>
      </c>
      <c r="W809" s="17" t="str">
        <f aca="false">IF($Q809="","",IF($B$10=0,"",$Q809/$B$10))</f>
        <v/>
      </c>
      <c r="X809" s="19" t="n">
        <f aca="false">IF($U809="",1000000000000000,$U809)</f>
        <v>1000000000000000</v>
      </c>
    </row>
    <row r="810" s="6" customFormat="true" ht="28.6" hidden="false" customHeight="true" outlineLevel="0" collapsed="false">
      <c r="A810" s="16" t="str">
        <f aca="false">IF($U810="","",1+COUNTIF($X$15:$X$728,"&lt;"&amp;X810))</f>
        <v/>
      </c>
      <c r="B810" s="16" t="s">
        <v>16</v>
      </c>
      <c r="C810" s="16" t="s">
        <v>2404</v>
      </c>
      <c r="D810" s="16" t="s">
        <v>112</v>
      </c>
      <c r="E810" s="16" t="s">
        <v>47</v>
      </c>
      <c r="F810" s="16" t="s">
        <v>2405</v>
      </c>
      <c r="G810" s="16" t="s">
        <v>2406</v>
      </c>
      <c r="H810" s="17" t="n">
        <v>1950</v>
      </c>
      <c r="I810" s="17"/>
      <c r="J810" s="17"/>
      <c r="K810" s="17" t="n">
        <v>1950</v>
      </c>
      <c r="L810" s="17" t="n">
        <f aca="false">IF(AND(IFERROR(SEARCH("현대오일뱅크",$C810),0)&gt;0,IFERROR(SEARCH("직영",$C810),0)&gt;0),$B$13,0)</f>
        <v>0</v>
      </c>
      <c r="M810" s="17" t="n">
        <f aca="false">IF($H810="","",$H810+$L810)</f>
        <v>1950</v>
      </c>
      <c r="N810" s="17" t="str">
        <f aca="false">IF($I810="","",$I810+$L810)</f>
        <v/>
      </c>
      <c r="O810" s="17" t="n">
        <f aca="false">IF($K810="","",$K810+$L810)</f>
        <v>1950</v>
      </c>
      <c r="P810" s="17" t="str">
        <f aca="false">IF($B$10=0,"",IFERROR(IF($B$4&gt;0,"휘발유 "&amp;TEXT(IF($M810="",1/0,$M810*$B$4),"#,##0")&amp;"원","")&amp;IF($B$5&gt;0,IF($B$4&gt;0," / ","")&amp;"고급유 "&amp;TEXT(IF($N810="",1/0,$N810*$B$5),"#,##0")&amp;"원","")&amp;IF($B$6&gt;0,IF(OR($B$4&gt;0,$B$5&gt;0)," / ","")&amp;"경유 "&amp;TEXT(IF($O810="",1/0,$O810*$B$6),"#,##0")&amp;"원",""),""))</f>
        <v/>
      </c>
      <c r="Q810" s="17" t="str">
        <f aca="false">IF($B$10=0,"",IFERROR(IF($B$4&gt;0,IF($M810="",1/0,$M810*$B$4),0)+IF($B$5&gt;0,IF($N810="",1/0,$N810*$B$5),0)+IF($B$6&gt;0,IF($O810="",1/0,$O810*$B$6),0),""))</f>
        <v/>
      </c>
      <c r="R810" s="17"/>
      <c r="S810" s="18" t="str">
        <f aca="false">IF($Q810="","",IF($R810="Y",IFERROR(VLOOKUP($B810,$C$4:$D$13,2,FALSE()),0),0))</f>
        <v/>
      </c>
      <c r="T810" s="17" t="str">
        <f aca="false">IF($Q810="","",ROUNDDOWN($Q810*$S810,0))</f>
        <v/>
      </c>
      <c r="U810" s="17" t="str">
        <f aca="false">IF($Q810="","",$Q810-$T810)</f>
        <v/>
      </c>
      <c r="V810" s="17" t="str">
        <f aca="false">IF($U810="","",IF($B$10=0,"",$U810/$B$10))</f>
        <v/>
      </c>
      <c r="W810" s="17" t="str">
        <f aca="false">IF($Q810="","",IF($B$10=0,"",$Q810/$B$10))</f>
        <v/>
      </c>
      <c r="X810" s="19" t="n">
        <f aca="false">IF($U810="",1000000000000000,$U810)</f>
        <v>1000000000000000</v>
      </c>
    </row>
    <row r="811" s="6" customFormat="true" ht="28.6" hidden="false" customHeight="true" outlineLevel="0" collapsed="false">
      <c r="A811" s="16" t="str">
        <f aca="false">IF($U811="","",1+COUNTIF($X$15:$X$728,"&lt;"&amp;X811))</f>
        <v/>
      </c>
      <c r="B811" s="16" t="s">
        <v>18</v>
      </c>
      <c r="C811" s="16" t="s">
        <v>2407</v>
      </c>
      <c r="D811" s="16" t="s">
        <v>629</v>
      </c>
      <c r="E811" s="16" t="s">
        <v>59</v>
      </c>
      <c r="F811" s="16" t="s">
        <v>2408</v>
      </c>
      <c r="G811" s="16" t="s">
        <v>2409</v>
      </c>
      <c r="H811" s="17" t="n">
        <v>1950</v>
      </c>
      <c r="I811" s="17"/>
      <c r="J811" s="17"/>
      <c r="K811" s="17" t="n">
        <v>2000</v>
      </c>
      <c r="L811" s="17" t="n">
        <f aca="false">IF(AND(IFERROR(SEARCH("현대오일뱅크",$C811),0)&gt;0,IFERROR(SEARCH("직영",$C811),0)&gt;0),$B$13,0)</f>
        <v>0</v>
      </c>
      <c r="M811" s="17" t="n">
        <f aca="false">IF($H811="","",$H811+$L811)</f>
        <v>1950</v>
      </c>
      <c r="N811" s="17" t="str">
        <f aca="false">IF($I811="","",$I811+$L811)</f>
        <v/>
      </c>
      <c r="O811" s="17" t="n">
        <f aca="false">IF($K811="","",$K811+$L811)</f>
        <v>2000</v>
      </c>
      <c r="P811" s="17" t="str">
        <f aca="false">IF($B$10=0,"",IFERROR(IF($B$4&gt;0,"휘발유 "&amp;TEXT(IF($M811="",1/0,$M811*$B$4),"#,##0")&amp;"원","")&amp;IF($B$5&gt;0,IF($B$4&gt;0," / ","")&amp;"고급유 "&amp;TEXT(IF($N811="",1/0,$N811*$B$5),"#,##0")&amp;"원","")&amp;IF($B$6&gt;0,IF(OR($B$4&gt;0,$B$5&gt;0)," / ","")&amp;"경유 "&amp;TEXT(IF($O811="",1/0,$O811*$B$6),"#,##0")&amp;"원",""),""))</f>
        <v/>
      </c>
      <c r="Q811" s="17" t="str">
        <f aca="false">IF($B$10=0,"",IFERROR(IF($B$4&gt;0,IF($M811="",1/0,$M811*$B$4),0)+IF($B$5&gt;0,IF($N811="",1/0,$N811*$B$5),0)+IF($B$6&gt;0,IF($O811="",1/0,$O811*$B$6),0),""))</f>
        <v/>
      </c>
      <c r="R811" s="17"/>
      <c r="S811" s="18" t="str">
        <f aca="false">IF($Q811="","",IF($R811="Y",IFERROR(VLOOKUP($B811,$C$4:$D$13,2,FALSE()),0),0))</f>
        <v/>
      </c>
      <c r="T811" s="17" t="str">
        <f aca="false">IF($Q811="","",ROUNDDOWN($Q811*$S811,0))</f>
        <v/>
      </c>
      <c r="U811" s="17" t="str">
        <f aca="false">IF($Q811="","",$Q811-$T811)</f>
        <v/>
      </c>
      <c r="V811" s="17" t="str">
        <f aca="false">IF($U811="","",IF($B$10=0,"",$U811/$B$10))</f>
        <v/>
      </c>
      <c r="W811" s="17" t="str">
        <f aca="false">IF($Q811="","",IF($B$10=0,"",$Q811/$B$10))</f>
        <v/>
      </c>
      <c r="X811" s="19" t="n">
        <f aca="false">IF($U811="",1000000000000000,$U811)</f>
        <v>1000000000000000</v>
      </c>
    </row>
    <row r="812" s="6" customFormat="true" ht="28.6" hidden="false" customHeight="true" outlineLevel="0" collapsed="false">
      <c r="A812" s="16" t="str">
        <f aca="false">IF($U812="","",1+COUNTIF($X$15:$X$728,"&lt;"&amp;X812))</f>
        <v/>
      </c>
      <c r="B812" s="16" t="s">
        <v>14</v>
      </c>
      <c r="C812" s="16" t="s">
        <v>2410</v>
      </c>
      <c r="D812" s="16" t="s">
        <v>58</v>
      </c>
      <c r="E812" s="16" t="s">
        <v>59</v>
      </c>
      <c r="F812" s="16" t="s">
        <v>2411</v>
      </c>
      <c r="G812" s="16" t="s">
        <v>2412</v>
      </c>
      <c r="H812" s="17" t="n">
        <v>1950</v>
      </c>
      <c r="I812" s="17"/>
      <c r="J812" s="17"/>
      <c r="K812" s="17" t="n">
        <v>1990</v>
      </c>
      <c r="L812" s="17" t="n">
        <f aca="false">IF(AND(IFERROR(SEARCH("현대오일뱅크",$C812),0)&gt;0,IFERROR(SEARCH("직영",$C812),0)&gt;0),$B$13,0)</f>
        <v>0</v>
      </c>
      <c r="M812" s="17" t="n">
        <f aca="false">IF($H812="","",$H812+$L812)</f>
        <v>1950</v>
      </c>
      <c r="N812" s="17" t="str">
        <f aca="false">IF($I812="","",$I812+$L812)</f>
        <v/>
      </c>
      <c r="O812" s="17" t="n">
        <f aca="false">IF($K812="","",$K812+$L812)</f>
        <v>1990</v>
      </c>
      <c r="P812" s="17" t="str">
        <f aca="false">IF($B$10=0,"",IFERROR(IF($B$4&gt;0,"휘발유 "&amp;TEXT(IF($M812="",1/0,$M812*$B$4),"#,##0")&amp;"원","")&amp;IF($B$5&gt;0,IF($B$4&gt;0," / ","")&amp;"고급유 "&amp;TEXT(IF($N812="",1/0,$N812*$B$5),"#,##0")&amp;"원","")&amp;IF($B$6&gt;0,IF(OR($B$4&gt;0,$B$5&gt;0)," / ","")&amp;"경유 "&amp;TEXT(IF($O812="",1/0,$O812*$B$6),"#,##0")&amp;"원",""),""))</f>
        <v/>
      </c>
      <c r="Q812" s="17" t="str">
        <f aca="false">IF($B$10=0,"",IFERROR(IF($B$4&gt;0,IF($M812="",1/0,$M812*$B$4),0)+IF($B$5&gt;0,IF($N812="",1/0,$N812*$B$5),0)+IF($B$6&gt;0,IF($O812="",1/0,$O812*$B$6),0),""))</f>
        <v/>
      </c>
      <c r="R812" s="17"/>
      <c r="S812" s="18" t="str">
        <f aca="false">IF($Q812="","",IF($R812="Y",IFERROR(VLOOKUP($B812,$C$4:$D$13,2,FALSE()),0),0))</f>
        <v/>
      </c>
      <c r="T812" s="17" t="str">
        <f aca="false">IF($Q812="","",ROUNDDOWN($Q812*$S812,0))</f>
        <v/>
      </c>
      <c r="U812" s="17" t="str">
        <f aca="false">IF($Q812="","",$Q812-$T812)</f>
        <v/>
      </c>
      <c r="V812" s="17" t="str">
        <f aca="false">IF($U812="","",IF($B$10=0,"",$U812/$B$10))</f>
        <v/>
      </c>
      <c r="W812" s="17" t="str">
        <f aca="false">IF($Q812="","",IF($B$10=0,"",$Q812/$B$10))</f>
        <v/>
      </c>
      <c r="X812" s="19" t="n">
        <f aca="false">IF($U812="",1000000000000000,$U812)</f>
        <v>1000000000000000</v>
      </c>
    </row>
    <row r="813" s="6" customFormat="true" ht="28.6" hidden="false" customHeight="true" outlineLevel="0" collapsed="false">
      <c r="A813" s="16" t="str">
        <f aca="false">IF($U813="","",1+COUNTIF($X$15:$X$728,"&lt;"&amp;X813))</f>
        <v/>
      </c>
      <c r="B813" s="16" t="s">
        <v>18</v>
      </c>
      <c r="C813" s="16" t="s">
        <v>2217</v>
      </c>
      <c r="D813" s="16" t="s">
        <v>112</v>
      </c>
      <c r="E813" s="16" t="s">
        <v>47</v>
      </c>
      <c r="F813" s="16" t="s">
        <v>2413</v>
      </c>
      <c r="G813" s="16" t="s">
        <v>2414</v>
      </c>
      <c r="H813" s="17" t="n">
        <v>1952</v>
      </c>
      <c r="I813" s="17"/>
      <c r="J813" s="17"/>
      <c r="K813" s="17" t="n">
        <v>1970</v>
      </c>
      <c r="L813" s="17" t="n">
        <f aca="false">IF(AND(IFERROR(SEARCH("현대오일뱅크",$C813),0)&gt;0,IFERROR(SEARCH("직영",$C813),0)&gt;0),$B$13,0)</f>
        <v>0</v>
      </c>
      <c r="M813" s="17" t="n">
        <f aca="false">IF($H813="","",$H813+$L813)</f>
        <v>1952</v>
      </c>
      <c r="N813" s="17" t="str">
        <f aca="false">IF($I813="","",$I813+$L813)</f>
        <v/>
      </c>
      <c r="O813" s="17" t="n">
        <f aca="false">IF($K813="","",$K813+$L813)</f>
        <v>1970</v>
      </c>
      <c r="P813" s="17" t="str">
        <f aca="false">IF($B$10=0,"",IFERROR(IF($B$4&gt;0,"휘발유 "&amp;TEXT(IF($M813="",1/0,$M813*$B$4),"#,##0")&amp;"원","")&amp;IF($B$5&gt;0,IF($B$4&gt;0," / ","")&amp;"고급유 "&amp;TEXT(IF($N813="",1/0,$N813*$B$5),"#,##0")&amp;"원","")&amp;IF($B$6&gt;0,IF(OR($B$4&gt;0,$B$5&gt;0)," / ","")&amp;"경유 "&amp;TEXT(IF($O813="",1/0,$O813*$B$6),"#,##0")&amp;"원",""),""))</f>
        <v/>
      </c>
      <c r="Q813" s="17" t="str">
        <f aca="false">IF($B$10=0,"",IFERROR(IF($B$4&gt;0,IF($M813="",1/0,$M813*$B$4),0)+IF($B$5&gt;0,IF($N813="",1/0,$N813*$B$5),0)+IF($B$6&gt;0,IF($O813="",1/0,$O813*$B$6),0),""))</f>
        <v/>
      </c>
      <c r="R813" s="17"/>
      <c r="S813" s="18" t="str">
        <f aca="false">IF($Q813="","",IF($R813="Y",IFERROR(VLOOKUP($B813,$C$4:$D$13,2,FALSE()),0),0))</f>
        <v/>
      </c>
      <c r="T813" s="17" t="str">
        <f aca="false">IF($Q813="","",ROUNDDOWN($Q813*$S813,0))</f>
        <v/>
      </c>
      <c r="U813" s="17" t="str">
        <f aca="false">IF($Q813="","",$Q813-$T813)</f>
        <v/>
      </c>
      <c r="V813" s="17" t="str">
        <f aca="false">IF($U813="","",IF($B$10=0,"",$U813/$B$10))</f>
        <v/>
      </c>
      <c r="W813" s="17" t="str">
        <f aca="false">IF($Q813="","",IF($B$10=0,"",$Q813/$B$10))</f>
        <v/>
      </c>
      <c r="X813" s="19" t="n">
        <f aca="false">IF($U813="",1000000000000000,$U813)</f>
        <v>1000000000000000</v>
      </c>
    </row>
    <row r="814" s="6" customFormat="true" ht="28.6" hidden="false" customHeight="true" outlineLevel="0" collapsed="false">
      <c r="A814" s="16" t="str">
        <f aca="false">IF($U814="","",1+COUNTIF($X$15:$X$728,"&lt;"&amp;X814))</f>
        <v/>
      </c>
      <c r="B814" s="16" t="s">
        <v>6</v>
      </c>
      <c r="C814" s="16" t="s">
        <v>2415</v>
      </c>
      <c r="D814" s="20" t="s">
        <v>108</v>
      </c>
      <c r="E814" s="16" t="s">
        <v>47</v>
      </c>
      <c r="F814" s="16" t="s">
        <v>2416</v>
      </c>
      <c r="G814" s="16" t="s">
        <v>2417</v>
      </c>
      <c r="H814" s="17" t="n">
        <v>1953</v>
      </c>
      <c r="I814" s="17"/>
      <c r="J814" s="17"/>
      <c r="K814" s="17" t="n">
        <v>1953</v>
      </c>
      <c r="L814" s="17" t="n">
        <f aca="false">IF(AND(IFERROR(SEARCH("현대오일뱅크",$C814),0)&gt;0,IFERROR(SEARCH("직영",$C814),0)&gt;0),$B$13,0)</f>
        <v>0</v>
      </c>
      <c r="M814" s="17" t="n">
        <f aca="false">IF($H814="","",$H814+$L814)</f>
        <v>1953</v>
      </c>
      <c r="N814" s="17" t="str">
        <f aca="false">IF($I814="","",$I814+$L814)</f>
        <v/>
      </c>
      <c r="O814" s="17" t="n">
        <f aca="false">IF($K814="","",$K814+$L814)</f>
        <v>1953</v>
      </c>
      <c r="P814" s="17" t="str">
        <f aca="false">IF($B$10=0,"",IFERROR(IF($B$4&gt;0,"휘발유 "&amp;TEXT(IF($M814="",1/0,$M814*$B$4),"#,##0")&amp;"원","")&amp;IF($B$5&gt;0,IF($B$4&gt;0," / ","")&amp;"고급유 "&amp;TEXT(IF($N814="",1/0,$N814*$B$5),"#,##0")&amp;"원","")&amp;IF($B$6&gt;0,IF(OR($B$4&gt;0,$B$5&gt;0)," / ","")&amp;"경유 "&amp;TEXT(IF($O814="",1/0,$O814*$B$6),"#,##0")&amp;"원",""),""))</f>
        <v/>
      </c>
      <c r="Q814" s="17" t="str">
        <f aca="false">IF($B$10=0,"",IFERROR(IF($B$4&gt;0,IF($M814="",1/0,$M814*$B$4),0)+IF($B$5&gt;0,IF($N814="",1/0,$N814*$B$5),0)+IF($B$6&gt;0,IF($O814="",1/0,$O814*$B$6),0),""))</f>
        <v/>
      </c>
      <c r="R814" s="17"/>
      <c r="S814" s="18" t="str">
        <f aca="false">IF($Q814="","",IF($R814="Y",IFERROR(VLOOKUP($B814,$C$4:$D$13,2,FALSE()),0),0))</f>
        <v/>
      </c>
      <c r="T814" s="17" t="str">
        <f aca="false">IF($Q814="","",ROUNDDOWN($Q814*$S814,0))</f>
        <v/>
      </c>
      <c r="U814" s="17" t="str">
        <f aca="false">IF($Q814="","",$Q814-$T814)</f>
        <v/>
      </c>
      <c r="V814" s="17" t="str">
        <f aca="false">IF($U814="","",IF($B$10=0,"",$U814/$B$10))</f>
        <v/>
      </c>
      <c r="W814" s="17" t="str">
        <f aca="false">IF($Q814="","",IF($B$10=0,"",$Q814/$B$10))</f>
        <v/>
      </c>
      <c r="X814" s="19" t="n">
        <f aca="false">IF($U814="",1000000000000000,$U814)</f>
        <v>1000000000000000</v>
      </c>
    </row>
    <row r="815" s="6" customFormat="true" ht="28.6" hidden="false" customHeight="true" outlineLevel="0" collapsed="false">
      <c r="A815" s="16" t="str">
        <f aca="false">IF($U815="","",1+COUNTIF($X$15:$X$728,"&lt;"&amp;X815))</f>
        <v/>
      </c>
      <c r="B815" s="16" t="s">
        <v>12</v>
      </c>
      <c r="C815" s="16" t="s">
        <v>2418</v>
      </c>
      <c r="D815" s="20" t="s">
        <v>112</v>
      </c>
      <c r="E815" s="16" t="s">
        <v>47</v>
      </c>
      <c r="F815" s="16" t="s">
        <v>2419</v>
      </c>
      <c r="G815" s="16" t="s">
        <v>2420</v>
      </c>
      <c r="H815" s="17" t="n">
        <v>1953</v>
      </c>
      <c r="I815" s="17"/>
      <c r="J815" s="17"/>
      <c r="K815" s="17" t="n">
        <v>2153</v>
      </c>
      <c r="L815" s="17" t="n">
        <f aca="false">IF(AND(IFERROR(SEARCH("현대오일뱅크",$C815),0)&gt;0,IFERROR(SEARCH("직영",$C815),0)&gt;0),$B$13,0)</f>
        <v>0</v>
      </c>
      <c r="M815" s="17" t="n">
        <f aca="false">IF($H815="","",$H815+$L815)</f>
        <v>1953</v>
      </c>
      <c r="N815" s="17" t="str">
        <f aca="false">IF($I815="","",$I815+$L815)</f>
        <v/>
      </c>
      <c r="O815" s="17" t="n">
        <f aca="false">IF($K815="","",$K815+$L815)</f>
        <v>2153</v>
      </c>
      <c r="P815" s="17" t="str">
        <f aca="false">IF($B$10=0,"",IFERROR(IF($B$4&gt;0,"휘발유 "&amp;TEXT(IF($M815="",1/0,$M815*$B$4),"#,##0")&amp;"원","")&amp;IF($B$5&gt;0,IF($B$4&gt;0," / ","")&amp;"고급유 "&amp;TEXT(IF($N815="",1/0,$N815*$B$5),"#,##0")&amp;"원","")&amp;IF($B$6&gt;0,IF(OR($B$4&gt;0,$B$5&gt;0)," / ","")&amp;"경유 "&amp;TEXT(IF($O815="",1/0,$O815*$B$6),"#,##0")&amp;"원",""),""))</f>
        <v/>
      </c>
      <c r="Q815" s="17" t="str">
        <f aca="false">IF($B$10=0,"",IFERROR(IF($B$4&gt;0,IF($M815="",1/0,$M815*$B$4),0)+IF($B$5&gt;0,IF($N815="",1/0,$N815*$B$5),0)+IF($B$6&gt;0,IF($O815="",1/0,$O815*$B$6),0),""))</f>
        <v/>
      </c>
      <c r="R815" s="17"/>
      <c r="S815" s="18" t="str">
        <f aca="false">IF($Q815="","",IF($R815="Y",IFERROR(VLOOKUP($B815,$C$4:$D$13,2,FALSE()),0),0))</f>
        <v/>
      </c>
      <c r="T815" s="17" t="str">
        <f aca="false">IF($Q815="","",ROUNDDOWN($Q815*$S815,0))</f>
        <v/>
      </c>
      <c r="U815" s="17" t="str">
        <f aca="false">IF($Q815="","",$Q815-$T815)</f>
        <v/>
      </c>
      <c r="V815" s="17" t="str">
        <f aca="false">IF($U815="","",IF($B$10=0,"",$U815/$B$10))</f>
        <v/>
      </c>
      <c r="W815" s="17" t="str">
        <f aca="false">IF($Q815="","",IF($B$10=0,"",$Q815/$B$10))</f>
        <v/>
      </c>
      <c r="X815" s="19" t="n">
        <f aca="false">IF($U815="",1000000000000000,$U815)</f>
        <v>1000000000000000</v>
      </c>
    </row>
    <row r="816" s="6" customFormat="true" ht="28.6" hidden="false" customHeight="true" outlineLevel="0" collapsed="false">
      <c r="A816" s="16" t="str">
        <f aca="false">IF($U816="","",1+COUNTIF($X$15:$X$728,"&lt;"&amp;X816))</f>
        <v/>
      </c>
      <c r="B816" s="16" t="s">
        <v>12</v>
      </c>
      <c r="C816" s="16" t="s">
        <v>2421</v>
      </c>
      <c r="D816" s="16" t="s">
        <v>58</v>
      </c>
      <c r="E816" s="16" t="s">
        <v>47</v>
      </c>
      <c r="F816" s="16" t="s">
        <v>2422</v>
      </c>
      <c r="G816" s="16" t="s">
        <v>2423</v>
      </c>
      <c r="H816" s="17" t="n">
        <v>1954</v>
      </c>
      <c r="I816" s="17"/>
      <c r="J816" s="17"/>
      <c r="K816" s="17" t="n">
        <v>2034</v>
      </c>
      <c r="L816" s="17" t="n">
        <f aca="false">IF(AND(IFERROR(SEARCH("현대오일뱅크",$C816),0)&gt;0,IFERROR(SEARCH("직영",$C816),0)&gt;0),$B$13,0)</f>
        <v>0</v>
      </c>
      <c r="M816" s="17" t="n">
        <f aca="false">IF($H816="","",$H816+$L816)</f>
        <v>1954</v>
      </c>
      <c r="N816" s="17" t="str">
        <f aca="false">IF($I816="","",$I816+$L816)</f>
        <v/>
      </c>
      <c r="O816" s="17" t="n">
        <f aca="false">IF($K816="","",$K816+$L816)</f>
        <v>2034</v>
      </c>
      <c r="P816" s="17" t="str">
        <f aca="false">IF($B$10=0,"",IFERROR(IF($B$4&gt;0,"휘발유 "&amp;TEXT(IF($M816="",1/0,$M816*$B$4),"#,##0")&amp;"원","")&amp;IF($B$5&gt;0,IF($B$4&gt;0," / ","")&amp;"고급유 "&amp;TEXT(IF($N816="",1/0,$N816*$B$5),"#,##0")&amp;"원","")&amp;IF($B$6&gt;0,IF(OR($B$4&gt;0,$B$5&gt;0)," / ","")&amp;"경유 "&amp;TEXT(IF($O816="",1/0,$O816*$B$6),"#,##0")&amp;"원",""),""))</f>
        <v/>
      </c>
      <c r="Q816" s="17" t="str">
        <f aca="false">IF($B$10=0,"",IFERROR(IF($B$4&gt;0,IF($M816="",1/0,$M816*$B$4),0)+IF($B$5&gt;0,IF($N816="",1/0,$N816*$B$5),0)+IF($B$6&gt;0,IF($O816="",1/0,$O816*$B$6),0),""))</f>
        <v/>
      </c>
      <c r="R816" s="17"/>
      <c r="S816" s="18" t="str">
        <f aca="false">IF($Q816="","",IF($R816="Y",IFERROR(VLOOKUP($B816,$C$4:$D$13,2,FALSE()),0),0))</f>
        <v/>
      </c>
      <c r="T816" s="17" t="str">
        <f aca="false">IF($Q816="","",ROUNDDOWN($Q816*$S816,0))</f>
        <v/>
      </c>
      <c r="U816" s="17" t="str">
        <f aca="false">IF($Q816="","",$Q816-$T816)</f>
        <v/>
      </c>
      <c r="V816" s="17" t="str">
        <f aca="false">IF($U816="","",IF($B$10=0,"",$U816/$B$10))</f>
        <v/>
      </c>
      <c r="W816" s="17" t="str">
        <f aca="false">IF($Q816="","",IF($B$10=0,"",$Q816/$B$10))</f>
        <v/>
      </c>
      <c r="X816" s="19" t="n">
        <f aca="false">IF($U816="",1000000000000000,$U816)</f>
        <v>1000000000000000</v>
      </c>
    </row>
    <row r="817" s="6" customFormat="true" ht="28.6" hidden="false" customHeight="true" outlineLevel="0" collapsed="false">
      <c r="A817" s="16" t="str">
        <f aca="false">IF($U817="","",1+COUNTIF($X$15:$X$728,"&lt;"&amp;X817))</f>
        <v/>
      </c>
      <c r="B817" s="16" t="s">
        <v>18</v>
      </c>
      <c r="C817" s="16" t="s">
        <v>2424</v>
      </c>
      <c r="D817" s="16" t="s">
        <v>58</v>
      </c>
      <c r="E817" s="16" t="s">
        <v>47</v>
      </c>
      <c r="F817" s="16" t="s">
        <v>2425</v>
      </c>
      <c r="G817" s="16" t="s">
        <v>2388</v>
      </c>
      <c r="H817" s="17" t="n">
        <v>1954</v>
      </c>
      <c r="I817" s="17"/>
      <c r="J817" s="17"/>
      <c r="K817" s="17" t="n">
        <v>1954</v>
      </c>
      <c r="L817" s="17" t="n">
        <f aca="false">IF(AND(IFERROR(SEARCH("현대오일뱅크",$C817),0)&gt;0,IFERROR(SEARCH("직영",$C817),0)&gt;0),$B$13,0)</f>
        <v>0</v>
      </c>
      <c r="M817" s="17" t="n">
        <f aca="false">IF($H817="","",$H817+$L817)</f>
        <v>1954</v>
      </c>
      <c r="N817" s="17" t="str">
        <f aca="false">IF($I817="","",$I817+$L817)</f>
        <v/>
      </c>
      <c r="O817" s="17" t="n">
        <f aca="false">IF($K817="","",$K817+$L817)</f>
        <v>1954</v>
      </c>
      <c r="P817" s="17" t="str">
        <f aca="false">IF($B$10=0,"",IFERROR(IF($B$4&gt;0,"휘발유 "&amp;TEXT(IF($M817="",1/0,$M817*$B$4),"#,##0")&amp;"원","")&amp;IF($B$5&gt;0,IF($B$4&gt;0," / ","")&amp;"고급유 "&amp;TEXT(IF($N817="",1/0,$N817*$B$5),"#,##0")&amp;"원","")&amp;IF($B$6&gt;0,IF(OR($B$4&gt;0,$B$5&gt;0)," / ","")&amp;"경유 "&amp;TEXT(IF($O817="",1/0,$O817*$B$6),"#,##0")&amp;"원",""),""))</f>
        <v/>
      </c>
      <c r="Q817" s="17" t="str">
        <f aca="false">IF($B$10=0,"",IFERROR(IF($B$4&gt;0,IF($M817="",1/0,$M817*$B$4),0)+IF($B$5&gt;0,IF($N817="",1/0,$N817*$B$5),0)+IF($B$6&gt;0,IF($O817="",1/0,$O817*$B$6),0),""))</f>
        <v/>
      </c>
      <c r="R817" s="17"/>
      <c r="S817" s="18" t="str">
        <f aca="false">IF($Q817="","",IF($R817="Y",IFERROR(VLOOKUP($B817,$C$4:$D$13,2,FALSE()),0),0))</f>
        <v/>
      </c>
      <c r="T817" s="17" t="str">
        <f aca="false">IF($Q817="","",ROUNDDOWN($Q817*$S817,0))</f>
        <v/>
      </c>
      <c r="U817" s="17" t="str">
        <f aca="false">IF($Q817="","",$Q817-$T817)</f>
        <v/>
      </c>
      <c r="V817" s="17" t="str">
        <f aca="false">IF($U817="","",IF($B$10=0,"",$U817/$B$10))</f>
        <v/>
      </c>
      <c r="W817" s="17" t="str">
        <f aca="false">IF($Q817="","",IF($B$10=0,"",$Q817/$B$10))</f>
        <v/>
      </c>
      <c r="X817" s="19" t="n">
        <f aca="false">IF($U817="",1000000000000000,$U817)</f>
        <v>1000000000000000</v>
      </c>
    </row>
    <row r="818" s="6" customFormat="true" ht="28.6" hidden="false" customHeight="true" outlineLevel="0" collapsed="false">
      <c r="A818" s="16" t="str">
        <f aca="false">IF($U818="","",1+COUNTIF($X$15:$X$728,"&lt;"&amp;X818))</f>
        <v/>
      </c>
      <c r="B818" s="16" t="s">
        <v>18</v>
      </c>
      <c r="C818" s="16" t="s">
        <v>2426</v>
      </c>
      <c r="D818" s="16" t="s">
        <v>58</v>
      </c>
      <c r="E818" s="16" t="s">
        <v>47</v>
      </c>
      <c r="F818" s="16" t="s">
        <v>2427</v>
      </c>
      <c r="G818" s="16" t="s">
        <v>2428</v>
      </c>
      <c r="H818" s="17" t="n">
        <v>1954</v>
      </c>
      <c r="I818" s="17"/>
      <c r="J818" s="17"/>
      <c r="K818" s="17" t="n">
        <v>1954</v>
      </c>
      <c r="L818" s="17" t="n">
        <f aca="false">IF(AND(IFERROR(SEARCH("현대오일뱅크",$C818),0)&gt;0,IFERROR(SEARCH("직영",$C818),0)&gt;0),$B$13,0)</f>
        <v>0</v>
      </c>
      <c r="M818" s="17" t="n">
        <f aca="false">IF($H818="","",$H818+$L818)</f>
        <v>1954</v>
      </c>
      <c r="N818" s="17" t="str">
        <f aca="false">IF($I818="","",$I818+$L818)</f>
        <v/>
      </c>
      <c r="O818" s="17" t="n">
        <f aca="false">IF($K818="","",$K818+$L818)</f>
        <v>1954</v>
      </c>
      <c r="P818" s="17" t="str">
        <f aca="false">IF($B$10=0,"",IFERROR(IF($B$4&gt;0,"휘발유 "&amp;TEXT(IF($M818="",1/0,$M818*$B$4),"#,##0")&amp;"원","")&amp;IF($B$5&gt;0,IF($B$4&gt;0," / ","")&amp;"고급유 "&amp;TEXT(IF($N818="",1/0,$N818*$B$5),"#,##0")&amp;"원","")&amp;IF($B$6&gt;0,IF(OR($B$4&gt;0,$B$5&gt;0)," / ","")&amp;"경유 "&amp;TEXT(IF($O818="",1/0,$O818*$B$6),"#,##0")&amp;"원",""),""))</f>
        <v/>
      </c>
      <c r="Q818" s="17" t="str">
        <f aca="false">IF($B$10=0,"",IFERROR(IF($B$4&gt;0,IF($M818="",1/0,$M818*$B$4),0)+IF($B$5&gt;0,IF($N818="",1/0,$N818*$B$5),0)+IF($B$6&gt;0,IF($O818="",1/0,$O818*$B$6),0),""))</f>
        <v/>
      </c>
      <c r="R818" s="17"/>
      <c r="S818" s="18" t="str">
        <f aca="false">IF($Q818="","",IF($R818="Y",IFERROR(VLOOKUP($B818,$C$4:$D$13,2,FALSE()),0),0))</f>
        <v/>
      </c>
      <c r="T818" s="17" t="str">
        <f aca="false">IF($Q818="","",ROUNDDOWN($Q818*$S818,0))</f>
        <v/>
      </c>
      <c r="U818" s="17" t="str">
        <f aca="false">IF($Q818="","",$Q818-$T818)</f>
        <v/>
      </c>
      <c r="V818" s="17" t="str">
        <f aca="false">IF($U818="","",IF($B$10=0,"",$U818/$B$10))</f>
        <v/>
      </c>
      <c r="W818" s="17" t="str">
        <f aca="false">IF($Q818="","",IF($B$10=0,"",$Q818/$B$10))</f>
        <v/>
      </c>
      <c r="X818" s="19" t="n">
        <f aca="false">IF($U818="",1000000000000000,$U818)</f>
        <v>1000000000000000</v>
      </c>
    </row>
    <row r="819" s="6" customFormat="true" ht="28.6" hidden="false" customHeight="true" outlineLevel="0" collapsed="false">
      <c r="A819" s="16" t="str">
        <f aca="false">IF($U819="","",1+COUNTIF($X$15:$X$728,"&lt;"&amp;X819))</f>
        <v/>
      </c>
      <c r="B819" s="16" t="s">
        <v>18</v>
      </c>
      <c r="C819" s="16" t="s">
        <v>2429</v>
      </c>
      <c r="D819" s="16" t="s">
        <v>112</v>
      </c>
      <c r="E819" s="16" t="s">
        <v>47</v>
      </c>
      <c r="F819" s="16" t="s">
        <v>2430</v>
      </c>
      <c r="G819" s="16" t="s">
        <v>2431</v>
      </c>
      <c r="H819" s="17" t="n">
        <v>1954</v>
      </c>
      <c r="I819" s="17"/>
      <c r="J819" s="17"/>
      <c r="K819" s="17" t="n">
        <v>1954</v>
      </c>
      <c r="L819" s="17" t="n">
        <f aca="false">IF(AND(IFERROR(SEARCH("현대오일뱅크",$C819),0)&gt;0,IFERROR(SEARCH("직영",$C819),0)&gt;0),$B$13,0)</f>
        <v>0</v>
      </c>
      <c r="M819" s="17" t="n">
        <f aca="false">IF($H819="","",$H819+$L819)</f>
        <v>1954</v>
      </c>
      <c r="N819" s="17" t="str">
        <f aca="false">IF($I819="","",$I819+$L819)</f>
        <v/>
      </c>
      <c r="O819" s="17" t="n">
        <f aca="false">IF($K819="","",$K819+$L819)</f>
        <v>1954</v>
      </c>
      <c r="P819" s="17" t="str">
        <f aca="false">IF($B$10=0,"",IFERROR(IF($B$4&gt;0,"휘발유 "&amp;TEXT(IF($M819="",1/0,$M819*$B$4),"#,##0")&amp;"원","")&amp;IF($B$5&gt;0,IF($B$4&gt;0," / ","")&amp;"고급유 "&amp;TEXT(IF($N819="",1/0,$N819*$B$5),"#,##0")&amp;"원","")&amp;IF($B$6&gt;0,IF(OR($B$4&gt;0,$B$5&gt;0)," / ","")&amp;"경유 "&amp;TEXT(IF($O819="",1/0,$O819*$B$6),"#,##0")&amp;"원",""),""))</f>
        <v/>
      </c>
      <c r="Q819" s="17" t="str">
        <f aca="false">IF($B$10=0,"",IFERROR(IF($B$4&gt;0,IF($M819="",1/0,$M819*$B$4),0)+IF($B$5&gt;0,IF($N819="",1/0,$N819*$B$5),0)+IF($B$6&gt;0,IF($O819="",1/0,$O819*$B$6),0),""))</f>
        <v/>
      </c>
      <c r="R819" s="17"/>
      <c r="S819" s="18" t="str">
        <f aca="false">IF($Q819="","",IF($R819="Y",IFERROR(VLOOKUP($B819,$C$4:$D$13,2,FALSE()),0),0))</f>
        <v/>
      </c>
      <c r="T819" s="17" t="str">
        <f aca="false">IF($Q819="","",ROUNDDOWN($Q819*$S819,0))</f>
        <v/>
      </c>
      <c r="U819" s="17" t="str">
        <f aca="false">IF($Q819="","",$Q819-$T819)</f>
        <v/>
      </c>
      <c r="V819" s="17" t="str">
        <f aca="false">IF($U819="","",IF($B$10=0,"",$U819/$B$10))</f>
        <v/>
      </c>
      <c r="W819" s="17" t="str">
        <f aca="false">IF($Q819="","",IF($B$10=0,"",$Q819/$B$10))</f>
        <v/>
      </c>
      <c r="X819" s="19" t="n">
        <f aca="false">IF($U819="",1000000000000000,$U819)</f>
        <v>1000000000000000</v>
      </c>
    </row>
    <row r="820" s="6" customFormat="true" ht="28.6" hidden="false" customHeight="true" outlineLevel="0" collapsed="false">
      <c r="A820" s="16" t="str">
        <f aca="false">IF($U820="","",1+COUNTIF($X$15:$X$728,"&lt;"&amp;X820))</f>
        <v/>
      </c>
      <c r="B820" s="16" t="s">
        <v>12</v>
      </c>
      <c r="C820" s="16" t="s">
        <v>2432</v>
      </c>
      <c r="D820" s="20" t="s">
        <v>294</v>
      </c>
      <c r="E820" s="16" t="s">
        <v>47</v>
      </c>
      <c r="F820" s="16" t="s">
        <v>2433</v>
      </c>
      <c r="G820" s="16" t="s">
        <v>2434</v>
      </c>
      <c r="H820" s="17" t="n">
        <v>1954</v>
      </c>
      <c r="I820" s="17"/>
      <c r="J820" s="17"/>
      <c r="K820" s="17" t="n">
        <v>2094</v>
      </c>
      <c r="L820" s="17" t="n">
        <f aca="false">IF(AND(IFERROR(SEARCH("현대오일뱅크",$C820),0)&gt;0,IFERROR(SEARCH("직영",$C820),0)&gt;0),$B$13,0)</f>
        <v>0</v>
      </c>
      <c r="M820" s="17" t="n">
        <f aca="false">IF($H820="","",$H820+$L820)</f>
        <v>1954</v>
      </c>
      <c r="N820" s="17" t="str">
        <f aca="false">IF($I820="","",$I820+$L820)</f>
        <v/>
      </c>
      <c r="O820" s="17" t="n">
        <f aca="false">IF($K820="","",$K820+$L820)</f>
        <v>2094</v>
      </c>
      <c r="P820" s="17" t="str">
        <f aca="false">IF($B$10=0,"",IFERROR(IF($B$4&gt;0,"휘발유 "&amp;TEXT(IF($M820="",1/0,$M820*$B$4),"#,##0")&amp;"원","")&amp;IF($B$5&gt;0,IF($B$4&gt;0," / ","")&amp;"고급유 "&amp;TEXT(IF($N820="",1/0,$N820*$B$5),"#,##0")&amp;"원","")&amp;IF($B$6&gt;0,IF(OR($B$4&gt;0,$B$5&gt;0)," / ","")&amp;"경유 "&amp;TEXT(IF($O820="",1/0,$O820*$B$6),"#,##0")&amp;"원",""),""))</f>
        <v/>
      </c>
      <c r="Q820" s="17" t="str">
        <f aca="false">IF($B$10=0,"",IFERROR(IF($B$4&gt;0,IF($M820="",1/0,$M820*$B$4),0)+IF($B$5&gt;0,IF($N820="",1/0,$N820*$B$5),0)+IF($B$6&gt;0,IF($O820="",1/0,$O820*$B$6),0),""))</f>
        <v/>
      </c>
      <c r="R820" s="17"/>
      <c r="S820" s="18" t="str">
        <f aca="false">IF($Q820="","",IF($R820="Y",IFERROR(VLOOKUP($B820,$C$4:$D$13,2,FALSE()),0),0))</f>
        <v/>
      </c>
      <c r="T820" s="17" t="str">
        <f aca="false">IF($Q820="","",ROUNDDOWN($Q820*$S820,0))</f>
        <v/>
      </c>
      <c r="U820" s="17" t="str">
        <f aca="false">IF($Q820="","",$Q820-$T820)</f>
        <v/>
      </c>
      <c r="V820" s="17" t="str">
        <f aca="false">IF($U820="","",IF($B$10=0,"",$U820/$B$10))</f>
        <v/>
      </c>
      <c r="W820" s="17" t="str">
        <f aca="false">IF($Q820="","",IF($B$10=0,"",$Q820/$B$10))</f>
        <v/>
      </c>
      <c r="X820" s="19" t="n">
        <f aca="false">IF($U820="",1000000000000000,$U820)</f>
        <v>1000000000000000</v>
      </c>
    </row>
    <row r="821" s="6" customFormat="true" ht="28.6" hidden="false" customHeight="true" outlineLevel="0" collapsed="false">
      <c r="A821" s="16" t="str">
        <f aca="false">IF($U821="","",1+COUNTIF($X$15:$X$728,"&lt;"&amp;X821))</f>
        <v/>
      </c>
      <c r="B821" s="16" t="s">
        <v>12</v>
      </c>
      <c r="C821" s="16" t="s">
        <v>2435</v>
      </c>
      <c r="D821" s="20" t="s">
        <v>112</v>
      </c>
      <c r="E821" s="16" t="s">
        <v>47</v>
      </c>
      <c r="F821" s="16" t="s">
        <v>2436</v>
      </c>
      <c r="G821" s="16" t="s">
        <v>2437</v>
      </c>
      <c r="H821" s="17" t="n">
        <v>1944</v>
      </c>
      <c r="I821" s="17"/>
      <c r="J821" s="17"/>
      <c r="K821" s="17" t="n">
        <v>1954</v>
      </c>
      <c r="L821" s="17" t="n">
        <f aca="false">IF(AND(IFERROR(SEARCH("현대오일뱅크",$C821),0)&gt;0,IFERROR(SEARCH("직영",$C821),0)&gt;0),$B$13,0)</f>
        <v>0</v>
      </c>
      <c r="M821" s="17" t="n">
        <f aca="false">IF($H821="","",$H821+$L821)</f>
        <v>1944</v>
      </c>
      <c r="N821" s="17" t="str">
        <f aca="false">IF($I821="","",$I821+$L821)</f>
        <v/>
      </c>
      <c r="O821" s="17" t="n">
        <f aca="false">IF($K821="","",$K821+$L821)</f>
        <v>1954</v>
      </c>
      <c r="P821" s="17" t="str">
        <f aca="false">IF($B$10=0,"",IFERROR(IF($B$4&gt;0,"휘발유 "&amp;TEXT(IF($M821="",1/0,$M821*$B$4),"#,##0")&amp;"원","")&amp;IF($B$5&gt;0,IF($B$4&gt;0," / ","")&amp;"고급유 "&amp;TEXT(IF($N821="",1/0,$N821*$B$5),"#,##0")&amp;"원","")&amp;IF($B$6&gt;0,IF(OR($B$4&gt;0,$B$5&gt;0)," / ","")&amp;"경유 "&amp;TEXT(IF($O821="",1/0,$O821*$B$6),"#,##0")&amp;"원",""),""))</f>
        <v/>
      </c>
      <c r="Q821" s="17" t="str">
        <f aca="false">IF($B$10=0,"",IFERROR(IF($B$4&gt;0,IF($M821="",1/0,$M821*$B$4),0)+IF($B$5&gt;0,IF($N821="",1/0,$N821*$B$5),0)+IF($B$6&gt;0,IF($O821="",1/0,$O821*$B$6),0),""))</f>
        <v/>
      </c>
      <c r="R821" s="17"/>
      <c r="S821" s="18" t="str">
        <f aca="false">IF($Q821="","",IF($R821="Y",IFERROR(VLOOKUP($B821,$C$4:$D$13,2,FALSE()),0),0))</f>
        <v/>
      </c>
      <c r="T821" s="17" t="str">
        <f aca="false">IF($Q821="","",ROUNDDOWN($Q821*$S821,0))</f>
        <v/>
      </c>
      <c r="U821" s="17" t="str">
        <f aca="false">IF($Q821="","",$Q821-$T821)</f>
        <v/>
      </c>
      <c r="V821" s="17" t="str">
        <f aca="false">IF($U821="","",IF($B$10=0,"",$U821/$B$10))</f>
        <v/>
      </c>
      <c r="W821" s="17" t="str">
        <f aca="false">IF($Q821="","",IF($B$10=0,"",$Q821/$B$10))</f>
        <v/>
      </c>
      <c r="X821" s="19" t="n">
        <f aca="false">IF($U821="",1000000000000000,$U821)</f>
        <v>1000000000000000</v>
      </c>
    </row>
    <row r="822" s="6" customFormat="true" ht="28.6" hidden="false" customHeight="true" outlineLevel="0" collapsed="false">
      <c r="A822" s="16" t="str">
        <f aca="false">IF($U822="","",1+COUNTIF($X$15:$X$728,"&lt;"&amp;X822))</f>
        <v/>
      </c>
      <c r="B822" s="16" t="s">
        <v>12</v>
      </c>
      <c r="C822" s="16" t="s">
        <v>632</v>
      </c>
      <c r="D822" s="20" t="s">
        <v>248</v>
      </c>
      <c r="E822" s="16" t="s">
        <v>59</v>
      </c>
      <c r="F822" s="16" t="s">
        <v>2438</v>
      </c>
      <c r="G822" s="16" t="s">
        <v>2439</v>
      </c>
      <c r="H822" s="17" t="n">
        <v>1955</v>
      </c>
      <c r="I822" s="17"/>
      <c r="J822" s="17"/>
      <c r="K822" s="17" t="n">
        <v>1975</v>
      </c>
      <c r="L822" s="17" t="n">
        <f aca="false">IF(AND(IFERROR(SEARCH("현대오일뱅크",$C822),0)&gt;0,IFERROR(SEARCH("직영",$C822),0)&gt;0),$B$13,0)</f>
        <v>0</v>
      </c>
      <c r="M822" s="17" t="n">
        <f aca="false">IF($H822="","",$H822+$L822)</f>
        <v>1955</v>
      </c>
      <c r="N822" s="17" t="str">
        <f aca="false">IF($I822="","",$I822+$L822)</f>
        <v/>
      </c>
      <c r="O822" s="17" t="n">
        <f aca="false">IF($K822="","",$K822+$L822)</f>
        <v>1975</v>
      </c>
      <c r="P822" s="17" t="str">
        <f aca="false">IF($B$10=0,"",IFERROR(IF($B$4&gt;0,"휘발유 "&amp;TEXT(IF($M822="",1/0,$M822*$B$4),"#,##0")&amp;"원","")&amp;IF($B$5&gt;0,IF($B$4&gt;0," / ","")&amp;"고급유 "&amp;TEXT(IF($N822="",1/0,$N822*$B$5),"#,##0")&amp;"원","")&amp;IF($B$6&gt;0,IF(OR($B$4&gt;0,$B$5&gt;0)," / ","")&amp;"경유 "&amp;TEXT(IF($O822="",1/0,$O822*$B$6),"#,##0")&amp;"원",""),""))</f>
        <v/>
      </c>
      <c r="Q822" s="17" t="str">
        <f aca="false">IF($B$10=0,"",IFERROR(IF($B$4&gt;0,IF($M822="",1/0,$M822*$B$4),0)+IF($B$5&gt;0,IF($N822="",1/0,$N822*$B$5),0)+IF($B$6&gt;0,IF($O822="",1/0,$O822*$B$6),0),""))</f>
        <v/>
      </c>
      <c r="R822" s="17"/>
      <c r="S822" s="18" t="str">
        <f aca="false">IF($Q822="","",IF($R822="Y",IFERROR(VLOOKUP($B822,$C$4:$D$13,2,FALSE()),0),0))</f>
        <v/>
      </c>
      <c r="T822" s="17" t="str">
        <f aca="false">IF($Q822="","",ROUNDDOWN($Q822*$S822,0))</f>
        <v/>
      </c>
      <c r="U822" s="17" t="str">
        <f aca="false">IF($Q822="","",$Q822-$T822)</f>
        <v/>
      </c>
      <c r="V822" s="17" t="str">
        <f aca="false">IF($U822="","",IF($B$10=0,"",$U822/$B$10))</f>
        <v/>
      </c>
      <c r="W822" s="17" t="str">
        <f aca="false">IF($Q822="","",IF($B$10=0,"",$Q822/$B$10))</f>
        <v/>
      </c>
      <c r="X822" s="19" t="n">
        <f aca="false">IF($U822="",1000000000000000,$U822)</f>
        <v>1000000000000000</v>
      </c>
    </row>
    <row r="823" s="6" customFormat="true" ht="28.6" hidden="false" customHeight="true" outlineLevel="0" collapsed="false">
      <c r="A823" s="16" t="str">
        <f aca="false">IF($U823="","",1+COUNTIF($X$15:$X$728,"&lt;"&amp;X823))</f>
        <v/>
      </c>
      <c r="B823" s="16" t="s">
        <v>14</v>
      </c>
      <c r="C823" s="16" t="s">
        <v>2440</v>
      </c>
      <c r="D823" s="16" t="s">
        <v>112</v>
      </c>
      <c r="E823" s="16" t="s">
        <v>47</v>
      </c>
      <c r="F823" s="16" t="s">
        <v>2441</v>
      </c>
      <c r="G823" s="16" t="s">
        <v>2442</v>
      </c>
      <c r="H823" s="17" t="n">
        <v>1955</v>
      </c>
      <c r="I823" s="17"/>
      <c r="J823" s="17"/>
      <c r="K823" s="17" t="n">
        <v>1995</v>
      </c>
      <c r="L823" s="17" t="n">
        <f aca="false">IF(AND(IFERROR(SEARCH("현대오일뱅크",$C823),0)&gt;0,IFERROR(SEARCH("직영",$C823),0)&gt;0),$B$13,0)</f>
        <v>0</v>
      </c>
      <c r="M823" s="17" t="n">
        <f aca="false">IF($H823="","",$H823+$L823)</f>
        <v>1955</v>
      </c>
      <c r="N823" s="17" t="str">
        <f aca="false">IF($I823="","",$I823+$L823)</f>
        <v/>
      </c>
      <c r="O823" s="17" t="n">
        <f aca="false">IF($K823="","",$K823+$L823)</f>
        <v>1995</v>
      </c>
      <c r="P823" s="17" t="str">
        <f aca="false">IF($B$10=0,"",IFERROR(IF($B$4&gt;0,"휘발유 "&amp;TEXT(IF($M823="",1/0,$M823*$B$4),"#,##0")&amp;"원","")&amp;IF($B$5&gt;0,IF($B$4&gt;0," / ","")&amp;"고급유 "&amp;TEXT(IF($N823="",1/0,$N823*$B$5),"#,##0")&amp;"원","")&amp;IF($B$6&gt;0,IF(OR($B$4&gt;0,$B$5&gt;0)," / ","")&amp;"경유 "&amp;TEXT(IF($O823="",1/0,$O823*$B$6),"#,##0")&amp;"원",""),""))</f>
        <v/>
      </c>
      <c r="Q823" s="17" t="str">
        <f aca="false">IF($B$10=0,"",IFERROR(IF($B$4&gt;0,IF($M823="",1/0,$M823*$B$4),0)+IF($B$5&gt;0,IF($N823="",1/0,$N823*$B$5),0)+IF($B$6&gt;0,IF($O823="",1/0,$O823*$B$6),0),""))</f>
        <v/>
      </c>
      <c r="R823" s="17"/>
      <c r="S823" s="18" t="str">
        <f aca="false">IF($Q823="","",IF($R823="Y",IFERROR(VLOOKUP($B823,$C$4:$D$13,2,FALSE()),0),0))</f>
        <v/>
      </c>
      <c r="T823" s="17" t="str">
        <f aca="false">IF($Q823="","",ROUNDDOWN($Q823*$S823,0))</f>
        <v/>
      </c>
      <c r="U823" s="17" t="str">
        <f aca="false">IF($Q823="","",$Q823-$T823)</f>
        <v/>
      </c>
      <c r="V823" s="17" t="str">
        <f aca="false">IF($U823="","",IF($B$10=0,"",$U823/$B$10))</f>
        <v/>
      </c>
      <c r="W823" s="17" t="str">
        <f aca="false">IF($Q823="","",IF($B$10=0,"",$Q823/$B$10))</f>
        <v/>
      </c>
      <c r="X823" s="19" t="n">
        <f aca="false">IF($U823="",1000000000000000,$U823)</f>
        <v>1000000000000000</v>
      </c>
    </row>
    <row r="824" s="6" customFormat="true" ht="28.6" hidden="false" customHeight="true" outlineLevel="0" collapsed="false">
      <c r="A824" s="16" t="str">
        <f aca="false">IF($U824="","",1+COUNTIF($X$15:$X$728,"&lt;"&amp;X824))</f>
        <v/>
      </c>
      <c r="B824" s="16" t="s">
        <v>14</v>
      </c>
      <c r="C824" s="16" t="s">
        <v>2443</v>
      </c>
      <c r="D824" s="16" t="s">
        <v>51</v>
      </c>
      <c r="E824" s="16" t="s">
        <v>47</v>
      </c>
      <c r="F824" s="16" t="s">
        <v>2444</v>
      </c>
      <c r="G824" s="16" t="s">
        <v>2445</v>
      </c>
      <c r="H824" s="17" t="n">
        <v>1955</v>
      </c>
      <c r="I824" s="17"/>
      <c r="J824" s="17"/>
      <c r="K824" s="17" t="n">
        <v>1995</v>
      </c>
      <c r="L824" s="17" t="n">
        <f aca="false">IF(AND(IFERROR(SEARCH("현대오일뱅크",$C824),0)&gt;0,IFERROR(SEARCH("직영",$C824),0)&gt;0),$B$13,0)</f>
        <v>0</v>
      </c>
      <c r="M824" s="17" t="n">
        <f aca="false">IF($H824="","",$H824+$L824)</f>
        <v>1955</v>
      </c>
      <c r="N824" s="17" t="str">
        <f aca="false">IF($I824="","",$I824+$L824)</f>
        <v/>
      </c>
      <c r="O824" s="17" t="n">
        <f aca="false">IF($K824="","",$K824+$L824)</f>
        <v>1995</v>
      </c>
      <c r="P824" s="17" t="str">
        <f aca="false">IF($B$10=0,"",IFERROR(IF($B$4&gt;0,"휘발유 "&amp;TEXT(IF($M824="",1/0,$M824*$B$4),"#,##0")&amp;"원","")&amp;IF($B$5&gt;0,IF($B$4&gt;0," / ","")&amp;"고급유 "&amp;TEXT(IF($N824="",1/0,$N824*$B$5),"#,##0")&amp;"원","")&amp;IF($B$6&gt;0,IF(OR($B$4&gt;0,$B$5&gt;0)," / ","")&amp;"경유 "&amp;TEXT(IF($O824="",1/0,$O824*$B$6),"#,##0")&amp;"원",""),""))</f>
        <v/>
      </c>
      <c r="Q824" s="17" t="str">
        <f aca="false">IF($B$10=0,"",IFERROR(IF($B$4&gt;0,IF($M824="",1/0,$M824*$B$4),0)+IF($B$5&gt;0,IF($N824="",1/0,$N824*$B$5),0)+IF($B$6&gt;0,IF($O824="",1/0,$O824*$B$6),0),""))</f>
        <v/>
      </c>
      <c r="R824" s="17"/>
      <c r="S824" s="18" t="str">
        <f aca="false">IF($Q824="","",IF($R824="Y",IFERROR(VLOOKUP($B824,$C$4:$D$13,2,FALSE()),0),0))</f>
        <v/>
      </c>
      <c r="T824" s="17" t="str">
        <f aca="false">IF($Q824="","",ROUNDDOWN($Q824*$S824,0))</f>
        <v/>
      </c>
      <c r="U824" s="17" t="str">
        <f aca="false">IF($Q824="","",$Q824-$T824)</f>
        <v/>
      </c>
      <c r="V824" s="17" t="str">
        <f aca="false">IF($U824="","",IF($B$10=0,"",$U824/$B$10))</f>
        <v/>
      </c>
      <c r="W824" s="17" t="str">
        <f aca="false">IF($Q824="","",IF($B$10=0,"",$Q824/$B$10))</f>
        <v/>
      </c>
      <c r="X824" s="19" t="n">
        <f aca="false">IF($U824="",1000000000000000,$U824)</f>
        <v>1000000000000000</v>
      </c>
    </row>
    <row r="825" s="6" customFormat="true" ht="28.6" hidden="false" customHeight="true" outlineLevel="0" collapsed="false">
      <c r="A825" s="16" t="str">
        <f aca="false">IF($U825="","",1+COUNTIF($X$15:$X$728,"&lt;"&amp;X825))</f>
        <v/>
      </c>
      <c r="B825" s="16" t="s">
        <v>12</v>
      </c>
      <c r="C825" s="16" t="s">
        <v>2446</v>
      </c>
      <c r="D825" s="20" t="s">
        <v>294</v>
      </c>
      <c r="E825" s="16" t="s">
        <v>47</v>
      </c>
      <c r="F825" s="16" t="s">
        <v>2447</v>
      </c>
      <c r="G825" s="16" t="s">
        <v>2448</v>
      </c>
      <c r="H825" s="17" t="n">
        <v>1955</v>
      </c>
      <c r="I825" s="17"/>
      <c r="J825" s="17"/>
      <c r="K825" s="17" t="n">
        <v>1995</v>
      </c>
      <c r="L825" s="17" t="n">
        <f aca="false">IF(AND(IFERROR(SEARCH("현대오일뱅크",$C825),0)&gt;0,IFERROR(SEARCH("직영",$C825),0)&gt;0),$B$13,0)</f>
        <v>0</v>
      </c>
      <c r="M825" s="17" t="n">
        <f aca="false">IF($H825="","",$H825+$L825)</f>
        <v>1955</v>
      </c>
      <c r="N825" s="17" t="str">
        <f aca="false">IF($I825="","",$I825+$L825)</f>
        <v/>
      </c>
      <c r="O825" s="17" t="n">
        <f aca="false">IF($K825="","",$K825+$L825)</f>
        <v>1995</v>
      </c>
      <c r="P825" s="17" t="str">
        <f aca="false">IF($B$10=0,"",IFERROR(IF($B$4&gt;0,"휘발유 "&amp;TEXT(IF($M825="",1/0,$M825*$B$4),"#,##0")&amp;"원","")&amp;IF($B$5&gt;0,IF($B$4&gt;0," / ","")&amp;"고급유 "&amp;TEXT(IF($N825="",1/0,$N825*$B$5),"#,##0")&amp;"원","")&amp;IF($B$6&gt;0,IF(OR($B$4&gt;0,$B$5&gt;0)," / ","")&amp;"경유 "&amp;TEXT(IF($O825="",1/0,$O825*$B$6),"#,##0")&amp;"원",""),""))</f>
        <v/>
      </c>
      <c r="Q825" s="17" t="str">
        <f aca="false">IF($B$10=0,"",IFERROR(IF($B$4&gt;0,IF($M825="",1/0,$M825*$B$4),0)+IF($B$5&gt;0,IF($N825="",1/0,$N825*$B$5),0)+IF($B$6&gt;0,IF($O825="",1/0,$O825*$B$6),0),""))</f>
        <v/>
      </c>
      <c r="R825" s="17"/>
      <c r="S825" s="18" t="str">
        <f aca="false">IF($Q825="","",IF($R825="Y",IFERROR(VLOOKUP($B825,$C$4:$D$13,2,FALSE()),0),0))</f>
        <v/>
      </c>
      <c r="T825" s="17" t="str">
        <f aca="false">IF($Q825="","",ROUNDDOWN($Q825*$S825,0))</f>
        <v/>
      </c>
      <c r="U825" s="17" t="str">
        <f aca="false">IF($Q825="","",$Q825-$T825)</f>
        <v/>
      </c>
      <c r="V825" s="17" t="str">
        <f aca="false">IF($U825="","",IF($B$10=0,"",$U825/$B$10))</f>
        <v/>
      </c>
      <c r="W825" s="17" t="str">
        <f aca="false">IF($Q825="","",IF($B$10=0,"",$Q825/$B$10))</f>
        <v/>
      </c>
      <c r="X825" s="19" t="n">
        <f aca="false">IF($U825="",1000000000000000,$U825)</f>
        <v>1000000000000000</v>
      </c>
    </row>
    <row r="826" s="6" customFormat="true" ht="28.6" hidden="false" customHeight="true" outlineLevel="0" collapsed="false">
      <c r="A826" s="16" t="str">
        <f aca="false">IF($U826="","",1+COUNTIF($X$15:$X$728,"&lt;"&amp;X826))</f>
        <v/>
      </c>
      <c r="B826" s="16" t="s">
        <v>12</v>
      </c>
      <c r="C826" s="16" t="s">
        <v>2449</v>
      </c>
      <c r="D826" s="20" t="s">
        <v>108</v>
      </c>
      <c r="E826" s="16" t="s">
        <v>59</v>
      </c>
      <c r="F826" s="16" t="s">
        <v>2450</v>
      </c>
      <c r="G826" s="16" t="s">
        <v>2451</v>
      </c>
      <c r="H826" s="17" t="n">
        <v>1957</v>
      </c>
      <c r="I826" s="17"/>
      <c r="J826" s="17"/>
      <c r="K826" s="17" t="n">
        <v>1997</v>
      </c>
      <c r="L826" s="17" t="n">
        <f aca="false">IF(AND(IFERROR(SEARCH("현대오일뱅크",$C826),0)&gt;0,IFERROR(SEARCH("직영",$C826),0)&gt;0),$B$13,0)</f>
        <v>0</v>
      </c>
      <c r="M826" s="17" t="n">
        <f aca="false">IF($H826="","",$H826+$L826)</f>
        <v>1957</v>
      </c>
      <c r="N826" s="17" t="str">
        <f aca="false">IF($I826="","",$I826+$L826)</f>
        <v/>
      </c>
      <c r="O826" s="17" t="n">
        <f aca="false">IF($K826="","",$K826+$L826)</f>
        <v>1997</v>
      </c>
      <c r="P826" s="17" t="str">
        <f aca="false">IF($B$10=0,"",IFERROR(IF($B$4&gt;0,"휘발유 "&amp;TEXT(IF($M826="",1/0,$M826*$B$4),"#,##0")&amp;"원","")&amp;IF($B$5&gt;0,IF($B$4&gt;0," / ","")&amp;"고급유 "&amp;TEXT(IF($N826="",1/0,$N826*$B$5),"#,##0")&amp;"원","")&amp;IF($B$6&gt;0,IF(OR($B$4&gt;0,$B$5&gt;0)," / ","")&amp;"경유 "&amp;TEXT(IF($O826="",1/0,$O826*$B$6),"#,##0")&amp;"원",""),""))</f>
        <v/>
      </c>
      <c r="Q826" s="17" t="str">
        <f aca="false">IF($B$10=0,"",IFERROR(IF($B$4&gt;0,IF($M826="",1/0,$M826*$B$4),0)+IF($B$5&gt;0,IF($N826="",1/0,$N826*$B$5),0)+IF($B$6&gt;0,IF($O826="",1/0,$O826*$B$6),0),""))</f>
        <v/>
      </c>
      <c r="R826" s="17"/>
      <c r="S826" s="18" t="str">
        <f aca="false">IF($Q826="","",IF($R826="Y",IFERROR(VLOOKUP($B826,$C$4:$D$13,2,FALSE()),0),0))</f>
        <v/>
      </c>
      <c r="T826" s="17" t="str">
        <f aca="false">IF($Q826="","",ROUNDDOWN($Q826*$S826,0))</f>
        <v/>
      </c>
      <c r="U826" s="17" t="str">
        <f aca="false">IF($Q826="","",$Q826-$T826)</f>
        <v/>
      </c>
      <c r="V826" s="17" t="str">
        <f aca="false">IF($U826="","",IF($B$10=0,"",$U826/$B$10))</f>
        <v/>
      </c>
      <c r="W826" s="17" t="str">
        <f aca="false">IF($Q826="","",IF($B$10=0,"",$Q826/$B$10))</f>
        <v/>
      </c>
      <c r="X826" s="19" t="n">
        <f aca="false">IF($U826="",1000000000000000,$U826)</f>
        <v>1000000000000000</v>
      </c>
    </row>
    <row r="827" s="6" customFormat="true" ht="28.6" hidden="false" customHeight="true" outlineLevel="0" collapsed="false">
      <c r="A827" s="16" t="str">
        <f aca="false">IF($U827="","",1+COUNTIF($X$15:$X$728,"&lt;"&amp;X827))</f>
        <v/>
      </c>
      <c r="B827" s="16" t="s">
        <v>10</v>
      </c>
      <c r="C827" s="16" t="s">
        <v>2452</v>
      </c>
      <c r="D827" s="16" t="s">
        <v>58</v>
      </c>
      <c r="E827" s="16" t="s">
        <v>47</v>
      </c>
      <c r="F827" s="16" t="s">
        <v>2453</v>
      </c>
      <c r="G827" s="16" t="s">
        <v>2454</v>
      </c>
      <c r="H827" s="17" t="n">
        <v>1958</v>
      </c>
      <c r="I827" s="17"/>
      <c r="J827" s="17"/>
      <c r="K827" s="17" t="n">
        <v>1998</v>
      </c>
      <c r="L827" s="17" t="n">
        <f aca="false">IF(AND(IFERROR(SEARCH("현대오일뱅크",$C827),0)&gt;0,IFERROR(SEARCH("직영",$C827),0)&gt;0),$B$13,0)</f>
        <v>0</v>
      </c>
      <c r="M827" s="17" t="n">
        <f aca="false">IF($H827="","",$H827+$L827)</f>
        <v>1958</v>
      </c>
      <c r="N827" s="17" t="str">
        <f aca="false">IF($I827="","",$I827+$L827)</f>
        <v/>
      </c>
      <c r="O827" s="17" t="n">
        <f aca="false">IF($K827="","",$K827+$L827)</f>
        <v>1998</v>
      </c>
      <c r="P827" s="17" t="str">
        <f aca="false">IF($B$10=0,"",IFERROR(IF($B$4&gt;0,"휘발유 "&amp;TEXT(IF($M827="",1/0,$M827*$B$4),"#,##0")&amp;"원","")&amp;IF($B$5&gt;0,IF($B$4&gt;0," / ","")&amp;"고급유 "&amp;TEXT(IF($N827="",1/0,$N827*$B$5),"#,##0")&amp;"원","")&amp;IF($B$6&gt;0,IF(OR($B$4&gt;0,$B$5&gt;0)," / ","")&amp;"경유 "&amp;TEXT(IF($O827="",1/0,$O827*$B$6),"#,##0")&amp;"원",""),""))</f>
        <v/>
      </c>
      <c r="Q827" s="17" t="str">
        <f aca="false">IF($B$10=0,"",IFERROR(IF($B$4&gt;0,IF($M827="",1/0,$M827*$B$4),0)+IF($B$5&gt;0,IF($N827="",1/0,$N827*$B$5),0)+IF($B$6&gt;0,IF($O827="",1/0,$O827*$B$6),0),""))</f>
        <v/>
      </c>
      <c r="R827" s="17"/>
      <c r="S827" s="18" t="str">
        <f aca="false">IF($Q827="","",IF($R827="Y",IFERROR(VLOOKUP($B827,$C$4:$D$13,2,FALSE()),0),0))</f>
        <v/>
      </c>
      <c r="T827" s="17" t="str">
        <f aca="false">IF($Q827="","",ROUNDDOWN($Q827*$S827,0))</f>
        <v/>
      </c>
      <c r="U827" s="17" t="str">
        <f aca="false">IF($Q827="","",$Q827-$T827)</f>
        <v/>
      </c>
      <c r="V827" s="17" t="str">
        <f aca="false">IF($U827="","",IF($B$10=0,"",$U827/$B$10))</f>
        <v/>
      </c>
      <c r="W827" s="17" t="str">
        <f aca="false">IF($Q827="","",IF($B$10=0,"",$Q827/$B$10))</f>
        <v/>
      </c>
      <c r="X827" s="19" t="n">
        <f aca="false">IF($U827="",1000000000000000,$U827)</f>
        <v>1000000000000000</v>
      </c>
    </row>
    <row r="828" s="6" customFormat="true" ht="28.6" hidden="false" customHeight="true" outlineLevel="0" collapsed="false">
      <c r="A828" s="16" t="str">
        <f aca="false">IF($U828="","",1+COUNTIF($X$15:$X$728,"&lt;"&amp;X828))</f>
        <v/>
      </c>
      <c r="B828" s="16" t="s">
        <v>16</v>
      </c>
      <c r="C828" s="16" t="s">
        <v>2455</v>
      </c>
      <c r="D828" s="16" t="s">
        <v>58</v>
      </c>
      <c r="E828" s="16" t="s">
        <v>47</v>
      </c>
      <c r="F828" s="16" t="s">
        <v>2456</v>
      </c>
      <c r="G828" s="16" t="s">
        <v>2457</v>
      </c>
      <c r="H828" s="17" t="n">
        <v>1958</v>
      </c>
      <c r="I828" s="17"/>
      <c r="J828" s="17"/>
      <c r="K828" s="17" t="n">
        <v>1998</v>
      </c>
      <c r="L828" s="17" t="n">
        <f aca="false">IF(AND(IFERROR(SEARCH("현대오일뱅크",$C828),0)&gt;0,IFERROR(SEARCH("직영",$C828),0)&gt;0),$B$13,0)</f>
        <v>0</v>
      </c>
      <c r="M828" s="17" t="n">
        <f aca="false">IF($H828="","",$H828+$L828)</f>
        <v>1958</v>
      </c>
      <c r="N828" s="17" t="str">
        <f aca="false">IF($I828="","",$I828+$L828)</f>
        <v/>
      </c>
      <c r="O828" s="17" t="n">
        <f aca="false">IF($K828="","",$K828+$L828)</f>
        <v>1998</v>
      </c>
      <c r="P828" s="17" t="str">
        <f aca="false">IF($B$10=0,"",IFERROR(IF($B$4&gt;0,"휘발유 "&amp;TEXT(IF($M828="",1/0,$M828*$B$4),"#,##0")&amp;"원","")&amp;IF($B$5&gt;0,IF($B$4&gt;0," / ","")&amp;"고급유 "&amp;TEXT(IF($N828="",1/0,$N828*$B$5),"#,##0")&amp;"원","")&amp;IF($B$6&gt;0,IF(OR($B$4&gt;0,$B$5&gt;0)," / ","")&amp;"경유 "&amp;TEXT(IF($O828="",1/0,$O828*$B$6),"#,##0")&amp;"원",""),""))</f>
        <v/>
      </c>
      <c r="Q828" s="17" t="str">
        <f aca="false">IF($B$10=0,"",IFERROR(IF($B$4&gt;0,IF($M828="",1/0,$M828*$B$4),0)+IF($B$5&gt;0,IF($N828="",1/0,$N828*$B$5),0)+IF($B$6&gt;0,IF($O828="",1/0,$O828*$B$6),0),""))</f>
        <v/>
      </c>
      <c r="R828" s="17"/>
      <c r="S828" s="18" t="str">
        <f aca="false">IF($Q828="","",IF($R828="Y",IFERROR(VLOOKUP($B828,$C$4:$D$13,2,FALSE()),0),0))</f>
        <v/>
      </c>
      <c r="T828" s="17" t="str">
        <f aca="false">IF($Q828="","",ROUNDDOWN($Q828*$S828,0))</f>
        <v/>
      </c>
      <c r="U828" s="17" t="str">
        <f aca="false">IF($Q828="","",$Q828-$T828)</f>
        <v/>
      </c>
      <c r="V828" s="17" t="str">
        <f aca="false">IF($U828="","",IF($B$10=0,"",$U828/$B$10))</f>
        <v/>
      </c>
      <c r="W828" s="17" t="str">
        <f aca="false">IF($Q828="","",IF($B$10=0,"",$Q828/$B$10))</f>
        <v/>
      </c>
      <c r="X828" s="19" t="n">
        <f aca="false">IF($U828="",1000000000000000,$U828)</f>
        <v>1000000000000000</v>
      </c>
    </row>
    <row r="829" s="6" customFormat="true" ht="28.6" hidden="false" customHeight="true" outlineLevel="0" collapsed="false">
      <c r="A829" s="16" t="str">
        <f aca="false">IF($U829="","",1+COUNTIF($X$15:$X$728,"&lt;"&amp;X829))</f>
        <v/>
      </c>
      <c r="B829" s="16" t="s">
        <v>12</v>
      </c>
      <c r="C829" s="16" t="s">
        <v>2458</v>
      </c>
      <c r="D829" s="20" t="s">
        <v>294</v>
      </c>
      <c r="E829" s="16" t="s">
        <v>47</v>
      </c>
      <c r="F829" s="16" t="s">
        <v>2459</v>
      </c>
      <c r="G829" s="16" t="s">
        <v>2460</v>
      </c>
      <c r="H829" s="17" t="n">
        <v>1958</v>
      </c>
      <c r="I829" s="17"/>
      <c r="J829" s="17"/>
      <c r="K829" s="17" t="n">
        <v>1998</v>
      </c>
      <c r="L829" s="17" t="n">
        <f aca="false">IF(AND(IFERROR(SEARCH("현대오일뱅크",$C829),0)&gt;0,IFERROR(SEARCH("직영",$C829),0)&gt;0),$B$13,0)</f>
        <v>0</v>
      </c>
      <c r="M829" s="17" t="n">
        <f aca="false">IF($H829="","",$H829+$L829)</f>
        <v>1958</v>
      </c>
      <c r="N829" s="17" t="str">
        <f aca="false">IF($I829="","",$I829+$L829)</f>
        <v/>
      </c>
      <c r="O829" s="17" t="n">
        <f aca="false">IF($K829="","",$K829+$L829)</f>
        <v>1998</v>
      </c>
      <c r="P829" s="17" t="str">
        <f aca="false">IF($B$10=0,"",IFERROR(IF($B$4&gt;0,"휘발유 "&amp;TEXT(IF($M829="",1/0,$M829*$B$4),"#,##0")&amp;"원","")&amp;IF($B$5&gt;0,IF($B$4&gt;0," / ","")&amp;"고급유 "&amp;TEXT(IF($N829="",1/0,$N829*$B$5),"#,##0")&amp;"원","")&amp;IF($B$6&gt;0,IF(OR($B$4&gt;0,$B$5&gt;0)," / ","")&amp;"경유 "&amp;TEXT(IF($O829="",1/0,$O829*$B$6),"#,##0")&amp;"원",""),""))</f>
        <v/>
      </c>
      <c r="Q829" s="17" t="str">
        <f aca="false">IF($B$10=0,"",IFERROR(IF($B$4&gt;0,IF($M829="",1/0,$M829*$B$4),0)+IF($B$5&gt;0,IF($N829="",1/0,$N829*$B$5),0)+IF($B$6&gt;0,IF($O829="",1/0,$O829*$B$6),0),""))</f>
        <v/>
      </c>
      <c r="R829" s="17"/>
      <c r="S829" s="18" t="str">
        <f aca="false">IF($Q829="","",IF($R829="Y",IFERROR(VLOOKUP($B829,$C$4:$D$13,2,FALSE()),0),0))</f>
        <v/>
      </c>
      <c r="T829" s="17" t="str">
        <f aca="false">IF($Q829="","",ROUNDDOWN($Q829*$S829,0))</f>
        <v/>
      </c>
      <c r="U829" s="17" t="str">
        <f aca="false">IF($Q829="","",$Q829-$T829)</f>
        <v/>
      </c>
      <c r="V829" s="17" t="str">
        <f aca="false">IF($U829="","",IF($B$10=0,"",$U829/$B$10))</f>
        <v/>
      </c>
      <c r="W829" s="17" t="str">
        <f aca="false">IF($Q829="","",IF($B$10=0,"",$Q829/$B$10))</f>
        <v/>
      </c>
      <c r="X829" s="19" t="n">
        <f aca="false">IF($U829="",1000000000000000,$U829)</f>
        <v>1000000000000000</v>
      </c>
    </row>
    <row r="830" s="6" customFormat="true" ht="28.6" hidden="false" customHeight="true" outlineLevel="0" collapsed="false">
      <c r="A830" s="16" t="str">
        <f aca="false">IF($U830="","",1+COUNTIF($X$15:$X$728,"&lt;"&amp;X830))</f>
        <v/>
      </c>
      <c r="B830" s="16" t="s">
        <v>10</v>
      </c>
      <c r="C830" s="16" t="s">
        <v>2461</v>
      </c>
      <c r="D830" s="20" t="s">
        <v>108</v>
      </c>
      <c r="E830" s="16" t="s">
        <v>59</v>
      </c>
      <c r="F830" s="16" t="s">
        <v>2462</v>
      </c>
      <c r="G830" s="16" t="s">
        <v>2463</v>
      </c>
      <c r="H830" s="17" t="n">
        <v>1958</v>
      </c>
      <c r="I830" s="17"/>
      <c r="J830" s="17"/>
      <c r="K830" s="17" t="n">
        <v>1978</v>
      </c>
      <c r="L830" s="17" t="n">
        <f aca="false">IF(AND(IFERROR(SEARCH("현대오일뱅크",$C830),0)&gt;0,IFERROR(SEARCH("직영",$C830),0)&gt;0),$B$13,0)</f>
        <v>0</v>
      </c>
      <c r="M830" s="17" t="n">
        <f aca="false">IF($H830="","",$H830+$L830)</f>
        <v>1958</v>
      </c>
      <c r="N830" s="17" t="str">
        <f aca="false">IF($I830="","",$I830+$L830)</f>
        <v/>
      </c>
      <c r="O830" s="17" t="n">
        <f aca="false">IF($K830="","",$K830+$L830)</f>
        <v>1978</v>
      </c>
      <c r="P830" s="17" t="str">
        <f aca="false">IF($B$10=0,"",IFERROR(IF($B$4&gt;0,"휘발유 "&amp;TEXT(IF($M830="",1/0,$M830*$B$4),"#,##0")&amp;"원","")&amp;IF($B$5&gt;0,IF($B$4&gt;0," / ","")&amp;"고급유 "&amp;TEXT(IF($N830="",1/0,$N830*$B$5),"#,##0")&amp;"원","")&amp;IF($B$6&gt;0,IF(OR($B$4&gt;0,$B$5&gt;0)," / ","")&amp;"경유 "&amp;TEXT(IF($O830="",1/0,$O830*$B$6),"#,##0")&amp;"원",""),""))</f>
        <v/>
      </c>
      <c r="Q830" s="17" t="str">
        <f aca="false">IF($B$10=0,"",IFERROR(IF($B$4&gt;0,IF($M830="",1/0,$M830*$B$4),0)+IF($B$5&gt;0,IF($N830="",1/0,$N830*$B$5),0)+IF($B$6&gt;0,IF($O830="",1/0,$O830*$B$6),0),""))</f>
        <v/>
      </c>
      <c r="R830" s="17"/>
      <c r="S830" s="18" t="str">
        <f aca="false">IF($Q830="","",IF($R830="Y",IFERROR(VLOOKUP($B830,$C$4:$D$13,2,FALSE()),0),0))</f>
        <v/>
      </c>
      <c r="T830" s="17" t="str">
        <f aca="false">IF($Q830="","",ROUNDDOWN($Q830*$S830,0))</f>
        <v/>
      </c>
      <c r="U830" s="17" t="str">
        <f aca="false">IF($Q830="","",$Q830-$T830)</f>
        <v/>
      </c>
      <c r="V830" s="17" t="str">
        <f aca="false">IF($U830="","",IF($B$10=0,"",$U830/$B$10))</f>
        <v/>
      </c>
      <c r="W830" s="17" t="str">
        <f aca="false">IF($Q830="","",IF($B$10=0,"",$Q830/$B$10))</f>
        <v/>
      </c>
      <c r="X830" s="19" t="n">
        <f aca="false">IF($U830="",1000000000000000,$U830)</f>
        <v>1000000000000000</v>
      </c>
    </row>
    <row r="831" s="6" customFormat="true" ht="28.6" hidden="false" customHeight="true" outlineLevel="0" collapsed="false">
      <c r="A831" s="16" t="str">
        <f aca="false">IF($U831="","",1+COUNTIF($X$15:$X$728,"&lt;"&amp;X831))</f>
        <v/>
      </c>
      <c r="B831" s="16" t="s">
        <v>12</v>
      </c>
      <c r="C831" s="16" t="s">
        <v>2464</v>
      </c>
      <c r="D831" s="20" t="s">
        <v>248</v>
      </c>
      <c r="E831" s="16" t="s">
        <v>47</v>
      </c>
      <c r="F831" s="16" t="s">
        <v>2465</v>
      </c>
      <c r="G831" s="16" t="s">
        <v>2466</v>
      </c>
      <c r="H831" s="17" t="n">
        <v>1959</v>
      </c>
      <c r="I831" s="17"/>
      <c r="J831" s="17"/>
      <c r="K831" s="17" t="n">
        <v>1934</v>
      </c>
      <c r="L831" s="17" t="n">
        <f aca="false">IF(AND(IFERROR(SEARCH("현대오일뱅크",$C831),0)&gt;0,IFERROR(SEARCH("직영",$C831),0)&gt;0),$B$13,0)</f>
        <v>0</v>
      </c>
      <c r="M831" s="17" t="n">
        <f aca="false">IF($H831="","",$H831+$L831)</f>
        <v>1959</v>
      </c>
      <c r="N831" s="17" t="str">
        <f aca="false">IF($I831="","",$I831+$L831)</f>
        <v/>
      </c>
      <c r="O831" s="17" t="n">
        <f aca="false">IF($K831="","",$K831+$L831)</f>
        <v>1934</v>
      </c>
      <c r="P831" s="17" t="str">
        <f aca="false">IF($B$10=0,"",IFERROR(IF($B$4&gt;0,"휘발유 "&amp;TEXT(IF($M831="",1/0,$M831*$B$4),"#,##0")&amp;"원","")&amp;IF($B$5&gt;0,IF($B$4&gt;0," / ","")&amp;"고급유 "&amp;TEXT(IF($N831="",1/0,$N831*$B$5),"#,##0")&amp;"원","")&amp;IF($B$6&gt;0,IF(OR($B$4&gt;0,$B$5&gt;0)," / ","")&amp;"경유 "&amp;TEXT(IF($O831="",1/0,$O831*$B$6),"#,##0")&amp;"원",""),""))</f>
        <v/>
      </c>
      <c r="Q831" s="17" t="str">
        <f aca="false">IF($B$10=0,"",IFERROR(IF($B$4&gt;0,IF($M831="",1/0,$M831*$B$4),0)+IF($B$5&gt;0,IF($N831="",1/0,$N831*$B$5),0)+IF($B$6&gt;0,IF($O831="",1/0,$O831*$B$6),0),""))</f>
        <v/>
      </c>
      <c r="R831" s="17"/>
      <c r="S831" s="18" t="str">
        <f aca="false">IF($Q831="","",IF($R831="Y",IFERROR(VLOOKUP($B831,$C$4:$D$13,2,FALSE()),0),0))</f>
        <v/>
      </c>
      <c r="T831" s="17" t="str">
        <f aca="false">IF($Q831="","",ROUNDDOWN($Q831*$S831,0))</f>
        <v/>
      </c>
      <c r="U831" s="17" t="str">
        <f aca="false">IF($Q831="","",$Q831-$T831)</f>
        <v/>
      </c>
      <c r="V831" s="17" t="str">
        <f aca="false">IF($U831="","",IF($B$10=0,"",$U831/$B$10))</f>
        <v/>
      </c>
      <c r="W831" s="17" t="str">
        <f aca="false">IF($Q831="","",IF($B$10=0,"",$Q831/$B$10))</f>
        <v/>
      </c>
      <c r="X831" s="19" t="n">
        <f aca="false">IF($U831="",1000000000000000,$U831)</f>
        <v>1000000000000000</v>
      </c>
    </row>
    <row r="832" s="6" customFormat="true" ht="28.6" hidden="false" customHeight="true" outlineLevel="0" collapsed="false">
      <c r="A832" s="16" t="str">
        <f aca="false">IF($U832="","",1+COUNTIF($X$15:$X$728,"&lt;"&amp;X832))</f>
        <v/>
      </c>
      <c r="B832" s="16" t="s">
        <v>10</v>
      </c>
      <c r="C832" s="16" t="s">
        <v>2467</v>
      </c>
      <c r="D832" s="16" t="s">
        <v>112</v>
      </c>
      <c r="E832" s="16" t="s">
        <v>59</v>
      </c>
      <c r="F832" s="16" t="s">
        <v>2468</v>
      </c>
      <c r="G832" s="16" t="s">
        <v>2469</v>
      </c>
      <c r="H832" s="17" t="n">
        <v>1959</v>
      </c>
      <c r="I832" s="17"/>
      <c r="J832" s="17"/>
      <c r="K832" s="17" t="n">
        <v>2009</v>
      </c>
      <c r="L832" s="17" t="n">
        <f aca="false">IF(AND(IFERROR(SEARCH("현대오일뱅크",$C832),0)&gt;0,IFERROR(SEARCH("직영",$C832),0)&gt;0),$B$13,0)</f>
        <v>0</v>
      </c>
      <c r="M832" s="17" t="n">
        <f aca="false">IF($H832="","",$H832+$L832)</f>
        <v>1959</v>
      </c>
      <c r="N832" s="17" t="str">
        <f aca="false">IF($I832="","",$I832+$L832)</f>
        <v/>
      </c>
      <c r="O832" s="17" t="n">
        <f aca="false">IF($K832="","",$K832+$L832)</f>
        <v>2009</v>
      </c>
      <c r="P832" s="17" t="str">
        <f aca="false">IF($B$10=0,"",IFERROR(IF($B$4&gt;0,"휘발유 "&amp;TEXT(IF($M832="",1/0,$M832*$B$4),"#,##0")&amp;"원","")&amp;IF($B$5&gt;0,IF($B$4&gt;0," / ","")&amp;"고급유 "&amp;TEXT(IF($N832="",1/0,$N832*$B$5),"#,##0")&amp;"원","")&amp;IF($B$6&gt;0,IF(OR($B$4&gt;0,$B$5&gt;0)," / ","")&amp;"경유 "&amp;TEXT(IF($O832="",1/0,$O832*$B$6),"#,##0")&amp;"원",""),""))</f>
        <v/>
      </c>
      <c r="Q832" s="17" t="str">
        <f aca="false">IF($B$10=0,"",IFERROR(IF($B$4&gt;0,IF($M832="",1/0,$M832*$B$4),0)+IF($B$5&gt;0,IF($N832="",1/0,$N832*$B$5),0)+IF($B$6&gt;0,IF($O832="",1/0,$O832*$B$6),0),""))</f>
        <v/>
      </c>
      <c r="R832" s="17"/>
      <c r="S832" s="18" t="str">
        <f aca="false">IF($Q832="","",IF($R832="Y",IFERROR(VLOOKUP($B832,$C$4:$D$13,2,FALSE()),0),0))</f>
        <v/>
      </c>
      <c r="T832" s="17" t="str">
        <f aca="false">IF($Q832="","",ROUNDDOWN($Q832*$S832,0))</f>
        <v/>
      </c>
      <c r="U832" s="17" t="str">
        <f aca="false">IF($Q832="","",$Q832-$T832)</f>
        <v/>
      </c>
      <c r="V832" s="17" t="str">
        <f aca="false">IF($U832="","",IF($B$10=0,"",$U832/$B$10))</f>
        <v/>
      </c>
      <c r="W832" s="17" t="str">
        <f aca="false">IF($Q832="","",IF($B$10=0,"",$Q832/$B$10))</f>
        <v/>
      </c>
      <c r="X832" s="19" t="n">
        <f aca="false">IF($U832="",1000000000000000,$U832)</f>
        <v>1000000000000000</v>
      </c>
    </row>
    <row r="833" s="6" customFormat="true" ht="28.6" hidden="false" customHeight="true" outlineLevel="0" collapsed="false">
      <c r="A833" s="16" t="str">
        <f aca="false">IF($U833="","",1+COUNTIF($X$15:$X$728,"&lt;"&amp;X833))</f>
        <v/>
      </c>
      <c r="B833" s="16" t="s">
        <v>12</v>
      </c>
      <c r="C833" s="16" t="s">
        <v>2470</v>
      </c>
      <c r="D833" s="20" t="s">
        <v>294</v>
      </c>
      <c r="E833" s="16" t="s">
        <v>47</v>
      </c>
      <c r="F833" s="16" t="s">
        <v>2471</v>
      </c>
      <c r="G833" s="16" t="s">
        <v>2472</v>
      </c>
      <c r="H833" s="17" t="n">
        <v>1959</v>
      </c>
      <c r="I833" s="17"/>
      <c r="J833" s="17"/>
      <c r="K833" s="17" t="n">
        <v>2009</v>
      </c>
      <c r="L833" s="17" t="n">
        <f aca="false">IF(AND(IFERROR(SEARCH("현대오일뱅크",$C833),0)&gt;0,IFERROR(SEARCH("직영",$C833),0)&gt;0),$B$13,0)</f>
        <v>0</v>
      </c>
      <c r="M833" s="17" t="n">
        <f aca="false">IF($H833="","",$H833+$L833)</f>
        <v>1959</v>
      </c>
      <c r="N833" s="17" t="str">
        <f aca="false">IF($I833="","",$I833+$L833)</f>
        <v/>
      </c>
      <c r="O833" s="17" t="n">
        <f aca="false">IF($K833="","",$K833+$L833)</f>
        <v>2009</v>
      </c>
      <c r="P833" s="17" t="str">
        <f aca="false">IF($B$10=0,"",IFERROR(IF($B$4&gt;0,"휘발유 "&amp;TEXT(IF($M833="",1/0,$M833*$B$4),"#,##0")&amp;"원","")&amp;IF($B$5&gt;0,IF($B$4&gt;0," / ","")&amp;"고급유 "&amp;TEXT(IF($N833="",1/0,$N833*$B$5),"#,##0")&amp;"원","")&amp;IF($B$6&gt;0,IF(OR($B$4&gt;0,$B$5&gt;0)," / ","")&amp;"경유 "&amp;TEXT(IF($O833="",1/0,$O833*$B$6),"#,##0")&amp;"원",""),""))</f>
        <v/>
      </c>
      <c r="Q833" s="17" t="str">
        <f aca="false">IF($B$10=0,"",IFERROR(IF($B$4&gt;0,IF($M833="",1/0,$M833*$B$4),0)+IF($B$5&gt;0,IF($N833="",1/0,$N833*$B$5),0)+IF($B$6&gt;0,IF($O833="",1/0,$O833*$B$6),0),""))</f>
        <v/>
      </c>
      <c r="R833" s="17"/>
      <c r="S833" s="18" t="str">
        <f aca="false">IF($Q833="","",IF($R833="Y",IFERROR(VLOOKUP($B833,$C$4:$D$13,2,FALSE()),0),0))</f>
        <v/>
      </c>
      <c r="T833" s="17" t="str">
        <f aca="false">IF($Q833="","",ROUNDDOWN($Q833*$S833,0))</f>
        <v/>
      </c>
      <c r="U833" s="17" t="str">
        <f aca="false">IF($Q833="","",$Q833-$T833)</f>
        <v/>
      </c>
      <c r="V833" s="17" t="str">
        <f aca="false">IF($U833="","",IF($B$10=0,"",$U833/$B$10))</f>
        <v/>
      </c>
      <c r="W833" s="17" t="str">
        <f aca="false">IF($Q833="","",IF($B$10=0,"",$Q833/$B$10))</f>
        <v/>
      </c>
      <c r="X833" s="19" t="n">
        <f aca="false">IF($U833="",1000000000000000,$U833)</f>
        <v>1000000000000000</v>
      </c>
    </row>
    <row r="834" s="6" customFormat="true" ht="28.6" hidden="false" customHeight="true" outlineLevel="0" collapsed="false">
      <c r="A834" s="16" t="str">
        <f aca="false">IF($U834="","",1+COUNTIF($X$15:$X$728,"&lt;"&amp;X834))</f>
        <v/>
      </c>
      <c r="B834" s="16" t="s">
        <v>12</v>
      </c>
      <c r="C834" s="16" t="s">
        <v>2473</v>
      </c>
      <c r="D834" s="20" t="s">
        <v>248</v>
      </c>
      <c r="E834" s="16" t="s">
        <v>59</v>
      </c>
      <c r="F834" s="16" t="s">
        <v>2474</v>
      </c>
      <c r="G834" s="16" t="s">
        <v>2475</v>
      </c>
      <c r="H834" s="17" t="n">
        <v>1959</v>
      </c>
      <c r="I834" s="17"/>
      <c r="J834" s="17"/>
      <c r="K834" s="17" t="n">
        <v>1959</v>
      </c>
      <c r="L834" s="17" t="n">
        <f aca="false">IF(AND(IFERROR(SEARCH("현대오일뱅크",$C834),0)&gt;0,IFERROR(SEARCH("직영",$C834),0)&gt;0),$B$13,0)</f>
        <v>0</v>
      </c>
      <c r="M834" s="17" t="n">
        <f aca="false">IF($H834="","",$H834+$L834)</f>
        <v>1959</v>
      </c>
      <c r="N834" s="17" t="str">
        <f aca="false">IF($I834="","",$I834+$L834)</f>
        <v/>
      </c>
      <c r="O834" s="17" t="n">
        <f aca="false">IF($K834="","",$K834+$L834)</f>
        <v>1959</v>
      </c>
      <c r="P834" s="17" t="str">
        <f aca="false">IF($B$10=0,"",IFERROR(IF($B$4&gt;0,"휘발유 "&amp;TEXT(IF($M834="",1/0,$M834*$B$4),"#,##0")&amp;"원","")&amp;IF($B$5&gt;0,IF($B$4&gt;0," / ","")&amp;"고급유 "&amp;TEXT(IF($N834="",1/0,$N834*$B$5),"#,##0")&amp;"원","")&amp;IF($B$6&gt;0,IF(OR($B$4&gt;0,$B$5&gt;0)," / ","")&amp;"경유 "&amp;TEXT(IF($O834="",1/0,$O834*$B$6),"#,##0")&amp;"원",""),""))</f>
        <v/>
      </c>
      <c r="Q834" s="17" t="str">
        <f aca="false">IF($B$10=0,"",IFERROR(IF($B$4&gt;0,IF($M834="",1/0,$M834*$B$4),0)+IF($B$5&gt;0,IF($N834="",1/0,$N834*$B$5),0)+IF($B$6&gt;0,IF($O834="",1/0,$O834*$B$6),0),""))</f>
        <v/>
      </c>
      <c r="R834" s="17"/>
      <c r="S834" s="18" t="str">
        <f aca="false">IF($Q834="","",IF($R834="Y",IFERROR(VLOOKUP($B834,$C$4:$D$13,2,FALSE()),0),0))</f>
        <v/>
      </c>
      <c r="T834" s="17" t="str">
        <f aca="false">IF($Q834="","",ROUNDDOWN($Q834*$S834,0))</f>
        <v/>
      </c>
      <c r="U834" s="17" t="str">
        <f aca="false">IF($Q834="","",$Q834-$T834)</f>
        <v/>
      </c>
      <c r="V834" s="17" t="str">
        <f aca="false">IF($U834="","",IF($B$10=0,"",$U834/$B$10))</f>
        <v/>
      </c>
      <c r="W834" s="17" t="str">
        <f aca="false">IF($Q834="","",IF($B$10=0,"",$Q834/$B$10))</f>
        <v/>
      </c>
      <c r="X834" s="19" t="n">
        <f aca="false">IF($U834="",1000000000000000,$U834)</f>
        <v>1000000000000000</v>
      </c>
    </row>
    <row r="835" s="6" customFormat="true" ht="28.6" hidden="false" customHeight="true" outlineLevel="0" collapsed="false">
      <c r="A835" s="16" t="str">
        <f aca="false">IF($U835="","",1+COUNTIF($X$15:$X$728,"&lt;"&amp;X835))</f>
        <v/>
      </c>
      <c r="B835" s="16" t="s">
        <v>14</v>
      </c>
      <c r="C835" s="16" t="s">
        <v>2476</v>
      </c>
      <c r="D835" s="16" t="s">
        <v>58</v>
      </c>
      <c r="E835" s="16" t="s">
        <v>59</v>
      </c>
      <c r="F835" s="16" t="s">
        <v>2477</v>
      </c>
      <c r="G835" s="16" t="s">
        <v>2478</v>
      </c>
      <c r="H835" s="17" t="n">
        <v>1959</v>
      </c>
      <c r="I835" s="17"/>
      <c r="J835" s="17"/>
      <c r="K835" s="17" t="n">
        <v>1959</v>
      </c>
      <c r="L835" s="17" t="n">
        <f aca="false">IF(AND(IFERROR(SEARCH("현대오일뱅크",$C835),0)&gt;0,IFERROR(SEARCH("직영",$C835),0)&gt;0),$B$13,0)</f>
        <v>0</v>
      </c>
      <c r="M835" s="17" t="n">
        <f aca="false">IF($H835="","",$H835+$L835)</f>
        <v>1959</v>
      </c>
      <c r="N835" s="17" t="str">
        <f aca="false">IF($I835="","",$I835+$L835)</f>
        <v/>
      </c>
      <c r="O835" s="17" t="n">
        <f aca="false">IF($K835="","",$K835+$L835)</f>
        <v>1959</v>
      </c>
      <c r="P835" s="17" t="str">
        <f aca="false">IF($B$10=0,"",IFERROR(IF($B$4&gt;0,"휘발유 "&amp;TEXT(IF($M835="",1/0,$M835*$B$4),"#,##0")&amp;"원","")&amp;IF($B$5&gt;0,IF($B$4&gt;0," / ","")&amp;"고급유 "&amp;TEXT(IF($N835="",1/0,$N835*$B$5),"#,##0")&amp;"원","")&amp;IF($B$6&gt;0,IF(OR($B$4&gt;0,$B$5&gt;0)," / ","")&amp;"경유 "&amp;TEXT(IF($O835="",1/0,$O835*$B$6),"#,##0")&amp;"원",""),""))</f>
        <v/>
      </c>
      <c r="Q835" s="17" t="str">
        <f aca="false">IF($B$10=0,"",IFERROR(IF($B$4&gt;0,IF($M835="",1/0,$M835*$B$4),0)+IF($B$5&gt;0,IF($N835="",1/0,$N835*$B$5),0)+IF($B$6&gt;0,IF($O835="",1/0,$O835*$B$6),0),""))</f>
        <v/>
      </c>
      <c r="R835" s="17"/>
      <c r="S835" s="18" t="str">
        <f aca="false">IF($Q835="","",IF($R835="Y",IFERROR(VLOOKUP($B835,$C$4:$D$13,2,FALSE()),0),0))</f>
        <v/>
      </c>
      <c r="T835" s="17" t="str">
        <f aca="false">IF($Q835="","",ROUNDDOWN($Q835*$S835,0))</f>
        <v/>
      </c>
      <c r="U835" s="17" t="str">
        <f aca="false">IF($Q835="","",$Q835-$T835)</f>
        <v/>
      </c>
      <c r="V835" s="17" t="str">
        <f aca="false">IF($U835="","",IF($B$10=0,"",$U835/$B$10))</f>
        <v/>
      </c>
      <c r="W835" s="17" t="str">
        <f aca="false">IF($Q835="","",IF($B$10=0,"",$Q835/$B$10))</f>
        <v/>
      </c>
      <c r="X835" s="19" t="n">
        <f aca="false">IF($U835="",1000000000000000,$U835)</f>
        <v>1000000000000000</v>
      </c>
    </row>
    <row r="836" s="6" customFormat="true" ht="28.6" hidden="false" customHeight="true" outlineLevel="0" collapsed="false">
      <c r="A836" s="16" t="str">
        <f aca="false">IF($U836="","",1+COUNTIF($X$15:$X$728,"&lt;"&amp;X836))</f>
        <v/>
      </c>
      <c r="B836" s="16" t="s">
        <v>14</v>
      </c>
      <c r="C836" s="16" t="s">
        <v>2479</v>
      </c>
      <c r="D836" s="16" t="s">
        <v>58</v>
      </c>
      <c r="E836" s="16" t="s">
        <v>59</v>
      </c>
      <c r="F836" s="16" t="s">
        <v>2480</v>
      </c>
      <c r="G836" s="16" t="s">
        <v>2481</v>
      </c>
      <c r="H836" s="17" t="n">
        <v>1959</v>
      </c>
      <c r="I836" s="17"/>
      <c r="J836" s="17"/>
      <c r="K836" s="17" t="n">
        <v>2019</v>
      </c>
      <c r="L836" s="17" t="n">
        <f aca="false">IF(AND(IFERROR(SEARCH("현대오일뱅크",$C836),0)&gt;0,IFERROR(SEARCH("직영",$C836),0)&gt;0),$B$13,0)</f>
        <v>0</v>
      </c>
      <c r="M836" s="17" t="n">
        <f aca="false">IF($H836="","",$H836+$L836)</f>
        <v>1959</v>
      </c>
      <c r="N836" s="17" t="str">
        <f aca="false">IF($I836="","",$I836+$L836)</f>
        <v/>
      </c>
      <c r="O836" s="17" t="n">
        <f aca="false">IF($K836="","",$K836+$L836)</f>
        <v>2019</v>
      </c>
      <c r="P836" s="17" t="str">
        <f aca="false">IF($B$10=0,"",IFERROR(IF($B$4&gt;0,"휘발유 "&amp;TEXT(IF($M836="",1/0,$M836*$B$4),"#,##0")&amp;"원","")&amp;IF($B$5&gt;0,IF($B$4&gt;0," / ","")&amp;"고급유 "&amp;TEXT(IF($N836="",1/0,$N836*$B$5),"#,##0")&amp;"원","")&amp;IF($B$6&gt;0,IF(OR($B$4&gt;0,$B$5&gt;0)," / ","")&amp;"경유 "&amp;TEXT(IF($O836="",1/0,$O836*$B$6),"#,##0")&amp;"원",""),""))</f>
        <v/>
      </c>
      <c r="Q836" s="17" t="str">
        <f aca="false">IF($B$10=0,"",IFERROR(IF($B$4&gt;0,IF($M836="",1/0,$M836*$B$4),0)+IF($B$5&gt;0,IF($N836="",1/0,$N836*$B$5),0)+IF($B$6&gt;0,IF($O836="",1/0,$O836*$B$6),0),""))</f>
        <v/>
      </c>
      <c r="R836" s="17"/>
      <c r="S836" s="18" t="str">
        <f aca="false">IF($Q836="","",IF($R836="Y",IFERROR(VLOOKUP($B836,$C$4:$D$13,2,FALSE()),0),0))</f>
        <v/>
      </c>
      <c r="T836" s="17" t="str">
        <f aca="false">IF($Q836="","",ROUNDDOWN($Q836*$S836,0))</f>
        <v/>
      </c>
      <c r="U836" s="17" t="str">
        <f aca="false">IF($Q836="","",$Q836-$T836)</f>
        <v/>
      </c>
      <c r="V836" s="17" t="str">
        <f aca="false">IF($U836="","",IF($B$10=0,"",$U836/$B$10))</f>
        <v/>
      </c>
      <c r="W836" s="17" t="str">
        <f aca="false">IF($Q836="","",IF($B$10=0,"",$Q836/$B$10))</f>
        <v/>
      </c>
      <c r="X836" s="19" t="n">
        <f aca="false">IF($U836="",1000000000000000,$U836)</f>
        <v>1000000000000000</v>
      </c>
    </row>
    <row r="837" s="6" customFormat="true" ht="28.6" hidden="false" customHeight="true" outlineLevel="0" collapsed="false">
      <c r="A837" s="16" t="str">
        <f aca="false">IF($U837="","",1+COUNTIF($X$15:$X$728,"&lt;"&amp;X837))</f>
        <v/>
      </c>
      <c r="B837" s="16" t="s">
        <v>8</v>
      </c>
      <c r="C837" s="16" t="s">
        <v>2482</v>
      </c>
      <c r="D837" s="16" t="s">
        <v>112</v>
      </c>
      <c r="E837" s="16" t="s">
        <v>47</v>
      </c>
      <c r="F837" s="16" t="s">
        <v>2483</v>
      </c>
      <c r="G837" s="16" t="s">
        <v>2484</v>
      </c>
      <c r="H837" s="17" t="n">
        <v>1959</v>
      </c>
      <c r="I837" s="17"/>
      <c r="J837" s="17"/>
      <c r="K837" s="17" t="n">
        <v>1989</v>
      </c>
      <c r="L837" s="17" t="n">
        <f aca="false">IF(AND(IFERROR(SEARCH("현대오일뱅크",$C837),0)&gt;0,IFERROR(SEARCH("직영",$C837),0)&gt;0),$B$13,0)</f>
        <v>0</v>
      </c>
      <c r="M837" s="17" t="n">
        <f aca="false">IF($H837="","",$H837+$L837)</f>
        <v>1959</v>
      </c>
      <c r="N837" s="17" t="str">
        <f aca="false">IF($I837="","",$I837+$L837)</f>
        <v/>
      </c>
      <c r="O837" s="17" t="n">
        <f aca="false">IF($K837="","",$K837+$L837)</f>
        <v>1989</v>
      </c>
      <c r="P837" s="17" t="str">
        <f aca="false">IF($B$10=0,"",IFERROR(IF($B$4&gt;0,"휘발유 "&amp;TEXT(IF($M837="",1/0,$M837*$B$4),"#,##0")&amp;"원","")&amp;IF($B$5&gt;0,IF($B$4&gt;0," / ","")&amp;"고급유 "&amp;TEXT(IF($N837="",1/0,$N837*$B$5),"#,##0")&amp;"원","")&amp;IF($B$6&gt;0,IF(OR($B$4&gt;0,$B$5&gt;0)," / ","")&amp;"경유 "&amp;TEXT(IF($O837="",1/0,$O837*$B$6),"#,##0")&amp;"원",""),""))</f>
        <v/>
      </c>
      <c r="Q837" s="17" t="str">
        <f aca="false">IF($B$10=0,"",IFERROR(IF($B$4&gt;0,IF($M837="",1/0,$M837*$B$4),0)+IF($B$5&gt;0,IF($N837="",1/0,$N837*$B$5),0)+IF($B$6&gt;0,IF($O837="",1/0,$O837*$B$6),0),""))</f>
        <v/>
      </c>
      <c r="R837" s="17"/>
      <c r="S837" s="18" t="str">
        <f aca="false">IF($Q837="","",IF($R837="Y",IFERROR(VLOOKUP($B837,$C$4:$D$13,2,FALSE()),0),0))</f>
        <v/>
      </c>
      <c r="T837" s="17" t="str">
        <f aca="false">IF($Q837="","",ROUNDDOWN($Q837*$S837,0))</f>
        <v/>
      </c>
      <c r="U837" s="17" t="str">
        <f aca="false">IF($Q837="","",$Q837-$T837)</f>
        <v/>
      </c>
      <c r="V837" s="17" t="str">
        <f aca="false">IF($U837="","",IF($B$10=0,"",$U837/$B$10))</f>
        <v/>
      </c>
      <c r="W837" s="17" t="str">
        <f aca="false">IF($Q837="","",IF($B$10=0,"",$Q837/$B$10))</f>
        <v/>
      </c>
      <c r="X837" s="19" t="n">
        <f aca="false">IF($U837="",1000000000000000,$U837)</f>
        <v>1000000000000000</v>
      </c>
    </row>
    <row r="838" s="6" customFormat="true" ht="28.6" hidden="false" customHeight="true" outlineLevel="0" collapsed="false">
      <c r="A838" s="16" t="str">
        <f aca="false">IF($U838="","",1+COUNTIF($X$15:$X$728,"&lt;"&amp;X838))</f>
        <v/>
      </c>
      <c r="B838" s="16" t="s">
        <v>14</v>
      </c>
      <c r="C838" s="16" t="s">
        <v>2006</v>
      </c>
      <c r="D838" s="16" t="s">
        <v>112</v>
      </c>
      <c r="E838" s="16" t="s">
        <v>59</v>
      </c>
      <c r="F838" s="16" t="s">
        <v>2485</v>
      </c>
      <c r="G838" s="16" t="s">
        <v>2486</v>
      </c>
      <c r="H838" s="17" t="n">
        <v>1959</v>
      </c>
      <c r="I838" s="17"/>
      <c r="J838" s="17"/>
      <c r="K838" s="17" t="n">
        <v>1998</v>
      </c>
      <c r="L838" s="17" t="n">
        <f aca="false">IF(AND(IFERROR(SEARCH("현대오일뱅크",$C838),0)&gt;0,IFERROR(SEARCH("직영",$C838),0)&gt;0),$B$13,0)</f>
        <v>0</v>
      </c>
      <c r="M838" s="17" t="n">
        <f aca="false">IF($H838="","",$H838+$L838)</f>
        <v>1959</v>
      </c>
      <c r="N838" s="17" t="str">
        <f aca="false">IF($I838="","",$I838+$L838)</f>
        <v/>
      </c>
      <c r="O838" s="17" t="n">
        <f aca="false">IF($K838="","",$K838+$L838)</f>
        <v>1998</v>
      </c>
      <c r="P838" s="17" t="str">
        <f aca="false">IF($B$10=0,"",IFERROR(IF($B$4&gt;0,"휘발유 "&amp;TEXT(IF($M838="",1/0,$M838*$B$4),"#,##0")&amp;"원","")&amp;IF($B$5&gt;0,IF($B$4&gt;0," / ","")&amp;"고급유 "&amp;TEXT(IF($N838="",1/0,$N838*$B$5),"#,##0")&amp;"원","")&amp;IF($B$6&gt;0,IF(OR($B$4&gt;0,$B$5&gt;0)," / ","")&amp;"경유 "&amp;TEXT(IF($O838="",1/0,$O838*$B$6),"#,##0")&amp;"원",""),""))</f>
        <v/>
      </c>
      <c r="Q838" s="17" t="str">
        <f aca="false">IF($B$10=0,"",IFERROR(IF($B$4&gt;0,IF($M838="",1/0,$M838*$B$4),0)+IF($B$5&gt;0,IF($N838="",1/0,$N838*$B$5),0)+IF($B$6&gt;0,IF($O838="",1/0,$O838*$B$6),0),""))</f>
        <v/>
      </c>
      <c r="R838" s="17"/>
      <c r="S838" s="18" t="str">
        <f aca="false">IF($Q838="","",IF($R838="Y",IFERROR(VLOOKUP($B838,$C$4:$D$13,2,FALSE()),0),0))</f>
        <v/>
      </c>
      <c r="T838" s="17" t="str">
        <f aca="false">IF($Q838="","",ROUNDDOWN($Q838*$S838,0))</f>
        <v/>
      </c>
      <c r="U838" s="17" t="str">
        <f aca="false">IF($Q838="","",$Q838-$T838)</f>
        <v/>
      </c>
      <c r="V838" s="17" t="str">
        <f aca="false">IF($U838="","",IF($B$10=0,"",$U838/$B$10))</f>
        <v/>
      </c>
      <c r="W838" s="17" t="str">
        <f aca="false">IF($Q838="","",IF($B$10=0,"",$Q838/$B$10))</f>
        <v/>
      </c>
      <c r="X838" s="19" t="n">
        <f aca="false">IF($U838="",1000000000000000,$U838)</f>
        <v>1000000000000000</v>
      </c>
    </row>
    <row r="839" s="6" customFormat="true" ht="28.6" hidden="false" customHeight="true" outlineLevel="0" collapsed="false">
      <c r="A839" s="16" t="str">
        <f aca="false">IF($U839="","",1+COUNTIF($X$15:$X$728,"&lt;"&amp;X839))</f>
        <v/>
      </c>
      <c r="B839" s="16" t="s">
        <v>14</v>
      </c>
      <c r="C839" s="16" t="s">
        <v>2487</v>
      </c>
      <c r="D839" s="16" t="s">
        <v>58</v>
      </c>
      <c r="E839" s="16" t="s">
        <v>47</v>
      </c>
      <c r="F839" s="16" t="s">
        <v>2488</v>
      </c>
      <c r="G839" s="16" t="s">
        <v>2489</v>
      </c>
      <c r="H839" s="17" t="n">
        <v>1959</v>
      </c>
      <c r="I839" s="17"/>
      <c r="J839" s="17"/>
      <c r="K839" s="17" t="n">
        <v>1999</v>
      </c>
      <c r="L839" s="17" t="n">
        <f aca="false">IF(AND(IFERROR(SEARCH("현대오일뱅크",$C839),0)&gt;0,IFERROR(SEARCH("직영",$C839),0)&gt;0),$B$13,0)</f>
        <v>0</v>
      </c>
      <c r="M839" s="17" t="n">
        <f aca="false">IF($H839="","",$H839+$L839)</f>
        <v>1959</v>
      </c>
      <c r="N839" s="17" t="str">
        <f aca="false">IF($I839="","",$I839+$L839)</f>
        <v/>
      </c>
      <c r="O839" s="17" t="n">
        <f aca="false">IF($K839="","",$K839+$L839)</f>
        <v>1999</v>
      </c>
      <c r="P839" s="17" t="str">
        <f aca="false">IF($B$10=0,"",IFERROR(IF($B$4&gt;0,"휘발유 "&amp;TEXT(IF($M839="",1/0,$M839*$B$4),"#,##0")&amp;"원","")&amp;IF($B$5&gt;0,IF($B$4&gt;0," / ","")&amp;"고급유 "&amp;TEXT(IF($N839="",1/0,$N839*$B$5),"#,##0")&amp;"원","")&amp;IF($B$6&gt;0,IF(OR($B$4&gt;0,$B$5&gt;0)," / ","")&amp;"경유 "&amp;TEXT(IF($O839="",1/0,$O839*$B$6),"#,##0")&amp;"원",""),""))</f>
        <v/>
      </c>
      <c r="Q839" s="17" t="str">
        <f aca="false">IF($B$10=0,"",IFERROR(IF($B$4&gt;0,IF($M839="",1/0,$M839*$B$4),0)+IF($B$5&gt;0,IF($N839="",1/0,$N839*$B$5),0)+IF($B$6&gt;0,IF($O839="",1/0,$O839*$B$6),0),""))</f>
        <v/>
      </c>
      <c r="R839" s="17"/>
      <c r="S839" s="18" t="str">
        <f aca="false">IF($Q839="","",IF($R839="Y",IFERROR(VLOOKUP($B839,$C$4:$D$13,2,FALSE()),0),0))</f>
        <v/>
      </c>
      <c r="T839" s="17" t="str">
        <f aca="false">IF($Q839="","",ROUNDDOWN($Q839*$S839,0))</f>
        <v/>
      </c>
      <c r="U839" s="17" t="str">
        <f aca="false">IF($Q839="","",$Q839-$T839)</f>
        <v/>
      </c>
      <c r="V839" s="17" t="str">
        <f aca="false">IF($U839="","",IF($B$10=0,"",$U839/$B$10))</f>
        <v/>
      </c>
      <c r="W839" s="17" t="str">
        <f aca="false">IF($Q839="","",IF($B$10=0,"",$Q839/$B$10))</f>
        <v/>
      </c>
      <c r="X839" s="19" t="n">
        <f aca="false">IF($U839="",1000000000000000,$U839)</f>
        <v>1000000000000000</v>
      </c>
    </row>
    <row r="840" s="6" customFormat="true" ht="28.6" hidden="false" customHeight="true" outlineLevel="0" collapsed="false">
      <c r="A840" s="16" t="str">
        <f aca="false">IF($U840="","",1+COUNTIF($X$15:$X$728,"&lt;"&amp;X840))</f>
        <v/>
      </c>
      <c r="B840" s="16" t="s">
        <v>14</v>
      </c>
      <c r="C840" s="16" t="s">
        <v>2490</v>
      </c>
      <c r="D840" s="16" t="s">
        <v>51</v>
      </c>
      <c r="E840" s="16" t="s">
        <v>47</v>
      </c>
      <c r="F840" s="16" t="s">
        <v>2491</v>
      </c>
      <c r="G840" s="16" t="s">
        <v>2492</v>
      </c>
      <c r="H840" s="17" t="n">
        <v>1959</v>
      </c>
      <c r="I840" s="17"/>
      <c r="J840" s="17"/>
      <c r="K840" s="17" t="n">
        <v>1959</v>
      </c>
      <c r="L840" s="17" t="n">
        <f aca="false">IF(AND(IFERROR(SEARCH("현대오일뱅크",$C840),0)&gt;0,IFERROR(SEARCH("직영",$C840),0)&gt;0),$B$13,0)</f>
        <v>0</v>
      </c>
      <c r="M840" s="17" t="n">
        <f aca="false">IF($H840="","",$H840+$L840)</f>
        <v>1959</v>
      </c>
      <c r="N840" s="17" t="str">
        <f aca="false">IF($I840="","",$I840+$L840)</f>
        <v/>
      </c>
      <c r="O840" s="17" t="n">
        <f aca="false">IF($K840="","",$K840+$L840)</f>
        <v>1959</v>
      </c>
      <c r="P840" s="17" t="str">
        <f aca="false">IF($B$10=0,"",IFERROR(IF($B$4&gt;0,"휘발유 "&amp;TEXT(IF($M840="",1/0,$M840*$B$4),"#,##0")&amp;"원","")&amp;IF($B$5&gt;0,IF($B$4&gt;0," / ","")&amp;"고급유 "&amp;TEXT(IF($N840="",1/0,$N840*$B$5),"#,##0")&amp;"원","")&amp;IF($B$6&gt;0,IF(OR($B$4&gt;0,$B$5&gt;0)," / ","")&amp;"경유 "&amp;TEXT(IF($O840="",1/0,$O840*$B$6),"#,##0")&amp;"원",""),""))</f>
        <v/>
      </c>
      <c r="Q840" s="17" t="str">
        <f aca="false">IF($B$10=0,"",IFERROR(IF($B$4&gt;0,IF($M840="",1/0,$M840*$B$4),0)+IF($B$5&gt;0,IF($N840="",1/0,$N840*$B$5),0)+IF($B$6&gt;0,IF($O840="",1/0,$O840*$B$6),0),""))</f>
        <v/>
      </c>
      <c r="R840" s="17"/>
      <c r="S840" s="18" t="str">
        <f aca="false">IF($Q840="","",IF($R840="Y",IFERROR(VLOOKUP($B840,$C$4:$D$13,2,FALSE()),0),0))</f>
        <v/>
      </c>
      <c r="T840" s="17" t="str">
        <f aca="false">IF($Q840="","",ROUNDDOWN($Q840*$S840,0))</f>
        <v/>
      </c>
      <c r="U840" s="17" t="str">
        <f aca="false">IF($Q840="","",$Q840-$T840)</f>
        <v/>
      </c>
      <c r="V840" s="17" t="str">
        <f aca="false">IF($U840="","",IF($B$10=0,"",$U840/$B$10))</f>
        <v/>
      </c>
      <c r="W840" s="17" t="str">
        <f aca="false">IF($Q840="","",IF($B$10=0,"",$Q840/$B$10))</f>
        <v/>
      </c>
      <c r="X840" s="19" t="n">
        <f aca="false">IF($U840="",1000000000000000,$U840)</f>
        <v>1000000000000000</v>
      </c>
    </row>
    <row r="841" s="6" customFormat="true" ht="28.6" hidden="false" customHeight="true" outlineLevel="0" collapsed="false">
      <c r="A841" s="16" t="str">
        <f aca="false">IF($U841="","",1+COUNTIF($X$15:$X$728,"&lt;"&amp;X841))</f>
        <v/>
      </c>
      <c r="B841" s="16" t="s">
        <v>14</v>
      </c>
      <c r="C841" s="16" t="s">
        <v>2493</v>
      </c>
      <c r="D841" s="16" t="s">
        <v>112</v>
      </c>
      <c r="E841" s="16" t="s">
        <v>47</v>
      </c>
      <c r="F841" s="16" t="s">
        <v>2494</v>
      </c>
      <c r="G841" s="16" t="s">
        <v>2495</v>
      </c>
      <c r="H841" s="17" t="n">
        <v>1959</v>
      </c>
      <c r="I841" s="17"/>
      <c r="J841" s="17"/>
      <c r="K841" s="17" t="n">
        <v>1999</v>
      </c>
      <c r="L841" s="17" t="n">
        <f aca="false">IF(AND(IFERROR(SEARCH("현대오일뱅크",$C841),0)&gt;0,IFERROR(SEARCH("직영",$C841),0)&gt;0),$B$13,0)</f>
        <v>0</v>
      </c>
      <c r="M841" s="17" t="n">
        <f aca="false">IF($H841="","",$H841+$L841)</f>
        <v>1959</v>
      </c>
      <c r="N841" s="17" t="str">
        <f aca="false">IF($I841="","",$I841+$L841)</f>
        <v/>
      </c>
      <c r="O841" s="17" t="n">
        <f aca="false">IF($K841="","",$K841+$L841)</f>
        <v>1999</v>
      </c>
      <c r="P841" s="17" t="str">
        <f aca="false">IF($B$10=0,"",IFERROR(IF($B$4&gt;0,"휘발유 "&amp;TEXT(IF($M841="",1/0,$M841*$B$4),"#,##0")&amp;"원","")&amp;IF($B$5&gt;0,IF($B$4&gt;0," / ","")&amp;"고급유 "&amp;TEXT(IF($N841="",1/0,$N841*$B$5),"#,##0")&amp;"원","")&amp;IF($B$6&gt;0,IF(OR($B$4&gt;0,$B$5&gt;0)," / ","")&amp;"경유 "&amp;TEXT(IF($O841="",1/0,$O841*$B$6),"#,##0")&amp;"원",""),""))</f>
        <v/>
      </c>
      <c r="Q841" s="17" t="str">
        <f aca="false">IF($B$10=0,"",IFERROR(IF($B$4&gt;0,IF($M841="",1/0,$M841*$B$4),0)+IF($B$5&gt;0,IF($N841="",1/0,$N841*$B$5),0)+IF($B$6&gt;0,IF($O841="",1/0,$O841*$B$6),0),""))</f>
        <v/>
      </c>
      <c r="R841" s="17"/>
      <c r="S841" s="18" t="str">
        <f aca="false">IF($Q841="","",IF($R841="Y",IFERROR(VLOOKUP($B841,$C$4:$D$13,2,FALSE()),0),0))</f>
        <v/>
      </c>
      <c r="T841" s="17" t="str">
        <f aca="false">IF($Q841="","",ROUNDDOWN($Q841*$S841,0))</f>
        <v/>
      </c>
      <c r="U841" s="17" t="str">
        <f aca="false">IF($Q841="","",$Q841-$T841)</f>
        <v/>
      </c>
      <c r="V841" s="17" t="str">
        <f aca="false">IF($U841="","",IF($B$10=0,"",$U841/$B$10))</f>
        <v/>
      </c>
      <c r="W841" s="17" t="str">
        <f aca="false">IF($Q841="","",IF($B$10=0,"",$Q841/$B$10))</f>
        <v/>
      </c>
      <c r="X841" s="19" t="n">
        <f aca="false">IF($U841="",1000000000000000,$U841)</f>
        <v>1000000000000000</v>
      </c>
    </row>
    <row r="842" s="6" customFormat="true" ht="28.6" hidden="false" customHeight="true" outlineLevel="0" collapsed="false">
      <c r="A842" s="16" t="str">
        <f aca="false">IF($U842="","",1+COUNTIF($X$15:$X$728,"&lt;"&amp;X842))</f>
        <v/>
      </c>
      <c r="B842" s="16" t="s">
        <v>14</v>
      </c>
      <c r="C842" s="16" t="s">
        <v>2496</v>
      </c>
      <c r="D842" s="16" t="s">
        <v>112</v>
      </c>
      <c r="E842" s="16" t="s">
        <v>47</v>
      </c>
      <c r="F842" s="16" t="s">
        <v>2497</v>
      </c>
      <c r="G842" s="16" t="s">
        <v>2498</v>
      </c>
      <c r="H842" s="17" t="n">
        <v>1959</v>
      </c>
      <c r="I842" s="17"/>
      <c r="J842" s="17"/>
      <c r="K842" s="17" t="n">
        <v>1999</v>
      </c>
      <c r="L842" s="17" t="n">
        <f aca="false">IF(AND(IFERROR(SEARCH("현대오일뱅크",$C842),0)&gt;0,IFERROR(SEARCH("직영",$C842),0)&gt;0),$B$13,0)</f>
        <v>0</v>
      </c>
      <c r="M842" s="17" t="n">
        <f aca="false">IF($H842="","",$H842+$L842)</f>
        <v>1959</v>
      </c>
      <c r="N842" s="17" t="str">
        <f aca="false">IF($I842="","",$I842+$L842)</f>
        <v/>
      </c>
      <c r="O842" s="17" t="n">
        <f aca="false">IF($K842="","",$K842+$L842)</f>
        <v>1999</v>
      </c>
      <c r="P842" s="17" t="str">
        <f aca="false">IF($B$10=0,"",IFERROR(IF($B$4&gt;0,"휘발유 "&amp;TEXT(IF($M842="",1/0,$M842*$B$4),"#,##0")&amp;"원","")&amp;IF($B$5&gt;0,IF($B$4&gt;0," / ","")&amp;"고급유 "&amp;TEXT(IF($N842="",1/0,$N842*$B$5),"#,##0")&amp;"원","")&amp;IF($B$6&gt;0,IF(OR($B$4&gt;0,$B$5&gt;0)," / ","")&amp;"경유 "&amp;TEXT(IF($O842="",1/0,$O842*$B$6),"#,##0")&amp;"원",""),""))</f>
        <v/>
      </c>
      <c r="Q842" s="17" t="str">
        <f aca="false">IF($B$10=0,"",IFERROR(IF($B$4&gt;0,IF($M842="",1/0,$M842*$B$4),0)+IF($B$5&gt;0,IF($N842="",1/0,$N842*$B$5),0)+IF($B$6&gt;0,IF($O842="",1/0,$O842*$B$6),0),""))</f>
        <v/>
      </c>
      <c r="R842" s="17"/>
      <c r="S842" s="18" t="str">
        <f aca="false">IF($Q842="","",IF($R842="Y",IFERROR(VLOOKUP($B842,$C$4:$D$13,2,FALSE()),0),0))</f>
        <v/>
      </c>
      <c r="T842" s="17" t="str">
        <f aca="false">IF($Q842="","",ROUNDDOWN($Q842*$S842,0))</f>
        <v/>
      </c>
      <c r="U842" s="17" t="str">
        <f aca="false">IF($Q842="","",$Q842-$T842)</f>
        <v/>
      </c>
      <c r="V842" s="17" t="str">
        <f aca="false">IF($U842="","",IF($B$10=0,"",$U842/$B$10))</f>
        <v/>
      </c>
      <c r="W842" s="17" t="str">
        <f aca="false">IF($Q842="","",IF($B$10=0,"",$Q842/$B$10))</f>
        <v/>
      </c>
      <c r="X842" s="19" t="n">
        <f aca="false">IF($U842="",1000000000000000,$U842)</f>
        <v>1000000000000000</v>
      </c>
    </row>
    <row r="843" s="6" customFormat="true" ht="28.6" hidden="false" customHeight="true" outlineLevel="0" collapsed="false">
      <c r="A843" s="16" t="str">
        <f aca="false">IF($U843="","",1+COUNTIF($X$15:$X$728,"&lt;"&amp;X843))</f>
        <v/>
      </c>
      <c r="B843" s="16" t="s">
        <v>8</v>
      </c>
      <c r="C843" s="16" t="s">
        <v>2499</v>
      </c>
      <c r="D843" s="16" t="s">
        <v>51</v>
      </c>
      <c r="E843" s="16" t="s">
        <v>59</v>
      </c>
      <c r="F843" s="16" t="s">
        <v>2500</v>
      </c>
      <c r="G843" s="16" t="s">
        <v>2501</v>
      </c>
      <c r="H843" s="17" t="n">
        <v>1959</v>
      </c>
      <c r="I843" s="17"/>
      <c r="J843" s="17"/>
      <c r="K843" s="17" t="n">
        <v>1989</v>
      </c>
      <c r="L843" s="17" t="n">
        <f aca="false">IF(AND(IFERROR(SEARCH("현대오일뱅크",$C843),0)&gt;0,IFERROR(SEARCH("직영",$C843),0)&gt;0),$B$13,0)</f>
        <v>0</v>
      </c>
      <c r="M843" s="17" t="n">
        <f aca="false">IF($H843="","",$H843+$L843)</f>
        <v>1959</v>
      </c>
      <c r="N843" s="17" t="str">
        <f aca="false">IF($I843="","",$I843+$L843)</f>
        <v/>
      </c>
      <c r="O843" s="17" t="n">
        <f aca="false">IF($K843="","",$K843+$L843)</f>
        <v>1989</v>
      </c>
      <c r="P843" s="17" t="str">
        <f aca="false">IF($B$10=0,"",IFERROR(IF($B$4&gt;0,"휘발유 "&amp;TEXT(IF($M843="",1/0,$M843*$B$4),"#,##0")&amp;"원","")&amp;IF($B$5&gt;0,IF($B$4&gt;0," / ","")&amp;"고급유 "&amp;TEXT(IF($N843="",1/0,$N843*$B$5),"#,##0")&amp;"원","")&amp;IF($B$6&gt;0,IF(OR($B$4&gt;0,$B$5&gt;0)," / ","")&amp;"경유 "&amp;TEXT(IF($O843="",1/0,$O843*$B$6),"#,##0")&amp;"원",""),""))</f>
        <v/>
      </c>
      <c r="Q843" s="17" t="str">
        <f aca="false">IF($B$10=0,"",IFERROR(IF($B$4&gt;0,IF($M843="",1/0,$M843*$B$4),0)+IF($B$5&gt;0,IF($N843="",1/0,$N843*$B$5),0)+IF($B$6&gt;0,IF($O843="",1/0,$O843*$B$6),0),""))</f>
        <v/>
      </c>
      <c r="R843" s="17"/>
      <c r="S843" s="18" t="str">
        <f aca="false">IF($Q843="","",IF($R843="Y",IFERROR(VLOOKUP($B843,$C$4:$D$13,2,FALSE()),0),0))</f>
        <v/>
      </c>
      <c r="T843" s="17" t="str">
        <f aca="false">IF($Q843="","",ROUNDDOWN($Q843*$S843,0))</f>
        <v/>
      </c>
      <c r="U843" s="17" t="str">
        <f aca="false">IF($Q843="","",$Q843-$T843)</f>
        <v/>
      </c>
      <c r="V843" s="17" t="str">
        <f aca="false">IF($U843="","",IF($B$10=0,"",$U843/$B$10))</f>
        <v/>
      </c>
      <c r="W843" s="17" t="str">
        <f aca="false">IF($Q843="","",IF($B$10=0,"",$Q843/$B$10))</f>
        <v/>
      </c>
      <c r="X843" s="19" t="n">
        <f aca="false">IF($U843="",1000000000000000,$U843)</f>
        <v>1000000000000000</v>
      </c>
    </row>
    <row r="844" s="6" customFormat="true" ht="28.6" hidden="false" customHeight="true" outlineLevel="0" collapsed="false">
      <c r="A844" s="16" t="str">
        <f aca="false">IF($U844="","",1+COUNTIF($X$15:$X$728,"&lt;"&amp;X844))</f>
        <v/>
      </c>
      <c r="B844" s="16" t="s">
        <v>12</v>
      </c>
      <c r="C844" s="16" t="s">
        <v>2502</v>
      </c>
      <c r="D844" s="20" t="s">
        <v>108</v>
      </c>
      <c r="E844" s="16" t="s">
        <v>47</v>
      </c>
      <c r="F844" s="16" t="s">
        <v>2503</v>
      </c>
      <c r="G844" s="16" t="s">
        <v>2504</v>
      </c>
      <c r="H844" s="17" t="n">
        <v>1959</v>
      </c>
      <c r="I844" s="17"/>
      <c r="J844" s="17"/>
      <c r="K844" s="17" t="n">
        <v>2099</v>
      </c>
      <c r="L844" s="17" t="n">
        <f aca="false">IF(AND(IFERROR(SEARCH("현대오일뱅크",$C844),0)&gt;0,IFERROR(SEARCH("직영",$C844),0)&gt;0),$B$13,0)</f>
        <v>0</v>
      </c>
      <c r="M844" s="17" t="n">
        <f aca="false">IF($H844="","",$H844+$L844)</f>
        <v>1959</v>
      </c>
      <c r="N844" s="17" t="str">
        <f aca="false">IF($I844="","",$I844+$L844)</f>
        <v/>
      </c>
      <c r="O844" s="17" t="n">
        <f aca="false">IF($K844="","",$K844+$L844)</f>
        <v>2099</v>
      </c>
      <c r="P844" s="17" t="str">
        <f aca="false">IF($B$10=0,"",IFERROR(IF($B$4&gt;0,"휘발유 "&amp;TEXT(IF($M844="",1/0,$M844*$B$4),"#,##0")&amp;"원","")&amp;IF($B$5&gt;0,IF($B$4&gt;0," / ","")&amp;"고급유 "&amp;TEXT(IF($N844="",1/0,$N844*$B$5),"#,##0")&amp;"원","")&amp;IF($B$6&gt;0,IF(OR($B$4&gt;0,$B$5&gt;0)," / ","")&amp;"경유 "&amp;TEXT(IF($O844="",1/0,$O844*$B$6),"#,##0")&amp;"원",""),""))</f>
        <v/>
      </c>
      <c r="Q844" s="17" t="str">
        <f aca="false">IF($B$10=0,"",IFERROR(IF($B$4&gt;0,IF($M844="",1/0,$M844*$B$4),0)+IF($B$5&gt;0,IF($N844="",1/0,$N844*$B$5),0)+IF($B$6&gt;0,IF($O844="",1/0,$O844*$B$6),0),""))</f>
        <v/>
      </c>
      <c r="R844" s="17"/>
      <c r="S844" s="18" t="str">
        <f aca="false">IF($Q844="","",IF($R844="Y",IFERROR(VLOOKUP($B844,$C$4:$D$13,2,FALSE()),0),0))</f>
        <v/>
      </c>
      <c r="T844" s="17" t="str">
        <f aca="false">IF($Q844="","",ROUNDDOWN($Q844*$S844,0))</f>
        <v/>
      </c>
      <c r="U844" s="17" t="str">
        <f aca="false">IF($Q844="","",$Q844-$T844)</f>
        <v/>
      </c>
      <c r="V844" s="17" t="str">
        <f aca="false">IF($U844="","",IF($B$10=0,"",$U844/$B$10))</f>
        <v/>
      </c>
      <c r="W844" s="17" t="str">
        <f aca="false">IF($Q844="","",IF($B$10=0,"",$Q844/$B$10))</f>
        <v/>
      </c>
      <c r="X844" s="19" t="n">
        <f aca="false">IF($U844="",1000000000000000,$U844)</f>
        <v>1000000000000000</v>
      </c>
    </row>
    <row r="845" s="6" customFormat="true" ht="28.6" hidden="false" customHeight="true" outlineLevel="0" collapsed="false">
      <c r="A845" s="16" t="str">
        <f aca="false">IF($U845="","",1+COUNTIF($X$15:$X$728,"&lt;"&amp;X845))</f>
        <v/>
      </c>
      <c r="B845" s="16" t="s">
        <v>16</v>
      </c>
      <c r="C845" s="16" t="s">
        <v>2505</v>
      </c>
      <c r="D845" s="16" t="s">
        <v>112</v>
      </c>
      <c r="E845" s="16" t="s">
        <v>47</v>
      </c>
      <c r="F845" s="16" t="s">
        <v>2506</v>
      </c>
      <c r="G845" s="16" t="s">
        <v>2507</v>
      </c>
      <c r="H845" s="17" t="n">
        <v>1960</v>
      </c>
      <c r="I845" s="17"/>
      <c r="J845" s="17"/>
      <c r="K845" s="17" t="n">
        <v>1975</v>
      </c>
      <c r="L845" s="17" t="n">
        <f aca="false">IF(AND(IFERROR(SEARCH("현대오일뱅크",$C845),0)&gt;0,IFERROR(SEARCH("직영",$C845),0)&gt;0),$B$13,0)</f>
        <v>0</v>
      </c>
      <c r="M845" s="17" t="n">
        <f aca="false">IF($H845="","",$H845+$L845)</f>
        <v>1960</v>
      </c>
      <c r="N845" s="17" t="str">
        <f aca="false">IF($I845="","",$I845+$L845)</f>
        <v/>
      </c>
      <c r="O845" s="17" t="n">
        <f aca="false">IF($K845="","",$K845+$L845)</f>
        <v>1975</v>
      </c>
      <c r="P845" s="17" t="str">
        <f aca="false">IF($B$10=0,"",IFERROR(IF($B$4&gt;0,"휘발유 "&amp;TEXT(IF($M845="",1/0,$M845*$B$4),"#,##0")&amp;"원","")&amp;IF($B$5&gt;0,IF($B$4&gt;0," / ","")&amp;"고급유 "&amp;TEXT(IF($N845="",1/0,$N845*$B$5),"#,##0")&amp;"원","")&amp;IF($B$6&gt;0,IF(OR($B$4&gt;0,$B$5&gt;0)," / ","")&amp;"경유 "&amp;TEXT(IF($O845="",1/0,$O845*$B$6),"#,##0")&amp;"원",""),""))</f>
        <v/>
      </c>
      <c r="Q845" s="17" t="str">
        <f aca="false">IF($B$10=0,"",IFERROR(IF($B$4&gt;0,IF($M845="",1/0,$M845*$B$4),0)+IF($B$5&gt;0,IF($N845="",1/0,$N845*$B$5),0)+IF($B$6&gt;0,IF($O845="",1/0,$O845*$B$6),0),""))</f>
        <v/>
      </c>
      <c r="R845" s="17"/>
      <c r="S845" s="18" t="str">
        <f aca="false">IF($Q845="","",IF($R845="Y",IFERROR(VLOOKUP($B845,$C$4:$D$13,2,FALSE()),0),0))</f>
        <v/>
      </c>
      <c r="T845" s="17" t="str">
        <f aca="false">IF($Q845="","",ROUNDDOWN($Q845*$S845,0))</f>
        <v/>
      </c>
      <c r="U845" s="17" t="str">
        <f aca="false">IF($Q845="","",$Q845-$T845)</f>
        <v/>
      </c>
      <c r="V845" s="17" t="str">
        <f aca="false">IF($U845="","",IF($B$10=0,"",$U845/$B$10))</f>
        <v/>
      </c>
      <c r="W845" s="17" t="str">
        <f aca="false">IF($Q845="","",IF($B$10=0,"",$Q845/$B$10))</f>
        <v/>
      </c>
      <c r="X845" s="19" t="n">
        <f aca="false">IF($U845="",1000000000000000,$U845)</f>
        <v>1000000000000000</v>
      </c>
    </row>
    <row r="846" s="6" customFormat="true" ht="28.6" hidden="false" customHeight="true" outlineLevel="0" collapsed="false">
      <c r="A846" s="16" t="str">
        <f aca="false">IF($U846="","",1+COUNTIF($X$15:$X$728,"&lt;"&amp;X846))</f>
        <v/>
      </c>
      <c r="B846" s="16" t="s">
        <v>12</v>
      </c>
      <c r="C846" s="16" t="s">
        <v>2508</v>
      </c>
      <c r="D846" s="20" t="s">
        <v>112</v>
      </c>
      <c r="E846" s="16" t="s">
        <v>47</v>
      </c>
      <c r="F846" s="16" t="s">
        <v>2509</v>
      </c>
      <c r="G846" s="16" t="s">
        <v>2510</v>
      </c>
      <c r="H846" s="17" t="n">
        <v>1960</v>
      </c>
      <c r="I846" s="17"/>
      <c r="J846" s="17"/>
      <c r="K846" s="17" t="n">
        <v>1999</v>
      </c>
      <c r="L846" s="17" t="n">
        <f aca="false">IF(AND(IFERROR(SEARCH("현대오일뱅크",$C846),0)&gt;0,IFERROR(SEARCH("직영",$C846),0)&gt;0),$B$13,0)</f>
        <v>0</v>
      </c>
      <c r="M846" s="17" t="n">
        <f aca="false">IF($H846="","",$H846+$L846)</f>
        <v>1960</v>
      </c>
      <c r="N846" s="17" t="str">
        <f aca="false">IF($I846="","",$I846+$L846)</f>
        <v/>
      </c>
      <c r="O846" s="17" t="n">
        <f aca="false">IF($K846="","",$K846+$L846)</f>
        <v>1999</v>
      </c>
      <c r="P846" s="17" t="str">
        <f aca="false">IF($B$10=0,"",IFERROR(IF($B$4&gt;0,"휘발유 "&amp;TEXT(IF($M846="",1/0,$M846*$B$4),"#,##0")&amp;"원","")&amp;IF($B$5&gt;0,IF($B$4&gt;0," / ","")&amp;"고급유 "&amp;TEXT(IF($N846="",1/0,$N846*$B$5),"#,##0")&amp;"원","")&amp;IF($B$6&gt;0,IF(OR($B$4&gt;0,$B$5&gt;0)," / ","")&amp;"경유 "&amp;TEXT(IF($O846="",1/0,$O846*$B$6),"#,##0")&amp;"원",""),""))</f>
        <v/>
      </c>
      <c r="Q846" s="17" t="str">
        <f aca="false">IF($B$10=0,"",IFERROR(IF($B$4&gt;0,IF($M846="",1/0,$M846*$B$4),0)+IF($B$5&gt;0,IF($N846="",1/0,$N846*$B$5),0)+IF($B$6&gt;0,IF($O846="",1/0,$O846*$B$6),0),""))</f>
        <v/>
      </c>
      <c r="R846" s="17"/>
      <c r="S846" s="18" t="str">
        <f aca="false">IF($Q846="","",IF($R846="Y",IFERROR(VLOOKUP($B846,$C$4:$D$13,2,FALSE()),0),0))</f>
        <v/>
      </c>
      <c r="T846" s="17" t="str">
        <f aca="false">IF($Q846="","",ROUNDDOWN($Q846*$S846,0))</f>
        <v/>
      </c>
      <c r="U846" s="17" t="str">
        <f aca="false">IF($Q846="","",$Q846-$T846)</f>
        <v/>
      </c>
      <c r="V846" s="17" t="str">
        <f aca="false">IF($U846="","",IF($B$10=0,"",$U846/$B$10))</f>
        <v/>
      </c>
      <c r="W846" s="17" t="str">
        <f aca="false">IF($Q846="","",IF($B$10=0,"",$Q846/$B$10))</f>
        <v/>
      </c>
      <c r="X846" s="19" t="n">
        <f aca="false">IF($U846="",1000000000000000,$U846)</f>
        <v>1000000000000000</v>
      </c>
    </row>
    <row r="847" s="6" customFormat="true" ht="28.6" hidden="false" customHeight="true" outlineLevel="0" collapsed="false">
      <c r="A847" s="16" t="str">
        <f aca="false">IF($U847="","",1+COUNTIF($X$15:$X$728,"&lt;"&amp;X847))</f>
        <v/>
      </c>
      <c r="B847" s="16" t="s">
        <v>18</v>
      </c>
      <c r="C847" s="16" t="s">
        <v>2511</v>
      </c>
      <c r="D847" s="16" t="s">
        <v>51</v>
      </c>
      <c r="E847" s="16" t="s">
        <v>47</v>
      </c>
      <c r="F847" s="16" t="s">
        <v>2512</v>
      </c>
      <c r="G847" s="16" t="s">
        <v>2513</v>
      </c>
      <c r="H847" s="17" t="n">
        <v>1962</v>
      </c>
      <c r="I847" s="17"/>
      <c r="J847" s="17"/>
      <c r="K847" s="17" t="n">
        <v>1922</v>
      </c>
      <c r="L847" s="17" t="n">
        <f aca="false">IF(AND(IFERROR(SEARCH("현대오일뱅크",$C847),0)&gt;0,IFERROR(SEARCH("직영",$C847),0)&gt;0),$B$13,0)</f>
        <v>0</v>
      </c>
      <c r="M847" s="17" t="n">
        <f aca="false">IF($H847="","",$H847+$L847)</f>
        <v>1962</v>
      </c>
      <c r="N847" s="17" t="str">
        <f aca="false">IF($I847="","",$I847+$L847)</f>
        <v/>
      </c>
      <c r="O847" s="17" t="n">
        <f aca="false">IF($K847="","",$K847+$L847)</f>
        <v>1922</v>
      </c>
      <c r="P847" s="17" t="str">
        <f aca="false">IF($B$10=0,"",IFERROR(IF($B$4&gt;0,"휘발유 "&amp;TEXT(IF($M847="",1/0,$M847*$B$4),"#,##0")&amp;"원","")&amp;IF($B$5&gt;0,IF($B$4&gt;0," / ","")&amp;"고급유 "&amp;TEXT(IF($N847="",1/0,$N847*$B$5),"#,##0")&amp;"원","")&amp;IF($B$6&gt;0,IF(OR($B$4&gt;0,$B$5&gt;0)," / ","")&amp;"경유 "&amp;TEXT(IF($O847="",1/0,$O847*$B$6),"#,##0")&amp;"원",""),""))</f>
        <v/>
      </c>
      <c r="Q847" s="17" t="str">
        <f aca="false">IF($B$10=0,"",IFERROR(IF($B$4&gt;0,IF($M847="",1/0,$M847*$B$4),0)+IF($B$5&gt;0,IF($N847="",1/0,$N847*$B$5),0)+IF($B$6&gt;0,IF($O847="",1/0,$O847*$B$6),0),""))</f>
        <v/>
      </c>
      <c r="R847" s="17"/>
      <c r="S847" s="18" t="str">
        <f aca="false">IF($Q847="","",IF($R847="Y",IFERROR(VLOOKUP($B847,$C$4:$D$13,2,FALSE()),0),0))</f>
        <v/>
      </c>
      <c r="T847" s="17" t="str">
        <f aca="false">IF($Q847="","",ROUNDDOWN($Q847*$S847,0))</f>
        <v/>
      </c>
      <c r="U847" s="17" t="str">
        <f aca="false">IF($Q847="","",$Q847-$T847)</f>
        <v/>
      </c>
      <c r="V847" s="17" t="str">
        <f aca="false">IF($U847="","",IF($B$10=0,"",$U847/$B$10))</f>
        <v/>
      </c>
      <c r="W847" s="17" t="str">
        <f aca="false">IF($Q847="","",IF($B$10=0,"",$Q847/$B$10))</f>
        <v/>
      </c>
      <c r="X847" s="19" t="n">
        <f aca="false">IF($U847="",1000000000000000,$U847)</f>
        <v>1000000000000000</v>
      </c>
    </row>
    <row r="848" s="6" customFormat="true" ht="28.6" hidden="false" customHeight="true" outlineLevel="0" collapsed="false">
      <c r="A848" s="16" t="str">
        <f aca="false">IF($U848="","",1+COUNTIF($X$15:$X$728,"&lt;"&amp;X848))</f>
        <v/>
      </c>
      <c r="B848" s="16" t="s">
        <v>12</v>
      </c>
      <c r="C848" s="16" t="s">
        <v>2514</v>
      </c>
      <c r="D848" s="20" t="s">
        <v>294</v>
      </c>
      <c r="E848" s="16" t="s">
        <v>47</v>
      </c>
      <c r="F848" s="16" t="s">
        <v>2515</v>
      </c>
      <c r="G848" s="16" t="s">
        <v>2516</v>
      </c>
      <c r="H848" s="17" t="n">
        <v>1964</v>
      </c>
      <c r="I848" s="17"/>
      <c r="J848" s="17"/>
      <c r="K848" s="17" t="n">
        <v>2095</v>
      </c>
      <c r="L848" s="17" t="n">
        <f aca="false">IF(AND(IFERROR(SEARCH("현대오일뱅크",$C848),0)&gt;0,IFERROR(SEARCH("직영",$C848),0)&gt;0),$B$13,0)</f>
        <v>0</v>
      </c>
      <c r="M848" s="17" t="n">
        <f aca="false">IF($H848="","",$H848+$L848)</f>
        <v>1964</v>
      </c>
      <c r="N848" s="17" t="str">
        <f aca="false">IF($I848="","",$I848+$L848)</f>
        <v/>
      </c>
      <c r="O848" s="17" t="n">
        <f aca="false">IF($K848="","",$K848+$L848)</f>
        <v>2095</v>
      </c>
      <c r="P848" s="17" t="str">
        <f aca="false">IF($B$10=0,"",IFERROR(IF($B$4&gt;0,"휘발유 "&amp;TEXT(IF($M848="",1/0,$M848*$B$4),"#,##0")&amp;"원","")&amp;IF($B$5&gt;0,IF($B$4&gt;0," / ","")&amp;"고급유 "&amp;TEXT(IF($N848="",1/0,$N848*$B$5),"#,##0")&amp;"원","")&amp;IF($B$6&gt;0,IF(OR($B$4&gt;0,$B$5&gt;0)," / ","")&amp;"경유 "&amp;TEXT(IF($O848="",1/0,$O848*$B$6),"#,##0")&amp;"원",""),""))</f>
        <v/>
      </c>
      <c r="Q848" s="17" t="str">
        <f aca="false">IF($B$10=0,"",IFERROR(IF($B$4&gt;0,IF($M848="",1/0,$M848*$B$4),0)+IF($B$5&gt;0,IF($N848="",1/0,$N848*$B$5),0)+IF($B$6&gt;0,IF($O848="",1/0,$O848*$B$6),0),""))</f>
        <v/>
      </c>
      <c r="R848" s="17"/>
      <c r="S848" s="18" t="str">
        <f aca="false">IF($Q848="","",IF($R848="Y",IFERROR(VLOOKUP($B848,$C$4:$D$13,2,FALSE()),0),0))</f>
        <v/>
      </c>
      <c r="T848" s="17" t="str">
        <f aca="false">IF($Q848="","",ROUNDDOWN($Q848*$S848,0))</f>
        <v/>
      </c>
      <c r="U848" s="17" t="str">
        <f aca="false">IF($Q848="","",$Q848-$T848)</f>
        <v/>
      </c>
      <c r="V848" s="17" t="str">
        <f aca="false">IF($U848="","",IF($B$10=0,"",$U848/$B$10))</f>
        <v/>
      </c>
      <c r="W848" s="17" t="str">
        <f aca="false">IF($Q848="","",IF($B$10=0,"",$Q848/$B$10))</f>
        <v/>
      </c>
      <c r="X848" s="19" t="n">
        <f aca="false">IF($U848="",1000000000000000,$U848)</f>
        <v>1000000000000000</v>
      </c>
    </row>
    <row r="849" s="6" customFormat="true" ht="28.6" hidden="false" customHeight="true" outlineLevel="0" collapsed="false">
      <c r="A849" s="16" t="str">
        <f aca="false">IF($U849="","",1+COUNTIF($X$15:$X$728,"&lt;"&amp;X849))</f>
        <v/>
      </c>
      <c r="B849" s="16" t="s">
        <v>12</v>
      </c>
      <c r="C849" s="16" t="s">
        <v>2517</v>
      </c>
      <c r="D849" s="20" t="s">
        <v>294</v>
      </c>
      <c r="E849" s="16" t="s">
        <v>59</v>
      </c>
      <c r="F849" s="16" t="s">
        <v>2518</v>
      </c>
      <c r="G849" s="16" t="s">
        <v>2519</v>
      </c>
      <c r="H849" s="17" t="n">
        <v>1965</v>
      </c>
      <c r="I849" s="17"/>
      <c r="J849" s="17"/>
      <c r="K849" s="17" t="n">
        <v>1995</v>
      </c>
      <c r="L849" s="17" t="n">
        <f aca="false">IF(AND(IFERROR(SEARCH("현대오일뱅크",$C849),0)&gt;0,IFERROR(SEARCH("직영",$C849),0)&gt;0),$B$13,0)</f>
        <v>0</v>
      </c>
      <c r="M849" s="17" t="n">
        <f aca="false">IF($H849="","",$H849+$L849)</f>
        <v>1965</v>
      </c>
      <c r="N849" s="17" t="str">
        <f aca="false">IF($I849="","",$I849+$L849)</f>
        <v/>
      </c>
      <c r="O849" s="17" t="n">
        <f aca="false">IF($K849="","",$K849+$L849)</f>
        <v>1995</v>
      </c>
      <c r="P849" s="17" t="str">
        <f aca="false">IF($B$10=0,"",IFERROR(IF($B$4&gt;0,"휘발유 "&amp;TEXT(IF($M849="",1/0,$M849*$B$4),"#,##0")&amp;"원","")&amp;IF($B$5&gt;0,IF($B$4&gt;0," / ","")&amp;"고급유 "&amp;TEXT(IF($N849="",1/0,$N849*$B$5),"#,##0")&amp;"원","")&amp;IF($B$6&gt;0,IF(OR($B$4&gt;0,$B$5&gt;0)," / ","")&amp;"경유 "&amp;TEXT(IF($O849="",1/0,$O849*$B$6),"#,##0")&amp;"원",""),""))</f>
        <v/>
      </c>
      <c r="Q849" s="17" t="str">
        <f aca="false">IF($B$10=0,"",IFERROR(IF($B$4&gt;0,IF($M849="",1/0,$M849*$B$4),0)+IF($B$5&gt;0,IF($N849="",1/0,$N849*$B$5),0)+IF($B$6&gt;0,IF($O849="",1/0,$O849*$B$6),0),""))</f>
        <v/>
      </c>
      <c r="R849" s="17"/>
      <c r="S849" s="18" t="str">
        <f aca="false">IF($Q849="","",IF($R849="Y",IFERROR(VLOOKUP($B849,$C$4:$D$13,2,FALSE()),0),0))</f>
        <v/>
      </c>
      <c r="T849" s="17" t="str">
        <f aca="false">IF($Q849="","",ROUNDDOWN($Q849*$S849,0))</f>
        <v/>
      </c>
      <c r="U849" s="17" t="str">
        <f aca="false">IF($Q849="","",$Q849-$T849)</f>
        <v/>
      </c>
      <c r="V849" s="17" t="str">
        <f aca="false">IF($U849="","",IF($B$10=0,"",$U849/$B$10))</f>
        <v/>
      </c>
      <c r="W849" s="17" t="str">
        <f aca="false">IF($Q849="","",IF($B$10=0,"",$Q849/$B$10))</f>
        <v/>
      </c>
      <c r="X849" s="19" t="n">
        <f aca="false">IF($U849="",1000000000000000,$U849)</f>
        <v>1000000000000000</v>
      </c>
    </row>
    <row r="850" s="6" customFormat="true" ht="28.6" hidden="false" customHeight="true" outlineLevel="0" collapsed="false">
      <c r="A850" s="16" t="str">
        <f aca="false">IF($U850="","",1+COUNTIF($X$15:$X$728,"&lt;"&amp;X850))</f>
        <v/>
      </c>
      <c r="B850" s="16" t="s">
        <v>10</v>
      </c>
      <c r="C850" s="16" t="s">
        <v>2520</v>
      </c>
      <c r="D850" s="16" t="s">
        <v>58</v>
      </c>
      <c r="E850" s="16" t="s">
        <v>47</v>
      </c>
      <c r="F850" s="16" t="s">
        <v>2521</v>
      </c>
      <c r="G850" s="16" t="s">
        <v>2522</v>
      </c>
      <c r="H850" s="17" t="n">
        <v>1968</v>
      </c>
      <c r="I850" s="17"/>
      <c r="J850" s="17"/>
      <c r="K850" s="17" t="n">
        <v>1988</v>
      </c>
      <c r="L850" s="17" t="n">
        <f aca="false">IF(AND(IFERROR(SEARCH("현대오일뱅크",$C850),0)&gt;0,IFERROR(SEARCH("직영",$C850),0)&gt;0),$B$13,0)</f>
        <v>0</v>
      </c>
      <c r="M850" s="17" t="n">
        <f aca="false">IF($H850="","",$H850+$L850)</f>
        <v>1968</v>
      </c>
      <c r="N850" s="17" t="str">
        <f aca="false">IF($I850="","",$I850+$L850)</f>
        <v/>
      </c>
      <c r="O850" s="17" t="n">
        <f aca="false">IF($K850="","",$K850+$L850)</f>
        <v>1988</v>
      </c>
      <c r="P850" s="17" t="str">
        <f aca="false">IF($B$10=0,"",IFERROR(IF($B$4&gt;0,"휘발유 "&amp;TEXT(IF($M850="",1/0,$M850*$B$4),"#,##0")&amp;"원","")&amp;IF($B$5&gt;0,IF($B$4&gt;0," / ","")&amp;"고급유 "&amp;TEXT(IF($N850="",1/0,$N850*$B$5),"#,##0")&amp;"원","")&amp;IF($B$6&gt;0,IF(OR($B$4&gt;0,$B$5&gt;0)," / ","")&amp;"경유 "&amp;TEXT(IF($O850="",1/0,$O850*$B$6),"#,##0")&amp;"원",""),""))</f>
        <v/>
      </c>
      <c r="Q850" s="17" t="str">
        <f aca="false">IF($B$10=0,"",IFERROR(IF($B$4&gt;0,IF($M850="",1/0,$M850*$B$4),0)+IF($B$5&gt;0,IF($N850="",1/0,$N850*$B$5),0)+IF($B$6&gt;0,IF($O850="",1/0,$O850*$B$6),0),""))</f>
        <v/>
      </c>
      <c r="R850" s="17"/>
      <c r="S850" s="18" t="str">
        <f aca="false">IF($Q850="","",IF($R850="Y",IFERROR(VLOOKUP($B850,$C$4:$D$13,2,FALSE()),0),0))</f>
        <v/>
      </c>
      <c r="T850" s="17" t="str">
        <f aca="false">IF($Q850="","",ROUNDDOWN($Q850*$S850,0))</f>
        <v/>
      </c>
      <c r="U850" s="17" t="str">
        <f aca="false">IF($Q850="","",$Q850-$T850)</f>
        <v/>
      </c>
      <c r="V850" s="17" t="str">
        <f aca="false">IF($U850="","",IF($B$10=0,"",$U850/$B$10))</f>
        <v/>
      </c>
      <c r="W850" s="17" t="str">
        <f aca="false">IF($Q850="","",IF($B$10=0,"",$Q850/$B$10))</f>
        <v/>
      </c>
      <c r="X850" s="19" t="n">
        <f aca="false">IF($U850="",1000000000000000,$U850)</f>
        <v>1000000000000000</v>
      </c>
    </row>
    <row r="851" s="6" customFormat="true" ht="28.6" hidden="false" customHeight="true" outlineLevel="0" collapsed="false">
      <c r="A851" s="16" t="str">
        <f aca="false">IF($U851="","",1+COUNTIF($X$15:$X$728,"&lt;"&amp;X851))</f>
        <v/>
      </c>
      <c r="B851" s="16" t="s">
        <v>12</v>
      </c>
      <c r="C851" s="16" t="s">
        <v>2523</v>
      </c>
      <c r="D851" s="20" t="s">
        <v>248</v>
      </c>
      <c r="E851" s="16" t="s">
        <v>47</v>
      </c>
      <c r="F851" s="16" t="s">
        <v>2524</v>
      </c>
      <c r="G851" s="16" t="s">
        <v>2525</v>
      </c>
      <c r="H851" s="17" t="n">
        <v>1968</v>
      </c>
      <c r="I851" s="17"/>
      <c r="J851" s="17"/>
      <c r="K851" s="17" t="n">
        <v>2128</v>
      </c>
      <c r="L851" s="17" t="n">
        <f aca="false">IF(AND(IFERROR(SEARCH("현대오일뱅크",$C851),0)&gt;0,IFERROR(SEARCH("직영",$C851),0)&gt;0),$B$13,0)</f>
        <v>0</v>
      </c>
      <c r="M851" s="17" t="n">
        <f aca="false">IF($H851="","",$H851+$L851)</f>
        <v>1968</v>
      </c>
      <c r="N851" s="17" t="str">
        <f aca="false">IF($I851="","",$I851+$L851)</f>
        <v/>
      </c>
      <c r="O851" s="17" t="n">
        <f aca="false">IF($K851="","",$K851+$L851)</f>
        <v>2128</v>
      </c>
      <c r="P851" s="17" t="str">
        <f aca="false">IF($B$10=0,"",IFERROR(IF($B$4&gt;0,"휘발유 "&amp;TEXT(IF($M851="",1/0,$M851*$B$4),"#,##0")&amp;"원","")&amp;IF($B$5&gt;0,IF($B$4&gt;0," / ","")&amp;"고급유 "&amp;TEXT(IF($N851="",1/0,$N851*$B$5),"#,##0")&amp;"원","")&amp;IF($B$6&gt;0,IF(OR($B$4&gt;0,$B$5&gt;0)," / ","")&amp;"경유 "&amp;TEXT(IF($O851="",1/0,$O851*$B$6),"#,##0")&amp;"원",""),""))</f>
        <v/>
      </c>
      <c r="Q851" s="17" t="str">
        <f aca="false">IF($B$10=0,"",IFERROR(IF($B$4&gt;0,IF($M851="",1/0,$M851*$B$4),0)+IF($B$5&gt;0,IF($N851="",1/0,$N851*$B$5),0)+IF($B$6&gt;0,IF($O851="",1/0,$O851*$B$6),0),""))</f>
        <v/>
      </c>
      <c r="R851" s="17"/>
      <c r="S851" s="18" t="str">
        <f aca="false">IF($Q851="","",IF($R851="Y",IFERROR(VLOOKUP($B851,$C$4:$D$13,2,FALSE()),0),0))</f>
        <v/>
      </c>
      <c r="T851" s="17" t="str">
        <f aca="false">IF($Q851="","",ROUNDDOWN($Q851*$S851,0))</f>
        <v/>
      </c>
      <c r="U851" s="17" t="str">
        <f aca="false">IF($Q851="","",$Q851-$T851)</f>
        <v/>
      </c>
      <c r="V851" s="17" t="str">
        <f aca="false">IF($U851="","",IF($B$10=0,"",$U851/$B$10))</f>
        <v/>
      </c>
      <c r="W851" s="17" t="str">
        <f aca="false">IF($Q851="","",IF($B$10=0,"",$Q851/$B$10))</f>
        <v/>
      </c>
      <c r="X851" s="19" t="n">
        <f aca="false">IF($U851="",1000000000000000,$U851)</f>
        <v>1000000000000000</v>
      </c>
    </row>
    <row r="852" s="6" customFormat="true" ht="28.6" hidden="false" customHeight="true" outlineLevel="0" collapsed="false">
      <c r="A852" s="16" t="str">
        <f aca="false">IF($U852="","",1+COUNTIF($X$15:$X$728,"&lt;"&amp;X852))</f>
        <v/>
      </c>
      <c r="B852" s="16" t="s">
        <v>10</v>
      </c>
      <c r="C852" s="16" t="s">
        <v>806</v>
      </c>
      <c r="D852" s="20" t="s">
        <v>108</v>
      </c>
      <c r="E852" s="16" t="s">
        <v>59</v>
      </c>
      <c r="F852" s="16" t="s">
        <v>2526</v>
      </c>
      <c r="G852" s="16" t="s">
        <v>2527</v>
      </c>
      <c r="H852" s="17" t="n">
        <v>1969</v>
      </c>
      <c r="I852" s="17"/>
      <c r="J852" s="17"/>
      <c r="K852" s="17" t="n">
        <v>1999</v>
      </c>
      <c r="L852" s="17" t="n">
        <f aca="false">IF(AND(IFERROR(SEARCH("현대오일뱅크",$C852),0)&gt;0,IFERROR(SEARCH("직영",$C852),0)&gt;0),$B$13,0)</f>
        <v>0</v>
      </c>
      <c r="M852" s="17" t="n">
        <f aca="false">IF($H852="","",$H852+$L852)</f>
        <v>1969</v>
      </c>
      <c r="N852" s="17" t="str">
        <f aca="false">IF($I852="","",$I852+$L852)</f>
        <v/>
      </c>
      <c r="O852" s="17" t="n">
        <f aca="false">IF($K852="","",$K852+$L852)</f>
        <v>1999</v>
      </c>
      <c r="P852" s="17" t="str">
        <f aca="false">IF($B$10=0,"",IFERROR(IF($B$4&gt;0,"휘발유 "&amp;TEXT(IF($M852="",1/0,$M852*$B$4),"#,##0")&amp;"원","")&amp;IF($B$5&gt;0,IF($B$4&gt;0," / ","")&amp;"고급유 "&amp;TEXT(IF($N852="",1/0,$N852*$B$5),"#,##0")&amp;"원","")&amp;IF($B$6&gt;0,IF(OR($B$4&gt;0,$B$5&gt;0)," / ","")&amp;"경유 "&amp;TEXT(IF($O852="",1/0,$O852*$B$6),"#,##0")&amp;"원",""),""))</f>
        <v/>
      </c>
      <c r="Q852" s="17" t="str">
        <f aca="false">IF($B$10=0,"",IFERROR(IF($B$4&gt;0,IF($M852="",1/0,$M852*$B$4),0)+IF($B$5&gt;0,IF($N852="",1/0,$N852*$B$5),0)+IF($B$6&gt;0,IF($O852="",1/0,$O852*$B$6),0),""))</f>
        <v/>
      </c>
      <c r="R852" s="17"/>
      <c r="S852" s="18" t="str">
        <f aca="false">IF($Q852="","",IF($R852="Y",IFERROR(VLOOKUP($B852,$C$4:$D$13,2,FALSE()),0),0))</f>
        <v/>
      </c>
      <c r="T852" s="17" t="str">
        <f aca="false">IF($Q852="","",ROUNDDOWN($Q852*$S852,0))</f>
        <v/>
      </c>
      <c r="U852" s="17" t="str">
        <f aca="false">IF($Q852="","",$Q852-$T852)</f>
        <v/>
      </c>
      <c r="V852" s="17" t="str">
        <f aca="false">IF($U852="","",IF($B$10=0,"",$U852/$B$10))</f>
        <v/>
      </c>
      <c r="W852" s="17" t="str">
        <f aca="false">IF($Q852="","",IF($B$10=0,"",$Q852/$B$10))</f>
        <v/>
      </c>
      <c r="X852" s="19" t="n">
        <f aca="false">IF($U852="",1000000000000000,$U852)</f>
        <v>1000000000000000</v>
      </c>
    </row>
    <row r="853" s="6" customFormat="true" ht="28.6" hidden="false" customHeight="true" outlineLevel="0" collapsed="false">
      <c r="A853" s="16" t="str">
        <f aca="false">IF($U853="","",1+COUNTIF($X$15:$X$728,"&lt;"&amp;X853))</f>
        <v/>
      </c>
      <c r="B853" s="16" t="s">
        <v>10</v>
      </c>
      <c r="C853" s="16" t="s">
        <v>2528</v>
      </c>
      <c r="D853" s="16" t="s">
        <v>58</v>
      </c>
      <c r="E853" s="16" t="s">
        <v>47</v>
      </c>
      <c r="F853" s="16" t="s">
        <v>2529</v>
      </c>
      <c r="G853" s="16" t="s">
        <v>2530</v>
      </c>
      <c r="H853" s="17" t="n">
        <v>1969</v>
      </c>
      <c r="I853" s="17"/>
      <c r="J853" s="17"/>
      <c r="K853" s="17" t="n">
        <v>1989</v>
      </c>
      <c r="L853" s="17" t="n">
        <f aca="false">IF(AND(IFERROR(SEARCH("현대오일뱅크",$C853),0)&gt;0,IFERROR(SEARCH("직영",$C853),0)&gt;0),$B$13,0)</f>
        <v>0</v>
      </c>
      <c r="M853" s="17" t="n">
        <f aca="false">IF($H853="","",$H853+$L853)</f>
        <v>1969</v>
      </c>
      <c r="N853" s="17" t="str">
        <f aca="false">IF($I853="","",$I853+$L853)</f>
        <v/>
      </c>
      <c r="O853" s="17" t="n">
        <f aca="false">IF($K853="","",$K853+$L853)</f>
        <v>1989</v>
      </c>
      <c r="P853" s="17" t="str">
        <f aca="false">IF($B$10=0,"",IFERROR(IF($B$4&gt;0,"휘발유 "&amp;TEXT(IF($M853="",1/0,$M853*$B$4),"#,##0")&amp;"원","")&amp;IF($B$5&gt;0,IF($B$4&gt;0," / ","")&amp;"고급유 "&amp;TEXT(IF($N853="",1/0,$N853*$B$5),"#,##0")&amp;"원","")&amp;IF($B$6&gt;0,IF(OR($B$4&gt;0,$B$5&gt;0)," / ","")&amp;"경유 "&amp;TEXT(IF($O853="",1/0,$O853*$B$6),"#,##0")&amp;"원",""),""))</f>
        <v/>
      </c>
      <c r="Q853" s="17" t="str">
        <f aca="false">IF($B$10=0,"",IFERROR(IF($B$4&gt;0,IF($M853="",1/0,$M853*$B$4),0)+IF($B$5&gt;0,IF($N853="",1/0,$N853*$B$5),0)+IF($B$6&gt;0,IF($O853="",1/0,$O853*$B$6),0),""))</f>
        <v/>
      </c>
      <c r="R853" s="17"/>
      <c r="S853" s="18" t="str">
        <f aca="false">IF($Q853="","",IF($R853="Y",IFERROR(VLOOKUP($B853,$C$4:$D$13,2,FALSE()),0),0))</f>
        <v/>
      </c>
      <c r="T853" s="17" t="str">
        <f aca="false">IF($Q853="","",ROUNDDOWN($Q853*$S853,0))</f>
        <v/>
      </c>
      <c r="U853" s="17" t="str">
        <f aca="false">IF($Q853="","",$Q853-$T853)</f>
        <v/>
      </c>
      <c r="V853" s="17" t="str">
        <f aca="false">IF($U853="","",IF($B$10=0,"",$U853/$B$10))</f>
        <v/>
      </c>
      <c r="W853" s="17" t="str">
        <f aca="false">IF($Q853="","",IF($B$10=0,"",$Q853/$B$10))</f>
        <v/>
      </c>
      <c r="X853" s="19" t="n">
        <f aca="false">IF($U853="",1000000000000000,$U853)</f>
        <v>1000000000000000</v>
      </c>
    </row>
    <row r="854" s="6" customFormat="true" ht="28.6" hidden="false" customHeight="true" outlineLevel="0" collapsed="false">
      <c r="A854" s="16" t="str">
        <f aca="false">IF($U854="","",1+COUNTIF($X$15:$X$728,"&lt;"&amp;X854))</f>
        <v/>
      </c>
      <c r="B854" s="16" t="s">
        <v>10</v>
      </c>
      <c r="C854" s="16" t="s">
        <v>2531</v>
      </c>
      <c r="D854" s="16" t="s">
        <v>112</v>
      </c>
      <c r="E854" s="16" t="s">
        <v>47</v>
      </c>
      <c r="F854" s="16" t="s">
        <v>2532</v>
      </c>
      <c r="G854" s="16" t="s">
        <v>2533</v>
      </c>
      <c r="H854" s="17" t="n">
        <v>1969</v>
      </c>
      <c r="I854" s="17"/>
      <c r="J854" s="17"/>
      <c r="K854" s="17" t="n">
        <v>1999</v>
      </c>
      <c r="L854" s="17" t="n">
        <f aca="false">IF(AND(IFERROR(SEARCH("현대오일뱅크",$C854),0)&gt;0,IFERROR(SEARCH("직영",$C854),0)&gt;0),$B$13,0)</f>
        <v>0</v>
      </c>
      <c r="M854" s="17" t="n">
        <f aca="false">IF($H854="","",$H854+$L854)</f>
        <v>1969</v>
      </c>
      <c r="N854" s="17" t="str">
        <f aca="false">IF($I854="","",$I854+$L854)</f>
        <v/>
      </c>
      <c r="O854" s="17" t="n">
        <f aca="false">IF($K854="","",$K854+$L854)</f>
        <v>1999</v>
      </c>
      <c r="P854" s="17" t="str">
        <f aca="false">IF($B$10=0,"",IFERROR(IF($B$4&gt;0,"휘발유 "&amp;TEXT(IF($M854="",1/0,$M854*$B$4),"#,##0")&amp;"원","")&amp;IF($B$5&gt;0,IF($B$4&gt;0," / ","")&amp;"고급유 "&amp;TEXT(IF($N854="",1/0,$N854*$B$5),"#,##0")&amp;"원","")&amp;IF($B$6&gt;0,IF(OR($B$4&gt;0,$B$5&gt;0)," / ","")&amp;"경유 "&amp;TEXT(IF($O854="",1/0,$O854*$B$6),"#,##0")&amp;"원",""),""))</f>
        <v/>
      </c>
      <c r="Q854" s="17" t="str">
        <f aca="false">IF($B$10=0,"",IFERROR(IF($B$4&gt;0,IF($M854="",1/0,$M854*$B$4),0)+IF($B$5&gt;0,IF($N854="",1/0,$N854*$B$5),0)+IF($B$6&gt;0,IF($O854="",1/0,$O854*$B$6),0),""))</f>
        <v/>
      </c>
      <c r="R854" s="17"/>
      <c r="S854" s="18" t="str">
        <f aca="false">IF($Q854="","",IF($R854="Y",IFERROR(VLOOKUP($B854,$C$4:$D$13,2,FALSE()),0),0))</f>
        <v/>
      </c>
      <c r="T854" s="17" t="str">
        <f aca="false">IF($Q854="","",ROUNDDOWN($Q854*$S854,0))</f>
        <v/>
      </c>
      <c r="U854" s="17" t="str">
        <f aca="false">IF($Q854="","",$Q854-$T854)</f>
        <v/>
      </c>
      <c r="V854" s="17" t="str">
        <f aca="false">IF($U854="","",IF($B$10=0,"",$U854/$B$10))</f>
        <v/>
      </c>
      <c r="W854" s="17" t="str">
        <f aca="false">IF($Q854="","",IF($B$10=0,"",$Q854/$B$10))</f>
        <v/>
      </c>
      <c r="X854" s="19" t="n">
        <f aca="false">IF($U854="",1000000000000000,$U854)</f>
        <v>1000000000000000</v>
      </c>
    </row>
    <row r="855" s="6" customFormat="true" ht="28.6" hidden="false" customHeight="true" outlineLevel="0" collapsed="false">
      <c r="A855" s="16" t="str">
        <f aca="false">IF($U855="","",1+COUNTIF($X$15:$X$728,"&lt;"&amp;X855))</f>
        <v/>
      </c>
      <c r="B855" s="16" t="s">
        <v>18</v>
      </c>
      <c r="C855" s="16" t="s">
        <v>2534</v>
      </c>
      <c r="D855" s="20" t="s">
        <v>108</v>
      </c>
      <c r="E855" s="16" t="s">
        <v>47</v>
      </c>
      <c r="F855" s="16" t="s">
        <v>2535</v>
      </c>
      <c r="G855" s="16" t="s">
        <v>2536</v>
      </c>
      <c r="H855" s="17" t="n">
        <v>1970</v>
      </c>
      <c r="I855" s="17"/>
      <c r="J855" s="17"/>
      <c r="K855" s="17" t="n">
        <v>1990</v>
      </c>
      <c r="L855" s="17" t="n">
        <f aca="false">IF(AND(IFERROR(SEARCH("현대오일뱅크",$C855),0)&gt;0,IFERROR(SEARCH("직영",$C855),0)&gt;0),$B$13,0)</f>
        <v>0</v>
      </c>
      <c r="M855" s="17" t="n">
        <f aca="false">IF($H855="","",$H855+$L855)</f>
        <v>1970</v>
      </c>
      <c r="N855" s="17" t="str">
        <f aca="false">IF($I855="","",$I855+$L855)</f>
        <v/>
      </c>
      <c r="O855" s="17" t="n">
        <f aca="false">IF($K855="","",$K855+$L855)</f>
        <v>1990</v>
      </c>
      <c r="P855" s="17" t="str">
        <f aca="false">IF($B$10=0,"",IFERROR(IF($B$4&gt;0,"휘발유 "&amp;TEXT(IF($M855="",1/0,$M855*$B$4),"#,##0")&amp;"원","")&amp;IF($B$5&gt;0,IF($B$4&gt;0," / ","")&amp;"고급유 "&amp;TEXT(IF($N855="",1/0,$N855*$B$5),"#,##0")&amp;"원","")&amp;IF($B$6&gt;0,IF(OR($B$4&gt;0,$B$5&gt;0)," / ","")&amp;"경유 "&amp;TEXT(IF($O855="",1/0,$O855*$B$6),"#,##0")&amp;"원",""),""))</f>
        <v/>
      </c>
      <c r="Q855" s="17" t="str">
        <f aca="false">IF($B$10=0,"",IFERROR(IF($B$4&gt;0,IF($M855="",1/0,$M855*$B$4),0)+IF($B$5&gt;0,IF($N855="",1/0,$N855*$B$5),0)+IF($B$6&gt;0,IF($O855="",1/0,$O855*$B$6),0),""))</f>
        <v/>
      </c>
      <c r="R855" s="17"/>
      <c r="S855" s="18" t="str">
        <f aca="false">IF($Q855="","",IF($R855="Y",IFERROR(VLOOKUP($B855,$C$4:$D$13,2,FALSE()),0),0))</f>
        <v/>
      </c>
      <c r="T855" s="17" t="str">
        <f aca="false">IF($Q855="","",ROUNDDOWN($Q855*$S855,0))</f>
        <v/>
      </c>
      <c r="U855" s="17" t="str">
        <f aca="false">IF($Q855="","",$Q855-$T855)</f>
        <v/>
      </c>
      <c r="V855" s="17" t="str">
        <f aca="false">IF($U855="","",IF($B$10=0,"",$U855/$B$10))</f>
        <v/>
      </c>
      <c r="W855" s="17" t="str">
        <f aca="false">IF($Q855="","",IF($B$10=0,"",$Q855/$B$10))</f>
        <v/>
      </c>
      <c r="X855" s="19" t="n">
        <f aca="false">IF($U855="",1000000000000000,$U855)</f>
        <v>1000000000000000</v>
      </c>
    </row>
    <row r="856" s="6" customFormat="true" ht="28.6" hidden="false" customHeight="true" outlineLevel="0" collapsed="false">
      <c r="A856" s="16" t="str">
        <f aca="false">IF($U856="","",1+COUNTIF($X$15:$X$728,"&lt;"&amp;X856))</f>
        <v/>
      </c>
      <c r="B856" s="16" t="s">
        <v>18</v>
      </c>
      <c r="C856" s="16" t="s">
        <v>2537</v>
      </c>
      <c r="D856" s="16" t="s">
        <v>112</v>
      </c>
      <c r="E856" s="16" t="s">
        <v>59</v>
      </c>
      <c r="F856" s="16" t="s">
        <v>2538</v>
      </c>
      <c r="G856" s="16" t="s">
        <v>2539</v>
      </c>
      <c r="H856" s="17" t="n">
        <v>1970</v>
      </c>
      <c r="I856" s="17"/>
      <c r="J856" s="17"/>
      <c r="K856" s="17" t="n">
        <v>1995</v>
      </c>
      <c r="L856" s="17" t="n">
        <f aca="false">IF(AND(IFERROR(SEARCH("현대오일뱅크",$C856),0)&gt;0,IFERROR(SEARCH("직영",$C856),0)&gt;0),$B$13,0)</f>
        <v>0</v>
      </c>
      <c r="M856" s="17" t="n">
        <f aca="false">IF($H856="","",$H856+$L856)</f>
        <v>1970</v>
      </c>
      <c r="N856" s="17" t="str">
        <f aca="false">IF($I856="","",$I856+$L856)</f>
        <v/>
      </c>
      <c r="O856" s="17" t="n">
        <f aca="false">IF($K856="","",$K856+$L856)</f>
        <v>1995</v>
      </c>
      <c r="P856" s="17" t="str">
        <f aca="false">IF($B$10=0,"",IFERROR(IF($B$4&gt;0,"휘발유 "&amp;TEXT(IF($M856="",1/0,$M856*$B$4),"#,##0")&amp;"원","")&amp;IF($B$5&gt;0,IF($B$4&gt;0," / ","")&amp;"고급유 "&amp;TEXT(IF($N856="",1/0,$N856*$B$5),"#,##0")&amp;"원","")&amp;IF($B$6&gt;0,IF(OR($B$4&gt;0,$B$5&gt;0)," / ","")&amp;"경유 "&amp;TEXT(IF($O856="",1/0,$O856*$B$6),"#,##0")&amp;"원",""),""))</f>
        <v/>
      </c>
      <c r="Q856" s="17" t="str">
        <f aca="false">IF($B$10=0,"",IFERROR(IF($B$4&gt;0,IF($M856="",1/0,$M856*$B$4),0)+IF($B$5&gt;0,IF($N856="",1/0,$N856*$B$5),0)+IF($B$6&gt;0,IF($O856="",1/0,$O856*$B$6),0),""))</f>
        <v/>
      </c>
      <c r="R856" s="17"/>
      <c r="S856" s="18" t="str">
        <f aca="false">IF($Q856="","",IF($R856="Y",IFERROR(VLOOKUP($B856,$C$4:$D$13,2,FALSE()),0),0))</f>
        <v/>
      </c>
      <c r="T856" s="17" t="str">
        <f aca="false">IF($Q856="","",ROUNDDOWN($Q856*$S856,0))</f>
        <v/>
      </c>
      <c r="U856" s="17" t="str">
        <f aca="false">IF($Q856="","",$Q856-$T856)</f>
        <v/>
      </c>
      <c r="V856" s="17" t="str">
        <f aca="false">IF($U856="","",IF($B$10=0,"",$U856/$B$10))</f>
        <v/>
      </c>
      <c r="W856" s="17" t="str">
        <f aca="false">IF($Q856="","",IF($B$10=0,"",$Q856/$B$10))</f>
        <v/>
      </c>
      <c r="X856" s="19" t="n">
        <f aca="false">IF($U856="",1000000000000000,$U856)</f>
        <v>1000000000000000</v>
      </c>
    </row>
    <row r="857" s="6" customFormat="true" ht="28.6" hidden="false" customHeight="true" outlineLevel="0" collapsed="false">
      <c r="A857" s="16" t="str">
        <f aca="false">IF($U857="","",1+COUNTIF($X$15:$X$728,"&lt;"&amp;X857))</f>
        <v/>
      </c>
      <c r="B857" s="16" t="s">
        <v>12</v>
      </c>
      <c r="C857" s="16" t="s">
        <v>2540</v>
      </c>
      <c r="D857" s="20" t="s">
        <v>108</v>
      </c>
      <c r="E857" s="16" t="s">
        <v>47</v>
      </c>
      <c r="F857" s="16" t="s">
        <v>2541</v>
      </c>
      <c r="G857" s="16" t="s">
        <v>2542</v>
      </c>
      <c r="H857" s="17" t="n">
        <v>2190</v>
      </c>
      <c r="I857" s="17"/>
      <c r="J857" s="17"/>
      <c r="K857" s="17" t="n">
        <v>2200</v>
      </c>
      <c r="L857" s="17" t="n">
        <f aca="false">IF(AND(IFERROR(SEARCH("현대오일뱅크",$C857),0)&gt;0,IFERROR(SEARCH("직영",$C857),0)&gt;0),$B$13,0)</f>
        <v>0</v>
      </c>
      <c r="M857" s="17" t="n">
        <f aca="false">IF($H857="","",$H857+$L857)</f>
        <v>2190</v>
      </c>
      <c r="N857" s="17" t="str">
        <f aca="false">IF($I857="","",$I857+$L857)</f>
        <v/>
      </c>
      <c r="O857" s="17" t="n">
        <f aca="false">IF($K857="","",$K857+$L857)</f>
        <v>2200</v>
      </c>
      <c r="P857" s="17" t="str">
        <f aca="false">IF($B$10=0,"",IFERROR(IF($B$4&gt;0,"휘발유 "&amp;TEXT(IF($M857="",1/0,$M857*$B$4),"#,##0")&amp;"원","")&amp;IF($B$5&gt;0,IF($B$4&gt;0," / ","")&amp;"고급유 "&amp;TEXT(IF($N857="",1/0,$N857*$B$5),"#,##0")&amp;"원","")&amp;IF($B$6&gt;0,IF(OR($B$4&gt;0,$B$5&gt;0)," / ","")&amp;"경유 "&amp;TEXT(IF($O857="",1/0,$O857*$B$6),"#,##0")&amp;"원",""),""))</f>
        <v/>
      </c>
      <c r="Q857" s="17" t="str">
        <f aca="false">IF($B$10=0,"",IFERROR(IF($B$4&gt;0,IF($M857="",1/0,$M857*$B$4),0)+IF($B$5&gt;0,IF($N857="",1/0,$N857*$B$5),0)+IF($B$6&gt;0,IF($O857="",1/0,$O857*$B$6),0),""))</f>
        <v/>
      </c>
      <c r="R857" s="17" t="s">
        <v>47</v>
      </c>
      <c r="S857" s="18" t="str">
        <f aca="false">IF($Q857="","",IF($R857="Y",IFERROR(VLOOKUP($B857,$C$4:$D$13,2,FALSE()),0),0))</f>
        <v/>
      </c>
      <c r="T857" s="17" t="str">
        <f aca="false">IF($Q857="","",ROUNDDOWN($Q857*$S857,0))</f>
        <v/>
      </c>
      <c r="U857" s="17" t="str">
        <f aca="false">IF($Q857="","",$Q857-$T857)</f>
        <v/>
      </c>
      <c r="V857" s="17" t="str">
        <f aca="false">IF($U857="","",IF($B$10=0,"",$U857/$B$10))</f>
        <v/>
      </c>
      <c r="W857" s="17" t="str">
        <f aca="false">IF($Q857="","",IF($B$10=0,"",$Q857/$B$10))</f>
        <v/>
      </c>
      <c r="X857" s="19" t="n">
        <f aca="false">IF($U857="",1000000000000000,$U857)</f>
        <v>1000000000000000</v>
      </c>
    </row>
    <row r="858" s="6" customFormat="true" ht="28.6" hidden="false" customHeight="true" outlineLevel="0" collapsed="false">
      <c r="A858" s="16" t="str">
        <f aca="false">IF($U858="","",1+COUNTIF($X$15:$X$728,"&lt;"&amp;X858))</f>
        <v/>
      </c>
      <c r="B858" s="16" t="s">
        <v>18</v>
      </c>
      <c r="C858" s="16" t="s">
        <v>2543</v>
      </c>
      <c r="D858" s="16" t="s">
        <v>58</v>
      </c>
      <c r="E858" s="16" t="s">
        <v>59</v>
      </c>
      <c r="F858" s="16" t="s">
        <v>2544</v>
      </c>
      <c r="G858" s="16" t="s">
        <v>2545</v>
      </c>
      <c r="H858" s="17" t="n">
        <v>1975</v>
      </c>
      <c r="I858" s="17"/>
      <c r="J858" s="17"/>
      <c r="K858" s="17" t="n">
        <v>1999</v>
      </c>
      <c r="L858" s="17" t="n">
        <f aca="false">IF(AND(IFERROR(SEARCH("현대오일뱅크",$C858),0)&gt;0,IFERROR(SEARCH("직영",$C858),0)&gt;0),$B$13,0)</f>
        <v>0</v>
      </c>
      <c r="M858" s="17" t="n">
        <f aca="false">IF($H858="","",$H858+$L858)</f>
        <v>1975</v>
      </c>
      <c r="N858" s="17" t="str">
        <f aca="false">IF($I858="","",$I858+$L858)</f>
        <v/>
      </c>
      <c r="O858" s="17" t="n">
        <f aca="false">IF($K858="","",$K858+$L858)</f>
        <v>1999</v>
      </c>
      <c r="P858" s="17" t="str">
        <f aca="false">IF($B$10=0,"",IFERROR(IF($B$4&gt;0,"휘발유 "&amp;TEXT(IF($M858="",1/0,$M858*$B$4),"#,##0")&amp;"원","")&amp;IF($B$5&gt;0,IF($B$4&gt;0," / ","")&amp;"고급유 "&amp;TEXT(IF($N858="",1/0,$N858*$B$5),"#,##0")&amp;"원","")&amp;IF($B$6&gt;0,IF(OR($B$4&gt;0,$B$5&gt;0)," / ","")&amp;"경유 "&amp;TEXT(IF($O858="",1/0,$O858*$B$6),"#,##0")&amp;"원",""),""))</f>
        <v/>
      </c>
      <c r="Q858" s="17" t="str">
        <f aca="false">IF($B$10=0,"",IFERROR(IF($B$4&gt;0,IF($M858="",1/0,$M858*$B$4),0)+IF($B$5&gt;0,IF($N858="",1/0,$N858*$B$5),0)+IF($B$6&gt;0,IF($O858="",1/0,$O858*$B$6),0),""))</f>
        <v/>
      </c>
      <c r="R858" s="17"/>
      <c r="S858" s="18" t="str">
        <f aca="false">IF($Q858="","",IF($R858="Y",IFERROR(VLOOKUP($B858,$C$4:$D$13,2,FALSE()),0),0))</f>
        <v/>
      </c>
      <c r="T858" s="17" t="str">
        <f aca="false">IF($Q858="","",ROUNDDOWN($Q858*$S858,0))</f>
        <v/>
      </c>
      <c r="U858" s="17" t="str">
        <f aca="false">IF($Q858="","",$Q858-$T858)</f>
        <v/>
      </c>
      <c r="V858" s="17" t="str">
        <f aca="false">IF($U858="","",IF($B$10=0,"",$U858/$B$10))</f>
        <v/>
      </c>
      <c r="W858" s="17" t="str">
        <f aca="false">IF($Q858="","",IF($B$10=0,"",$Q858/$B$10))</f>
        <v/>
      </c>
      <c r="X858" s="19" t="n">
        <f aca="false">IF($U858="",1000000000000000,$U858)</f>
        <v>1000000000000000</v>
      </c>
    </row>
    <row r="859" s="6" customFormat="true" ht="28.6" hidden="false" customHeight="true" outlineLevel="0" collapsed="false">
      <c r="A859" s="16" t="str">
        <f aca="false">IF($U859="","",1+COUNTIF($X$15:$X$728,"&lt;"&amp;X859))</f>
        <v/>
      </c>
      <c r="B859" s="16" t="s">
        <v>6</v>
      </c>
      <c r="C859" s="16" t="s">
        <v>2546</v>
      </c>
      <c r="D859" s="20" t="s">
        <v>108</v>
      </c>
      <c r="E859" s="16" t="s">
        <v>47</v>
      </c>
      <c r="F859" s="16" t="s">
        <v>2547</v>
      </c>
      <c r="G859" s="16" t="s">
        <v>2548</v>
      </c>
      <c r="H859" s="17" t="n">
        <v>1975</v>
      </c>
      <c r="I859" s="17"/>
      <c r="J859" s="17"/>
      <c r="K859" s="17" t="n">
        <v>1985</v>
      </c>
      <c r="L859" s="17" t="n">
        <f aca="false">IF(AND(IFERROR(SEARCH("현대오일뱅크",$C859),0)&gt;0,IFERROR(SEARCH("직영",$C859),0)&gt;0),$B$13,0)</f>
        <v>0</v>
      </c>
      <c r="M859" s="17" t="n">
        <f aca="false">IF($H859="","",$H859+$L859)</f>
        <v>1975</v>
      </c>
      <c r="N859" s="17" t="str">
        <f aca="false">IF($I859="","",$I859+$L859)</f>
        <v/>
      </c>
      <c r="O859" s="17" t="n">
        <f aca="false">IF($K859="","",$K859+$L859)</f>
        <v>1985</v>
      </c>
      <c r="P859" s="17" t="str">
        <f aca="false">IF($B$10=0,"",IFERROR(IF($B$4&gt;0,"휘발유 "&amp;TEXT(IF($M859="",1/0,$M859*$B$4),"#,##0")&amp;"원","")&amp;IF($B$5&gt;0,IF($B$4&gt;0," / ","")&amp;"고급유 "&amp;TEXT(IF($N859="",1/0,$N859*$B$5),"#,##0")&amp;"원","")&amp;IF($B$6&gt;0,IF(OR($B$4&gt;0,$B$5&gt;0)," / ","")&amp;"경유 "&amp;TEXT(IF($O859="",1/0,$O859*$B$6),"#,##0")&amp;"원",""),""))</f>
        <v/>
      </c>
      <c r="Q859" s="17" t="str">
        <f aca="false">IF($B$10=0,"",IFERROR(IF($B$4&gt;0,IF($M859="",1/0,$M859*$B$4),0)+IF($B$5&gt;0,IF($N859="",1/0,$N859*$B$5),0)+IF($B$6&gt;0,IF($O859="",1/0,$O859*$B$6),0),""))</f>
        <v/>
      </c>
      <c r="R859" s="17"/>
      <c r="S859" s="18" t="str">
        <f aca="false">IF($Q859="","",IF($R859="Y",IFERROR(VLOOKUP($B859,$C$4:$D$13,2,FALSE()),0),0))</f>
        <v/>
      </c>
      <c r="T859" s="17" t="str">
        <f aca="false">IF($Q859="","",ROUNDDOWN($Q859*$S859,0))</f>
        <v/>
      </c>
      <c r="U859" s="17" t="str">
        <f aca="false">IF($Q859="","",$Q859-$T859)</f>
        <v/>
      </c>
      <c r="V859" s="17" t="str">
        <f aca="false">IF($U859="","",IF($B$10=0,"",$U859/$B$10))</f>
        <v/>
      </c>
      <c r="W859" s="17" t="str">
        <f aca="false">IF($Q859="","",IF($B$10=0,"",$Q859/$B$10))</f>
        <v/>
      </c>
      <c r="X859" s="19" t="n">
        <f aca="false">IF($U859="",1000000000000000,$U859)</f>
        <v>1000000000000000</v>
      </c>
    </row>
    <row r="860" s="6" customFormat="true" ht="28.6" hidden="false" customHeight="true" outlineLevel="0" collapsed="false">
      <c r="A860" s="16" t="str">
        <f aca="false">IF($U860="","",1+COUNTIF($X$15:$X$728,"&lt;"&amp;X860))</f>
        <v/>
      </c>
      <c r="B860" s="16" t="s">
        <v>18</v>
      </c>
      <c r="C860" s="16" t="s">
        <v>2549</v>
      </c>
      <c r="D860" s="16" t="s">
        <v>58</v>
      </c>
      <c r="E860" s="16" t="s">
        <v>47</v>
      </c>
      <c r="F860" s="16" t="s">
        <v>2550</v>
      </c>
      <c r="G860" s="16" t="s">
        <v>2551</v>
      </c>
      <c r="H860" s="17" t="n">
        <v>1974</v>
      </c>
      <c r="I860" s="17"/>
      <c r="J860" s="17"/>
      <c r="K860" s="17" t="n">
        <v>2034</v>
      </c>
      <c r="L860" s="17" t="n">
        <f aca="false">IF(AND(IFERROR(SEARCH("현대오일뱅크",$C860),0)&gt;0,IFERROR(SEARCH("직영",$C860),0)&gt;0),$B$13,0)</f>
        <v>0</v>
      </c>
      <c r="M860" s="17" t="n">
        <f aca="false">IF($H860="","",$H860+$L860)</f>
        <v>1974</v>
      </c>
      <c r="N860" s="17" t="str">
        <f aca="false">IF($I860="","",$I860+$L860)</f>
        <v/>
      </c>
      <c r="O860" s="17" t="n">
        <f aca="false">IF($K860="","",$K860+$L860)</f>
        <v>2034</v>
      </c>
      <c r="P860" s="17" t="str">
        <f aca="false">IF($B$10=0,"",IFERROR(IF($B$4&gt;0,"휘발유 "&amp;TEXT(IF($M860="",1/0,$M860*$B$4),"#,##0")&amp;"원","")&amp;IF($B$5&gt;0,IF($B$4&gt;0," / ","")&amp;"고급유 "&amp;TEXT(IF($N860="",1/0,$N860*$B$5),"#,##0")&amp;"원","")&amp;IF($B$6&gt;0,IF(OR($B$4&gt;0,$B$5&gt;0)," / ","")&amp;"경유 "&amp;TEXT(IF($O860="",1/0,$O860*$B$6),"#,##0")&amp;"원",""),""))</f>
        <v/>
      </c>
      <c r="Q860" s="17" t="str">
        <f aca="false">IF($B$10=0,"",IFERROR(IF($B$4&gt;0,IF($M860="",1/0,$M860*$B$4),0)+IF($B$5&gt;0,IF($N860="",1/0,$N860*$B$5),0)+IF($B$6&gt;0,IF($O860="",1/0,$O860*$B$6),0),""))</f>
        <v/>
      </c>
      <c r="R860" s="17"/>
      <c r="S860" s="18" t="str">
        <f aca="false">IF($Q860="","",IF($R860="Y",IFERROR(VLOOKUP($B860,$C$4:$D$13,2,FALSE()),0),0))</f>
        <v/>
      </c>
      <c r="T860" s="17" t="str">
        <f aca="false">IF($Q860="","",ROUNDDOWN($Q860*$S860,0))</f>
        <v/>
      </c>
      <c r="U860" s="17" t="str">
        <f aca="false">IF($Q860="","",$Q860-$T860)</f>
        <v/>
      </c>
      <c r="V860" s="17" t="str">
        <f aca="false">IF($U860="","",IF($B$10=0,"",$U860/$B$10))</f>
        <v/>
      </c>
      <c r="W860" s="17" t="str">
        <f aca="false">IF($Q860="","",IF($B$10=0,"",$Q860/$B$10))</f>
        <v/>
      </c>
      <c r="X860" s="19" t="n">
        <f aca="false">IF($U860="",1000000000000000,$U860)</f>
        <v>1000000000000000</v>
      </c>
    </row>
    <row r="861" s="6" customFormat="true" ht="28.6" hidden="false" customHeight="true" outlineLevel="0" collapsed="false">
      <c r="A861" s="16" t="str">
        <f aca="false">IF($U861="","",1+COUNTIF($X$15:$X$728,"&lt;"&amp;X861))</f>
        <v/>
      </c>
      <c r="B861" s="16" t="s">
        <v>6</v>
      </c>
      <c r="C861" s="16" t="s">
        <v>2552</v>
      </c>
      <c r="D861" s="16" t="s">
        <v>51</v>
      </c>
      <c r="E861" s="16" t="s">
        <v>47</v>
      </c>
      <c r="F861" s="16" t="s">
        <v>2553</v>
      </c>
      <c r="G861" s="16" t="s">
        <v>2554</v>
      </c>
      <c r="H861" s="17" t="n">
        <v>1975</v>
      </c>
      <c r="I861" s="17"/>
      <c r="J861" s="17"/>
      <c r="K861" s="17" t="n">
        <v>1995</v>
      </c>
      <c r="L861" s="17" t="n">
        <f aca="false">IF(AND(IFERROR(SEARCH("현대오일뱅크",$C861),0)&gt;0,IFERROR(SEARCH("직영",$C861),0)&gt;0),$B$13,0)</f>
        <v>0</v>
      </c>
      <c r="M861" s="17" t="n">
        <f aca="false">IF($H861="","",$H861+$L861)</f>
        <v>1975</v>
      </c>
      <c r="N861" s="17" t="str">
        <f aca="false">IF($I861="","",$I861+$L861)</f>
        <v/>
      </c>
      <c r="O861" s="17" t="n">
        <f aca="false">IF($K861="","",$K861+$L861)</f>
        <v>1995</v>
      </c>
      <c r="P861" s="17" t="str">
        <f aca="false">IF($B$10=0,"",IFERROR(IF($B$4&gt;0,"휘발유 "&amp;TEXT(IF($M861="",1/0,$M861*$B$4),"#,##0")&amp;"원","")&amp;IF($B$5&gt;0,IF($B$4&gt;0," / ","")&amp;"고급유 "&amp;TEXT(IF($N861="",1/0,$N861*$B$5),"#,##0")&amp;"원","")&amp;IF($B$6&gt;0,IF(OR($B$4&gt;0,$B$5&gt;0)," / ","")&amp;"경유 "&amp;TEXT(IF($O861="",1/0,$O861*$B$6),"#,##0")&amp;"원",""),""))</f>
        <v/>
      </c>
      <c r="Q861" s="17" t="str">
        <f aca="false">IF($B$10=0,"",IFERROR(IF($B$4&gt;0,IF($M861="",1/0,$M861*$B$4),0)+IF($B$5&gt;0,IF($N861="",1/0,$N861*$B$5),0)+IF($B$6&gt;0,IF($O861="",1/0,$O861*$B$6),0),""))</f>
        <v/>
      </c>
      <c r="R861" s="17"/>
      <c r="S861" s="18" t="str">
        <f aca="false">IF($Q861="","",IF($R861="Y",IFERROR(VLOOKUP($B861,$C$4:$D$13,2,FALSE()),0),0))</f>
        <v/>
      </c>
      <c r="T861" s="17" t="str">
        <f aca="false">IF($Q861="","",ROUNDDOWN($Q861*$S861,0))</f>
        <v/>
      </c>
      <c r="U861" s="17" t="str">
        <f aca="false">IF($Q861="","",$Q861-$T861)</f>
        <v/>
      </c>
      <c r="V861" s="17" t="str">
        <f aca="false">IF($U861="","",IF($B$10=0,"",$U861/$B$10))</f>
        <v/>
      </c>
      <c r="W861" s="17" t="str">
        <f aca="false">IF($Q861="","",IF($B$10=0,"",$Q861/$B$10))</f>
        <v/>
      </c>
      <c r="X861" s="19" t="n">
        <f aca="false">IF($U861="",1000000000000000,$U861)</f>
        <v>1000000000000000</v>
      </c>
    </row>
    <row r="862" s="6" customFormat="true" ht="28.6" hidden="false" customHeight="true" outlineLevel="0" collapsed="false">
      <c r="A862" s="16" t="str">
        <f aca="false">IF($U862="","",1+COUNTIF($X$15:$X$728,"&lt;"&amp;X862))</f>
        <v/>
      </c>
      <c r="B862" s="16" t="s">
        <v>12</v>
      </c>
      <c r="C862" s="16" t="s">
        <v>2555</v>
      </c>
      <c r="D862" s="20" t="s">
        <v>294</v>
      </c>
      <c r="E862" s="16" t="s">
        <v>59</v>
      </c>
      <c r="F862" s="16" t="s">
        <v>2556</v>
      </c>
      <c r="G862" s="16" t="s">
        <v>2557</v>
      </c>
      <c r="H862" s="17" t="n">
        <v>1978</v>
      </c>
      <c r="I862" s="17"/>
      <c r="J862" s="17"/>
      <c r="K862" s="17" t="n">
        <v>2070</v>
      </c>
      <c r="L862" s="17" t="n">
        <f aca="false">IF(AND(IFERROR(SEARCH("현대오일뱅크",$C862),0)&gt;0,IFERROR(SEARCH("직영",$C862),0)&gt;0),$B$13,0)</f>
        <v>0</v>
      </c>
      <c r="M862" s="17" t="n">
        <f aca="false">IF($H862="","",$H862+$L862)</f>
        <v>1978</v>
      </c>
      <c r="N862" s="17" t="str">
        <f aca="false">IF($I862="","",$I862+$L862)</f>
        <v/>
      </c>
      <c r="O862" s="17" t="n">
        <f aca="false">IF($K862="","",$K862+$L862)</f>
        <v>2070</v>
      </c>
      <c r="P862" s="17" t="str">
        <f aca="false">IF($B$10=0,"",IFERROR(IF($B$4&gt;0,"휘발유 "&amp;TEXT(IF($M862="",1/0,$M862*$B$4),"#,##0")&amp;"원","")&amp;IF($B$5&gt;0,IF($B$4&gt;0," / ","")&amp;"고급유 "&amp;TEXT(IF($N862="",1/0,$N862*$B$5),"#,##0")&amp;"원","")&amp;IF($B$6&gt;0,IF(OR($B$4&gt;0,$B$5&gt;0)," / ","")&amp;"경유 "&amp;TEXT(IF($O862="",1/0,$O862*$B$6),"#,##0")&amp;"원",""),""))</f>
        <v/>
      </c>
      <c r="Q862" s="17" t="str">
        <f aca="false">IF($B$10=0,"",IFERROR(IF($B$4&gt;0,IF($M862="",1/0,$M862*$B$4),0)+IF($B$5&gt;0,IF($N862="",1/0,$N862*$B$5),0)+IF($B$6&gt;0,IF($O862="",1/0,$O862*$B$6),0),""))</f>
        <v/>
      </c>
      <c r="R862" s="17"/>
      <c r="S862" s="18" t="str">
        <f aca="false">IF($Q862="","",IF($R862="Y",IFERROR(VLOOKUP($B862,$C$4:$D$13,2,FALSE()),0),0))</f>
        <v/>
      </c>
      <c r="T862" s="17" t="str">
        <f aca="false">IF($Q862="","",ROUNDDOWN($Q862*$S862,0))</f>
        <v/>
      </c>
      <c r="U862" s="17" t="str">
        <f aca="false">IF($Q862="","",$Q862-$T862)</f>
        <v/>
      </c>
      <c r="V862" s="17" t="str">
        <f aca="false">IF($U862="","",IF($B$10=0,"",$U862/$B$10))</f>
        <v/>
      </c>
      <c r="W862" s="17" t="str">
        <f aca="false">IF($Q862="","",IF($B$10=0,"",$Q862/$B$10))</f>
        <v/>
      </c>
      <c r="X862" s="19" t="n">
        <f aca="false">IF($U862="",1000000000000000,$U862)</f>
        <v>1000000000000000</v>
      </c>
    </row>
    <row r="863" s="6" customFormat="true" ht="28.6" hidden="false" customHeight="true" outlineLevel="0" collapsed="false">
      <c r="A863" s="16" t="str">
        <f aca="false">IF($U863="","",1+COUNTIF($X$15:$X$728,"&lt;"&amp;X863))</f>
        <v/>
      </c>
      <c r="B863" s="16" t="s">
        <v>12</v>
      </c>
      <c r="C863" s="16" t="s">
        <v>2558</v>
      </c>
      <c r="D863" s="20" t="s">
        <v>248</v>
      </c>
      <c r="E863" s="16" t="s">
        <v>59</v>
      </c>
      <c r="F863" s="16" t="s">
        <v>2559</v>
      </c>
      <c r="G863" s="16" t="s">
        <v>2560</v>
      </c>
      <c r="H863" s="17" t="n">
        <v>1978</v>
      </c>
      <c r="I863" s="17"/>
      <c r="J863" s="17"/>
      <c r="K863" s="17" t="n">
        <v>1998</v>
      </c>
      <c r="L863" s="17" t="n">
        <f aca="false">IF(AND(IFERROR(SEARCH("현대오일뱅크",$C863),0)&gt;0,IFERROR(SEARCH("직영",$C863),0)&gt;0),$B$13,0)</f>
        <v>0</v>
      </c>
      <c r="M863" s="17" t="n">
        <f aca="false">IF($H863="","",$H863+$L863)</f>
        <v>1978</v>
      </c>
      <c r="N863" s="17" t="str">
        <f aca="false">IF($I863="","",$I863+$L863)</f>
        <v/>
      </c>
      <c r="O863" s="17" t="n">
        <f aca="false">IF($K863="","",$K863+$L863)</f>
        <v>1998</v>
      </c>
      <c r="P863" s="17" t="str">
        <f aca="false">IF($B$10=0,"",IFERROR(IF($B$4&gt;0,"휘발유 "&amp;TEXT(IF($M863="",1/0,$M863*$B$4),"#,##0")&amp;"원","")&amp;IF($B$5&gt;0,IF($B$4&gt;0," / ","")&amp;"고급유 "&amp;TEXT(IF($N863="",1/0,$N863*$B$5),"#,##0")&amp;"원","")&amp;IF($B$6&gt;0,IF(OR($B$4&gt;0,$B$5&gt;0)," / ","")&amp;"경유 "&amp;TEXT(IF($O863="",1/0,$O863*$B$6),"#,##0")&amp;"원",""),""))</f>
        <v/>
      </c>
      <c r="Q863" s="17" t="str">
        <f aca="false">IF($B$10=0,"",IFERROR(IF($B$4&gt;0,IF($M863="",1/0,$M863*$B$4),0)+IF($B$5&gt;0,IF($N863="",1/0,$N863*$B$5),0)+IF($B$6&gt;0,IF($O863="",1/0,$O863*$B$6),0),""))</f>
        <v/>
      </c>
      <c r="R863" s="17"/>
      <c r="S863" s="18" t="str">
        <f aca="false">IF($Q863="","",IF($R863="Y",IFERROR(VLOOKUP($B863,$C$4:$D$13,2,FALSE()),0),0))</f>
        <v/>
      </c>
      <c r="T863" s="17" t="str">
        <f aca="false">IF($Q863="","",ROUNDDOWN($Q863*$S863,0))</f>
        <v/>
      </c>
      <c r="U863" s="17" t="str">
        <f aca="false">IF($Q863="","",$Q863-$T863)</f>
        <v/>
      </c>
      <c r="V863" s="17" t="str">
        <f aca="false">IF($U863="","",IF($B$10=0,"",$U863/$B$10))</f>
        <v/>
      </c>
      <c r="W863" s="17" t="str">
        <f aca="false">IF($Q863="","",IF($B$10=0,"",$Q863/$B$10))</f>
        <v/>
      </c>
      <c r="X863" s="19" t="n">
        <f aca="false">IF($U863="",1000000000000000,$U863)</f>
        <v>1000000000000000</v>
      </c>
    </row>
    <row r="864" s="6" customFormat="true" ht="28.6" hidden="false" customHeight="true" outlineLevel="0" collapsed="false">
      <c r="A864" s="16" t="str">
        <f aca="false">IF($U864="","",1+COUNTIF($X$15:$X$728,"&lt;"&amp;X864))</f>
        <v/>
      </c>
      <c r="B864" s="16" t="s">
        <v>14</v>
      </c>
      <c r="C864" s="16" t="s">
        <v>656</v>
      </c>
      <c r="D864" s="20" t="s">
        <v>108</v>
      </c>
      <c r="E864" s="16" t="s">
        <v>47</v>
      </c>
      <c r="F864" s="16" t="s">
        <v>2561</v>
      </c>
      <c r="G864" s="16" t="s">
        <v>2562</v>
      </c>
      <c r="H864" s="17" t="n">
        <v>1979</v>
      </c>
      <c r="I864" s="17"/>
      <c r="J864" s="17"/>
      <c r="K864" s="17" t="n">
        <v>1999</v>
      </c>
      <c r="L864" s="17" t="n">
        <f aca="false">IF(AND(IFERROR(SEARCH("현대오일뱅크",$C864),0)&gt;0,IFERROR(SEARCH("직영",$C864),0)&gt;0),$B$13,0)</f>
        <v>0</v>
      </c>
      <c r="M864" s="17" t="n">
        <f aca="false">IF($H864="","",$H864+$L864)</f>
        <v>1979</v>
      </c>
      <c r="N864" s="17" t="str">
        <f aca="false">IF($I864="","",$I864+$L864)</f>
        <v/>
      </c>
      <c r="O864" s="17" t="n">
        <f aca="false">IF($K864="","",$K864+$L864)</f>
        <v>1999</v>
      </c>
      <c r="P864" s="17" t="str">
        <f aca="false">IF($B$10=0,"",IFERROR(IF($B$4&gt;0,"휘발유 "&amp;TEXT(IF($M864="",1/0,$M864*$B$4),"#,##0")&amp;"원","")&amp;IF($B$5&gt;0,IF($B$4&gt;0," / ","")&amp;"고급유 "&amp;TEXT(IF($N864="",1/0,$N864*$B$5),"#,##0")&amp;"원","")&amp;IF($B$6&gt;0,IF(OR($B$4&gt;0,$B$5&gt;0)," / ","")&amp;"경유 "&amp;TEXT(IF($O864="",1/0,$O864*$B$6),"#,##0")&amp;"원",""),""))</f>
        <v/>
      </c>
      <c r="Q864" s="17" t="str">
        <f aca="false">IF($B$10=0,"",IFERROR(IF($B$4&gt;0,IF($M864="",1/0,$M864*$B$4),0)+IF($B$5&gt;0,IF($N864="",1/0,$N864*$B$5),0)+IF($B$6&gt;0,IF($O864="",1/0,$O864*$B$6),0),""))</f>
        <v/>
      </c>
      <c r="R864" s="17"/>
      <c r="S864" s="18" t="str">
        <f aca="false">IF($Q864="","",IF($R864="Y",IFERROR(VLOOKUP($B864,$C$4:$D$13,2,FALSE()),0),0))</f>
        <v/>
      </c>
      <c r="T864" s="17" t="str">
        <f aca="false">IF($Q864="","",ROUNDDOWN($Q864*$S864,0))</f>
        <v/>
      </c>
      <c r="U864" s="17" t="str">
        <f aca="false">IF($Q864="","",$Q864-$T864)</f>
        <v/>
      </c>
      <c r="V864" s="17" t="str">
        <f aca="false">IF($U864="","",IF($B$10=0,"",$U864/$B$10))</f>
        <v/>
      </c>
      <c r="W864" s="17" t="str">
        <f aca="false">IF($Q864="","",IF($B$10=0,"",$Q864/$B$10))</f>
        <v/>
      </c>
      <c r="X864" s="19" t="n">
        <f aca="false">IF($U864="",1000000000000000,$U864)</f>
        <v>1000000000000000</v>
      </c>
    </row>
    <row r="865" s="6" customFormat="true" ht="28.6" hidden="false" customHeight="true" outlineLevel="0" collapsed="false">
      <c r="A865" s="16" t="str">
        <f aca="false">IF($U865="","",1+COUNTIF($X$15:$X$728,"&lt;"&amp;X865))</f>
        <v/>
      </c>
      <c r="B865" s="16" t="s">
        <v>14</v>
      </c>
      <c r="C865" s="16" t="s">
        <v>2563</v>
      </c>
      <c r="D865" s="20" t="s">
        <v>108</v>
      </c>
      <c r="E865" s="16" t="s">
        <v>47</v>
      </c>
      <c r="F865" s="16" t="s">
        <v>2564</v>
      </c>
      <c r="G865" s="16" t="s">
        <v>2565</v>
      </c>
      <c r="H865" s="17" t="n">
        <v>1979</v>
      </c>
      <c r="I865" s="17"/>
      <c r="J865" s="17"/>
      <c r="K865" s="17" t="n">
        <v>1989</v>
      </c>
      <c r="L865" s="17" t="n">
        <f aca="false">IF(AND(IFERROR(SEARCH("현대오일뱅크",$C865),0)&gt;0,IFERROR(SEARCH("직영",$C865),0)&gt;0),$B$13,0)</f>
        <v>0</v>
      </c>
      <c r="M865" s="17" t="n">
        <f aca="false">IF($H865="","",$H865+$L865)</f>
        <v>1979</v>
      </c>
      <c r="N865" s="17" t="str">
        <f aca="false">IF($I865="","",$I865+$L865)</f>
        <v/>
      </c>
      <c r="O865" s="17" t="n">
        <f aca="false">IF($K865="","",$K865+$L865)</f>
        <v>1989</v>
      </c>
      <c r="P865" s="17" t="str">
        <f aca="false">IF($B$10=0,"",IFERROR(IF($B$4&gt;0,"휘발유 "&amp;TEXT(IF($M865="",1/0,$M865*$B$4),"#,##0")&amp;"원","")&amp;IF($B$5&gt;0,IF($B$4&gt;0," / ","")&amp;"고급유 "&amp;TEXT(IF($N865="",1/0,$N865*$B$5),"#,##0")&amp;"원","")&amp;IF($B$6&gt;0,IF(OR($B$4&gt;0,$B$5&gt;0)," / ","")&amp;"경유 "&amp;TEXT(IF($O865="",1/0,$O865*$B$6),"#,##0")&amp;"원",""),""))</f>
        <v/>
      </c>
      <c r="Q865" s="17" t="str">
        <f aca="false">IF($B$10=0,"",IFERROR(IF($B$4&gt;0,IF($M865="",1/0,$M865*$B$4),0)+IF($B$5&gt;0,IF($N865="",1/0,$N865*$B$5),0)+IF($B$6&gt;0,IF($O865="",1/0,$O865*$B$6),0),""))</f>
        <v/>
      </c>
      <c r="R865" s="17"/>
      <c r="S865" s="18" t="str">
        <f aca="false">IF($Q865="","",IF($R865="Y",IFERROR(VLOOKUP($B865,$C$4:$D$13,2,FALSE()),0),0))</f>
        <v/>
      </c>
      <c r="T865" s="17" t="str">
        <f aca="false">IF($Q865="","",ROUNDDOWN($Q865*$S865,0))</f>
        <v/>
      </c>
      <c r="U865" s="17" t="str">
        <f aca="false">IF($Q865="","",$Q865-$T865)</f>
        <v/>
      </c>
      <c r="V865" s="17" t="str">
        <f aca="false">IF($U865="","",IF($B$10=0,"",$U865/$B$10))</f>
        <v/>
      </c>
      <c r="W865" s="17" t="str">
        <f aca="false">IF($Q865="","",IF($B$10=0,"",$Q865/$B$10))</f>
        <v/>
      </c>
      <c r="X865" s="19" t="n">
        <f aca="false">IF($U865="",1000000000000000,$U865)</f>
        <v>1000000000000000</v>
      </c>
    </row>
    <row r="866" s="6" customFormat="true" ht="28.6" hidden="false" customHeight="true" outlineLevel="0" collapsed="false">
      <c r="A866" s="16" t="str">
        <f aca="false">IF($U866="","",1+COUNTIF($X$15:$X$728,"&lt;"&amp;X866))</f>
        <v/>
      </c>
      <c r="B866" s="16" t="s">
        <v>14</v>
      </c>
      <c r="C866" s="16" t="s">
        <v>2566</v>
      </c>
      <c r="D866" s="20" t="s">
        <v>108</v>
      </c>
      <c r="E866" s="16" t="s">
        <v>47</v>
      </c>
      <c r="F866" s="16" t="s">
        <v>2567</v>
      </c>
      <c r="G866" s="16" t="s">
        <v>2568</v>
      </c>
      <c r="H866" s="17" t="n">
        <v>1979</v>
      </c>
      <c r="I866" s="17"/>
      <c r="J866" s="17"/>
      <c r="K866" s="17" t="n">
        <v>2019</v>
      </c>
      <c r="L866" s="17" t="n">
        <f aca="false">IF(AND(IFERROR(SEARCH("현대오일뱅크",$C866),0)&gt;0,IFERROR(SEARCH("직영",$C866),0)&gt;0),$B$13,0)</f>
        <v>0</v>
      </c>
      <c r="M866" s="17" t="n">
        <f aca="false">IF($H866="","",$H866+$L866)</f>
        <v>1979</v>
      </c>
      <c r="N866" s="17" t="str">
        <f aca="false">IF($I866="","",$I866+$L866)</f>
        <v/>
      </c>
      <c r="O866" s="17" t="n">
        <f aca="false">IF($K866="","",$K866+$L866)</f>
        <v>2019</v>
      </c>
      <c r="P866" s="17" t="str">
        <f aca="false">IF($B$10=0,"",IFERROR(IF($B$4&gt;0,"휘발유 "&amp;TEXT(IF($M866="",1/0,$M866*$B$4),"#,##0")&amp;"원","")&amp;IF($B$5&gt;0,IF($B$4&gt;0," / ","")&amp;"고급유 "&amp;TEXT(IF($N866="",1/0,$N866*$B$5),"#,##0")&amp;"원","")&amp;IF($B$6&gt;0,IF(OR($B$4&gt;0,$B$5&gt;0)," / ","")&amp;"경유 "&amp;TEXT(IF($O866="",1/0,$O866*$B$6),"#,##0")&amp;"원",""),""))</f>
        <v/>
      </c>
      <c r="Q866" s="17" t="str">
        <f aca="false">IF($B$10=0,"",IFERROR(IF($B$4&gt;0,IF($M866="",1/0,$M866*$B$4),0)+IF($B$5&gt;0,IF($N866="",1/0,$N866*$B$5),0)+IF($B$6&gt;0,IF($O866="",1/0,$O866*$B$6),0),""))</f>
        <v/>
      </c>
      <c r="R866" s="17"/>
      <c r="S866" s="18" t="str">
        <f aca="false">IF($Q866="","",IF($R866="Y",IFERROR(VLOOKUP($B866,$C$4:$D$13,2,FALSE()),0),0))</f>
        <v/>
      </c>
      <c r="T866" s="17" t="str">
        <f aca="false">IF($Q866="","",ROUNDDOWN($Q866*$S866,0))</f>
        <v/>
      </c>
      <c r="U866" s="17" t="str">
        <f aca="false">IF($Q866="","",$Q866-$T866)</f>
        <v/>
      </c>
      <c r="V866" s="17" t="str">
        <f aca="false">IF($U866="","",IF($B$10=0,"",$U866/$B$10))</f>
        <v/>
      </c>
      <c r="W866" s="17" t="str">
        <f aca="false">IF($Q866="","",IF($B$10=0,"",$Q866/$B$10))</f>
        <v/>
      </c>
      <c r="X866" s="19" t="n">
        <f aca="false">IF($U866="",1000000000000000,$U866)</f>
        <v>1000000000000000</v>
      </c>
    </row>
    <row r="867" s="6" customFormat="true" ht="28.6" hidden="false" customHeight="true" outlineLevel="0" collapsed="false">
      <c r="A867" s="16" t="str">
        <f aca="false">IF($U867="","",1+COUNTIF($X$15:$X$728,"&lt;"&amp;X867))</f>
        <v/>
      </c>
      <c r="B867" s="16" t="s">
        <v>14</v>
      </c>
      <c r="C867" s="16" t="s">
        <v>2569</v>
      </c>
      <c r="D867" s="16" t="s">
        <v>112</v>
      </c>
      <c r="E867" s="16" t="s">
        <v>47</v>
      </c>
      <c r="F867" s="16" t="s">
        <v>2570</v>
      </c>
      <c r="G867" s="16" t="s">
        <v>2571</v>
      </c>
      <c r="H867" s="17" t="n">
        <v>1979</v>
      </c>
      <c r="I867" s="17"/>
      <c r="J867" s="17"/>
      <c r="K867" s="17" t="n">
        <v>2099</v>
      </c>
      <c r="L867" s="17" t="n">
        <f aca="false">IF(AND(IFERROR(SEARCH("현대오일뱅크",$C867),0)&gt;0,IFERROR(SEARCH("직영",$C867),0)&gt;0),$B$13,0)</f>
        <v>0</v>
      </c>
      <c r="M867" s="17" t="n">
        <f aca="false">IF($H867="","",$H867+$L867)</f>
        <v>1979</v>
      </c>
      <c r="N867" s="17" t="str">
        <f aca="false">IF($I867="","",$I867+$L867)</f>
        <v/>
      </c>
      <c r="O867" s="17" t="n">
        <f aca="false">IF($K867="","",$K867+$L867)</f>
        <v>2099</v>
      </c>
      <c r="P867" s="17" t="str">
        <f aca="false">IF($B$10=0,"",IFERROR(IF($B$4&gt;0,"휘발유 "&amp;TEXT(IF($M867="",1/0,$M867*$B$4),"#,##0")&amp;"원","")&amp;IF($B$5&gt;0,IF($B$4&gt;0," / ","")&amp;"고급유 "&amp;TEXT(IF($N867="",1/0,$N867*$B$5),"#,##0")&amp;"원","")&amp;IF($B$6&gt;0,IF(OR($B$4&gt;0,$B$5&gt;0)," / ","")&amp;"경유 "&amp;TEXT(IF($O867="",1/0,$O867*$B$6),"#,##0")&amp;"원",""),""))</f>
        <v/>
      </c>
      <c r="Q867" s="17" t="str">
        <f aca="false">IF($B$10=0,"",IFERROR(IF($B$4&gt;0,IF($M867="",1/0,$M867*$B$4),0)+IF($B$5&gt;0,IF($N867="",1/0,$N867*$B$5),0)+IF($B$6&gt;0,IF($O867="",1/0,$O867*$B$6),0),""))</f>
        <v/>
      </c>
      <c r="R867" s="17"/>
      <c r="S867" s="18" t="str">
        <f aca="false">IF($Q867="","",IF($R867="Y",IFERROR(VLOOKUP($B867,$C$4:$D$13,2,FALSE()),0),0))</f>
        <v/>
      </c>
      <c r="T867" s="17" t="str">
        <f aca="false">IF($Q867="","",ROUNDDOWN($Q867*$S867,0))</f>
        <v/>
      </c>
      <c r="U867" s="17" t="str">
        <f aca="false">IF($Q867="","",$Q867-$T867)</f>
        <v/>
      </c>
      <c r="V867" s="17" t="str">
        <f aca="false">IF($U867="","",IF($B$10=0,"",$U867/$B$10))</f>
        <v/>
      </c>
      <c r="W867" s="17" t="str">
        <f aca="false">IF($Q867="","",IF($B$10=0,"",$Q867/$B$10))</f>
        <v/>
      </c>
      <c r="X867" s="19" t="n">
        <f aca="false">IF($U867="",1000000000000000,$U867)</f>
        <v>1000000000000000</v>
      </c>
    </row>
    <row r="868" s="6" customFormat="true" ht="28.6" hidden="false" customHeight="true" outlineLevel="0" collapsed="false">
      <c r="A868" s="16" t="str">
        <f aca="false">IF($U868="","",1+COUNTIF($X$15:$X$728,"&lt;"&amp;X868))</f>
        <v/>
      </c>
      <c r="B868" s="16" t="s">
        <v>14</v>
      </c>
      <c r="C868" s="16" t="s">
        <v>2572</v>
      </c>
      <c r="D868" s="20" t="s">
        <v>108</v>
      </c>
      <c r="E868" s="16" t="s">
        <v>59</v>
      </c>
      <c r="F868" s="16" t="s">
        <v>2573</v>
      </c>
      <c r="G868" s="16" t="s">
        <v>2574</v>
      </c>
      <c r="H868" s="17" t="n">
        <v>1980</v>
      </c>
      <c r="I868" s="17"/>
      <c r="J868" s="17"/>
      <c r="K868" s="17" t="n">
        <v>1975</v>
      </c>
      <c r="L868" s="17" t="n">
        <f aca="false">IF(AND(IFERROR(SEARCH("현대오일뱅크",$C868),0)&gt;0,IFERROR(SEARCH("직영",$C868),0)&gt;0),$B$13,0)</f>
        <v>0</v>
      </c>
      <c r="M868" s="17" t="n">
        <f aca="false">IF($H868="","",$H868+$L868)</f>
        <v>1980</v>
      </c>
      <c r="N868" s="17" t="str">
        <f aca="false">IF($I868="","",$I868+$L868)</f>
        <v/>
      </c>
      <c r="O868" s="17" t="n">
        <f aca="false">IF($K868="","",$K868+$L868)</f>
        <v>1975</v>
      </c>
      <c r="P868" s="17" t="str">
        <f aca="false">IF($B$10=0,"",IFERROR(IF($B$4&gt;0,"휘발유 "&amp;TEXT(IF($M868="",1/0,$M868*$B$4),"#,##0")&amp;"원","")&amp;IF($B$5&gt;0,IF($B$4&gt;0," / ","")&amp;"고급유 "&amp;TEXT(IF($N868="",1/0,$N868*$B$5),"#,##0")&amp;"원","")&amp;IF($B$6&gt;0,IF(OR($B$4&gt;0,$B$5&gt;0)," / ","")&amp;"경유 "&amp;TEXT(IF($O868="",1/0,$O868*$B$6),"#,##0")&amp;"원",""),""))</f>
        <v/>
      </c>
      <c r="Q868" s="17" t="str">
        <f aca="false">IF($B$10=0,"",IFERROR(IF($B$4&gt;0,IF($M868="",1/0,$M868*$B$4),0)+IF($B$5&gt;0,IF($N868="",1/0,$N868*$B$5),0)+IF($B$6&gt;0,IF($O868="",1/0,$O868*$B$6),0),""))</f>
        <v/>
      </c>
      <c r="R868" s="17"/>
      <c r="S868" s="18" t="str">
        <f aca="false">IF($Q868="","",IF($R868="Y",IFERROR(VLOOKUP($B868,$C$4:$D$13,2,FALSE()),0),0))</f>
        <v/>
      </c>
      <c r="T868" s="17" t="str">
        <f aca="false">IF($Q868="","",ROUNDDOWN($Q868*$S868,0))</f>
        <v/>
      </c>
      <c r="U868" s="17" t="str">
        <f aca="false">IF($Q868="","",$Q868-$T868)</f>
        <v/>
      </c>
      <c r="V868" s="17" t="str">
        <f aca="false">IF($U868="","",IF($B$10=0,"",$U868/$B$10))</f>
        <v/>
      </c>
      <c r="W868" s="17" t="str">
        <f aca="false">IF($Q868="","",IF($B$10=0,"",$Q868/$B$10))</f>
        <v/>
      </c>
      <c r="X868" s="19" t="n">
        <f aca="false">IF($U868="",1000000000000000,$U868)</f>
        <v>1000000000000000</v>
      </c>
    </row>
    <row r="869" s="6" customFormat="true" ht="28.6" hidden="false" customHeight="true" outlineLevel="0" collapsed="false">
      <c r="A869" s="16" t="str">
        <f aca="false">IF($U869="","",1+COUNTIF($X$15:$X$728,"&lt;"&amp;X869))</f>
        <v/>
      </c>
      <c r="B869" s="16" t="s">
        <v>16</v>
      </c>
      <c r="C869" s="16" t="s">
        <v>2575</v>
      </c>
      <c r="D869" s="16" t="s">
        <v>708</v>
      </c>
      <c r="E869" s="16" t="s">
        <v>47</v>
      </c>
      <c r="F869" s="16" t="s">
        <v>2576</v>
      </c>
      <c r="G869" s="16" t="s">
        <v>2577</v>
      </c>
      <c r="H869" s="17" t="n">
        <v>1980</v>
      </c>
      <c r="I869" s="17"/>
      <c r="J869" s="17"/>
      <c r="K869" s="17" t="n">
        <v>1980</v>
      </c>
      <c r="L869" s="17" t="n">
        <f aca="false">IF(AND(IFERROR(SEARCH("현대오일뱅크",$C869),0)&gt;0,IFERROR(SEARCH("직영",$C869),0)&gt;0),$B$13,0)</f>
        <v>0</v>
      </c>
      <c r="M869" s="17" t="n">
        <f aca="false">IF($H869="","",$H869+$L869)</f>
        <v>1980</v>
      </c>
      <c r="N869" s="17" t="str">
        <f aca="false">IF($I869="","",$I869+$L869)</f>
        <v/>
      </c>
      <c r="O869" s="17" t="n">
        <f aca="false">IF($K869="","",$K869+$L869)</f>
        <v>1980</v>
      </c>
      <c r="P869" s="17" t="str">
        <f aca="false">IF($B$10=0,"",IFERROR(IF($B$4&gt;0,"휘발유 "&amp;TEXT(IF($M869="",1/0,$M869*$B$4),"#,##0")&amp;"원","")&amp;IF($B$5&gt;0,IF($B$4&gt;0," / ","")&amp;"고급유 "&amp;TEXT(IF($N869="",1/0,$N869*$B$5),"#,##0")&amp;"원","")&amp;IF($B$6&gt;0,IF(OR($B$4&gt;0,$B$5&gt;0)," / ","")&amp;"경유 "&amp;TEXT(IF($O869="",1/0,$O869*$B$6),"#,##0")&amp;"원",""),""))</f>
        <v/>
      </c>
      <c r="Q869" s="17" t="str">
        <f aca="false">IF($B$10=0,"",IFERROR(IF($B$4&gt;0,IF($M869="",1/0,$M869*$B$4),0)+IF($B$5&gt;0,IF($N869="",1/0,$N869*$B$5),0)+IF($B$6&gt;0,IF($O869="",1/0,$O869*$B$6),0),""))</f>
        <v/>
      </c>
      <c r="R869" s="17"/>
      <c r="S869" s="18" t="str">
        <f aca="false">IF($Q869="","",IF($R869="Y",IFERROR(VLOOKUP($B869,$C$4:$D$13,2,FALSE()),0),0))</f>
        <v/>
      </c>
      <c r="T869" s="17" t="str">
        <f aca="false">IF($Q869="","",ROUNDDOWN($Q869*$S869,0))</f>
        <v/>
      </c>
      <c r="U869" s="17" t="str">
        <f aca="false">IF($Q869="","",$Q869-$T869)</f>
        <v/>
      </c>
      <c r="V869" s="17" t="str">
        <f aca="false">IF($U869="","",IF($B$10=0,"",$U869/$B$10))</f>
        <v/>
      </c>
      <c r="W869" s="17" t="str">
        <f aca="false">IF($Q869="","",IF($B$10=0,"",$Q869/$B$10))</f>
        <v/>
      </c>
      <c r="X869" s="19" t="n">
        <f aca="false">IF($U869="",1000000000000000,$U869)</f>
        <v>1000000000000000</v>
      </c>
    </row>
    <row r="870" s="6" customFormat="true" ht="28.6" hidden="false" customHeight="true" outlineLevel="0" collapsed="false">
      <c r="A870" s="16" t="str">
        <f aca="false">IF($U870="","",1+COUNTIF($X$15:$X$728,"&lt;"&amp;X870))</f>
        <v/>
      </c>
      <c r="B870" s="16" t="s">
        <v>12</v>
      </c>
      <c r="C870" s="16" t="s">
        <v>2578</v>
      </c>
      <c r="D870" s="20" t="s">
        <v>248</v>
      </c>
      <c r="E870" s="16" t="s">
        <v>59</v>
      </c>
      <c r="F870" s="16" t="s">
        <v>2579</v>
      </c>
      <c r="G870" s="16" t="s">
        <v>2580</v>
      </c>
      <c r="H870" s="17" t="n">
        <v>1987</v>
      </c>
      <c r="I870" s="17"/>
      <c r="J870" s="17"/>
      <c r="K870" s="17" t="n">
        <v>1987</v>
      </c>
      <c r="L870" s="17" t="n">
        <f aca="false">IF(AND(IFERROR(SEARCH("현대오일뱅크",$C870),0)&gt;0,IFERROR(SEARCH("직영",$C870),0)&gt;0),$B$13,0)</f>
        <v>0</v>
      </c>
      <c r="M870" s="17" t="n">
        <f aca="false">IF($H870="","",$H870+$L870)</f>
        <v>1987</v>
      </c>
      <c r="N870" s="17" t="str">
        <f aca="false">IF($I870="","",$I870+$L870)</f>
        <v/>
      </c>
      <c r="O870" s="17" t="n">
        <f aca="false">IF($K870="","",$K870+$L870)</f>
        <v>1987</v>
      </c>
      <c r="P870" s="17" t="str">
        <f aca="false">IF($B$10=0,"",IFERROR(IF($B$4&gt;0,"휘발유 "&amp;TEXT(IF($M870="",1/0,$M870*$B$4),"#,##0")&amp;"원","")&amp;IF($B$5&gt;0,IF($B$4&gt;0," / ","")&amp;"고급유 "&amp;TEXT(IF($N870="",1/0,$N870*$B$5),"#,##0")&amp;"원","")&amp;IF($B$6&gt;0,IF(OR($B$4&gt;0,$B$5&gt;0)," / ","")&amp;"경유 "&amp;TEXT(IF($O870="",1/0,$O870*$B$6),"#,##0")&amp;"원",""),""))</f>
        <v/>
      </c>
      <c r="Q870" s="17" t="str">
        <f aca="false">IF($B$10=0,"",IFERROR(IF($B$4&gt;0,IF($M870="",1/0,$M870*$B$4),0)+IF($B$5&gt;0,IF($N870="",1/0,$N870*$B$5),0)+IF($B$6&gt;0,IF($O870="",1/0,$O870*$B$6),0),""))</f>
        <v/>
      </c>
      <c r="R870" s="17"/>
      <c r="S870" s="18" t="str">
        <f aca="false">IF($Q870="","",IF($R870="Y",IFERROR(VLOOKUP($B870,$C$4:$D$13,2,FALSE()),0),0))</f>
        <v/>
      </c>
      <c r="T870" s="17" t="str">
        <f aca="false">IF($Q870="","",ROUNDDOWN($Q870*$S870,0))</f>
        <v/>
      </c>
      <c r="U870" s="17" t="str">
        <f aca="false">IF($Q870="","",$Q870-$T870)</f>
        <v/>
      </c>
      <c r="V870" s="17" t="str">
        <f aca="false">IF($U870="","",IF($B$10=0,"",$U870/$B$10))</f>
        <v/>
      </c>
      <c r="W870" s="17" t="str">
        <f aca="false">IF($Q870="","",IF($B$10=0,"",$Q870/$B$10))</f>
        <v/>
      </c>
      <c r="X870" s="19" t="n">
        <f aca="false">IF($U870="",1000000000000000,$U870)</f>
        <v>1000000000000000</v>
      </c>
    </row>
    <row r="871" s="6" customFormat="true" ht="28.6" hidden="false" customHeight="true" outlineLevel="0" collapsed="false">
      <c r="A871" s="16" t="str">
        <f aca="false">IF($U871="","",1+COUNTIF($X$15:$X$728,"&lt;"&amp;X871))</f>
        <v/>
      </c>
      <c r="B871" s="16" t="s">
        <v>16</v>
      </c>
      <c r="C871" s="16" t="s">
        <v>2581</v>
      </c>
      <c r="D871" s="16" t="s">
        <v>112</v>
      </c>
      <c r="E871" s="16" t="s">
        <v>47</v>
      </c>
      <c r="F871" s="16" t="s">
        <v>2582</v>
      </c>
      <c r="G871" s="16" t="s">
        <v>2583</v>
      </c>
      <c r="H871" s="17" t="n">
        <v>1985</v>
      </c>
      <c r="I871" s="17"/>
      <c r="J871" s="17"/>
      <c r="K871" s="17" t="n">
        <v>1975</v>
      </c>
      <c r="L871" s="17" t="n">
        <f aca="false">IF(AND(IFERROR(SEARCH("현대오일뱅크",$C871),0)&gt;0,IFERROR(SEARCH("직영",$C871),0)&gt;0),$B$13,0)</f>
        <v>0</v>
      </c>
      <c r="M871" s="17" t="n">
        <f aca="false">IF($H871="","",$H871+$L871)</f>
        <v>1985</v>
      </c>
      <c r="N871" s="17" t="str">
        <f aca="false">IF($I871="","",$I871+$L871)</f>
        <v/>
      </c>
      <c r="O871" s="17" t="n">
        <f aca="false">IF($K871="","",$K871+$L871)</f>
        <v>1975</v>
      </c>
      <c r="P871" s="17" t="str">
        <f aca="false">IF($B$10=0,"",IFERROR(IF($B$4&gt;0,"휘발유 "&amp;TEXT(IF($M871="",1/0,$M871*$B$4),"#,##0")&amp;"원","")&amp;IF($B$5&gt;0,IF($B$4&gt;0," / ","")&amp;"고급유 "&amp;TEXT(IF($N871="",1/0,$N871*$B$5),"#,##0")&amp;"원","")&amp;IF($B$6&gt;0,IF(OR($B$4&gt;0,$B$5&gt;0)," / ","")&amp;"경유 "&amp;TEXT(IF($O871="",1/0,$O871*$B$6),"#,##0")&amp;"원",""),""))</f>
        <v/>
      </c>
      <c r="Q871" s="17" t="str">
        <f aca="false">IF($B$10=0,"",IFERROR(IF($B$4&gt;0,IF($M871="",1/0,$M871*$B$4),0)+IF($B$5&gt;0,IF($N871="",1/0,$N871*$B$5),0)+IF($B$6&gt;0,IF($O871="",1/0,$O871*$B$6),0),""))</f>
        <v/>
      </c>
      <c r="R871" s="17"/>
      <c r="S871" s="18" t="str">
        <f aca="false">IF($Q871="","",IF($R871="Y",IFERROR(VLOOKUP($B871,$C$4:$D$13,2,FALSE()),0),0))</f>
        <v/>
      </c>
      <c r="T871" s="17" t="str">
        <f aca="false">IF($Q871="","",ROUNDDOWN($Q871*$S871,0))</f>
        <v/>
      </c>
      <c r="U871" s="17" t="str">
        <f aca="false">IF($Q871="","",$Q871-$T871)</f>
        <v/>
      </c>
      <c r="V871" s="17" t="str">
        <f aca="false">IF($U871="","",IF($B$10=0,"",$U871/$B$10))</f>
        <v/>
      </c>
      <c r="W871" s="17" t="str">
        <f aca="false">IF($Q871="","",IF($B$10=0,"",$Q871/$B$10))</f>
        <v/>
      </c>
      <c r="X871" s="19" t="n">
        <f aca="false">IF($U871="",1000000000000000,$U871)</f>
        <v>1000000000000000</v>
      </c>
    </row>
    <row r="872" s="6" customFormat="true" ht="28.6" hidden="false" customHeight="true" outlineLevel="0" collapsed="false">
      <c r="A872" s="16" t="str">
        <f aca="false">IF($U872="","",1+COUNTIF($X$15:$X$728,"&lt;"&amp;X872))</f>
        <v/>
      </c>
      <c r="B872" s="16" t="s">
        <v>12</v>
      </c>
      <c r="C872" s="16" t="s">
        <v>2584</v>
      </c>
      <c r="D872" s="20" t="s">
        <v>112</v>
      </c>
      <c r="E872" s="16" t="s">
        <v>59</v>
      </c>
      <c r="F872" s="16" t="s">
        <v>2585</v>
      </c>
      <c r="G872" s="16" t="s">
        <v>2586</v>
      </c>
      <c r="H872" s="17" t="n">
        <v>1988</v>
      </c>
      <c r="I872" s="17"/>
      <c r="J872" s="17"/>
      <c r="K872" s="17" t="n">
        <v>2078</v>
      </c>
      <c r="L872" s="17" t="n">
        <f aca="false">IF(AND(IFERROR(SEARCH("현대오일뱅크",$C872),0)&gt;0,IFERROR(SEARCH("직영",$C872),0)&gt;0),$B$13,0)</f>
        <v>0</v>
      </c>
      <c r="M872" s="17" t="n">
        <f aca="false">IF($H872="","",$H872+$L872)</f>
        <v>1988</v>
      </c>
      <c r="N872" s="17" t="str">
        <f aca="false">IF($I872="","",$I872+$L872)</f>
        <v/>
      </c>
      <c r="O872" s="17" t="n">
        <f aca="false">IF($K872="","",$K872+$L872)</f>
        <v>2078</v>
      </c>
      <c r="P872" s="17" t="str">
        <f aca="false">IF($B$10=0,"",IFERROR(IF($B$4&gt;0,"휘발유 "&amp;TEXT(IF($M872="",1/0,$M872*$B$4),"#,##0")&amp;"원","")&amp;IF($B$5&gt;0,IF($B$4&gt;0," / ","")&amp;"고급유 "&amp;TEXT(IF($N872="",1/0,$N872*$B$5),"#,##0")&amp;"원","")&amp;IF($B$6&gt;0,IF(OR($B$4&gt;0,$B$5&gt;0)," / ","")&amp;"경유 "&amp;TEXT(IF($O872="",1/0,$O872*$B$6),"#,##0")&amp;"원",""),""))</f>
        <v/>
      </c>
      <c r="Q872" s="17" t="str">
        <f aca="false">IF($B$10=0,"",IFERROR(IF($B$4&gt;0,IF($M872="",1/0,$M872*$B$4),0)+IF($B$5&gt;0,IF($N872="",1/0,$N872*$B$5),0)+IF($B$6&gt;0,IF($O872="",1/0,$O872*$B$6),0),""))</f>
        <v/>
      </c>
      <c r="R872" s="17"/>
      <c r="S872" s="18" t="str">
        <f aca="false">IF($Q872="","",IF($R872="Y",IFERROR(VLOOKUP($B872,$C$4:$D$13,2,FALSE()),0),0))</f>
        <v/>
      </c>
      <c r="T872" s="17" t="str">
        <f aca="false">IF($Q872="","",ROUNDDOWN($Q872*$S872,0))</f>
        <v/>
      </c>
      <c r="U872" s="17" t="str">
        <f aca="false">IF($Q872="","",$Q872-$T872)</f>
        <v/>
      </c>
      <c r="V872" s="17" t="str">
        <f aca="false">IF($U872="","",IF($B$10=0,"",$U872/$B$10))</f>
        <v/>
      </c>
      <c r="W872" s="17" t="str">
        <f aca="false">IF($Q872="","",IF($B$10=0,"",$Q872/$B$10))</f>
        <v/>
      </c>
      <c r="X872" s="19" t="n">
        <f aca="false">IF($U872="",1000000000000000,$U872)</f>
        <v>1000000000000000</v>
      </c>
    </row>
    <row r="873" s="6" customFormat="true" ht="28.6" hidden="false" customHeight="true" outlineLevel="0" collapsed="false">
      <c r="A873" s="16" t="str">
        <f aca="false">IF($U873="","",1+COUNTIF($X$15:$X$728,"&lt;"&amp;X873))</f>
        <v/>
      </c>
      <c r="B873" s="16" t="s">
        <v>14</v>
      </c>
      <c r="C873" s="16" t="s">
        <v>2587</v>
      </c>
      <c r="D873" s="16" t="s">
        <v>51</v>
      </c>
      <c r="E873" s="16" t="s">
        <v>47</v>
      </c>
      <c r="F873" s="16" t="s">
        <v>2588</v>
      </c>
      <c r="G873" s="16" t="s">
        <v>2589</v>
      </c>
      <c r="H873" s="17" t="n">
        <v>1988</v>
      </c>
      <c r="I873" s="17"/>
      <c r="J873" s="17"/>
      <c r="K873" s="17" t="n">
        <v>2138</v>
      </c>
      <c r="L873" s="17" t="n">
        <f aca="false">IF(AND(IFERROR(SEARCH("현대오일뱅크",$C873),0)&gt;0,IFERROR(SEARCH("직영",$C873),0)&gt;0),$B$13,0)</f>
        <v>0</v>
      </c>
      <c r="M873" s="17" t="n">
        <f aca="false">IF($H873="","",$H873+$L873)</f>
        <v>1988</v>
      </c>
      <c r="N873" s="17" t="str">
        <f aca="false">IF($I873="","",$I873+$L873)</f>
        <v/>
      </c>
      <c r="O873" s="17" t="n">
        <f aca="false">IF($K873="","",$K873+$L873)</f>
        <v>2138</v>
      </c>
      <c r="P873" s="17" t="str">
        <f aca="false">IF($B$10=0,"",IFERROR(IF($B$4&gt;0,"휘발유 "&amp;TEXT(IF($M873="",1/0,$M873*$B$4),"#,##0")&amp;"원","")&amp;IF($B$5&gt;0,IF($B$4&gt;0," / ","")&amp;"고급유 "&amp;TEXT(IF($N873="",1/0,$N873*$B$5),"#,##0")&amp;"원","")&amp;IF($B$6&gt;0,IF(OR($B$4&gt;0,$B$5&gt;0)," / ","")&amp;"경유 "&amp;TEXT(IF($O873="",1/0,$O873*$B$6),"#,##0")&amp;"원",""),""))</f>
        <v/>
      </c>
      <c r="Q873" s="17" t="str">
        <f aca="false">IF($B$10=0,"",IFERROR(IF($B$4&gt;0,IF($M873="",1/0,$M873*$B$4),0)+IF($B$5&gt;0,IF($N873="",1/0,$N873*$B$5),0)+IF($B$6&gt;0,IF($O873="",1/0,$O873*$B$6),0),""))</f>
        <v/>
      </c>
      <c r="R873" s="17"/>
      <c r="S873" s="18" t="str">
        <f aca="false">IF($Q873="","",IF($R873="Y",IFERROR(VLOOKUP($B873,$C$4:$D$13,2,FALSE()),0),0))</f>
        <v/>
      </c>
      <c r="T873" s="17" t="str">
        <f aca="false">IF($Q873="","",ROUNDDOWN($Q873*$S873,0))</f>
        <v/>
      </c>
      <c r="U873" s="17" t="str">
        <f aca="false">IF($Q873="","",$Q873-$T873)</f>
        <v/>
      </c>
      <c r="V873" s="17" t="str">
        <f aca="false">IF($U873="","",IF($B$10=0,"",$U873/$B$10))</f>
        <v/>
      </c>
      <c r="W873" s="17" t="str">
        <f aca="false">IF($Q873="","",IF($B$10=0,"",$Q873/$B$10))</f>
        <v/>
      </c>
      <c r="X873" s="19" t="n">
        <f aca="false">IF($U873="",1000000000000000,$U873)</f>
        <v>1000000000000000</v>
      </c>
    </row>
    <row r="874" s="6" customFormat="true" ht="28.6" hidden="false" customHeight="true" outlineLevel="0" collapsed="false">
      <c r="A874" s="16" t="str">
        <f aca="false">IF($U874="","",1+COUNTIF($X$15:$X$728,"&lt;"&amp;X874))</f>
        <v/>
      </c>
      <c r="B874" s="16" t="s">
        <v>14</v>
      </c>
      <c r="C874" s="16" t="s">
        <v>2590</v>
      </c>
      <c r="D874" s="16" t="s">
        <v>58</v>
      </c>
      <c r="E874" s="16" t="s">
        <v>47</v>
      </c>
      <c r="F874" s="16" t="s">
        <v>2591</v>
      </c>
      <c r="G874" s="16" t="s">
        <v>2592</v>
      </c>
      <c r="H874" s="17" t="n">
        <v>1988</v>
      </c>
      <c r="I874" s="17"/>
      <c r="J874" s="17"/>
      <c r="K874" s="17" t="n">
        <v>1999</v>
      </c>
      <c r="L874" s="17" t="n">
        <f aca="false">IF(AND(IFERROR(SEARCH("현대오일뱅크",$C874),0)&gt;0,IFERROR(SEARCH("직영",$C874),0)&gt;0),$B$13,0)</f>
        <v>0</v>
      </c>
      <c r="M874" s="17" t="n">
        <f aca="false">IF($H874="","",$H874+$L874)</f>
        <v>1988</v>
      </c>
      <c r="N874" s="17" t="str">
        <f aca="false">IF($I874="","",$I874+$L874)</f>
        <v/>
      </c>
      <c r="O874" s="17" t="n">
        <f aca="false">IF($K874="","",$K874+$L874)</f>
        <v>1999</v>
      </c>
      <c r="P874" s="17" t="str">
        <f aca="false">IF($B$10=0,"",IFERROR(IF($B$4&gt;0,"휘발유 "&amp;TEXT(IF($M874="",1/0,$M874*$B$4),"#,##0")&amp;"원","")&amp;IF($B$5&gt;0,IF($B$4&gt;0," / ","")&amp;"고급유 "&amp;TEXT(IF($N874="",1/0,$N874*$B$5),"#,##0")&amp;"원","")&amp;IF($B$6&gt;0,IF(OR($B$4&gt;0,$B$5&gt;0)," / ","")&amp;"경유 "&amp;TEXT(IF($O874="",1/0,$O874*$B$6),"#,##0")&amp;"원",""),""))</f>
        <v/>
      </c>
      <c r="Q874" s="17" t="str">
        <f aca="false">IF($B$10=0,"",IFERROR(IF($B$4&gt;0,IF($M874="",1/0,$M874*$B$4),0)+IF($B$5&gt;0,IF($N874="",1/0,$N874*$B$5),0)+IF($B$6&gt;0,IF($O874="",1/0,$O874*$B$6),0),""))</f>
        <v/>
      </c>
      <c r="R874" s="17"/>
      <c r="S874" s="18" t="str">
        <f aca="false">IF($Q874="","",IF($R874="Y",IFERROR(VLOOKUP($B874,$C$4:$D$13,2,FALSE()),0),0))</f>
        <v/>
      </c>
      <c r="T874" s="17" t="str">
        <f aca="false">IF($Q874="","",ROUNDDOWN($Q874*$S874,0))</f>
        <v/>
      </c>
      <c r="U874" s="17" t="str">
        <f aca="false">IF($Q874="","",$Q874-$T874)</f>
        <v/>
      </c>
      <c r="V874" s="17" t="str">
        <f aca="false">IF($U874="","",IF($B$10=0,"",$U874/$B$10))</f>
        <v/>
      </c>
      <c r="W874" s="17" t="str">
        <f aca="false">IF($Q874="","",IF($B$10=0,"",$Q874/$B$10))</f>
        <v/>
      </c>
      <c r="X874" s="19" t="n">
        <f aca="false">IF($U874="",1000000000000000,$U874)</f>
        <v>1000000000000000</v>
      </c>
    </row>
    <row r="875" s="6" customFormat="true" ht="28.6" hidden="false" customHeight="true" outlineLevel="0" collapsed="false">
      <c r="A875" s="16" t="str">
        <f aca="false">IF($U875="","",1+COUNTIF($X$15:$X$728,"&lt;"&amp;X875))</f>
        <v/>
      </c>
      <c r="B875" s="16" t="s">
        <v>14</v>
      </c>
      <c r="C875" s="16" t="s">
        <v>1321</v>
      </c>
      <c r="D875" s="16" t="s">
        <v>58</v>
      </c>
      <c r="E875" s="16" t="s">
        <v>47</v>
      </c>
      <c r="F875" s="16" t="s">
        <v>2593</v>
      </c>
      <c r="G875" s="16" t="s">
        <v>2594</v>
      </c>
      <c r="H875" s="17" t="n">
        <v>1989</v>
      </c>
      <c r="I875" s="17"/>
      <c r="J875" s="17"/>
      <c r="K875" s="17" t="n">
        <v>2199</v>
      </c>
      <c r="L875" s="17" t="n">
        <f aca="false">IF(AND(IFERROR(SEARCH("현대오일뱅크",$C875),0)&gt;0,IFERROR(SEARCH("직영",$C875),0)&gt;0),$B$13,0)</f>
        <v>0</v>
      </c>
      <c r="M875" s="17" t="n">
        <f aca="false">IF($H875="","",$H875+$L875)</f>
        <v>1989</v>
      </c>
      <c r="N875" s="17" t="str">
        <f aca="false">IF($I875="","",$I875+$L875)</f>
        <v/>
      </c>
      <c r="O875" s="17" t="n">
        <f aca="false">IF($K875="","",$K875+$L875)</f>
        <v>2199</v>
      </c>
      <c r="P875" s="17" t="str">
        <f aca="false">IF($B$10=0,"",IFERROR(IF($B$4&gt;0,"휘발유 "&amp;TEXT(IF($M875="",1/0,$M875*$B$4),"#,##0")&amp;"원","")&amp;IF($B$5&gt;0,IF($B$4&gt;0," / ","")&amp;"고급유 "&amp;TEXT(IF($N875="",1/0,$N875*$B$5),"#,##0")&amp;"원","")&amp;IF($B$6&gt;0,IF(OR($B$4&gt;0,$B$5&gt;0)," / ","")&amp;"경유 "&amp;TEXT(IF($O875="",1/0,$O875*$B$6),"#,##0")&amp;"원",""),""))</f>
        <v/>
      </c>
      <c r="Q875" s="17" t="str">
        <f aca="false">IF($B$10=0,"",IFERROR(IF($B$4&gt;0,IF($M875="",1/0,$M875*$B$4),0)+IF($B$5&gt;0,IF($N875="",1/0,$N875*$B$5),0)+IF($B$6&gt;0,IF($O875="",1/0,$O875*$B$6),0),""))</f>
        <v/>
      </c>
      <c r="R875" s="17"/>
      <c r="S875" s="18" t="str">
        <f aca="false">IF($Q875="","",IF($R875="Y",IFERROR(VLOOKUP($B875,$C$4:$D$13,2,FALSE()),0),0))</f>
        <v/>
      </c>
      <c r="T875" s="17" t="str">
        <f aca="false">IF($Q875="","",ROUNDDOWN($Q875*$S875,0))</f>
        <v/>
      </c>
      <c r="U875" s="17" t="str">
        <f aca="false">IF($Q875="","",$Q875-$T875)</f>
        <v/>
      </c>
      <c r="V875" s="17" t="str">
        <f aca="false">IF($U875="","",IF($B$10=0,"",$U875/$B$10))</f>
        <v/>
      </c>
      <c r="W875" s="17" t="str">
        <f aca="false">IF($Q875="","",IF($B$10=0,"",$Q875/$B$10))</f>
        <v/>
      </c>
      <c r="X875" s="19" t="n">
        <f aca="false">IF($U875="",1000000000000000,$U875)</f>
        <v>1000000000000000</v>
      </c>
    </row>
    <row r="876" s="6" customFormat="true" ht="28.6" hidden="false" customHeight="true" outlineLevel="0" collapsed="false">
      <c r="A876" s="16" t="str">
        <f aca="false">IF($U876="","",1+COUNTIF($X$15:$X$728,"&lt;"&amp;X876))</f>
        <v/>
      </c>
      <c r="B876" s="16" t="s">
        <v>8</v>
      </c>
      <c r="C876" s="16" t="s">
        <v>2595</v>
      </c>
      <c r="D876" s="16" t="s">
        <v>51</v>
      </c>
      <c r="E876" s="16" t="s">
        <v>59</v>
      </c>
      <c r="F876" s="16" t="s">
        <v>2596</v>
      </c>
      <c r="G876" s="16" t="s">
        <v>2597</v>
      </c>
      <c r="H876" s="17" t="n">
        <v>1990</v>
      </c>
      <c r="I876" s="17"/>
      <c r="J876" s="17"/>
      <c r="K876" s="17" t="n">
        <v>1990</v>
      </c>
      <c r="L876" s="17" t="n">
        <f aca="false">IF(AND(IFERROR(SEARCH("현대오일뱅크",$C876),0)&gt;0,IFERROR(SEARCH("직영",$C876),0)&gt;0),$B$13,0)</f>
        <v>0</v>
      </c>
      <c r="M876" s="17" t="n">
        <f aca="false">IF($H876="","",$H876+$L876)</f>
        <v>1990</v>
      </c>
      <c r="N876" s="17" t="str">
        <f aca="false">IF($I876="","",$I876+$L876)</f>
        <v/>
      </c>
      <c r="O876" s="17" t="n">
        <f aca="false">IF($K876="","",$K876+$L876)</f>
        <v>1990</v>
      </c>
      <c r="P876" s="17" t="str">
        <f aca="false">IF($B$10=0,"",IFERROR(IF($B$4&gt;0,"휘발유 "&amp;TEXT(IF($M876="",1/0,$M876*$B$4),"#,##0")&amp;"원","")&amp;IF($B$5&gt;0,IF($B$4&gt;0," / ","")&amp;"고급유 "&amp;TEXT(IF($N876="",1/0,$N876*$B$5),"#,##0")&amp;"원","")&amp;IF($B$6&gt;0,IF(OR($B$4&gt;0,$B$5&gt;0)," / ","")&amp;"경유 "&amp;TEXT(IF($O876="",1/0,$O876*$B$6),"#,##0")&amp;"원",""),""))</f>
        <v/>
      </c>
      <c r="Q876" s="17" t="str">
        <f aca="false">IF($B$10=0,"",IFERROR(IF($B$4&gt;0,IF($M876="",1/0,$M876*$B$4),0)+IF($B$5&gt;0,IF($N876="",1/0,$N876*$B$5),0)+IF($B$6&gt;0,IF($O876="",1/0,$O876*$B$6),0),""))</f>
        <v/>
      </c>
      <c r="R876" s="17"/>
      <c r="S876" s="18" t="str">
        <f aca="false">IF($Q876="","",IF($R876="Y",IFERROR(VLOOKUP($B876,$C$4:$D$13,2,FALSE()),0),0))</f>
        <v/>
      </c>
      <c r="T876" s="17" t="str">
        <f aca="false">IF($Q876="","",ROUNDDOWN($Q876*$S876,0))</f>
        <v/>
      </c>
      <c r="U876" s="17" t="str">
        <f aca="false">IF($Q876="","",$Q876-$T876)</f>
        <v/>
      </c>
      <c r="V876" s="17" t="str">
        <f aca="false">IF($U876="","",IF($B$10=0,"",$U876/$B$10))</f>
        <v/>
      </c>
      <c r="W876" s="17" t="str">
        <f aca="false">IF($Q876="","",IF($B$10=0,"",$Q876/$B$10))</f>
        <v/>
      </c>
      <c r="X876" s="19" t="n">
        <f aca="false">IF($U876="",1000000000000000,$U876)</f>
        <v>1000000000000000</v>
      </c>
    </row>
    <row r="877" s="6" customFormat="true" ht="28.6" hidden="false" customHeight="true" outlineLevel="0" collapsed="false">
      <c r="A877" s="16" t="str">
        <f aca="false">IF($U877="","",1+COUNTIF($X$15:$X$728,"&lt;"&amp;X877))</f>
        <v/>
      </c>
      <c r="B877" s="16" t="s">
        <v>12</v>
      </c>
      <c r="C877" s="16" t="s">
        <v>2598</v>
      </c>
      <c r="D877" s="20" t="s">
        <v>112</v>
      </c>
      <c r="E877" s="16" t="s">
        <v>47</v>
      </c>
      <c r="F877" s="16" t="s">
        <v>2599</v>
      </c>
      <c r="G877" s="16" t="s">
        <v>2600</v>
      </c>
      <c r="H877" s="17" t="n">
        <v>1995</v>
      </c>
      <c r="I877" s="17"/>
      <c r="J877" s="17"/>
      <c r="K877" s="17" t="n">
        <v>2095</v>
      </c>
      <c r="L877" s="17" t="n">
        <f aca="false">IF(AND(IFERROR(SEARCH("현대오일뱅크",$C877),0)&gt;0,IFERROR(SEARCH("직영",$C877),0)&gt;0),$B$13,0)</f>
        <v>0</v>
      </c>
      <c r="M877" s="17" t="n">
        <f aca="false">IF($H877="","",$H877+$L877)</f>
        <v>1995</v>
      </c>
      <c r="N877" s="17" t="str">
        <f aca="false">IF($I877="","",$I877+$L877)</f>
        <v/>
      </c>
      <c r="O877" s="17" t="n">
        <f aca="false">IF($K877="","",$K877+$L877)</f>
        <v>2095</v>
      </c>
      <c r="P877" s="17" t="str">
        <f aca="false">IF($B$10=0,"",IFERROR(IF($B$4&gt;0,"휘발유 "&amp;TEXT(IF($M877="",1/0,$M877*$B$4),"#,##0")&amp;"원","")&amp;IF($B$5&gt;0,IF($B$4&gt;0," / ","")&amp;"고급유 "&amp;TEXT(IF($N877="",1/0,$N877*$B$5),"#,##0")&amp;"원","")&amp;IF($B$6&gt;0,IF(OR($B$4&gt;0,$B$5&gt;0)," / ","")&amp;"경유 "&amp;TEXT(IF($O877="",1/0,$O877*$B$6),"#,##0")&amp;"원",""),""))</f>
        <v/>
      </c>
      <c r="Q877" s="17" t="str">
        <f aca="false">IF($B$10=0,"",IFERROR(IF($B$4&gt;0,IF($M877="",1/0,$M877*$B$4),0)+IF($B$5&gt;0,IF($N877="",1/0,$N877*$B$5),0)+IF($B$6&gt;0,IF($O877="",1/0,$O877*$B$6),0),""))</f>
        <v/>
      </c>
      <c r="R877" s="17"/>
      <c r="S877" s="18" t="str">
        <f aca="false">IF($Q877="","",IF($R877="Y",IFERROR(VLOOKUP($B877,$C$4:$D$13,2,FALSE()),0),0))</f>
        <v/>
      </c>
      <c r="T877" s="17" t="str">
        <f aca="false">IF($Q877="","",ROUNDDOWN($Q877*$S877,0))</f>
        <v/>
      </c>
      <c r="U877" s="17" t="str">
        <f aca="false">IF($Q877="","",$Q877-$T877)</f>
        <v/>
      </c>
      <c r="V877" s="17" t="str">
        <f aca="false">IF($U877="","",IF($B$10=0,"",$U877/$B$10))</f>
        <v/>
      </c>
      <c r="W877" s="17" t="str">
        <f aca="false">IF($Q877="","",IF($B$10=0,"",$Q877/$B$10))</f>
        <v/>
      </c>
      <c r="X877" s="19" t="n">
        <f aca="false">IF($U877="",1000000000000000,$U877)</f>
        <v>1000000000000000</v>
      </c>
    </row>
    <row r="878" s="6" customFormat="true" ht="28.6" hidden="false" customHeight="true" outlineLevel="0" collapsed="false">
      <c r="A878" s="16" t="str">
        <f aca="false">IF($U878="","",1+COUNTIF($X$15:$X$728,"&lt;"&amp;X878))</f>
        <v/>
      </c>
      <c r="B878" s="16" t="s">
        <v>14</v>
      </c>
      <c r="C878" s="16" t="s">
        <v>2601</v>
      </c>
      <c r="D878" s="16" t="s">
        <v>58</v>
      </c>
      <c r="E878" s="16" t="s">
        <v>59</v>
      </c>
      <c r="F878" s="16" t="s">
        <v>2602</v>
      </c>
      <c r="G878" s="16" t="s">
        <v>2603</v>
      </c>
      <c r="H878" s="17" t="n">
        <v>1996</v>
      </c>
      <c r="I878" s="17"/>
      <c r="J878" s="17"/>
      <c r="K878" s="17" t="n">
        <v>1996</v>
      </c>
      <c r="L878" s="17" t="n">
        <f aca="false">IF(AND(IFERROR(SEARCH("현대오일뱅크",$C878),0)&gt;0,IFERROR(SEARCH("직영",$C878),0)&gt;0),$B$13,0)</f>
        <v>0</v>
      </c>
      <c r="M878" s="17" t="n">
        <f aca="false">IF($H878="","",$H878+$L878)</f>
        <v>1996</v>
      </c>
      <c r="N878" s="17" t="str">
        <f aca="false">IF($I878="","",$I878+$L878)</f>
        <v/>
      </c>
      <c r="O878" s="17" t="n">
        <f aca="false">IF($K878="","",$K878+$L878)</f>
        <v>1996</v>
      </c>
      <c r="P878" s="17" t="str">
        <f aca="false">IF($B$10=0,"",IFERROR(IF($B$4&gt;0,"휘발유 "&amp;TEXT(IF($M878="",1/0,$M878*$B$4),"#,##0")&amp;"원","")&amp;IF($B$5&gt;0,IF($B$4&gt;0," / ","")&amp;"고급유 "&amp;TEXT(IF($N878="",1/0,$N878*$B$5),"#,##0")&amp;"원","")&amp;IF($B$6&gt;0,IF(OR($B$4&gt;0,$B$5&gt;0)," / ","")&amp;"경유 "&amp;TEXT(IF($O878="",1/0,$O878*$B$6),"#,##0")&amp;"원",""),""))</f>
        <v/>
      </c>
      <c r="Q878" s="17" t="str">
        <f aca="false">IF($B$10=0,"",IFERROR(IF($B$4&gt;0,IF($M878="",1/0,$M878*$B$4),0)+IF($B$5&gt;0,IF($N878="",1/0,$N878*$B$5),0)+IF($B$6&gt;0,IF($O878="",1/0,$O878*$B$6),0),""))</f>
        <v/>
      </c>
      <c r="R878" s="17"/>
      <c r="S878" s="18" t="str">
        <f aca="false">IF($Q878="","",IF($R878="Y",IFERROR(VLOOKUP($B878,$C$4:$D$13,2,FALSE()),0),0))</f>
        <v/>
      </c>
      <c r="T878" s="17" t="str">
        <f aca="false">IF($Q878="","",ROUNDDOWN($Q878*$S878,0))</f>
        <v/>
      </c>
      <c r="U878" s="17" t="str">
        <f aca="false">IF($Q878="","",$Q878-$T878)</f>
        <v/>
      </c>
      <c r="V878" s="17" t="str">
        <f aca="false">IF($U878="","",IF($B$10=0,"",$U878/$B$10))</f>
        <v/>
      </c>
      <c r="W878" s="17" t="str">
        <f aca="false">IF($Q878="","",IF($B$10=0,"",$Q878/$B$10))</f>
        <v/>
      </c>
      <c r="X878" s="19" t="n">
        <f aca="false">IF($U878="",1000000000000000,$U878)</f>
        <v>1000000000000000</v>
      </c>
    </row>
    <row r="879" s="6" customFormat="true" ht="28.6" hidden="false" customHeight="true" outlineLevel="0" collapsed="false">
      <c r="A879" s="16" t="str">
        <f aca="false">IF($U879="","",1+COUNTIF($X$15:$X$728,"&lt;"&amp;X879))</f>
        <v/>
      </c>
      <c r="B879" s="16" t="s">
        <v>14</v>
      </c>
      <c r="C879" s="16" t="s">
        <v>2604</v>
      </c>
      <c r="D879" s="20" t="s">
        <v>108</v>
      </c>
      <c r="E879" s="16" t="s">
        <v>47</v>
      </c>
      <c r="F879" s="16" t="s">
        <v>2605</v>
      </c>
      <c r="G879" s="16" t="s">
        <v>2606</v>
      </c>
      <c r="H879" s="17" t="n">
        <v>1998</v>
      </c>
      <c r="I879" s="17"/>
      <c r="J879" s="17"/>
      <c r="K879" s="17" t="n">
        <v>2048</v>
      </c>
      <c r="L879" s="17" t="n">
        <f aca="false">IF(AND(IFERROR(SEARCH("현대오일뱅크",$C879),0)&gt;0,IFERROR(SEARCH("직영",$C879),0)&gt;0),$B$13,0)</f>
        <v>0</v>
      </c>
      <c r="M879" s="17" t="n">
        <f aca="false">IF($H879="","",$H879+$L879)</f>
        <v>1998</v>
      </c>
      <c r="N879" s="17" t="str">
        <f aca="false">IF($I879="","",$I879+$L879)</f>
        <v/>
      </c>
      <c r="O879" s="17" t="n">
        <f aca="false">IF($K879="","",$K879+$L879)</f>
        <v>2048</v>
      </c>
      <c r="P879" s="17" t="str">
        <f aca="false">IF($B$10=0,"",IFERROR(IF($B$4&gt;0,"휘발유 "&amp;TEXT(IF($M879="",1/0,$M879*$B$4),"#,##0")&amp;"원","")&amp;IF($B$5&gt;0,IF($B$4&gt;0," / ","")&amp;"고급유 "&amp;TEXT(IF($N879="",1/0,$N879*$B$5),"#,##0")&amp;"원","")&amp;IF($B$6&gt;0,IF(OR($B$4&gt;0,$B$5&gt;0)," / ","")&amp;"경유 "&amp;TEXT(IF($O879="",1/0,$O879*$B$6),"#,##0")&amp;"원",""),""))</f>
        <v/>
      </c>
      <c r="Q879" s="17" t="str">
        <f aca="false">IF($B$10=0,"",IFERROR(IF($B$4&gt;0,IF($M879="",1/0,$M879*$B$4),0)+IF($B$5&gt;0,IF($N879="",1/0,$N879*$B$5),0)+IF($B$6&gt;0,IF($O879="",1/0,$O879*$B$6),0),""))</f>
        <v/>
      </c>
      <c r="R879" s="17"/>
      <c r="S879" s="18" t="str">
        <f aca="false">IF($Q879="","",IF($R879="Y",IFERROR(VLOOKUP($B879,$C$4:$D$13,2,FALSE()),0),0))</f>
        <v/>
      </c>
      <c r="T879" s="17" t="str">
        <f aca="false">IF($Q879="","",ROUNDDOWN($Q879*$S879,0))</f>
        <v/>
      </c>
      <c r="U879" s="17" t="str">
        <f aca="false">IF($Q879="","",$Q879-$T879)</f>
        <v/>
      </c>
      <c r="V879" s="17" t="str">
        <f aca="false">IF($U879="","",IF($B$10=0,"",$U879/$B$10))</f>
        <v/>
      </c>
      <c r="W879" s="17" t="str">
        <f aca="false">IF($Q879="","",IF($B$10=0,"",$Q879/$B$10))</f>
        <v/>
      </c>
      <c r="X879" s="19" t="n">
        <f aca="false">IF($U879="",1000000000000000,$U879)</f>
        <v>1000000000000000</v>
      </c>
    </row>
    <row r="880" s="6" customFormat="true" ht="28.6" hidden="false" customHeight="true" outlineLevel="0" collapsed="false">
      <c r="A880" s="16" t="str">
        <f aca="false">IF($U880="","",1+COUNTIF($X$15:$X$728,"&lt;"&amp;X880))</f>
        <v/>
      </c>
      <c r="B880" s="16" t="s">
        <v>12</v>
      </c>
      <c r="C880" s="16" t="s">
        <v>2607</v>
      </c>
      <c r="D880" s="20" t="s">
        <v>112</v>
      </c>
      <c r="E880" s="16" t="s">
        <v>59</v>
      </c>
      <c r="F880" s="16" t="s">
        <v>2608</v>
      </c>
      <c r="G880" s="16" t="s">
        <v>2609</v>
      </c>
      <c r="H880" s="17" t="n">
        <v>1998</v>
      </c>
      <c r="I880" s="17"/>
      <c r="J880" s="17"/>
      <c r="K880" s="17" t="n">
        <v>2198</v>
      </c>
      <c r="L880" s="17" t="n">
        <f aca="false">IF(AND(IFERROR(SEARCH("현대오일뱅크",$C880),0)&gt;0,IFERROR(SEARCH("직영",$C880),0)&gt;0),$B$13,0)</f>
        <v>0</v>
      </c>
      <c r="M880" s="17" t="n">
        <f aca="false">IF($H880="","",$H880+$L880)</f>
        <v>1998</v>
      </c>
      <c r="N880" s="17" t="str">
        <f aca="false">IF($I880="","",$I880+$L880)</f>
        <v/>
      </c>
      <c r="O880" s="17" t="n">
        <f aca="false">IF($K880="","",$K880+$L880)</f>
        <v>2198</v>
      </c>
      <c r="P880" s="17" t="str">
        <f aca="false">IF($B$10=0,"",IFERROR(IF($B$4&gt;0,"휘발유 "&amp;TEXT(IF($M880="",1/0,$M880*$B$4),"#,##0")&amp;"원","")&amp;IF($B$5&gt;0,IF($B$4&gt;0," / ","")&amp;"고급유 "&amp;TEXT(IF($N880="",1/0,$N880*$B$5),"#,##0")&amp;"원","")&amp;IF($B$6&gt;0,IF(OR($B$4&gt;0,$B$5&gt;0)," / ","")&amp;"경유 "&amp;TEXT(IF($O880="",1/0,$O880*$B$6),"#,##0")&amp;"원",""),""))</f>
        <v/>
      </c>
      <c r="Q880" s="17" t="str">
        <f aca="false">IF($B$10=0,"",IFERROR(IF($B$4&gt;0,IF($M880="",1/0,$M880*$B$4),0)+IF($B$5&gt;0,IF($N880="",1/0,$N880*$B$5),0)+IF($B$6&gt;0,IF($O880="",1/0,$O880*$B$6),0),""))</f>
        <v/>
      </c>
      <c r="R880" s="17"/>
      <c r="S880" s="18" t="str">
        <f aca="false">IF($Q880="","",IF($R880="Y",IFERROR(VLOOKUP($B880,$C$4:$D$13,2,FALSE()),0),0))</f>
        <v/>
      </c>
      <c r="T880" s="17" t="str">
        <f aca="false">IF($Q880="","",ROUNDDOWN($Q880*$S880,0))</f>
        <v/>
      </c>
      <c r="U880" s="17" t="str">
        <f aca="false">IF($Q880="","",$Q880-$T880)</f>
        <v/>
      </c>
      <c r="V880" s="17" t="str">
        <f aca="false">IF($U880="","",IF($B$10=0,"",$U880/$B$10))</f>
        <v/>
      </c>
      <c r="W880" s="17" t="str">
        <f aca="false">IF($Q880="","",IF($B$10=0,"",$Q880/$B$10))</f>
        <v/>
      </c>
      <c r="X880" s="19" t="n">
        <f aca="false">IF($U880="",1000000000000000,$U880)</f>
        <v>1000000000000000</v>
      </c>
    </row>
    <row r="881" s="6" customFormat="true" ht="28.6" hidden="false" customHeight="true" outlineLevel="0" collapsed="false">
      <c r="A881" s="16" t="str">
        <f aca="false">IF($U881="","",1+COUNTIF($X$15:$X$728,"&lt;"&amp;X881))</f>
        <v/>
      </c>
      <c r="B881" s="16" t="s">
        <v>12</v>
      </c>
      <c r="C881" s="16" t="s">
        <v>2610</v>
      </c>
      <c r="D881" s="20" t="s">
        <v>108</v>
      </c>
      <c r="E881" s="16" t="s">
        <v>47</v>
      </c>
      <c r="F881" s="16" t="s">
        <v>2611</v>
      </c>
      <c r="G881" s="16" t="s">
        <v>2612</v>
      </c>
      <c r="H881" s="17" t="n">
        <v>1998</v>
      </c>
      <c r="I881" s="17"/>
      <c r="J881" s="17"/>
      <c r="K881" s="17" t="n">
        <v>2059</v>
      </c>
      <c r="L881" s="17" t="n">
        <f aca="false">IF(AND(IFERROR(SEARCH("현대오일뱅크",$C881),0)&gt;0,IFERROR(SEARCH("직영",$C881),0)&gt;0),$B$13,0)</f>
        <v>0</v>
      </c>
      <c r="M881" s="17" t="n">
        <f aca="false">IF($H881="","",$H881+$L881)</f>
        <v>1998</v>
      </c>
      <c r="N881" s="17" t="str">
        <f aca="false">IF($I881="","",$I881+$L881)</f>
        <v/>
      </c>
      <c r="O881" s="17" t="n">
        <f aca="false">IF($K881="","",$K881+$L881)</f>
        <v>2059</v>
      </c>
      <c r="P881" s="17" t="str">
        <f aca="false">IF($B$10=0,"",IFERROR(IF($B$4&gt;0,"휘발유 "&amp;TEXT(IF($M881="",1/0,$M881*$B$4),"#,##0")&amp;"원","")&amp;IF($B$5&gt;0,IF($B$4&gt;0," / ","")&amp;"고급유 "&amp;TEXT(IF($N881="",1/0,$N881*$B$5),"#,##0")&amp;"원","")&amp;IF($B$6&gt;0,IF(OR($B$4&gt;0,$B$5&gt;0)," / ","")&amp;"경유 "&amp;TEXT(IF($O881="",1/0,$O881*$B$6),"#,##0")&amp;"원",""),""))</f>
        <v/>
      </c>
      <c r="Q881" s="17" t="str">
        <f aca="false">IF($B$10=0,"",IFERROR(IF($B$4&gt;0,IF($M881="",1/0,$M881*$B$4),0)+IF($B$5&gt;0,IF($N881="",1/0,$N881*$B$5),0)+IF($B$6&gt;0,IF($O881="",1/0,$O881*$B$6),0),""))</f>
        <v/>
      </c>
      <c r="R881" s="17"/>
      <c r="S881" s="18" t="str">
        <f aca="false">IF($Q881="","",IF($R881="Y",IFERROR(VLOOKUP($B881,$C$4:$D$13,2,FALSE()),0),0))</f>
        <v/>
      </c>
      <c r="T881" s="17" t="str">
        <f aca="false">IF($Q881="","",ROUNDDOWN($Q881*$S881,0))</f>
        <v/>
      </c>
      <c r="U881" s="17" t="str">
        <f aca="false">IF($Q881="","",$Q881-$T881)</f>
        <v/>
      </c>
      <c r="V881" s="17" t="str">
        <f aca="false">IF($U881="","",IF($B$10=0,"",$U881/$B$10))</f>
        <v/>
      </c>
      <c r="W881" s="17" t="str">
        <f aca="false">IF($Q881="","",IF($B$10=0,"",$Q881/$B$10))</f>
        <v/>
      </c>
      <c r="X881" s="19" t="n">
        <f aca="false">IF($U881="",1000000000000000,$U881)</f>
        <v>1000000000000000</v>
      </c>
    </row>
    <row r="882" s="6" customFormat="true" ht="28.6" hidden="false" customHeight="true" outlineLevel="0" collapsed="false">
      <c r="A882" s="16" t="str">
        <f aca="false">IF($U882="","",1+COUNTIF($X$15:$X$728,"&lt;"&amp;X882))</f>
        <v/>
      </c>
      <c r="B882" s="16" t="s">
        <v>14</v>
      </c>
      <c r="C882" s="16" t="s">
        <v>2613</v>
      </c>
      <c r="D882" s="16" t="s">
        <v>51</v>
      </c>
      <c r="E882" s="16" t="s">
        <v>47</v>
      </c>
      <c r="F882" s="16" t="s">
        <v>2614</v>
      </c>
      <c r="G882" s="16" t="s">
        <v>2615</v>
      </c>
      <c r="H882" s="17" t="n">
        <v>1999</v>
      </c>
      <c r="I882" s="17"/>
      <c r="J882" s="17"/>
      <c r="K882" s="17" t="n">
        <v>1999</v>
      </c>
      <c r="L882" s="17" t="n">
        <f aca="false">IF(AND(IFERROR(SEARCH("현대오일뱅크",$C882),0)&gt;0,IFERROR(SEARCH("직영",$C882),0)&gt;0),$B$13,0)</f>
        <v>0</v>
      </c>
      <c r="M882" s="17" t="n">
        <f aca="false">IF($H882="","",$H882+$L882)</f>
        <v>1999</v>
      </c>
      <c r="N882" s="17" t="str">
        <f aca="false">IF($I882="","",$I882+$L882)</f>
        <v/>
      </c>
      <c r="O882" s="17" t="n">
        <f aca="false">IF($K882="","",$K882+$L882)</f>
        <v>1999</v>
      </c>
      <c r="P882" s="17" t="str">
        <f aca="false">IF($B$10=0,"",IFERROR(IF($B$4&gt;0,"휘발유 "&amp;TEXT(IF($M882="",1/0,$M882*$B$4),"#,##0")&amp;"원","")&amp;IF($B$5&gt;0,IF($B$4&gt;0," / ","")&amp;"고급유 "&amp;TEXT(IF($N882="",1/0,$N882*$B$5),"#,##0")&amp;"원","")&amp;IF($B$6&gt;0,IF(OR($B$4&gt;0,$B$5&gt;0)," / ","")&amp;"경유 "&amp;TEXT(IF($O882="",1/0,$O882*$B$6),"#,##0")&amp;"원",""),""))</f>
        <v/>
      </c>
      <c r="Q882" s="17" t="str">
        <f aca="false">IF($B$10=0,"",IFERROR(IF($B$4&gt;0,IF($M882="",1/0,$M882*$B$4),0)+IF($B$5&gt;0,IF($N882="",1/0,$N882*$B$5),0)+IF($B$6&gt;0,IF($O882="",1/0,$O882*$B$6),0),""))</f>
        <v/>
      </c>
      <c r="R882" s="17"/>
      <c r="S882" s="18" t="str">
        <f aca="false">IF($Q882="","",IF($R882="Y",IFERROR(VLOOKUP($B882,$C$4:$D$13,2,FALSE()),0),0))</f>
        <v/>
      </c>
      <c r="T882" s="17" t="str">
        <f aca="false">IF($Q882="","",ROUNDDOWN($Q882*$S882,0))</f>
        <v/>
      </c>
      <c r="U882" s="17" t="str">
        <f aca="false">IF($Q882="","",$Q882-$T882)</f>
        <v/>
      </c>
      <c r="V882" s="17" t="str">
        <f aca="false">IF($U882="","",IF($B$10=0,"",$U882/$B$10))</f>
        <v/>
      </c>
      <c r="W882" s="17" t="str">
        <f aca="false">IF($Q882="","",IF($B$10=0,"",$Q882/$B$10))</f>
        <v/>
      </c>
      <c r="X882" s="19" t="n">
        <f aca="false">IF($U882="",1000000000000000,$U882)</f>
        <v>1000000000000000</v>
      </c>
    </row>
    <row r="883" s="6" customFormat="true" ht="28.6" hidden="false" customHeight="true" outlineLevel="0" collapsed="false">
      <c r="A883" s="16" t="str">
        <f aca="false">IF($U883="","",1+COUNTIF($X$15:$X$728,"&lt;"&amp;X883))</f>
        <v/>
      </c>
      <c r="B883" s="16" t="s">
        <v>10</v>
      </c>
      <c r="C883" s="16" t="s">
        <v>2616</v>
      </c>
      <c r="D883" s="16" t="s">
        <v>51</v>
      </c>
      <c r="E883" s="16" t="s">
        <v>47</v>
      </c>
      <c r="F883" s="16" t="s">
        <v>2617</v>
      </c>
      <c r="G883" s="16" t="s">
        <v>2618</v>
      </c>
      <c r="H883" s="17" t="n">
        <v>1999</v>
      </c>
      <c r="I883" s="17"/>
      <c r="J883" s="17"/>
      <c r="K883" s="17" t="n">
        <v>1999</v>
      </c>
      <c r="L883" s="17" t="n">
        <f aca="false">IF(AND(IFERROR(SEARCH("현대오일뱅크",$C883),0)&gt;0,IFERROR(SEARCH("직영",$C883),0)&gt;0),$B$13,0)</f>
        <v>0</v>
      </c>
      <c r="M883" s="17" t="n">
        <f aca="false">IF($H883="","",$H883+$L883)</f>
        <v>1999</v>
      </c>
      <c r="N883" s="17" t="str">
        <f aca="false">IF($I883="","",$I883+$L883)</f>
        <v/>
      </c>
      <c r="O883" s="17" t="n">
        <f aca="false">IF($K883="","",$K883+$L883)</f>
        <v>1999</v>
      </c>
      <c r="P883" s="17" t="str">
        <f aca="false">IF($B$10=0,"",IFERROR(IF($B$4&gt;0,"휘발유 "&amp;TEXT(IF($M883="",1/0,$M883*$B$4),"#,##0")&amp;"원","")&amp;IF($B$5&gt;0,IF($B$4&gt;0," / ","")&amp;"고급유 "&amp;TEXT(IF($N883="",1/0,$N883*$B$5),"#,##0")&amp;"원","")&amp;IF($B$6&gt;0,IF(OR($B$4&gt;0,$B$5&gt;0)," / ","")&amp;"경유 "&amp;TEXT(IF($O883="",1/0,$O883*$B$6),"#,##0")&amp;"원",""),""))</f>
        <v/>
      </c>
      <c r="Q883" s="17" t="str">
        <f aca="false">IF($B$10=0,"",IFERROR(IF($B$4&gt;0,IF($M883="",1/0,$M883*$B$4),0)+IF($B$5&gt;0,IF($N883="",1/0,$N883*$B$5),0)+IF($B$6&gt;0,IF($O883="",1/0,$O883*$B$6),0),""))</f>
        <v/>
      </c>
      <c r="R883" s="17"/>
      <c r="S883" s="18" t="str">
        <f aca="false">IF($Q883="","",IF($R883="Y",IFERROR(VLOOKUP($B883,$C$4:$D$13,2,FALSE()),0),0))</f>
        <v/>
      </c>
      <c r="T883" s="17" t="str">
        <f aca="false">IF($Q883="","",ROUNDDOWN($Q883*$S883,0))</f>
        <v/>
      </c>
      <c r="U883" s="17" t="str">
        <f aca="false">IF($Q883="","",$Q883-$T883)</f>
        <v/>
      </c>
      <c r="V883" s="17" t="str">
        <f aca="false">IF($U883="","",IF($B$10=0,"",$U883/$B$10))</f>
        <v/>
      </c>
      <c r="W883" s="17" t="str">
        <f aca="false">IF($Q883="","",IF($B$10=0,"",$Q883/$B$10))</f>
        <v/>
      </c>
      <c r="X883" s="19" t="n">
        <f aca="false">IF($U883="",1000000000000000,$U883)</f>
        <v>1000000000000000</v>
      </c>
    </row>
    <row r="884" s="6" customFormat="true" ht="28.6" hidden="false" customHeight="true" outlineLevel="0" collapsed="false">
      <c r="A884" s="16" t="str">
        <f aca="false">IF($U884="","",1+COUNTIF($X$15:$X$728,"&lt;"&amp;X884))</f>
        <v/>
      </c>
      <c r="B884" s="16" t="s">
        <v>14</v>
      </c>
      <c r="C884" s="16" t="s">
        <v>803</v>
      </c>
      <c r="D884" s="16" t="s">
        <v>51</v>
      </c>
      <c r="E884" s="16" t="s">
        <v>59</v>
      </c>
      <c r="F884" s="16" t="s">
        <v>2619</v>
      </c>
      <c r="G884" s="16" t="s">
        <v>2620</v>
      </c>
      <c r="H884" s="17" t="n">
        <v>2045</v>
      </c>
      <c r="I884" s="17"/>
      <c r="J884" s="17"/>
      <c r="K884" s="17" t="n">
        <v>2095</v>
      </c>
      <c r="L884" s="17" t="n">
        <f aca="false">IF(AND(IFERROR(SEARCH("현대오일뱅크",$C884),0)&gt;0,IFERROR(SEARCH("직영",$C884),0)&gt;0),$B$13,0)</f>
        <v>0</v>
      </c>
      <c r="M884" s="17" t="n">
        <f aca="false">IF($H884="","",$H884+$L884)</f>
        <v>2045</v>
      </c>
      <c r="N884" s="17" t="str">
        <f aca="false">IF($I884="","",$I884+$L884)</f>
        <v/>
      </c>
      <c r="O884" s="17" t="n">
        <f aca="false">IF($K884="","",$K884+$L884)</f>
        <v>2095</v>
      </c>
      <c r="P884" s="17" t="str">
        <f aca="false">IF($B$10=0,"",IFERROR(IF($B$4&gt;0,"휘발유 "&amp;TEXT(IF($M884="",1/0,$M884*$B$4),"#,##0")&amp;"원","")&amp;IF($B$5&gt;0,IF($B$4&gt;0," / ","")&amp;"고급유 "&amp;TEXT(IF($N884="",1/0,$N884*$B$5),"#,##0")&amp;"원","")&amp;IF($B$6&gt;0,IF(OR($B$4&gt;0,$B$5&gt;0)," / ","")&amp;"경유 "&amp;TEXT(IF($O884="",1/0,$O884*$B$6),"#,##0")&amp;"원",""),""))</f>
        <v/>
      </c>
      <c r="Q884" s="17" t="str">
        <f aca="false">IF($B$10=0,"",IFERROR(IF($B$4&gt;0,IF($M884="",1/0,$M884*$B$4),0)+IF($B$5&gt;0,IF($N884="",1/0,$N884*$B$5),0)+IF($B$6&gt;0,IF($O884="",1/0,$O884*$B$6),0),""))</f>
        <v/>
      </c>
      <c r="R884" s="17"/>
      <c r="S884" s="18" t="str">
        <f aca="false">IF($Q884="","",IF($R884="Y",IFERROR(VLOOKUP($B884,$C$4:$D$13,2,FALSE()),0),0))</f>
        <v/>
      </c>
      <c r="T884" s="17" t="str">
        <f aca="false">IF($Q884="","",ROUNDDOWN($Q884*$S884,0))</f>
        <v/>
      </c>
      <c r="U884" s="17" t="str">
        <f aca="false">IF($Q884="","",$Q884-$T884)</f>
        <v/>
      </c>
      <c r="V884" s="17" t="str">
        <f aca="false">IF($U884="","",IF($B$10=0,"",$U884/$B$10))</f>
        <v/>
      </c>
      <c r="W884" s="17" t="str">
        <f aca="false">IF($Q884="","",IF($B$10=0,"",$Q884/$B$10))</f>
        <v/>
      </c>
      <c r="X884" s="19" t="n">
        <f aca="false">IF($U884="",1000000000000000,$U884)</f>
        <v>1000000000000000</v>
      </c>
    </row>
    <row r="885" s="6" customFormat="true" ht="28.6" hidden="false" customHeight="true" outlineLevel="0" collapsed="false">
      <c r="A885" s="16" t="str">
        <f aca="false">IF($U885="","",1+COUNTIF($X$15:$X$728,"&lt;"&amp;X885))</f>
        <v/>
      </c>
      <c r="B885" s="16" t="s">
        <v>12</v>
      </c>
      <c r="C885" s="16" t="s">
        <v>2621</v>
      </c>
      <c r="D885" s="20" t="s">
        <v>248</v>
      </c>
      <c r="E885" s="16" t="s">
        <v>59</v>
      </c>
      <c r="F885" s="16" t="s">
        <v>2622</v>
      </c>
      <c r="G885" s="16" t="s">
        <v>2623</v>
      </c>
      <c r="H885" s="17" t="n">
        <v>2048</v>
      </c>
      <c r="I885" s="17"/>
      <c r="J885" s="17"/>
      <c r="K885" s="17" t="n">
        <v>2148</v>
      </c>
      <c r="L885" s="17" t="n">
        <f aca="false">IF(AND(IFERROR(SEARCH("현대오일뱅크",$C885),0)&gt;0,IFERROR(SEARCH("직영",$C885),0)&gt;0),$B$13,0)</f>
        <v>0</v>
      </c>
      <c r="M885" s="17" t="n">
        <f aca="false">IF($H885="","",$H885+$L885)</f>
        <v>2048</v>
      </c>
      <c r="N885" s="17" t="str">
        <f aca="false">IF($I885="","",$I885+$L885)</f>
        <v/>
      </c>
      <c r="O885" s="17" t="n">
        <f aca="false">IF($K885="","",$K885+$L885)</f>
        <v>2148</v>
      </c>
      <c r="P885" s="17" t="str">
        <f aca="false">IF($B$10=0,"",IFERROR(IF($B$4&gt;0,"휘발유 "&amp;TEXT(IF($M885="",1/0,$M885*$B$4),"#,##0")&amp;"원","")&amp;IF($B$5&gt;0,IF($B$4&gt;0," / ","")&amp;"고급유 "&amp;TEXT(IF($N885="",1/0,$N885*$B$5),"#,##0")&amp;"원","")&amp;IF($B$6&gt;0,IF(OR($B$4&gt;0,$B$5&gt;0)," / ","")&amp;"경유 "&amp;TEXT(IF($O885="",1/0,$O885*$B$6),"#,##0")&amp;"원",""),""))</f>
        <v/>
      </c>
      <c r="Q885" s="17" t="str">
        <f aca="false">IF($B$10=0,"",IFERROR(IF($B$4&gt;0,IF($M885="",1/0,$M885*$B$4),0)+IF($B$5&gt;0,IF($N885="",1/0,$N885*$B$5),0)+IF($B$6&gt;0,IF($O885="",1/0,$O885*$B$6),0),""))</f>
        <v/>
      </c>
      <c r="R885" s="17"/>
      <c r="S885" s="18" t="str">
        <f aca="false">IF($Q885="","",IF($R885="Y",IFERROR(VLOOKUP($B885,$C$4:$D$13,2,FALSE()),0),0))</f>
        <v/>
      </c>
      <c r="T885" s="17" t="str">
        <f aca="false">IF($Q885="","",ROUNDDOWN($Q885*$S885,0))</f>
        <v/>
      </c>
      <c r="U885" s="17" t="str">
        <f aca="false">IF($Q885="","",$Q885-$T885)</f>
        <v/>
      </c>
      <c r="V885" s="17" t="str">
        <f aca="false">IF($U885="","",IF($B$10=0,"",$U885/$B$10))</f>
        <v/>
      </c>
      <c r="W885" s="17" t="str">
        <f aca="false">IF($Q885="","",IF($B$10=0,"",$Q885/$B$10))</f>
        <v/>
      </c>
      <c r="X885" s="19" t="n">
        <f aca="false">IF($U885="",1000000000000000,$U885)</f>
        <v>1000000000000000</v>
      </c>
    </row>
    <row r="886" s="6" customFormat="true" ht="28.6" hidden="false" customHeight="true" outlineLevel="0" collapsed="false">
      <c r="A886" s="16" t="str">
        <f aca="false">IF($U886="","",1+COUNTIF($X$15:$X$728,"&lt;"&amp;X886))</f>
        <v/>
      </c>
      <c r="B886" s="16" t="s">
        <v>10</v>
      </c>
      <c r="C886" s="16" t="s">
        <v>2624</v>
      </c>
      <c r="D886" s="20" t="s">
        <v>108</v>
      </c>
      <c r="E886" s="16" t="s">
        <v>59</v>
      </c>
      <c r="F886" s="16" t="s">
        <v>2625</v>
      </c>
      <c r="G886" s="16" t="s">
        <v>2626</v>
      </c>
      <c r="H886" s="17" t="n">
        <v>2055</v>
      </c>
      <c r="I886" s="17"/>
      <c r="J886" s="17"/>
      <c r="K886" s="17" t="n">
        <v>1966</v>
      </c>
      <c r="L886" s="17" t="n">
        <f aca="false">IF(AND(IFERROR(SEARCH("현대오일뱅크",$C886),0)&gt;0,IFERROR(SEARCH("직영",$C886),0)&gt;0),$B$13,0)</f>
        <v>0</v>
      </c>
      <c r="M886" s="17" t="n">
        <f aca="false">IF($H886="","",$H886+$L886)</f>
        <v>2055</v>
      </c>
      <c r="N886" s="17" t="str">
        <f aca="false">IF($I886="","",$I886+$L886)</f>
        <v/>
      </c>
      <c r="O886" s="17" t="n">
        <f aca="false">IF($K886="","",$K886+$L886)</f>
        <v>1966</v>
      </c>
      <c r="P886" s="17" t="str">
        <f aca="false">IF($B$10=0,"",IFERROR(IF($B$4&gt;0,"휘발유 "&amp;TEXT(IF($M886="",1/0,$M886*$B$4),"#,##0")&amp;"원","")&amp;IF($B$5&gt;0,IF($B$4&gt;0," / ","")&amp;"고급유 "&amp;TEXT(IF($N886="",1/0,$N886*$B$5),"#,##0")&amp;"원","")&amp;IF($B$6&gt;0,IF(OR($B$4&gt;0,$B$5&gt;0)," / ","")&amp;"경유 "&amp;TEXT(IF($O886="",1/0,$O886*$B$6),"#,##0")&amp;"원",""),""))</f>
        <v/>
      </c>
      <c r="Q886" s="17" t="str">
        <f aca="false">IF($B$10=0,"",IFERROR(IF($B$4&gt;0,IF($M886="",1/0,$M886*$B$4),0)+IF($B$5&gt;0,IF($N886="",1/0,$N886*$B$5),0)+IF($B$6&gt;0,IF($O886="",1/0,$O886*$B$6),0),""))</f>
        <v/>
      </c>
      <c r="R886" s="17"/>
      <c r="S886" s="18" t="str">
        <f aca="false">IF($Q886="","",IF($R886="Y",IFERROR(VLOOKUP($B886,$C$4:$D$13,2,FALSE()),0),0))</f>
        <v/>
      </c>
      <c r="T886" s="17" t="str">
        <f aca="false">IF($Q886="","",ROUNDDOWN($Q886*$S886,0))</f>
        <v/>
      </c>
      <c r="U886" s="17" t="str">
        <f aca="false">IF($Q886="","",$Q886-$T886)</f>
        <v/>
      </c>
      <c r="V886" s="17" t="str">
        <f aca="false">IF($U886="","",IF($B$10=0,"",$U886/$B$10))</f>
        <v/>
      </c>
      <c r="W886" s="17" t="str">
        <f aca="false">IF($Q886="","",IF($B$10=0,"",$Q886/$B$10))</f>
        <v/>
      </c>
      <c r="X886" s="19" t="n">
        <f aca="false">IF($U886="",1000000000000000,$U886)</f>
        <v>1000000000000000</v>
      </c>
    </row>
    <row r="887" s="6" customFormat="true" ht="28.6" hidden="false" customHeight="true" outlineLevel="0" collapsed="false">
      <c r="A887" s="16" t="str">
        <f aca="false">IF($U887="","",1+COUNTIF($X$15:$X$728,"&lt;"&amp;X887))</f>
        <v/>
      </c>
      <c r="B887" s="16" t="s">
        <v>6</v>
      </c>
      <c r="C887" s="16" t="s">
        <v>2627</v>
      </c>
      <c r="D887" s="20" t="s">
        <v>108</v>
      </c>
      <c r="E887" s="16" t="s">
        <v>47</v>
      </c>
      <c r="F887" s="16" t="s">
        <v>2628</v>
      </c>
      <c r="G887" s="16" t="s">
        <v>2629</v>
      </c>
      <c r="H887" s="17" t="n">
        <v>2299</v>
      </c>
      <c r="I887" s="17"/>
      <c r="J887" s="17"/>
      <c r="K887" s="17" t="n">
        <v>2199</v>
      </c>
      <c r="L887" s="17" t="n">
        <f aca="false">IF(AND(IFERROR(SEARCH("현대오일뱅크",$C887),0)&gt;0,IFERROR(SEARCH("직영",$C887),0)&gt;0),$B$13,0)</f>
        <v>0</v>
      </c>
      <c r="M887" s="17" t="n">
        <f aca="false">IF($H887="","",$H887+$L887)</f>
        <v>2299</v>
      </c>
      <c r="N887" s="17" t="str">
        <f aca="false">IF($I887="","",$I887+$L887)</f>
        <v/>
      </c>
      <c r="O887" s="17" t="n">
        <f aca="false">IF($K887="","",$K887+$L887)</f>
        <v>2199</v>
      </c>
      <c r="P887" s="17" t="str">
        <f aca="false">IF($B$10=0,"",IFERROR(IF($B$4&gt;0,"휘발유 "&amp;TEXT(IF($M887="",1/0,$M887*$B$4),"#,##0")&amp;"원","")&amp;IF($B$5&gt;0,IF($B$4&gt;0," / ","")&amp;"고급유 "&amp;TEXT(IF($N887="",1/0,$N887*$B$5),"#,##0")&amp;"원","")&amp;IF($B$6&gt;0,IF(OR($B$4&gt;0,$B$5&gt;0)," / ","")&amp;"경유 "&amp;TEXT(IF($O887="",1/0,$O887*$B$6),"#,##0")&amp;"원",""),""))</f>
        <v/>
      </c>
      <c r="Q887" s="17" t="str">
        <f aca="false">IF($B$10=0,"",IFERROR(IF($B$4&gt;0,IF($M887="",1/0,$M887*$B$4),0)+IF($B$5&gt;0,IF($N887="",1/0,$N887*$B$5),0)+IF($B$6&gt;0,IF($O887="",1/0,$O887*$B$6),0),""))</f>
        <v/>
      </c>
      <c r="R887" s="17" t="s">
        <v>47</v>
      </c>
      <c r="S887" s="18" t="str">
        <f aca="false">IF($Q887="","",IF($R887="Y",IFERROR(VLOOKUP($B887,$C$4:$D$13,2,FALSE()),0),0))</f>
        <v/>
      </c>
      <c r="T887" s="17" t="str">
        <f aca="false">IF($Q887="","",ROUNDDOWN($Q887*$S887,0))</f>
        <v/>
      </c>
      <c r="U887" s="17" t="str">
        <f aca="false">IF($Q887="","",$Q887-$T887)</f>
        <v/>
      </c>
      <c r="V887" s="17" t="str">
        <f aca="false">IF($U887="","",IF($B$10=0,"",$U887/$B$10))</f>
        <v/>
      </c>
      <c r="W887" s="17" t="str">
        <f aca="false">IF($Q887="","",IF($B$10=0,"",$Q887/$B$10))</f>
        <v/>
      </c>
      <c r="X887" s="19" t="n">
        <f aca="false">IF($U887="",1000000000000000,$U887)</f>
        <v>1000000000000000</v>
      </c>
    </row>
    <row r="888" s="6" customFormat="true" ht="28.6" hidden="false" customHeight="true" outlineLevel="0" collapsed="false">
      <c r="A888" s="16" t="str">
        <f aca="false">IF($U888="","",1+COUNTIF($X$15:$X$728,"&lt;"&amp;X888))</f>
        <v/>
      </c>
      <c r="B888" s="16" t="s">
        <v>12</v>
      </c>
      <c r="C888" s="16" t="s">
        <v>2630</v>
      </c>
      <c r="D888" s="20" t="s">
        <v>294</v>
      </c>
      <c r="E888" s="16" t="s">
        <v>59</v>
      </c>
      <c r="F888" s="16" t="s">
        <v>2631</v>
      </c>
      <c r="G888" s="16" t="s">
        <v>2632</v>
      </c>
      <c r="H888" s="17" t="n">
        <v>2060</v>
      </c>
      <c r="I888" s="17"/>
      <c r="J888" s="17"/>
      <c r="K888" s="17" t="n">
        <v>2075</v>
      </c>
      <c r="L888" s="17" t="n">
        <f aca="false">IF(AND(IFERROR(SEARCH("현대오일뱅크",$C888),0)&gt;0,IFERROR(SEARCH("직영",$C888),0)&gt;0),$B$13,0)</f>
        <v>0</v>
      </c>
      <c r="M888" s="17" t="n">
        <f aca="false">IF($H888="","",$H888+$L888)</f>
        <v>2060</v>
      </c>
      <c r="N888" s="17" t="str">
        <f aca="false">IF($I888="","",$I888+$L888)</f>
        <v/>
      </c>
      <c r="O888" s="17" t="n">
        <f aca="false">IF($K888="","",$K888+$L888)</f>
        <v>2075</v>
      </c>
      <c r="P888" s="17" t="str">
        <f aca="false">IF($B$10=0,"",IFERROR(IF($B$4&gt;0,"휘발유 "&amp;TEXT(IF($M888="",1/0,$M888*$B$4),"#,##0")&amp;"원","")&amp;IF($B$5&gt;0,IF($B$4&gt;0," / ","")&amp;"고급유 "&amp;TEXT(IF($N888="",1/0,$N888*$B$5),"#,##0")&amp;"원","")&amp;IF($B$6&gt;0,IF(OR($B$4&gt;0,$B$5&gt;0)," / ","")&amp;"경유 "&amp;TEXT(IF($O888="",1/0,$O888*$B$6),"#,##0")&amp;"원",""),""))</f>
        <v/>
      </c>
      <c r="Q888" s="17" t="str">
        <f aca="false">IF($B$10=0,"",IFERROR(IF($B$4&gt;0,IF($M888="",1/0,$M888*$B$4),0)+IF($B$5&gt;0,IF($N888="",1/0,$N888*$B$5),0)+IF($B$6&gt;0,IF($O888="",1/0,$O888*$B$6),0),""))</f>
        <v/>
      </c>
      <c r="R888" s="17"/>
      <c r="S888" s="18" t="str">
        <f aca="false">IF($Q888="","",IF($R888="Y",IFERROR(VLOOKUP($B888,$C$4:$D$13,2,FALSE()),0),0))</f>
        <v/>
      </c>
      <c r="T888" s="17" t="str">
        <f aca="false">IF($Q888="","",ROUNDDOWN($Q888*$S888,0))</f>
        <v/>
      </c>
      <c r="U888" s="17" t="str">
        <f aca="false">IF($Q888="","",$Q888-$T888)</f>
        <v/>
      </c>
      <c r="V888" s="17" t="str">
        <f aca="false">IF($U888="","",IF($B$10=0,"",$U888/$B$10))</f>
        <v/>
      </c>
      <c r="W888" s="17" t="str">
        <f aca="false">IF($Q888="","",IF($B$10=0,"",$Q888/$B$10))</f>
        <v/>
      </c>
      <c r="X888" s="19" t="n">
        <f aca="false">IF($U888="",1000000000000000,$U888)</f>
        <v>1000000000000000</v>
      </c>
    </row>
    <row r="889" s="6" customFormat="true" ht="28.6" hidden="false" customHeight="true" outlineLevel="0" collapsed="false">
      <c r="A889" s="16" t="str">
        <f aca="false">IF($U889="","",1+COUNTIF($X$15:$X$728,"&lt;"&amp;X889))</f>
        <v/>
      </c>
      <c r="B889" s="16" t="s">
        <v>12</v>
      </c>
      <c r="C889" s="16" t="s">
        <v>2633</v>
      </c>
      <c r="D889" s="20" t="s">
        <v>248</v>
      </c>
      <c r="E889" s="16" t="s">
        <v>59</v>
      </c>
      <c r="F889" s="16" t="s">
        <v>2634</v>
      </c>
      <c r="G889" s="16" t="s">
        <v>2635</v>
      </c>
      <c r="H889" s="17" t="n">
        <v>2078</v>
      </c>
      <c r="I889" s="17"/>
      <c r="J889" s="17"/>
      <c r="K889" s="17" t="n">
        <v>2095</v>
      </c>
      <c r="L889" s="17" t="n">
        <f aca="false">IF(AND(IFERROR(SEARCH("현대오일뱅크",$C889),0)&gt;0,IFERROR(SEARCH("직영",$C889),0)&gt;0),$B$13,0)</f>
        <v>0</v>
      </c>
      <c r="M889" s="17" t="n">
        <f aca="false">IF($H889="","",$H889+$L889)</f>
        <v>2078</v>
      </c>
      <c r="N889" s="17" t="str">
        <f aca="false">IF($I889="","",$I889+$L889)</f>
        <v/>
      </c>
      <c r="O889" s="17" t="n">
        <f aca="false">IF($K889="","",$K889+$L889)</f>
        <v>2095</v>
      </c>
      <c r="P889" s="17" t="str">
        <f aca="false">IF($B$10=0,"",IFERROR(IF($B$4&gt;0,"휘발유 "&amp;TEXT(IF($M889="",1/0,$M889*$B$4),"#,##0")&amp;"원","")&amp;IF($B$5&gt;0,IF($B$4&gt;0," / ","")&amp;"고급유 "&amp;TEXT(IF($N889="",1/0,$N889*$B$5),"#,##0")&amp;"원","")&amp;IF($B$6&gt;0,IF(OR($B$4&gt;0,$B$5&gt;0)," / ","")&amp;"경유 "&amp;TEXT(IF($O889="",1/0,$O889*$B$6),"#,##0")&amp;"원",""),""))</f>
        <v/>
      </c>
      <c r="Q889" s="17" t="str">
        <f aca="false">IF($B$10=0,"",IFERROR(IF($B$4&gt;0,IF($M889="",1/0,$M889*$B$4),0)+IF($B$5&gt;0,IF($N889="",1/0,$N889*$B$5),0)+IF($B$6&gt;0,IF($O889="",1/0,$O889*$B$6),0),""))</f>
        <v/>
      </c>
      <c r="R889" s="17"/>
      <c r="S889" s="18" t="str">
        <f aca="false">IF($Q889="","",IF($R889="Y",IFERROR(VLOOKUP($B889,$C$4:$D$13,2,FALSE()),0),0))</f>
        <v/>
      </c>
      <c r="T889" s="17" t="str">
        <f aca="false">IF($Q889="","",ROUNDDOWN($Q889*$S889,0))</f>
        <v/>
      </c>
      <c r="U889" s="17" t="str">
        <f aca="false">IF($Q889="","",$Q889-$T889)</f>
        <v/>
      </c>
      <c r="V889" s="17" t="str">
        <f aca="false">IF($U889="","",IF($B$10=0,"",$U889/$B$10))</f>
        <v/>
      </c>
      <c r="W889" s="17" t="str">
        <f aca="false">IF($Q889="","",IF($B$10=0,"",$Q889/$B$10))</f>
        <v/>
      </c>
      <c r="X889" s="19" t="n">
        <f aca="false">IF($U889="",1000000000000000,$U889)</f>
        <v>1000000000000000</v>
      </c>
    </row>
    <row r="890" s="6" customFormat="true" ht="28.6" hidden="false" customHeight="true" outlineLevel="0" collapsed="false">
      <c r="A890" s="16" t="str">
        <f aca="false">IF($U890="","",1+COUNTIF($X$15:$X$728,"&lt;"&amp;X890))</f>
        <v/>
      </c>
      <c r="B890" s="16" t="s">
        <v>10</v>
      </c>
      <c r="C890" s="16" t="s">
        <v>2636</v>
      </c>
      <c r="D890" s="16" t="s">
        <v>708</v>
      </c>
      <c r="E890" s="16" t="s">
        <v>59</v>
      </c>
      <c r="F890" s="16" t="s">
        <v>2637</v>
      </c>
      <c r="G890" s="16" t="s">
        <v>2638</v>
      </c>
      <c r="H890" s="17"/>
      <c r="I890" s="17"/>
      <c r="J890" s="17"/>
      <c r="K890" s="17" t="n">
        <v>1998</v>
      </c>
      <c r="L890" s="17" t="n">
        <f aca="false">IF(AND(IFERROR(SEARCH("현대오일뱅크",$C890),0)&gt;0,IFERROR(SEARCH("직영",$C890),0)&gt;0),$B$13,0)</f>
        <v>0</v>
      </c>
      <c r="M890" s="17" t="str">
        <f aca="false">IF($H890="","",$H890+$L890)</f>
        <v/>
      </c>
      <c r="N890" s="17" t="str">
        <f aca="false">IF($I890="","",$I890+$L890)</f>
        <v/>
      </c>
      <c r="O890" s="17" t="n">
        <f aca="false">IF($K890="","",$K890+$L890)</f>
        <v>1998</v>
      </c>
      <c r="P890" s="17" t="str">
        <f aca="false">IF($B$10=0,"",IFERROR(IF($B$4&gt;0,"휘발유 "&amp;TEXT(IF($M890="",1/0,$M890*$B$4),"#,##0")&amp;"원","")&amp;IF($B$5&gt;0,IF($B$4&gt;0," / ","")&amp;"고급유 "&amp;TEXT(IF($N890="",1/0,$N890*$B$5),"#,##0")&amp;"원","")&amp;IF($B$6&gt;0,IF(OR($B$4&gt;0,$B$5&gt;0)," / ","")&amp;"경유 "&amp;TEXT(IF($O890="",1/0,$O890*$B$6),"#,##0")&amp;"원",""),""))</f>
        <v/>
      </c>
      <c r="Q890" s="17" t="str">
        <f aca="false">IF($B$10=0,"",IFERROR(IF($B$4&gt;0,IF($M890="",1/0,$M890*$B$4),0)+IF($B$5&gt;0,IF($N890="",1/0,$N890*$B$5),0)+IF($B$6&gt;0,IF($O890="",1/0,$O890*$B$6),0),""))</f>
        <v/>
      </c>
      <c r="R890" s="17"/>
      <c r="S890" s="18" t="str">
        <f aca="false">IF($Q890="","",IF($R890="Y",IFERROR(VLOOKUP($B890,$C$4:$D$13,2,FALSE()),0),0))</f>
        <v/>
      </c>
      <c r="T890" s="17" t="str">
        <f aca="false">IF($Q890="","",ROUNDDOWN($Q890*$S890,0))</f>
        <v/>
      </c>
      <c r="U890" s="17" t="str">
        <f aca="false">IF($Q890="","",$Q890-$T890)</f>
        <v/>
      </c>
      <c r="V890" s="17" t="str">
        <f aca="false">IF($U890="","",IF($B$10=0,"",$U890/$B$10))</f>
        <v/>
      </c>
      <c r="W890" s="17" t="str">
        <f aca="false">IF($Q890="","",IF($B$10=0,"",$Q890/$B$10))</f>
        <v/>
      </c>
      <c r="X890" s="19" t="n">
        <f aca="false">IF($U890="",1000000000000000,$U890)</f>
        <v>1000000000000000</v>
      </c>
    </row>
    <row r="891" s="6" customFormat="true" ht="28.6" hidden="false" customHeight="true" outlineLevel="0" collapsed="false">
      <c r="A891" s="16" t="str">
        <f aca="false">IF($U891="","",1+COUNTIF($X$15:$X$728,"&lt;"&amp;X891))</f>
        <v/>
      </c>
      <c r="B891" s="16" t="s">
        <v>14</v>
      </c>
      <c r="C891" s="16" t="s">
        <v>2639</v>
      </c>
      <c r="D891" s="16" t="s">
        <v>112</v>
      </c>
      <c r="E891" s="16" t="s">
        <v>59</v>
      </c>
      <c r="F891" s="16" t="s">
        <v>2640</v>
      </c>
      <c r="G891" s="16" t="s">
        <v>2641</v>
      </c>
      <c r="H891" s="17"/>
      <c r="I891" s="17" t="n">
        <v>2119</v>
      </c>
      <c r="J891" s="17"/>
      <c r="K891" s="17" t="n">
        <v>2028</v>
      </c>
      <c r="L891" s="17" t="n">
        <f aca="false">IF(AND(IFERROR(SEARCH("현대오일뱅크",$C891),0)&gt;0,IFERROR(SEARCH("직영",$C891),0)&gt;0),$B$13,0)</f>
        <v>0</v>
      </c>
      <c r="M891" s="17" t="str">
        <f aca="false">IF($H891="","",$H891+$L891)</f>
        <v/>
      </c>
      <c r="N891" s="17" t="n">
        <f aca="false">IF($I891="","",$I891+$L891)</f>
        <v>2119</v>
      </c>
      <c r="O891" s="17" t="n">
        <f aca="false">IF($K891="","",$K891+$L891)</f>
        <v>2028</v>
      </c>
      <c r="P891" s="17" t="str">
        <f aca="false">IF($B$10=0,"",IFERROR(IF($B$4&gt;0,"휘발유 "&amp;TEXT(IF($M891="",1/0,$M891*$B$4),"#,##0")&amp;"원","")&amp;IF($B$5&gt;0,IF($B$4&gt;0," / ","")&amp;"고급유 "&amp;TEXT(IF($N891="",1/0,$N891*$B$5),"#,##0")&amp;"원","")&amp;IF($B$6&gt;0,IF(OR($B$4&gt;0,$B$5&gt;0)," / ","")&amp;"경유 "&amp;TEXT(IF($O891="",1/0,$O891*$B$6),"#,##0")&amp;"원",""),""))</f>
        <v/>
      </c>
      <c r="Q891" s="17" t="str">
        <f aca="false">IF($B$10=0,"",IFERROR(IF($B$4&gt;0,IF($M891="",1/0,$M891*$B$4),0)+IF($B$5&gt;0,IF($N891="",1/0,$N891*$B$5),0)+IF($B$6&gt;0,IF($O891="",1/0,$O891*$B$6),0),""))</f>
        <v/>
      </c>
      <c r="R891" s="17" t="s">
        <v>47</v>
      </c>
      <c r="S891" s="18" t="str">
        <f aca="false">IF($Q891="","",IF($R891="Y",IFERROR(VLOOKUP($B891,$C$4:$D$13,2,FALSE()),0),0))</f>
        <v/>
      </c>
      <c r="T891" s="17" t="str">
        <f aca="false">IF($Q891="","",ROUNDDOWN($Q891*$S891,0))</f>
        <v/>
      </c>
      <c r="U891" s="17" t="str">
        <f aca="false">IF($Q891="","",$Q891-$T891)</f>
        <v/>
      </c>
      <c r="V891" s="17" t="str">
        <f aca="false">IF($U891="","",IF($B$10=0,"",$U891/$B$10))</f>
        <v/>
      </c>
      <c r="W891" s="17" t="str">
        <f aca="false">IF($Q891="","",IF($B$10=0,"",$Q891/$B$10))</f>
        <v/>
      </c>
      <c r="X891" s="19" t="n">
        <f aca="false">IF($U891="",1000000000000000,$U891)</f>
        <v>1000000000000000</v>
      </c>
    </row>
    <row r="892" s="6" customFormat="true" ht="28.6" hidden="false" customHeight="true" outlineLevel="0" collapsed="false">
      <c r="A892" s="16" t="str">
        <f aca="false">IF($U892="","",1+COUNTIF($X$15:$X$728,"&lt;"&amp;X892))</f>
        <v/>
      </c>
      <c r="B892" s="16" t="s">
        <v>10</v>
      </c>
      <c r="C892" s="16" t="s">
        <v>761</v>
      </c>
      <c r="D892" s="16" t="s">
        <v>51</v>
      </c>
      <c r="E892" s="16" t="s">
        <v>47</v>
      </c>
      <c r="F892" s="16" t="s">
        <v>2642</v>
      </c>
      <c r="G892" s="16" t="s">
        <v>2643</v>
      </c>
      <c r="H892" s="17"/>
      <c r="I892" s="17"/>
      <c r="J892" s="17"/>
      <c r="K892" s="17" t="n">
        <v>1899</v>
      </c>
      <c r="L892" s="17" t="n">
        <f aca="false">IF(AND(IFERROR(SEARCH("현대오일뱅크",$C892),0)&gt;0,IFERROR(SEARCH("직영",$C892),0)&gt;0),$B$13,0)</f>
        <v>0</v>
      </c>
      <c r="M892" s="17" t="str">
        <f aca="false">IF($H892="","",$H892+$L892)</f>
        <v/>
      </c>
      <c r="N892" s="17" t="str">
        <f aca="false">IF($I892="","",$I892+$L892)</f>
        <v/>
      </c>
      <c r="O892" s="17" t="n">
        <f aca="false">IF($K892="","",$K892+$L892)</f>
        <v>1899</v>
      </c>
      <c r="P892" s="17" t="str">
        <f aca="false">IF($B$10=0,"",IFERROR(IF($B$4&gt;0,"휘발유 "&amp;TEXT(IF($M892="",1/0,$M892*$B$4),"#,##0")&amp;"원","")&amp;IF($B$5&gt;0,IF($B$4&gt;0," / ","")&amp;"고급유 "&amp;TEXT(IF($N892="",1/0,$N892*$B$5),"#,##0")&amp;"원","")&amp;IF($B$6&gt;0,IF(OR($B$4&gt;0,$B$5&gt;0)," / ","")&amp;"경유 "&amp;TEXT(IF($O892="",1/0,$O892*$B$6),"#,##0")&amp;"원",""),""))</f>
        <v/>
      </c>
      <c r="Q892" s="17" t="str">
        <f aca="false">IF($B$10=0,"",IFERROR(IF($B$4&gt;0,IF($M892="",1/0,$M892*$B$4),0)+IF($B$5&gt;0,IF($N892="",1/0,$N892*$B$5),0)+IF($B$6&gt;0,IF($O892="",1/0,$O892*$B$6),0),""))</f>
        <v/>
      </c>
      <c r="R892" s="17" t="s">
        <v>47</v>
      </c>
      <c r="S892" s="18" t="str">
        <f aca="false">IF($Q892="","",IF($R892="Y",IFERROR(VLOOKUP($B892,$C$4:$D$13,2,FALSE()),0),0))</f>
        <v/>
      </c>
      <c r="T892" s="17" t="str">
        <f aca="false">IF($Q892="","",ROUNDDOWN($Q892*$S892,0))</f>
        <v/>
      </c>
      <c r="U892" s="17" t="str">
        <f aca="false">IF($Q892="","",$Q892-$T892)</f>
        <v/>
      </c>
      <c r="V892" s="17" t="str">
        <f aca="false">IF($U892="","",IF($B$10=0,"",$U892/$B$10))</f>
        <v/>
      </c>
      <c r="W892" s="17" t="str">
        <f aca="false">IF($Q892="","",IF($B$10=0,"",$Q892/$B$10))</f>
        <v/>
      </c>
      <c r="X892" s="19" t="n">
        <f aca="false">IF($U892="",1000000000000000,$U892)</f>
        <v>1000000000000000</v>
      </c>
    </row>
    <row r="893" s="6" customFormat="true" ht="28.6" hidden="false" customHeight="true" outlineLevel="0" collapsed="false">
      <c r="A893" s="16" t="str">
        <f aca="false">IF($U893="","",1+COUNTIF($X$15:$X$728,"&lt;"&amp;X893))</f>
        <v/>
      </c>
      <c r="B893" s="16" t="s">
        <v>14</v>
      </c>
      <c r="C893" s="16" t="s">
        <v>2644</v>
      </c>
      <c r="D893" s="16" t="s">
        <v>58</v>
      </c>
      <c r="E893" s="16" t="s">
        <v>59</v>
      </c>
      <c r="F893" s="16" t="s">
        <v>2645</v>
      </c>
      <c r="G893" s="16" t="s">
        <v>2646</v>
      </c>
      <c r="H893" s="17"/>
      <c r="I893" s="17"/>
      <c r="J893" s="17"/>
      <c r="K893" s="17"/>
      <c r="L893" s="17" t="n">
        <f aca="false">IF(AND(IFERROR(SEARCH("현대오일뱅크",$C893),0)&gt;0,IFERROR(SEARCH("직영",$C893),0)&gt;0),$B$13,0)</f>
        <v>0</v>
      </c>
      <c r="M893" s="17" t="str">
        <f aca="false">IF($H893="","",$H893+$L893)</f>
        <v/>
      </c>
      <c r="N893" s="17" t="str">
        <f aca="false">IF($I893="","",$I893+$L893)</f>
        <v/>
      </c>
      <c r="O893" s="17" t="str">
        <f aca="false">IF($K893="","",$K893+$L893)</f>
        <v/>
      </c>
      <c r="P893" s="17" t="str">
        <f aca="false">IF($B$10=0,"",IFERROR(IF($B$4&gt;0,"휘발유 "&amp;TEXT(IF($M893="",1/0,$M893*$B$4),"#,##0")&amp;"원","")&amp;IF($B$5&gt;0,IF($B$4&gt;0," / ","")&amp;"고급유 "&amp;TEXT(IF($N893="",1/0,$N893*$B$5),"#,##0")&amp;"원","")&amp;IF($B$6&gt;0,IF(OR($B$4&gt;0,$B$5&gt;0)," / ","")&amp;"경유 "&amp;TEXT(IF($O893="",1/0,$O893*$B$6),"#,##0")&amp;"원",""),""))</f>
        <v/>
      </c>
      <c r="Q893" s="17" t="str">
        <f aca="false">IF($B$10=0,"",IFERROR(IF($B$4&gt;0,IF($M893="",1/0,$M893*$B$4),0)+IF($B$5&gt;0,IF($N893="",1/0,$N893*$B$5),0)+IF($B$6&gt;0,IF($O893="",1/0,$O893*$B$6),0),""))</f>
        <v/>
      </c>
      <c r="R893" s="17"/>
      <c r="S893" s="18" t="str">
        <f aca="false">IF($Q893="","",IF($R893="Y",IFERROR(VLOOKUP($B893,$C$4:$D$13,2,FALSE()),0),0))</f>
        <v/>
      </c>
      <c r="T893" s="17" t="str">
        <f aca="false">IF($Q893="","",ROUNDDOWN($Q893*$S893,0))</f>
        <v/>
      </c>
      <c r="U893" s="17" t="str">
        <f aca="false">IF($Q893="","",$Q893-$T893)</f>
        <v/>
      </c>
      <c r="V893" s="17" t="str">
        <f aca="false">IF($U893="","",IF($B$10=0,"",$U893/$B$10))</f>
        <v/>
      </c>
      <c r="W893" s="17" t="str">
        <f aca="false">IF($Q893="","",IF($B$10=0,"",$Q893/$B$10))</f>
        <v/>
      </c>
      <c r="X893" s="19" t="n">
        <f aca="false">IF($U893="",1000000000000000,$U893)</f>
        <v>1000000000000000</v>
      </c>
    </row>
    <row r="894" s="6" customFormat="true" ht="28.6" hidden="false" customHeight="true" outlineLevel="0" collapsed="false">
      <c r="A894" s="16" t="str">
        <f aca="false">IF($U894="","",1+COUNTIF($X$15:$X$728,"&lt;"&amp;X894))</f>
        <v/>
      </c>
      <c r="B894" s="16" t="s">
        <v>10</v>
      </c>
      <c r="C894" s="16" t="s">
        <v>2647</v>
      </c>
      <c r="D894" s="16" t="s">
        <v>51</v>
      </c>
      <c r="E894" s="16" t="s">
        <v>47</v>
      </c>
      <c r="F894" s="16" t="s">
        <v>2648</v>
      </c>
      <c r="G894" s="16" t="s">
        <v>2649</v>
      </c>
      <c r="H894" s="17"/>
      <c r="I894" s="17" t="n">
        <v>2059</v>
      </c>
      <c r="J894" s="17"/>
      <c r="K894" s="17" t="n">
        <v>1988</v>
      </c>
      <c r="L894" s="17" t="n">
        <f aca="false">IF(AND(IFERROR(SEARCH("현대오일뱅크",$C894),0)&gt;0,IFERROR(SEARCH("직영",$C894),0)&gt;0),$B$13,0)</f>
        <v>0</v>
      </c>
      <c r="M894" s="17" t="str">
        <f aca="false">IF($H894="","",$H894+$L894)</f>
        <v/>
      </c>
      <c r="N894" s="17" t="n">
        <f aca="false">IF($I894="","",$I894+$L894)</f>
        <v>2059</v>
      </c>
      <c r="O894" s="17" t="n">
        <f aca="false">IF($K894="","",$K894+$L894)</f>
        <v>1988</v>
      </c>
      <c r="P894" s="17" t="str">
        <f aca="false">IF($B$10=0,"",IFERROR(IF($B$4&gt;0,"휘발유 "&amp;TEXT(IF($M894="",1/0,$M894*$B$4),"#,##0")&amp;"원","")&amp;IF($B$5&gt;0,IF($B$4&gt;0," / ","")&amp;"고급유 "&amp;TEXT(IF($N894="",1/0,$N894*$B$5),"#,##0")&amp;"원","")&amp;IF($B$6&gt;0,IF(OR($B$4&gt;0,$B$5&gt;0)," / ","")&amp;"경유 "&amp;TEXT(IF($O894="",1/0,$O894*$B$6),"#,##0")&amp;"원",""),""))</f>
        <v/>
      </c>
      <c r="Q894" s="17" t="str">
        <f aca="false">IF($B$10=0,"",IFERROR(IF($B$4&gt;0,IF($M894="",1/0,$M894*$B$4),0)+IF($B$5&gt;0,IF($N894="",1/0,$N894*$B$5),0)+IF($B$6&gt;0,IF($O894="",1/0,$O894*$B$6),0),""))</f>
        <v/>
      </c>
      <c r="R894" s="17"/>
      <c r="S894" s="18" t="str">
        <f aca="false">IF($Q894="","",IF($R894="Y",IFERROR(VLOOKUP($B894,$C$4:$D$13,2,FALSE()),0),0))</f>
        <v/>
      </c>
      <c r="T894" s="17" t="str">
        <f aca="false">IF($Q894="","",ROUNDDOWN($Q894*$S894,0))</f>
        <v/>
      </c>
      <c r="U894" s="17" t="str">
        <f aca="false">IF($Q894="","",$Q894-$T894)</f>
        <v/>
      </c>
      <c r="V894" s="17" t="str">
        <f aca="false">IF($U894="","",IF($B$10=0,"",$U894/$B$10))</f>
        <v/>
      </c>
      <c r="W894" s="17" t="str">
        <f aca="false">IF($Q894="","",IF($B$10=0,"",$Q894/$B$10))</f>
        <v/>
      </c>
      <c r="X894" s="19" t="n">
        <f aca="false">IF($U894="",1000000000000000,$U894)</f>
        <v>1000000000000000</v>
      </c>
    </row>
    <row r="895" s="6" customFormat="true" ht="13.5" hidden="false" customHeight="true" outlineLevel="0" collapsed="false">
      <c r="F895" s="22"/>
      <c r="G895" s="22"/>
    </row>
    <row r="896" s="6" customFormat="true" ht="13.5" hidden="false" customHeight="true" outlineLevel="0" collapsed="false">
      <c r="F896" s="22"/>
      <c r="G896" s="22"/>
    </row>
  </sheetData>
  <autoFilter ref="A14:X894"/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ustomFormat="true" ht="21.75" hidden="false" customHeight="true" outlineLevel="0" collapsed="false">
      <c r="A1" s="23" t="s">
        <v>2650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ustomFormat="true" ht="21" hidden="false" customHeight="true" outlineLevel="0" collapsed="false">
      <c r="A2" s="24" t="s">
        <v>2651</v>
      </c>
    </row>
    <row r="3" s="22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2652</v>
      </c>
      <c r="E3" s="9" t="s">
        <v>2653</v>
      </c>
      <c r="F3" s="9" t="s">
        <v>2654</v>
      </c>
      <c r="G3" s="9" t="s">
        <v>2655</v>
      </c>
      <c r="H3" s="9" t="s">
        <v>2656</v>
      </c>
      <c r="I3" s="9" t="s">
        <v>2657</v>
      </c>
      <c r="J3" s="9" t="s">
        <v>2658</v>
      </c>
      <c r="K3" s="9" t="s">
        <v>2659</v>
      </c>
      <c r="L3" s="9" t="s">
        <v>2660</v>
      </c>
      <c r="M3" s="9" t="s">
        <v>2661</v>
      </c>
    </row>
    <row r="4" s="22" customFormat="true" ht="25.5" hidden="false" customHeight="true" outlineLevel="0" collapsed="false">
      <c r="A4" s="25" t="s">
        <v>6</v>
      </c>
      <c r="B4" s="26" t="s">
        <v>484</v>
      </c>
      <c r="C4" s="26" t="s">
        <v>485</v>
      </c>
      <c r="D4" s="26" t="s">
        <v>2662</v>
      </c>
      <c r="E4" s="27" t="n">
        <v>1959</v>
      </c>
      <c r="F4" s="27" t="n">
        <v>1929</v>
      </c>
      <c r="G4" s="27" t="n">
        <f aca="false">IF(OR(E4="",F4=""),"",F4-E4)</f>
        <v>-30</v>
      </c>
      <c r="H4" s="27" t="n">
        <v>2159</v>
      </c>
      <c r="I4" s="27" t="n">
        <v>2129</v>
      </c>
      <c r="J4" s="27" t="n">
        <f aca="false">IF(OR(H4="",I4=""),"",I4-H4)</f>
        <v>-30</v>
      </c>
      <c r="K4" s="27" t="n">
        <v>1999</v>
      </c>
      <c r="L4" s="27" t="n">
        <v>1979</v>
      </c>
      <c r="M4" s="27" t="n">
        <f aca="false">IF(OR(K4="",L4=""),"",L4-K4)</f>
        <v>-20</v>
      </c>
    </row>
    <row r="5" s="22" customFormat="true" ht="25.5" hidden="false" customHeight="true" outlineLevel="0" collapsed="false">
      <c r="A5" s="25" t="s">
        <v>6</v>
      </c>
      <c r="B5" s="26" t="s">
        <v>1007</v>
      </c>
      <c r="C5" s="26" t="s">
        <v>1008</v>
      </c>
      <c r="D5" s="26" t="s">
        <v>2662</v>
      </c>
      <c r="E5" s="27" t="n">
        <v>1935</v>
      </c>
      <c r="F5" s="27" t="n">
        <v>1925</v>
      </c>
      <c r="G5" s="27" t="n">
        <f aca="false">IF(OR(E5="",F5=""),"",F5-E5)</f>
        <v>-10</v>
      </c>
      <c r="H5" s="27"/>
      <c r="I5" s="27"/>
      <c r="J5" s="27" t="str">
        <f aca="false">IF(OR(H5="",I5=""),"",I5-H5)</f>
        <v/>
      </c>
      <c r="K5" s="27" t="n">
        <v>1975</v>
      </c>
      <c r="L5" s="27" t="n">
        <v>1945</v>
      </c>
      <c r="M5" s="27" t="n">
        <f aca="false">IF(OR(K5="",L5=""),"",L5-K5)</f>
        <v>-30</v>
      </c>
    </row>
    <row r="6" s="22" customFormat="true" ht="25.5" hidden="false" customHeight="true" outlineLevel="0" collapsed="false">
      <c r="A6" s="25" t="s">
        <v>12</v>
      </c>
      <c r="B6" s="26" t="s">
        <v>1420</v>
      </c>
      <c r="C6" s="26" t="s">
        <v>1421</v>
      </c>
      <c r="D6" s="26" t="s">
        <v>2662</v>
      </c>
      <c r="E6" s="27" t="n">
        <v>1975</v>
      </c>
      <c r="F6" s="27" t="n">
        <v>1965</v>
      </c>
      <c r="G6" s="27" t="n">
        <f aca="false">IF(OR(E6="",F6=""),"",F6-E6)</f>
        <v>-10</v>
      </c>
      <c r="H6" s="27"/>
      <c r="I6" s="27"/>
      <c r="J6" s="27" t="str">
        <f aca="false">IF(OR(H6="",I6=""),"",I6-H6)</f>
        <v/>
      </c>
      <c r="K6" s="27" t="n">
        <v>2043</v>
      </c>
      <c r="L6" s="27" t="n">
        <v>1995</v>
      </c>
      <c r="M6" s="27" t="n">
        <f aca="false">IF(OR(K6="",L6=""),"",L6-K6)</f>
        <v>-48</v>
      </c>
    </row>
    <row r="7" s="22" customFormat="true" ht="25.5" hidden="false" customHeight="true" outlineLevel="0" collapsed="false">
      <c r="A7" s="25" t="s">
        <v>6</v>
      </c>
      <c r="B7" s="26" t="s">
        <v>1467</v>
      </c>
      <c r="C7" s="26" t="s">
        <v>1468</v>
      </c>
      <c r="D7" s="26" t="s">
        <v>2662</v>
      </c>
      <c r="E7" s="27" t="n">
        <v>1978</v>
      </c>
      <c r="F7" s="27" t="n">
        <v>1948</v>
      </c>
      <c r="G7" s="27" t="n">
        <f aca="false">IF(OR(E7="",F7=""),"",F7-E7)</f>
        <v>-30</v>
      </c>
      <c r="H7" s="27"/>
      <c r="I7" s="27"/>
      <c r="J7" s="27" t="str">
        <f aca="false">IF(OR(H7="",I7=""),"",I7-H7)</f>
        <v/>
      </c>
      <c r="K7" s="27" t="n">
        <v>1998</v>
      </c>
      <c r="L7" s="27" t="n">
        <v>1978</v>
      </c>
      <c r="M7" s="27" t="n">
        <f aca="false">IF(OR(K7="",L7=""),"",L7-K7)</f>
        <v>-20</v>
      </c>
    </row>
    <row r="8" s="22" customFormat="true" ht="25.5" hidden="false" customHeight="true" outlineLevel="0" collapsed="false">
      <c r="A8" s="25" t="s">
        <v>18</v>
      </c>
      <c r="B8" s="26" t="s">
        <v>2172</v>
      </c>
      <c r="C8" s="26" t="s">
        <v>2173</v>
      </c>
      <c r="D8" s="26" t="s">
        <v>2662</v>
      </c>
      <c r="E8" s="27" t="n">
        <v>1926</v>
      </c>
      <c r="F8" s="27" t="n">
        <v>1922</v>
      </c>
      <c r="G8" s="27" t="n">
        <f aca="false">IF(OR(E8="",F8=""),"",F8-E8)</f>
        <v>-4</v>
      </c>
      <c r="H8" s="27"/>
      <c r="I8" s="27"/>
      <c r="J8" s="27" t="str">
        <f aca="false">IF(OR(H8="",I8=""),"",I8-H8)</f>
        <v/>
      </c>
      <c r="K8" s="27" t="n">
        <v>1928</v>
      </c>
      <c r="L8" s="27" t="n">
        <v>1926</v>
      </c>
      <c r="M8" s="27" t="n">
        <f aca="false">IF(OR(K8="",L8=""),"",L8-K8)</f>
        <v>-2</v>
      </c>
    </row>
    <row r="9" s="22" customFormat="true" ht="25.5" hidden="false" customHeight="true" outlineLevel="0" collapsed="false">
      <c r="A9" s="25" t="s">
        <v>12</v>
      </c>
      <c r="B9" s="26" t="s">
        <v>2435</v>
      </c>
      <c r="C9" s="26" t="s">
        <v>2436</v>
      </c>
      <c r="D9" s="26" t="s">
        <v>2662</v>
      </c>
      <c r="E9" s="27" t="n">
        <v>1954</v>
      </c>
      <c r="F9" s="27" t="n">
        <v>1944</v>
      </c>
      <c r="G9" s="27" t="n">
        <f aca="false">IF(OR(E9="",F9=""),"",F9-E9)</f>
        <v>-10</v>
      </c>
      <c r="H9" s="27"/>
      <c r="I9" s="27"/>
      <c r="J9" s="27" t="str">
        <f aca="false">IF(OR(H9="",I9=""),"",I9-H9)</f>
        <v/>
      </c>
      <c r="K9" s="27" t="n">
        <v>1974</v>
      </c>
      <c r="L9" s="27" t="n">
        <v>1954</v>
      </c>
      <c r="M9" s="27" t="n">
        <f aca="false">IF(OR(K9="",L9=""),"",L9-K9)</f>
        <v>-20</v>
      </c>
    </row>
    <row r="10" s="22" customFormat="true" ht="25.5" hidden="false" customHeight="true" outlineLevel="0" collapsed="false">
      <c r="A10" s="25" t="s">
        <v>14</v>
      </c>
      <c r="B10" s="26" t="s">
        <v>2639</v>
      </c>
      <c r="C10" s="26" t="s">
        <v>2640</v>
      </c>
      <c r="D10" s="26" t="s">
        <v>2662</v>
      </c>
      <c r="E10" s="27"/>
      <c r="F10" s="27"/>
      <c r="G10" s="27" t="str">
        <f aca="false">IF(OR(E10="",F10=""),"",F10-E10)</f>
        <v/>
      </c>
      <c r="H10" s="27" t="n">
        <v>2119</v>
      </c>
      <c r="I10" s="27" t="n">
        <v>2119</v>
      </c>
      <c r="J10" s="27" t="n">
        <f aca="false">IF(OR(H10="",I10=""),"",I10-H10)</f>
        <v>0</v>
      </c>
      <c r="K10" s="27" t="n">
        <v>1928</v>
      </c>
      <c r="L10" s="27" t="n">
        <v>2028</v>
      </c>
      <c r="M10" s="27" t="n">
        <f aca="false">IF(OR(K10="",L10=""),"",L10-K10)</f>
        <v>100</v>
      </c>
    </row>
    <row r="11" s="22" customFormat="true" ht="25.5" hidden="false" customHeight="true" outlineLevel="0" collapsed="false">
      <c r="A11" s="25"/>
      <c r="B11" s="26"/>
      <c r="C11" s="26"/>
      <c r="D11" s="26"/>
      <c r="E11" s="27"/>
      <c r="F11" s="27"/>
      <c r="G11" s="27"/>
      <c r="H11" s="27"/>
      <c r="I11" s="27"/>
      <c r="J11" s="27"/>
      <c r="K11" s="27"/>
      <c r="L11" s="27"/>
      <c r="M11" s="27"/>
    </row>
    <row r="12" s="22" customFormat="true" ht="25.5" hidden="false" customHeight="true" outlineLevel="0" collapsed="false">
      <c r="A12" s="25"/>
      <c r="B12" s="26"/>
      <c r="C12" s="26"/>
      <c r="D12" s="26"/>
      <c r="E12" s="27"/>
      <c r="F12" s="27"/>
      <c r="G12" s="27"/>
      <c r="H12" s="27"/>
      <c r="I12" s="27"/>
      <c r="J12" s="27"/>
      <c r="K12" s="27"/>
      <c r="L12" s="27"/>
      <c r="M12" s="27"/>
    </row>
    <row r="13" s="22" customFormat="true" ht="25.5" hidden="false" customHeight="true" outlineLevel="0" collapsed="false">
      <c r="A13" s="25"/>
      <c r="B13" s="26"/>
      <c r="C13" s="26"/>
      <c r="D13" s="26"/>
      <c r="E13" s="27"/>
      <c r="F13" s="27"/>
      <c r="G13" s="27"/>
      <c r="H13" s="27"/>
      <c r="I13" s="27"/>
      <c r="J13" s="27"/>
      <c r="K13" s="27"/>
      <c r="L13" s="27"/>
      <c r="M13" s="27"/>
    </row>
    <row r="14" s="22" customFormat="true" ht="25.5" hidden="false" customHeight="true" outlineLevel="0" collapsed="false">
      <c r="A14" s="25"/>
      <c r="B14" s="26"/>
      <c r="C14" s="26"/>
      <c r="D14" s="26"/>
      <c r="E14" s="27"/>
      <c r="F14" s="27"/>
      <c r="G14" s="27"/>
      <c r="H14" s="27"/>
      <c r="I14" s="27"/>
      <c r="J14" s="27"/>
      <c r="K14" s="27"/>
      <c r="L14" s="27"/>
      <c r="M14" s="27"/>
    </row>
    <row r="15" s="22" customFormat="true" ht="25.5" hidden="false" customHeight="true" outlineLevel="0" collapsed="false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2" customFormat="true" ht="25.5" hidden="false" customHeight="true" outlineLevel="0" collapsed="false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2" customFormat="true" ht="25.5" hidden="false" customHeight="true" outlineLevel="0" collapsed="false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2" customFormat="true" ht="25.5" hidden="false" customHeight="true" outlineLevel="0" collapsed="false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2" customFormat="true" ht="25.5" hidden="false" customHeight="true" outlineLevel="0" collapsed="false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2" customFormat="true" ht="25.5" hidden="false" customHeight="true" outlineLevel="0" collapsed="false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2" customFormat="true" ht="25.5" hidden="false" customHeight="true" outlineLevel="0" collapsed="false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2" customFormat="true" ht="25.5" hidden="false" customHeight="true" outlineLevel="0" collapsed="false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2" customFormat="true" ht="25.5" hidden="false" customHeight="true" outlineLevel="0" collapsed="false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2" customFormat="true" ht="25.5" hidden="false" customHeight="true" outlineLevel="0" collapsed="false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2" customFormat="true" ht="25.5" hidden="false" customHeight="true" outlineLevel="0" collapsed="false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2" customFormat="true" ht="25.5" hidden="false" customHeight="true" outlineLevel="0" collapsed="false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2" customFormat="true" ht="25.5" hidden="false" customHeight="true" outlineLevel="0" collapsed="false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2" customFormat="true" ht="25.5" hidden="false" customHeight="true" outlineLevel="0" collapsed="false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2" customFormat="true" ht="25.5" hidden="false" customHeight="true" outlineLevel="0" collapsed="false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2" customFormat="true" ht="25.5" hidden="false" customHeight="true" outlineLevel="0" collapsed="false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2" customFormat="true" ht="25.5" hidden="false" customHeight="true" outlineLevel="0" collapsed="false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2" customFormat="true" ht="25.5" hidden="false" customHeight="true" outlineLevel="0" collapsed="false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2" customFormat="true" ht="25.5" hidden="false" customHeight="true" outlineLevel="0" collapsed="false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2" customFormat="true" ht="25.5" hidden="false" customHeight="true" outlineLevel="0" collapsed="false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2" customFormat="true" ht="25.5" hidden="false" customHeight="true" outlineLevel="0" collapsed="false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2" customFormat="true" ht="25.5" hidden="false" customHeight="true" outlineLevel="0" collapsed="false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2" customFormat="true" ht="25.5" hidden="false" customHeight="true" outlineLevel="0" collapsed="false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2" customFormat="true" ht="25.5" hidden="false" customHeight="true" outlineLevel="0" collapsed="false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2" customFormat="true" ht="25.5" hidden="false" customHeight="true" outlineLevel="0" collapsed="false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2" customFormat="true" ht="25.5" hidden="false" customHeight="true" outlineLevel="0" collapsed="false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2" customFormat="true" ht="25.5" hidden="false" customHeight="true" outlineLevel="0" collapsed="false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2" customFormat="true" ht="25.5" hidden="false" customHeight="true" outlineLevel="0" collapsed="false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2" customFormat="true" ht="25.5" hidden="false" customHeight="true" outlineLevel="0" collapsed="false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2" customFormat="true" ht="25.5" hidden="false" customHeight="true" outlineLevel="0" collapsed="false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2" customFormat="true" ht="25.5" hidden="false" customHeight="true" outlineLevel="0" collapsed="false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2" customFormat="true" ht="25.5" hidden="false" customHeight="true" outlineLevel="0" collapsed="false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2" customFormat="true" ht="25.5" hidden="false" customHeight="true" outlineLevel="0" collapsed="false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2" customFormat="true" ht="25.5" hidden="false" customHeight="true" outlineLevel="0" collapsed="false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2" customFormat="true" ht="25.5" hidden="false" customHeight="true" outlineLevel="0" collapsed="false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2" customFormat="true" ht="25.5" hidden="false" customHeight="true" outlineLevel="0" collapsed="false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2" customFormat="true" ht="25.5" hidden="false" customHeight="true" outlineLevel="0" collapsed="false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2" customFormat="true" ht="25.5" hidden="false" customHeight="true" outlineLevel="0" collapsed="false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2" customFormat="true" ht="25.5" hidden="false" customHeight="true" outlineLevel="0" collapsed="false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2" customFormat="true" ht="25.5" hidden="false" customHeight="true" outlineLevel="0" collapsed="false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2" customFormat="true" ht="25.5" hidden="false" customHeight="true" outlineLevel="0" collapsed="false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2" customFormat="true" ht="25.5" hidden="false" customHeight="true" outlineLevel="0" collapsed="false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2" customFormat="true" ht="25.5" hidden="false" customHeight="true" outlineLevel="0" collapsed="false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2" customFormat="true" ht="25.5" hidden="false" customHeight="true" outlineLevel="0" collapsed="false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2" customFormat="true" ht="25.5" hidden="false" customHeight="true" outlineLevel="0" collapsed="false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2" customFormat="true" ht="25.5" hidden="false" customHeight="true" outlineLevel="0" collapsed="false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2" customFormat="true" ht="25.5" hidden="false" customHeight="true" outlineLevel="0" collapsed="false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2" customFormat="true" ht="25.5" hidden="false" customHeight="true" outlineLevel="0" collapsed="false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2" customFormat="true" ht="25.5" hidden="false" customHeight="true" outlineLevel="0" collapsed="false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2" customFormat="true" ht="25.5" hidden="false" customHeight="true" outlineLevel="0" collapsed="false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2" customFormat="true" ht="25.5" hidden="false" customHeight="true" outlineLevel="0" collapsed="false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2" customFormat="true" ht="25.5" hidden="false" customHeight="true" outlineLevel="0" collapsed="false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2" customFormat="true" ht="25.5" hidden="false" customHeight="true" outlineLevel="0" collapsed="false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2" customFormat="true" ht="25.5" hidden="false" customHeight="true" outlineLevel="0" collapsed="false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2" customFormat="true" ht="25.5" hidden="false" customHeight="true" outlineLevel="0" collapsed="false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2" customFormat="true" ht="25.5" hidden="false" customHeight="true" outlineLevel="0" collapsed="false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2" customFormat="true" ht="25.5" hidden="false" customHeight="true" outlineLevel="0" collapsed="false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2" customFormat="true" ht="25.5" hidden="false" customHeight="true" outlineLevel="0" collapsed="false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2" customFormat="true" ht="25.5" hidden="false" customHeight="true" outlineLevel="0" collapsed="false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2" customFormat="true" ht="25.5" hidden="false" customHeight="true" outlineLevel="0" collapsed="false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2" customFormat="true" ht="25.5" hidden="false" customHeight="true" outlineLevel="0" collapsed="false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2" customFormat="true" ht="25.5" hidden="false" customHeight="true" outlineLevel="0" collapsed="false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2" customFormat="true" ht="25.5" hidden="false" customHeight="true" outlineLevel="0" collapsed="false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2" customFormat="true" ht="25.5" hidden="false" customHeight="true" outlineLevel="0" collapsed="false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2" customFormat="true" ht="25.5" hidden="false" customHeight="true" outlineLevel="0" collapsed="false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2" customFormat="true" ht="25.5" hidden="false" customHeight="true" outlineLevel="0" collapsed="false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2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2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2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2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2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2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2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2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2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2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2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2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2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2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2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2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2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2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2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2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2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2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2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2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2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2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2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2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2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ustomFormat="true" ht="25.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ustomFormat="true" ht="25.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ustomFormat="true" ht="25.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ustomFormat="true" ht="25.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ustomFormat="true" ht="25.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ustomFormat="true" ht="25.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ustomFormat="true" ht="25.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ustomFormat="true" ht="25.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ustomFormat="true" ht="25.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ustomFormat="true" ht="25.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ustomFormat="true" ht="25.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ustomFormat="true" ht="25.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ustomFormat="true" ht="25.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ustomFormat="true" ht="25.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ustomFormat="true" ht="25.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ustomFormat="true" ht="25.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ustomFormat="true" ht="25.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ustomFormat="true" ht="25.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ustomFormat="true" ht="25.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ustomFormat="true" ht="25.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ustomFormat="true" ht="25.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ustomFormat="true" ht="25.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ustomFormat="true" ht="25.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ustomFormat="true" ht="25.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ustomFormat="true" ht="25.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ustomFormat="true" ht="25.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ustomFormat="true" ht="25.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ustomFormat="true" ht="25.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ustomFormat="true" ht="25.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ustomFormat="true" ht="25.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ustomFormat="true" ht="25.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ustomFormat="true" ht="25.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ustomFormat="true" ht="25.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ustomFormat="true" ht="25.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ustomFormat="true" ht="25.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ustomFormat="true" ht="25.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ustomFormat="true" ht="25.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ustomFormat="true" ht="25.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ustomFormat="true" ht="25.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ustomFormat="true" ht="25.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ustomFormat="true" ht="25.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ustomFormat="true" ht="25.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ustomFormat="true" ht="25.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ustomFormat="true" ht="25.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ustomFormat="true" ht="25.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ustomFormat="true" ht="25.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ustomFormat="true" ht="25.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ustomFormat="true" ht="25.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ustomFormat="true" ht="25.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ustomFormat="true" ht="25.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ustomFormat="true" ht="25.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ustomFormat="true" ht="25.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ustomFormat="true" ht="25.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ustomFormat="true" ht="25.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ustomFormat="true" ht="25.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ustomFormat="true" ht="25.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ustomFormat="true" ht="25.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ustomFormat="true" ht="25.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ustomFormat="true" ht="25.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ustomFormat="true" ht="25.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ustomFormat="true" ht="25.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ustomFormat="true" ht="25.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ustomFormat="true" ht="25.5" hidden="false" customHeight="true" outlineLevel="0" collapsed="false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ustomFormat="true" ht="25.5" hidden="false" customHeight="true" outlineLevel="0" collapsed="false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ustomFormat="true" ht="25.5" hidden="false" customHeight="true" outlineLevel="0" collapsed="false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ustomFormat="true" ht="25.5" hidden="false" customHeight="true" outlineLevel="0" collapsed="false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ustomFormat="true" ht="25.5" hidden="false" customHeight="true" outlineLevel="0" collapsed="false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ustomFormat="true" ht="25.5" hidden="false" customHeight="true" outlineLevel="0" collapsed="false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ustomFormat="true" ht="25.5" hidden="false" customHeight="true" outlineLevel="0" collapsed="false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ustomFormat="true" ht="25.5" hidden="false" customHeight="true" outlineLevel="0" collapsed="false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ustomFormat="true" ht="25.5" hidden="false" customHeight="true" outlineLevel="0" collapsed="false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ustomFormat="true" ht="25.5" hidden="false" customHeight="true" outlineLevel="0" collapsed="false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ustomFormat="true" ht="25.5" hidden="false" customHeight="true" outlineLevel="0" collapsed="false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ustomFormat="true" ht="25.5" hidden="false" customHeight="true" outlineLevel="0" collapsed="false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ustomFormat="true" ht="25.5" hidden="false" customHeight="true" outlineLevel="0" collapsed="false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ustomFormat="true" ht="25.5" hidden="false" customHeight="true" outlineLevel="0" collapsed="false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ustomFormat="true" ht="25.5" hidden="false" customHeight="true" outlineLevel="0" collapsed="false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ustomFormat="true" ht="25.5" hidden="false" customHeight="true" outlineLevel="0" collapsed="false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ustomFormat="true" ht="25.5" hidden="false" customHeight="true" outlineLevel="0" collapsed="false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ustomFormat="true" ht="25.5" hidden="false" customHeight="true" outlineLevel="0" collapsed="false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ustomFormat="true" ht="25.5" hidden="false" customHeight="true" outlineLevel="0" collapsed="false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ustomFormat="true" ht="25.5" hidden="false" customHeight="true" outlineLevel="0" collapsed="false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ustomFormat="true" ht="25.5" hidden="false" customHeight="true" outlineLevel="0" collapsed="false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ustomFormat="true" ht="25.5" hidden="false" customHeight="true" outlineLevel="0" collapsed="false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ustomFormat="true" ht="25.5" hidden="false" customHeight="true" outlineLevel="0" collapsed="false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ustomFormat="true" ht="25.5" hidden="false" customHeight="true" outlineLevel="0" collapsed="false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ustomFormat="true" ht="25.5" hidden="false" customHeight="true" outlineLevel="0" collapsed="false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ustomFormat="true" ht="25.5" hidden="false" customHeight="true" outlineLevel="0" collapsed="false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ustomFormat="true" ht="25.5" hidden="false" customHeight="true" outlineLevel="0" collapsed="false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ustomFormat="true" ht="25.5" hidden="false" customHeight="true" outlineLevel="0" collapsed="false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ustomFormat="true" ht="25.5" hidden="false" customHeight="true" outlineLevel="0" collapsed="false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ustomFormat="true" ht="25.5" hidden="false" customHeight="true" outlineLevel="0" collapsed="false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ustomFormat="true" ht="25.5" hidden="false" customHeight="true" outlineLevel="0" collapsed="false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ustomFormat="true" ht="25.5" hidden="false" customHeight="true" outlineLevel="0" collapsed="false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ustomFormat="true" ht="25.5" hidden="false" customHeight="true" outlineLevel="0" collapsed="false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ustomFormat="true" ht="25.5" hidden="false" customHeight="true" outlineLevel="0" collapsed="false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ustomFormat="true" ht="25.5" hidden="false" customHeight="true" outlineLevel="0" collapsed="false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ustomFormat="true" ht="25.5" hidden="false" customHeight="true" outlineLevel="0" collapsed="false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ustomFormat="true" ht="25.5" hidden="false" customHeight="true" outlineLevel="0" collapsed="false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ustomFormat="true" ht="25.5" hidden="false" customHeight="true" outlineLevel="0" collapsed="false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ustomFormat="true" ht="25.5" hidden="false" customHeight="true" outlineLevel="0" collapsed="false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ustomFormat="true" ht="25.5" hidden="false" customHeight="true" outlineLevel="0" collapsed="false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ustomFormat="true" ht="25.5" hidden="false" customHeight="true" outlineLevel="0" collapsed="false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ustomFormat="true" ht="25.5" hidden="false" customHeight="true" outlineLevel="0" collapsed="false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ustomFormat="true" ht="25.5" hidden="false" customHeight="true" outlineLevel="0" collapsed="false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ustomFormat="true" ht="25.5" hidden="false" customHeight="true" outlineLevel="0" collapsed="false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ustomFormat="true" ht="25.5" hidden="false" customHeight="true" outlineLevel="0" collapsed="false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ustomFormat="true" ht="25.5" hidden="false" customHeight="true" outlineLevel="0" collapsed="false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ustomFormat="true" ht="25.5" hidden="false" customHeight="true" outlineLevel="0" collapsed="false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ustomFormat="true" ht="25.5" hidden="false" customHeight="true" outlineLevel="0" collapsed="false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ustomFormat="true" ht="25.5" hidden="false" customHeight="true" outlineLevel="0" collapsed="false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ustomFormat="true" ht="25.5" hidden="false" customHeight="true" outlineLevel="0" collapsed="false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ustomFormat="true" ht="25.5" hidden="false" customHeight="true" outlineLevel="0" collapsed="false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ustomFormat="true" ht="25.5" hidden="false" customHeight="true" outlineLevel="0" collapsed="false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ustomFormat="true" ht="25.5" hidden="false" customHeight="true" outlineLevel="0" collapsed="false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ustomFormat="true" ht="25.5" hidden="false" customHeight="true" outlineLevel="0" collapsed="false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ustomFormat="true" ht="25.5" hidden="false" customHeight="true" outlineLevel="0" collapsed="false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ustomFormat="true" ht="25.5" hidden="false" customHeight="true" outlineLevel="0" collapsed="false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ustomFormat="true" ht="25.5" hidden="false" customHeight="true" outlineLevel="0" collapsed="false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ustomFormat="true" ht="25.5" hidden="false" customHeight="true" outlineLevel="0" collapsed="false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ustomFormat="true" ht="25.5" hidden="false" customHeight="true" outlineLevel="0" collapsed="false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ustomFormat="true" ht="25.5" hidden="false" customHeight="true" outlineLevel="0" collapsed="false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ustomFormat="true" ht="25.5" hidden="false" customHeight="true" outlineLevel="0" collapsed="false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ustomFormat="true" ht="25.5" hidden="false" customHeight="true" outlineLevel="0" collapsed="false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ustomFormat="true" ht="25.5" hidden="false" customHeight="true" outlineLevel="0" collapsed="false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ustomFormat="true" ht="25.5" hidden="false" customHeight="true" outlineLevel="0" collapsed="false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ustomFormat="true" ht="25.5" hidden="false" customHeight="true" outlineLevel="0" collapsed="false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ustomFormat="true" ht="25.5" hidden="false" customHeight="true" outlineLevel="0" collapsed="false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ustomFormat="true" ht="25.5" hidden="false" customHeight="true" outlineLevel="0" collapsed="false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ustomFormat="true" ht="25.5" hidden="false" customHeight="true" outlineLevel="0" collapsed="false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ustomFormat="true" ht="25.5" hidden="false" customHeight="true" outlineLevel="0" collapsed="false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ustomFormat="true" ht="25.5" hidden="false" customHeight="true" outlineLevel="0" collapsed="false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ustomFormat="true" ht="25.5" hidden="false" customHeight="true" outlineLevel="0" collapsed="false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ustomFormat="true" ht="25.5" hidden="false" customHeight="true" outlineLevel="0" collapsed="false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ustomFormat="true" ht="25.5" hidden="false" customHeight="true" outlineLevel="0" collapsed="false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ustomFormat="true" ht="25.5" hidden="false" customHeight="true" outlineLevel="0" collapsed="false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ustomFormat="true" ht="25.5" hidden="false" customHeight="true" outlineLevel="0" collapsed="false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ustomFormat="true" ht="25.5" hidden="false" customHeight="true" outlineLevel="0" collapsed="false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ustomFormat="true" ht="25.5" hidden="false" customHeight="true" outlineLevel="0" collapsed="false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ustomFormat="true" ht="25.5" hidden="false" customHeight="true" outlineLevel="0" collapsed="false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ustomFormat="true" ht="25.5" hidden="false" customHeight="true" outlineLevel="0" collapsed="false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ustomFormat="true" ht="25.5" hidden="false" customHeight="true" outlineLevel="0" collapsed="false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ustomFormat="true" ht="25.5" hidden="false" customHeight="true" outlineLevel="0" collapsed="false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ustomFormat="true" ht="25.5" hidden="false" customHeight="true" outlineLevel="0" collapsed="false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ustomFormat="true" ht="25.5" hidden="false" customHeight="true" outlineLevel="0" collapsed="false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ustomFormat="true" ht="25.5" hidden="false" customHeight="true" outlineLevel="0" collapsed="false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ustomFormat="true" ht="25.5" hidden="false" customHeight="true" outlineLevel="0" collapsed="false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ustomFormat="true" ht="25.5" hidden="false" customHeight="true" outlineLevel="0" collapsed="false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ustomFormat="true" ht="25.5" hidden="false" customHeight="true" outlineLevel="0" collapsed="false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ustomFormat="true" ht="25.5" hidden="false" customHeight="true" outlineLevel="0" collapsed="false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ustomFormat="true" ht="25.5" hidden="false" customHeight="true" outlineLevel="0" collapsed="false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ustomFormat="true" ht="25.5" hidden="false" customHeight="true" outlineLevel="0" collapsed="false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ustomFormat="true" ht="25.5" hidden="false" customHeight="true" outlineLevel="0" collapsed="false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ustomFormat="true" ht="25.5" hidden="false" customHeight="true" outlineLevel="0" collapsed="false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ustomFormat="true" ht="25.5" hidden="false" customHeight="true" outlineLevel="0" collapsed="false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ustomFormat="true" ht="25.5" hidden="false" customHeight="true" outlineLevel="0" collapsed="false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ustomFormat="true" ht="25.5" hidden="false" customHeight="true" outlineLevel="0" collapsed="false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ustomFormat="true" ht="25.5" hidden="false" customHeight="true" outlineLevel="0" collapsed="false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ustomFormat="true" ht="25.5" hidden="false" customHeight="true" outlineLevel="0" collapsed="false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ustomFormat="true" ht="25.5" hidden="false" customHeight="true" outlineLevel="0" collapsed="false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ustomFormat="true" ht="25.5" hidden="false" customHeight="true" outlineLevel="0" collapsed="false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ustomFormat="true" ht="25.5" hidden="false" customHeight="true" outlineLevel="0" collapsed="false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ustomFormat="true" ht="25.5" hidden="false" customHeight="true" outlineLevel="0" collapsed="false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ustomFormat="true" ht="25.5" hidden="false" customHeight="true" outlineLevel="0" collapsed="false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ustomFormat="true" ht="25.5" hidden="false" customHeight="true" outlineLevel="0" collapsed="false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ustomFormat="true" ht="25.5" hidden="false" customHeight="true" outlineLevel="0" collapsed="false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ustomFormat="true" ht="25.5" hidden="false" customHeight="true" outlineLevel="0" collapsed="false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ustomFormat="true" ht="25.5" hidden="false" customHeight="true" outlineLevel="0" collapsed="false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ustomFormat="true" ht="25.5" hidden="false" customHeight="true" outlineLevel="0" collapsed="false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ustomFormat="true" ht="25.5" hidden="false" customHeight="true" outlineLevel="0" collapsed="false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ustomFormat="true" ht="25.5" hidden="false" customHeight="true" outlineLevel="0" collapsed="false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ustomFormat="true" ht="25.5" hidden="false" customHeight="true" outlineLevel="0" collapsed="false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ustomFormat="true" ht="25.5" hidden="false" customHeight="true" outlineLevel="0" collapsed="false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ustomFormat="true" ht="25.5" hidden="false" customHeight="true" outlineLevel="0" collapsed="false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ustomFormat="true" ht="25.5" hidden="false" customHeight="true" outlineLevel="0" collapsed="false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ustomFormat="true" ht="25.5" hidden="false" customHeight="true" outlineLevel="0" collapsed="false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ustomFormat="true" ht="25.5" hidden="false" customHeight="true" outlineLevel="0" collapsed="false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ustomFormat="true" ht="25.5" hidden="false" customHeight="true" outlineLevel="0" collapsed="false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ustomFormat="true" ht="25.5" hidden="false" customHeight="true" outlineLevel="0" collapsed="false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ustomFormat="true" ht="25.5" hidden="false" customHeight="true" outlineLevel="0" collapsed="false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ustomFormat="true" ht="25.5" hidden="false" customHeight="true" outlineLevel="0" collapsed="false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ustomFormat="true" ht="25.5" hidden="false" customHeight="true" outlineLevel="0" collapsed="false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ustomFormat="true" ht="25.5" hidden="false" customHeight="true" outlineLevel="0" collapsed="false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ustomFormat="true" ht="25.5" hidden="false" customHeight="true" outlineLevel="0" collapsed="false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ustomFormat="true" ht="25.5" hidden="false" customHeight="true" outlineLevel="0" collapsed="false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ustomFormat="true" ht="25.5" hidden="false" customHeight="true" outlineLevel="0" collapsed="false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ustomFormat="true" ht="25.5" hidden="false" customHeight="true" outlineLevel="0" collapsed="false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ustomFormat="true" ht="25.5" hidden="false" customHeight="true" outlineLevel="0" collapsed="false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ustomFormat="true" ht="25.5" hidden="false" customHeight="true" outlineLevel="0" collapsed="false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ustomFormat="true" ht="25.5" hidden="false" customHeight="true" outlineLevel="0" collapsed="false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ustomFormat="true" ht="25.5" hidden="false" customHeight="true" outlineLevel="0" collapsed="false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ustomFormat="true" ht="25.5" hidden="false" customHeight="true" outlineLevel="0" collapsed="false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ustomFormat="true" ht="25.5" hidden="false" customHeight="true" outlineLevel="0" collapsed="false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ustomFormat="true" ht="25.5" hidden="false" customHeight="true" outlineLevel="0" collapsed="false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ustomFormat="true" ht="25.5" hidden="false" customHeight="true" outlineLevel="0" collapsed="false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ustomFormat="true" ht="25.5" hidden="false" customHeight="true" outlineLevel="0" collapsed="false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ustomFormat="true" ht="25.5" hidden="false" customHeight="true" outlineLevel="0" collapsed="false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ustomFormat="true" ht="25.5" hidden="false" customHeight="true" outlineLevel="0" collapsed="false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ustomFormat="true" ht="25.5" hidden="false" customHeight="true" outlineLevel="0" collapsed="false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ustomFormat="true" ht="25.5" hidden="false" customHeight="true" outlineLevel="0" collapsed="false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ustomFormat="true" ht="25.5" hidden="false" customHeight="true" outlineLevel="0" collapsed="false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ustomFormat="true" ht="25.5" hidden="false" customHeight="true" outlineLevel="0" collapsed="false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ustomFormat="true" ht="25.5" hidden="false" customHeight="true" outlineLevel="0" collapsed="false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ustomFormat="true" ht="25.5" hidden="false" customHeight="true" outlineLevel="0" collapsed="false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ustomFormat="true" ht="25.5" hidden="false" customHeight="true" outlineLevel="0" collapsed="false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ustomFormat="true" ht="25.5" hidden="false" customHeight="true" outlineLevel="0" collapsed="false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ustomFormat="true" ht="25.5" hidden="false" customHeight="true" outlineLevel="0" collapsed="false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ustomFormat="true" ht="25.5" hidden="false" customHeight="true" outlineLevel="0" collapsed="false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ustomFormat="true" ht="25.5" hidden="false" customHeight="true" outlineLevel="0" collapsed="false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ustomFormat="true" ht="25.5" hidden="false" customHeight="true" outlineLevel="0" collapsed="false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ustomFormat="true" ht="25.5" hidden="false" customHeight="true" outlineLevel="0" collapsed="false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ustomFormat="true" ht="25.5" hidden="false" customHeight="true" outlineLevel="0" collapsed="false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ustomFormat="true" ht="25.5" hidden="false" customHeight="true" outlineLevel="0" collapsed="false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ustomFormat="true" ht="25.5" hidden="false" customHeight="true" outlineLevel="0" collapsed="false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ustomFormat="true" ht="25.5" hidden="false" customHeight="true" outlineLevel="0" collapsed="false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ustomFormat="true" ht="25.5" hidden="false" customHeight="true" outlineLevel="0" collapsed="false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ustomFormat="true" ht="25.5" hidden="false" customHeight="true" outlineLevel="0" collapsed="false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ustomFormat="true" ht="25.5" hidden="false" customHeight="true" outlineLevel="0" collapsed="false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ustomFormat="true" ht="25.5" hidden="false" customHeight="true" outlineLevel="0" collapsed="false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ustomFormat="true" ht="25.5" hidden="false" customHeight="true" outlineLevel="0" collapsed="false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ustomFormat="true" ht="25.5" hidden="false" customHeight="true" outlineLevel="0" collapsed="false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ustomFormat="true" ht="25.5" hidden="false" customHeight="true" outlineLevel="0" collapsed="false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ustomFormat="true" ht="25.5" hidden="false" customHeight="true" outlineLevel="0" collapsed="false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ustomFormat="true" ht="25.5" hidden="false" customHeight="true" outlineLevel="0" collapsed="false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ustomFormat="true" ht="25.5" hidden="false" customHeight="true" outlineLevel="0" collapsed="false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ustomFormat="true" ht="25.5" hidden="false" customHeight="true" outlineLevel="0" collapsed="false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ustomFormat="true" ht="25.5" hidden="false" customHeight="true" outlineLevel="0" collapsed="false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ustomFormat="true" ht="25.5" hidden="false" customHeight="true" outlineLevel="0" collapsed="false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ustomFormat="true" ht="25.5" hidden="false" customHeight="true" outlineLevel="0" collapsed="false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ustomFormat="true" ht="25.5" hidden="false" customHeight="true" outlineLevel="0" collapsed="false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ustomFormat="true" ht="25.5" hidden="false" customHeight="true" outlineLevel="0" collapsed="false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ustomFormat="true" ht="25.5" hidden="false" customHeight="true" outlineLevel="0" collapsed="false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ustomFormat="true" ht="25.5" hidden="false" customHeight="true" outlineLevel="0" collapsed="false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ustomFormat="true" ht="25.5" hidden="false" customHeight="true" outlineLevel="0" collapsed="false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ustomFormat="true" ht="25.5" hidden="false" customHeight="true" outlineLevel="0" collapsed="false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ustomFormat="true" ht="25.5" hidden="false" customHeight="true" outlineLevel="0" collapsed="false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ustomFormat="true" ht="25.5" hidden="false" customHeight="true" outlineLevel="0" collapsed="false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ustomFormat="true" ht="25.5" hidden="false" customHeight="true" outlineLevel="0" collapsed="false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ustomFormat="true" ht="25.5" hidden="false" customHeight="true" outlineLevel="0" collapsed="false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ustomFormat="true" ht="25.5" hidden="false" customHeight="true" outlineLevel="0" collapsed="false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ustomFormat="true" ht="25.5" hidden="false" customHeight="true" outlineLevel="0" collapsed="false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ustomFormat="true" ht="25.5" hidden="false" customHeight="true" outlineLevel="0" collapsed="false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ustomFormat="true" ht="25.5" hidden="false" customHeight="true" outlineLevel="0" collapsed="false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ustomFormat="true" ht="25.5" hidden="false" customHeight="true" outlineLevel="0" collapsed="false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ustomFormat="true" ht="25.5" hidden="false" customHeight="true" outlineLevel="0" collapsed="false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ustomFormat="true" ht="25.5" hidden="false" customHeight="true" outlineLevel="0" collapsed="false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ustomFormat="true" ht="25.5" hidden="false" customHeight="true" outlineLevel="0" collapsed="false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ustomFormat="true" ht="25.5" hidden="false" customHeight="true" outlineLevel="0" collapsed="false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ustomFormat="true" ht="25.5" hidden="false" customHeight="true" outlineLevel="0" collapsed="false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ustomFormat="true" ht="25.5" hidden="false" customHeight="true" outlineLevel="0" collapsed="false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ustomFormat="true" ht="25.5" hidden="false" customHeight="true" outlineLevel="0" collapsed="false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ustomFormat="true" ht="25.5" hidden="false" customHeight="true" outlineLevel="0" collapsed="false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ustomFormat="true" ht="25.5" hidden="false" customHeight="true" outlineLevel="0" collapsed="false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ustomFormat="true" ht="25.5" hidden="false" customHeight="true" outlineLevel="0" collapsed="false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ustomFormat="true" ht="25.5" hidden="false" customHeight="true" outlineLevel="0" collapsed="false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ustomFormat="true" ht="25.5" hidden="false" customHeight="true" outlineLevel="0" collapsed="false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ustomFormat="true" ht="25.5" hidden="false" customHeight="true" outlineLevel="0" collapsed="false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ustomFormat="true" ht="25.5" hidden="false" customHeight="true" outlineLevel="0" collapsed="false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ustomFormat="true" ht="25.5" hidden="false" customHeight="true" outlineLevel="0" collapsed="false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ustomFormat="true" ht="25.5" hidden="false" customHeight="true" outlineLevel="0" collapsed="false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ustomFormat="true" ht="25.5" hidden="false" customHeight="true" outlineLevel="0" collapsed="false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ustomFormat="true" ht="25.5" hidden="false" customHeight="true" outlineLevel="0" collapsed="false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ustomFormat="true" ht="25.5" hidden="false" customHeight="true" outlineLevel="0" collapsed="false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ustomFormat="true" ht="25.5" hidden="false" customHeight="true" outlineLevel="0" collapsed="false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ustomFormat="true" ht="25.5" hidden="false" customHeight="true" outlineLevel="0" collapsed="false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ustomFormat="true" ht="25.5" hidden="false" customHeight="true" outlineLevel="0" collapsed="false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ustomFormat="true" ht="25.5" hidden="false" customHeight="true" outlineLevel="0" collapsed="false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ustomFormat="true" ht="25.5" hidden="false" customHeight="true" outlineLevel="0" collapsed="false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ustomFormat="true" ht="25.5" hidden="false" customHeight="true" outlineLevel="0" collapsed="false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ustomFormat="true" ht="25.5" hidden="false" customHeight="true" outlineLevel="0" collapsed="false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ustomFormat="true" ht="25.5" hidden="false" customHeight="true" outlineLevel="0" collapsed="false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ustomFormat="true" ht="25.5" hidden="false" customHeight="true" outlineLevel="0" collapsed="false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ustomFormat="true" ht="25.5" hidden="false" customHeight="true" outlineLevel="0" collapsed="false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ustomFormat="true" ht="25.5" hidden="false" customHeight="true" outlineLevel="0" collapsed="false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ustomFormat="true" ht="25.5" hidden="false" customHeight="true" outlineLevel="0" collapsed="false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ustomFormat="true" ht="25.5" hidden="false" customHeight="true" outlineLevel="0" collapsed="false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ustomFormat="true" ht="25.5" hidden="false" customHeight="true" outlineLevel="0" collapsed="false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ustomFormat="true" ht="25.5" hidden="false" customHeight="true" outlineLevel="0" collapsed="false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ustomFormat="true" ht="25.5" hidden="false" customHeight="true" outlineLevel="0" collapsed="false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ustomFormat="true" ht="25.5" hidden="false" customHeight="true" outlineLevel="0" collapsed="false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ustomFormat="true" ht="25.5" hidden="false" customHeight="true" outlineLevel="0" collapsed="false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ustomFormat="true" ht="25.5" hidden="false" customHeight="true" outlineLevel="0" collapsed="false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ustomFormat="true" ht="25.5" hidden="false" customHeight="true" outlineLevel="0" collapsed="false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ustomFormat="true" ht="25.5" hidden="false" customHeight="true" outlineLevel="0" collapsed="false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ustomFormat="true" ht="25.5" hidden="false" customHeight="true" outlineLevel="0" collapsed="false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ustomFormat="true" ht="25.5" hidden="false" customHeight="true" outlineLevel="0" collapsed="false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ustomFormat="true" ht="25.5" hidden="false" customHeight="true" outlineLevel="0" collapsed="false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ustomFormat="true" ht="25.5" hidden="false" customHeight="true" outlineLevel="0" collapsed="false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ustomFormat="true" ht="25.5" hidden="false" customHeight="true" outlineLevel="0" collapsed="false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ustomFormat="true" ht="25.5" hidden="false" customHeight="true" outlineLevel="0" collapsed="false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ustomFormat="true" ht="25.5" hidden="false" customHeight="true" outlineLevel="0" collapsed="false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ustomFormat="true" ht="25.5" hidden="false" customHeight="true" outlineLevel="0" collapsed="false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ustomFormat="true" ht="25.5" hidden="false" customHeight="true" outlineLevel="0" collapsed="false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ustomFormat="true" ht="25.5" hidden="false" customHeight="true" outlineLevel="0" collapsed="false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ustomFormat="true" ht="25.5" hidden="false" customHeight="true" outlineLevel="0" collapsed="false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ustomFormat="true" ht="25.5" hidden="false" customHeight="true" outlineLevel="0" collapsed="false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ustomFormat="true" ht="25.5" hidden="false" customHeight="true" outlineLevel="0" collapsed="false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ustomFormat="true" ht="25.5" hidden="false" customHeight="true" outlineLevel="0" collapsed="false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ustomFormat="true" ht="25.5" hidden="false" customHeight="true" outlineLevel="0" collapsed="false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ustomFormat="true" ht="25.5" hidden="false" customHeight="true" outlineLevel="0" collapsed="false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ustomFormat="true" ht="25.5" hidden="false" customHeight="true" outlineLevel="0" collapsed="false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ustomFormat="true" ht="25.5" hidden="false" customHeight="true" outlineLevel="0" collapsed="false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ustomFormat="true" ht="25.5" hidden="false" customHeight="true" outlineLevel="0" collapsed="false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ustomFormat="true" ht="25.5" hidden="false" customHeight="true" outlineLevel="0" collapsed="false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ustomFormat="true" ht="25.5" hidden="false" customHeight="true" outlineLevel="0" collapsed="false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ustomFormat="true" ht="25.5" hidden="false" customHeight="true" outlineLevel="0" collapsed="false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ustomFormat="true" ht="25.5" hidden="false" customHeight="true" outlineLevel="0" collapsed="false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ustomFormat="true" ht="25.5" hidden="false" customHeight="true" outlineLevel="0" collapsed="false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ustomFormat="true" ht="25.5" hidden="false" customHeight="true" outlineLevel="0" collapsed="false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ustomFormat="true" ht="25.5" hidden="false" customHeight="true" outlineLevel="0" collapsed="false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ustomFormat="true" ht="25.5" hidden="false" customHeight="true" outlineLevel="0" collapsed="false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ustomFormat="true" ht="25.5" hidden="false" customHeight="true" outlineLevel="0" collapsed="false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ustomFormat="true" ht="25.5" hidden="false" customHeight="true" outlineLevel="0" collapsed="false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ustomFormat="true" ht="25.5" hidden="false" customHeight="true" outlineLevel="0" collapsed="false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ustomFormat="true" ht="25.5" hidden="false" customHeight="true" outlineLevel="0" collapsed="false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ustomFormat="true" ht="25.5" hidden="false" customHeight="true" outlineLevel="0" collapsed="false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ustomFormat="true" ht="25.5" hidden="false" customHeight="true" outlineLevel="0" collapsed="false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ustomFormat="true" ht="25.5" hidden="false" customHeight="true" outlineLevel="0" collapsed="false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ustomFormat="true" ht="25.5" hidden="false" customHeight="true" outlineLevel="0" collapsed="false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ustomFormat="true" ht="25.5" hidden="false" customHeight="true" outlineLevel="0" collapsed="false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ustomFormat="true" ht="25.5" hidden="false" customHeight="true" outlineLevel="0" collapsed="false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ustomFormat="true" ht="25.5" hidden="false" customHeight="true" outlineLevel="0" collapsed="false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ustomFormat="true" ht="25.5" hidden="false" customHeight="true" outlineLevel="0" collapsed="false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ustomFormat="true" ht="25.5" hidden="false" customHeight="true" outlineLevel="0" collapsed="false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ustomFormat="true" ht="25.5" hidden="false" customHeight="true" outlineLevel="0" collapsed="false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ustomFormat="true" ht="25.5" hidden="false" customHeight="true" outlineLevel="0" collapsed="false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ustomFormat="true" ht="25.5" hidden="false" customHeight="true" outlineLevel="0" collapsed="false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ustomFormat="true" ht="25.5" hidden="false" customHeight="true" outlineLevel="0" collapsed="false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ustomFormat="true" ht="25.5" hidden="false" customHeight="true" outlineLevel="0" collapsed="false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ustomFormat="true" ht="25.5" hidden="false" customHeight="true" outlineLevel="0" collapsed="false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ustomFormat="true" ht="25.5" hidden="false" customHeight="true" outlineLevel="0" collapsed="false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ustomFormat="true" ht="25.5" hidden="false" customHeight="true" outlineLevel="0" collapsed="false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ustomFormat="true" ht="25.5" hidden="false" customHeight="true" outlineLevel="0" collapsed="false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ustomFormat="true" ht="25.5" hidden="false" customHeight="true" outlineLevel="0" collapsed="false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ustomFormat="true" ht="25.5" hidden="false" customHeight="true" outlineLevel="0" collapsed="false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ustomFormat="true" ht="25.5" hidden="false" customHeight="true" outlineLevel="0" collapsed="false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ustomFormat="true" ht="25.5" hidden="false" customHeight="true" outlineLevel="0" collapsed="false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ustomFormat="true" ht="25.5" hidden="false" customHeight="true" outlineLevel="0" collapsed="false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ustomFormat="true" ht="25.5" hidden="false" customHeight="true" outlineLevel="0" collapsed="false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ustomFormat="true" ht="25.5" hidden="false" customHeight="true" outlineLevel="0" collapsed="false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ustomFormat="true" ht="25.5" hidden="false" customHeight="true" outlineLevel="0" collapsed="false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ustomFormat="true" ht="25.5" hidden="false" customHeight="true" outlineLevel="0" collapsed="false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ustomFormat="true" ht="25.5" hidden="false" customHeight="true" outlineLevel="0" collapsed="false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ustomFormat="true" ht="25.5" hidden="false" customHeight="true" outlineLevel="0" collapsed="false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ustomFormat="true" ht="25.5" hidden="false" customHeight="true" outlineLevel="0" collapsed="false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ustomFormat="true" ht="25.5" hidden="false" customHeight="true" outlineLevel="0" collapsed="false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ustomFormat="true" ht="25.5" hidden="false" customHeight="true" outlineLevel="0" collapsed="false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ustomFormat="true" ht="25.5" hidden="false" customHeight="true" outlineLevel="0" collapsed="false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ustomFormat="true" ht="25.5" hidden="false" customHeight="true" outlineLevel="0" collapsed="false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ustomFormat="true" ht="25.5" hidden="false" customHeight="true" outlineLevel="0" collapsed="false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ustomFormat="true" ht="25.5" hidden="false" customHeight="true" outlineLevel="0" collapsed="false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ustomFormat="true" ht="25.5" hidden="false" customHeight="true" outlineLevel="0" collapsed="false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ustomFormat="true" ht="25.5" hidden="false" customHeight="true" outlineLevel="0" collapsed="false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ustomFormat="true" ht="25.5" hidden="false" customHeight="true" outlineLevel="0" collapsed="false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ustomFormat="true" ht="25.5" hidden="false" customHeight="true" outlineLevel="0" collapsed="false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ustomFormat="true" ht="25.5" hidden="false" customHeight="true" outlineLevel="0" collapsed="false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ustomFormat="true" ht="25.5" hidden="false" customHeight="true" outlineLevel="0" collapsed="false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ustomFormat="true" ht="25.5" hidden="false" customHeight="true" outlineLevel="0" collapsed="false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ustomFormat="true" ht="25.5" hidden="false" customHeight="true" outlineLevel="0" collapsed="false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ustomFormat="true" ht="25.5" hidden="false" customHeight="true" outlineLevel="0" collapsed="false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ustomFormat="true" ht="25.5" hidden="false" customHeight="true" outlineLevel="0" collapsed="false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ustomFormat="true" ht="25.5" hidden="false" customHeight="true" outlineLevel="0" collapsed="false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ustomFormat="true" ht="25.5" hidden="false" customHeight="true" outlineLevel="0" collapsed="false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ustomFormat="true" ht="25.5" hidden="false" customHeight="true" outlineLevel="0" collapsed="false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ustomFormat="true" ht="25.5" hidden="false" customHeight="true" outlineLevel="0" collapsed="false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ustomFormat="true" ht="25.5" hidden="false" customHeight="true" outlineLevel="0" collapsed="false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ustomFormat="true" ht="25.5" hidden="false" customHeight="true" outlineLevel="0" collapsed="false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ustomFormat="true" ht="25.5" hidden="false" customHeight="true" outlineLevel="0" collapsed="false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ustomFormat="true" ht="25.5" hidden="false" customHeight="true" outlineLevel="0" collapsed="false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ustomFormat="true" ht="25.5" hidden="false" customHeight="true" outlineLevel="0" collapsed="false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ustomFormat="true" ht="25.5" hidden="false" customHeight="true" outlineLevel="0" collapsed="false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ustomFormat="true" ht="25.5" hidden="false" customHeight="true" outlineLevel="0" collapsed="false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ustomFormat="true" ht="25.5" hidden="false" customHeight="true" outlineLevel="0" collapsed="false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ustomFormat="true" ht="25.5" hidden="false" customHeight="true" outlineLevel="0" collapsed="false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ustomFormat="true" ht="25.5" hidden="false" customHeight="true" outlineLevel="0" collapsed="false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ustomFormat="true" ht="25.5" hidden="false" customHeight="true" outlineLevel="0" collapsed="false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ustomFormat="true" ht="25.5" hidden="false" customHeight="true" outlineLevel="0" collapsed="false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ustomFormat="true" ht="25.5" hidden="false" customHeight="true" outlineLevel="0" collapsed="false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ustomFormat="true" ht="25.5" hidden="false" customHeight="true" outlineLevel="0" collapsed="false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ustomFormat="true" ht="25.5" hidden="false" customHeight="true" outlineLevel="0" collapsed="false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ustomFormat="true" ht="25.5" hidden="false" customHeight="true" outlineLevel="0" collapsed="false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ustomFormat="true" ht="25.5" hidden="false" customHeight="true" outlineLevel="0" collapsed="false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ustomFormat="true" ht="25.5" hidden="false" customHeight="true" outlineLevel="0" collapsed="false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ustomFormat="true" ht="25.5" hidden="false" customHeight="true" outlineLevel="0" collapsed="false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ustomFormat="true" ht="25.5" hidden="false" customHeight="true" outlineLevel="0" collapsed="false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ustomFormat="true" ht="25.5" hidden="false" customHeight="true" outlineLevel="0" collapsed="false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ustomFormat="true" ht="25.5" hidden="false" customHeight="true" outlineLevel="0" collapsed="false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ustomFormat="true" ht="25.5" hidden="false" customHeight="true" outlineLevel="0" collapsed="false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ustomFormat="true" ht="25.5" hidden="false" customHeight="true" outlineLevel="0" collapsed="false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ustomFormat="true" ht="25.5" hidden="false" customHeight="true" outlineLevel="0" collapsed="false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ustomFormat="true" ht="25.5" hidden="false" customHeight="true" outlineLevel="0" collapsed="false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ustomFormat="true" ht="25.5" hidden="false" customHeight="true" outlineLevel="0" collapsed="false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ustomFormat="true" ht="25.5" hidden="false" customHeight="true" outlineLevel="0" collapsed="false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ustomFormat="true" ht="25.5" hidden="false" customHeight="true" outlineLevel="0" collapsed="false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ustomFormat="true" ht="25.5" hidden="false" customHeight="true" outlineLevel="0" collapsed="false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ustomFormat="true" ht="25.5" hidden="false" customHeight="true" outlineLevel="0" collapsed="false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ustomFormat="true" ht="25.5" hidden="false" customHeight="true" outlineLevel="0" collapsed="false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ustomFormat="true" ht="25.5" hidden="false" customHeight="true" outlineLevel="0" collapsed="false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ustomFormat="true" ht="25.5" hidden="false" customHeight="true" outlineLevel="0" collapsed="false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ustomFormat="true" ht="25.5" hidden="false" customHeight="true" outlineLevel="0" collapsed="false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ustomFormat="true" ht="25.5" hidden="false" customHeight="true" outlineLevel="0" collapsed="false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ustomFormat="true" ht="25.5" hidden="false" customHeight="true" outlineLevel="0" collapsed="false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ustomFormat="true" ht="25.5" hidden="false" customHeight="true" outlineLevel="0" collapsed="false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ustomFormat="true" ht="25.5" hidden="false" customHeight="true" outlineLevel="0" collapsed="false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ustomFormat="true" ht="25.5" hidden="false" customHeight="true" outlineLevel="0" collapsed="false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ustomFormat="true" ht="25.5" hidden="false" customHeight="true" outlineLevel="0" collapsed="false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ustomFormat="true" ht="25.5" hidden="false" customHeight="true" outlineLevel="0" collapsed="false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ustomFormat="true" ht="25.5" hidden="false" customHeight="true" outlineLevel="0" collapsed="false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ustomFormat="true" ht="25.5" hidden="false" customHeight="true" outlineLevel="0" collapsed="false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ustomFormat="true" ht="25.5" hidden="false" customHeight="true" outlineLevel="0" collapsed="false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ustomFormat="true" ht="25.5" hidden="false" customHeight="true" outlineLevel="0" collapsed="false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ustomFormat="true" ht="25.5" hidden="false" customHeight="true" outlineLevel="0" collapsed="false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ustomFormat="true" ht="25.5" hidden="false" customHeight="true" outlineLevel="0" collapsed="false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ustomFormat="true" ht="25.5" hidden="false" customHeight="true" outlineLevel="0" collapsed="false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ustomFormat="true" ht="25.5" hidden="false" customHeight="true" outlineLevel="0" collapsed="false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ustomFormat="true" ht="25.5" hidden="false" customHeight="true" outlineLevel="0" collapsed="false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ustomFormat="true" ht="25.5" hidden="false" customHeight="true" outlineLevel="0" collapsed="false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ustomFormat="true" ht="25.5" hidden="false" customHeight="true" outlineLevel="0" collapsed="false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ustomFormat="true" ht="25.5" hidden="false" customHeight="true" outlineLevel="0" collapsed="false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ustomFormat="true" ht="25.5" hidden="false" customHeight="true" outlineLevel="0" collapsed="false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ustomFormat="true" ht="25.5" hidden="false" customHeight="true" outlineLevel="0" collapsed="false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ustomFormat="true" ht="25.5" hidden="false" customHeight="true" outlineLevel="0" collapsed="false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ustomFormat="true" ht="25.5" hidden="false" customHeight="true" outlineLevel="0" collapsed="false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ustomFormat="true" ht="25.5" hidden="false" customHeight="true" outlineLevel="0" collapsed="false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ustomFormat="true" ht="25.5" hidden="false" customHeight="true" outlineLevel="0" collapsed="false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ustomFormat="true" ht="25.5" hidden="false" customHeight="true" outlineLevel="0" collapsed="false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ustomFormat="true" ht="25.5" hidden="false" customHeight="true" outlineLevel="0" collapsed="false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ustomFormat="true" ht="25.5" hidden="false" customHeight="true" outlineLevel="0" collapsed="false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ustomFormat="true" ht="25.5" hidden="false" customHeight="true" outlineLevel="0" collapsed="false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ustomFormat="true" ht="25.5" hidden="false" customHeight="true" outlineLevel="0" collapsed="false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ustomFormat="true" ht="25.5" hidden="false" customHeight="true" outlineLevel="0" collapsed="false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ustomFormat="true" ht="25.5" hidden="false" customHeight="true" outlineLevel="0" collapsed="false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ustomFormat="true" ht="25.5" hidden="false" customHeight="true" outlineLevel="0" collapsed="false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ustomFormat="true" ht="25.5" hidden="false" customHeight="true" outlineLevel="0" collapsed="false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ustomFormat="true" ht="25.5" hidden="false" customHeight="true" outlineLevel="0" collapsed="false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ustomFormat="true" ht="25.5" hidden="false" customHeight="true" outlineLevel="0" collapsed="false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ustomFormat="true" ht="25.5" hidden="false" customHeight="true" outlineLevel="0" collapsed="false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ustomFormat="true" ht="25.5" hidden="false" customHeight="true" outlineLevel="0" collapsed="false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ustomFormat="true" ht="25.5" hidden="false" customHeight="true" outlineLevel="0" collapsed="false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ustomFormat="true" ht="25.5" hidden="false" customHeight="true" outlineLevel="0" collapsed="false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ustomFormat="true" ht="25.5" hidden="false" customHeight="true" outlineLevel="0" collapsed="false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ustomFormat="true" ht="25.5" hidden="false" customHeight="true" outlineLevel="0" collapsed="false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ustomFormat="true" ht="25.5" hidden="false" customHeight="true" outlineLevel="0" collapsed="false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ustomFormat="true" ht="25.5" hidden="false" customHeight="true" outlineLevel="0" collapsed="false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ustomFormat="true" ht="25.5" hidden="false" customHeight="true" outlineLevel="0" collapsed="false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ustomFormat="true" ht="25.5" hidden="false" customHeight="true" outlineLevel="0" collapsed="false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ustomFormat="true" ht="25.5" hidden="false" customHeight="true" outlineLevel="0" collapsed="false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ustomFormat="true" ht="25.5" hidden="false" customHeight="true" outlineLevel="0" collapsed="false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ustomFormat="true" ht="25.5" hidden="false" customHeight="true" outlineLevel="0" collapsed="false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ustomFormat="true" ht="25.5" hidden="false" customHeight="true" outlineLevel="0" collapsed="false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ustomFormat="true" ht="25.5" hidden="false" customHeight="true" outlineLevel="0" collapsed="false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ustomFormat="true" ht="25.5" hidden="false" customHeight="true" outlineLevel="0" collapsed="false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ustomFormat="true" ht="25.5" hidden="false" customHeight="true" outlineLevel="0" collapsed="false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ustomFormat="true" ht="25.5" hidden="false" customHeight="true" outlineLevel="0" collapsed="false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ustomFormat="true" ht="25.5" hidden="false" customHeight="true" outlineLevel="0" collapsed="false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ustomFormat="true" ht="25.5" hidden="false" customHeight="true" outlineLevel="0" collapsed="false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ustomFormat="true" ht="25.5" hidden="false" customHeight="true" outlineLevel="0" collapsed="false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ustomFormat="true" ht="25.5" hidden="false" customHeight="true" outlineLevel="0" collapsed="false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ustomFormat="true" ht="25.5" hidden="false" customHeight="true" outlineLevel="0" collapsed="false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ustomFormat="true" ht="25.5" hidden="false" customHeight="true" outlineLevel="0" collapsed="false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ustomFormat="true" ht="25.5" hidden="false" customHeight="true" outlineLevel="0" collapsed="false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ustomFormat="true" ht="25.5" hidden="false" customHeight="true" outlineLevel="0" collapsed="false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ustomFormat="true" ht="25.5" hidden="false" customHeight="true" outlineLevel="0" collapsed="false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ustomFormat="true" ht="25.5" hidden="false" customHeight="true" outlineLevel="0" collapsed="false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ustomFormat="true" ht="25.5" hidden="false" customHeight="true" outlineLevel="0" collapsed="false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ustomFormat="true" ht="25.5" hidden="false" customHeight="true" outlineLevel="0" collapsed="false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ustomFormat="true" ht="25.5" hidden="false" customHeight="true" outlineLevel="0" collapsed="false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ustomFormat="true" ht="25.5" hidden="false" customHeight="true" outlineLevel="0" collapsed="false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ustomFormat="true" ht="25.5" hidden="false" customHeight="true" outlineLevel="0" collapsed="false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ustomFormat="true" ht="25.5" hidden="false" customHeight="true" outlineLevel="0" collapsed="false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ustomFormat="true" ht="25.5" hidden="false" customHeight="true" outlineLevel="0" collapsed="false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ustomFormat="true" ht="25.5" hidden="false" customHeight="true" outlineLevel="0" collapsed="false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ustomFormat="true" ht="25.5" hidden="false" customHeight="true" outlineLevel="0" collapsed="false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ustomFormat="true" ht="25.5" hidden="false" customHeight="true" outlineLevel="0" collapsed="false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ustomFormat="true" ht="25.5" hidden="false" customHeight="true" outlineLevel="0" collapsed="false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ustomFormat="true" ht="25.5" hidden="false" customHeight="true" outlineLevel="0" collapsed="false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</sheetData>
  <mergeCells count="1">
    <mergeCell ref="A1:M1"/>
  </mergeCells>
  <conditionalFormatting sqref="G4:G719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719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719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2026-03-10T14:14:54Z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