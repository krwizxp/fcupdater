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<sst xmlns="http://schemas.openxmlformats.org/spreadsheetml/2006/main" count="4884" uniqueCount="1768">
  <si>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</si>
  <si>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</si>
  <si>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</si>
  <si>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</si>
  <si>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</si>
  <si>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</si>
  <si>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</si>
  <si>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</si>
  <si>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</si>
  <si>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</si>
  <si>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</si>
  <si>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</si>
  <si>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</si>
  <si>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</si>
  <si>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</si>
  <si>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</si>
  <si>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</si>
  <si>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</si>
  <si>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</si>
  <si>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</si>
  <si>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</si>
  <si>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</si>
  <si>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</si>
  <si>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</si>
  <si>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</si>
  <si>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</si>
  <si>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</si>
  <si>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</si>
  <si>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</si>
  <si>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</si>
  <si>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</si>
  <si>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</si>
  <si>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</si>
  <si>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</si>
  <si>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</si>
  <si>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</si>
  <si>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</si>
  <si>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</si>
  <si>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</si>
  <si>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</si>
  <si>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</si>
  <si>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</si>
  <si>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</si>
  <si>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</si>
  <si>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</si>
  <si>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</si>
  <si>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</si>
  <si>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</si>
  <si>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</si>
  <si>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</si>
  <si>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</si>
  <si>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</si>
  <si>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</si>
  <si>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</si>
  <si>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</si>
  <si>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</si>
  <si>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</si>
  <si>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</si>
  <si>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</si>
  <si>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</si>
  <si>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</si>
  <si>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</si>
  <si>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</si>
  <si>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</si>
  <si>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</si>
  <si>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</si>
  <si>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</si>
  <si>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</si>
  <si>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</si>
  <si>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</si>
  <si>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</si>
  <si>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</si>
  <si>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</si>
  <si>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</si>
  <si>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</si>
  <si>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</si>
  <si>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</si>
  <si>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</si>
  <si>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</si>
  <si>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</si>
  <si>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</si>
  <si>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</si>
  <si>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</si>
  <si>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</si>
  <si>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</si>
  <si>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</si>
  <si>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</si>
  <si>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</si>
  <si>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</si>
  <si>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</si>
  <si>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</si>
  <si>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</si>
  <si>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</si>
  <si>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</si>
  <si>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</si>
  <si>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</si>
  <si>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</si>
  <si>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</si>
  <si>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</si>
  <si>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</si>
  <si>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</si>
  <si>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</si>
  <si>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</si>
  <si>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</si>
  <si>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</si>
  <si>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</si>
  <si>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</si>
  <si>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</si>
  <si>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</si>
  <si>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</si>
  <si>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</si>
  <si>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</si>
  <si>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</si>
  <si>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</si>
  <si>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</si>
  <si>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</si>
  <si>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</si>
  <si>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</si>
  <si>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</si>
  <si>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</si>
  <si>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</si>
  <si>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</si>
  <si>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</si>
  <si>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</si>
  <si>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</si>
  <si>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</si>
  <si>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</si>
  <si>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</si>
  <si>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</si>
  <si>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</si>
  <si>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</si>
  <si>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</si>
  <si>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</si>
  <si>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</si>
  <si>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</si>
  <si>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</si>
  <si>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</si>
  <si>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</si>
  <si>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</si>
  <si>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</si>
  <si>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</si>
  <si>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</si>
  <si>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</si>
  <si>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</si>
  <si>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</si>
  <si>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</si>
  <si>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</si>
  <si>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</si>
  <si>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</si>
  <si>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</si>
  <si>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</si>
  <si>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</si>
  <si>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</si>
  <si>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</si>
  <si>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</si>
  <si>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</si>
  <si>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</si>
  <si>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</si>
  <si>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</si>
  <si>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</si>
  <si>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</si>
  <si>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</si>
  <si>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</si>
  <si>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</si>
  <si>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</si>
  <si>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</si>
  <si>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</si>
  <si>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</si>
  <si>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</si>
  <si>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</si>
  <si>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</si>
  <si>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</si>
  <si>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</si>
  <si>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</si>
  <si>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</si>
  <si>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</si>
  <si>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</si>
  <si>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</si>
  <si>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</si>
  <si>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</si>
  <si>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</si>
  <si>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</si>
  <si>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</si>
  <si>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</si>
  <si>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</si>
  <si>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</si>
  <si>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</si>
  <si>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</si>
  <si>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</si>
  <si>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</si>
  <si>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</si>
  <si>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</si>
  <si>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</si>
  <si>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</si>
  <si>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</si>
  <si>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</si>
  <si>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</si>
  <si>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</si>
  <si>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</si>
  <si>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</si>
  <si>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</si>
  <si>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</si>
  <si>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</si>
  <si>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</si>
  <si>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</si>
  <si>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</si>
  <si>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</si>
  <si>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</si>
  <si>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</si>
  <si>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</si>
  <si>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</si>
  <si>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</si>
  <si>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</si>
  <si>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</si>
  <si>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</si>
  <si>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</si>
  <si>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</si>
  <si>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</si>
  <si>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</si>
  <si>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</si>
  <si>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</si>
  <si>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</si>
  <si>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</si>
  <si>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</si>
  <si>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</si>
  <si>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</si>
  <si>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</si>
  <si>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</si>
  <si>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</si>
  <si>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</si>
  <si>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</si>
  <si>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</si>
  <si>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</si>
  <si>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</si>
  <si>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</si>
  <si>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</si>
  <si>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</si>
  <si>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</si>
  <si>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</si>
  <si>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</si>
  <si>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</si>
  <si>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</si>
  <si>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</si>
  <si>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</si>
  <si>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</si>
  <si>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</si>
  <si>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</si>
  <si>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</si>
  <si>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</si>
  <si>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</si>
  <si>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</si>
  <si>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</si>
  <si>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</si>
  <si>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</si>
  <si>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</si>
  <si>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</si>
  <si>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</si>
  <si>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</si>
  <si>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</si>
  <si>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</si>
  <si>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</si>
  <si>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</si>
  <si>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</si>
  <si>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</si>
  <si>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</si>
  <si>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</si>
  <si>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</si>
  <si>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</si>
  <si>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</si>
  <si>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</si>
  <si>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</si>
  <si>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</si>
  <si>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</si>
  <si>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</si>
  <si>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</si>
  <si>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</si>
  <si>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</si>
  <si>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</si>
  <si>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</si>
  <si>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</si>
  <si>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</si>
  <si>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</si>
  <si>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</si>
  <si>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</si>
  <si>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</si>
  <si>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</si>
  <si>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</si>
  <si>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</si>
  <si>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</si>
  <si>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</si>
  <si>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</si>
  <si>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</si>
  <si>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</si>
  <si>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</si>
  <si>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</si>
  <si>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</si>
  <si>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</si>
  <si>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</si>
  <si>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</si>
  <si>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</si>
  <si>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</si>
  <si>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</si>
  <si>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</si>
  <si>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</si>
  <si>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</si>
  <si>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</si>
  <si>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</si>
  <si>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</si>
  <si>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</si>
  <si>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</si>
  <si>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</si>
  <si>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</si>
  <si>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</si>
  <si>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</si>
  <si>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</si>
  <si>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</si>
  <si>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</si>
  <si>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</si>
  <si>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</si>
  <si>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</si>
  <si>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</si>
  <si>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</si>
  <si>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</si>
  <si>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</si>
  <si>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</si>
  <si>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</si>
  <si>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</si>
  <si>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</si>
  <si>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</si>
  <si>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</si>
  <si>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</si>
  <si>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</si>
  <si>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</si>
  <si>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</si>
  <si>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</si>
  <si>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</si>
  <si>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</si>
  <si>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</si>
  <si>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</si>
  <si>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</si>
  <si>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</si>
  <si>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</si>
  <si>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</si>
  <si>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</si>
  <si>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</si>
  <si>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</si>
  <si>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</si>
  <si>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</si>
  <si>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</si>
  <si>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</si>
  <si>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</si>
  <si>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</si>
  <si>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</si>
  <si>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</si>
  <si>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</si>
  <si>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</si>
  <si>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</si>
  <si>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</si>
  <si>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</si>
  <si>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</si>
  <si>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</si>
  <si>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</si>
  <si>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</si>
  <si>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</si>
  <si>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</si>
  <si>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</si>
  <si>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</si>
  <si>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</si>
  <si>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</si>
  <si>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</si>
  <si>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</si>
  <si>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</si>
  <si>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</si>
  <si>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</si>
  <si>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</si>
  <si>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</si>
  <si>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</si>
  <si>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</si>
  <si>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</si>
  <si>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</si>
  <si>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</si>
  <si>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</si>
  <si>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</si>
  <si>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</si>
  <si>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</si>
  <si>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</si>
  <si>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</si>
  <si>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</si>
  <si>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</si>
  <si>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</si>
  <si>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</si>
  <si>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</si>
  <si>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</si>
  <si>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</si>
  <si>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</si>
  <si>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</si>
  <si>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</si>
  <si>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</si>
  <si>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</si>
  <si>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</si>
  <si>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</si>
  <si>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</si>
  <si>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</si>
  <si>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</si>
  <si>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</si>
  <si>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</si>
  <si>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</si>
  <si>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</si>
  <si>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</si>
  <si>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</si>
  <si>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</si>
  <si>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</si>
  <si>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</si>
  <si>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</si>
  <si>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</si>
  <si>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</si>
  <si>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</si>
  <si>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</si>
  <si>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</si>
  <si>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</si>
  <si>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</si>
  <si>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</si>
  <si>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</si>
  <si>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</si>
  <si>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</si>
  <si>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</si>
  <si>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</si>
  <si>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</si>
  <si>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</si>
  <si>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</si>
  <si>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</si>
  <si>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</si>
  <si>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</si>
  <si>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</si>
  <si>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</si>
  <si>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</si>
  <si>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</si>
  <si>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</si>
  <si>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</si>
  <si>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</si>
  <si>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</si>
  <si>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</si>
  <si>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</si>
  <si>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</si>
  <si>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</si>
  <si>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</si>
  <si>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</si>
  <si>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</si>
  <si>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</si>
  <si>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</si>
  <si>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</si>
  <si>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</si>
  <si>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</si>
  <si>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</si>
  <si>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</si>
  <si>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</si>
  <si>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</si>
  <si>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</si>
  <si>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</si>
  <si>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</si>
  <si>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</si>
  <si>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</si>
  <si>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</si>
  <si>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</si>
  <si>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</si>
  <si>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</si>
  <si>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</si>
  <si>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</si>
  <si>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</si>
  <si>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</si>
  <si>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</si>
  <si>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</si>
  <si>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</si>
  <si>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</si>
  <si>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</si>
  <si>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</si>
  <si>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</si>
  <si>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</si>
  <si>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</si>
  <si>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</si>
  <si>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</si>
  <si>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</si>
  <si>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</si>
  <si>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</si>
  <si>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</si>
  <si>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</si>
  <si>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</si>
  <si>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</si>
  <si>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</si>
  <si>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</si>
  <si>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</si>
  <si>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</si>
  <si>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</si>
  <si>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</si>
  <si>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</si>
  <si>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</si>
  <si>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</si>
  <si>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</si>
  <si>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</si>
  <si>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</si>
  <si>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</si>
  <si>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</si>
  <si>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</si>
  <si>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</si>
  <si>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</si>
  <si>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</si>
  <si>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</si>
  <si>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</si>
  <si>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</si>
  <si>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</si>
  <si>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</si>
  <si>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</si>
  <si>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</si>
  <si>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</si>
  <si>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</si>
  <si>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</si>
  <si>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</si>
  <si>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</si>
  <si>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</si>
  <si>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</si>
  <si>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</si>
  <si>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</si>
  <si>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</si>
  <si>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</si>
  <si>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</si>
  <si>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</si>
  <si>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</si>
  <si>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</si>
  <si>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</si>
  <si>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</si>
  <si>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</si>
  <si>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</si>
  <si>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</si>
  <si>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</si>
  <si>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</si>
  <si>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</si>
  <si>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</si>
  <si>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</si>
  <si>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</si>
  <si>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</si>
  <si>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</si>
  <si>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</si>
  <si>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</si>
  <si>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</si>
  <si>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</si>
  <si>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</si>
  <si>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</si>
  <si>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</si>
  <si>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</si>
  <si>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</si>
  <si>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</si>
  <si>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</si>
  <si>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</si>
  <si>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</si>
  <si>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</si>
  <si>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</si>
  <si>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</si>
  <si>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</si>
  <si>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</si>
  <si>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</si>
  <si>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</si>
  <si>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</si>
  <si>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</si>
  <si>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</si>
  <si>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</si>
  <si>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</si>
  <si>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</si>
  <si>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</si>
  <si>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</si>
  <si>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</si>
  <si>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</si>
  <si>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</si>
  <si>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</si>
  <si>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</si>
  <si>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</si>
  <si>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</si>
  <si>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</si>
  <si>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</si>
  <si>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</si>
  <si>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</si>
  <si>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</si>
  <si>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</si>
  <si>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</si>
  <si>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</si>
  <si>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</si>
  <si>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</si>
  <si>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</si>
  <si>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</si>
  <si>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</si>
  <si>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</si>
  <si>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</si>
  <si>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</si>
  <si>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</si>
  <si>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</si>
  <si>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</si>
  <si>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</si>
  <si>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</si>
  <si>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</si>
  <si>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</si>
  <si>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</si>
  <si>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</si>
  <si>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</si>
  <si>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</si>
  <si>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</si>
  <si>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</si>
  <si>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</si>
  <si>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</si>
  <si>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</si>
  <si>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</si>
  <si>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</si>
  <si>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</si>
  <si>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</si>
  <si>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</si>
  <si>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</si>
  <si>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</si>
  <si>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</si>
  <si>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</si>
  <si>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</si>
  <si>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</si>
  <si>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</si>
  <si>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</si>
  <si>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</si>
  <si>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</si>
  <si>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</si>
  <si>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</si>
  <si>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</si>
  <si>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</si>
  <si>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</si>
  <si>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</si>
  <si>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</si>
  <si>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</si>
  <si>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</si>
  <si>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</si>
  <si>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</si>
  <si>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</si>
  <si>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</si>
  <si>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</si>
  <si>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</si>
  <si>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</si>
  <si>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</si>
  <si>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</si>
  <si>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</si>
  <si>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</si>
  <si>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</si>
  <si>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</si>
  <si>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</si>
  <si>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</si>
  <si>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</si>
  <si>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</si>
  <si>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</si>
  <si>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</si>
  <si>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</si>
  <si>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</si>
  <si>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</si>
  <si>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</si>
  <si>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</si>
  <si>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</si>
  <si>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</si>
  <si>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</si>
  <si>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</si>
  <si>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</si>
  <si>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</si>
  <si>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</si>
  <si>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</si>
  <si>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</si>
  <si>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</si>
  <si>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</si>
  <si>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</si>
  <si>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</si>
  <si>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</si>
  <si>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</si>
  <si>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</si>
  <si>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</si>
  <si>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</si>
  <si>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</si>
  <si>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</si>
  <si>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</si>
  <si>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</si>
  <si>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</si>
  <si>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</si>
  <si>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</si>
  <si>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</si>
  <si>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</si>
  <si>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</si>
  <si>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</si>
  <si>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</si>
  <si>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</si>
  <si>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</si>
  <si>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</si>
  <si>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</si>
  <si>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</si>
  <si>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</si>
  <si>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</si>
  <si>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</si>
  <si>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</si>
  <si>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</si>
  <si>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</si>
  <si>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</si>
  <si>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</si>
  <si>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</si>
  <si>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</si>
  <si>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</si>
  <si>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</si>
  <si>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</si>
  <si>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</si>
  <si>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</si>
  <si>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</si>
  <si>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</si>
  <si>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</si>
  <si>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</si>
  <si>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</si>
  <si>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</si>
  <si>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</si>
  <si>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</si>
  <si>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</si>
  <si>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</si>
  <si>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</si>
  <si>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</si>
  <si>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</si>
  <si>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</si>
  <si>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</si>
  <si>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</si>
  <si>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</si>
  <si>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</si>
  <si>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</si>
  <si>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</si>
  <si>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</si>
  <si>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</si>
  <si>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</si>
  <si>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</si>
  <si>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</si>
  <si>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</si>
  <si>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</si>
  <si>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</si>
  <si>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</si>
  <si>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</si>
  <si>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</si>
  <si>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</si>
  <si>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</si>
  <si>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</si>
  <si>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</si>
  <si>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</si>
  <si>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</si>
  <si>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</si>
  <si>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</si>
  <si>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</si>
  <si>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</si>
  <si>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</si>
  <si>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</si>
  <si>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</si>
  <si>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</si>
  <si>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</si>
  <si>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</si>
  <si>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</si>
  <si>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</si>
  <si>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</si>
  <si>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</si>
  <si>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</si>
  <si>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</si>
  <si>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</si>
  <si>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</si>
  <si>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</si>
  <si>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</si>
  <si>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</si>
  <si>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</si>
  <si>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</si>
  <si>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</si>
  <si>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</si>
  <si>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</si>
  <si>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</si>
  <si>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</si>
  <si>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</si>
  <si>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</si>
  <si>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</si>
  <si>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</si>
  <si>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</si>
  <si>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</si>
  <si>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</si>
  <si>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</si>
  <si>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</si>
  <si>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</si>
  <si>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</si>
  <si>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</si>
  <si>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</si>
  <si>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</si>
  <si>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</si>
  <si>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</si>
  <si>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</si>
  <si>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</si>
  <si>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</si>
  <si>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</si>
  <si>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</si>
  <si>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</si>
  <si>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</si>
  <si>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</si>
  <si>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</si>
  <si>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</si>
  <si>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</si>
  <si>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</si>
  <si>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</si>
  <si>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</si>
  <si>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</si>
  <si>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</si>
  <si>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</si>
  <si>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</si>
  <si>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</si>
  <si>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</si>
  <si>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</si>
  <si>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</si>
  <si>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</si>
  <si>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</si>
  <si>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</si>
  <si>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</si>
  <si>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</si>
  <si>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</si>
  <si>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</si>
  <si>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</si>
  <si>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</si>
  <si>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</si>
  <si>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</si>
  <si>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</si>
  <si>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</si>
  <si>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</si>
  <si>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</si>
  <si>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</si>
  <si>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</si>
  <si>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</si>
  <si>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</si>
  <si>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</si>
  <si>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</si>
  <si>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</si>
  <si>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</si>
  <si>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</si>
  <si>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</si>
  <si>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</si>
  <si>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</si>
  <si>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</si>
  <si>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</si>
  <si>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</si>
  <si>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</si>
  <si>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</si>
  <si>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</si>
  <si>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</si>
  <si>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</si>
  <si>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</si>
  <si>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</si>
  <si>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</si>
  <si>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</si>
  <si>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</si>
  <si>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</si>
  <si>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</si>
  <si>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</si>
  <si>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</si>
  <si>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</si>
  <si>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</si>
  <si>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</si>
  <si>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</si>
  <si>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</si>
  <si>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</si>
  <si>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</si>
  <si>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</si>
  <si>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</si>
  <si>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</si>
  <si>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</si>
  <si>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</si>
  <si>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</si>
  <si>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</si>
  <si>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</si>
  <si>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</si>
  <si>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</si>
  <si>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</si>
  <si>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</si>
  <si>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</si>
  <si>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</si>
  <si>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</si>
  <si>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</si>
  <si>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</si>
  <si>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</si>
  <si>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</si>
  <si>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</si>
  <si>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</si>
  <si>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</si>
  <si>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</si>
  <si>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</si>
  <si>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</si>
  <si>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</si>
  <si>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</si>
  <si>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</si>
  <si>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</si>
  <si>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</si>
  <si>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</si>
  <si>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</si>
  <si>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</si>
  <si>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</si>
  <si>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</si>
  <si>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</si>
  <si>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</si>
  <si>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</si>
  <si>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</si>
  <si>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</si>
  <si>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</si>
  <si>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</si>
  <si>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</si>
  <si>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</si>
  <si>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</si>
  <si>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</si>
  <si>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</si>
  <si>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</si>
  <si>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</si>
  <si>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</si>
  <si>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</si>
  <si>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</si>
  <si>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</si>
  <si>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</si>
  <si>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</si>
  <si>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</si>
  <si>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</si>
  <si>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</si>
  <si>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</si>
  <si>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</si>
  <si>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</si>
  <si>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</si>
  <si>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</si>
  <si>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</si>
  <si>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</si>
  <si>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</si>
  <si>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</si>
  <si>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</si>
  <si>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</si>
  <si>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</si>
  <si>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</si>
  <si>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</si>
  <si>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</si>
  <si>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</si>
  <si>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</si>
  <si>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</si>
  <si>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</si>
  <si>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</si>
  <si>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</si>
  <si>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</si>
  <si>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</si>
  <si>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</si>
  <si>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</si>
  <si>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</si>
  <si>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</si>
  <si>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</si>
  <si>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</si>
  <si>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</si>
  <si>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</si>
  <si>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</si>
  <si>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</si>
  <si>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</si>
  <si>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</si>
  <si>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</si>
  <si>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</si>
  <si>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</si>
  <si>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</si>
  <si>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</si>
  <si>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</si>
  <si>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</si>
  <si>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</si>
  <si>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</si>
  <si>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</si>
  <si>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</si>
  <si>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</si>
  <si>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</si>
  <si>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</si>
  <si>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</si>
  <si>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</si>
  <si>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</si>
  <si>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</si>
  <si>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</si>
  <si>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</si>
  <si>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</si>
  <si>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</si>
  <si>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</si>
  <si>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</si>
  <si>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</si>
  <si>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</si>
  <si>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</si>
  <si>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</si>
  <si>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</si>
  <si>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</si>
  <si>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</si>
  <si>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</si>
  <si>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</si>
  <si>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</si>
  <si>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</si>
  <si>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</si>
  <si>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</si>
  <si>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</si>
  <si>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</si>
  <si>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</si>
  <si>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</si>
  <si>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</si>
  <si>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</si>
  <si>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</si>
  <si>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</si>
  <si>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</si>
  <si>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</si>
  <si>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</si>
  <si>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</si>
  <si>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</si>
  <si>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</si>
  <si>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</si>
  <si>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</si>
  <si>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</si>
  <si>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</si>
  <si>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</si>
  <si>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</si>
  <si>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</si>
  <si>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</si>
  <si>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</si>
  <si>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</si>
  <si>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</si>
  <si>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</si>
  <si>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</si>
  <si>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</si>
  <si>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</si>
  <si>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</si>
  <si>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</si>
  <si>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</si>
  <si>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</si>
  <si>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</si>
  <si>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</si>
  <si>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</si>
  <si>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</si>
  <si>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</si>
  <si>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</si>
  <si>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</si>
  <si>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</si>
  <si>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</si>
  <si>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</si>
  <si>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</si>
  <si>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</si>
  <si>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</si>
  <si>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</si>
  <si>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</si>
  <si>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</si>
  <si>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</si>
  <si>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</si>
  <si>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</si>
  <si>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</si>
  <si>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</si>
  <si>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</si>
  <si>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</si>
  <si>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</si>
  <si>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</si>
  <si>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</si>
  <si>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</si>
  <si>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</si>
  <si>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</si>
  <si>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</si>
  <si>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</si>
  <si>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</si>
  <si>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</si>
  <si>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</si>
  <si>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</si>
  <si>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</si>
  <si>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</si>
  <si>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</si>
  <si>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</si>
  <si>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</si>
  <si>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</si>
  <si>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</si>
  <si>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</si>
  <si>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</si>
  <si>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</si>
  <si>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</si>
  <si>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</si>
  <si>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</si>
  <si>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</si>
  <si>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</si>
  <si>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</si>
  <si>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</si>
  <si>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</si>
  <si>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</si>
  <si>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</si>
  <si>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</si>
  <si>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</si>
  <si>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</si>
  <si>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</si>
  <si>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</si>
  <si>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</si>
  <si>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</si>
  <si>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</si>
  <si>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</si>
  <si>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</si>
  <si>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</si>
  <si>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</si>
  <si>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</si>
  <si>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</si>
  <si>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</si>
  <si>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</si>
  <si>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</si>
  <si>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</si>
  <si>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</si>
  <si>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</si>
  <si>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</si>
  <si>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</si>
  <si>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</si>
  <si>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</si>
  <si>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</si>
  <si>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</si>
  <si>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</si>
  <si>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</si>
  <si>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</si>
  <si>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</si>
  <si>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</si>
  <si>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</si>
  <si>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</si>
  <si>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</si>
  <si>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</si>
  <si>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</si>
  <si>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</si>
  <si>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</si>
  <si>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</si>
  <si>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</si>
  <si>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</si>
  <si>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</si>
  <si>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</si>
  <si>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</si>
  <si>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</si>
  <si>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</si>
  <si>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</si>
  <si>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</si>
  <si>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</si>
  <si>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</si>
  <si>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</si>
  <si>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</si>
  <si>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</si>
  <si>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</si>
  <si>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</si>
  <si>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</si>
  <si>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</si>
  <si>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</si>
  <si>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</si>
  <si>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</si>
  <si>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</si>
  <si>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</si>
  <si>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</si>
  <si>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</si>
  <si>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</si>
  <si>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</si>
  <si>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</si>
  <si>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</si>
  <si>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</si>
  <si>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</si>
  <si>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</si>
  <si>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</si>
  <si>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</si>
  <si>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</si>
  <si>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</si>
  <si>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</si>
  <si>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</si>
  <si>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</si>
  <si>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</si>
  <si>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</si>
  <si>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</si>
  <si>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</si>
  <si>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</si>
  <si>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</si>
  <si>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</si>
  <si>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</si>
  <si>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</si>
  <si>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</si>
  <si>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</si>
  <si>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</si>
  <si>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</si>
  <si>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</si>
  <si>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</si>
  <si>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</si>
  <si>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</si>
  <si>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</si>
  <si>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</si>
  <si>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</si>
  <si>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</si>
  <si>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</si>
  <si>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</si>
  <si>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</si>
  <si>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</si>
  <si>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</si>
  <si>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</si>
  <si>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</si>
  <si>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</si>
  <si>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</si>
  <si>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</si>
  <si>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</si>
  <si>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</si>
  <si>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</si>
  <si>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</si>
  <si>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</si>
  <si>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</si>
  <si>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</si>
  <si>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</si>
  <si>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</si>
  <si>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</si>
  <si>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</si>
  <si>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</si>
  <si>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</si>
  <si>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</si>
  <si>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</si>
  <si>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</si>
  <si>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</si>
  <si>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</si>
  <si>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</si>
  <si>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</si>
  <si>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</si>
  <si>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</si>
  <si>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</si>
  <si>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</si>
  <si>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</si>
  <si>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</si>
  <si>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</si>
  <si>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</si>
  <si>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</si>
  <si>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</si>
  <si>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</si>
  <si>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</si>
  <si>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</si>
  <si>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</si>
  <si>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</si>
  <si>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</si>
  <si>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</si>
  <si>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</si>
  <si>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</si>
  <si>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</si>
  <si>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</si>
  <si>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</si>
  <si>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</si>
  <si>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</si>
  <si>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</si>
  <si>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</si>
  <si>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</si>
  <si>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</si>
  <si>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</si>
  <si>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</si>
  <si>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</si>
  <si>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</si>
  <si>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</si>
  <si>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</si>
  <si>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</si>
  <si>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</si>
  <si>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</si>
  <si>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</si>
  <si>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</si>
  <si>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</si>
  <si>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</si>
  <si>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</si>
  <si>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</si>
  <si>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</si>
  <si>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</si>
  <si>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</si>
  <si>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</si>
  <si>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</si>
  <si>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</si>
  <si>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</si>
  <si>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</si>
  <si>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</si>
  <si>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</si>
  <si>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</si>
  <si>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</si>
  <si>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</si>
  <si>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</si>
  <si>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</si>
  <si>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</si>
  <si>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</si>
  <si>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</si>
  <si>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</si>
  <si>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</si>
  <si>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</si>
  <si>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</si>
  <si>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</si>
  <si>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</si>
  <si>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</si>
  <si>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</si>
  <si>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</si>
  <si>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</si>
  <si>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</si>
  <si>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</si>
  <si>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</si>
  <si>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</si>
  <si>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</si>
  <si>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</si>
  <si>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</si>
  <si>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</si>
  <si>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</si>
  <si>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</si>
  <si>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</si>
  <si>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</si>
  <si>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</si>
  <si>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</si>
  <si>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</si>
  <si>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</si>
  <si>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</si>
  <si>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</si>
  <si>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</si>
  <si>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</si>
  <si>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</si>
  <si>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</si>
  <si>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</si>
  <si>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</si>
  <si>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</si>
  <si>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</si>
  <si>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</si>
  <si>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</si>
  <si>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</si>
  <si>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</si>
  <si>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</si>
  <si>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</si>
  <si>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</si>
  <si>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</si>
  <si>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</si>
  <si>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</si>
  <si>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</si>
  <si>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</si>
  <si>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</si>
  <si>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</si>
  <si>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</si>
  <si>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</si>
  <si>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</si>
  <si>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</si>
  <si>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</si>
  <si>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</si>
  <si>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</si>
  <si>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</si>
  <si>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</si>
  <si>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</si>
  <si>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</si>
  <si>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</si>
  <si>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</si>
  <si>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</si>
  <si>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</si>
  <si>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</si>
  <si>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</si>
  <si>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</si>
  <si>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</si>
  <si>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</si>
  <si>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</si>
  <si>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</si>
  <si>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</si>
  <si>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</si>
  <si>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</si>
  <si>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</si>
  <si>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</si>
  <si>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</si>
  <si>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</si>
  <si>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</si>
  <si>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</si>
  <si>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</si>
  <si>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</si>
  <si>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</si>
  <si>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</si>
  <si>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</si>
  <si>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</si>
  <si>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</si>
  <si>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</si>
  <si>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</si>
  <si>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</si>
  <si>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</si>
  <si>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</si>
  <si>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</si>
  <si>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</si>
  <si>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</si>
  <si>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</si>
  <si>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</si>
  <si>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</si>
  <si>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</si>
  <si>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</si>
  <si>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</si>
  <si>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</si>
  <si>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</si>
  <si>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</si>
  <si>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</si>
  <si>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</si>
  <si>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</si>
  <si>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</si>
  <si>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</si>
  <si>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</si>
  <si>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</si>
  <si>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</si>
  <si>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</si>
  <si>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</si>
  <si>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</si>
  <si>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</si>
  <si>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</si>
  <si>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</si>
  <si>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</si>
  <si>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</si>
  <si>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</si>
  <si>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</si>
  <si>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</si>
  <si>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</si>
  <si>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</si>
  <si>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</si>
  <si>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</si>
  <si>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</si>
  <si>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</si>
  <si>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</si>
  <si>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</si>
  <si>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</si>
  <si>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</si>
  <si>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</si>
  <si>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</si>
  <si>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</si>
  <si>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</si>
  <si>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</si>
  <si>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</si>
  <si>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</si>
  <si>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</si>
  <si>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</si>
  <si>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</si>
  <si>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</si>
  <si>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</si>
  <si>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</si>
  <si>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</si>
  <si>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</si>
  <si>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</si>
  <si>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</si>
  <si>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</si>
  <si>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</si>
  <si>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</si>
  <si>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</si>
  <si>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</si>
  <si>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</si>
  <si>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</si>
  <si>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</si>
  <si>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</si>
  <si>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</si>
  <si>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</si>
  <si>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</si>
  <si>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</si>
  <si>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</si>
  <si>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</si>
  <si>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</si>
  <si>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</si>
  <si>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</si>
  <si>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</si>
  <si>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</si>
  <si>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</si>
  <si>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</si>
  <si>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</si>
  <si>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</si>
  <si>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</si>
  <si>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</si>
  <si>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</si>
  <si>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</si>
  <si>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</si>
  <si>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</si>
  <si>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</si>
  <si>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</si>
  <si>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</si>
  <si>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</si>
  <si>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</si>
  <si>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</si>
  <si>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</si>
  <si>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</si>
  <si>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</si>
  <si>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</si>
  <si>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</si>
  <si>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</si>
  <si>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</si>
  <si>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</si>
  <si>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</si>
  <si>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</si>
  <si>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</si>
  <si>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</si>
  <si>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</si>
  <si>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</si>
  <si>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</si>
  <si>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</si>
  <si>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</si>
  <si>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</si>
  <si>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</si>
  <si>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</si>
  <si>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</si>
  <si>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</si>
  <si>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</si>
  <si>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</si>
  <si>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</si>
  <si>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</si>
  <si>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</si>
  <si>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</si>
  <si>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</si>
  <si>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</si>
  <si>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</si>
  <si>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</si>
  <si>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</si>
  <si>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</si>
  <si>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</si>
  <si>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</si>
  <si>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</si>
  <si>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</si>
  <si>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</si>
  <si>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</si>
  <si>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</si>
  <si>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</si>
  <si>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</si>
  <si>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</si>
  <si>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</si>
  <si>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</si>
  <si>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</si>
  <si>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</si>
  <si>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</si>
  <si>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</si>
  <si>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</si>
  <si>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</si>
  <si>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</si>
  <si>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</si>
  <si>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</si>
  <si>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</si>
  <si>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</si>
  <si>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</si>
  <si>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</si>
  <si>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</si>
  <si>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</si>
  <si>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</si>
  <si>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</si>
  <si>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</si>
  <si>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</si>
  <si>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</si>
  <si>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</si>
  <si>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</si>
  <si>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</si>
  <si>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</si>
  <si>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</si>
  <si>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</si>
  <si>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</si>
  <si>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</si>
  <si>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</si>
  <si>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</si>
  <si>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</si>
  <si>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</si>
  <si>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</si>
  <si>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</si>
  <si>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</si>
  <si>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</si>
  <si>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</si>
  <si>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</si>
  <si>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</si>
  <si>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</si>
  <si>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</si>
  <si>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</si>
  <si>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</si>
  <si>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</si>
  <si>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</si>
  <si>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</si>
  <si>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</si>
  <si>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</si>
  <si>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</si>
  <si>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</si>
  <si>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</si>
  <si>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</si>
  <si>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</si>
  <si>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</si>
  <si>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</si>
  <si>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</si>
  <si>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</si>
  <si>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</si>
  <si>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</si>
  <si>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</si>
  <si>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</si>
  <si>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</si>
  <si>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</si>
  <si>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</si>
  <si>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</si>
  <si>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</si>
  <si>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</si>
  <si>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</si>
  <si>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</si>
  <si>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</si>
  <si>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</si>
  <si>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</si>
  <si>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</si>
  <si>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</si>
  <si>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</si>
  <si>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</si>
  <si>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</si>
  <si>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</si>
  <si>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</si>
  <si>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</si>
  <si>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</si>
  <si>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</si>
  <si>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</si>
  <si>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</si>
  <si>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</si>
  <si>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</si>
  <si>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</si>
  <si>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</si>
  <si>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</si>
  <si>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</si>
  <si>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</si>
  <si>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</si>
  <si>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</si>
  <si>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</si>
  <si>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</si>
  <si>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</si>
  <si>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</si>
  <si>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</si>
  <si>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</si>
  <si>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</si>
  <si>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</si>
  <si>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</si>
  <si>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</si>
  <si>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</si>
  <si>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</si>
  <si>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</si>
  <si>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</si>
  <si>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</si>
  <si>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</si>
  <si>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</si>
  <si>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</si>
  <si>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</si>
  <si>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</si>
  <si>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</si>
  <si>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</si>
  <si>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</si>
  <si>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</si>
  <si>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</si>
  <si>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</si>
  <si>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</si>
  <si>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</si>
  <si>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</si>
  <si>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</si>
  <si>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</si>
  <si>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</si>
  <si>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</si>
  <si>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</si>
  <si>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</si>
  <si>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</si>
  <si>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</si>
  <si>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</si>
  <si>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</si>
  <si>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</si>
  <si>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</si>
  <si>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</si>
  <si>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</si>
  <si>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</si>
  <si>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</si>
  <si>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</si>
  <si>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</si>
  <si>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</si>
  <si>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</si>
  <si>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</si>
  <si>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</si>
  <si>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</si>
  <si>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</si>
  <si>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</si>
  <si>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</si>
  <si>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</si>
  <si>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</si>
  <si>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</si>
  <si>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</si>
  <si>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</si>
  <si>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</si>
  <si>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</si>
  <si>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</si>
  <si>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</si>
  <si>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</si>
  <si>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</si>
  <si>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</si>
  <si>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</si>
  <si>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</si>
  <si>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</si>
  <si>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</si>
  <si>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</si>
  <si>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</si>
  <si>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</si>
  <si>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</si>
  <si>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</si>
  <si>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</si>
  <si>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</si>
  <si>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</si>
  <si>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</si>
  <si>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</si>
  <si>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</si>
  <si>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</si>
  <si>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</si>
  <si>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</si>
  <si>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</si>
  <si>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</si>
  <si>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</si>
  <si>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</si>
  <si>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</si>
  <si>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</si>
  <si>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</si>
  <si>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</si>
  <si>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</si>
  <si>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</si>
  <si>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</si>
  <si>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</si>
  <si>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</si>
  <si>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</si>
  <si>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</si>
  <si>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</si>
  <si>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</si>
  <si>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</si>
  <si>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</si>
  <si>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</si>
  <si>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</si>
  <si>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</si>
  <si>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</si>
  <si>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</si>
  <si>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</si>
  <si>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</si>
  <si>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</si>
  <si>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</si>
  <si>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</si>
  <si>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</si>
  <si>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</si>
  <si>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</si>
  <si>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</si>
  <si>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</si>
  <si>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</si>
  <si>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</si>
  <si>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</si>
  <si>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</si>
  <si>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</si>
  <si>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</si>
  <si>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</si>
  <si>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</si>
  <si>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</si>
  <si>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</si>
  <si>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</si>
  <si>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</si>
  <si>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</si>
  <si>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</si>
  <si>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</si>
  <si>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</si>
  <si>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</si>
  <si>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</si>
  <si>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</si>
  <si>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</si>
  <si>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</si>
  <si>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</si>
  <si>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</si>
  <si>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</si>
  <si>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</si>
  <si>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</si>
  <si>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</si>
  <si>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</si>
  <si>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</si>
  <si>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</si>
  <si>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</si>
  <si>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</si>
  <si>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</si>
  <si>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</si>
  <si>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</si>
  <si>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</si>
  <si>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</si>
  <si>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</si>
  <si>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</si>
  <si>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</si>
  <si>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</si>
  <si>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</si>
  <si>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</si>
  <si>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</si>
  <si>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</si>
  <si>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</si>
  <si>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</si>
  <si>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</si>
  <si>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</si>
  <si>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</si>
  <si>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신규</t>
  </si>
  <si>
    <t>㈜씨엠이엔지 직영 대광주유소</t>
  </si>
  <si>
    <t>충남 아산시 문화로 363</t>
  </si>
  <si>
    <t>현행화 일자: 2026-09-15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</si>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</sst>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2258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2258</v>
      </c>
      <c r="N20" s="12">
        <f t="shared" si="4"/>
        <v>1833</v>
      </c>
      <c r="O20" s="12" t="str">
        <f t="shared" si="5"/>
        <v>휘발유 45,600원 / 고급유 45,160원</v>
      </c>
      <c r="P20" s="12">
        <f t="shared" si="6"/>
        <v>90760</v>
      </c>
      <c r="Q20" s="12" t="s">
        <v>61</v>
      </c>
      <c r="R20" s="13">
        <f t="shared" si="7"/>
        <v>0.15</v>
      </c>
      <c r="S20" s="12">
        <f t="shared" si="8"/>
        <v>13614</v>
      </c>
      <c r="T20" s="12">
        <f t="shared" si="9"/>
        <v>77146</v>
      </c>
      <c r="U20" s="12">
        <f t="shared" si="10"/>
        <v>1714.3555555555556</v>
      </c>
      <c r="V20" s="12">
        <f t="shared" si="11"/>
        <v>2016.8888888888889</v>
      </c>
      <c r="W20" s="14">
        <f t="shared" si="12"/>
        <v>77146</v>
      </c>
    </row>
    <row r="21" spans="1:23" s="2" customFormat="1" ht="28.5" customHeight="1">
      <c r="A21" s="11">
        <f t="shared" si="0"/>
        <v>7</v>
      </c>
      <c r="B21" s="11" t="s">
        <v>10</v>
      </c>
      <c r="C21" s="11" t="s">
        <v>884</v>
      </c>
      <c r="D21" s="15" t="s">
        <v>45</v>
      </c>
      <c r="E21" s="11" t="s">
        <v>26</v>
      </c>
      <c r="F21" s="11" t="s">
        <v>885</v>
      </c>
      <c r="G21" s="12">
        <v>1830</v>
      </c>
      <c r="H21" s="12">
        <v>2270</v>
      </c>
      <c r="I21" s="12"/>
      <c r="J21" s="12">
        <v>1810</v>
      </c>
      <c r="K21" s="12">
        <f t="shared" si="1"/>
        <v>0</v>
      </c>
      <c r="L21" s="12">
        <f t="shared" si="2"/>
        <v>1830</v>
      </c>
      <c r="M21" s="12">
        <f t="shared" si="3"/>
        <v>2270</v>
      </c>
      <c r="N21" s="12">
        <f t="shared" si="4"/>
        <v>1810</v>
      </c>
      <c r="O21" s="12" t="str">
        <f t="shared" si="5"/>
        <v>휘발유 45,750원 / 고급유 45,400원</v>
      </c>
      <c r="P21" s="12">
        <f t="shared" si="6"/>
        <v>91150</v>
      </c>
      <c r="Q21" s="12" t="s">
        <v>61</v>
      </c>
      <c r="R21" s="13">
        <f t="shared" si="7"/>
        <v>0.15</v>
      </c>
      <c r="S21" s="12">
        <f t="shared" si="8"/>
        <v>13672</v>
      </c>
      <c r="T21" s="12">
        <f t="shared" si="9"/>
        <v>77478</v>
      </c>
      <c r="U21" s="12">
        <f t="shared" si="10"/>
        <v>1721.7333333333333</v>
      </c>
      <c r="V21" s="12">
        <f t="shared" si="11"/>
        <v>2025.5555555555557</v>
      </c>
      <c r="W21" s="14">
        <f t="shared" si="12"/>
        <v>77478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1078</v>
      </c>
      <c r="D24" s="15" t="s">
        <v>59</v>
      </c>
      <c r="E24" s="11" t="s">
        <v>26</v>
      </c>
      <c r="F24" s="11" t="s">
        <v>1079</v>
      </c>
      <c r="G24" s="12">
        <v>1847</v>
      </c>
      <c r="H24" s="12">
        <v>2287</v>
      </c>
      <c r="I24" s="12"/>
      <c r="J24" s="12">
        <v>2028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2028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2" customFormat="1" ht="28.5" customHeight="1">
      <c r="A34" s="11">
        <f t="shared" si="0"/>
        <v>20</v>
      </c>
      <c r="B34" s="11" t="s">
        <v>12</v>
      </c>
      <c r="C34" s="11" t="s">
        <v>822</v>
      </c>
      <c r="D34" s="15" t="s">
        <v>45</v>
      </c>
      <c r="E34" s="11" t="s">
        <v>26</v>
      </c>
      <c r="F34" s="11" t="s">
        <v>823</v>
      </c>
      <c r="G34" s="12">
        <v>1799</v>
      </c>
      <c r="H34" s="12">
        <v>2229</v>
      </c>
      <c r="I34" s="12"/>
      <c r="J34" s="12">
        <v>1794</v>
      </c>
      <c r="K34" s="12">
        <f t="shared" si="1"/>
        <v>0</v>
      </c>
      <c r="L34" s="12">
        <f t="shared" si="2"/>
        <v>1799</v>
      </c>
      <c r="M34" s="12">
        <f t="shared" si="3"/>
        <v>2229</v>
      </c>
      <c r="N34" s="12">
        <f t="shared" si="4"/>
        <v>1794</v>
      </c>
      <c r="O34" s="12" t="str">
        <f t="shared" si="5"/>
        <v>휘발유 44,975원 / 고급유 44,580원</v>
      </c>
      <c r="P34" s="12">
        <f t="shared" si="6"/>
        <v>89555</v>
      </c>
      <c r="Q34" s="12" t="s">
        <v>61</v>
      </c>
      <c r="R34" s="13">
        <f t="shared" si="7"/>
        <v>0.1</v>
      </c>
      <c r="S34" s="12">
        <f t="shared" si="8"/>
        <v>8955</v>
      </c>
      <c r="T34" s="12">
        <f t="shared" si="9"/>
        <v>80600</v>
      </c>
      <c r="U34" s="12">
        <f t="shared" si="10"/>
        <v>1791.1111111111111</v>
      </c>
      <c r="V34" s="12">
        <f t="shared" si="11"/>
        <v>1990.1111111111111</v>
      </c>
      <c r="W34" s="14">
        <f t="shared" si="12"/>
        <v>80600</v>
      </c>
    </row>
    <row r="35" spans="1:23" s="16" customFormat="1" ht="28.5" customHeight="1">
      <c r="A35" s="11">
        <f t="shared" si="0"/>
        <v>21</v>
      </c>
      <c r="B35" s="11" t="s">
        <v>12</v>
      </c>
      <c r="C35" s="11" t="s">
        <v>580</v>
      </c>
      <c r="D35" s="15" t="s">
        <v>78</v>
      </c>
      <c r="E35" s="11" t="s">
        <v>26</v>
      </c>
      <c r="F35" s="11" t="s">
        <v>581</v>
      </c>
      <c r="G35" s="12">
        <v>1809</v>
      </c>
      <c r="H35" s="12">
        <v>2225</v>
      </c>
      <c r="I35" s="12"/>
      <c r="J35" s="12">
        <v>1809</v>
      </c>
      <c r="K35" s="12">
        <f t="shared" si="1"/>
        <v>0</v>
      </c>
      <c r="L35" s="12">
        <f t="shared" si="2"/>
        <v>1809</v>
      </c>
      <c r="M35" s="12">
        <f t="shared" si="3"/>
        <v>2225</v>
      </c>
      <c r="N35" s="12">
        <f t="shared" si="4"/>
        <v>1809</v>
      </c>
      <c r="O35" s="12" t="str">
        <f t="shared" si="5"/>
        <v>휘발유 45,225원 / 고급유 44,500원</v>
      </c>
      <c r="P35" s="12">
        <f t="shared" si="6"/>
        <v>89725</v>
      </c>
      <c r="Q35" s="12" t="s">
        <v>61</v>
      </c>
      <c r="R35" s="13">
        <f t="shared" si="7"/>
        <v>0.1</v>
      </c>
      <c r="S35" s="12">
        <f t="shared" si="8"/>
        <v>8972</v>
      </c>
      <c r="T35" s="12">
        <f t="shared" si="9"/>
        <v>80753</v>
      </c>
      <c r="U35" s="12">
        <f t="shared" si="10"/>
        <v>1794.5111111111112</v>
      </c>
      <c r="V35" s="12">
        <f t="shared" si="11"/>
        <v>1993.8888888888889</v>
      </c>
      <c r="W35" s="14">
        <f t="shared" si="12"/>
        <v>80753</v>
      </c>
    </row>
    <row r="36" spans="1:23" s="7" customFormat="1" ht="28.5" customHeight="1">
      <c r="A36" s="11">
        <f t="shared" si="0"/>
        <v>22</v>
      </c>
      <c r="B36" s="11" t="s">
        <v>12</v>
      </c>
      <c r="C36" s="11" t="s">
        <v>1288</v>
      </c>
      <c r="D36" s="15" t="s">
        <v>78</v>
      </c>
      <c r="E36" s="11" t="s">
        <v>26</v>
      </c>
      <c r="F36" s="11" t="s">
        <v>1289</v>
      </c>
      <c r="G36" s="12">
        <v>1819</v>
      </c>
      <c r="H36" s="12">
        <v>2259</v>
      </c>
      <c r="I36" s="12"/>
      <c r="J36" s="12">
        <v>1869</v>
      </c>
      <c r="K36" s="12">
        <f t="shared" si="1"/>
        <v>0</v>
      </c>
      <c r="L36" s="12">
        <f t="shared" si="2"/>
        <v>1819</v>
      </c>
      <c r="M36" s="12">
        <f t="shared" si="3"/>
        <v>2259</v>
      </c>
      <c r="N36" s="12">
        <f t="shared" si="4"/>
        <v>1869</v>
      </c>
      <c r="O36" s="12" t="str">
        <f t="shared" si="5"/>
        <v>휘발유 45,475원 / 고급유 45,180원</v>
      </c>
      <c r="P36" s="12">
        <f t="shared" si="6"/>
        <v>90655</v>
      </c>
      <c r="Q36" s="12" t="s">
        <v>61</v>
      </c>
      <c r="R36" s="13">
        <f t="shared" si="7"/>
        <v>0.1</v>
      </c>
      <c r="S36" s="12">
        <f t="shared" si="8"/>
        <v>9065</v>
      </c>
      <c r="T36" s="12">
        <f t="shared" si="9"/>
        <v>81590</v>
      </c>
      <c r="U36" s="12">
        <f t="shared" si="10"/>
        <v>1813.1111111111111</v>
      </c>
      <c r="V36" s="12">
        <f t="shared" si="11"/>
        <v>2014.5555555555557</v>
      </c>
      <c r="W36" s="14">
        <f t="shared" si="12"/>
        <v>81590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1833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1833</v>
      </c>
      <c r="M40" s="12">
        <f t="shared" si="3"/>
        <v>2278</v>
      </c>
      <c r="N40" s="12">
        <f t="shared" si="4"/>
        <v>1813</v>
      </c>
      <c r="O40" s="12" t="str">
        <f t="shared" si="5"/>
        <v>휘발유 45,825원 / 고급유 45,560원</v>
      </c>
      <c r="P40" s="12">
        <f t="shared" si="6"/>
        <v>91385</v>
      </c>
      <c r="Q40" s="12" t="s">
        <v>61</v>
      </c>
      <c r="R40" s="13">
        <f t="shared" si="7"/>
        <v>0.1</v>
      </c>
      <c r="S40" s="12">
        <f t="shared" si="8"/>
        <v>9138</v>
      </c>
      <c r="T40" s="12">
        <f t="shared" si="9"/>
        <v>82247</v>
      </c>
      <c r="U40" s="12">
        <f t="shared" si="10"/>
        <v>1827.7111111111112</v>
      </c>
      <c r="V40" s="12">
        <f t="shared" si="11"/>
        <v>2030.7777777777778</v>
      </c>
      <c r="W40" s="14">
        <f t="shared" si="12"/>
        <v>82247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2598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2598</v>
      </c>
      <c r="N49" s="12">
        <f t="shared" si="4"/>
        <v>1979</v>
      </c>
      <c r="O49" s="12" t="str">
        <f t="shared" si="5"/>
        <v>휘발유 49,475원 / 고급유 51,960원</v>
      </c>
      <c r="P49" s="12">
        <f t="shared" si="6"/>
        <v>101435</v>
      </c>
      <c r="Q49" s="12" t="s">
        <v>61</v>
      </c>
      <c r="R49" s="13">
        <f t="shared" si="7"/>
        <v>0.15</v>
      </c>
      <c r="S49" s="12">
        <f t="shared" si="8"/>
        <v>15215</v>
      </c>
      <c r="T49" s="12">
        <f t="shared" si="9"/>
        <v>86220</v>
      </c>
      <c r="U49" s="12">
        <f t="shared" si="10"/>
        <v>1916</v>
      </c>
      <c r="V49" s="12">
        <f t="shared" si="11"/>
        <v>2254.1111111111113</v>
      </c>
      <c r="W49" s="14">
        <f t="shared" si="12"/>
        <v>86220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320</v>
      </c>
      <c r="D50" s="15" t="s">
        <v>59</v>
      </c>
      <c r="E50" s="11" t="s">
        <v>26</v>
      </c>
      <c r="F50" s="11" t="s">
        <v>321</v>
      </c>
      <c r="G50" s="12">
        <v>1789</v>
      </c>
      <c r="H50" s="12">
        <v>2229</v>
      </c>
      <c r="I50" s="12"/>
      <c r="J50" s="12">
        <v>1784</v>
      </c>
      <c r="K50" s="12">
        <f t="shared" si="1"/>
        <v>0</v>
      </c>
      <c r="L50" s="12">
        <f t="shared" si="2"/>
        <v>1789</v>
      </c>
      <c r="M50" s="12">
        <f t="shared" si="3"/>
        <v>2229</v>
      </c>
      <c r="N50" s="12">
        <f t="shared" si="4"/>
        <v>1784</v>
      </c>
      <c r="O50" s="12" t="str">
        <f t="shared" si="5"/>
        <v>휘발유 44,725원 / 고급유 44,580원</v>
      </c>
      <c r="P50" s="12">
        <f t="shared" si="6"/>
        <v>89305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89305</v>
      </c>
      <c r="U50" s="12">
        <f t="shared" si="10"/>
        <v>1984.5555555555557</v>
      </c>
      <c r="V50" s="12">
        <f t="shared" si="11"/>
        <v>1984.5555555555557</v>
      </c>
      <c r="W50" s="14">
        <f t="shared" si="12"/>
        <v>89305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1795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1795</v>
      </c>
      <c r="M51" s="12">
        <f t="shared" si="3"/>
        <v>2225</v>
      </c>
      <c r="N51" s="12">
        <f t="shared" si="4"/>
        <v>1795</v>
      </c>
      <c r="O51" s="12" t="str">
        <f t="shared" si="5"/>
        <v>휘발유 44,875원 / 고급유 44,500원</v>
      </c>
      <c r="P51" s="12">
        <f t="shared" si="6"/>
        <v>89375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89375</v>
      </c>
      <c r="U51" s="12">
        <f t="shared" si="10"/>
        <v>1986.1111111111111</v>
      </c>
      <c r="V51" s="12">
        <f t="shared" si="11"/>
        <v>1986.1111111111111</v>
      </c>
      <c r="W51" s="14">
        <f t="shared" si="12"/>
        <v>89375</v>
      </c>
    </row>
    <row r="52" spans="1:23" s="2" customFormat="1" ht="28.5" customHeight="1">
      <c r="A52" s="11">
        <f t="shared" si="0"/>
        <v>38</v>
      </c>
      <c r="B52" s="11" t="s">
        <v>12</v>
      </c>
      <c r="C52" s="11" t="s">
        <v>1217</v>
      </c>
      <c r="D52" s="15" t="s">
        <v>45</v>
      </c>
      <c r="E52" s="11" t="s">
        <v>26</v>
      </c>
      <c r="F52" s="11" t="s">
        <v>1218</v>
      </c>
      <c r="G52" s="12">
        <v>1799</v>
      </c>
      <c r="H52" s="12">
        <v>2229</v>
      </c>
      <c r="I52" s="12"/>
      <c r="J52" s="12">
        <v>1839</v>
      </c>
      <c r="K52" s="12">
        <f t="shared" si="1"/>
        <v>0</v>
      </c>
      <c r="L52" s="12">
        <f t="shared" si="2"/>
        <v>1799</v>
      </c>
      <c r="M52" s="12">
        <f t="shared" si="3"/>
        <v>2229</v>
      </c>
      <c r="N52" s="12">
        <f t="shared" si="4"/>
        <v>1839</v>
      </c>
      <c r="O52" s="12" t="str">
        <f t="shared" si="5"/>
        <v>휘발유 44,975원 / 고급유 44,580원</v>
      </c>
      <c r="P52" s="12">
        <f t="shared" si="6"/>
        <v>89555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89555</v>
      </c>
      <c r="U52" s="12">
        <f t="shared" si="10"/>
        <v>1990.1111111111111</v>
      </c>
      <c r="V52" s="12">
        <f t="shared" si="11"/>
        <v>1990.1111111111111</v>
      </c>
      <c r="W52" s="14">
        <f t="shared" si="12"/>
        <v>89555</v>
      </c>
    </row>
    <row r="53" spans="1:23" s="16" customFormat="1" ht="28.5" customHeight="1">
      <c r="A53" s="11">
        <f t="shared" si="0"/>
        <v>39</v>
      </c>
      <c r="B53" s="11" t="s">
        <v>10</v>
      </c>
      <c r="C53" s="11" t="s">
        <v>1552</v>
      </c>
      <c r="D53" s="15" t="s">
        <v>59</v>
      </c>
      <c r="E53" s="11" t="s">
        <v>26</v>
      </c>
      <c r="F53" s="11" t="s">
        <v>1553</v>
      </c>
      <c r="G53" s="12">
        <v>1818</v>
      </c>
      <c r="H53" s="12">
        <v>2218</v>
      </c>
      <c r="I53" s="12"/>
      <c r="J53" s="12">
        <v>1809</v>
      </c>
      <c r="K53" s="12">
        <f t="shared" si="1"/>
        <v>0</v>
      </c>
      <c r="L53" s="12">
        <f t="shared" si="2"/>
        <v>1818</v>
      </c>
      <c r="M53" s="12">
        <f t="shared" si="3"/>
        <v>2218</v>
      </c>
      <c r="N53" s="12">
        <f t="shared" si="4"/>
        <v>1809</v>
      </c>
      <c r="O53" s="12" t="str">
        <f t="shared" si="5"/>
        <v>휘발유 45,450원 / 고급유 44,360원</v>
      </c>
      <c r="P53" s="12">
        <f t="shared" si="6"/>
        <v>89810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89810</v>
      </c>
      <c r="U53" s="12">
        <f t="shared" si="10"/>
        <v>1995.7777777777778</v>
      </c>
      <c r="V53" s="12">
        <f t="shared" si="11"/>
        <v>1995.7777777777778</v>
      </c>
      <c r="W53" s="14">
        <f t="shared" si="12"/>
        <v>89810</v>
      </c>
    </row>
    <row r="54" spans="1:23" s="16" customFormat="1" ht="28.5" customHeight="1">
      <c r="A54" s="11">
        <f t="shared" si="0"/>
        <v>40</v>
      </c>
      <c r="B54" s="11" t="s">
        <v>12</v>
      </c>
      <c r="C54" s="11" t="s">
        <v>684</v>
      </c>
      <c r="D54" s="15" t="s">
        <v>59</v>
      </c>
      <c r="E54" s="11" t="s">
        <v>26</v>
      </c>
      <c r="F54" s="11" t="s">
        <v>685</v>
      </c>
      <c r="G54" s="12">
        <v>1814</v>
      </c>
      <c r="H54" s="12">
        <v>2229</v>
      </c>
      <c r="I54" s="12"/>
      <c r="J54" s="12">
        <v>1784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1784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40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1163</v>
      </c>
      <c r="D57" s="15" t="s">
        <v>59</v>
      </c>
      <c r="E57" s="11" t="s">
        <v>26</v>
      </c>
      <c r="F57" s="11" t="s">
        <v>1164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1396</v>
      </c>
      <c r="D58" s="15" t="s">
        <v>59</v>
      </c>
      <c r="E58" s="11" t="s">
        <v>60</v>
      </c>
      <c r="F58" s="11" t="s">
        <v>1397</v>
      </c>
      <c r="G58" s="12">
        <v>1815</v>
      </c>
      <c r="H58" s="12">
        <v>2235</v>
      </c>
      <c r="I58" s="12"/>
      <c r="J58" s="12">
        <v>1799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1799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332</v>
      </c>
      <c r="D59" s="15" t="s">
        <v>59</v>
      </c>
      <c r="E59" s="11" t="s">
        <v>26</v>
      </c>
      <c r="F59" s="11" t="s">
        <v>333</v>
      </c>
      <c r="G59" s="12">
        <v>1815</v>
      </c>
      <c r="H59" s="12">
        <v>2235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2235</v>
      </c>
      <c r="N59" s="12">
        <f t="shared" si="4"/>
        <v>1805</v>
      </c>
      <c r="O59" s="12" t="str">
        <f t="shared" si="5"/>
        <v>휘발유 45,375원 / 고급유 44,700원</v>
      </c>
      <c r="P59" s="12">
        <f t="shared" si="6"/>
        <v>90075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90075</v>
      </c>
      <c r="U59" s="12">
        <f t="shared" si="10"/>
        <v>2001.6666666666667</v>
      </c>
      <c r="V59" s="12">
        <f t="shared" si="11"/>
        <v>2001.6666666666667</v>
      </c>
      <c r="W59" s="14">
        <f t="shared" si="12"/>
        <v>90075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802</v>
      </c>
      <c r="D60" s="15" t="s">
        <v>59</v>
      </c>
      <c r="E60" s="11" t="s">
        <v>26</v>
      </c>
      <c r="F60" s="11" t="s">
        <v>803</v>
      </c>
      <c r="G60" s="12">
        <v>1828</v>
      </c>
      <c r="H60" s="12">
        <v>2220</v>
      </c>
      <c r="I60" s="12"/>
      <c r="J60" s="12">
        <v>1795</v>
      </c>
      <c r="K60" s="12">
        <f t="shared" si="1"/>
        <v>0</v>
      </c>
      <c r="L60" s="12">
        <f t="shared" si="2"/>
        <v>1828</v>
      </c>
      <c r="M60" s="12">
        <f t="shared" si="3"/>
        <v>2220</v>
      </c>
      <c r="N60" s="12">
        <f t="shared" si="4"/>
        <v>1795</v>
      </c>
      <c r="O60" s="12" t="str">
        <f t="shared" si="5"/>
        <v>휘발유 45,700원 / 고급유 44,400원</v>
      </c>
      <c r="P60" s="12">
        <f t="shared" si="6"/>
        <v>90100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90100</v>
      </c>
      <c r="U60" s="12">
        <f t="shared" si="10"/>
        <v>2002.2222222222222</v>
      </c>
      <c r="V60" s="12">
        <f t="shared" si="11"/>
        <v>2002.2222222222222</v>
      </c>
      <c r="W60" s="14">
        <f t="shared" si="12"/>
        <v>90100</v>
      </c>
    </row>
    <row r="61" spans="1:23" s="2" customFormat="1" ht="28.5" customHeight="1">
      <c r="A61" s="11">
        <f t="shared" si="0"/>
        <v>47</v>
      </c>
      <c r="B61" s="11" t="s">
        <v>10</v>
      </c>
      <c r="C61" s="11" t="s">
        <v>739</v>
      </c>
      <c r="D61" s="11" t="s">
        <v>57</v>
      </c>
      <c r="E61" s="11" t="s">
        <v>26</v>
      </c>
      <c r="F61" s="11" t="s">
        <v>740</v>
      </c>
      <c r="G61" s="12">
        <v>1829</v>
      </c>
      <c r="H61" s="12">
        <v>2219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2219</v>
      </c>
      <c r="N61" s="12">
        <f t="shared" si="4"/>
        <v>1809</v>
      </c>
      <c r="O61" s="12" t="str">
        <f t="shared" si="5"/>
        <v>휘발유 45,725원 / 고급유 44,380원</v>
      </c>
      <c r="P61" s="12">
        <f t="shared" si="6"/>
        <v>90105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90105</v>
      </c>
      <c r="U61" s="12">
        <f t="shared" si="10"/>
        <v>2002.3333333333333</v>
      </c>
      <c r="V61" s="12">
        <f t="shared" si="11"/>
        <v>2002.3333333333333</v>
      </c>
      <c r="W61" s="14">
        <f t="shared" si="12"/>
        <v>90105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1699</v>
      </c>
      <c r="D62" s="15" t="s">
        <v>45</v>
      </c>
      <c r="E62" s="11" t="s">
        <v>26</v>
      </c>
      <c r="F62" s="11" t="s">
        <v>1700</v>
      </c>
      <c r="G62" s="12">
        <v>1825</v>
      </c>
      <c r="H62" s="12">
        <v>2225</v>
      </c>
      <c r="I62" s="12"/>
      <c r="J62" s="12">
        <v>1810</v>
      </c>
      <c r="K62" s="12">
        <f t="shared" si="1"/>
        <v>0</v>
      </c>
      <c r="L62" s="12">
        <f t="shared" si="2"/>
        <v>1825</v>
      </c>
      <c r="M62" s="12">
        <f t="shared" si="3"/>
        <v>2225</v>
      </c>
      <c r="N62" s="12">
        <f t="shared" si="4"/>
        <v>1810</v>
      </c>
      <c r="O62" s="12" t="str">
        <f t="shared" si="5"/>
        <v>휘발유 45,625원 / 고급유 44,500원</v>
      </c>
      <c r="P62" s="12">
        <f t="shared" si="6"/>
        <v>90125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90125</v>
      </c>
      <c r="U62" s="12">
        <f t="shared" si="10"/>
        <v>2002.7777777777778</v>
      </c>
      <c r="V62" s="12">
        <f t="shared" si="11"/>
        <v>2002.7777777777778</v>
      </c>
      <c r="W62" s="14">
        <f t="shared" si="12"/>
        <v>90125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314</v>
      </c>
      <c r="D63" s="15" t="s">
        <v>45</v>
      </c>
      <c r="E63" s="11" t="s">
        <v>26</v>
      </c>
      <c r="F63" s="11" t="s">
        <v>315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49</v>
      </c>
      <c r="B64" s="11" t="s">
        <v>6</v>
      </c>
      <c r="C64" s="11" t="s">
        <v>1324</v>
      </c>
      <c r="D64" s="15" t="s">
        <v>45</v>
      </c>
      <c r="E64" s="11" t="s">
        <v>26</v>
      </c>
      <c r="F64" s="11" t="s">
        <v>1325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2" customFormat="1" ht="28.5" customHeight="1">
      <c r="A65" s="11">
        <f t="shared" si="0"/>
        <v>49</v>
      </c>
      <c r="B65" s="11" t="s">
        <v>6</v>
      </c>
      <c r="C65" s="11" t="s">
        <v>1504</v>
      </c>
      <c r="D65" s="15" t="s">
        <v>45</v>
      </c>
      <c r="E65" s="11" t="s">
        <v>26</v>
      </c>
      <c r="F65" s="11" t="s">
        <v>1505</v>
      </c>
      <c r="G65" s="12">
        <v>1814</v>
      </c>
      <c r="H65" s="12">
        <v>2239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2239</v>
      </c>
      <c r="N65" s="12">
        <f t="shared" si="4"/>
        <v>1814</v>
      </c>
      <c r="O65" s="12" t="str">
        <f t="shared" si="5"/>
        <v>휘발유 45,350원 / 고급유 44,780원</v>
      </c>
      <c r="P65" s="12">
        <f t="shared" si="6"/>
        <v>90130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90130</v>
      </c>
      <c r="U65" s="12">
        <f t="shared" si="10"/>
        <v>2002.8888888888889</v>
      </c>
      <c r="V65" s="12">
        <f t="shared" si="11"/>
        <v>2002.8888888888889</v>
      </c>
      <c r="W65" s="14">
        <f t="shared" si="12"/>
        <v>90130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886</v>
      </c>
      <c r="D66" s="15" t="s">
        <v>45</v>
      </c>
      <c r="E66" s="11" t="s">
        <v>26</v>
      </c>
      <c r="F66" s="11" t="s">
        <v>887</v>
      </c>
      <c r="G66" s="12">
        <v>1819</v>
      </c>
      <c r="H66" s="12">
        <v>2235</v>
      </c>
      <c r="I66" s="12"/>
      <c r="J66" s="12">
        <v>1799</v>
      </c>
      <c r="K66" s="12">
        <f t="shared" si="1"/>
        <v>0</v>
      </c>
      <c r="L66" s="12">
        <f t="shared" si="2"/>
        <v>1819</v>
      </c>
      <c r="M66" s="12">
        <f t="shared" si="3"/>
        <v>2235</v>
      </c>
      <c r="N66" s="12">
        <f t="shared" si="4"/>
        <v>1799</v>
      </c>
      <c r="O66" s="12" t="str">
        <f t="shared" si="5"/>
        <v>휘발유 45,475원 / 고급유 44,700원</v>
      </c>
      <c r="P66" s="12">
        <f t="shared" si="6"/>
        <v>90175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90175</v>
      </c>
      <c r="U66" s="12">
        <f t="shared" si="10"/>
        <v>2003.8888888888889</v>
      </c>
      <c r="V66" s="12">
        <f t="shared" si="11"/>
        <v>2003.8888888888889</v>
      </c>
      <c r="W66" s="14">
        <f t="shared" si="12"/>
        <v>90175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1125</v>
      </c>
      <c r="D68" s="15" t="s">
        <v>45</v>
      </c>
      <c r="E68" s="11" t="s">
        <v>26</v>
      </c>
      <c r="F68" s="11" t="s">
        <v>1126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1225</v>
      </c>
      <c r="D69" s="15" t="s">
        <v>45</v>
      </c>
      <c r="E69" s="11" t="s">
        <v>26</v>
      </c>
      <c r="F69" s="11" t="s">
        <v>1226</v>
      </c>
      <c r="G69" s="12">
        <v>1804</v>
      </c>
      <c r="H69" s="12">
        <v>2258</v>
      </c>
      <c r="I69" s="12"/>
      <c r="J69" s="12">
        <v>1792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1792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16" customFormat="1" ht="28.5" customHeight="1">
      <c r="A70" s="11">
        <f t="shared" si="0"/>
        <v>56</v>
      </c>
      <c r="B70" s="11" t="s">
        <v>16</v>
      </c>
      <c r="C70" s="11" t="s">
        <v>643</v>
      </c>
      <c r="D70" s="11" t="s">
        <v>57</v>
      </c>
      <c r="E70" s="11" t="s">
        <v>26</v>
      </c>
      <c r="F70" s="11" t="s">
        <v>644</v>
      </c>
      <c r="G70" s="12">
        <v>1859</v>
      </c>
      <c r="H70" s="12">
        <v>2190</v>
      </c>
      <c r="I70" s="12"/>
      <c r="J70" s="12">
        <v>1819</v>
      </c>
      <c r="K70" s="12">
        <f t="shared" si="1"/>
        <v>0</v>
      </c>
      <c r="L70" s="12">
        <f t="shared" si="2"/>
        <v>1859</v>
      </c>
      <c r="M70" s="12">
        <f t="shared" si="3"/>
        <v>2190</v>
      </c>
      <c r="N70" s="12">
        <f t="shared" si="4"/>
        <v>1819</v>
      </c>
      <c r="O70" s="12" t="str">
        <f t="shared" si="5"/>
        <v>휘발유 46,475원 / 고급유 43,800원</v>
      </c>
      <c r="P70" s="12">
        <f t="shared" si="6"/>
        <v>90275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90275</v>
      </c>
      <c r="U70" s="12">
        <f t="shared" si="10"/>
        <v>2006.1111111111111</v>
      </c>
      <c r="V70" s="12">
        <f t="shared" si="11"/>
        <v>2006.1111111111111</v>
      </c>
      <c r="W70" s="14">
        <f t="shared" si="12"/>
        <v>90275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1478</v>
      </c>
      <c r="D72" s="11" t="s">
        <v>48</v>
      </c>
      <c r="E72" s="11" t="s">
        <v>26</v>
      </c>
      <c r="F72" s="11" t="s">
        <v>1479</v>
      </c>
      <c r="G72" s="12">
        <v>1829</v>
      </c>
      <c r="H72" s="12">
        <v>2229</v>
      </c>
      <c r="I72" s="12"/>
      <c r="J72" s="12">
        <v>1818</v>
      </c>
      <c r="K72" s="12">
        <f t="shared" si="1"/>
        <v>0</v>
      </c>
      <c r="L72" s="12">
        <f t="shared" si="2"/>
        <v>1829</v>
      </c>
      <c r="M72" s="12">
        <f t="shared" si="3"/>
        <v>2229</v>
      </c>
      <c r="N72" s="12">
        <f t="shared" si="4"/>
        <v>1818</v>
      </c>
      <c r="O72" s="12" t="str">
        <f t="shared" si="5"/>
        <v>휘발유 45,725원 / 고급유 44,580원</v>
      </c>
      <c r="P72" s="12">
        <f t="shared" si="6"/>
        <v>90305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90305</v>
      </c>
      <c r="U72" s="12">
        <f t="shared" si="10"/>
        <v>2006.7777777777778</v>
      </c>
      <c r="V72" s="12">
        <f t="shared" si="11"/>
        <v>2006.7777777777778</v>
      </c>
      <c r="W72" s="14">
        <f t="shared" si="12"/>
        <v>90305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1031</v>
      </c>
      <c r="D73" s="11" t="s">
        <v>57</v>
      </c>
      <c r="E73" s="11" t="s">
        <v>26</v>
      </c>
      <c r="F73" s="11" t="s">
        <v>1032</v>
      </c>
      <c r="G73" s="12">
        <v>1814</v>
      </c>
      <c r="H73" s="12">
        <v>2248</v>
      </c>
      <c r="I73" s="12"/>
      <c r="J73" s="12">
        <v>1814</v>
      </c>
      <c r="K73" s="12">
        <f t="shared" si="1"/>
        <v>0</v>
      </c>
      <c r="L73" s="12">
        <f t="shared" si="2"/>
        <v>1814</v>
      </c>
      <c r="M73" s="12">
        <f t="shared" si="3"/>
        <v>2248</v>
      </c>
      <c r="N73" s="12">
        <f t="shared" si="4"/>
        <v>1814</v>
      </c>
      <c r="O73" s="12" t="str">
        <f t="shared" si="5"/>
        <v>휘발유 45,350원 / 고급유 44,960원</v>
      </c>
      <c r="P73" s="12">
        <f t="shared" si="6"/>
        <v>90310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90310</v>
      </c>
      <c r="U73" s="12">
        <f t="shared" si="10"/>
        <v>2006.8888888888889</v>
      </c>
      <c r="V73" s="12">
        <f t="shared" si="11"/>
        <v>2006.8888888888889</v>
      </c>
      <c r="W73" s="14">
        <f t="shared" si="12"/>
        <v>90310</v>
      </c>
    </row>
    <row r="74" spans="1:23" s="2" customFormat="1" ht="28.5" customHeight="1">
      <c r="A74" s="11">
        <f t="shared" si="0"/>
        <v>60</v>
      </c>
      <c r="B74" s="11" t="s">
        <v>8</v>
      </c>
      <c r="C74" s="11" t="s">
        <v>808</v>
      </c>
      <c r="D74" s="15" t="s">
        <v>78</v>
      </c>
      <c r="E74" s="11" t="s">
        <v>26</v>
      </c>
      <c r="F74" s="11" t="s">
        <v>809</v>
      </c>
      <c r="G74" s="12">
        <v>1829</v>
      </c>
      <c r="H74" s="12">
        <v>2230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2230</v>
      </c>
      <c r="N74" s="12">
        <f t="shared" si="4"/>
        <v>1809</v>
      </c>
      <c r="O74" s="12" t="str">
        <f t="shared" si="5"/>
        <v>휘발유 45,725원 / 고급유 44,600원</v>
      </c>
      <c r="P74" s="12">
        <f t="shared" si="6"/>
        <v>90325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90325</v>
      </c>
      <c r="U74" s="12">
        <f t="shared" si="10"/>
        <v>2007.2222222222222</v>
      </c>
      <c r="V74" s="12">
        <f t="shared" si="11"/>
        <v>2007.2222222222222</v>
      </c>
      <c r="W74" s="14">
        <f t="shared" si="12"/>
        <v>90325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2248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2248</v>
      </c>
      <c r="N75" s="12">
        <f t="shared" si="4"/>
        <v>1809</v>
      </c>
      <c r="O75" s="12" t="str">
        <f t="shared" si="5"/>
        <v>휘발유 45,375원 / 고급유 44,960원</v>
      </c>
      <c r="P75" s="12">
        <f t="shared" si="6"/>
        <v>90335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90335</v>
      </c>
      <c r="U75" s="12">
        <f t="shared" si="10"/>
        <v>2007.4444444444443</v>
      </c>
      <c r="V75" s="12">
        <f t="shared" si="11"/>
        <v>2007.4444444444443</v>
      </c>
      <c r="W75" s="14">
        <f t="shared" si="12"/>
        <v>90335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1623</v>
      </c>
      <c r="D76" s="15" t="s">
        <v>59</v>
      </c>
      <c r="E76" s="11" t="s">
        <v>26</v>
      </c>
      <c r="F76" s="11" t="s">
        <v>1624</v>
      </c>
      <c r="G76" s="12">
        <v>1819</v>
      </c>
      <c r="H76" s="12">
        <v>2245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2245</v>
      </c>
      <c r="N76" s="12">
        <f t="shared" si="4"/>
        <v>1799</v>
      </c>
      <c r="O76" s="12" t="str">
        <f t="shared" si="5"/>
        <v>휘발유 45,475원 / 고급유 44,900원</v>
      </c>
      <c r="P76" s="12">
        <f t="shared" si="6"/>
        <v>90375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90375</v>
      </c>
      <c r="U76" s="12">
        <f t="shared" si="10"/>
        <v>2008.3333333333333</v>
      </c>
      <c r="V76" s="12">
        <f t="shared" si="11"/>
        <v>2008.3333333333333</v>
      </c>
      <c r="W76" s="14">
        <f t="shared" si="12"/>
        <v>90375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1758</v>
      </c>
      <c r="D77" s="15" t="s">
        <v>78</v>
      </c>
      <c r="E77" s="11" t="s">
        <v>26</v>
      </c>
      <c r="F77" s="11" t="s">
        <v>1371</v>
      </c>
      <c r="G77" s="12">
        <v>1818</v>
      </c>
      <c r="H77" s="12">
        <v>2248</v>
      </c>
      <c r="I77" s="12"/>
      <c r="J77" s="12">
        <v>1798</v>
      </c>
      <c r="K77" s="12">
        <f t="shared" si="1"/>
        <v>0</v>
      </c>
      <c r="L77" s="12">
        <f t="shared" si="2"/>
        <v>1818</v>
      </c>
      <c r="M77" s="12">
        <f t="shared" si="3"/>
        <v>2248</v>
      </c>
      <c r="N77" s="12">
        <f t="shared" si="4"/>
        <v>1798</v>
      </c>
      <c r="O77" s="12" t="str">
        <f t="shared" si="5"/>
        <v>휘발유 45,450원 / 고급유 44,960원</v>
      </c>
      <c r="P77" s="12">
        <f t="shared" si="6"/>
        <v>90410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90410</v>
      </c>
      <c r="U77" s="12">
        <f t="shared" si="10"/>
        <v>2009.1111111111111</v>
      </c>
      <c r="V77" s="12">
        <f t="shared" si="11"/>
        <v>2009.1111111111111</v>
      </c>
      <c r="W77" s="14">
        <f t="shared" si="12"/>
        <v>90410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1759</v>
      </c>
      <c r="D78" s="11" t="s">
        <v>45</v>
      </c>
      <c r="E78" s="11" t="s">
        <v>26</v>
      </c>
      <c r="F78" s="11" t="s">
        <v>1760</v>
      </c>
      <c r="G78" s="12">
        <v>1809</v>
      </c>
      <c r="H78" s="12">
        <v>2260</v>
      </c>
      <c r="I78" s="12"/>
      <c r="J78" s="12">
        <v>1795</v>
      </c>
      <c r="K78" s="12">
        <f t="shared" si="1"/>
        <v>0</v>
      </c>
      <c r="L78" s="12">
        <f t="shared" si="2"/>
        <v>1809</v>
      </c>
      <c r="M78" s="12">
        <f t="shared" si="3"/>
        <v>2260</v>
      </c>
      <c r="N78" s="12">
        <f t="shared" si="4"/>
        <v>1795</v>
      </c>
      <c r="O78" s="12" t="str">
        <f t="shared" si="5"/>
        <v>휘발유 45,225원 / 고급유 45,200원</v>
      </c>
      <c r="P78" s="12">
        <f t="shared" si="6"/>
        <v>90425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90425</v>
      </c>
      <c r="U78" s="12">
        <f t="shared" si="10"/>
        <v>2009.4444444444443</v>
      </c>
      <c r="V78" s="12">
        <f t="shared" si="11"/>
        <v>2009.4444444444443</v>
      </c>
      <c r="W78" s="14">
        <f t="shared" si="12"/>
        <v>90425</v>
      </c>
    </row>
    <row r="79" spans="1:23" s="2" customFormat="1" ht="28.5" customHeight="1">
      <c r="A79" s="11">
        <f t="shared" ref="A79:A142" si="13">IF($T79="","",1+COUNTIF($W$15:$W$882,"&lt;"&amp;W79))</f>
        <v>64</v>
      </c>
      <c r="B79" s="11" t="s">
        <v>6</v>
      </c>
      <c r="C79" s="11" t="s">
        <v>146</v>
      </c>
      <c r="D79" s="15" t="s">
        <v>78</v>
      </c>
      <c r="E79" s="11" t="s">
        <v>26</v>
      </c>
      <c r="F79" s="11" t="s">
        <v>147</v>
      </c>
      <c r="G79" s="12">
        <v>1829</v>
      </c>
      <c r="H79" s="12">
        <v>2235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2235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44,700원</v>
      </c>
      <c r="P79" s="12">
        <f t="shared" ref="P79:P142" si="19">IF($B$10=0,"",IFERROR(IF($B$4&gt;0,IF($L79="",1/0,$L79*$B$4),0)+IF($B$5&gt;0,IF($M79="",1/0,$M79*$B$5),0)+IF($B$6&gt;0,IF($N79="",1/0,$N79*$B$6),0),""))</f>
        <v>90425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90425</v>
      </c>
      <c r="U79" s="12">
        <f t="shared" ref="U79:U142" si="23">IF($T79="","",IF($B$10=0,"",$T79/$B$10))</f>
        <v>2009.4444444444443</v>
      </c>
      <c r="V79" s="12">
        <f t="shared" ref="V79:V142" si="24">IF($P79="","",IF($B$10=0,"",$P79/$B$10))</f>
        <v>2009.4444444444443</v>
      </c>
      <c r="W79" s="14">
        <f t="shared" ref="W79:W142" si="25">IF($T79="",1000000000000000,$T79)</f>
        <v>90425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240</v>
      </c>
      <c r="D80" s="15" t="s">
        <v>45</v>
      </c>
      <c r="E80" s="11" t="s">
        <v>26</v>
      </c>
      <c r="F80" s="11" t="s">
        <v>241</v>
      </c>
      <c r="G80" s="12">
        <v>1806</v>
      </c>
      <c r="H80" s="12">
        <v>2264</v>
      </c>
      <c r="I80" s="12"/>
      <c r="J80" s="12">
        <v>1792</v>
      </c>
      <c r="K80" s="12">
        <f t="shared" si="14"/>
        <v>0</v>
      </c>
      <c r="L80" s="12">
        <f t="shared" si="15"/>
        <v>1806</v>
      </c>
      <c r="M80" s="12">
        <f t="shared" si="16"/>
        <v>2264</v>
      </c>
      <c r="N80" s="12">
        <f t="shared" si="17"/>
        <v>1792</v>
      </c>
      <c r="O80" s="12" t="str">
        <f t="shared" si="18"/>
        <v>휘발유 45,150원 / 고급유 45,280원</v>
      </c>
      <c r="P80" s="12">
        <f t="shared" si="19"/>
        <v>90430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90430</v>
      </c>
      <c r="U80" s="12">
        <f t="shared" si="23"/>
        <v>2009.5555555555557</v>
      </c>
      <c r="V80" s="12">
        <f t="shared" si="24"/>
        <v>2009.5555555555557</v>
      </c>
      <c r="W80" s="14">
        <f t="shared" si="25"/>
        <v>90430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106</v>
      </c>
      <c r="D81" s="11" t="s">
        <v>57</v>
      </c>
      <c r="E81" s="11" t="s">
        <v>26</v>
      </c>
      <c r="F81" s="11" t="s">
        <v>107</v>
      </c>
      <c r="G81" s="12">
        <v>1819</v>
      </c>
      <c r="H81" s="12">
        <v>2248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2248</v>
      </c>
      <c r="N81" s="12">
        <f t="shared" si="17"/>
        <v>1799</v>
      </c>
      <c r="O81" s="12" t="str">
        <f t="shared" si="18"/>
        <v>휘발유 45,475원 / 고급유 44,960원</v>
      </c>
      <c r="P81" s="12">
        <f t="shared" si="19"/>
        <v>90435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90435</v>
      </c>
      <c r="U81" s="12">
        <f t="shared" si="23"/>
        <v>2009.6666666666667</v>
      </c>
      <c r="V81" s="12">
        <f t="shared" si="24"/>
        <v>2009.6666666666667</v>
      </c>
      <c r="W81" s="14">
        <f t="shared" si="25"/>
        <v>90435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238</v>
      </c>
      <c r="D82" s="15" t="s">
        <v>78</v>
      </c>
      <c r="E82" s="11" t="s">
        <v>26</v>
      </c>
      <c r="F82" s="11" t="s">
        <v>239</v>
      </c>
      <c r="G82" s="12">
        <v>1815</v>
      </c>
      <c r="H82" s="12">
        <v>2255</v>
      </c>
      <c r="I82" s="12"/>
      <c r="J82" s="12">
        <v>1825</v>
      </c>
      <c r="K82" s="12">
        <f t="shared" si="14"/>
        <v>0</v>
      </c>
      <c r="L82" s="12">
        <f t="shared" si="15"/>
        <v>1815</v>
      </c>
      <c r="M82" s="12">
        <f t="shared" si="16"/>
        <v>2255</v>
      </c>
      <c r="N82" s="12">
        <f t="shared" si="17"/>
        <v>1825</v>
      </c>
      <c r="O82" s="12" t="str">
        <f t="shared" si="18"/>
        <v>휘발유 45,375원 / 고급유 45,100원</v>
      </c>
      <c r="P82" s="12">
        <f t="shared" si="19"/>
        <v>90475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90475</v>
      </c>
      <c r="U82" s="12">
        <f t="shared" si="23"/>
        <v>2010.5555555555557</v>
      </c>
      <c r="V82" s="12">
        <f t="shared" si="24"/>
        <v>2010.5555555555557</v>
      </c>
      <c r="W82" s="14">
        <f t="shared" si="25"/>
        <v>90475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1035</v>
      </c>
      <c r="D83" s="15" t="s">
        <v>45</v>
      </c>
      <c r="E83" s="11" t="s">
        <v>26</v>
      </c>
      <c r="F83" s="11" t="s">
        <v>1036</v>
      </c>
      <c r="G83" s="12">
        <v>1828</v>
      </c>
      <c r="H83" s="12">
        <v>2239</v>
      </c>
      <c r="I83" s="12"/>
      <c r="J83" s="12">
        <v>1814</v>
      </c>
      <c r="K83" s="12">
        <f t="shared" si="14"/>
        <v>0</v>
      </c>
      <c r="L83" s="12">
        <f t="shared" si="15"/>
        <v>1828</v>
      </c>
      <c r="M83" s="12">
        <f t="shared" si="16"/>
        <v>2239</v>
      </c>
      <c r="N83" s="12">
        <f t="shared" si="17"/>
        <v>1814</v>
      </c>
      <c r="O83" s="12" t="str">
        <f t="shared" si="18"/>
        <v>휘발유 45,700원 / 고급유 44,780원</v>
      </c>
      <c r="P83" s="12">
        <f t="shared" si="19"/>
        <v>90480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90480</v>
      </c>
      <c r="U83" s="12">
        <f t="shared" si="23"/>
        <v>2010.6666666666667</v>
      </c>
      <c r="V83" s="12">
        <f t="shared" si="24"/>
        <v>2010.6666666666667</v>
      </c>
      <c r="W83" s="14">
        <f t="shared" si="25"/>
        <v>90480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892</v>
      </c>
      <c r="D84" s="11" t="s">
        <v>57</v>
      </c>
      <c r="E84" s="11" t="s">
        <v>26</v>
      </c>
      <c r="F84" s="11" t="s">
        <v>893</v>
      </c>
      <c r="G84" s="12">
        <v>1849</v>
      </c>
      <c r="H84" s="12">
        <v>2215</v>
      </c>
      <c r="I84" s="12"/>
      <c r="J84" s="12">
        <v>1839</v>
      </c>
      <c r="K84" s="12">
        <f t="shared" si="14"/>
        <v>0</v>
      </c>
      <c r="L84" s="12">
        <f t="shared" si="15"/>
        <v>1849</v>
      </c>
      <c r="M84" s="12">
        <f t="shared" si="16"/>
        <v>2215</v>
      </c>
      <c r="N84" s="12">
        <f t="shared" si="17"/>
        <v>1839</v>
      </c>
      <c r="O84" s="12" t="str">
        <f t="shared" si="18"/>
        <v>휘발유 46,225원 / 고급유 44,300원</v>
      </c>
      <c r="P84" s="12">
        <f t="shared" si="19"/>
        <v>90525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90525</v>
      </c>
      <c r="U84" s="12">
        <f t="shared" si="23"/>
        <v>2011.6666666666667</v>
      </c>
      <c r="V84" s="12">
        <f t="shared" si="24"/>
        <v>2011.6666666666667</v>
      </c>
      <c r="W84" s="14">
        <f t="shared" si="25"/>
        <v>90525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576</v>
      </c>
      <c r="D85" s="15" t="s">
        <v>78</v>
      </c>
      <c r="E85" s="11" t="s">
        <v>60</v>
      </c>
      <c r="F85" s="11" t="s">
        <v>577</v>
      </c>
      <c r="G85" s="12">
        <v>1823</v>
      </c>
      <c r="H85" s="12">
        <v>2248</v>
      </c>
      <c r="I85" s="12"/>
      <c r="J85" s="12">
        <v>1829</v>
      </c>
      <c r="K85" s="12">
        <f t="shared" si="14"/>
        <v>0</v>
      </c>
      <c r="L85" s="12">
        <f t="shared" si="15"/>
        <v>1823</v>
      </c>
      <c r="M85" s="12">
        <f t="shared" si="16"/>
        <v>2248</v>
      </c>
      <c r="N85" s="12">
        <f t="shared" si="17"/>
        <v>1829</v>
      </c>
      <c r="O85" s="12" t="str">
        <f t="shared" si="18"/>
        <v>휘발유 45,575원 / 고급유 44,960원</v>
      </c>
      <c r="P85" s="12">
        <f t="shared" si="19"/>
        <v>90535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90535</v>
      </c>
      <c r="U85" s="12">
        <f t="shared" si="23"/>
        <v>2011.8888888888889</v>
      </c>
      <c r="V85" s="12">
        <f t="shared" si="24"/>
        <v>2011.8888888888889</v>
      </c>
      <c r="W85" s="14">
        <f t="shared" si="25"/>
        <v>90535</v>
      </c>
    </row>
    <row r="86" spans="1:23" s="2" customFormat="1" ht="28.5" customHeight="1">
      <c r="A86" s="11">
        <f t="shared" si="13"/>
        <v>72</v>
      </c>
      <c r="B86" s="11" t="s">
        <v>12</v>
      </c>
      <c r="C86" s="11" t="s">
        <v>80</v>
      </c>
      <c r="D86" s="15" t="s">
        <v>59</v>
      </c>
      <c r="E86" s="11" t="s">
        <v>26</v>
      </c>
      <c r="F86" s="11" t="s">
        <v>81</v>
      </c>
      <c r="G86" s="12">
        <v>1788</v>
      </c>
      <c r="H86" s="12">
        <v>2295</v>
      </c>
      <c r="I86" s="12"/>
      <c r="J86" s="12">
        <v>1795</v>
      </c>
      <c r="K86" s="12">
        <f t="shared" si="14"/>
        <v>0</v>
      </c>
      <c r="L86" s="12">
        <f t="shared" si="15"/>
        <v>1788</v>
      </c>
      <c r="M86" s="12">
        <f t="shared" si="16"/>
        <v>2295</v>
      </c>
      <c r="N86" s="12">
        <f t="shared" si="17"/>
        <v>1795</v>
      </c>
      <c r="O86" s="12" t="str">
        <f t="shared" si="18"/>
        <v>휘발유 44,700원 / 고급유 45,900원</v>
      </c>
      <c r="P86" s="12">
        <f t="shared" si="19"/>
        <v>90600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90600</v>
      </c>
      <c r="U86" s="12">
        <f t="shared" si="23"/>
        <v>2013.3333333333333</v>
      </c>
      <c r="V86" s="12">
        <f t="shared" si="24"/>
        <v>2013.3333333333333</v>
      </c>
      <c r="W86" s="14">
        <f t="shared" si="25"/>
        <v>90600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1739</v>
      </c>
      <c r="D87" s="11" t="s">
        <v>45</v>
      </c>
      <c r="E87" s="11" t="s">
        <v>26</v>
      </c>
      <c r="F87" s="11" t="s">
        <v>1740</v>
      </c>
      <c r="G87" s="12">
        <v>1829</v>
      </c>
      <c r="H87" s="12">
        <v>2245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2245</v>
      </c>
      <c r="N87" s="12">
        <f t="shared" si="17"/>
        <v>1809</v>
      </c>
      <c r="O87" s="12" t="str">
        <f t="shared" si="18"/>
        <v>휘발유 45,725원 / 고급유 44,900원</v>
      </c>
      <c r="P87" s="12">
        <f t="shared" si="19"/>
        <v>90625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90625</v>
      </c>
      <c r="U87" s="12">
        <f t="shared" si="23"/>
        <v>2013.8888888888889</v>
      </c>
      <c r="V87" s="12">
        <f t="shared" si="24"/>
        <v>2013.8888888888889</v>
      </c>
      <c r="W87" s="14">
        <f t="shared" si="25"/>
        <v>90625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1594</v>
      </c>
      <c r="D88" s="15" t="s">
        <v>78</v>
      </c>
      <c r="E88" s="11" t="s">
        <v>26</v>
      </c>
      <c r="F88" s="11" t="s">
        <v>1595</v>
      </c>
      <c r="G88" s="12">
        <v>1820</v>
      </c>
      <c r="H88" s="12">
        <v>2260</v>
      </c>
      <c r="I88" s="12"/>
      <c r="J88" s="12">
        <v>1810</v>
      </c>
      <c r="K88" s="12">
        <f t="shared" si="14"/>
        <v>0</v>
      </c>
      <c r="L88" s="12">
        <f t="shared" si="15"/>
        <v>1820</v>
      </c>
      <c r="M88" s="12">
        <f t="shared" si="16"/>
        <v>2260</v>
      </c>
      <c r="N88" s="12">
        <f t="shared" si="17"/>
        <v>1810</v>
      </c>
      <c r="O88" s="12" t="str">
        <f t="shared" si="18"/>
        <v>휘발유 45,500원 / 고급유 45,200원</v>
      </c>
      <c r="P88" s="12">
        <f t="shared" si="19"/>
        <v>90700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90700</v>
      </c>
      <c r="U88" s="12">
        <f t="shared" si="23"/>
        <v>2015.5555555555557</v>
      </c>
      <c r="V88" s="12">
        <f t="shared" si="24"/>
        <v>2015.5555555555557</v>
      </c>
      <c r="W88" s="14">
        <f t="shared" si="25"/>
        <v>90700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1328</v>
      </c>
      <c r="D89" s="11" t="s">
        <v>48</v>
      </c>
      <c r="E89" s="11" t="s">
        <v>26</v>
      </c>
      <c r="F89" s="11" t="s">
        <v>1329</v>
      </c>
      <c r="G89" s="12">
        <v>1829</v>
      </c>
      <c r="H89" s="12">
        <v>2249</v>
      </c>
      <c r="I89" s="12"/>
      <c r="J89" s="12">
        <v>1797</v>
      </c>
      <c r="K89" s="12">
        <f t="shared" si="14"/>
        <v>0</v>
      </c>
      <c r="L89" s="12">
        <f t="shared" si="15"/>
        <v>1829</v>
      </c>
      <c r="M89" s="12">
        <f t="shared" si="16"/>
        <v>2249</v>
      </c>
      <c r="N89" s="12">
        <f t="shared" si="17"/>
        <v>1797</v>
      </c>
      <c r="O89" s="12" t="str">
        <f t="shared" si="18"/>
        <v>휘발유 45,725원 / 고급유 44,980원</v>
      </c>
      <c r="P89" s="12">
        <f t="shared" si="19"/>
        <v>90705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90705</v>
      </c>
      <c r="U89" s="12">
        <f t="shared" si="23"/>
        <v>2015.6666666666667</v>
      </c>
      <c r="V89" s="12">
        <f t="shared" si="24"/>
        <v>2015.6666666666667</v>
      </c>
      <c r="W89" s="14">
        <f t="shared" si="25"/>
        <v>90705</v>
      </c>
    </row>
    <row r="90" spans="1:23" s="16" customFormat="1" ht="28.5" customHeight="1">
      <c r="A90" s="11">
        <f t="shared" si="13"/>
        <v>76</v>
      </c>
      <c r="B90" s="11" t="s">
        <v>6</v>
      </c>
      <c r="C90" s="11" t="s">
        <v>704</v>
      </c>
      <c r="D90" s="15" t="s">
        <v>45</v>
      </c>
      <c r="E90" s="11" t="s">
        <v>26</v>
      </c>
      <c r="F90" s="11" t="s">
        <v>705</v>
      </c>
      <c r="G90" s="12">
        <v>1815</v>
      </c>
      <c r="H90" s="12">
        <v>2269</v>
      </c>
      <c r="I90" s="12"/>
      <c r="J90" s="12">
        <v>1795</v>
      </c>
      <c r="K90" s="12">
        <f t="shared" si="14"/>
        <v>0</v>
      </c>
      <c r="L90" s="12">
        <f t="shared" si="15"/>
        <v>1815</v>
      </c>
      <c r="M90" s="12">
        <f t="shared" si="16"/>
        <v>2269</v>
      </c>
      <c r="N90" s="12">
        <f t="shared" si="17"/>
        <v>1795</v>
      </c>
      <c r="O90" s="12" t="str">
        <f t="shared" si="18"/>
        <v>휘발유 45,375원 / 고급유 45,380원</v>
      </c>
      <c r="P90" s="12">
        <f t="shared" si="19"/>
        <v>90755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90755</v>
      </c>
      <c r="U90" s="12">
        <f t="shared" si="23"/>
        <v>2016.7777777777778</v>
      </c>
      <c r="V90" s="12">
        <f t="shared" si="24"/>
        <v>2016.7777777777778</v>
      </c>
      <c r="W90" s="14">
        <f t="shared" si="25"/>
        <v>90755</v>
      </c>
    </row>
    <row r="91" spans="1:23" s="2" customFormat="1" ht="28.5" customHeight="1">
      <c r="A91" s="11">
        <f t="shared" si="13"/>
        <v>77</v>
      </c>
      <c r="B91" s="11" t="s">
        <v>18</v>
      </c>
      <c r="C91" s="11" t="s">
        <v>386</v>
      </c>
      <c r="D91" s="15" t="s">
        <v>59</v>
      </c>
      <c r="E91" s="11" t="s">
        <v>26</v>
      </c>
      <c r="F91" s="11" t="s">
        <v>387</v>
      </c>
      <c r="G91" s="12">
        <v>1832</v>
      </c>
      <c r="H91" s="12">
        <v>2249</v>
      </c>
      <c r="I91" s="12"/>
      <c r="J91" s="12">
        <v>1812</v>
      </c>
      <c r="K91" s="12">
        <f t="shared" si="14"/>
        <v>0</v>
      </c>
      <c r="L91" s="12">
        <f t="shared" si="15"/>
        <v>1832</v>
      </c>
      <c r="M91" s="12">
        <f t="shared" si="16"/>
        <v>2249</v>
      </c>
      <c r="N91" s="12">
        <f t="shared" si="17"/>
        <v>1812</v>
      </c>
      <c r="O91" s="12" t="str">
        <f t="shared" si="18"/>
        <v>휘발유 45,800원 / 고급유 44,980원</v>
      </c>
      <c r="P91" s="12">
        <f t="shared" si="19"/>
        <v>90780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90780</v>
      </c>
      <c r="U91" s="12">
        <f t="shared" si="23"/>
        <v>2017.3333333333333</v>
      </c>
      <c r="V91" s="12">
        <f t="shared" si="24"/>
        <v>2017.3333333333333</v>
      </c>
      <c r="W91" s="14">
        <f t="shared" si="25"/>
        <v>90780</v>
      </c>
    </row>
    <row r="92" spans="1:23" s="16" customFormat="1" ht="28.5" customHeight="1">
      <c r="A92" s="11">
        <f t="shared" si="13"/>
        <v>78</v>
      </c>
      <c r="B92" s="11" t="s">
        <v>12</v>
      </c>
      <c r="C92" s="11" t="s">
        <v>304</v>
      </c>
      <c r="D92" s="15" t="s">
        <v>59</v>
      </c>
      <c r="E92" s="11" t="s">
        <v>26</v>
      </c>
      <c r="F92" s="11" t="s">
        <v>305</v>
      </c>
      <c r="G92" s="12">
        <v>1809</v>
      </c>
      <c r="H92" s="12">
        <v>2280</v>
      </c>
      <c r="I92" s="12"/>
      <c r="J92" s="12">
        <v>1814</v>
      </c>
      <c r="K92" s="12">
        <f t="shared" si="14"/>
        <v>0</v>
      </c>
      <c r="L92" s="12">
        <f t="shared" si="15"/>
        <v>1809</v>
      </c>
      <c r="M92" s="12">
        <f t="shared" si="16"/>
        <v>2280</v>
      </c>
      <c r="N92" s="12">
        <f t="shared" si="17"/>
        <v>1814</v>
      </c>
      <c r="O92" s="12" t="str">
        <f t="shared" si="18"/>
        <v>휘발유 45,225원 / 고급유 45,600원</v>
      </c>
      <c r="P92" s="12">
        <f t="shared" si="19"/>
        <v>90825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90825</v>
      </c>
      <c r="U92" s="12">
        <f t="shared" si="23"/>
        <v>2018.3333333333333</v>
      </c>
      <c r="V92" s="12">
        <f t="shared" si="24"/>
        <v>2018.3333333333333</v>
      </c>
      <c r="W92" s="14">
        <f t="shared" si="25"/>
        <v>90825</v>
      </c>
    </row>
    <row r="93" spans="1:23" s="7" customFormat="1" ht="28.5" customHeight="1">
      <c r="A93" s="11">
        <f t="shared" si="13"/>
        <v>79</v>
      </c>
      <c r="B93" s="11" t="s">
        <v>10</v>
      </c>
      <c r="C93" s="11" t="s">
        <v>1530</v>
      </c>
      <c r="D93" s="11" t="s">
        <v>69</v>
      </c>
      <c r="E93" s="11" t="s">
        <v>26</v>
      </c>
      <c r="F93" s="11" t="s">
        <v>1531</v>
      </c>
      <c r="G93" s="12">
        <v>1819</v>
      </c>
      <c r="H93" s="12">
        <v>2268</v>
      </c>
      <c r="I93" s="12"/>
      <c r="J93" s="12">
        <v>1799</v>
      </c>
      <c r="K93" s="12">
        <f t="shared" si="14"/>
        <v>0</v>
      </c>
      <c r="L93" s="12">
        <f t="shared" si="15"/>
        <v>1819</v>
      </c>
      <c r="M93" s="12">
        <f t="shared" si="16"/>
        <v>2268</v>
      </c>
      <c r="N93" s="12">
        <f t="shared" si="17"/>
        <v>1799</v>
      </c>
      <c r="O93" s="12" t="str">
        <f t="shared" si="18"/>
        <v>휘발유 45,475원 / 고급유 45,360원</v>
      </c>
      <c r="P93" s="12">
        <f t="shared" si="19"/>
        <v>90835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90835</v>
      </c>
      <c r="U93" s="12">
        <f t="shared" si="23"/>
        <v>2018.5555555555557</v>
      </c>
      <c r="V93" s="12">
        <f t="shared" si="24"/>
        <v>2018.5555555555557</v>
      </c>
      <c r="W93" s="14">
        <f t="shared" si="25"/>
        <v>90835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443</v>
      </c>
      <c r="D94" s="11" t="s">
        <v>57</v>
      </c>
      <c r="E94" s="11" t="s">
        <v>26</v>
      </c>
      <c r="F94" s="11" t="s">
        <v>444</v>
      </c>
      <c r="G94" s="12">
        <v>1847</v>
      </c>
      <c r="H94" s="12">
        <v>2237</v>
      </c>
      <c r="I94" s="12"/>
      <c r="J94" s="12">
        <v>1827</v>
      </c>
      <c r="K94" s="12">
        <f t="shared" si="14"/>
        <v>0</v>
      </c>
      <c r="L94" s="12">
        <f t="shared" si="15"/>
        <v>1847</v>
      </c>
      <c r="M94" s="12">
        <f t="shared" si="16"/>
        <v>2237</v>
      </c>
      <c r="N94" s="12">
        <f t="shared" si="17"/>
        <v>1827</v>
      </c>
      <c r="O94" s="12" t="str">
        <f t="shared" si="18"/>
        <v>휘발유 46,175원 / 고급유 44,740원</v>
      </c>
      <c r="P94" s="12">
        <f t="shared" si="19"/>
        <v>90915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90915</v>
      </c>
      <c r="U94" s="12">
        <f t="shared" si="23"/>
        <v>2020.3333333333333</v>
      </c>
      <c r="V94" s="12">
        <f t="shared" si="24"/>
        <v>2020.3333333333333</v>
      </c>
      <c r="W94" s="14">
        <f t="shared" si="25"/>
        <v>90915</v>
      </c>
    </row>
    <row r="95" spans="1:23" s="7" customFormat="1" ht="28.5" customHeight="1">
      <c r="A95" s="11">
        <f t="shared" si="13"/>
        <v>81</v>
      </c>
      <c r="B95" s="11" t="s">
        <v>6</v>
      </c>
      <c r="C95" s="11" t="s">
        <v>557</v>
      </c>
      <c r="D95" s="15" t="s">
        <v>45</v>
      </c>
      <c r="E95" s="11" t="s">
        <v>26</v>
      </c>
      <c r="F95" s="11" t="s">
        <v>558</v>
      </c>
      <c r="G95" s="12">
        <v>1819</v>
      </c>
      <c r="H95" s="12">
        <v>2275</v>
      </c>
      <c r="I95" s="12"/>
      <c r="J95" s="12">
        <v>1798</v>
      </c>
      <c r="K95" s="12">
        <f t="shared" si="14"/>
        <v>0</v>
      </c>
      <c r="L95" s="12">
        <f t="shared" si="15"/>
        <v>1819</v>
      </c>
      <c r="M95" s="12">
        <f t="shared" si="16"/>
        <v>2275</v>
      </c>
      <c r="N95" s="12">
        <f t="shared" si="17"/>
        <v>1798</v>
      </c>
      <c r="O95" s="12" t="str">
        <f t="shared" si="18"/>
        <v>휘발유 45,475원 / 고급유 45,500원</v>
      </c>
      <c r="P95" s="12">
        <f t="shared" si="19"/>
        <v>90975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90975</v>
      </c>
      <c r="U95" s="12">
        <f t="shared" si="23"/>
        <v>2021.6666666666667</v>
      </c>
      <c r="V95" s="12">
        <f t="shared" si="24"/>
        <v>2021.6666666666667</v>
      </c>
      <c r="W95" s="14">
        <f t="shared" si="25"/>
        <v>90975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2229</v>
      </c>
      <c r="I96" s="12"/>
      <c r="J96" s="12">
        <v>1829</v>
      </c>
      <c r="K96" s="12">
        <f t="shared" si="14"/>
        <v>0</v>
      </c>
      <c r="L96" s="12">
        <f t="shared" si="15"/>
        <v>1858</v>
      </c>
      <c r="M96" s="12">
        <f t="shared" si="16"/>
        <v>2229</v>
      </c>
      <c r="N96" s="12">
        <f t="shared" si="17"/>
        <v>1829</v>
      </c>
      <c r="O96" s="12" t="str">
        <f t="shared" si="18"/>
        <v>휘발유 46,450원 / 고급유 44,580원</v>
      </c>
      <c r="P96" s="12">
        <f t="shared" si="19"/>
        <v>91030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91030</v>
      </c>
      <c r="U96" s="12">
        <f t="shared" si="23"/>
        <v>2022.8888888888889</v>
      </c>
      <c r="V96" s="12">
        <f t="shared" si="24"/>
        <v>2022.8888888888889</v>
      </c>
      <c r="W96" s="14">
        <f t="shared" si="25"/>
        <v>91030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2229</v>
      </c>
      <c r="I97" s="12"/>
      <c r="J97" s="12">
        <v>1839</v>
      </c>
      <c r="K97" s="12">
        <f t="shared" si="14"/>
        <v>0</v>
      </c>
      <c r="L97" s="12">
        <f t="shared" si="15"/>
        <v>1858</v>
      </c>
      <c r="M97" s="12">
        <f t="shared" si="16"/>
        <v>2229</v>
      </c>
      <c r="N97" s="12">
        <f t="shared" si="17"/>
        <v>1839</v>
      </c>
      <c r="O97" s="12" t="str">
        <f t="shared" si="18"/>
        <v>휘발유 46,450원 / 고급유 44,580원</v>
      </c>
      <c r="P97" s="12">
        <f t="shared" si="19"/>
        <v>91030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91030</v>
      </c>
      <c r="U97" s="12">
        <f t="shared" si="23"/>
        <v>2022.8888888888889</v>
      </c>
      <c r="V97" s="12">
        <f t="shared" si="24"/>
        <v>2022.8888888888889</v>
      </c>
      <c r="W97" s="14">
        <f t="shared" si="25"/>
        <v>91030</v>
      </c>
    </row>
    <row r="98" spans="1:23" s="2" customFormat="1" ht="28.5" customHeight="1">
      <c r="A98" s="11">
        <f t="shared" si="13"/>
        <v>84</v>
      </c>
      <c r="B98" s="11" t="s">
        <v>14</v>
      </c>
      <c r="C98" s="11" t="s">
        <v>1572</v>
      </c>
      <c r="D98" s="15" t="s">
        <v>78</v>
      </c>
      <c r="E98" s="11" t="s">
        <v>26</v>
      </c>
      <c r="F98" s="11" t="s">
        <v>1573</v>
      </c>
      <c r="G98" s="12">
        <v>1829</v>
      </c>
      <c r="H98" s="12">
        <v>2269</v>
      </c>
      <c r="I98" s="12"/>
      <c r="J98" s="12">
        <v>1813</v>
      </c>
      <c r="K98" s="12">
        <f t="shared" si="14"/>
        <v>0</v>
      </c>
      <c r="L98" s="12">
        <f t="shared" si="15"/>
        <v>1829</v>
      </c>
      <c r="M98" s="12">
        <f t="shared" si="16"/>
        <v>2269</v>
      </c>
      <c r="N98" s="12">
        <f t="shared" si="17"/>
        <v>1813</v>
      </c>
      <c r="O98" s="12" t="str">
        <f t="shared" si="18"/>
        <v>휘발유 45,725원 / 고급유 45,380원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84</v>
      </c>
      <c r="B99" s="11" t="s">
        <v>6</v>
      </c>
      <c r="C99" s="11" t="s">
        <v>1423</v>
      </c>
      <c r="D99" s="15" t="s">
        <v>59</v>
      </c>
      <c r="E99" s="11" t="s">
        <v>26</v>
      </c>
      <c r="F99" s="11" t="s">
        <v>1424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2" customFormat="1" ht="28.5" customHeight="1">
      <c r="A100" s="11">
        <f t="shared" si="13"/>
        <v>84</v>
      </c>
      <c r="B100" s="11" t="s">
        <v>6</v>
      </c>
      <c r="C100" s="11" t="s">
        <v>1427</v>
      </c>
      <c r="D100" s="15" t="s">
        <v>59</v>
      </c>
      <c r="E100" s="11" t="s">
        <v>26</v>
      </c>
      <c r="F100" s="11" t="s">
        <v>1428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16" customFormat="1" ht="28.5" customHeight="1">
      <c r="A101" s="11">
        <f t="shared" si="13"/>
        <v>84</v>
      </c>
      <c r="B101" s="11" t="s">
        <v>6</v>
      </c>
      <c r="C101" s="11" t="s">
        <v>1443</v>
      </c>
      <c r="D101" s="15" t="s">
        <v>59</v>
      </c>
      <c r="E101" s="11" t="s">
        <v>26</v>
      </c>
      <c r="F101" s="11" t="s">
        <v>1444</v>
      </c>
      <c r="G101" s="12">
        <v>1845</v>
      </c>
      <c r="H101" s="12">
        <v>2249</v>
      </c>
      <c r="I101" s="12"/>
      <c r="J101" s="12">
        <v>1849</v>
      </c>
      <c r="K101" s="12">
        <f t="shared" si="14"/>
        <v>0</v>
      </c>
      <c r="L101" s="12">
        <f t="shared" si="15"/>
        <v>1845</v>
      </c>
      <c r="M101" s="12">
        <f t="shared" si="16"/>
        <v>2249</v>
      </c>
      <c r="N101" s="12">
        <f t="shared" si="17"/>
        <v>1849</v>
      </c>
      <c r="O101" s="12" t="str">
        <f t="shared" si="18"/>
        <v>휘발유 46,125원 / 고급유 44,980원</v>
      </c>
      <c r="P101" s="12">
        <f t="shared" si="19"/>
        <v>91105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91105</v>
      </c>
      <c r="U101" s="12">
        <f t="shared" si="23"/>
        <v>2024.5555555555557</v>
      </c>
      <c r="V101" s="12">
        <f t="shared" si="24"/>
        <v>2024.5555555555557</v>
      </c>
      <c r="W101" s="14">
        <f t="shared" si="25"/>
        <v>91105</v>
      </c>
    </row>
    <row r="102" spans="1:23" s="2" customFormat="1" ht="28.5" customHeight="1">
      <c r="A102" s="11">
        <f t="shared" si="13"/>
        <v>84</v>
      </c>
      <c r="B102" s="11" t="s">
        <v>10</v>
      </c>
      <c r="C102" s="11" t="s">
        <v>1445</v>
      </c>
      <c r="D102" s="15" t="s">
        <v>59</v>
      </c>
      <c r="E102" s="11" t="s">
        <v>60</v>
      </c>
      <c r="F102" s="11" t="s">
        <v>1446</v>
      </c>
      <c r="G102" s="12">
        <v>1845</v>
      </c>
      <c r="H102" s="12">
        <v>2249</v>
      </c>
      <c r="I102" s="12"/>
      <c r="J102" s="12">
        <v>1849</v>
      </c>
      <c r="K102" s="12">
        <f t="shared" si="14"/>
        <v>0</v>
      </c>
      <c r="L102" s="12">
        <f t="shared" si="15"/>
        <v>1845</v>
      </c>
      <c r="M102" s="12">
        <f t="shared" si="16"/>
        <v>2249</v>
      </c>
      <c r="N102" s="12">
        <f t="shared" si="17"/>
        <v>1849</v>
      </c>
      <c r="O102" s="12" t="str">
        <f t="shared" si="18"/>
        <v>휘발유 46,125원 / 고급유 44,980원</v>
      </c>
      <c r="P102" s="12">
        <f t="shared" si="19"/>
        <v>91105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91105</v>
      </c>
      <c r="U102" s="12">
        <f t="shared" si="23"/>
        <v>2024.5555555555557</v>
      </c>
      <c r="V102" s="12">
        <f t="shared" si="24"/>
        <v>2024.5555555555557</v>
      </c>
      <c r="W102" s="14">
        <f t="shared" si="25"/>
        <v>91105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1562</v>
      </c>
      <c r="D103" s="11" t="s">
        <v>57</v>
      </c>
      <c r="E103" s="11" t="s">
        <v>26</v>
      </c>
      <c r="F103" s="11" t="s">
        <v>1563</v>
      </c>
      <c r="G103" s="12">
        <v>1829</v>
      </c>
      <c r="H103" s="12">
        <v>2270</v>
      </c>
      <c r="I103" s="12"/>
      <c r="J103" s="12">
        <v>1815</v>
      </c>
      <c r="K103" s="12">
        <f t="shared" si="14"/>
        <v>0</v>
      </c>
      <c r="L103" s="12">
        <f t="shared" si="15"/>
        <v>1829</v>
      </c>
      <c r="M103" s="12">
        <f t="shared" si="16"/>
        <v>2270</v>
      </c>
      <c r="N103" s="12">
        <f t="shared" si="17"/>
        <v>1815</v>
      </c>
      <c r="O103" s="12" t="str">
        <f t="shared" si="18"/>
        <v>휘발유 45,725원 / 고급유 45,400원</v>
      </c>
      <c r="P103" s="12">
        <f t="shared" si="19"/>
        <v>91125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91125</v>
      </c>
      <c r="U103" s="12">
        <f t="shared" si="23"/>
        <v>2025</v>
      </c>
      <c r="V103" s="12">
        <f t="shared" si="24"/>
        <v>2025</v>
      </c>
      <c r="W103" s="14">
        <f t="shared" si="25"/>
        <v>91125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52</v>
      </c>
      <c r="D104" s="15" t="s">
        <v>45</v>
      </c>
      <c r="E104" s="11" t="s">
        <v>26</v>
      </c>
      <c r="F104" s="11" t="s">
        <v>53</v>
      </c>
      <c r="G104" s="12">
        <v>1807</v>
      </c>
      <c r="H104" s="12">
        <v>2298</v>
      </c>
      <c r="I104" s="12"/>
      <c r="J104" s="12">
        <v>1787</v>
      </c>
      <c r="K104" s="12">
        <f t="shared" si="14"/>
        <v>0</v>
      </c>
      <c r="L104" s="12">
        <f t="shared" si="15"/>
        <v>1807</v>
      </c>
      <c r="M104" s="12">
        <f t="shared" si="16"/>
        <v>2298</v>
      </c>
      <c r="N104" s="12">
        <f t="shared" si="17"/>
        <v>1787</v>
      </c>
      <c r="O104" s="12" t="str">
        <f t="shared" si="18"/>
        <v>휘발유 45,175원 / 고급유 45,960원</v>
      </c>
      <c r="P104" s="12">
        <f t="shared" si="19"/>
        <v>91135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91135</v>
      </c>
      <c r="U104" s="12">
        <f t="shared" si="23"/>
        <v>2025.2222222222222</v>
      </c>
      <c r="V104" s="12">
        <f t="shared" si="24"/>
        <v>2025.2222222222222</v>
      </c>
      <c r="W104" s="14">
        <f t="shared" si="25"/>
        <v>91135</v>
      </c>
    </row>
    <row r="105" spans="1:23" s="2" customFormat="1" ht="28.5" customHeight="1">
      <c r="A105" s="11">
        <f t="shared" si="13"/>
        <v>91</v>
      </c>
      <c r="B105" s="11" t="s">
        <v>16</v>
      </c>
      <c r="C105" s="11" t="s">
        <v>242</v>
      </c>
      <c r="D105" s="15" t="s">
        <v>59</v>
      </c>
      <c r="E105" s="11" t="s">
        <v>26</v>
      </c>
      <c r="F105" s="11" t="s">
        <v>243</v>
      </c>
      <c r="G105" s="12">
        <v>1880</v>
      </c>
      <c r="H105" s="12">
        <v>2210</v>
      </c>
      <c r="I105" s="12"/>
      <c r="J105" s="12">
        <v>1865</v>
      </c>
      <c r="K105" s="12">
        <f t="shared" si="14"/>
        <v>0</v>
      </c>
      <c r="L105" s="12">
        <f t="shared" si="15"/>
        <v>1880</v>
      </c>
      <c r="M105" s="12">
        <f t="shared" si="16"/>
        <v>2210</v>
      </c>
      <c r="N105" s="12">
        <f t="shared" si="17"/>
        <v>1865</v>
      </c>
      <c r="O105" s="12" t="str">
        <f t="shared" si="18"/>
        <v>휘발유 47,000원 / 고급유 44,200원</v>
      </c>
      <c r="P105" s="12">
        <f t="shared" si="19"/>
        <v>91200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91200</v>
      </c>
      <c r="U105" s="12">
        <f t="shared" si="23"/>
        <v>2026.6666666666667</v>
      </c>
      <c r="V105" s="12">
        <f t="shared" si="24"/>
        <v>2026.6666666666667</v>
      </c>
      <c r="W105" s="14">
        <f t="shared" si="25"/>
        <v>91200</v>
      </c>
    </row>
    <row r="106" spans="1:23" s="16" customFormat="1" ht="28.5" customHeight="1">
      <c r="A106" s="11">
        <f t="shared" si="13"/>
        <v>92</v>
      </c>
      <c r="B106" s="11" t="s">
        <v>12</v>
      </c>
      <c r="C106" s="11" t="s">
        <v>262</v>
      </c>
      <c r="D106" s="15" t="s">
        <v>78</v>
      </c>
      <c r="E106" s="11" t="s">
        <v>26</v>
      </c>
      <c r="F106" s="11" t="s">
        <v>263</v>
      </c>
      <c r="G106" s="12">
        <v>1868</v>
      </c>
      <c r="H106" s="12">
        <v>2229</v>
      </c>
      <c r="I106" s="12"/>
      <c r="J106" s="12">
        <v>1829</v>
      </c>
      <c r="K106" s="12">
        <f t="shared" si="14"/>
        <v>0</v>
      </c>
      <c r="L106" s="12">
        <f t="shared" si="15"/>
        <v>1868</v>
      </c>
      <c r="M106" s="12">
        <f t="shared" si="16"/>
        <v>2229</v>
      </c>
      <c r="N106" s="12">
        <f t="shared" si="17"/>
        <v>1829</v>
      </c>
      <c r="O106" s="12" t="str">
        <f t="shared" si="18"/>
        <v>휘발유 46,700원 / 고급유 44,580원</v>
      </c>
      <c r="P106" s="12">
        <f t="shared" si="19"/>
        <v>91280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91280</v>
      </c>
      <c r="U106" s="12">
        <f t="shared" si="23"/>
        <v>2028.4444444444443</v>
      </c>
      <c r="V106" s="12">
        <f t="shared" si="24"/>
        <v>2028.4444444444443</v>
      </c>
      <c r="W106" s="14">
        <f t="shared" si="25"/>
        <v>91280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1425</v>
      </c>
      <c r="D107" s="15" t="s">
        <v>59</v>
      </c>
      <c r="E107" s="11" t="s">
        <v>26</v>
      </c>
      <c r="F107" s="11" t="s">
        <v>1426</v>
      </c>
      <c r="G107" s="12">
        <v>1845</v>
      </c>
      <c r="H107" s="12">
        <v>2259</v>
      </c>
      <c r="I107" s="12"/>
      <c r="J107" s="12">
        <v>1849</v>
      </c>
      <c r="K107" s="12">
        <f t="shared" si="14"/>
        <v>0</v>
      </c>
      <c r="L107" s="12">
        <f t="shared" si="15"/>
        <v>1845</v>
      </c>
      <c r="M107" s="12">
        <f t="shared" si="16"/>
        <v>2259</v>
      </c>
      <c r="N107" s="12">
        <f t="shared" si="17"/>
        <v>1849</v>
      </c>
      <c r="O107" s="12" t="str">
        <f t="shared" si="18"/>
        <v>휘발유 46,125원 / 고급유 45,180원</v>
      </c>
      <c r="P107" s="12">
        <f t="shared" si="19"/>
        <v>91305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91305</v>
      </c>
      <c r="U107" s="12">
        <f t="shared" si="23"/>
        <v>2029</v>
      </c>
      <c r="V107" s="12">
        <f t="shared" si="24"/>
        <v>2029</v>
      </c>
      <c r="W107" s="14">
        <f t="shared" si="25"/>
        <v>91305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1707</v>
      </c>
      <c r="D108" s="15" t="s">
        <v>45</v>
      </c>
      <c r="E108" s="11" t="s">
        <v>26</v>
      </c>
      <c r="F108" s="11" t="s">
        <v>1708</v>
      </c>
      <c r="G108" s="12">
        <v>1822</v>
      </c>
      <c r="H108" s="12">
        <v>2290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2290</v>
      </c>
      <c r="N108" s="12">
        <f t="shared" si="17"/>
        <v>1812</v>
      </c>
      <c r="O108" s="12" t="str">
        <f t="shared" si="18"/>
        <v>휘발유 45,550원 / 고급유 45,800원</v>
      </c>
      <c r="P108" s="12">
        <f t="shared" si="19"/>
        <v>91350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91350</v>
      </c>
      <c r="U108" s="12">
        <f t="shared" si="23"/>
        <v>2030</v>
      </c>
      <c r="V108" s="12">
        <f t="shared" si="24"/>
        <v>2030</v>
      </c>
      <c r="W108" s="14">
        <f t="shared" si="25"/>
        <v>91350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2271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2271</v>
      </c>
      <c r="N109" s="12">
        <f t="shared" si="17"/>
        <v>1839</v>
      </c>
      <c r="O109" s="12" t="str">
        <f t="shared" si="18"/>
        <v>휘발유 45,975원 / 고급유 45,420원</v>
      </c>
      <c r="P109" s="12">
        <f t="shared" si="19"/>
        <v>91395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91395</v>
      </c>
      <c r="U109" s="12">
        <f t="shared" si="23"/>
        <v>2031</v>
      </c>
      <c r="V109" s="12">
        <f t="shared" si="24"/>
        <v>2031</v>
      </c>
      <c r="W109" s="14">
        <f t="shared" si="25"/>
        <v>91395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1665</v>
      </c>
      <c r="D110" s="15" t="s">
        <v>78</v>
      </c>
      <c r="E110" s="11" t="s">
        <v>26</v>
      </c>
      <c r="F110" s="11" t="s">
        <v>1666</v>
      </c>
      <c r="G110" s="12">
        <v>1828</v>
      </c>
      <c r="H110" s="12">
        <v>2289</v>
      </c>
      <c r="I110" s="12"/>
      <c r="J110" s="12">
        <v>1819</v>
      </c>
      <c r="K110" s="12">
        <f t="shared" si="14"/>
        <v>0</v>
      </c>
      <c r="L110" s="12">
        <f t="shared" si="15"/>
        <v>1828</v>
      </c>
      <c r="M110" s="12">
        <f t="shared" si="16"/>
        <v>2289</v>
      </c>
      <c r="N110" s="12">
        <f t="shared" si="17"/>
        <v>1819</v>
      </c>
      <c r="O110" s="12" t="str">
        <f t="shared" si="18"/>
        <v>휘발유 45,700원 / 고급유 45,780원</v>
      </c>
      <c r="P110" s="12">
        <f t="shared" si="19"/>
        <v>91480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91480</v>
      </c>
      <c r="U110" s="12">
        <f t="shared" si="23"/>
        <v>2032.8888888888889</v>
      </c>
      <c r="V110" s="12">
        <f t="shared" si="24"/>
        <v>2032.8888888888889</v>
      </c>
      <c r="W110" s="14">
        <f t="shared" si="25"/>
        <v>91480</v>
      </c>
    </row>
    <row r="111" spans="1:23" s="2" customFormat="1" ht="28.5" customHeight="1">
      <c r="A111" s="11">
        <f t="shared" si="13"/>
        <v>96</v>
      </c>
      <c r="B111" s="11" t="s">
        <v>10</v>
      </c>
      <c r="C111" s="11" t="s">
        <v>47</v>
      </c>
      <c r="D111" s="11" t="s">
        <v>48</v>
      </c>
      <c r="E111" s="11" t="s">
        <v>26</v>
      </c>
      <c r="F111" s="11" t="s">
        <v>49</v>
      </c>
      <c r="G111" s="12">
        <v>1836</v>
      </c>
      <c r="H111" s="12">
        <v>2279</v>
      </c>
      <c r="I111" s="12"/>
      <c r="J111" s="12">
        <v>1799</v>
      </c>
      <c r="K111" s="12">
        <f t="shared" si="14"/>
        <v>0</v>
      </c>
      <c r="L111" s="12">
        <f t="shared" si="15"/>
        <v>1836</v>
      </c>
      <c r="M111" s="12">
        <f t="shared" si="16"/>
        <v>2279</v>
      </c>
      <c r="N111" s="12">
        <f t="shared" si="17"/>
        <v>1799</v>
      </c>
      <c r="O111" s="12" t="str">
        <f t="shared" si="18"/>
        <v>휘발유 45,900원 / 고급유 45,580원</v>
      </c>
      <c r="P111" s="12">
        <f t="shared" si="19"/>
        <v>91480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91480</v>
      </c>
      <c r="U111" s="12">
        <f t="shared" si="23"/>
        <v>2032.8888888888889</v>
      </c>
      <c r="V111" s="12">
        <f t="shared" si="24"/>
        <v>2032.8888888888889</v>
      </c>
      <c r="W111" s="14">
        <f t="shared" si="25"/>
        <v>91480</v>
      </c>
    </row>
    <row r="112" spans="1:23" s="16" customFormat="1" ht="28.5" customHeight="1">
      <c r="A112" s="11">
        <f t="shared" si="13"/>
        <v>98</v>
      </c>
      <c r="B112" s="11" t="s">
        <v>6</v>
      </c>
      <c r="C112" s="11" t="s">
        <v>839</v>
      </c>
      <c r="D112" s="15" t="s">
        <v>78</v>
      </c>
      <c r="E112" s="11" t="s">
        <v>26</v>
      </c>
      <c r="F112" s="11" t="s">
        <v>840</v>
      </c>
      <c r="G112" s="12">
        <v>1828</v>
      </c>
      <c r="H112" s="12">
        <v>2290</v>
      </c>
      <c r="I112" s="12"/>
      <c r="J112" s="12">
        <v>1819</v>
      </c>
      <c r="K112" s="12">
        <f t="shared" si="14"/>
        <v>0</v>
      </c>
      <c r="L112" s="12">
        <f t="shared" si="15"/>
        <v>1828</v>
      </c>
      <c r="M112" s="12">
        <f t="shared" si="16"/>
        <v>2290</v>
      </c>
      <c r="N112" s="12">
        <f t="shared" si="17"/>
        <v>1819</v>
      </c>
      <c r="O112" s="12" t="str">
        <f t="shared" si="18"/>
        <v>휘발유 45,700원 / 고급유 45,800원</v>
      </c>
      <c r="P112" s="12">
        <f t="shared" si="19"/>
        <v>91500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91500</v>
      </c>
      <c r="U112" s="12">
        <f t="shared" si="23"/>
        <v>2033.3333333333333</v>
      </c>
      <c r="V112" s="12">
        <f t="shared" si="24"/>
        <v>2033.3333333333333</v>
      </c>
      <c r="W112" s="14">
        <f t="shared" si="25"/>
        <v>91500</v>
      </c>
    </row>
    <row r="113" spans="1:23" s="2" customFormat="1" ht="28.5" customHeight="1">
      <c r="A113" s="11">
        <f t="shared" si="13"/>
        <v>99</v>
      </c>
      <c r="B113" s="11" t="s">
        <v>8</v>
      </c>
      <c r="C113" s="11" t="s">
        <v>608</v>
      </c>
      <c r="D113" s="15" t="s">
        <v>45</v>
      </c>
      <c r="E113" s="11" t="s">
        <v>26</v>
      </c>
      <c r="F113" s="11" t="s">
        <v>610</v>
      </c>
      <c r="G113" s="12">
        <v>1829</v>
      </c>
      <c r="H113" s="12">
        <v>2289</v>
      </c>
      <c r="I113" s="12"/>
      <c r="J113" s="12">
        <v>1815</v>
      </c>
      <c r="K113" s="12">
        <f t="shared" si="14"/>
        <v>0</v>
      </c>
      <c r="L113" s="12">
        <f t="shared" si="15"/>
        <v>1829</v>
      </c>
      <c r="M113" s="12">
        <f t="shared" si="16"/>
        <v>2289</v>
      </c>
      <c r="N113" s="12">
        <f t="shared" si="17"/>
        <v>1815</v>
      </c>
      <c r="O113" s="12" t="str">
        <f t="shared" si="18"/>
        <v>휘발유 45,725원 / 고급유 45,780원</v>
      </c>
      <c r="P113" s="12">
        <f t="shared" si="19"/>
        <v>91505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91505</v>
      </c>
      <c r="U113" s="12">
        <f t="shared" si="23"/>
        <v>2033.4444444444443</v>
      </c>
      <c r="V113" s="12">
        <f t="shared" si="24"/>
        <v>2033.4444444444443</v>
      </c>
      <c r="W113" s="14">
        <f t="shared" si="25"/>
        <v>91505</v>
      </c>
    </row>
    <row r="114" spans="1:23" s="16" customFormat="1" ht="28.5" customHeight="1">
      <c r="A114" s="11">
        <f t="shared" si="13"/>
        <v>100</v>
      </c>
      <c r="B114" s="11" t="s">
        <v>18</v>
      </c>
      <c r="C114" s="11" t="s">
        <v>1330</v>
      </c>
      <c r="D114" s="15" t="s">
        <v>78</v>
      </c>
      <c r="E114" s="11" t="s">
        <v>26</v>
      </c>
      <c r="F114" s="11" t="s">
        <v>1331</v>
      </c>
      <c r="G114" s="12">
        <v>1822</v>
      </c>
      <c r="H114" s="12">
        <v>2299</v>
      </c>
      <c r="I114" s="12"/>
      <c r="J114" s="12">
        <v>1812</v>
      </c>
      <c r="K114" s="12">
        <f t="shared" si="14"/>
        <v>0</v>
      </c>
      <c r="L114" s="12">
        <f t="shared" si="15"/>
        <v>1822</v>
      </c>
      <c r="M114" s="12">
        <f t="shared" si="16"/>
        <v>2299</v>
      </c>
      <c r="N114" s="12">
        <f t="shared" si="17"/>
        <v>1812</v>
      </c>
      <c r="O114" s="12" t="str">
        <f t="shared" si="18"/>
        <v>휘발유 45,550원 / 고급유 45,980원</v>
      </c>
      <c r="P114" s="12">
        <f t="shared" si="19"/>
        <v>91530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91530</v>
      </c>
      <c r="U114" s="12">
        <f t="shared" si="23"/>
        <v>2034</v>
      </c>
      <c r="V114" s="12">
        <f t="shared" si="24"/>
        <v>2034</v>
      </c>
      <c r="W114" s="14">
        <f t="shared" si="25"/>
        <v>91530</v>
      </c>
    </row>
    <row r="115" spans="1:23" s="2" customFormat="1" ht="28.5" customHeight="1">
      <c r="A115" s="11">
        <f t="shared" si="13"/>
        <v>101</v>
      </c>
      <c r="B115" s="11" t="s">
        <v>14</v>
      </c>
      <c r="C115" s="11" t="s">
        <v>170</v>
      </c>
      <c r="D115" s="11" t="s">
        <v>57</v>
      </c>
      <c r="E115" s="11" t="s">
        <v>26</v>
      </c>
      <c r="F115" s="11" t="s">
        <v>171</v>
      </c>
      <c r="G115" s="12">
        <v>1839</v>
      </c>
      <c r="H115" s="12">
        <v>2279</v>
      </c>
      <c r="I115" s="12"/>
      <c r="J115" s="12">
        <v>1819</v>
      </c>
      <c r="K115" s="12">
        <f t="shared" si="14"/>
        <v>0</v>
      </c>
      <c r="L115" s="12">
        <f t="shared" si="15"/>
        <v>1839</v>
      </c>
      <c r="M115" s="12">
        <f t="shared" si="16"/>
        <v>2279</v>
      </c>
      <c r="N115" s="12">
        <f t="shared" si="17"/>
        <v>1819</v>
      </c>
      <c r="O115" s="12" t="str">
        <f t="shared" si="18"/>
        <v>휘발유 45,975원 / 고급유 45,580원</v>
      </c>
      <c r="P115" s="12">
        <f t="shared" si="19"/>
        <v>91555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91555</v>
      </c>
      <c r="U115" s="12">
        <f t="shared" si="23"/>
        <v>2034.5555555555557</v>
      </c>
      <c r="V115" s="12">
        <f t="shared" si="24"/>
        <v>2034.5555555555557</v>
      </c>
      <c r="W115" s="14">
        <f t="shared" si="25"/>
        <v>91555</v>
      </c>
    </row>
    <row r="116" spans="1:23" s="16" customFormat="1" ht="28.5" customHeight="1">
      <c r="A116" s="11">
        <f t="shared" si="13"/>
        <v>102</v>
      </c>
      <c r="B116" s="11" t="s">
        <v>10</v>
      </c>
      <c r="C116" s="11" t="s">
        <v>1137</v>
      </c>
      <c r="D116" s="15" t="s">
        <v>78</v>
      </c>
      <c r="E116" s="11" t="s">
        <v>26</v>
      </c>
      <c r="F116" s="11" t="s">
        <v>1138</v>
      </c>
      <c r="G116" s="12">
        <v>1858</v>
      </c>
      <c r="H116" s="12">
        <v>2258</v>
      </c>
      <c r="I116" s="12"/>
      <c r="J116" s="12">
        <v>1848</v>
      </c>
      <c r="K116" s="12">
        <f t="shared" si="14"/>
        <v>0</v>
      </c>
      <c r="L116" s="12">
        <f t="shared" si="15"/>
        <v>1858</v>
      </c>
      <c r="M116" s="12">
        <f t="shared" si="16"/>
        <v>2258</v>
      </c>
      <c r="N116" s="12">
        <f t="shared" si="17"/>
        <v>1848</v>
      </c>
      <c r="O116" s="12" t="str">
        <f t="shared" si="18"/>
        <v>휘발유 46,450원 / 고급유 45,160원</v>
      </c>
      <c r="P116" s="12">
        <f t="shared" si="19"/>
        <v>91610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91610</v>
      </c>
      <c r="U116" s="12">
        <f t="shared" si="23"/>
        <v>2035.7777777777778</v>
      </c>
      <c r="V116" s="12">
        <f t="shared" si="24"/>
        <v>2035.7777777777778</v>
      </c>
      <c r="W116" s="14">
        <f t="shared" si="25"/>
        <v>91610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649</v>
      </c>
      <c r="D117" s="15" t="s">
        <v>57</v>
      </c>
      <c r="E117" s="11" t="s">
        <v>26</v>
      </c>
      <c r="F117" s="11" t="s">
        <v>650</v>
      </c>
      <c r="G117" s="12">
        <v>1829</v>
      </c>
      <c r="H117" s="12">
        <v>2295</v>
      </c>
      <c r="I117" s="12"/>
      <c r="J117" s="12">
        <v>1819</v>
      </c>
      <c r="K117" s="12">
        <f t="shared" si="14"/>
        <v>0</v>
      </c>
      <c r="L117" s="12">
        <f t="shared" si="15"/>
        <v>1829</v>
      </c>
      <c r="M117" s="12">
        <f t="shared" si="16"/>
        <v>2295</v>
      </c>
      <c r="N117" s="12">
        <f t="shared" si="17"/>
        <v>1819</v>
      </c>
      <c r="O117" s="12" t="str">
        <f t="shared" si="18"/>
        <v>휘발유 45,725원 / 고급유 45,900원</v>
      </c>
      <c r="P117" s="12">
        <f t="shared" si="19"/>
        <v>91625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91625</v>
      </c>
      <c r="U117" s="12">
        <f t="shared" si="23"/>
        <v>2036.1111111111111</v>
      </c>
      <c r="V117" s="12">
        <f t="shared" si="24"/>
        <v>2036.1111111111111</v>
      </c>
      <c r="W117" s="14">
        <f t="shared" si="25"/>
        <v>91625</v>
      </c>
    </row>
    <row r="118" spans="1:23" s="2" customFormat="1" ht="28.5" customHeight="1">
      <c r="A118" s="11">
        <f t="shared" si="13"/>
        <v>103</v>
      </c>
      <c r="B118" s="11" t="s">
        <v>16</v>
      </c>
      <c r="C118" s="11" t="s">
        <v>606</v>
      </c>
      <c r="D118" s="15" t="s">
        <v>45</v>
      </c>
      <c r="E118" s="11" t="s">
        <v>26</v>
      </c>
      <c r="F118" s="11" t="s">
        <v>607</v>
      </c>
      <c r="G118" s="12">
        <v>1885</v>
      </c>
      <c r="H118" s="12">
        <v>2225</v>
      </c>
      <c r="I118" s="12"/>
      <c r="J118" s="12">
        <v>1855</v>
      </c>
      <c r="K118" s="12">
        <f t="shared" si="14"/>
        <v>0</v>
      </c>
      <c r="L118" s="12">
        <f t="shared" si="15"/>
        <v>1885</v>
      </c>
      <c r="M118" s="12">
        <f t="shared" si="16"/>
        <v>2225</v>
      </c>
      <c r="N118" s="12">
        <f t="shared" si="17"/>
        <v>1855</v>
      </c>
      <c r="O118" s="12" t="str">
        <f t="shared" si="18"/>
        <v>휘발유 47,125원 / 고급유 44,500원</v>
      </c>
      <c r="P118" s="12">
        <f t="shared" si="19"/>
        <v>91625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91625</v>
      </c>
      <c r="U118" s="12">
        <f t="shared" si="23"/>
        <v>2036.1111111111111</v>
      </c>
      <c r="V118" s="12">
        <f t="shared" si="24"/>
        <v>2036.1111111111111</v>
      </c>
      <c r="W118" s="14">
        <f t="shared" si="25"/>
        <v>91625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592</v>
      </c>
      <c r="D119" s="15" t="s">
        <v>78</v>
      </c>
      <c r="E119" s="11" t="s">
        <v>26</v>
      </c>
      <c r="F119" s="11" t="s">
        <v>593</v>
      </c>
      <c r="G119" s="12">
        <v>1828</v>
      </c>
      <c r="H119" s="12">
        <v>2298</v>
      </c>
      <c r="I119" s="12"/>
      <c r="J119" s="12">
        <v>1811</v>
      </c>
      <c r="K119" s="12">
        <f t="shared" si="14"/>
        <v>0</v>
      </c>
      <c r="L119" s="12">
        <f t="shared" si="15"/>
        <v>1828</v>
      </c>
      <c r="M119" s="12">
        <f t="shared" si="16"/>
        <v>2298</v>
      </c>
      <c r="N119" s="12">
        <f t="shared" si="17"/>
        <v>1811</v>
      </c>
      <c r="O119" s="12" t="str">
        <f t="shared" si="18"/>
        <v>휘발유 45,700원 / 고급유 45,960원</v>
      </c>
      <c r="P119" s="12">
        <f t="shared" si="19"/>
        <v>91660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91660</v>
      </c>
      <c r="U119" s="12">
        <f t="shared" si="23"/>
        <v>2036.8888888888889</v>
      </c>
      <c r="V119" s="12">
        <f t="shared" si="24"/>
        <v>2036.8888888888889</v>
      </c>
      <c r="W119" s="14">
        <f t="shared" si="25"/>
        <v>91660</v>
      </c>
    </row>
    <row r="120" spans="1:23" s="2" customFormat="1" ht="28.5" customHeight="1">
      <c r="A120" s="11">
        <f t="shared" si="13"/>
        <v>106</v>
      </c>
      <c r="B120" s="11" t="s">
        <v>12</v>
      </c>
      <c r="C120" s="11" t="s">
        <v>1431</v>
      </c>
      <c r="D120" s="15" t="s">
        <v>59</v>
      </c>
      <c r="E120" s="11" t="s">
        <v>26</v>
      </c>
      <c r="F120" s="11" t="s">
        <v>1432</v>
      </c>
      <c r="G120" s="12">
        <v>1865</v>
      </c>
      <c r="H120" s="12">
        <v>2252</v>
      </c>
      <c r="I120" s="12"/>
      <c r="J120" s="12">
        <v>1849</v>
      </c>
      <c r="K120" s="12">
        <f t="shared" si="14"/>
        <v>0</v>
      </c>
      <c r="L120" s="12">
        <f t="shared" si="15"/>
        <v>1865</v>
      </c>
      <c r="M120" s="12">
        <f t="shared" si="16"/>
        <v>2252</v>
      </c>
      <c r="N120" s="12">
        <f t="shared" si="17"/>
        <v>1849</v>
      </c>
      <c r="O120" s="12" t="str">
        <f t="shared" si="18"/>
        <v>휘발유 46,625원 / 고급유 45,040원</v>
      </c>
      <c r="P120" s="12">
        <f t="shared" si="19"/>
        <v>91665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91665</v>
      </c>
      <c r="U120" s="12">
        <f t="shared" si="23"/>
        <v>2037</v>
      </c>
      <c r="V120" s="12">
        <f t="shared" si="24"/>
        <v>2037</v>
      </c>
      <c r="W120" s="14">
        <f t="shared" si="25"/>
        <v>91665</v>
      </c>
    </row>
    <row r="121" spans="1:23" s="7" customFormat="1" ht="28.5" customHeight="1">
      <c r="A121" s="11">
        <f t="shared" si="13"/>
        <v>107</v>
      </c>
      <c r="B121" s="11" t="s">
        <v>14</v>
      </c>
      <c r="C121" s="11" t="s">
        <v>1402</v>
      </c>
      <c r="D121" s="15" t="s">
        <v>59</v>
      </c>
      <c r="E121" s="11" t="s">
        <v>26</v>
      </c>
      <c r="F121" s="11" t="s">
        <v>1403</v>
      </c>
      <c r="G121" s="12">
        <v>1832</v>
      </c>
      <c r="H121" s="12">
        <v>2295</v>
      </c>
      <c r="I121" s="12"/>
      <c r="J121" s="12">
        <v>1825</v>
      </c>
      <c r="K121" s="12">
        <f t="shared" si="14"/>
        <v>0</v>
      </c>
      <c r="L121" s="12">
        <f t="shared" si="15"/>
        <v>1832</v>
      </c>
      <c r="M121" s="12">
        <f t="shared" si="16"/>
        <v>2295</v>
      </c>
      <c r="N121" s="12">
        <f t="shared" si="17"/>
        <v>1825</v>
      </c>
      <c r="O121" s="12" t="str">
        <f t="shared" si="18"/>
        <v>휘발유 45,800원 / 고급유 45,900원</v>
      </c>
      <c r="P121" s="12">
        <f t="shared" si="19"/>
        <v>91700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91700</v>
      </c>
      <c r="U121" s="12">
        <f t="shared" si="23"/>
        <v>2037.7777777777778</v>
      </c>
      <c r="V121" s="12">
        <f t="shared" si="24"/>
        <v>2037.7777777777778</v>
      </c>
      <c r="W121" s="14">
        <f t="shared" si="25"/>
        <v>91700</v>
      </c>
    </row>
    <row r="122" spans="1:23" s="16" customFormat="1" ht="28.5" customHeight="1">
      <c r="A122" s="11">
        <f t="shared" si="13"/>
        <v>108</v>
      </c>
      <c r="B122" s="11" t="s">
        <v>6</v>
      </c>
      <c r="C122" s="11" t="s">
        <v>256</v>
      </c>
      <c r="D122" s="15" t="s">
        <v>78</v>
      </c>
      <c r="E122" s="11" t="s">
        <v>26</v>
      </c>
      <c r="F122" s="11" t="s">
        <v>257</v>
      </c>
      <c r="G122" s="12">
        <v>1878</v>
      </c>
      <c r="H122" s="12">
        <v>2239</v>
      </c>
      <c r="I122" s="12"/>
      <c r="J122" s="12">
        <v>1849</v>
      </c>
      <c r="K122" s="12">
        <f t="shared" si="14"/>
        <v>0</v>
      </c>
      <c r="L122" s="12">
        <f t="shared" si="15"/>
        <v>1878</v>
      </c>
      <c r="M122" s="12">
        <f t="shared" si="16"/>
        <v>2239</v>
      </c>
      <c r="N122" s="12">
        <f t="shared" si="17"/>
        <v>1849</v>
      </c>
      <c r="O122" s="12" t="str">
        <f t="shared" si="18"/>
        <v>휘발유 46,950원 / 고급유 44,780원</v>
      </c>
      <c r="P122" s="12">
        <f t="shared" si="19"/>
        <v>91730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91730</v>
      </c>
      <c r="U122" s="12">
        <f t="shared" si="23"/>
        <v>2038.4444444444443</v>
      </c>
      <c r="V122" s="12">
        <f t="shared" si="24"/>
        <v>2038.4444444444443</v>
      </c>
      <c r="W122" s="14">
        <f t="shared" si="25"/>
        <v>91730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252</v>
      </c>
      <c r="D123" s="15" t="s">
        <v>78</v>
      </c>
      <c r="E123" s="11" t="s">
        <v>26</v>
      </c>
      <c r="F123" s="11" t="s">
        <v>253</v>
      </c>
      <c r="G123" s="12">
        <v>1855</v>
      </c>
      <c r="H123" s="12">
        <v>2269</v>
      </c>
      <c r="I123" s="12"/>
      <c r="J123" s="12">
        <v>1823</v>
      </c>
      <c r="K123" s="12">
        <f t="shared" si="14"/>
        <v>0</v>
      </c>
      <c r="L123" s="12">
        <f t="shared" si="15"/>
        <v>1855</v>
      </c>
      <c r="M123" s="12">
        <f t="shared" si="16"/>
        <v>2269</v>
      </c>
      <c r="N123" s="12">
        <f t="shared" si="17"/>
        <v>1823</v>
      </c>
      <c r="O123" s="12" t="str">
        <f t="shared" si="18"/>
        <v>휘발유 46,375원 / 고급유 45,380원</v>
      </c>
      <c r="P123" s="12">
        <f t="shared" si="19"/>
        <v>91755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91755</v>
      </c>
      <c r="U123" s="12">
        <f t="shared" si="23"/>
        <v>2039</v>
      </c>
      <c r="V123" s="12">
        <f t="shared" si="24"/>
        <v>2039</v>
      </c>
      <c r="W123" s="14">
        <f t="shared" si="25"/>
        <v>91755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582</v>
      </c>
      <c r="D124" s="15" t="s">
        <v>45</v>
      </c>
      <c r="E124" s="11" t="s">
        <v>26</v>
      </c>
      <c r="F124" s="11" t="s">
        <v>583</v>
      </c>
      <c r="G124" s="12">
        <v>1845</v>
      </c>
      <c r="H124" s="12">
        <v>2285</v>
      </c>
      <c r="I124" s="12"/>
      <c r="J124" s="12">
        <v>1835</v>
      </c>
      <c r="K124" s="12">
        <f t="shared" si="14"/>
        <v>0</v>
      </c>
      <c r="L124" s="12">
        <f t="shared" si="15"/>
        <v>1845</v>
      </c>
      <c r="M124" s="12">
        <f t="shared" si="16"/>
        <v>2285</v>
      </c>
      <c r="N124" s="12">
        <f t="shared" si="17"/>
        <v>1835</v>
      </c>
      <c r="O124" s="12" t="str">
        <f t="shared" si="18"/>
        <v>휘발유 46,125원 / 고급유 45,700원</v>
      </c>
      <c r="P124" s="12">
        <f t="shared" si="19"/>
        <v>91825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91825</v>
      </c>
      <c r="U124" s="12">
        <f t="shared" si="23"/>
        <v>2040.5555555555557</v>
      </c>
      <c r="V124" s="12">
        <f t="shared" si="24"/>
        <v>2040.5555555555557</v>
      </c>
      <c r="W124" s="14">
        <f t="shared" si="25"/>
        <v>91825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122</v>
      </c>
      <c r="D125" s="11" t="s">
        <v>48</v>
      </c>
      <c r="E125" s="11" t="s">
        <v>26</v>
      </c>
      <c r="F125" s="11" t="s">
        <v>123</v>
      </c>
      <c r="G125" s="12">
        <v>1834</v>
      </c>
      <c r="H125" s="12">
        <v>2299</v>
      </c>
      <c r="I125" s="12"/>
      <c r="J125" s="12">
        <v>1822</v>
      </c>
      <c r="K125" s="12">
        <f t="shared" si="14"/>
        <v>0</v>
      </c>
      <c r="L125" s="12">
        <f t="shared" si="15"/>
        <v>1834</v>
      </c>
      <c r="M125" s="12">
        <f t="shared" si="16"/>
        <v>2299</v>
      </c>
      <c r="N125" s="12">
        <f t="shared" si="17"/>
        <v>1822</v>
      </c>
      <c r="O125" s="12" t="str">
        <f t="shared" si="18"/>
        <v>휘발유 45,850원 / 고급유 45,980원</v>
      </c>
      <c r="P125" s="12">
        <f t="shared" si="19"/>
        <v>91830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91830</v>
      </c>
      <c r="U125" s="12">
        <f t="shared" si="23"/>
        <v>2040.6666666666667</v>
      </c>
      <c r="V125" s="12">
        <f t="shared" si="24"/>
        <v>2040.6666666666667</v>
      </c>
      <c r="W125" s="14">
        <f t="shared" si="25"/>
        <v>91830</v>
      </c>
    </row>
    <row r="126" spans="1:23" s="16" customFormat="1" ht="28.5" customHeight="1">
      <c r="A126" s="11">
        <f t="shared" si="13"/>
        <v>111</v>
      </c>
      <c r="B126" s="11" t="s">
        <v>8</v>
      </c>
      <c r="C126" s="11" t="s">
        <v>250</v>
      </c>
      <c r="D126" s="15" t="s">
        <v>78</v>
      </c>
      <c r="E126" s="11" t="s">
        <v>26</v>
      </c>
      <c r="F126" s="11" t="s">
        <v>251</v>
      </c>
      <c r="G126" s="12">
        <v>1858</v>
      </c>
      <c r="H126" s="12">
        <v>2269</v>
      </c>
      <c r="I126" s="12"/>
      <c r="J126" s="12">
        <v>1829</v>
      </c>
      <c r="K126" s="12">
        <f t="shared" si="14"/>
        <v>0</v>
      </c>
      <c r="L126" s="12">
        <f t="shared" si="15"/>
        <v>1858</v>
      </c>
      <c r="M126" s="12">
        <f t="shared" si="16"/>
        <v>2269</v>
      </c>
      <c r="N126" s="12">
        <f t="shared" si="17"/>
        <v>1829</v>
      </c>
      <c r="O126" s="12" t="str">
        <f t="shared" si="18"/>
        <v>휘발유 46,450원 / 고급유 45,380원</v>
      </c>
      <c r="P126" s="12">
        <f t="shared" si="19"/>
        <v>91830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91830</v>
      </c>
      <c r="U126" s="12">
        <f t="shared" si="23"/>
        <v>2040.6666666666667</v>
      </c>
      <c r="V126" s="12">
        <f t="shared" si="24"/>
        <v>2040.6666666666667</v>
      </c>
      <c r="W126" s="14">
        <f t="shared" si="25"/>
        <v>91830</v>
      </c>
    </row>
    <row r="127" spans="1:23" s="2" customFormat="1" ht="28.5" customHeight="1">
      <c r="A127" s="11">
        <f t="shared" si="13"/>
        <v>113</v>
      </c>
      <c r="B127" s="11" t="s">
        <v>12</v>
      </c>
      <c r="C127" s="11" t="s">
        <v>1455</v>
      </c>
      <c r="D127" s="15" t="s">
        <v>59</v>
      </c>
      <c r="E127" s="11" t="s">
        <v>26</v>
      </c>
      <c r="F127" s="11" t="s">
        <v>1456</v>
      </c>
      <c r="G127" s="12">
        <v>1845</v>
      </c>
      <c r="H127" s="12">
        <v>2287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2287</v>
      </c>
      <c r="N127" s="12">
        <f t="shared" si="17"/>
        <v>1849</v>
      </c>
      <c r="O127" s="12" t="str">
        <f t="shared" si="18"/>
        <v>휘발유 46,125원 / 고급유 45,740원</v>
      </c>
      <c r="P127" s="12">
        <f t="shared" si="19"/>
        <v>91865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91865</v>
      </c>
      <c r="U127" s="12">
        <f t="shared" si="23"/>
        <v>2041.4444444444443</v>
      </c>
      <c r="V127" s="12">
        <f t="shared" si="24"/>
        <v>2041.4444444444443</v>
      </c>
      <c r="W127" s="14">
        <f t="shared" si="25"/>
        <v>91865</v>
      </c>
    </row>
    <row r="128" spans="1:23" s="7" customFormat="1" ht="28.5" customHeight="1">
      <c r="A128" s="11">
        <f t="shared" si="13"/>
        <v>114</v>
      </c>
      <c r="B128" s="11" t="s">
        <v>8</v>
      </c>
      <c r="C128" s="11" t="s">
        <v>413</v>
      </c>
      <c r="D128" s="15" t="s">
        <v>78</v>
      </c>
      <c r="E128" s="11" t="s">
        <v>26</v>
      </c>
      <c r="F128" s="11" t="s">
        <v>414</v>
      </c>
      <c r="G128" s="12">
        <v>1839</v>
      </c>
      <c r="H128" s="12">
        <v>2299</v>
      </c>
      <c r="I128" s="12"/>
      <c r="J128" s="12">
        <v>1839</v>
      </c>
      <c r="K128" s="12">
        <f t="shared" si="14"/>
        <v>0</v>
      </c>
      <c r="L128" s="12">
        <f t="shared" si="15"/>
        <v>1839</v>
      </c>
      <c r="M128" s="12">
        <f t="shared" si="16"/>
        <v>2299</v>
      </c>
      <c r="N128" s="12">
        <f t="shared" si="17"/>
        <v>1839</v>
      </c>
      <c r="O128" s="12" t="str">
        <f t="shared" si="18"/>
        <v>휘발유 45,975원 / 고급유 45,980원</v>
      </c>
      <c r="P128" s="12">
        <f t="shared" si="19"/>
        <v>91955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91955</v>
      </c>
      <c r="U128" s="12">
        <f t="shared" si="23"/>
        <v>2043.4444444444443</v>
      </c>
      <c r="V128" s="12">
        <f t="shared" si="24"/>
        <v>2043.4444444444443</v>
      </c>
      <c r="W128" s="14">
        <f t="shared" si="25"/>
        <v>91955</v>
      </c>
    </row>
    <row r="129" spans="1:23" s="16" customFormat="1" ht="28.5" customHeight="1">
      <c r="A129" s="11">
        <f t="shared" si="13"/>
        <v>114</v>
      </c>
      <c r="B129" s="11" t="s">
        <v>12</v>
      </c>
      <c r="C129" s="11" t="s">
        <v>260</v>
      </c>
      <c r="D129" s="15" t="s">
        <v>78</v>
      </c>
      <c r="E129" s="11" t="s">
        <v>60</v>
      </c>
      <c r="F129" s="11" t="s">
        <v>261</v>
      </c>
      <c r="G129" s="12">
        <v>1887</v>
      </c>
      <c r="H129" s="12">
        <v>2239</v>
      </c>
      <c r="I129" s="12"/>
      <c r="J129" s="12">
        <v>1864</v>
      </c>
      <c r="K129" s="12">
        <f t="shared" si="14"/>
        <v>0</v>
      </c>
      <c r="L129" s="12">
        <f t="shared" si="15"/>
        <v>1887</v>
      </c>
      <c r="M129" s="12">
        <f t="shared" si="16"/>
        <v>2239</v>
      </c>
      <c r="N129" s="12">
        <f t="shared" si="17"/>
        <v>1864</v>
      </c>
      <c r="O129" s="12" t="str">
        <f t="shared" si="18"/>
        <v>휘발유 47,175원 / 고급유 44,780원</v>
      </c>
      <c r="P129" s="12">
        <f t="shared" si="19"/>
        <v>91955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91955</v>
      </c>
      <c r="U129" s="12">
        <f t="shared" si="23"/>
        <v>2043.4444444444443</v>
      </c>
      <c r="V129" s="12">
        <f t="shared" si="24"/>
        <v>2043.4444444444443</v>
      </c>
      <c r="W129" s="14">
        <f t="shared" si="25"/>
        <v>91955</v>
      </c>
    </row>
    <row r="130" spans="1:23" s="2" customFormat="1" ht="28.5" customHeight="1">
      <c r="A130" s="11">
        <f t="shared" si="13"/>
        <v>116</v>
      </c>
      <c r="B130" s="11" t="s">
        <v>10</v>
      </c>
      <c r="C130" s="11" t="s">
        <v>1546</v>
      </c>
      <c r="D130" s="15" t="s">
        <v>78</v>
      </c>
      <c r="E130" s="11" t="s">
        <v>26</v>
      </c>
      <c r="F130" s="11" t="s">
        <v>1547</v>
      </c>
      <c r="G130" s="12">
        <v>1828</v>
      </c>
      <c r="H130" s="12">
        <v>2315</v>
      </c>
      <c r="I130" s="12"/>
      <c r="J130" s="12">
        <v>1799</v>
      </c>
      <c r="K130" s="12">
        <f t="shared" si="14"/>
        <v>0</v>
      </c>
      <c r="L130" s="12">
        <f t="shared" si="15"/>
        <v>1828</v>
      </c>
      <c r="M130" s="12">
        <f t="shared" si="16"/>
        <v>2315</v>
      </c>
      <c r="N130" s="12">
        <f t="shared" si="17"/>
        <v>1799</v>
      </c>
      <c r="O130" s="12" t="str">
        <f t="shared" si="18"/>
        <v>휘발유 45,700원 / 고급유 46,300원</v>
      </c>
      <c r="P130" s="12">
        <f t="shared" si="19"/>
        <v>92000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92000</v>
      </c>
      <c r="U130" s="12">
        <f t="shared" si="23"/>
        <v>2044.4444444444443</v>
      </c>
      <c r="V130" s="12">
        <f t="shared" si="24"/>
        <v>2044.4444444444443</v>
      </c>
      <c r="W130" s="14">
        <f t="shared" si="25"/>
        <v>92000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396</v>
      </c>
      <c r="D131" s="15" t="s">
        <v>78</v>
      </c>
      <c r="E131" s="11" t="s">
        <v>26</v>
      </c>
      <c r="F131" s="11" t="s">
        <v>397</v>
      </c>
      <c r="G131" s="12">
        <v>1849</v>
      </c>
      <c r="H131" s="12">
        <v>2289</v>
      </c>
      <c r="I131" s="12"/>
      <c r="J131" s="12">
        <v>1819</v>
      </c>
      <c r="K131" s="12">
        <f t="shared" si="14"/>
        <v>0</v>
      </c>
      <c r="L131" s="12">
        <f t="shared" si="15"/>
        <v>1849</v>
      </c>
      <c r="M131" s="12">
        <f t="shared" si="16"/>
        <v>2289</v>
      </c>
      <c r="N131" s="12">
        <f t="shared" si="17"/>
        <v>1819</v>
      </c>
      <c r="O131" s="12" t="str">
        <f t="shared" si="18"/>
        <v>휘발유 46,225원 / 고급유 45,780원</v>
      </c>
      <c r="P131" s="12">
        <f t="shared" si="19"/>
        <v>92005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92005</v>
      </c>
      <c r="U131" s="12">
        <f t="shared" si="23"/>
        <v>2044.5555555555557</v>
      </c>
      <c r="V131" s="12">
        <f t="shared" si="24"/>
        <v>2044.5555555555557</v>
      </c>
      <c r="W131" s="14">
        <f t="shared" si="25"/>
        <v>92005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1433</v>
      </c>
      <c r="D132" s="15" t="s">
        <v>59</v>
      </c>
      <c r="E132" s="11" t="s">
        <v>26</v>
      </c>
      <c r="F132" s="11" t="s">
        <v>1434</v>
      </c>
      <c r="G132" s="12">
        <v>1845</v>
      </c>
      <c r="H132" s="12">
        <v>2299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2299</v>
      </c>
      <c r="N132" s="12">
        <f t="shared" si="17"/>
        <v>1849</v>
      </c>
      <c r="O132" s="12" t="str">
        <f t="shared" si="18"/>
        <v>휘발유 46,125원 / 고급유 45,980원</v>
      </c>
      <c r="P132" s="12">
        <f t="shared" si="19"/>
        <v>92105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92105</v>
      </c>
      <c r="U132" s="12">
        <f t="shared" si="23"/>
        <v>2046.7777777777778</v>
      </c>
      <c r="V132" s="12">
        <f t="shared" si="24"/>
        <v>2046.7777777777778</v>
      </c>
      <c r="W132" s="14">
        <f t="shared" si="25"/>
        <v>92105</v>
      </c>
    </row>
    <row r="133" spans="1:23" s="2" customFormat="1" ht="28.5" customHeight="1">
      <c r="A133" s="11">
        <f t="shared" si="13"/>
        <v>118</v>
      </c>
      <c r="B133" s="11" t="s">
        <v>6</v>
      </c>
      <c r="C133" s="11" t="s">
        <v>1447</v>
      </c>
      <c r="D133" s="15" t="s">
        <v>59</v>
      </c>
      <c r="E133" s="11" t="s">
        <v>26</v>
      </c>
      <c r="F133" s="11" t="s">
        <v>1448</v>
      </c>
      <c r="G133" s="12">
        <v>1845</v>
      </c>
      <c r="H133" s="12">
        <v>2299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2299</v>
      </c>
      <c r="N133" s="12">
        <f t="shared" si="17"/>
        <v>1849</v>
      </c>
      <c r="O133" s="12" t="str">
        <f t="shared" si="18"/>
        <v>휘발유 46,125원 / 고급유 45,980원</v>
      </c>
      <c r="P133" s="12">
        <f t="shared" si="19"/>
        <v>92105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92105</v>
      </c>
      <c r="U133" s="12">
        <f t="shared" si="23"/>
        <v>2046.7777777777778</v>
      </c>
      <c r="V133" s="12">
        <f t="shared" si="24"/>
        <v>2046.7777777777778</v>
      </c>
      <c r="W133" s="14">
        <f t="shared" si="25"/>
        <v>92105</v>
      </c>
    </row>
    <row r="134" spans="1:23" s="7" customFormat="1" ht="28.5" customHeight="1">
      <c r="A134" s="11">
        <f t="shared" si="13"/>
        <v>120</v>
      </c>
      <c r="B134" s="11" t="s">
        <v>6</v>
      </c>
      <c r="C134" s="11" t="s">
        <v>284</v>
      </c>
      <c r="D134" s="15" t="s">
        <v>45</v>
      </c>
      <c r="E134" s="11" t="s">
        <v>26</v>
      </c>
      <c r="F134" s="11" t="s">
        <v>285</v>
      </c>
      <c r="G134" s="12">
        <v>1808</v>
      </c>
      <c r="H134" s="12">
        <v>2346</v>
      </c>
      <c r="I134" s="12"/>
      <c r="J134" s="12">
        <v>1797</v>
      </c>
      <c r="K134" s="12">
        <f t="shared" si="14"/>
        <v>0</v>
      </c>
      <c r="L134" s="12">
        <f t="shared" si="15"/>
        <v>1808</v>
      </c>
      <c r="M134" s="12">
        <f t="shared" si="16"/>
        <v>2346</v>
      </c>
      <c r="N134" s="12">
        <f t="shared" si="17"/>
        <v>1797</v>
      </c>
      <c r="O134" s="12" t="str">
        <f t="shared" si="18"/>
        <v>휘발유 45,200원 / 고급유 46,920원</v>
      </c>
      <c r="P134" s="12">
        <f t="shared" si="19"/>
        <v>92120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92120</v>
      </c>
      <c r="U134" s="12">
        <f t="shared" si="23"/>
        <v>2047.1111111111111</v>
      </c>
      <c r="V134" s="12">
        <f t="shared" si="24"/>
        <v>2047.1111111111111</v>
      </c>
      <c r="W134" s="14">
        <f t="shared" si="25"/>
        <v>92120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1185</v>
      </c>
      <c r="D135" s="15" t="s">
        <v>45</v>
      </c>
      <c r="E135" s="11" t="s">
        <v>26</v>
      </c>
      <c r="F135" s="11" t="s">
        <v>1186</v>
      </c>
      <c r="G135" s="12">
        <v>1809</v>
      </c>
      <c r="H135" s="12">
        <v>2346</v>
      </c>
      <c r="I135" s="12"/>
      <c r="J135" s="12">
        <v>1798</v>
      </c>
      <c r="K135" s="12">
        <f t="shared" si="14"/>
        <v>0</v>
      </c>
      <c r="L135" s="12">
        <f t="shared" si="15"/>
        <v>1809</v>
      </c>
      <c r="M135" s="12">
        <f t="shared" si="16"/>
        <v>2346</v>
      </c>
      <c r="N135" s="12">
        <f t="shared" si="17"/>
        <v>1798</v>
      </c>
      <c r="O135" s="12" t="str">
        <f t="shared" si="18"/>
        <v>휘발유 45,225원 / 고급유 46,920원</v>
      </c>
      <c r="P135" s="12">
        <f t="shared" si="19"/>
        <v>92145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92145</v>
      </c>
      <c r="U135" s="12">
        <f t="shared" si="23"/>
        <v>2047.6666666666667</v>
      </c>
      <c r="V135" s="12">
        <f t="shared" si="24"/>
        <v>2047.6666666666667</v>
      </c>
      <c r="W135" s="14">
        <f t="shared" si="25"/>
        <v>92145</v>
      </c>
    </row>
    <row r="136" spans="1:23" s="7" customFormat="1" ht="28.5" customHeight="1">
      <c r="A136" s="11">
        <f t="shared" si="13"/>
        <v>122</v>
      </c>
      <c r="B136" s="11" t="s">
        <v>14</v>
      </c>
      <c r="C136" s="11" t="s">
        <v>162</v>
      </c>
      <c r="D136" s="15" t="s">
        <v>59</v>
      </c>
      <c r="E136" s="11" t="s">
        <v>26</v>
      </c>
      <c r="F136" s="11" t="s">
        <v>163</v>
      </c>
      <c r="G136" s="12">
        <v>1815</v>
      </c>
      <c r="H136" s="12">
        <v>2339</v>
      </c>
      <c r="I136" s="12"/>
      <c r="J136" s="12">
        <v>1819</v>
      </c>
      <c r="K136" s="12">
        <f t="shared" si="14"/>
        <v>0</v>
      </c>
      <c r="L136" s="12">
        <f t="shared" si="15"/>
        <v>1815</v>
      </c>
      <c r="M136" s="12">
        <f t="shared" si="16"/>
        <v>2339</v>
      </c>
      <c r="N136" s="12">
        <f t="shared" si="17"/>
        <v>1819</v>
      </c>
      <c r="O136" s="12" t="str">
        <f t="shared" si="18"/>
        <v>휘발유 45,375원 / 고급유 46,780원</v>
      </c>
      <c r="P136" s="12">
        <f t="shared" si="19"/>
        <v>92155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92155</v>
      </c>
      <c r="U136" s="12">
        <f t="shared" si="23"/>
        <v>2047.8888888888889</v>
      </c>
      <c r="V136" s="12">
        <f t="shared" si="24"/>
        <v>2047.8888888888889</v>
      </c>
      <c r="W136" s="14">
        <f t="shared" si="25"/>
        <v>92155</v>
      </c>
    </row>
    <row r="137" spans="1:23" s="16" customFormat="1" ht="28.5" customHeight="1">
      <c r="A137" s="11">
        <f t="shared" si="13"/>
        <v>123</v>
      </c>
      <c r="B137" s="11" t="s">
        <v>10</v>
      </c>
      <c r="C137" s="11" t="s">
        <v>1404</v>
      </c>
      <c r="D137" s="15" t="s">
        <v>59</v>
      </c>
      <c r="E137" s="11" t="s">
        <v>26</v>
      </c>
      <c r="F137" s="11" t="s">
        <v>1405</v>
      </c>
      <c r="G137" s="12">
        <v>1835</v>
      </c>
      <c r="H137" s="12">
        <v>2315</v>
      </c>
      <c r="I137" s="12"/>
      <c r="J137" s="12">
        <v>1815</v>
      </c>
      <c r="K137" s="12">
        <f t="shared" si="14"/>
        <v>0</v>
      </c>
      <c r="L137" s="12">
        <f t="shared" si="15"/>
        <v>1835</v>
      </c>
      <c r="M137" s="12">
        <f t="shared" si="16"/>
        <v>2315</v>
      </c>
      <c r="N137" s="12">
        <f t="shared" si="17"/>
        <v>1815</v>
      </c>
      <c r="O137" s="12" t="str">
        <f t="shared" si="18"/>
        <v>휘발유 45,875원 / 고급유 46,300원</v>
      </c>
      <c r="P137" s="12">
        <f t="shared" si="19"/>
        <v>92175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92175</v>
      </c>
      <c r="U137" s="12">
        <f t="shared" si="23"/>
        <v>2048.3333333333335</v>
      </c>
      <c r="V137" s="12">
        <f t="shared" si="24"/>
        <v>2048.3333333333335</v>
      </c>
      <c r="W137" s="14">
        <f t="shared" si="25"/>
        <v>92175</v>
      </c>
    </row>
    <row r="138" spans="1:23" s="2" customFormat="1" ht="28.5" customHeight="1">
      <c r="A138" s="11">
        <f t="shared" si="13"/>
        <v>124</v>
      </c>
      <c r="B138" s="11" t="s">
        <v>10</v>
      </c>
      <c r="C138" s="11" t="s">
        <v>1761</v>
      </c>
      <c r="D138" s="11" t="s">
        <v>57</v>
      </c>
      <c r="E138" s="11" t="s">
        <v>26</v>
      </c>
      <c r="F138" s="11" t="s">
        <v>1762</v>
      </c>
      <c r="G138" s="12">
        <v>1859</v>
      </c>
      <c r="H138" s="12">
        <v>2288</v>
      </c>
      <c r="I138" s="12"/>
      <c r="J138" s="12">
        <v>1849</v>
      </c>
      <c r="K138" s="12">
        <f t="shared" si="14"/>
        <v>0</v>
      </c>
      <c r="L138" s="12">
        <f t="shared" si="15"/>
        <v>1859</v>
      </c>
      <c r="M138" s="12">
        <f t="shared" si="16"/>
        <v>2288</v>
      </c>
      <c r="N138" s="12">
        <f t="shared" si="17"/>
        <v>1849</v>
      </c>
      <c r="O138" s="12" t="str">
        <f t="shared" si="18"/>
        <v>휘발유 46,475원 / 고급유 45,760원</v>
      </c>
      <c r="P138" s="12">
        <f t="shared" si="19"/>
        <v>92235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92235</v>
      </c>
      <c r="U138" s="12">
        <f t="shared" si="23"/>
        <v>2049.6666666666665</v>
      </c>
      <c r="V138" s="12">
        <f t="shared" si="24"/>
        <v>2049.6666666666665</v>
      </c>
      <c r="W138" s="14">
        <f t="shared" si="25"/>
        <v>92235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1627</v>
      </c>
      <c r="D139" s="15" t="s">
        <v>78</v>
      </c>
      <c r="E139" s="11" t="s">
        <v>26</v>
      </c>
      <c r="F139" s="11" t="s">
        <v>1628</v>
      </c>
      <c r="G139" s="12">
        <v>1815</v>
      </c>
      <c r="H139" s="12">
        <v>2345</v>
      </c>
      <c r="I139" s="12"/>
      <c r="J139" s="12">
        <v>1799</v>
      </c>
      <c r="K139" s="12">
        <f t="shared" si="14"/>
        <v>0</v>
      </c>
      <c r="L139" s="12">
        <f t="shared" si="15"/>
        <v>1815</v>
      </c>
      <c r="M139" s="12">
        <f t="shared" si="16"/>
        <v>2345</v>
      </c>
      <c r="N139" s="12">
        <f t="shared" si="17"/>
        <v>1799</v>
      </c>
      <c r="O139" s="12" t="str">
        <f t="shared" si="18"/>
        <v>휘발유 45,375원 / 고급유 46,900원</v>
      </c>
      <c r="P139" s="12">
        <f t="shared" si="19"/>
        <v>92275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92275</v>
      </c>
      <c r="U139" s="12">
        <f t="shared" si="23"/>
        <v>2050.5555555555557</v>
      </c>
      <c r="V139" s="12">
        <f t="shared" si="24"/>
        <v>2050.5555555555557</v>
      </c>
      <c r="W139" s="14">
        <f t="shared" si="25"/>
        <v>92275</v>
      </c>
    </row>
    <row r="140" spans="1:23" s="2" customFormat="1" ht="28.5" customHeight="1">
      <c r="A140" s="11">
        <f t="shared" si="13"/>
        <v>125</v>
      </c>
      <c r="B140" s="11" t="s">
        <v>6</v>
      </c>
      <c r="C140" s="11" t="s">
        <v>1400</v>
      </c>
      <c r="D140" s="15" t="s">
        <v>59</v>
      </c>
      <c r="E140" s="11" t="s">
        <v>26</v>
      </c>
      <c r="F140" s="11" t="s">
        <v>1401</v>
      </c>
      <c r="G140" s="12">
        <v>1835</v>
      </c>
      <c r="H140" s="12">
        <v>2320</v>
      </c>
      <c r="I140" s="12"/>
      <c r="J140" s="12">
        <v>1825</v>
      </c>
      <c r="K140" s="12">
        <f t="shared" si="14"/>
        <v>0</v>
      </c>
      <c r="L140" s="12">
        <f t="shared" si="15"/>
        <v>1835</v>
      </c>
      <c r="M140" s="12">
        <f t="shared" si="16"/>
        <v>2320</v>
      </c>
      <c r="N140" s="12">
        <f t="shared" si="17"/>
        <v>1825</v>
      </c>
      <c r="O140" s="12" t="str">
        <f t="shared" si="18"/>
        <v>휘발유 45,875원 / 고급유 46,400원</v>
      </c>
      <c r="P140" s="12">
        <f t="shared" si="19"/>
        <v>92275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92275</v>
      </c>
      <c r="U140" s="12">
        <f t="shared" si="23"/>
        <v>2050.5555555555557</v>
      </c>
      <c r="V140" s="12">
        <f t="shared" si="24"/>
        <v>2050.5555555555557</v>
      </c>
      <c r="W140" s="14">
        <f t="shared" si="25"/>
        <v>92275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212</v>
      </c>
      <c r="D141" s="15" t="s">
        <v>45</v>
      </c>
      <c r="E141" s="11" t="s">
        <v>26</v>
      </c>
      <c r="F141" s="11" t="s">
        <v>213</v>
      </c>
      <c r="G141" s="12">
        <v>1854</v>
      </c>
      <c r="H141" s="12">
        <v>2319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2309</v>
      </c>
      <c r="N141" s="12">
        <f t="shared" si="17"/>
        <v>1832</v>
      </c>
      <c r="O141" s="12" t="str">
        <f t="shared" si="18"/>
        <v>휘발유 46,100원 / 고급유 46,180원</v>
      </c>
      <c r="P141" s="12">
        <f t="shared" si="19"/>
        <v>92280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92280</v>
      </c>
      <c r="U141" s="12">
        <f t="shared" si="23"/>
        <v>2050.6666666666665</v>
      </c>
      <c r="V141" s="12">
        <f t="shared" si="24"/>
        <v>2050.6666666666665</v>
      </c>
      <c r="W141" s="14">
        <f t="shared" si="25"/>
        <v>92280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1854</v>
      </c>
      <c r="H142" s="12">
        <v>2319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2309</v>
      </c>
      <c r="N142" s="12">
        <f t="shared" si="17"/>
        <v>1834</v>
      </c>
      <c r="O142" s="12" t="str">
        <f t="shared" si="18"/>
        <v>휘발유 46,100원 / 고급유 46,180원</v>
      </c>
      <c r="P142" s="12">
        <f t="shared" si="19"/>
        <v>92280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92280</v>
      </c>
      <c r="U142" s="12">
        <f t="shared" si="23"/>
        <v>2050.6666666666665</v>
      </c>
      <c r="V142" s="12">
        <f t="shared" si="24"/>
        <v>2050.6666666666665</v>
      </c>
      <c r="W142" s="14">
        <f t="shared" si="25"/>
        <v>92280</v>
      </c>
    </row>
    <row r="143" spans="1:23" s="16" customFormat="1" ht="28.5" customHeight="1">
      <c r="A143" s="11">
        <f t="shared" ref="A143:A206" si="26">IF($T143="","",1+COUNTIF($W$15:$W$882,"&lt;"&amp;W143))</f>
        <v>129</v>
      </c>
      <c r="B143" s="11" t="s">
        <v>8</v>
      </c>
      <c r="C143" s="11" t="s">
        <v>360</v>
      </c>
      <c r="D143" s="11" t="s">
        <v>57</v>
      </c>
      <c r="E143" s="11" t="s">
        <v>26</v>
      </c>
      <c r="F143" s="11" t="s">
        <v>361</v>
      </c>
      <c r="G143" s="12">
        <v>1855</v>
      </c>
      <c r="H143" s="12">
        <v>2299</v>
      </c>
      <c r="I143" s="12"/>
      <c r="J143" s="12">
        <v>1839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1855</v>
      </c>
      <c r="M143" s="12">
        <f t="shared" ref="M143:M206" si="29">IF($H143="","",$H143+$K143)</f>
        <v>2299</v>
      </c>
      <c r="N143" s="12">
        <f t="shared" ref="N143:N206" si="30">IF($J143="","",$J143+$K143)</f>
        <v>1839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92355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92355</v>
      </c>
      <c r="U143" s="12">
        <f t="shared" ref="U143:U206" si="36">IF($T143="","",IF($B$10=0,"",$T143/$B$10))</f>
        <v>2052.3333333333335</v>
      </c>
      <c r="V143" s="12">
        <f t="shared" ref="V143:V206" si="37">IF($P143="","",IF($B$10=0,"",$P143/$B$10))</f>
        <v>2052.3333333333335</v>
      </c>
      <c r="W143" s="14">
        <f t="shared" ref="W143:W206" si="38">IF($T143="",1000000000000000,$T143)</f>
        <v>92355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148</v>
      </c>
      <c r="D144" s="15" t="s">
        <v>78</v>
      </c>
      <c r="E144" s="11" t="s">
        <v>26</v>
      </c>
      <c r="F144" s="11" t="s">
        <v>149</v>
      </c>
      <c r="G144" s="12">
        <v>1855</v>
      </c>
      <c r="H144" s="12">
        <v>2300</v>
      </c>
      <c r="I144" s="12"/>
      <c r="J144" s="12">
        <v>1855</v>
      </c>
      <c r="K144" s="12">
        <f t="shared" si="27"/>
        <v>0</v>
      </c>
      <c r="L144" s="12">
        <f t="shared" si="28"/>
        <v>1855</v>
      </c>
      <c r="M144" s="12">
        <f t="shared" si="29"/>
        <v>2300</v>
      </c>
      <c r="N144" s="12">
        <f t="shared" si="30"/>
        <v>1855</v>
      </c>
      <c r="O144" s="12" t="str">
        <f t="shared" si="31"/>
        <v>휘발유 46,375원 / 고급유 46,000원</v>
      </c>
      <c r="P144" s="12">
        <f t="shared" si="32"/>
        <v>92375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92375</v>
      </c>
      <c r="U144" s="12">
        <f t="shared" si="36"/>
        <v>2052.7777777777778</v>
      </c>
      <c r="V144" s="12">
        <f t="shared" si="37"/>
        <v>2052.7777777777778</v>
      </c>
      <c r="W144" s="14">
        <f t="shared" si="38"/>
        <v>92375</v>
      </c>
    </row>
    <row r="145" spans="1:23" s="7" customFormat="1" ht="28.5" customHeight="1">
      <c r="A145" s="11">
        <f t="shared" si="26"/>
        <v>131</v>
      </c>
      <c r="B145" s="11" t="s">
        <v>6</v>
      </c>
      <c r="C145" s="11" t="s">
        <v>198</v>
      </c>
      <c r="D145" s="15" t="s">
        <v>45</v>
      </c>
      <c r="E145" s="11" t="s">
        <v>26</v>
      </c>
      <c r="F145" s="11" t="s">
        <v>199</v>
      </c>
      <c r="G145" s="12">
        <v>1848</v>
      </c>
      <c r="H145" s="12">
        <v>2332</v>
      </c>
      <c r="I145" s="12" t="s">
        <v>61</v>
      </c>
      <c r="J145" s="12">
        <v>1848</v>
      </c>
      <c r="K145" s="12">
        <f t="shared" si="27"/>
        <v>-10</v>
      </c>
      <c r="L145" s="12">
        <f t="shared" si="28"/>
        <v>1838</v>
      </c>
      <c r="M145" s="12">
        <f t="shared" si="29"/>
        <v>2322</v>
      </c>
      <c r="N145" s="12">
        <f t="shared" si="30"/>
        <v>1838</v>
      </c>
      <c r="O145" s="12" t="str">
        <f t="shared" si="31"/>
        <v>휘발유 45,950원 / 고급유 46,440원</v>
      </c>
      <c r="P145" s="12">
        <f t="shared" si="32"/>
        <v>92390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92390</v>
      </c>
      <c r="U145" s="12">
        <f t="shared" si="36"/>
        <v>2053.1111111111113</v>
      </c>
      <c r="V145" s="12">
        <f t="shared" si="37"/>
        <v>2053.1111111111113</v>
      </c>
      <c r="W145" s="14">
        <f t="shared" si="38"/>
        <v>92390</v>
      </c>
    </row>
    <row r="146" spans="1:23" s="7" customFormat="1" ht="28.5" customHeight="1">
      <c r="A146" s="11">
        <f t="shared" si="26"/>
        <v>131</v>
      </c>
      <c r="B146" s="11" t="s">
        <v>6</v>
      </c>
      <c r="C146" s="11" t="s">
        <v>202</v>
      </c>
      <c r="D146" s="15" t="s">
        <v>45</v>
      </c>
      <c r="E146" s="11" t="s">
        <v>26</v>
      </c>
      <c r="F146" s="11" t="s">
        <v>203</v>
      </c>
      <c r="G146" s="12">
        <v>1848</v>
      </c>
      <c r="H146" s="12">
        <v>2332</v>
      </c>
      <c r="I146" s="12" t="s">
        <v>61</v>
      </c>
      <c r="J146" s="12">
        <v>1848</v>
      </c>
      <c r="K146" s="12">
        <f t="shared" si="27"/>
        <v>-10</v>
      </c>
      <c r="L146" s="12">
        <f t="shared" si="28"/>
        <v>1838</v>
      </c>
      <c r="M146" s="12">
        <f t="shared" si="29"/>
        <v>2322</v>
      </c>
      <c r="N146" s="12">
        <f t="shared" si="30"/>
        <v>1838</v>
      </c>
      <c r="O146" s="12" t="str">
        <f t="shared" si="31"/>
        <v>휘발유 45,950원 / 고급유 46,440원</v>
      </c>
      <c r="P146" s="12">
        <f t="shared" si="32"/>
        <v>92390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92390</v>
      </c>
      <c r="U146" s="12">
        <f t="shared" si="36"/>
        <v>2053.1111111111113</v>
      </c>
      <c r="V146" s="12">
        <f t="shared" si="37"/>
        <v>2053.1111111111113</v>
      </c>
      <c r="W146" s="14">
        <f t="shared" si="38"/>
        <v>92390</v>
      </c>
    </row>
    <row r="147" spans="1:23" s="7" customFormat="1" ht="28.5" customHeight="1">
      <c r="A147" s="11">
        <f t="shared" si="26"/>
        <v>133</v>
      </c>
      <c r="B147" s="11" t="s">
        <v>6</v>
      </c>
      <c r="C147" s="11" t="s">
        <v>1390</v>
      </c>
      <c r="D147" s="15" t="s">
        <v>59</v>
      </c>
      <c r="E147" s="11" t="s">
        <v>26</v>
      </c>
      <c r="F147" s="11" t="s">
        <v>1391</v>
      </c>
      <c r="G147" s="12">
        <v>1840</v>
      </c>
      <c r="H147" s="12">
        <v>2320</v>
      </c>
      <c r="I147" s="12"/>
      <c r="J147" s="12">
        <v>1830</v>
      </c>
      <c r="K147" s="12">
        <f t="shared" si="27"/>
        <v>0</v>
      </c>
      <c r="L147" s="12">
        <f t="shared" si="28"/>
        <v>1840</v>
      </c>
      <c r="M147" s="12">
        <f t="shared" si="29"/>
        <v>2320</v>
      </c>
      <c r="N147" s="12">
        <f t="shared" si="30"/>
        <v>1830</v>
      </c>
      <c r="O147" s="12" t="str">
        <f t="shared" si="31"/>
        <v>휘발유 46,000원 / 고급유 46,400원</v>
      </c>
      <c r="P147" s="12">
        <f t="shared" si="32"/>
        <v>92400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92400</v>
      </c>
      <c r="U147" s="12">
        <f t="shared" si="36"/>
        <v>2053.3333333333335</v>
      </c>
      <c r="V147" s="12">
        <f t="shared" si="37"/>
        <v>2053.3333333333335</v>
      </c>
      <c r="W147" s="14">
        <f t="shared" si="38"/>
        <v>92400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633</v>
      </c>
      <c r="D148" s="15" t="s">
        <v>59</v>
      </c>
      <c r="E148" s="11" t="s">
        <v>26</v>
      </c>
      <c r="F148" s="11" t="s">
        <v>634</v>
      </c>
      <c r="G148" s="12">
        <v>1857</v>
      </c>
      <c r="H148" s="12">
        <v>2299</v>
      </c>
      <c r="I148" s="12"/>
      <c r="J148" s="12">
        <v>1834</v>
      </c>
      <c r="K148" s="12">
        <f t="shared" si="27"/>
        <v>0</v>
      </c>
      <c r="L148" s="12">
        <f t="shared" si="28"/>
        <v>1857</v>
      </c>
      <c r="M148" s="12">
        <f t="shared" si="29"/>
        <v>2299</v>
      </c>
      <c r="N148" s="12">
        <f t="shared" si="30"/>
        <v>1834</v>
      </c>
      <c r="O148" s="12" t="str">
        <f t="shared" si="31"/>
        <v>휘발유 46,425원 / 고급유 45,980원</v>
      </c>
      <c r="P148" s="12">
        <f t="shared" si="32"/>
        <v>92405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92405</v>
      </c>
      <c r="U148" s="12">
        <f t="shared" si="36"/>
        <v>2053.4444444444443</v>
      </c>
      <c r="V148" s="12">
        <f t="shared" si="37"/>
        <v>2053.4444444444443</v>
      </c>
      <c r="W148" s="14">
        <f t="shared" si="38"/>
        <v>92405</v>
      </c>
    </row>
    <row r="149" spans="1:23" s="16" customFormat="1" ht="28.5" customHeight="1">
      <c r="A149" s="11">
        <f t="shared" si="26"/>
        <v>135</v>
      </c>
      <c r="B149" s="11" t="s">
        <v>14</v>
      </c>
      <c r="C149" s="11" t="s">
        <v>1437</v>
      </c>
      <c r="D149" s="15" t="s">
        <v>59</v>
      </c>
      <c r="E149" s="11" t="s">
        <v>26</v>
      </c>
      <c r="F149" s="11" t="s">
        <v>1438</v>
      </c>
      <c r="G149" s="12">
        <v>1845</v>
      </c>
      <c r="H149" s="12">
        <v>2315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2315</v>
      </c>
      <c r="N149" s="12">
        <f t="shared" si="30"/>
        <v>1849</v>
      </c>
      <c r="O149" s="12" t="str">
        <f t="shared" si="31"/>
        <v>휘발유 46,125원 / 고급유 46,300원</v>
      </c>
      <c r="P149" s="12">
        <f t="shared" si="32"/>
        <v>92425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92425</v>
      </c>
      <c r="U149" s="12">
        <f t="shared" si="36"/>
        <v>2053.8888888888887</v>
      </c>
      <c r="V149" s="12">
        <f t="shared" si="37"/>
        <v>2053.8888888888887</v>
      </c>
      <c r="W149" s="14">
        <f t="shared" si="38"/>
        <v>92425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124</v>
      </c>
      <c r="D150" s="15" t="s">
        <v>59</v>
      </c>
      <c r="E150" s="11" t="s">
        <v>60</v>
      </c>
      <c r="F150" s="11" t="s">
        <v>125</v>
      </c>
      <c r="G150" s="12">
        <v>1858</v>
      </c>
      <c r="H150" s="12">
        <v>2299</v>
      </c>
      <c r="I150" s="12"/>
      <c r="J150" s="12">
        <v>1838</v>
      </c>
      <c r="K150" s="12">
        <f t="shared" si="27"/>
        <v>0</v>
      </c>
      <c r="L150" s="12">
        <f t="shared" si="28"/>
        <v>1858</v>
      </c>
      <c r="M150" s="12">
        <f t="shared" si="29"/>
        <v>2299</v>
      </c>
      <c r="N150" s="12">
        <f t="shared" si="30"/>
        <v>1838</v>
      </c>
      <c r="O150" s="12" t="str">
        <f t="shared" si="31"/>
        <v>휘발유 46,450원 / 고급유 45,980원</v>
      </c>
      <c r="P150" s="12">
        <f t="shared" si="32"/>
        <v>92430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92430</v>
      </c>
      <c r="U150" s="12">
        <f t="shared" si="36"/>
        <v>2054</v>
      </c>
      <c r="V150" s="12">
        <f t="shared" si="37"/>
        <v>2054</v>
      </c>
      <c r="W150" s="14">
        <f t="shared" si="38"/>
        <v>92430</v>
      </c>
    </row>
    <row r="151" spans="1:23" s="7" customFormat="1" ht="28.5" customHeight="1">
      <c r="A151" s="11">
        <f t="shared" si="26"/>
        <v>137</v>
      </c>
      <c r="B151" s="11" t="s">
        <v>18</v>
      </c>
      <c r="C151" s="11" t="s">
        <v>692</v>
      </c>
      <c r="D151" s="11" t="s">
        <v>57</v>
      </c>
      <c r="E151" s="11" t="s">
        <v>26</v>
      </c>
      <c r="F151" s="11" t="s">
        <v>693</v>
      </c>
      <c r="G151" s="12">
        <v>1859</v>
      </c>
      <c r="H151" s="12">
        <v>2299</v>
      </c>
      <c r="I151" s="12"/>
      <c r="J151" s="12">
        <v>1829</v>
      </c>
      <c r="K151" s="12">
        <f t="shared" si="27"/>
        <v>0</v>
      </c>
      <c r="L151" s="12">
        <f t="shared" si="28"/>
        <v>1859</v>
      </c>
      <c r="M151" s="12">
        <f t="shared" si="29"/>
        <v>2299</v>
      </c>
      <c r="N151" s="12">
        <f t="shared" si="30"/>
        <v>1829</v>
      </c>
      <c r="O151" s="12" t="str">
        <f t="shared" si="31"/>
        <v>휘발유 46,475원 / 고급유 45,980원</v>
      </c>
      <c r="P151" s="12">
        <f t="shared" si="32"/>
        <v>92455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92455</v>
      </c>
      <c r="U151" s="12">
        <f t="shared" si="36"/>
        <v>2054.5555555555557</v>
      </c>
      <c r="V151" s="12">
        <f t="shared" si="37"/>
        <v>2054.5555555555557</v>
      </c>
      <c r="W151" s="14">
        <f t="shared" si="38"/>
        <v>92455</v>
      </c>
    </row>
    <row r="152" spans="1:23" s="7" customFormat="1" ht="28.5" customHeight="1">
      <c r="A152" s="11">
        <f t="shared" si="26"/>
        <v>138</v>
      </c>
      <c r="B152" s="11" t="s">
        <v>14</v>
      </c>
      <c r="C152" s="11" t="s">
        <v>458</v>
      </c>
      <c r="D152" s="11" t="s">
        <v>57</v>
      </c>
      <c r="E152" s="11" t="s">
        <v>26</v>
      </c>
      <c r="F152" s="11" t="s">
        <v>459</v>
      </c>
      <c r="G152" s="12">
        <v>1832</v>
      </c>
      <c r="H152" s="12">
        <v>2335</v>
      </c>
      <c r="I152" s="12"/>
      <c r="J152" s="12">
        <v>1822</v>
      </c>
      <c r="K152" s="12">
        <f t="shared" si="27"/>
        <v>0</v>
      </c>
      <c r="L152" s="12">
        <f t="shared" si="28"/>
        <v>1832</v>
      </c>
      <c r="M152" s="12">
        <f t="shared" si="29"/>
        <v>2335</v>
      </c>
      <c r="N152" s="12">
        <f t="shared" si="30"/>
        <v>1822</v>
      </c>
      <c r="O152" s="12" t="str">
        <f t="shared" si="31"/>
        <v>휘발유 45,800원 / 고급유 46,700원</v>
      </c>
      <c r="P152" s="12">
        <f t="shared" si="32"/>
        <v>92500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92500</v>
      </c>
      <c r="U152" s="12">
        <f t="shared" si="36"/>
        <v>2055.5555555555557</v>
      </c>
      <c r="V152" s="12">
        <f t="shared" si="37"/>
        <v>2055.5555555555557</v>
      </c>
      <c r="W152" s="14">
        <f t="shared" si="38"/>
        <v>92500</v>
      </c>
    </row>
    <row r="153" spans="1:23" s="2" customFormat="1" ht="28.5" customHeight="1">
      <c r="A153" s="11">
        <f t="shared" si="26"/>
        <v>139</v>
      </c>
      <c r="B153" s="11" t="s">
        <v>10</v>
      </c>
      <c r="C153" s="11" t="s">
        <v>1429</v>
      </c>
      <c r="D153" s="15" t="s">
        <v>59</v>
      </c>
      <c r="E153" s="11" t="s">
        <v>26</v>
      </c>
      <c r="F153" s="11" t="s">
        <v>1430</v>
      </c>
      <c r="G153" s="12">
        <v>1845</v>
      </c>
      <c r="H153" s="12">
        <v>2320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2320</v>
      </c>
      <c r="N153" s="12">
        <f t="shared" si="30"/>
        <v>1849</v>
      </c>
      <c r="O153" s="12" t="str">
        <f t="shared" si="31"/>
        <v>휘발유 46,125원 / 고급유 46,400원</v>
      </c>
      <c r="P153" s="12">
        <f t="shared" si="32"/>
        <v>92525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92525</v>
      </c>
      <c r="U153" s="12">
        <f t="shared" si="36"/>
        <v>2056.1111111111113</v>
      </c>
      <c r="V153" s="12">
        <f t="shared" si="37"/>
        <v>2056.1111111111113</v>
      </c>
      <c r="W153" s="14">
        <f t="shared" si="38"/>
        <v>92525</v>
      </c>
    </row>
    <row r="154" spans="1:23" s="2" customFormat="1" ht="28.5" customHeight="1">
      <c r="A154" s="11">
        <f t="shared" si="26"/>
        <v>139</v>
      </c>
      <c r="B154" s="11" t="s">
        <v>10</v>
      </c>
      <c r="C154" s="11" t="s">
        <v>1439</v>
      </c>
      <c r="D154" s="15" t="s">
        <v>59</v>
      </c>
      <c r="E154" s="11" t="s">
        <v>26</v>
      </c>
      <c r="F154" s="11" t="s">
        <v>1440</v>
      </c>
      <c r="G154" s="12">
        <v>1845</v>
      </c>
      <c r="H154" s="12">
        <v>2320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2320</v>
      </c>
      <c r="N154" s="12">
        <f t="shared" si="30"/>
        <v>1849</v>
      </c>
      <c r="O154" s="12" t="str">
        <f t="shared" si="31"/>
        <v>휘발유 46,125원 / 고급유 46,400원</v>
      </c>
      <c r="P154" s="12">
        <f t="shared" si="32"/>
        <v>92525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92525</v>
      </c>
      <c r="U154" s="12">
        <f t="shared" si="36"/>
        <v>2056.1111111111113</v>
      </c>
      <c r="V154" s="12">
        <f t="shared" si="37"/>
        <v>2056.1111111111113</v>
      </c>
      <c r="W154" s="14">
        <f t="shared" si="38"/>
        <v>92525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1684</v>
      </c>
      <c r="D155" s="15" t="s">
        <v>45</v>
      </c>
      <c r="E155" s="11" t="s">
        <v>60</v>
      </c>
      <c r="F155" s="11" t="s">
        <v>1685</v>
      </c>
      <c r="G155" s="12">
        <v>1866</v>
      </c>
      <c r="H155" s="12">
        <v>2319</v>
      </c>
      <c r="I155" s="12"/>
      <c r="J155" s="12">
        <v>1850</v>
      </c>
      <c r="K155" s="12">
        <f t="shared" si="27"/>
        <v>-10</v>
      </c>
      <c r="L155" s="12">
        <f t="shared" si="28"/>
        <v>1856</v>
      </c>
      <c r="M155" s="12">
        <f t="shared" si="29"/>
        <v>2309</v>
      </c>
      <c r="N155" s="12">
        <f t="shared" si="30"/>
        <v>1840</v>
      </c>
      <c r="O155" s="12" t="str">
        <f t="shared" si="31"/>
        <v>휘발유 46,400원 / 고급유 46,180원</v>
      </c>
      <c r="P155" s="12">
        <f t="shared" si="32"/>
        <v>92580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92580</v>
      </c>
      <c r="U155" s="12">
        <f t="shared" si="36"/>
        <v>2057.3333333333335</v>
      </c>
      <c r="V155" s="12">
        <f t="shared" si="37"/>
        <v>2057.3333333333335</v>
      </c>
      <c r="W155" s="14">
        <f t="shared" si="38"/>
        <v>92580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224</v>
      </c>
      <c r="D156" s="15" t="s">
        <v>78</v>
      </c>
      <c r="E156" s="11" t="s">
        <v>26</v>
      </c>
      <c r="F156" s="11" t="s">
        <v>225</v>
      </c>
      <c r="G156" s="12">
        <v>1835</v>
      </c>
      <c r="H156" s="12">
        <v>2340</v>
      </c>
      <c r="I156" s="12"/>
      <c r="J156" s="12">
        <v>1824</v>
      </c>
      <c r="K156" s="12">
        <f t="shared" si="27"/>
        <v>0</v>
      </c>
      <c r="L156" s="12">
        <f t="shared" si="28"/>
        <v>1835</v>
      </c>
      <c r="M156" s="12">
        <f t="shared" si="29"/>
        <v>2340</v>
      </c>
      <c r="N156" s="12">
        <f t="shared" si="30"/>
        <v>1824</v>
      </c>
      <c r="O156" s="12" t="str">
        <f t="shared" si="31"/>
        <v>휘발유 45,875원 / 고급유 46,800원</v>
      </c>
      <c r="P156" s="12">
        <f t="shared" si="32"/>
        <v>92675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92675</v>
      </c>
      <c r="U156" s="12">
        <f t="shared" si="36"/>
        <v>2059.4444444444443</v>
      </c>
      <c r="V156" s="12">
        <f t="shared" si="37"/>
        <v>2059.4444444444443</v>
      </c>
      <c r="W156" s="14">
        <f t="shared" si="38"/>
        <v>92675</v>
      </c>
    </row>
    <row r="157" spans="1:23" s="7" customFormat="1" ht="28.5" customHeight="1">
      <c r="A157" s="11">
        <f t="shared" si="26"/>
        <v>143</v>
      </c>
      <c r="B157" s="11" t="s">
        <v>6</v>
      </c>
      <c r="C157" s="11" t="s">
        <v>547</v>
      </c>
      <c r="D157" s="15" t="s">
        <v>45</v>
      </c>
      <c r="E157" s="11" t="s">
        <v>26</v>
      </c>
      <c r="F157" s="11" t="s">
        <v>548</v>
      </c>
      <c r="G157" s="12">
        <v>1828</v>
      </c>
      <c r="H157" s="12">
        <v>2349</v>
      </c>
      <c r="I157" s="12"/>
      <c r="J157" s="12">
        <v>1813</v>
      </c>
      <c r="K157" s="12">
        <f t="shared" si="27"/>
        <v>0</v>
      </c>
      <c r="L157" s="12">
        <f t="shared" si="28"/>
        <v>1828</v>
      </c>
      <c r="M157" s="12">
        <f t="shared" si="29"/>
        <v>2349</v>
      </c>
      <c r="N157" s="12">
        <f t="shared" si="30"/>
        <v>1813</v>
      </c>
      <c r="O157" s="12" t="str">
        <f t="shared" si="31"/>
        <v>휘발유 45,700원 / 고급유 46,980원</v>
      </c>
      <c r="P157" s="12">
        <f t="shared" si="32"/>
        <v>92680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92680</v>
      </c>
      <c r="U157" s="12">
        <f t="shared" si="36"/>
        <v>2059.5555555555557</v>
      </c>
      <c r="V157" s="12">
        <f t="shared" si="37"/>
        <v>2059.5555555555557</v>
      </c>
      <c r="W157" s="14">
        <f t="shared" si="38"/>
        <v>92680</v>
      </c>
    </row>
    <row r="158" spans="1:23" s="2" customFormat="1" ht="28.5" customHeight="1">
      <c r="A158" s="11">
        <f t="shared" si="26"/>
        <v>144</v>
      </c>
      <c r="B158" s="11" t="s">
        <v>8</v>
      </c>
      <c r="C158" s="11" t="s">
        <v>190</v>
      </c>
      <c r="D158" s="15" t="s">
        <v>45</v>
      </c>
      <c r="E158" s="11" t="s">
        <v>26</v>
      </c>
      <c r="F158" s="11" t="s">
        <v>191</v>
      </c>
      <c r="G158" s="12">
        <v>1864</v>
      </c>
      <c r="H158" s="12">
        <v>2329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2319</v>
      </c>
      <c r="N158" s="12">
        <f t="shared" si="30"/>
        <v>1842</v>
      </c>
      <c r="O158" s="12" t="str">
        <f t="shared" si="31"/>
        <v>휘발유 46,350원 / 고급유 46,380원</v>
      </c>
      <c r="P158" s="12">
        <f t="shared" si="32"/>
        <v>92730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92730</v>
      </c>
      <c r="U158" s="12">
        <f t="shared" si="36"/>
        <v>2060.6666666666665</v>
      </c>
      <c r="V158" s="12">
        <f t="shared" si="37"/>
        <v>2060.6666666666665</v>
      </c>
      <c r="W158" s="14">
        <f t="shared" si="38"/>
        <v>92730</v>
      </c>
    </row>
    <row r="159" spans="1:23" s="2" customFormat="1" ht="28.5" customHeight="1">
      <c r="A159" s="11">
        <f t="shared" si="26"/>
        <v>145</v>
      </c>
      <c r="B159" s="11" t="s">
        <v>12</v>
      </c>
      <c r="C159" s="11" t="s">
        <v>196</v>
      </c>
      <c r="D159" s="15" t="s">
        <v>45</v>
      </c>
      <c r="E159" s="11" t="s">
        <v>26</v>
      </c>
      <c r="F159" s="11" t="s">
        <v>197</v>
      </c>
      <c r="G159" s="12">
        <v>1867</v>
      </c>
      <c r="H159" s="12">
        <v>2328</v>
      </c>
      <c r="I159" s="12"/>
      <c r="J159" s="12">
        <v>1859</v>
      </c>
      <c r="K159" s="12">
        <f t="shared" si="27"/>
        <v>-10</v>
      </c>
      <c r="L159" s="12">
        <f t="shared" si="28"/>
        <v>1857</v>
      </c>
      <c r="M159" s="12">
        <f t="shared" si="29"/>
        <v>2318</v>
      </c>
      <c r="N159" s="12">
        <f t="shared" si="30"/>
        <v>1849</v>
      </c>
      <c r="O159" s="12" t="str">
        <f t="shared" si="31"/>
        <v>휘발유 46,425원 / 고급유 46,360원</v>
      </c>
      <c r="P159" s="12">
        <f t="shared" si="32"/>
        <v>92785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92785</v>
      </c>
      <c r="U159" s="12">
        <f t="shared" si="36"/>
        <v>2061.8888888888887</v>
      </c>
      <c r="V159" s="12">
        <f t="shared" si="37"/>
        <v>2061.8888888888887</v>
      </c>
      <c r="W159" s="14">
        <f t="shared" si="38"/>
        <v>92785</v>
      </c>
    </row>
    <row r="160" spans="1:23" s="7" customFormat="1" ht="28.5" customHeight="1">
      <c r="A160" s="11">
        <f t="shared" si="26"/>
        <v>145</v>
      </c>
      <c r="B160" s="11" t="s">
        <v>12</v>
      </c>
      <c r="C160" s="11" t="s">
        <v>210</v>
      </c>
      <c r="D160" s="15" t="s">
        <v>45</v>
      </c>
      <c r="E160" s="11" t="s">
        <v>26</v>
      </c>
      <c r="F160" s="11" t="s">
        <v>211</v>
      </c>
      <c r="G160" s="12">
        <v>1867</v>
      </c>
      <c r="H160" s="12">
        <v>2328</v>
      </c>
      <c r="I160" s="12"/>
      <c r="J160" s="12">
        <v>1859</v>
      </c>
      <c r="K160" s="12">
        <f t="shared" si="27"/>
        <v>-10</v>
      </c>
      <c r="L160" s="12">
        <f t="shared" si="28"/>
        <v>1857</v>
      </c>
      <c r="M160" s="12">
        <f t="shared" si="29"/>
        <v>2318</v>
      </c>
      <c r="N160" s="12">
        <f t="shared" si="30"/>
        <v>1849</v>
      </c>
      <c r="O160" s="12" t="str">
        <f t="shared" si="31"/>
        <v>휘발유 46,425원 / 고급유 46,360원</v>
      </c>
      <c r="P160" s="12">
        <f t="shared" si="32"/>
        <v>92785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92785</v>
      </c>
      <c r="U160" s="12">
        <f t="shared" si="36"/>
        <v>2061.8888888888887</v>
      </c>
      <c r="V160" s="12">
        <f t="shared" si="37"/>
        <v>2061.8888888888887</v>
      </c>
      <c r="W160" s="14">
        <f t="shared" si="38"/>
        <v>92785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420</v>
      </c>
      <c r="D162" s="15" t="s">
        <v>45</v>
      </c>
      <c r="E162" s="11" t="s">
        <v>26</v>
      </c>
      <c r="F162" s="11" t="s">
        <v>421</v>
      </c>
      <c r="G162" s="12">
        <v>1859</v>
      </c>
      <c r="H162" s="12">
        <v>2323</v>
      </c>
      <c r="I162" s="12"/>
      <c r="J162" s="12">
        <v>1869</v>
      </c>
      <c r="K162" s="12">
        <f t="shared" si="27"/>
        <v>0</v>
      </c>
      <c r="L162" s="12">
        <f t="shared" si="28"/>
        <v>1859</v>
      </c>
      <c r="M162" s="12">
        <f t="shared" si="29"/>
        <v>2323</v>
      </c>
      <c r="N162" s="12">
        <f t="shared" si="30"/>
        <v>1869</v>
      </c>
      <c r="O162" s="12" t="str">
        <f t="shared" si="31"/>
        <v>휘발유 46,475원 / 고급유 46,460원</v>
      </c>
      <c r="P162" s="12">
        <f t="shared" si="32"/>
        <v>92935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92935</v>
      </c>
      <c r="U162" s="12">
        <f t="shared" si="36"/>
        <v>2065.2222222222222</v>
      </c>
      <c r="V162" s="12">
        <f t="shared" si="37"/>
        <v>2065.2222222222222</v>
      </c>
      <c r="W162" s="14">
        <f t="shared" si="38"/>
        <v>92935</v>
      </c>
    </row>
    <row r="163" spans="1:23" s="2" customFormat="1" ht="28.5" customHeight="1">
      <c r="A163" s="11">
        <f t="shared" si="26"/>
        <v>149</v>
      </c>
      <c r="B163" s="11" t="s">
        <v>6</v>
      </c>
      <c r="C163" s="11" t="s">
        <v>218</v>
      </c>
      <c r="D163" s="15" t="s">
        <v>45</v>
      </c>
      <c r="E163" s="11" t="s">
        <v>60</v>
      </c>
      <c r="F163" s="11" t="s">
        <v>219</v>
      </c>
      <c r="G163" s="12">
        <v>1864</v>
      </c>
      <c r="H163" s="12">
        <v>2346</v>
      </c>
      <c r="I163" s="12"/>
      <c r="J163" s="12">
        <v>1852</v>
      </c>
      <c r="K163" s="12">
        <f t="shared" si="27"/>
        <v>-10</v>
      </c>
      <c r="L163" s="12">
        <f t="shared" si="28"/>
        <v>1854</v>
      </c>
      <c r="M163" s="12">
        <f t="shared" si="29"/>
        <v>2336</v>
      </c>
      <c r="N163" s="12">
        <f t="shared" si="30"/>
        <v>1842</v>
      </c>
      <c r="O163" s="12" t="str">
        <f t="shared" si="31"/>
        <v>휘발유 46,350원 / 고급유 46,720원</v>
      </c>
      <c r="P163" s="12">
        <f t="shared" si="32"/>
        <v>93070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93070</v>
      </c>
      <c r="U163" s="12">
        <f t="shared" si="36"/>
        <v>2068.2222222222222</v>
      </c>
      <c r="V163" s="12">
        <f t="shared" si="37"/>
        <v>2068.2222222222222</v>
      </c>
      <c r="W163" s="14">
        <f t="shared" si="38"/>
        <v>93070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140</v>
      </c>
      <c r="D164" s="15" t="s">
        <v>45</v>
      </c>
      <c r="E164" s="11" t="s">
        <v>26</v>
      </c>
      <c r="F164" s="11" t="s">
        <v>141</v>
      </c>
      <c r="G164" s="12">
        <v>1886</v>
      </c>
      <c r="H164" s="12">
        <v>2300</v>
      </c>
      <c r="I164" s="12"/>
      <c r="J164" s="12">
        <v>1876</v>
      </c>
      <c r="K164" s="12">
        <f t="shared" si="27"/>
        <v>0</v>
      </c>
      <c r="L164" s="12">
        <f t="shared" si="28"/>
        <v>1886</v>
      </c>
      <c r="M164" s="12">
        <f t="shared" si="29"/>
        <v>2300</v>
      </c>
      <c r="N164" s="12">
        <f t="shared" si="30"/>
        <v>1876</v>
      </c>
      <c r="O164" s="12" t="str">
        <f t="shared" si="31"/>
        <v>휘발유 47,150원 / 고급유 46,000원</v>
      </c>
      <c r="P164" s="12">
        <f t="shared" si="32"/>
        <v>93150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93150</v>
      </c>
      <c r="U164" s="12">
        <f t="shared" si="36"/>
        <v>2070</v>
      </c>
      <c r="V164" s="12">
        <f t="shared" si="37"/>
        <v>2070</v>
      </c>
      <c r="W164" s="14">
        <f t="shared" si="38"/>
        <v>93150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722</v>
      </c>
      <c r="D165" s="11" t="s">
        <v>102</v>
      </c>
      <c r="E165" s="11" t="s">
        <v>26</v>
      </c>
      <c r="F165" s="11" t="s">
        <v>723</v>
      </c>
      <c r="G165" s="12">
        <v>1832</v>
      </c>
      <c r="H165" s="12">
        <v>2368</v>
      </c>
      <c r="I165" s="12"/>
      <c r="J165" s="12">
        <v>1823</v>
      </c>
      <c r="K165" s="12">
        <f t="shared" si="27"/>
        <v>0</v>
      </c>
      <c r="L165" s="12">
        <f t="shared" si="28"/>
        <v>1832</v>
      </c>
      <c r="M165" s="12">
        <f t="shared" si="29"/>
        <v>2368</v>
      </c>
      <c r="N165" s="12">
        <f t="shared" si="30"/>
        <v>1823</v>
      </c>
      <c r="O165" s="12" t="str">
        <f t="shared" si="31"/>
        <v>휘발유 45,800원 / 고급유 47,360원</v>
      </c>
      <c r="P165" s="12">
        <f t="shared" si="32"/>
        <v>93160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93160</v>
      </c>
      <c r="U165" s="12">
        <f t="shared" si="36"/>
        <v>2070.2222222222222</v>
      </c>
      <c r="V165" s="12">
        <f t="shared" si="37"/>
        <v>2070.2222222222222</v>
      </c>
      <c r="W165" s="14">
        <f t="shared" si="38"/>
        <v>93160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1457</v>
      </c>
      <c r="D166" s="15" t="s">
        <v>59</v>
      </c>
      <c r="E166" s="11" t="s">
        <v>26</v>
      </c>
      <c r="F166" s="11" t="s">
        <v>1458</v>
      </c>
      <c r="G166" s="12">
        <v>1845</v>
      </c>
      <c r="H166" s="12">
        <v>2352</v>
      </c>
      <c r="I166" s="12"/>
      <c r="J166" s="12">
        <v>1849</v>
      </c>
      <c r="K166" s="12">
        <f t="shared" si="27"/>
        <v>0</v>
      </c>
      <c r="L166" s="12">
        <f t="shared" si="28"/>
        <v>1845</v>
      </c>
      <c r="M166" s="12">
        <f t="shared" si="29"/>
        <v>2352</v>
      </c>
      <c r="N166" s="12">
        <f t="shared" si="30"/>
        <v>1849</v>
      </c>
      <c r="O166" s="12" t="str">
        <f t="shared" si="31"/>
        <v>휘발유 46,125원 / 고급유 47,040원</v>
      </c>
      <c r="P166" s="12">
        <f t="shared" si="32"/>
        <v>93165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93165</v>
      </c>
      <c r="U166" s="12">
        <f t="shared" si="36"/>
        <v>2070.3333333333335</v>
      </c>
      <c r="V166" s="12">
        <f t="shared" si="37"/>
        <v>2070.3333333333335</v>
      </c>
      <c r="W166" s="14">
        <f t="shared" si="38"/>
        <v>93165</v>
      </c>
    </row>
    <row r="167" spans="1:23" s="2" customFormat="1" ht="28.5" customHeight="1">
      <c r="A167" s="11">
        <f t="shared" si="26"/>
        <v>153</v>
      </c>
      <c r="B167" s="11" t="s">
        <v>8</v>
      </c>
      <c r="C167" s="11" t="s">
        <v>296</v>
      </c>
      <c r="D167" s="11" t="s">
        <v>57</v>
      </c>
      <c r="E167" s="11" t="s">
        <v>26</v>
      </c>
      <c r="F167" s="11" t="s">
        <v>297</v>
      </c>
      <c r="G167" s="12">
        <v>1849</v>
      </c>
      <c r="H167" s="12">
        <v>2349</v>
      </c>
      <c r="I167" s="12"/>
      <c r="J167" s="12">
        <v>1849</v>
      </c>
      <c r="K167" s="12">
        <f t="shared" si="27"/>
        <v>0</v>
      </c>
      <c r="L167" s="12">
        <f t="shared" si="28"/>
        <v>1849</v>
      </c>
      <c r="M167" s="12">
        <f t="shared" si="29"/>
        <v>2349</v>
      </c>
      <c r="N167" s="12">
        <f t="shared" si="30"/>
        <v>1849</v>
      </c>
      <c r="O167" s="12" t="str">
        <f t="shared" si="31"/>
        <v>휘발유 46,225원 / 고급유 46,980원</v>
      </c>
      <c r="P167" s="12">
        <f t="shared" si="32"/>
        <v>93205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93205</v>
      </c>
      <c r="U167" s="12">
        <f t="shared" si="36"/>
        <v>2071.2222222222222</v>
      </c>
      <c r="V167" s="12">
        <f t="shared" si="37"/>
        <v>2071.2222222222222</v>
      </c>
      <c r="W167" s="14">
        <f t="shared" si="38"/>
        <v>93205</v>
      </c>
    </row>
    <row r="168" spans="1:23" s="7" customFormat="1" ht="28.5" customHeight="1">
      <c r="A168" s="11">
        <f t="shared" si="26"/>
        <v>154</v>
      </c>
      <c r="B168" s="11" t="s">
        <v>12</v>
      </c>
      <c r="C168" s="11" t="s">
        <v>1498</v>
      </c>
      <c r="D168" s="11" t="s">
        <v>102</v>
      </c>
      <c r="E168" s="11" t="s">
        <v>26</v>
      </c>
      <c r="F168" s="11" t="s">
        <v>1499</v>
      </c>
      <c r="G168" s="12">
        <v>1834</v>
      </c>
      <c r="H168" s="12">
        <v>2368</v>
      </c>
      <c r="I168" s="12"/>
      <c r="J168" s="12">
        <v>1825</v>
      </c>
      <c r="K168" s="12">
        <f t="shared" si="27"/>
        <v>0</v>
      </c>
      <c r="L168" s="12">
        <f t="shared" si="28"/>
        <v>1834</v>
      </c>
      <c r="M168" s="12">
        <f t="shared" si="29"/>
        <v>2368</v>
      </c>
      <c r="N168" s="12">
        <f t="shared" si="30"/>
        <v>1825</v>
      </c>
      <c r="O168" s="12" t="str">
        <f t="shared" si="31"/>
        <v>휘발유 45,850원 / 고급유 47,360원</v>
      </c>
      <c r="P168" s="12">
        <f t="shared" si="32"/>
        <v>93210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93210</v>
      </c>
      <c r="U168" s="12">
        <f t="shared" si="36"/>
        <v>2071.3333333333335</v>
      </c>
      <c r="V168" s="12">
        <f t="shared" si="37"/>
        <v>2071.3333333333335</v>
      </c>
      <c r="W168" s="14">
        <f t="shared" si="38"/>
        <v>93210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188</v>
      </c>
      <c r="D169" s="15" t="s">
        <v>45</v>
      </c>
      <c r="E169" s="11" t="s">
        <v>60</v>
      </c>
      <c r="F169" s="11" t="s">
        <v>189</v>
      </c>
      <c r="G169" s="12">
        <v>1869</v>
      </c>
      <c r="H169" s="12">
        <v>2347</v>
      </c>
      <c r="I169" s="12" t="s">
        <v>61</v>
      </c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2337</v>
      </c>
      <c r="N169" s="12">
        <f t="shared" si="30"/>
        <v>1844</v>
      </c>
      <c r="O169" s="12" t="str">
        <f t="shared" si="31"/>
        <v>휘발유 46,475원 / 고급유 46,740원</v>
      </c>
      <c r="P169" s="12">
        <f t="shared" si="32"/>
        <v>93215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93215</v>
      </c>
      <c r="U169" s="12">
        <f t="shared" si="36"/>
        <v>2071.4444444444443</v>
      </c>
      <c r="V169" s="12">
        <f t="shared" si="37"/>
        <v>2071.4444444444443</v>
      </c>
      <c r="W169" s="14">
        <f t="shared" si="38"/>
        <v>93215</v>
      </c>
    </row>
    <row r="170" spans="1:23" s="2" customFormat="1" ht="28.5" customHeight="1">
      <c r="A170" s="11">
        <f t="shared" si="26"/>
        <v>156</v>
      </c>
      <c r="B170" s="11" t="s">
        <v>14</v>
      </c>
      <c r="C170" s="11" t="s">
        <v>1697</v>
      </c>
      <c r="D170" s="15" t="s">
        <v>78</v>
      </c>
      <c r="E170" s="11" t="s">
        <v>26</v>
      </c>
      <c r="F170" s="11" t="s">
        <v>1698</v>
      </c>
      <c r="G170" s="12">
        <v>1859</v>
      </c>
      <c r="H170" s="12">
        <v>2340</v>
      </c>
      <c r="I170" s="12"/>
      <c r="J170" s="12">
        <v>1849</v>
      </c>
      <c r="K170" s="12">
        <f t="shared" si="27"/>
        <v>0</v>
      </c>
      <c r="L170" s="12">
        <f t="shared" si="28"/>
        <v>1859</v>
      </c>
      <c r="M170" s="12">
        <f t="shared" si="29"/>
        <v>2340</v>
      </c>
      <c r="N170" s="12">
        <f t="shared" si="30"/>
        <v>1849</v>
      </c>
      <c r="O170" s="12" t="str">
        <f t="shared" si="31"/>
        <v>휘발유 46,475원 / 고급유 46,800원</v>
      </c>
      <c r="P170" s="12">
        <f t="shared" si="32"/>
        <v>93275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93275</v>
      </c>
      <c r="U170" s="12">
        <f t="shared" si="36"/>
        <v>2072.7777777777778</v>
      </c>
      <c r="V170" s="12">
        <f t="shared" si="37"/>
        <v>2072.7777777777778</v>
      </c>
      <c r="W170" s="14">
        <f t="shared" si="38"/>
        <v>93275</v>
      </c>
    </row>
    <row r="171" spans="1:23" s="2" customFormat="1" ht="28.5" customHeight="1">
      <c r="A171" s="11">
        <f t="shared" si="26"/>
        <v>157</v>
      </c>
      <c r="B171" s="11" t="s">
        <v>10</v>
      </c>
      <c r="C171" s="11" t="s">
        <v>216</v>
      </c>
      <c r="D171" s="15" t="s">
        <v>45</v>
      </c>
      <c r="E171" s="11" t="s">
        <v>26</v>
      </c>
      <c r="F171" s="11" t="s">
        <v>217</v>
      </c>
      <c r="G171" s="12">
        <v>1869</v>
      </c>
      <c r="H171" s="12">
        <v>2351</v>
      </c>
      <c r="I171" s="12"/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2341</v>
      </c>
      <c r="N171" s="12">
        <f t="shared" si="30"/>
        <v>1844</v>
      </c>
      <c r="O171" s="12" t="str">
        <f t="shared" si="31"/>
        <v>휘발유 46,475원 / 고급유 46,820원</v>
      </c>
      <c r="P171" s="12">
        <f t="shared" si="32"/>
        <v>93295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93295</v>
      </c>
      <c r="U171" s="12">
        <f t="shared" si="36"/>
        <v>2073.2222222222222</v>
      </c>
      <c r="V171" s="12">
        <f t="shared" si="37"/>
        <v>2073.2222222222222</v>
      </c>
      <c r="W171" s="14">
        <f t="shared" si="38"/>
        <v>93295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1538</v>
      </c>
      <c r="D172" s="15" t="s">
        <v>78</v>
      </c>
      <c r="E172" s="11" t="s">
        <v>26</v>
      </c>
      <c r="F172" s="11" t="s">
        <v>1539</v>
      </c>
      <c r="G172" s="12">
        <v>1815</v>
      </c>
      <c r="H172" s="12">
        <v>2399</v>
      </c>
      <c r="I172" s="12"/>
      <c r="J172" s="12">
        <v>1795</v>
      </c>
      <c r="K172" s="12">
        <f t="shared" si="27"/>
        <v>0</v>
      </c>
      <c r="L172" s="12">
        <f t="shared" si="28"/>
        <v>1815</v>
      </c>
      <c r="M172" s="12">
        <f t="shared" si="29"/>
        <v>2399</v>
      </c>
      <c r="N172" s="12">
        <f t="shared" si="30"/>
        <v>1795</v>
      </c>
      <c r="O172" s="12" t="str">
        <f t="shared" si="31"/>
        <v>휘발유 45,375원 / 고급유 47,980원</v>
      </c>
      <c r="P172" s="12">
        <f t="shared" si="32"/>
        <v>93355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93355</v>
      </c>
      <c r="U172" s="12">
        <f t="shared" si="36"/>
        <v>2074.5555555555557</v>
      </c>
      <c r="V172" s="12">
        <f t="shared" si="37"/>
        <v>2074.5555555555557</v>
      </c>
      <c r="W172" s="14">
        <f t="shared" si="38"/>
        <v>93355</v>
      </c>
    </row>
    <row r="173" spans="1:23" s="2" customFormat="1" ht="28.5" customHeight="1">
      <c r="A173" s="11">
        <f t="shared" si="26"/>
        <v>159</v>
      </c>
      <c r="B173" s="11" t="s">
        <v>6</v>
      </c>
      <c r="C173" s="11" t="s">
        <v>837</v>
      </c>
      <c r="D173" s="15" t="s">
        <v>78</v>
      </c>
      <c r="E173" s="11" t="s">
        <v>26</v>
      </c>
      <c r="F173" s="11" t="s">
        <v>838</v>
      </c>
      <c r="G173" s="12">
        <v>1825</v>
      </c>
      <c r="H173" s="12">
        <v>2390</v>
      </c>
      <c r="I173" s="12"/>
      <c r="J173" s="12">
        <v>1813</v>
      </c>
      <c r="K173" s="12">
        <f t="shared" si="27"/>
        <v>0</v>
      </c>
      <c r="L173" s="12">
        <f t="shared" si="28"/>
        <v>1825</v>
      </c>
      <c r="M173" s="12">
        <f t="shared" si="29"/>
        <v>2390</v>
      </c>
      <c r="N173" s="12">
        <f t="shared" si="30"/>
        <v>1813</v>
      </c>
      <c r="O173" s="12" t="str">
        <f t="shared" si="31"/>
        <v>휘발유 45,625원 / 고급유 47,800원</v>
      </c>
      <c r="P173" s="12">
        <f t="shared" si="32"/>
        <v>93425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93425</v>
      </c>
      <c r="U173" s="12">
        <f t="shared" si="36"/>
        <v>2076.1111111111113</v>
      </c>
      <c r="V173" s="12">
        <f t="shared" si="37"/>
        <v>2076.1111111111113</v>
      </c>
      <c r="W173" s="14">
        <f t="shared" si="38"/>
        <v>93425</v>
      </c>
    </row>
    <row r="174" spans="1:23" s="16" customFormat="1" ht="28.5" customHeight="1">
      <c r="A174" s="11">
        <f t="shared" si="26"/>
        <v>160</v>
      </c>
      <c r="B174" s="11" t="s">
        <v>10</v>
      </c>
      <c r="C174" s="11" t="s">
        <v>611</v>
      </c>
      <c r="D174" s="15" t="s">
        <v>45</v>
      </c>
      <c r="E174" s="11" t="s">
        <v>26</v>
      </c>
      <c r="F174" s="11" t="s">
        <v>612</v>
      </c>
      <c r="G174" s="12">
        <v>1819</v>
      </c>
      <c r="H174" s="12">
        <v>2399</v>
      </c>
      <c r="I174" s="12"/>
      <c r="J174" s="12">
        <v>1799</v>
      </c>
      <c r="K174" s="12">
        <f t="shared" si="27"/>
        <v>0</v>
      </c>
      <c r="L174" s="12">
        <f t="shared" si="28"/>
        <v>1819</v>
      </c>
      <c r="M174" s="12">
        <f t="shared" si="29"/>
        <v>2399</v>
      </c>
      <c r="N174" s="12">
        <f t="shared" si="30"/>
        <v>1799</v>
      </c>
      <c r="O174" s="12" t="str">
        <f t="shared" si="31"/>
        <v>휘발유 45,475원 / 고급유 47,980원</v>
      </c>
      <c r="P174" s="12">
        <f t="shared" si="32"/>
        <v>93455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93455</v>
      </c>
      <c r="U174" s="12">
        <f t="shared" si="36"/>
        <v>2076.7777777777778</v>
      </c>
      <c r="V174" s="12">
        <f t="shared" si="37"/>
        <v>2076.7777777777778</v>
      </c>
      <c r="W174" s="14">
        <f t="shared" si="38"/>
        <v>93455</v>
      </c>
    </row>
    <row r="175" spans="1:23" s="16" customFormat="1" ht="28.5" customHeight="1">
      <c r="A175" s="11">
        <f t="shared" si="26"/>
        <v>161</v>
      </c>
      <c r="B175" s="11" t="s">
        <v>6</v>
      </c>
      <c r="C175" s="11" t="s">
        <v>358</v>
      </c>
      <c r="D175" s="15" t="s">
        <v>45</v>
      </c>
      <c r="E175" s="11" t="s">
        <v>26</v>
      </c>
      <c r="F175" s="11" t="s">
        <v>359</v>
      </c>
      <c r="G175" s="12">
        <v>1835</v>
      </c>
      <c r="H175" s="12">
        <v>2385</v>
      </c>
      <c r="I175" s="12"/>
      <c r="J175" s="12">
        <v>1825</v>
      </c>
      <c r="K175" s="12">
        <f t="shared" si="27"/>
        <v>0</v>
      </c>
      <c r="L175" s="12">
        <f t="shared" si="28"/>
        <v>1835</v>
      </c>
      <c r="M175" s="12">
        <f t="shared" si="29"/>
        <v>2385</v>
      </c>
      <c r="N175" s="12">
        <f t="shared" si="30"/>
        <v>1825</v>
      </c>
      <c r="O175" s="12" t="str">
        <f t="shared" si="31"/>
        <v>휘발유 45,875원 / 고급유 47,700원</v>
      </c>
      <c r="P175" s="12">
        <f t="shared" si="32"/>
        <v>93575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93575</v>
      </c>
      <c r="U175" s="12">
        <f t="shared" si="36"/>
        <v>2079.4444444444443</v>
      </c>
      <c r="V175" s="12">
        <f t="shared" si="37"/>
        <v>2079.4444444444443</v>
      </c>
      <c r="W175" s="14">
        <f t="shared" si="38"/>
        <v>93575</v>
      </c>
    </row>
    <row r="176" spans="1:23" s="7" customFormat="1" ht="28.5" customHeight="1">
      <c r="A176" s="11">
        <f t="shared" si="26"/>
        <v>162</v>
      </c>
      <c r="B176" s="11" t="s">
        <v>10</v>
      </c>
      <c r="C176" s="11" t="s">
        <v>186</v>
      </c>
      <c r="D176" s="15" t="s">
        <v>45</v>
      </c>
      <c r="E176" s="11" t="s">
        <v>26</v>
      </c>
      <c r="F176" s="11" t="s">
        <v>187</v>
      </c>
      <c r="G176" s="12">
        <v>1864</v>
      </c>
      <c r="H176" s="12">
        <v>2389</v>
      </c>
      <c r="I176" s="12" t="s">
        <v>61</v>
      </c>
      <c r="J176" s="12">
        <v>1853</v>
      </c>
      <c r="K176" s="12">
        <f t="shared" si="27"/>
        <v>-10</v>
      </c>
      <c r="L176" s="12">
        <f t="shared" si="28"/>
        <v>1854</v>
      </c>
      <c r="M176" s="12">
        <f t="shared" si="29"/>
        <v>2379</v>
      </c>
      <c r="N176" s="12">
        <f t="shared" si="30"/>
        <v>1843</v>
      </c>
      <c r="O176" s="12" t="str">
        <f t="shared" si="31"/>
        <v>휘발유 46,350원 / 고급유 47,580원</v>
      </c>
      <c r="P176" s="12">
        <f t="shared" si="32"/>
        <v>93930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93930</v>
      </c>
      <c r="U176" s="12">
        <f t="shared" si="36"/>
        <v>2087.3333333333335</v>
      </c>
      <c r="V176" s="12">
        <f t="shared" si="37"/>
        <v>2087.3333333333335</v>
      </c>
      <c r="W176" s="14">
        <f t="shared" si="38"/>
        <v>93930</v>
      </c>
    </row>
    <row r="177" spans="1:23" s="7" customFormat="1" ht="28.5" customHeight="1">
      <c r="A177" s="11">
        <f t="shared" si="26"/>
        <v>162</v>
      </c>
      <c r="B177" s="11" t="s">
        <v>14</v>
      </c>
      <c r="C177" s="11" t="s">
        <v>192</v>
      </c>
      <c r="D177" s="15" t="s">
        <v>45</v>
      </c>
      <c r="E177" s="11" t="s">
        <v>60</v>
      </c>
      <c r="F177" s="11" t="s">
        <v>193</v>
      </c>
      <c r="G177" s="12">
        <v>1880</v>
      </c>
      <c r="H177" s="12">
        <v>2369</v>
      </c>
      <c r="I177" s="12"/>
      <c r="J177" s="12">
        <v>1870</v>
      </c>
      <c r="K177" s="12">
        <f t="shared" si="27"/>
        <v>-10</v>
      </c>
      <c r="L177" s="12">
        <f t="shared" si="28"/>
        <v>1870</v>
      </c>
      <c r="M177" s="12">
        <f t="shared" si="29"/>
        <v>2359</v>
      </c>
      <c r="N177" s="12">
        <f t="shared" si="30"/>
        <v>1860</v>
      </c>
      <c r="O177" s="12" t="str">
        <f t="shared" si="31"/>
        <v>휘발유 46,750원 / 고급유 47,180원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16" customFormat="1" ht="28.5" customHeight="1">
      <c r="A178" s="11">
        <f t="shared" si="26"/>
        <v>164</v>
      </c>
      <c r="B178" s="11" t="s">
        <v>14</v>
      </c>
      <c r="C178" s="11" t="s">
        <v>1219</v>
      </c>
      <c r="D178" s="15" t="s">
        <v>59</v>
      </c>
      <c r="E178" s="11" t="s">
        <v>26</v>
      </c>
      <c r="F178" s="11" t="s">
        <v>1220</v>
      </c>
      <c r="G178" s="12">
        <v>1875</v>
      </c>
      <c r="H178" s="12">
        <v>2365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2365</v>
      </c>
      <c r="N178" s="12">
        <f t="shared" si="30"/>
        <v>1865</v>
      </c>
      <c r="O178" s="12" t="str">
        <f t="shared" si="31"/>
        <v>휘발유 46,875원 / 고급유 47,300원</v>
      </c>
      <c r="P178" s="12">
        <f t="shared" si="32"/>
        <v>94175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94175</v>
      </c>
      <c r="U178" s="12">
        <f t="shared" si="36"/>
        <v>2092.7777777777778</v>
      </c>
      <c r="V178" s="12">
        <f t="shared" si="37"/>
        <v>2092.7777777777778</v>
      </c>
      <c r="W178" s="14">
        <f t="shared" si="38"/>
        <v>94175</v>
      </c>
    </row>
    <row r="179" spans="1:23" s="2" customFormat="1" ht="28.5" customHeight="1">
      <c r="A179" s="11">
        <f t="shared" si="26"/>
        <v>165</v>
      </c>
      <c r="B179" s="11" t="s">
        <v>12</v>
      </c>
      <c r="C179" s="11" t="s">
        <v>206</v>
      </c>
      <c r="D179" s="15" t="s">
        <v>45</v>
      </c>
      <c r="E179" s="11" t="s">
        <v>26</v>
      </c>
      <c r="F179" s="11" t="s">
        <v>207</v>
      </c>
      <c r="G179" s="12">
        <v>1867</v>
      </c>
      <c r="H179" s="12">
        <v>2429</v>
      </c>
      <c r="I179" s="12" t="s">
        <v>61</v>
      </c>
      <c r="J179" s="12">
        <v>1859</v>
      </c>
      <c r="K179" s="12">
        <f t="shared" si="27"/>
        <v>-10</v>
      </c>
      <c r="L179" s="12">
        <f t="shared" si="28"/>
        <v>1857</v>
      </c>
      <c r="M179" s="12">
        <f t="shared" si="29"/>
        <v>2419</v>
      </c>
      <c r="N179" s="12">
        <f t="shared" si="30"/>
        <v>1849</v>
      </c>
      <c r="O179" s="12" t="str">
        <f t="shared" si="31"/>
        <v>휘발유 46,425원 / 고급유 48,380원</v>
      </c>
      <c r="P179" s="12">
        <f t="shared" si="32"/>
        <v>94805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94805</v>
      </c>
      <c r="U179" s="12">
        <f t="shared" si="36"/>
        <v>2106.7777777777778</v>
      </c>
      <c r="V179" s="12">
        <f t="shared" si="37"/>
        <v>2106.7777777777778</v>
      </c>
      <c r="W179" s="14">
        <f t="shared" si="38"/>
        <v>94805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1854</v>
      </c>
      <c r="H181" s="12">
        <v>2499</v>
      </c>
      <c r="I181" s="12"/>
      <c r="J181" s="12">
        <v>1842</v>
      </c>
      <c r="K181" s="12">
        <f t="shared" si="27"/>
        <v>0</v>
      </c>
      <c r="L181" s="12">
        <f t="shared" si="28"/>
        <v>1854</v>
      </c>
      <c r="M181" s="12">
        <f t="shared" si="29"/>
        <v>2499</v>
      </c>
      <c r="N181" s="12">
        <f t="shared" si="30"/>
        <v>1842</v>
      </c>
      <c r="O181" s="12" t="str">
        <f t="shared" si="31"/>
        <v>휘발유 46,350원 / 고급유 49,980원</v>
      </c>
      <c r="P181" s="12">
        <f t="shared" si="32"/>
        <v>96330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96330</v>
      </c>
      <c r="U181" s="12">
        <f t="shared" si="36"/>
        <v>2140.6666666666665</v>
      </c>
      <c r="V181" s="12">
        <f t="shared" si="37"/>
        <v>2140.6666666666665</v>
      </c>
      <c r="W181" s="14">
        <f t="shared" si="38"/>
        <v>96330</v>
      </c>
    </row>
    <row r="182" spans="1:23" s="16" customFormat="1" ht="28.5" customHeight="1">
      <c r="A182" s="11">
        <f t="shared" si="26"/>
        <v>168</v>
      </c>
      <c r="B182" s="11" t="s">
        <v>12</v>
      </c>
      <c r="C182" s="11" t="s">
        <v>719</v>
      </c>
      <c r="D182" s="15" t="s">
        <v>78</v>
      </c>
      <c r="E182" s="11" t="s">
        <v>60</v>
      </c>
      <c r="F182" s="11" t="s">
        <v>720</v>
      </c>
      <c r="G182" s="12">
        <v>1999</v>
      </c>
      <c r="H182" s="12">
        <v>2449</v>
      </c>
      <c r="I182" s="12"/>
      <c r="J182" s="12">
        <v>1998</v>
      </c>
      <c r="K182" s="12">
        <f t="shared" si="27"/>
        <v>0</v>
      </c>
      <c r="L182" s="12">
        <f t="shared" si="28"/>
        <v>1999</v>
      </c>
      <c r="M182" s="12">
        <f t="shared" si="29"/>
        <v>2449</v>
      </c>
      <c r="N182" s="12">
        <f t="shared" si="30"/>
        <v>1998</v>
      </c>
      <c r="O182" s="12" t="str">
        <f t="shared" si="31"/>
        <v>휘발유 49,975원 / 고급유 48,980원</v>
      </c>
      <c r="P182" s="12">
        <f t="shared" si="32"/>
        <v>98955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98955</v>
      </c>
      <c r="U182" s="12">
        <f t="shared" si="36"/>
        <v>2199</v>
      </c>
      <c r="V182" s="12">
        <f t="shared" si="37"/>
        <v>2199</v>
      </c>
      <c r="W182" s="14">
        <f t="shared" si="38"/>
        <v>98955</v>
      </c>
    </row>
    <row r="183" spans="1:23" s="16" customFormat="1" ht="28.5" customHeight="1">
      <c r="A183" s="11" t="str">
        <f t="shared" si="26"/>
        <v/>
      </c>
      <c r="B183" s="11" t="s">
        <v>6</v>
      </c>
      <c r="C183" s="11" t="s">
        <v>1233</v>
      </c>
      <c r="D183" s="11" t="s">
        <v>57</v>
      </c>
      <c r="E183" s="11" t="s">
        <v>26</v>
      </c>
      <c r="F183" s="11" t="s">
        <v>1234</v>
      </c>
      <c r="G183" s="12">
        <v>1805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1805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7" customFormat="1" ht="28.5" customHeight="1">
      <c r="A184" s="11" t="str">
        <f t="shared" si="26"/>
        <v/>
      </c>
      <c r="B184" s="11" t="s">
        <v>6</v>
      </c>
      <c r="C184" s="11" t="s">
        <v>1625</v>
      </c>
      <c r="D184" s="15" t="s">
        <v>78</v>
      </c>
      <c r="E184" s="11" t="s">
        <v>26</v>
      </c>
      <c r="F184" s="11" t="s">
        <v>1626</v>
      </c>
      <c r="G184" s="12">
        <v>1807</v>
      </c>
      <c r="H184" s="12"/>
      <c r="I184" s="12"/>
      <c r="J184" s="12">
        <v>1793</v>
      </c>
      <c r="K184" s="12">
        <f t="shared" si="27"/>
        <v>0</v>
      </c>
      <c r="L184" s="12">
        <f t="shared" si="28"/>
        <v>1807</v>
      </c>
      <c r="M184" s="12" t="str">
        <f t="shared" si="29"/>
        <v/>
      </c>
      <c r="N184" s="12">
        <f t="shared" si="30"/>
        <v>1793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651</v>
      </c>
      <c r="D185" s="15" t="s">
        <v>45</v>
      </c>
      <c r="E185" s="11" t="s">
        <v>26</v>
      </c>
      <c r="F185" s="11" t="s">
        <v>652</v>
      </c>
      <c r="G185" s="12">
        <v>1808</v>
      </c>
      <c r="H185" s="12"/>
      <c r="I185" s="12"/>
      <c r="J185" s="12">
        <v>1798</v>
      </c>
      <c r="K185" s="12">
        <f t="shared" si="27"/>
        <v>0</v>
      </c>
      <c r="L185" s="12">
        <f t="shared" si="28"/>
        <v>1808</v>
      </c>
      <c r="M185" s="12" t="str">
        <f t="shared" si="29"/>
        <v/>
      </c>
      <c r="N185" s="12">
        <f t="shared" si="30"/>
        <v>1798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10</v>
      </c>
      <c r="C186" s="11" t="s">
        <v>280</v>
      </c>
      <c r="D186" s="11" t="s">
        <v>93</v>
      </c>
      <c r="E186" s="11" t="s">
        <v>26</v>
      </c>
      <c r="F186" s="11" t="s">
        <v>281</v>
      </c>
      <c r="G186" s="12">
        <v>1808</v>
      </c>
      <c r="H186" s="12"/>
      <c r="I186" s="12"/>
      <c r="J186" s="12">
        <v>1819</v>
      </c>
      <c r="K186" s="12">
        <f t="shared" si="27"/>
        <v>0</v>
      </c>
      <c r="L186" s="12">
        <f t="shared" si="28"/>
        <v>1808</v>
      </c>
      <c r="M186" s="12" t="str">
        <f t="shared" si="29"/>
        <v/>
      </c>
      <c r="N186" s="12">
        <f t="shared" si="30"/>
        <v>1819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1334</v>
      </c>
      <c r="D187" s="15" t="s">
        <v>45</v>
      </c>
      <c r="E187" s="11" t="s">
        <v>26</v>
      </c>
      <c r="F187" s="11" t="s">
        <v>1335</v>
      </c>
      <c r="G187" s="12">
        <v>1811</v>
      </c>
      <c r="H187" s="12"/>
      <c r="I187" s="12"/>
      <c r="J187" s="12">
        <v>1811</v>
      </c>
      <c r="K187" s="12">
        <f t="shared" si="27"/>
        <v>0</v>
      </c>
      <c r="L187" s="12">
        <f t="shared" si="28"/>
        <v>1811</v>
      </c>
      <c r="M187" s="12" t="str">
        <f t="shared" si="29"/>
        <v/>
      </c>
      <c r="N187" s="12">
        <f t="shared" si="30"/>
        <v>1811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1566</v>
      </c>
      <c r="D188" s="11" t="s">
        <v>48</v>
      </c>
      <c r="E188" s="11" t="s">
        <v>26</v>
      </c>
      <c r="F188" s="11" t="s">
        <v>1567</v>
      </c>
      <c r="G188" s="12">
        <v>1813</v>
      </c>
      <c r="H188" s="12"/>
      <c r="I188" s="12"/>
      <c r="J188" s="12">
        <v>1800</v>
      </c>
      <c r="K188" s="12">
        <f t="shared" si="27"/>
        <v>0</v>
      </c>
      <c r="L188" s="12">
        <f t="shared" si="28"/>
        <v>1813</v>
      </c>
      <c r="M188" s="12" t="str">
        <f t="shared" si="29"/>
        <v/>
      </c>
      <c r="N188" s="12">
        <f t="shared" si="30"/>
        <v>1800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535</v>
      </c>
      <c r="D189" s="15" t="s">
        <v>78</v>
      </c>
      <c r="E189" s="11" t="s">
        <v>60</v>
      </c>
      <c r="F189" s="11" t="s">
        <v>536</v>
      </c>
      <c r="G189" s="12">
        <v>1815</v>
      </c>
      <c r="H189" s="12"/>
      <c r="I189" s="12"/>
      <c r="J189" s="12">
        <v>1795</v>
      </c>
      <c r="K189" s="12">
        <f t="shared" si="27"/>
        <v>0</v>
      </c>
      <c r="L189" s="12">
        <f t="shared" si="28"/>
        <v>1815</v>
      </c>
      <c r="M189" s="12" t="str">
        <f t="shared" si="29"/>
        <v/>
      </c>
      <c r="N189" s="12">
        <f t="shared" si="30"/>
        <v>1795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6</v>
      </c>
      <c r="C190" s="11" t="s">
        <v>770</v>
      </c>
      <c r="D190" s="11" t="s">
        <v>57</v>
      </c>
      <c r="E190" s="11" t="s">
        <v>26</v>
      </c>
      <c r="F190" s="11" t="s">
        <v>771</v>
      </c>
      <c r="G190" s="12">
        <v>1815</v>
      </c>
      <c r="H190" s="12"/>
      <c r="I190" s="12"/>
      <c r="J190" s="12">
        <v>1809</v>
      </c>
      <c r="K190" s="12">
        <f t="shared" si="27"/>
        <v>0</v>
      </c>
      <c r="L190" s="12">
        <f t="shared" si="28"/>
        <v>1815</v>
      </c>
      <c r="M190" s="12" t="str">
        <f t="shared" si="29"/>
        <v/>
      </c>
      <c r="N190" s="12">
        <f t="shared" si="30"/>
        <v>1809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356</v>
      </c>
      <c r="D191" s="15" t="s">
        <v>45</v>
      </c>
      <c r="E191" s="11" t="s">
        <v>26</v>
      </c>
      <c r="F191" s="11" t="s">
        <v>357</v>
      </c>
      <c r="G191" s="12">
        <v>1819</v>
      </c>
      <c r="H191" s="12"/>
      <c r="I191" s="12"/>
      <c r="J191" s="12">
        <v>1793</v>
      </c>
      <c r="K191" s="12">
        <f t="shared" si="27"/>
        <v>0</v>
      </c>
      <c r="L191" s="12">
        <f t="shared" si="28"/>
        <v>1819</v>
      </c>
      <c r="M191" s="12" t="str">
        <f t="shared" si="29"/>
        <v/>
      </c>
      <c r="N191" s="12">
        <f t="shared" si="30"/>
        <v>1793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1304</v>
      </c>
      <c r="D192" s="15" t="s">
        <v>78</v>
      </c>
      <c r="E192" s="11" t="s">
        <v>60</v>
      </c>
      <c r="F192" s="11" t="s">
        <v>1305</v>
      </c>
      <c r="G192" s="12">
        <v>1819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1819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10</v>
      </c>
      <c r="C193" s="11" t="s">
        <v>1670</v>
      </c>
      <c r="D193" s="11" t="s">
        <v>57</v>
      </c>
      <c r="E193" s="11" t="s">
        <v>26</v>
      </c>
      <c r="F193" s="11" t="s">
        <v>1671</v>
      </c>
      <c r="G193" s="12">
        <v>1824</v>
      </c>
      <c r="H193" s="12"/>
      <c r="I193" s="12"/>
      <c r="J193" s="12">
        <v>1794</v>
      </c>
      <c r="K193" s="12">
        <f t="shared" si="27"/>
        <v>0</v>
      </c>
      <c r="L193" s="12">
        <f t="shared" si="28"/>
        <v>1824</v>
      </c>
      <c r="M193" s="12" t="str">
        <f t="shared" si="29"/>
        <v/>
      </c>
      <c r="N193" s="12">
        <f t="shared" si="30"/>
        <v>1794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590</v>
      </c>
      <c r="D194" s="15" t="s">
        <v>57</v>
      </c>
      <c r="E194" s="11" t="s">
        <v>26</v>
      </c>
      <c r="F194" s="11" t="s">
        <v>591</v>
      </c>
      <c r="G194" s="12">
        <v>1825</v>
      </c>
      <c r="H194" s="12"/>
      <c r="I194" s="12"/>
      <c r="J194" s="12">
        <v>1813</v>
      </c>
      <c r="K194" s="12">
        <f t="shared" si="27"/>
        <v>0</v>
      </c>
      <c r="L194" s="12">
        <f t="shared" si="28"/>
        <v>1825</v>
      </c>
      <c r="M194" s="12" t="str">
        <f t="shared" si="29"/>
        <v/>
      </c>
      <c r="N194" s="12">
        <f t="shared" si="30"/>
        <v>1813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476</v>
      </c>
      <c r="D195" s="15" t="s">
        <v>59</v>
      </c>
      <c r="E195" s="11" t="s">
        <v>26</v>
      </c>
      <c r="F195" s="11" t="s">
        <v>477</v>
      </c>
      <c r="G195" s="12">
        <v>1825</v>
      </c>
      <c r="H195" s="12"/>
      <c r="I195" s="12"/>
      <c r="J195" s="12">
        <v>1829</v>
      </c>
      <c r="K195" s="12">
        <f t="shared" si="27"/>
        <v>0</v>
      </c>
      <c r="L195" s="12">
        <f t="shared" si="28"/>
        <v>1825</v>
      </c>
      <c r="M195" s="12" t="str">
        <f t="shared" si="29"/>
        <v/>
      </c>
      <c r="N195" s="12">
        <f t="shared" si="30"/>
        <v>1829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726</v>
      </c>
      <c r="D196" s="15" t="s">
        <v>78</v>
      </c>
      <c r="E196" s="11" t="s">
        <v>26</v>
      </c>
      <c r="F196" s="11" t="s">
        <v>727</v>
      </c>
      <c r="G196" s="12">
        <v>1827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1827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1071</v>
      </c>
      <c r="D197" s="15" t="s">
        <v>78</v>
      </c>
      <c r="E197" s="11" t="s">
        <v>26</v>
      </c>
      <c r="F197" s="11" t="s">
        <v>1073</v>
      </c>
      <c r="G197" s="12">
        <v>1828</v>
      </c>
      <c r="H197" s="12"/>
      <c r="I197" s="12"/>
      <c r="J197" s="12">
        <v>1798</v>
      </c>
      <c r="K197" s="12">
        <f t="shared" si="27"/>
        <v>0</v>
      </c>
      <c r="L197" s="12">
        <f t="shared" si="28"/>
        <v>1828</v>
      </c>
      <c r="M197" s="12" t="str">
        <f t="shared" si="29"/>
        <v/>
      </c>
      <c r="N197" s="12">
        <f t="shared" si="30"/>
        <v>1798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694</v>
      </c>
      <c r="D198" s="11" t="s">
        <v>48</v>
      </c>
      <c r="E198" s="11" t="s">
        <v>60</v>
      </c>
      <c r="F198" s="11" t="s">
        <v>695</v>
      </c>
      <c r="G198" s="12">
        <v>1828</v>
      </c>
      <c r="H198" s="12"/>
      <c r="I198" s="12"/>
      <c r="J198" s="12">
        <v>1799</v>
      </c>
      <c r="K198" s="12">
        <f t="shared" si="27"/>
        <v>0</v>
      </c>
      <c r="L198" s="12">
        <f t="shared" si="28"/>
        <v>1828</v>
      </c>
      <c r="M198" s="12" t="str">
        <f t="shared" si="29"/>
        <v/>
      </c>
      <c r="N198" s="12">
        <f t="shared" si="30"/>
        <v>1799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1674</v>
      </c>
      <c r="D199" s="15" t="s">
        <v>45</v>
      </c>
      <c r="E199" s="11" t="s">
        <v>26</v>
      </c>
      <c r="F199" s="11" t="s">
        <v>1675</v>
      </c>
      <c r="G199" s="12">
        <v>1829</v>
      </c>
      <c r="H199" s="12"/>
      <c r="I199" s="12"/>
      <c r="J199" s="12">
        <v>1799</v>
      </c>
      <c r="K199" s="12">
        <f t="shared" si="27"/>
        <v>0</v>
      </c>
      <c r="L199" s="12">
        <f t="shared" si="28"/>
        <v>1829</v>
      </c>
      <c r="M199" s="12" t="str">
        <f t="shared" si="29"/>
        <v/>
      </c>
      <c r="N199" s="12">
        <f t="shared" si="30"/>
        <v>1799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294</v>
      </c>
      <c r="D200" s="15" t="s">
        <v>78</v>
      </c>
      <c r="E200" s="11" t="s">
        <v>26</v>
      </c>
      <c r="F200" s="11" t="s">
        <v>295</v>
      </c>
      <c r="G200" s="12">
        <v>1829</v>
      </c>
      <c r="H200" s="12"/>
      <c r="I200" s="12"/>
      <c r="J200" s="12">
        <v>1809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1809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6</v>
      </c>
      <c r="C201" s="11" t="s">
        <v>415</v>
      </c>
      <c r="D201" s="15" t="s">
        <v>45</v>
      </c>
      <c r="E201" s="11" t="s">
        <v>60</v>
      </c>
      <c r="F201" s="11" t="s">
        <v>416</v>
      </c>
      <c r="G201" s="12">
        <v>1829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10</v>
      </c>
      <c r="C202" s="11" t="s">
        <v>924</v>
      </c>
      <c r="D202" s="15" t="s">
        <v>45</v>
      </c>
      <c r="E202" s="11" t="s">
        <v>60</v>
      </c>
      <c r="F202" s="11" t="s">
        <v>925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10</v>
      </c>
      <c r="C203" s="11" t="s">
        <v>1151</v>
      </c>
      <c r="D203" s="15" t="s">
        <v>78</v>
      </c>
      <c r="E203" s="11" t="s">
        <v>26</v>
      </c>
      <c r="F203" s="11" t="s">
        <v>1152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1692</v>
      </c>
      <c r="D204" s="15" t="s">
        <v>78</v>
      </c>
      <c r="E204" s="11" t="s">
        <v>60</v>
      </c>
      <c r="F204" s="11" t="s">
        <v>1693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553</v>
      </c>
      <c r="D205" s="15" t="s">
        <v>78</v>
      </c>
      <c r="E205" s="11" t="s">
        <v>26</v>
      </c>
      <c r="F205" s="11" t="s">
        <v>554</v>
      </c>
      <c r="G205" s="12">
        <v>1833</v>
      </c>
      <c r="H205" s="12"/>
      <c r="I205" s="12"/>
      <c r="J205" s="12">
        <v>1821</v>
      </c>
      <c r="K205" s="12">
        <f t="shared" si="27"/>
        <v>0</v>
      </c>
      <c r="L205" s="12">
        <f t="shared" si="28"/>
        <v>1833</v>
      </c>
      <c r="M205" s="12" t="str">
        <f t="shared" si="29"/>
        <v/>
      </c>
      <c r="N205" s="12">
        <f t="shared" si="30"/>
        <v>1821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509</v>
      </c>
      <c r="D206" s="15" t="s">
        <v>59</v>
      </c>
      <c r="E206" s="11" t="s">
        <v>26</v>
      </c>
      <c r="F206" s="11" t="s">
        <v>510</v>
      </c>
      <c r="G206" s="12">
        <v>1835</v>
      </c>
      <c r="H206" s="12"/>
      <c r="I206" s="12"/>
      <c r="J206" s="12">
        <v>1808</v>
      </c>
      <c r="K206" s="12">
        <f t="shared" si="27"/>
        <v>0</v>
      </c>
      <c r="L206" s="12">
        <f t="shared" si="28"/>
        <v>1835</v>
      </c>
      <c r="M206" s="12" t="str">
        <f t="shared" si="29"/>
        <v/>
      </c>
      <c r="N206" s="12">
        <f t="shared" si="30"/>
        <v>1808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IF($T207="","",1+COUNTIF($W$15:$W$882,"&lt;"&amp;W207))</f>
        <v/>
      </c>
      <c r="B207" s="11" t="s">
        <v>6</v>
      </c>
      <c r="C207" s="11" t="s">
        <v>376</v>
      </c>
      <c r="D207" s="11" t="s">
        <v>57</v>
      </c>
      <c r="E207" s="11" t="s">
        <v>26</v>
      </c>
      <c r="F207" s="11" t="s">
        <v>377</v>
      </c>
      <c r="G207" s="12">
        <v>1835</v>
      </c>
      <c r="H207" s="12"/>
      <c r="I207" s="12"/>
      <c r="J207" s="12">
        <v>1815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1815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422</v>
      </c>
      <c r="D208" s="15" t="s">
        <v>78</v>
      </c>
      <c r="E208" s="11" t="s">
        <v>26</v>
      </c>
      <c r="F208" s="11" t="s">
        <v>423</v>
      </c>
      <c r="G208" s="12">
        <v>1835</v>
      </c>
      <c r="H208" s="12"/>
      <c r="I208" s="12"/>
      <c r="J208" s="12">
        <v>1815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1815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1406</v>
      </c>
      <c r="D209" s="11" t="s">
        <v>48</v>
      </c>
      <c r="E209" s="11" t="s">
        <v>26</v>
      </c>
      <c r="F209" s="11" t="s">
        <v>1407</v>
      </c>
      <c r="G209" s="12">
        <v>1835</v>
      </c>
      <c r="H209" s="12"/>
      <c r="I209" s="12"/>
      <c r="J209" s="12">
        <v>1824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1824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678</v>
      </c>
      <c r="D210" s="15" t="s">
        <v>78</v>
      </c>
      <c r="E210" s="11" t="s">
        <v>26</v>
      </c>
      <c r="F210" s="11" t="s">
        <v>679</v>
      </c>
      <c r="G210" s="12">
        <v>1837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1837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774</v>
      </c>
      <c r="D211" s="15" t="s">
        <v>45</v>
      </c>
      <c r="E211" s="11" t="s">
        <v>60</v>
      </c>
      <c r="F211" s="11" t="s">
        <v>775</v>
      </c>
      <c r="G211" s="12">
        <v>1837</v>
      </c>
      <c r="H211" s="12"/>
      <c r="I211" s="12"/>
      <c r="J211" s="12">
        <v>1817</v>
      </c>
      <c r="K211" s="12">
        <f t="shared" si="40"/>
        <v>0</v>
      </c>
      <c r="L211" s="12">
        <f t="shared" si="41"/>
        <v>1837</v>
      </c>
      <c r="M211" s="12" t="str">
        <f t="shared" si="42"/>
        <v/>
      </c>
      <c r="N211" s="12">
        <f t="shared" si="43"/>
        <v>1817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551</v>
      </c>
      <c r="D212" s="15" t="s">
        <v>45</v>
      </c>
      <c r="E212" s="11" t="s">
        <v>26</v>
      </c>
      <c r="F212" s="11" t="s">
        <v>552</v>
      </c>
      <c r="G212" s="12">
        <v>1838</v>
      </c>
      <c r="H212" s="12"/>
      <c r="I212" s="12"/>
      <c r="J212" s="12">
        <v>1828</v>
      </c>
      <c r="K212" s="12">
        <f t="shared" si="40"/>
        <v>0</v>
      </c>
      <c r="L212" s="12">
        <f t="shared" si="41"/>
        <v>1838</v>
      </c>
      <c r="M212" s="12" t="str">
        <f t="shared" si="42"/>
        <v/>
      </c>
      <c r="N212" s="12">
        <f t="shared" si="43"/>
        <v>1828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960</v>
      </c>
      <c r="D213" s="15" t="s">
        <v>59</v>
      </c>
      <c r="E213" s="11" t="s">
        <v>26</v>
      </c>
      <c r="F213" s="11" t="s">
        <v>961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1570</v>
      </c>
      <c r="D214" s="11" t="s">
        <v>93</v>
      </c>
      <c r="E214" s="11" t="s">
        <v>26</v>
      </c>
      <c r="F214" s="11" t="s">
        <v>1571</v>
      </c>
      <c r="G214" s="12">
        <v>1838</v>
      </c>
      <c r="H214" s="12"/>
      <c r="I214" s="12"/>
      <c r="J214" s="12">
        <v>1828</v>
      </c>
      <c r="K214" s="12">
        <f t="shared" si="40"/>
        <v>0</v>
      </c>
      <c r="L214" s="12">
        <f t="shared" si="41"/>
        <v>1838</v>
      </c>
      <c r="M214" s="12" t="str">
        <f t="shared" si="42"/>
        <v/>
      </c>
      <c r="N214" s="12">
        <f t="shared" si="43"/>
        <v>1828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10</v>
      </c>
      <c r="C215" s="11" t="s">
        <v>1576</v>
      </c>
      <c r="D215" s="11" t="s">
        <v>57</v>
      </c>
      <c r="E215" s="11" t="s">
        <v>26</v>
      </c>
      <c r="F215" s="11" t="s">
        <v>1577</v>
      </c>
      <c r="G215" s="12">
        <v>1839</v>
      </c>
      <c r="H215" s="12"/>
      <c r="I215" s="12"/>
      <c r="J215" s="12">
        <v>1809</v>
      </c>
      <c r="K215" s="12">
        <f t="shared" si="40"/>
        <v>0</v>
      </c>
      <c r="L215" s="12">
        <f t="shared" si="41"/>
        <v>1839</v>
      </c>
      <c r="M215" s="12" t="str">
        <f t="shared" si="42"/>
        <v/>
      </c>
      <c r="N215" s="12">
        <f t="shared" si="43"/>
        <v>1809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696</v>
      </c>
      <c r="D216" s="15" t="s">
        <v>78</v>
      </c>
      <c r="E216" s="11" t="s">
        <v>26</v>
      </c>
      <c r="F216" s="11" t="s">
        <v>697</v>
      </c>
      <c r="G216" s="12">
        <v>1839</v>
      </c>
      <c r="H216" s="12"/>
      <c r="I216" s="12"/>
      <c r="J216" s="12">
        <v>1819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1819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10</v>
      </c>
      <c r="C217" s="11" t="s">
        <v>1709</v>
      </c>
      <c r="D217" s="15" t="s">
        <v>45</v>
      </c>
      <c r="E217" s="11" t="s">
        <v>26</v>
      </c>
      <c r="F217" s="11" t="s">
        <v>1710</v>
      </c>
      <c r="G217" s="12">
        <v>1839</v>
      </c>
      <c r="H217" s="12"/>
      <c r="I217" s="12"/>
      <c r="J217" s="12">
        <v>1829</v>
      </c>
      <c r="K217" s="12">
        <f t="shared" si="40"/>
        <v>0</v>
      </c>
      <c r="L217" s="12">
        <f t="shared" si="41"/>
        <v>1839</v>
      </c>
      <c r="M217" s="12" t="str">
        <f t="shared" si="42"/>
        <v/>
      </c>
      <c r="N217" s="12">
        <f t="shared" si="43"/>
        <v>1829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1376</v>
      </c>
      <c r="D218" s="15" t="s">
        <v>59</v>
      </c>
      <c r="E218" s="11" t="s">
        <v>26</v>
      </c>
      <c r="F218" s="11" t="s">
        <v>1377</v>
      </c>
      <c r="G218" s="12">
        <v>1844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1844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594</v>
      </c>
      <c r="D219" s="11" t="s">
        <v>57</v>
      </c>
      <c r="E219" s="11" t="s">
        <v>26</v>
      </c>
      <c r="F219" s="11" t="s">
        <v>595</v>
      </c>
      <c r="G219" s="12">
        <v>1845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1845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10</v>
      </c>
      <c r="C220" s="11" t="s">
        <v>527</v>
      </c>
      <c r="D220" s="11" t="s">
        <v>57</v>
      </c>
      <c r="E220" s="11" t="s">
        <v>60</v>
      </c>
      <c r="F220" s="11" t="s">
        <v>528</v>
      </c>
      <c r="G220" s="12">
        <v>1847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1847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996</v>
      </c>
      <c r="D221" s="15" t="s">
        <v>78</v>
      </c>
      <c r="E221" s="11" t="s">
        <v>26</v>
      </c>
      <c r="F221" s="11" t="s">
        <v>997</v>
      </c>
      <c r="G221" s="12">
        <v>1849</v>
      </c>
      <c r="H221" s="12"/>
      <c r="I221" s="12"/>
      <c r="J221" s="12">
        <v>1809</v>
      </c>
      <c r="K221" s="12">
        <f t="shared" si="40"/>
        <v>0</v>
      </c>
      <c r="L221" s="12">
        <f t="shared" si="41"/>
        <v>1849</v>
      </c>
      <c r="M221" s="12" t="str">
        <f t="shared" si="42"/>
        <v/>
      </c>
      <c r="N221" s="12">
        <f t="shared" si="43"/>
        <v>1809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10</v>
      </c>
      <c r="C222" s="11" t="s">
        <v>368</v>
      </c>
      <c r="D222" s="11" t="s">
        <v>57</v>
      </c>
      <c r="E222" s="11" t="s">
        <v>26</v>
      </c>
      <c r="F222" s="11" t="s">
        <v>369</v>
      </c>
      <c r="G222" s="12">
        <v>1849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470</v>
      </c>
      <c r="D223" s="11" t="s">
        <v>57</v>
      </c>
      <c r="E223" s="11" t="s">
        <v>26</v>
      </c>
      <c r="F223" s="11" t="s">
        <v>471</v>
      </c>
      <c r="G223" s="12">
        <v>1849</v>
      </c>
      <c r="H223" s="12"/>
      <c r="I223" s="12"/>
      <c r="J223" s="12">
        <v>1836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1836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1135</v>
      </c>
      <c r="D224" s="11" t="s">
        <v>48</v>
      </c>
      <c r="E224" s="11" t="s">
        <v>26</v>
      </c>
      <c r="F224" s="11" t="s">
        <v>1136</v>
      </c>
      <c r="G224" s="12">
        <v>1849</v>
      </c>
      <c r="H224" s="12"/>
      <c r="I224" s="12"/>
      <c r="J224" s="12">
        <v>1843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1843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629</v>
      </c>
      <c r="D225" s="15" t="s">
        <v>45</v>
      </c>
      <c r="E225" s="11" t="s">
        <v>26</v>
      </c>
      <c r="F225" s="11" t="s">
        <v>630</v>
      </c>
      <c r="G225" s="12">
        <v>1854</v>
      </c>
      <c r="H225" s="12"/>
      <c r="I225" s="12"/>
      <c r="J225" s="12">
        <v>1792</v>
      </c>
      <c r="K225" s="12">
        <f t="shared" si="40"/>
        <v>0</v>
      </c>
      <c r="L225" s="12">
        <f t="shared" si="41"/>
        <v>1854</v>
      </c>
      <c r="M225" s="12" t="str">
        <f t="shared" si="42"/>
        <v/>
      </c>
      <c r="N225" s="12">
        <f t="shared" si="43"/>
        <v>1792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16" customFormat="1" ht="28.5" customHeight="1">
      <c r="A226" s="11" t="str">
        <f t="shared" si="39"/>
        <v/>
      </c>
      <c r="B226" s="11" t="s">
        <v>6</v>
      </c>
      <c r="C226" s="11" t="s">
        <v>1657</v>
      </c>
      <c r="D226" s="15" t="s">
        <v>45</v>
      </c>
      <c r="E226" s="11" t="s">
        <v>26</v>
      </c>
      <c r="F226" s="11" t="s">
        <v>1658</v>
      </c>
      <c r="G226" s="12">
        <v>1855</v>
      </c>
      <c r="H226" s="12"/>
      <c r="I226" s="12"/>
      <c r="J226" s="12">
        <v>1839</v>
      </c>
      <c r="K226" s="12">
        <f t="shared" si="40"/>
        <v>0</v>
      </c>
      <c r="L226" s="12">
        <f t="shared" si="41"/>
        <v>1855</v>
      </c>
      <c r="M226" s="12" t="str">
        <f t="shared" si="42"/>
        <v/>
      </c>
      <c r="N226" s="12">
        <f t="shared" si="43"/>
        <v>1839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543</v>
      </c>
      <c r="D227" s="15" t="s">
        <v>45</v>
      </c>
      <c r="E227" s="11" t="s">
        <v>60</v>
      </c>
      <c r="F227" s="11" t="s">
        <v>544</v>
      </c>
      <c r="G227" s="12">
        <v>1855</v>
      </c>
      <c r="H227" s="12"/>
      <c r="I227" s="12"/>
      <c r="J227" s="12">
        <v>1845</v>
      </c>
      <c r="K227" s="12">
        <f t="shared" si="40"/>
        <v>0</v>
      </c>
      <c r="L227" s="12">
        <f t="shared" si="41"/>
        <v>1855</v>
      </c>
      <c r="M227" s="12" t="str">
        <f t="shared" si="42"/>
        <v/>
      </c>
      <c r="N227" s="12">
        <f t="shared" si="43"/>
        <v>1845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841</v>
      </c>
      <c r="D228" s="15" t="s">
        <v>59</v>
      </c>
      <c r="E228" s="11" t="s">
        <v>26</v>
      </c>
      <c r="F228" s="11" t="s">
        <v>842</v>
      </c>
      <c r="G228" s="12">
        <v>1857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10</v>
      </c>
      <c r="C229" s="11" t="s">
        <v>1205</v>
      </c>
      <c r="D229" s="11" t="s">
        <v>57</v>
      </c>
      <c r="E229" s="11" t="s">
        <v>60</v>
      </c>
      <c r="F229" s="11" t="s">
        <v>1206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908</v>
      </c>
      <c r="D230" s="15" t="s">
        <v>59</v>
      </c>
      <c r="E230" s="11" t="s">
        <v>26</v>
      </c>
      <c r="F230" s="11" t="s">
        <v>909</v>
      </c>
      <c r="G230" s="12">
        <v>1857</v>
      </c>
      <c r="H230" s="12"/>
      <c r="I230" s="12"/>
      <c r="J230" s="12">
        <v>1846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1846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6</v>
      </c>
      <c r="C231" s="11" t="s">
        <v>402</v>
      </c>
      <c r="D231" s="15" t="s">
        <v>59</v>
      </c>
      <c r="E231" s="11" t="s">
        <v>60</v>
      </c>
      <c r="F231" s="11" t="s">
        <v>403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726</v>
      </c>
      <c r="D232" s="15" t="s">
        <v>78</v>
      </c>
      <c r="E232" s="11" t="s">
        <v>60</v>
      </c>
      <c r="F232" s="11" t="s">
        <v>728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1536</v>
      </c>
      <c r="D233" s="11" t="s">
        <v>93</v>
      </c>
      <c r="E233" s="11" t="s">
        <v>60</v>
      </c>
      <c r="F233" s="11" t="s">
        <v>1537</v>
      </c>
      <c r="G233" s="12">
        <v>1859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1076</v>
      </c>
      <c r="D234" s="11" t="s">
        <v>57</v>
      </c>
      <c r="E234" s="11" t="s">
        <v>26</v>
      </c>
      <c r="F234" s="11" t="s">
        <v>1077</v>
      </c>
      <c r="G234" s="12">
        <v>1859</v>
      </c>
      <c r="H234" s="12"/>
      <c r="I234" s="12"/>
      <c r="J234" s="12">
        <v>1847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761</v>
      </c>
      <c r="D235" s="11" t="s">
        <v>57</v>
      </c>
      <c r="E235" s="11" t="s">
        <v>26</v>
      </c>
      <c r="F235" s="11" t="s">
        <v>762</v>
      </c>
      <c r="G235" s="12">
        <v>1859</v>
      </c>
      <c r="H235" s="12"/>
      <c r="I235" s="12"/>
      <c r="J235" s="12">
        <v>1849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7" customFormat="1" ht="28.5" customHeight="1">
      <c r="A236" s="11" t="str">
        <f t="shared" si="39"/>
        <v/>
      </c>
      <c r="B236" s="11" t="s">
        <v>6</v>
      </c>
      <c r="C236" s="11" t="s">
        <v>814</v>
      </c>
      <c r="D236" s="11" t="s">
        <v>57</v>
      </c>
      <c r="E236" s="11" t="s">
        <v>26</v>
      </c>
      <c r="F236" s="11" t="s">
        <v>815</v>
      </c>
      <c r="G236" s="12">
        <v>1859</v>
      </c>
      <c r="H236" s="12"/>
      <c r="I236" s="12"/>
      <c r="J236" s="12">
        <v>1859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1859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635</v>
      </c>
      <c r="D237" s="11" t="s">
        <v>57</v>
      </c>
      <c r="E237" s="11" t="s">
        <v>26</v>
      </c>
      <c r="F237" s="11" t="s">
        <v>636</v>
      </c>
      <c r="G237" s="12">
        <v>1860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10</v>
      </c>
      <c r="C238" s="11" t="s">
        <v>830</v>
      </c>
      <c r="D238" s="15" t="s">
        <v>78</v>
      </c>
      <c r="E238" s="11" t="s">
        <v>60</v>
      </c>
      <c r="F238" s="11" t="s">
        <v>831</v>
      </c>
      <c r="G238" s="12">
        <v>1866</v>
      </c>
      <c r="H238" s="12"/>
      <c r="I238" s="12"/>
      <c r="J238" s="12">
        <v>1846</v>
      </c>
      <c r="K238" s="12">
        <f t="shared" si="40"/>
        <v>0</v>
      </c>
      <c r="L238" s="12">
        <f t="shared" si="41"/>
        <v>1866</v>
      </c>
      <c r="M238" s="12" t="str">
        <f t="shared" si="42"/>
        <v/>
      </c>
      <c r="N238" s="12">
        <f t="shared" si="43"/>
        <v>1846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666</v>
      </c>
      <c r="D239" s="11" t="s">
        <v>57</v>
      </c>
      <c r="E239" s="11" t="s">
        <v>26</v>
      </c>
      <c r="F239" s="11" t="s">
        <v>667</v>
      </c>
      <c r="G239" s="12">
        <v>1867</v>
      </c>
      <c r="H239" s="12"/>
      <c r="I239" s="12"/>
      <c r="J239" s="12">
        <v>1837</v>
      </c>
      <c r="K239" s="12">
        <f t="shared" si="40"/>
        <v>0</v>
      </c>
      <c r="L239" s="12">
        <f t="shared" si="41"/>
        <v>1867</v>
      </c>
      <c r="M239" s="12" t="str">
        <f t="shared" si="42"/>
        <v/>
      </c>
      <c r="N239" s="12">
        <f t="shared" si="43"/>
        <v>1837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503</v>
      </c>
      <c r="D240" s="15" t="s">
        <v>45</v>
      </c>
      <c r="E240" s="11" t="s">
        <v>60</v>
      </c>
      <c r="F240" s="11" t="s">
        <v>504</v>
      </c>
      <c r="G240" s="12">
        <v>1869</v>
      </c>
      <c r="H240" s="12"/>
      <c r="I240" s="12"/>
      <c r="J240" s="12">
        <v>1849</v>
      </c>
      <c r="K240" s="12">
        <f t="shared" si="40"/>
        <v>0</v>
      </c>
      <c r="L240" s="12">
        <f t="shared" si="41"/>
        <v>1869</v>
      </c>
      <c r="M240" s="12" t="str">
        <f t="shared" si="42"/>
        <v/>
      </c>
      <c r="N240" s="12">
        <f t="shared" si="43"/>
        <v>1849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960</v>
      </c>
      <c r="D241" s="11" t="s">
        <v>57</v>
      </c>
      <c r="E241" s="11" t="s">
        <v>26</v>
      </c>
      <c r="F241" s="11" t="s">
        <v>963</v>
      </c>
      <c r="G241" s="12">
        <v>1869</v>
      </c>
      <c r="H241" s="12"/>
      <c r="I241" s="12"/>
      <c r="J241" s="12">
        <v>1859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1859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438</v>
      </c>
      <c r="D242" s="15" t="s">
        <v>59</v>
      </c>
      <c r="E242" s="11" t="s">
        <v>60</v>
      </c>
      <c r="F242" s="11" t="s">
        <v>439</v>
      </c>
      <c r="G242" s="12">
        <v>1869</v>
      </c>
      <c r="H242" s="12"/>
      <c r="I242" s="12"/>
      <c r="J242" s="12">
        <v>1869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1869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990</v>
      </c>
      <c r="D243" s="11" t="s">
        <v>93</v>
      </c>
      <c r="E243" s="11" t="s">
        <v>26</v>
      </c>
      <c r="F243" s="11" t="s">
        <v>991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1278</v>
      </c>
      <c r="D244" s="15" t="s">
        <v>78</v>
      </c>
      <c r="E244" s="11" t="s">
        <v>60</v>
      </c>
      <c r="F244" s="11" t="s">
        <v>1279</v>
      </c>
      <c r="G244" s="12">
        <v>1869</v>
      </c>
      <c r="H244" s="12"/>
      <c r="I244" s="12"/>
      <c r="J244" s="12">
        <v>1870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1870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1598</v>
      </c>
      <c r="D245" s="15" t="s">
        <v>59</v>
      </c>
      <c r="E245" s="11" t="s">
        <v>60</v>
      </c>
      <c r="F245" s="11" t="s">
        <v>1599</v>
      </c>
      <c r="G245" s="12">
        <v>1879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10</v>
      </c>
      <c r="C246" s="11" t="s">
        <v>1063</v>
      </c>
      <c r="D246" s="15" t="s">
        <v>59</v>
      </c>
      <c r="E246" s="11" t="s">
        <v>60</v>
      </c>
      <c r="F246" s="11" t="s">
        <v>1064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1369</v>
      </c>
      <c r="D247" s="15" t="s">
        <v>45</v>
      </c>
      <c r="E247" s="11" t="s">
        <v>60</v>
      </c>
      <c r="F247" s="11" t="s">
        <v>1370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999</v>
      </c>
      <c r="D248" s="15" t="s">
        <v>45</v>
      </c>
      <c r="E248" s="11" t="s">
        <v>26</v>
      </c>
      <c r="F248" s="11" t="s">
        <v>1000</v>
      </c>
      <c r="G248" s="12">
        <v>1879</v>
      </c>
      <c r="H248" s="12"/>
      <c r="I248" s="12"/>
      <c r="J248" s="12">
        <v>1879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1879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1641</v>
      </c>
      <c r="D249" s="11" t="s">
        <v>57</v>
      </c>
      <c r="E249" s="11" t="s">
        <v>26</v>
      </c>
      <c r="F249" s="11" t="s">
        <v>1642</v>
      </c>
      <c r="G249" s="12">
        <v>1883</v>
      </c>
      <c r="H249" s="12"/>
      <c r="I249" s="12"/>
      <c r="J249" s="12">
        <v>1874</v>
      </c>
      <c r="K249" s="12">
        <f t="shared" si="40"/>
        <v>0</v>
      </c>
      <c r="L249" s="12">
        <f t="shared" si="41"/>
        <v>1883</v>
      </c>
      <c r="M249" s="12" t="str">
        <f t="shared" si="42"/>
        <v/>
      </c>
      <c r="N249" s="12">
        <f t="shared" si="43"/>
        <v>1874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1421</v>
      </c>
      <c r="D250" s="15" t="s">
        <v>45</v>
      </c>
      <c r="E250" s="11" t="s">
        <v>26</v>
      </c>
      <c r="F250" s="11" t="s">
        <v>1422</v>
      </c>
      <c r="G250" s="12">
        <v>1884</v>
      </c>
      <c r="H250" s="12"/>
      <c r="I250" s="12"/>
      <c r="J250" s="12">
        <v>1873</v>
      </c>
      <c r="K250" s="12">
        <f t="shared" si="40"/>
        <v>0</v>
      </c>
      <c r="L250" s="12">
        <f t="shared" si="41"/>
        <v>1884</v>
      </c>
      <c r="M250" s="12" t="str">
        <f t="shared" si="42"/>
        <v/>
      </c>
      <c r="N250" s="12">
        <f t="shared" si="43"/>
        <v>1873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855</v>
      </c>
      <c r="D251" s="15" t="s">
        <v>78</v>
      </c>
      <c r="E251" s="11" t="s">
        <v>26</v>
      </c>
      <c r="F251" s="11" t="s">
        <v>856</v>
      </c>
      <c r="G251" s="12">
        <v>1885</v>
      </c>
      <c r="H251" s="12"/>
      <c r="I251" s="12"/>
      <c r="J251" s="12">
        <v>1875</v>
      </c>
      <c r="K251" s="12">
        <f t="shared" si="40"/>
        <v>0</v>
      </c>
      <c r="L251" s="12">
        <f t="shared" si="41"/>
        <v>1885</v>
      </c>
      <c r="M251" s="12" t="str">
        <f t="shared" si="42"/>
        <v/>
      </c>
      <c r="N251" s="12">
        <f t="shared" si="43"/>
        <v>1875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900</v>
      </c>
      <c r="D252" s="11" t="s">
        <v>57</v>
      </c>
      <c r="E252" s="11" t="s">
        <v>26</v>
      </c>
      <c r="F252" s="11" t="s">
        <v>901</v>
      </c>
      <c r="G252" s="12">
        <v>1889</v>
      </c>
      <c r="H252" s="12"/>
      <c r="I252" s="12"/>
      <c r="J252" s="12">
        <v>1899</v>
      </c>
      <c r="K252" s="12">
        <f t="shared" si="40"/>
        <v>0</v>
      </c>
      <c r="L252" s="12">
        <f t="shared" si="41"/>
        <v>1889</v>
      </c>
      <c r="M252" s="12" t="str">
        <f t="shared" si="42"/>
        <v/>
      </c>
      <c r="N252" s="12">
        <f t="shared" si="43"/>
        <v>1899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1720</v>
      </c>
      <c r="D253" s="15" t="s">
        <v>45</v>
      </c>
      <c r="E253" s="11" t="s">
        <v>26</v>
      </c>
      <c r="F253" s="11" t="s">
        <v>1721</v>
      </c>
      <c r="G253" s="12">
        <v>1890</v>
      </c>
      <c r="H253" s="12"/>
      <c r="I253" s="12"/>
      <c r="J253" s="12">
        <v>1870</v>
      </c>
      <c r="K253" s="12">
        <f t="shared" si="40"/>
        <v>0</v>
      </c>
      <c r="L253" s="12">
        <f t="shared" si="41"/>
        <v>1890</v>
      </c>
      <c r="M253" s="12" t="str">
        <f t="shared" si="42"/>
        <v/>
      </c>
      <c r="N253" s="12">
        <f t="shared" si="43"/>
        <v>1870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16</v>
      </c>
      <c r="C254" s="11" t="s">
        <v>174</v>
      </c>
      <c r="D254" s="15" t="s">
        <v>78</v>
      </c>
      <c r="E254" s="11" t="s">
        <v>26</v>
      </c>
      <c r="F254" s="11" t="s">
        <v>175</v>
      </c>
      <c r="G254" s="12">
        <v>1830</v>
      </c>
      <c r="H254" s="12"/>
      <c r="I254" s="12"/>
      <c r="J254" s="12">
        <v>1790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1147</v>
      </c>
      <c r="D255" s="15" t="s">
        <v>59</v>
      </c>
      <c r="E255" s="11" t="s">
        <v>26</v>
      </c>
      <c r="F255" s="11" t="s">
        <v>1148</v>
      </c>
      <c r="G255" s="12">
        <v>1830</v>
      </c>
      <c r="H255" s="12"/>
      <c r="I255" s="12"/>
      <c r="J255" s="12">
        <v>1799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1799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1672</v>
      </c>
      <c r="D256" s="15" t="s">
        <v>45</v>
      </c>
      <c r="E256" s="11" t="s">
        <v>26</v>
      </c>
      <c r="F256" s="11" t="s">
        <v>1673</v>
      </c>
      <c r="G256" s="12">
        <v>1830</v>
      </c>
      <c r="H256" s="12"/>
      <c r="I256" s="12"/>
      <c r="J256" s="12">
        <v>1810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1810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1246</v>
      </c>
      <c r="D257" s="11" t="s">
        <v>57</v>
      </c>
      <c r="E257" s="11" t="s">
        <v>60</v>
      </c>
      <c r="F257" s="11" t="s">
        <v>1247</v>
      </c>
      <c r="G257" s="12">
        <v>1895</v>
      </c>
      <c r="H257" s="12"/>
      <c r="I257" s="12"/>
      <c r="J257" s="12">
        <v>1854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1854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1248</v>
      </c>
      <c r="D258" s="15" t="s">
        <v>45</v>
      </c>
      <c r="E258" s="11" t="s">
        <v>60</v>
      </c>
      <c r="F258" s="11" t="s">
        <v>1249</v>
      </c>
      <c r="G258" s="12">
        <v>1895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1009</v>
      </c>
      <c r="D259" s="11" t="s">
        <v>57</v>
      </c>
      <c r="E259" s="11" t="s">
        <v>26</v>
      </c>
      <c r="F259" s="11" t="s">
        <v>1010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415</v>
      </c>
      <c r="D260" s="11" t="s">
        <v>57</v>
      </c>
      <c r="E260" s="11" t="s">
        <v>60</v>
      </c>
      <c r="F260" s="11" t="s">
        <v>417</v>
      </c>
      <c r="G260" s="12">
        <v>1895</v>
      </c>
      <c r="H260" s="12"/>
      <c r="I260" s="12"/>
      <c r="J260" s="12">
        <v>1885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1885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7" customFormat="1" ht="28.5" customHeight="1">
      <c r="A261" s="11" t="str">
        <f t="shared" si="39"/>
        <v/>
      </c>
      <c r="B261" s="11" t="s">
        <v>6</v>
      </c>
      <c r="C261" s="11" t="s">
        <v>1244</v>
      </c>
      <c r="D261" s="11" t="s">
        <v>57</v>
      </c>
      <c r="E261" s="11" t="s">
        <v>26</v>
      </c>
      <c r="F261" s="11" t="s">
        <v>1245</v>
      </c>
      <c r="G261" s="12">
        <v>1895</v>
      </c>
      <c r="H261" s="12"/>
      <c r="I261" s="12"/>
      <c r="J261" s="12">
        <v>1895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1895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1695</v>
      </c>
      <c r="D262" s="11" t="s">
        <v>57</v>
      </c>
      <c r="E262" s="11" t="s">
        <v>26</v>
      </c>
      <c r="F262" s="11" t="s">
        <v>1696</v>
      </c>
      <c r="G262" s="12">
        <v>1898</v>
      </c>
      <c r="H262" s="12"/>
      <c r="I262" s="12"/>
      <c r="J262" s="12">
        <v>1898</v>
      </c>
      <c r="K262" s="12">
        <f t="shared" si="40"/>
        <v>0</v>
      </c>
      <c r="L262" s="12">
        <f t="shared" si="41"/>
        <v>1898</v>
      </c>
      <c r="M262" s="12" t="str">
        <f t="shared" si="42"/>
        <v/>
      </c>
      <c r="N262" s="12">
        <f t="shared" si="43"/>
        <v>1898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1518</v>
      </c>
      <c r="D263" s="15" t="s">
        <v>78</v>
      </c>
      <c r="E263" s="11" t="s">
        <v>26</v>
      </c>
      <c r="F263" s="11" t="s">
        <v>1519</v>
      </c>
      <c r="G263" s="12">
        <v>1899</v>
      </c>
      <c r="H263" s="12"/>
      <c r="I263" s="12"/>
      <c r="J263" s="12">
        <v>1834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1834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62</v>
      </c>
      <c r="D264" s="15" t="s">
        <v>59</v>
      </c>
      <c r="E264" s="11" t="s">
        <v>60</v>
      </c>
      <c r="F264" s="11" t="s">
        <v>63</v>
      </c>
      <c r="G264" s="12">
        <v>1899</v>
      </c>
      <c r="H264" s="12"/>
      <c r="I264" s="12"/>
      <c r="J264" s="12">
        <v>1873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1873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766</v>
      </c>
      <c r="D265" s="15" t="s">
        <v>45</v>
      </c>
      <c r="E265" s="11" t="s">
        <v>26</v>
      </c>
      <c r="F265" s="11" t="s">
        <v>767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1534</v>
      </c>
      <c r="D266" s="15" t="s">
        <v>45</v>
      </c>
      <c r="E266" s="11" t="s">
        <v>60</v>
      </c>
      <c r="F266" s="11" t="s">
        <v>1535</v>
      </c>
      <c r="G266" s="12">
        <v>1899</v>
      </c>
      <c r="H266" s="12"/>
      <c r="I266" s="12"/>
      <c r="J266" s="12">
        <v>1889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1889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1600</v>
      </c>
      <c r="D267" s="15" t="s">
        <v>45</v>
      </c>
      <c r="E267" s="11" t="s">
        <v>60</v>
      </c>
      <c r="F267" s="11" t="s">
        <v>1601</v>
      </c>
      <c r="G267" s="12">
        <v>1899</v>
      </c>
      <c r="H267" s="12"/>
      <c r="I267" s="12"/>
      <c r="J267" s="12">
        <v>1898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914</v>
      </c>
      <c r="D268" s="15" t="s">
        <v>45</v>
      </c>
      <c r="E268" s="11" t="s">
        <v>26</v>
      </c>
      <c r="F268" s="11" t="s">
        <v>915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1171</v>
      </c>
      <c r="D269" s="11" t="s">
        <v>57</v>
      </c>
      <c r="E269" s="11" t="s">
        <v>60</v>
      </c>
      <c r="F269" s="11" t="s">
        <v>1172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1173</v>
      </c>
      <c r="D270" s="15" t="s">
        <v>78</v>
      </c>
      <c r="E270" s="11" t="s">
        <v>60</v>
      </c>
      <c r="F270" s="11" t="s">
        <v>1174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IF($T271="","",1+COUNTIF($W$15:$W$882,"&lt;"&amp;W271))</f>
        <v/>
      </c>
      <c r="B271" s="11" t="s">
        <v>16</v>
      </c>
      <c r="C271" s="11" t="s">
        <v>663</v>
      </c>
      <c r="D271" s="15" t="s">
        <v>59</v>
      </c>
      <c r="E271" s="11" t="s">
        <v>26</v>
      </c>
      <c r="F271" s="11" t="s">
        <v>664</v>
      </c>
      <c r="G271" s="12">
        <v>1837</v>
      </c>
      <c r="H271" s="12"/>
      <c r="I271" s="12"/>
      <c r="J271" s="12">
        <v>1805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1837</v>
      </c>
      <c r="M271" s="12" t="str">
        <f t="shared" ref="M271:M334" si="55">IF($H271="","",$H271+$K271)</f>
        <v/>
      </c>
      <c r="N271" s="12">
        <f t="shared" ref="N271:N334" si="56">IF($J271="","",$J271+$K271)</f>
        <v>1805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16</v>
      </c>
      <c r="C272" s="11" t="s">
        <v>715</v>
      </c>
      <c r="D272" s="11" t="s">
        <v>57</v>
      </c>
      <c r="E272" s="11" t="s">
        <v>26</v>
      </c>
      <c r="F272" s="11" t="s">
        <v>716</v>
      </c>
      <c r="G272" s="12">
        <v>1839</v>
      </c>
      <c r="H272" s="12"/>
      <c r="I272" s="12"/>
      <c r="J272" s="12">
        <v>1809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1809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12</v>
      </c>
      <c r="C273" s="11" t="s">
        <v>1471</v>
      </c>
      <c r="D273" s="15" t="s">
        <v>59</v>
      </c>
      <c r="E273" s="11" t="s">
        <v>26</v>
      </c>
      <c r="F273" s="11" t="s">
        <v>1472</v>
      </c>
      <c r="G273" s="12">
        <v>1799</v>
      </c>
      <c r="H273" s="12"/>
      <c r="I273" s="12"/>
      <c r="J273" s="12">
        <v>1794</v>
      </c>
      <c r="K273" s="12">
        <f t="shared" si="53"/>
        <v>0</v>
      </c>
      <c r="L273" s="12">
        <f t="shared" si="54"/>
        <v>1799</v>
      </c>
      <c r="M273" s="12" t="str">
        <f t="shared" si="55"/>
        <v/>
      </c>
      <c r="N273" s="12">
        <f t="shared" si="56"/>
        <v>1794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16</v>
      </c>
      <c r="C274" s="11" t="s">
        <v>474</v>
      </c>
      <c r="D274" s="15" t="s">
        <v>45</v>
      </c>
      <c r="E274" s="11" t="s">
        <v>26</v>
      </c>
      <c r="F274" s="11" t="s">
        <v>475</v>
      </c>
      <c r="G274" s="12">
        <v>1840</v>
      </c>
      <c r="H274" s="12"/>
      <c r="I274" s="12"/>
      <c r="J274" s="12">
        <v>1817</v>
      </c>
      <c r="K274" s="12">
        <f t="shared" si="53"/>
        <v>0</v>
      </c>
      <c r="L274" s="12">
        <f t="shared" si="54"/>
        <v>1840</v>
      </c>
      <c r="M274" s="12" t="str">
        <f t="shared" si="55"/>
        <v/>
      </c>
      <c r="N274" s="12">
        <f t="shared" si="56"/>
        <v>1817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896</v>
      </c>
      <c r="D275" s="15" t="s">
        <v>45</v>
      </c>
      <c r="E275" s="11" t="s">
        <v>26</v>
      </c>
      <c r="F275" s="11" t="s">
        <v>897</v>
      </c>
      <c r="G275" s="12">
        <v>1840</v>
      </c>
      <c r="H275" s="12"/>
      <c r="I275" s="12"/>
      <c r="J275" s="12">
        <v>1820</v>
      </c>
      <c r="K275" s="12">
        <f t="shared" si="53"/>
        <v>0</v>
      </c>
      <c r="L275" s="12">
        <f t="shared" si="54"/>
        <v>1840</v>
      </c>
      <c r="M275" s="12" t="str">
        <f t="shared" si="55"/>
        <v/>
      </c>
      <c r="N275" s="12">
        <f t="shared" si="56"/>
        <v>1820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799</v>
      </c>
      <c r="D276" s="15" t="s">
        <v>59</v>
      </c>
      <c r="E276" s="11" t="s">
        <v>60</v>
      </c>
      <c r="F276" s="11" t="s">
        <v>801</v>
      </c>
      <c r="G276" s="12">
        <v>1909</v>
      </c>
      <c r="H276" s="12"/>
      <c r="I276" s="12"/>
      <c r="J276" s="12">
        <v>1909</v>
      </c>
      <c r="K276" s="12">
        <f t="shared" si="53"/>
        <v>0</v>
      </c>
      <c r="L276" s="12">
        <f t="shared" si="54"/>
        <v>1909</v>
      </c>
      <c r="M276" s="12" t="str">
        <f t="shared" si="55"/>
        <v/>
      </c>
      <c r="N276" s="12">
        <f t="shared" si="56"/>
        <v>1909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619</v>
      </c>
      <c r="D277" s="11" t="s">
        <v>57</v>
      </c>
      <c r="E277" s="11" t="s">
        <v>26</v>
      </c>
      <c r="F277" s="11" t="s">
        <v>620</v>
      </c>
      <c r="G277" s="12">
        <v>1844</v>
      </c>
      <c r="H277" s="12"/>
      <c r="I277" s="12"/>
      <c r="J277" s="12">
        <v>1814</v>
      </c>
      <c r="K277" s="12">
        <f t="shared" si="53"/>
        <v>0</v>
      </c>
      <c r="L277" s="12">
        <f t="shared" si="54"/>
        <v>1844</v>
      </c>
      <c r="M277" s="12" t="str">
        <f t="shared" si="55"/>
        <v/>
      </c>
      <c r="N277" s="12">
        <f t="shared" si="56"/>
        <v>1814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472</v>
      </c>
      <c r="D278" s="15" t="s">
        <v>45</v>
      </c>
      <c r="E278" s="11" t="s">
        <v>26</v>
      </c>
      <c r="F278" s="11" t="s">
        <v>473</v>
      </c>
      <c r="G278" s="12">
        <v>1849</v>
      </c>
      <c r="H278" s="12"/>
      <c r="I278" s="12"/>
      <c r="J278" s="12">
        <v>1835</v>
      </c>
      <c r="K278" s="12">
        <f t="shared" si="53"/>
        <v>0</v>
      </c>
      <c r="L278" s="12">
        <f t="shared" si="54"/>
        <v>1849</v>
      </c>
      <c r="M278" s="12" t="str">
        <f t="shared" si="55"/>
        <v/>
      </c>
      <c r="N278" s="12">
        <f t="shared" si="56"/>
        <v>1835</v>
      </c>
      <c r="O278" s="12" t="str">
        <f t="shared" si="57"/>
        <v/>
      </c>
      <c r="P278" s="12" t="str">
        <f t="shared" si="58"/>
        <v/>
      </c>
      <c r="Q278" s="11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18</v>
      </c>
      <c r="C279" s="11" t="s">
        <v>1039</v>
      </c>
      <c r="D279" s="15" t="s">
        <v>45</v>
      </c>
      <c r="E279" s="11" t="s">
        <v>60</v>
      </c>
      <c r="F279" s="11" t="s">
        <v>1040</v>
      </c>
      <c r="G279" s="12">
        <v>1849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1849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568</v>
      </c>
      <c r="D280" s="15" t="s">
        <v>78</v>
      </c>
      <c r="E280" s="11" t="s">
        <v>26</v>
      </c>
      <c r="F280" s="11" t="s">
        <v>569</v>
      </c>
      <c r="G280" s="12">
        <v>1809</v>
      </c>
      <c r="H280" s="12"/>
      <c r="I280" s="12"/>
      <c r="J280" s="12">
        <v>1809</v>
      </c>
      <c r="K280" s="12">
        <f t="shared" si="53"/>
        <v>0</v>
      </c>
      <c r="L280" s="12">
        <f t="shared" si="54"/>
        <v>1809</v>
      </c>
      <c r="M280" s="12" t="str">
        <f t="shared" si="55"/>
        <v/>
      </c>
      <c r="N280" s="12">
        <f t="shared" si="56"/>
        <v>1809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411</v>
      </c>
      <c r="D281" s="15" t="s">
        <v>59</v>
      </c>
      <c r="E281" s="11" t="s">
        <v>26</v>
      </c>
      <c r="F281" s="11" t="s">
        <v>412</v>
      </c>
      <c r="G281" s="12">
        <v>1852</v>
      </c>
      <c r="H281" s="12"/>
      <c r="I281" s="12"/>
      <c r="J281" s="12">
        <v>1812</v>
      </c>
      <c r="K281" s="12">
        <f t="shared" si="53"/>
        <v>0</v>
      </c>
      <c r="L281" s="12">
        <f t="shared" si="54"/>
        <v>1852</v>
      </c>
      <c r="M281" s="12" t="str">
        <f t="shared" si="55"/>
        <v/>
      </c>
      <c r="N281" s="12">
        <f t="shared" si="56"/>
        <v>1812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18</v>
      </c>
      <c r="C282" s="11" t="s">
        <v>976</v>
      </c>
      <c r="D282" s="11" t="s">
        <v>57</v>
      </c>
      <c r="E282" s="11" t="s">
        <v>26</v>
      </c>
      <c r="F282" s="11" t="s">
        <v>977</v>
      </c>
      <c r="G282" s="12">
        <v>1852</v>
      </c>
      <c r="H282" s="12"/>
      <c r="I282" s="12"/>
      <c r="J282" s="12">
        <v>1832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1832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97</v>
      </c>
      <c r="D283" s="15" t="s">
        <v>45</v>
      </c>
      <c r="E283" s="11" t="s">
        <v>26</v>
      </c>
      <c r="F283" s="11" t="s">
        <v>98</v>
      </c>
      <c r="G283" s="12">
        <v>1812</v>
      </c>
      <c r="H283" s="12"/>
      <c r="I283" s="12"/>
      <c r="J283" s="12">
        <v>1812</v>
      </c>
      <c r="K283" s="12">
        <f t="shared" si="53"/>
        <v>0</v>
      </c>
      <c r="L283" s="12">
        <f t="shared" si="54"/>
        <v>1812</v>
      </c>
      <c r="M283" s="12" t="str">
        <f t="shared" si="55"/>
        <v/>
      </c>
      <c r="N283" s="12">
        <f t="shared" si="56"/>
        <v>1812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5" t="s">
        <v>778</v>
      </c>
      <c r="D284" s="15" t="s">
        <v>45</v>
      </c>
      <c r="E284" s="11" t="s">
        <v>60</v>
      </c>
      <c r="F284" s="11" t="s">
        <v>779</v>
      </c>
      <c r="G284" s="12">
        <v>1855</v>
      </c>
      <c r="H284" s="12"/>
      <c r="I284" s="12"/>
      <c r="J284" s="12">
        <v>1835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1835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1473</v>
      </c>
      <c r="D285" s="15" t="s">
        <v>78</v>
      </c>
      <c r="E285" s="11" t="s">
        <v>60</v>
      </c>
      <c r="F285" s="11" t="s">
        <v>1474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1860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1860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992</v>
      </c>
      <c r="D287" s="15" t="s">
        <v>45</v>
      </c>
      <c r="E287" s="11" t="s">
        <v>26</v>
      </c>
      <c r="F287" s="11" t="s">
        <v>993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972</v>
      </c>
      <c r="D288" s="15" t="s">
        <v>78</v>
      </c>
      <c r="E288" s="11" t="s">
        <v>60</v>
      </c>
      <c r="F288" s="11" t="s">
        <v>973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1071</v>
      </c>
      <c r="D289" s="15" t="s">
        <v>45</v>
      </c>
      <c r="E289" s="11" t="s">
        <v>60</v>
      </c>
      <c r="F289" s="11" t="s">
        <v>1072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1314</v>
      </c>
      <c r="D291" s="15" t="s">
        <v>78</v>
      </c>
      <c r="E291" s="11" t="s">
        <v>60</v>
      </c>
      <c r="F291" s="11" t="s">
        <v>1315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1143</v>
      </c>
      <c r="D293" s="11" t="s">
        <v>57</v>
      </c>
      <c r="E293" s="11" t="s">
        <v>60</v>
      </c>
      <c r="F293" s="11" t="s">
        <v>1144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1506</v>
      </c>
      <c r="D294" s="15" t="s">
        <v>59</v>
      </c>
      <c r="E294" s="11" t="s">
        <v>60</v>
      </c>
      <c r="F294" s="11" t="s">
        <v>1507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1256</v>
      </c>
      <c r="D296" s="15" t="s">
        <v>45</v>
      </c>
      <c r="E296" s="11" t="s">
        <v>26</v>
      </c>
      <c r="F296" s="11" t="s">
        <v>1257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968</v>
      </c>
      <c r="D297" s="15" t="s">
        <v>78</v>
      </c>
      <c r="E297" s="11" t="s">
        <v>26</v>
      </c>
      <c r="F297" s="11" t="s">
        <v>969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1586</v>
      </c>
      <c r="D300" s="15" t="s">
        <v>57</v>
      </c>
      <c r="E300" s="11" t="s">
        <v>26</v>
      </c>
      <c r="F300" s="11" t="s">
        <v>1587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1361</v>
      </c>
      <c r="D301" s="11" t="s">
        <v>57</v>
      </c>
      <c r="E301" s="11" t="s">
        <v>26</v>
      </c>
      <c r="F301" s="11" t="s">
        <v>1362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1661</v>
      </c>
      <c r="D303" s="15" t="s">
        <v>78</v>
      </c>
      <c r="E303" s="11" t="s">
        <v>26</v>
      </c>
      <c r="F303" s="11" t="s">
        <v>1662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1177</v>
      </c>
      <c r="D304" s="11" t="s">
        <v>57</v>
      </c>
      <c r="E304" s="11" t="s">
        <v>60</v>
      </c>
      <c r="F304" s="11" t="s">
        <v>1178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795</v>
      </c>
      <c r="D306" s="15" t="s">
        <v>78</v>
      </c>
      <c r="E306" s="11" t="s">
        <v>60</v>
      </c>
      <c r="F306" s="11" t="s">
        <v>796</v>
      </c>
      <c r="G306" s="12">
        <v>1867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1867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1100</v>
      </c>
      <c r="D307" s="15" t="s">
        <v>78</v>
      </c>
      <c r="E307" s="11" t="s">
        <v>60</v>
      </c>
      <c r="F307" s="11" t="s">
        <v>1101</v>
      </c>
      <c r="G307" s="12">
        <v>1868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1868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16" customFormat="1" ht="28.5" customHeight="1">
      <c r="A308" s="11" t="str">
        <f t="shared" si="52"/>
        <v/>
      </c>
      <c r="B308" s="11" t="s">
        <v>12</v>
      </c>
      <c r="C308" s="11" t="s">
        <v>1359</v>
      </c>
      <c r="D308" s="15" t="s">
        <v>57</v>
      </c>
      <c r="E308" s="11" t="s">
        <v>26</v>
      </c>
      <c r="F308" s="11" t="s">
        <v>1360</v>
      </c>
      <c r="G308" s="12">
        <v>1827</v>
      </c>
      <c r="H308" s="12"/>
      <c r="I308" s="12"/>
      <c r="J308" s="12">
        <v>1827</v>
      </c>
      <c r="K308" s="12">
        <f t="shared" si="53"/>
        <v>0</v>
      </c>
      <c r="L308" s="12">
        <f t="shared" si="54"/>
        <v>1827</v>
      </c>
      <c r="M308" s="12" t="str">
        <f t="shared" si="55"/>
        <v/>
      </c>
      <c r="N308" s="12">
        <f t="shared" si="56"/>
        <v>1827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16</v>
      </c>
      <c r="C309" s="11" t="s">
        <v>1645</v>
      </c>
      <c r="D309" s="15" t="s">
        <v>78</v>
      </c>
      <c r="E309" s="11" t="s">
        <v>60</v>
      </c>
      <c r="F309" s="11" t="s">
        <v>1646</v>
      </c>
      <c r="G309" s="12">
        <v>1869</v>
      </c>
      <c r="H309" s="12"/>
      <c r="I309" s="12"/>
      <c r="J309" s="12">
        <v>1849</v>
      </c>
      <c r="K309" s="12">
        <f t="shared" si="53"/>
        <v>0</v>
      </c>
      <c r="L309" s="12">
        <f t="shared" si="54"/>
        <v>1869</v>
      </c>
      <c r="M309" s="12" t="str">
        <f t="shared" si="55"/>
        <v/>
      </c>
      <c r="N309" s="12">
        <f t="shared" si="56"/>
        <v>1849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18</v>
      </c>
      <c r="C310" s="11" t="s">
        <v>878</v>
      </c>
      <c r="D310" s="11" t="s">
        <v>57</v>
      </c>
      <c r="E310" s="11" t="s">
        <v>26</v>
      </c>
      <c r="F310" s="11" t="s">
        <v>879</v>
      </c>
      <c r="G310" s="12">
        <v>1869</v>
      </c>
      <c r="H310" s="12"/>
      <c r="I310" s="12"/>
      <c r="J310" s="12">
        <v>1859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1859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864</v>
      </c>
      <c r="D311" s="15" t="s">
        <v>57</v>
      </c>
      <c r="E311" s="11" t="s">
        <v>26</v>
      </c>
      <c r="F311" s="11" t="s">
        <v>865</v>
      </c>
      <c r="G311" s="12">
        <v>1828</v>
      </c>
      <c r="H311" s="12"/>
      <c r="I311" s="12"/>
      <c r="J311" s="12">
        <v>1828</v>
      </c>
      <c r="K311" s="12">
        <f t="shared" si="53"/>
        <v>0</v>
      </c>
      <c r="L311" s="12">
        <f t="shared" si="54"/>
        <v>1828</v>
      </c>
      <c r="M311" s="12" t="str">
        <f t="shared" si="55"/>
        <v/>
      </c>
      <c r="N311" s="12">
        <f t="shared" si="56"/>
        <v>1828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16</v>
      </c>
      <c r="C312" s="11" t="s">
        <v>600</v>
      </c>
      <c r="D312" s="15" t="s">
        <v>78</v>
      </c>
      <c r="E312" s="11" t="s">
        <v>60</v>
      </c>
      <c r="F312" s="11" t="s">
        <v>601</v>
      </c>
      <c r="G312" s="12">
        <v>1870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1870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1357</v>
      </c>
      <c r="D313" s="15" t="s">
        <v>45</v>
      </c>
      <c r="E313" s="11" t="s">
        <v>26</v>
      </c>
      <c r="F313" s="11" t="s">
        <v>1358</v>
      </c>
      <c r="G313" s="12">
        <v>1870</v>
      </c>
      <c r="H313" s="12"/>
      <c r="I313" s="12"/>
      <c r="J313" s="12">
        <v>1840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1840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737</v>
      </c>
      <c r="D314" s="15" t="s">
        <v>59</v>
      </c>
      <c r="E314" s="11" t="s">
        <v>60</v>
      </c>
      <c r="F314" s="11" t="s">
        <v>738</v>
      </c>
      <c r="G314" s="12">
        <v>1870</v>
      </c>
      <c r="H314" s="12"/>
      <c r="I314" s="12"/>
      <c r="J314" s="12">
        <v>1850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1850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1484</v>
      </c>
      <c r="D315" s="15" t="s">
        <v>78</v>
      </c>
      <c r="E315" s="11" t="s">
        <v>60</v>
      </c>
      <c r="F315" s="11" t="s">
        <v>1485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1716</v>
      </c>
      <c r="D316" s="15" t="s">
        <v>78</v>
      </c>
      <c r="E316" s="11" t="s">
        <v>60</v>
      </c>
      <c r="F316" s="11" t="s">
        <v>1717</v>
      </c>
      <c r="G316" s="12">
        <v>1870</v>
      </c>
      <c r="H316" s="12"/>
      <c r="I316" s="12"/>
      <c r="J316" s="12">
        <v>1860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1860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916</v>
      </c>
      <c r="D317" s="15" t="s">
        <v>78</v>
      </c>
      <c r="E317" s="11" t="s">
        <v>60</v>
      </c>
      <c r="F317" s="11" t="s">
        <v>917</v>
      </c>
      <c r="G317" s="12">
        <v>1870</v>
      </c>
      <c r="H317" s="12"/>
      <c r="I317" s="12"/>
      <c r="J317" s="12">
        <v>1870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1870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1300</v>
      </c>
      <c r="D318" s="11" t="s">
        <v>57</v>
      </c>
      <c r="E318" s="11" t="s">
        <v>60</v>
      </c>
      <c r="F318" s="11" t="s">
        <v>1301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12</v>
      </c>
      <c r="C319" s="11" t="s">
        <v>711</v>
      </c>
      <c r="D319" s="15" t="s">
        <v>45</v>
      </c>
      <c r="E319" s="11" t="s">
        <v>26</v>
      </c>
      <c r="F319" s="11" t="s">
        <v>712</v>
      </c>
      <c r="G319" s="12">
        <v>1829</v>
      </c>
      <c r="H319" s="12"/>
      <c r="I319" s="12"/>
      <c r="J319" s="12">
        <v>1789</v>
      </c>
      <c r="K319" s="12">
        <f t="shared" si="53"/>
        <v>0</v>
      </c>
      <c r="L319" s="12">
        <f t="shared" si="54"/>
        <v>1829</v>
      </c>
      <c r="M319" s="12" t="str">
        <f t="shared" si="55"/>
        <v/>
      </c>
      <c r="N319" s="12">
        <f t="shared" si="56"/>
        <v>1789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12</v>
      </c>
      <c r="C320" s="11" t="s">
        <v>888</v>
      </c>
      <c r="D320" s="15" t="s">
        <v>57</v>
      </c>
      <c r="E320" s="11" t="s">
        <v>26</v>
      </c>
      <c r="F320" s="11" t="s">
        <v>889</v>
      </c>
      <c r="G320" s="12">
        <v>1829</v>
      </c>
      <c r="H320" s="12"/>
      <c r="I320" s="12"/>
      <c r="J320" s="12">
        <v>1819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1819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1213</v>
      </c>
      <c r="D321" s="11" t="s">
        <v>57</v>
      </c>
      <c r="E321" s="11" t="s">
        <v>60</v>
      </c>
      <c r="F321" s="11" t="s">
        <v>1214</v>
      </c>
      <c r="G321" s="12">
        <v>1938</v>
      </c>
      <c r="H321" s="12"/>
      <c r="I321" s="12"/>
      <c r="J321" s="12">
        <v>1898</v>
      </c>
      <c r="K321" s="12">
        <f t="shared" si="53"/>
        <v>0</v>
      </c>
      <c r="L321" s="12">
        <f t="shared" si="54"/>
        <v>1938</v>
      </c>
      <c r="M321" s="12" t="str">
        <f t="shared" si="55"/>
        <v/>
      </c>
      <c r="N321" s="12">
        <f t="shared" si="56"/>
        <v>1898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631</v>
      </c>
      <c r="D322" s="15" t="s">
        <v>45</v>
      </c>
      <c r="E322" s="11" t="s">
        <v>26</v>
      </c>
      <c r="F322" s="11" t="s">
        <v>632</v>
      </c>
      <c r="G322" s="12">
        <v>1872</v>
      </c>
      <c r="H322" s="12"/>
      <c r="I322" s="12"/>
      <c r="J322" s="12">
        <v>1862</v>
      </c>
      <c r="K322" s="12">
        <f t="shared" si="53"/>
        <v>0</v>
      </c>
      <c r="L322" s="12">
        <f t="shared" si="54"/>
        <v>1872</v>
      </c>
      <c r="M322" s="12" t="str">
        <f t="shared" si="55"/>
        <v/>
      </c>
      <c r="N322" s="12">
        <f t="shared" si="56"/>
        <v>1862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1590</v>
      </c>
      <c r="D323" s="15" t="s">
        <v>78</v>
      </c>
      <c r="E323" s="11" t="s">
        <v>60</v>
      </c>
      <c r="F323" s="11" t="s">
        <v>1591</v>
      </c>
      <c r="G323" s="12">
        <v>1939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1939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1019</v>
      </c>
      <c r="D324" s="15" t="s">
        <v>59</v>
      </c>
      <c r="E324" s="11" t="s">
        <v>60</v>
      </c>
      <c r="F324" s="11" t="s">
        <v>1020</v>
      </c>
      <c r="G324" s="12">
        <v>1940</v>
      </c>
      <c r="H324" s="12"/>
      <c r="I324" s="12"/>
      <c r="J324" s="12">
        <v>1930</v>
      </c>
      <c r="K324" s="12">
        <f t="shared" si="53"/>
        <v>0</v>
      </c>
      <c r="L324" s="12">
        <f t="shared" si="54"/>
        <v>1940</v>
      </c>
      <c r="M324" s="12" t="str">
        <f t="shared" si="55"/>
        <v/>
      </c>
      <c r="N324" s="12">
        <f t="shared" si="56"/>
        <v>1930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18</v>
      </c>
      <c r="C325" s="11" t="s">
        <v>1028</v>
      </c>
      <c r="D325" s="15" t="s">
        <v>78</v>
      </c>
      <c r="E325" s="11" t="s">
        <v>60</v>
      </c>
      <c r="F325" s="11" t="s">
        <v>1029</v>
      </c>
      <c r="G325" s="12">
        <v>1875</v>
      </c>
      <c r="H325" s="12"/>
      <c r="I325" s="12"/>
      <c r="J325" s="12">
        <v>1855</v>
      </c>
      <c r="K325" s="12">
        <f t="shared" si="53"/>
        <v>0</v>
      </c>
      <c r="L325" s="12">
        <f t="shared" si="54"/>
        <v>1875</v>
      </c>
      <c r="M325" s="12" t="str">
        <f t="shared" si="55"/>
        <v/>
      </c>
      <c r="N325" s="12">
        <f t="shared" si="56"/>
        <v>1855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1633</v>
      </c>
      <c r="D326" s="15" t="s">
        <v>59</v>
      </c>
      <c r="E326" s="11" t="s">
        <v>60</v>
      </c>
      <c r="F326" s="11" t="s">
        <v>1634</v>
      </c>
      <c r="G326" s="12">
        <v>1875</v>
      </c>
      <c r="H326" s="12"/>
      <c r="I326" s="12"/>
      <c r="J326" s="12">
        <v>1875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1875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338</v>
      </c>
      <c r="D327" s="15" t="s">
        <v>45</v>
      </c>
      <c r="E327" s="11" t="s">
        <v>26</v>
      </c>
      <c r="F327" s="11" t="s">
        <v>339</v>
      </c>
      <c r="G327" s="12">
        <v>1835</v>
      </c>
      <c r="H327" s="12"/>
      <c r="I327" s="12"/>
      <c r="J327" s="12">
        <v>1825</v>
      </c>
      <c r="K327" s="12">
        <f t="shared" si="53"/>
        <v>0</v>
      </c>
      <c r="L327" s="12">
        <f t="shared" si="54"/>
        <v>1835</v>
      </c>
      <c r="M327" s="12" t="str">
        <f t="shared" si="55"/>
        <v/>
      </c>
      <c r="N327" s="12">
        <f t="shared" si="56"/>
        <v>1825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1272</v>
      </c>
      <c r="D328" s="15" t="s">
        <v>78</v>
      </c>
      <c r="E328" s="11" t="s">
        <v>26</v>
      </c>
      <c r="F328" s="11" t="s">
        <v>1273</v>
      </c>
      <c r="G328" s="12">
        <v>1877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1877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670</v>
      </c>
      <c r="D329" s="15" t="s">
        <v>45</v>
      </c>
      <c r="E329" s="11" t="s">
        <v>60</v>
      </c>
      <c r="F329" s="11" t="s">
        <v>671</v>
      </c>
      <c r="G329" s="12">
        <v>1878</v>
      </c>
      <c r="H329" s="12"/>
      <c r="I329" s="12"/>
      <c r="J329" s="12">
        <v>1858</v>
      </c>
      <c r="K329" s="12">
        <f t="shared" si="53"/>
        <v>0</v>
      </c>
      <c r="L329" s="12">
        <f t="shared" si="54"/>
        <v>1878</v>
      </c>
      <c r="M329" s="12" t="str">
        <f t="shared" si="55"/>
        <v/>
      </c>
      <c r="N329" s="12">
        <f t="shared" si="56"/>
        <v>1858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1516</v>
      </c>
      <c r="D330" s="15" t="s">
        <v>59</v>
      </c>
      <c r="E330" s="11" t="s">
        <v>60</v>
      </c>
      <c r="F330" s="11" t="s">
        <v>1517</v>
      </c>
      <c r="G330" s="12">
        <v>1880</v>
      </c>
      <c r="H330" s="12"/>
      <c r="I330" s="12"/>
      <c r="J330" s="12">
        <v>1860</v>
      </c>
      <c r="K330" s="12">
        <f t="shared" si="53"/>
        <v>0</v>
      </c>
      <c r="L330" s="12">
        <f t="shared" si="54"/>
        <v>1880</v>
      </c>
      <c r="M330" s="12" t="str">
        <f t="shared" si="55"/>
        <v/>
      </c>
      <c r="N330" s="12">
        <f t="shared" si="56"/>
        <v>1860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14</v>
      </c>
      <c r="C331" s="11" t="s">
        <v>1059</v>
      </c>
      <c r="D331" s="11" t="s">
        <v>57</v>
      </c>
      <c r="E331" s="11" t="s">
        <v>26</v>
      </c>
      <c r="F331" s="11" t="s">
        <v>1060</v>
      </c>
      <c r="G331" s="12">
        <v>1839</v>
      </c>
      <c r="H331" s="12"/>
      <c r="I331" s="12"/>
      <c r="J331" s="12">
        <v>1809</v>
      </c>
      <c r="K331" s="12">
        <f t="shared" si="53"/>
        <v>0</v>
      </c>
      <c r="L331" s="12">
        <f t="shared" si="54"/>
        <v>1839</v>
      </c>
      <c r="M331" s="12" t="str">
        <f t="shared" si="55"/>
        <v/>
      </c>
      <c r="N331" s="12">
        <f t="shared" si="56"/>
        <v>1809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8</v>
      </c>
      <c r="C332" s="11" t="s">
        <v>956</v>
      </c>
      <c r="D332" s="15" t="s">
        <v>45</v>
      </c>
      <c r="E332" s="11" t="s">
        <v>26</v>
      </c>
      <c r="F332" s="11" t="s">
        <v>957</v>
      </c>
      <c r="G332" s="12">
        <v>1839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584</v>
      </c>
      <c r="D333" s="15" t="s">
        <v>78</v>
      </c>
      <c r="E333" s="11" t="s">
        <v>26</v>
      </c>
      <c r="F333" s="11" t="s">
        <v>585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857</v>
      </c>
      <c r="D334" s="11" t="s">
        <v>57</v>
      </c>
      <c r="E334" s="11" t="s">
        <v>26</v>
      </c>
      <c r="F334" s="11" t="s">
        <v>859</v>
      </c>
      <c r="G334" s="12">
        <v>1948</v>
      </c>
      <c r="H334" s="12"/>
      <c r="I334" s="12"/>
      <c r="J334" s="12">
        <v>1939</v>
      </c>
      <c r="K334" s="12">
        <f t="shared" si="53"/>
        <v>0</v>
      </c>
      <c r="L334" s="12">
        <f t="shared" si="54"/>
        <v>1948</v>
      </c>
      <c r="M334" s="12" t="str">
        <f t="shared" si="55"/>
        <v/>
      </c>
      <c r="N334" s="12">
        <f t="shared" si="56"/>
        <v>1939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10</v>
      </c>
      <c r="C335" s="11" t="s">
        <v>264</v>
      </c>
      <c r="D335" s="15" t="s">
        <v>78</v>
      </c>
      <c r="E335" s="11" t="s">
        <v>60</v>
      </c>
      <c r="F335" s="11" t="s">
        <v>265</v>
      </c>
      <c r="G335" s="12">
        <v>1948</v>
      </c>
      <c r="H335" s="12"/>
      <c r="I335" s="12"/>
      <c r="J335" s="12">
        <v>1948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1948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398</v>
      </c>
      <c r="D336" s="15" t="s">
        <v>45</v>
      </c>
      <c r="E336" s="11" t="s">
        <v>60</v>
      </c>
      <c r="F336" s="11" t="s">
        <v>399</v>
      </c>
      <c r="G336" s="12">
        <v>1949</v>
      </c>
      <c r="H336" s="12"/>
      <c r="I336" s="12"/>
      <c r="J336" s="12">
        <v>1939</v>
      </c>
      <c r="K336" s="12">
        <f t="shared" si="66"/>
        <v>0</v>
      </c>
      <c r="L336" s="12">
        <f t="shared" si="67"/>
        <v>1949</v>
      </c>
      <c r="M336" s="12" t="str">
        <f t="shared" si="68"/>
        <v/>
      </c>
      <c r="N336" s="12">
        <f t="shared" si="69"/>
        <v>1939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820</v>
      </c>
      <c r="D337" s="15" t="s">
        <v>59</v>
      </c>
      <c r="E337" s="11" t="s">
        <v>60</v>
      </c>
      <c r="F337" s="11" t="s">
        <v>821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12</v>
      </c>
      <c r="C338" s="11" t="s">
        <v>116</v>
      </c>
      <c r="D338" s="15" t="s">
        <v>45</v>
      </c>
      <c r="E338" s="11" t="s">
        <v>26</v>
      </c>
      <c r="F338" s="11" t="s">
        <v>117</v>
      </c>
      <c r="G338" s="12">
        <v>1844</v>
      </c>
      <c r="H338" s="12"/>
      <c r="I338" s="12"/>
      <c r="J338" s="12">
        <v>1813</v>
      </c>
      <c r="K338" s="12">
        <f t="shared" si="66"/>
        <v>0</v>
      </c>
      <c r="L338" s="12">
        <f t="shared" si="67"/>
        <v>1844</v>
      </c>
      <c r="M338" s="12" t="str">
        <f t="shared" si="68"/>
        <v/>
      </c>
      <c r="N338" s="12">
        <f t="shared" si="69"/>
        <v>1813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16</v>
      </c>
      <c r="C339" s="11" t="s">
        <v>637</v>
      </c>
      <c r="D339" s="15" t="s">
        <v>45</v>
      </c>
      <c r="E339" s="11" t="s">
        <v>26</v>
      </c>
      <c r="F339" s="11" t="s">
        <v>638</v>
      </c>
      <c r="G339" s="12">
        <v>1887</v>
      </c>
      <c r="H339" s="12"/>
      <c r="I339" s="12"/>
      <c r="J339" s="12">
        <v>1857</v>
      </c>
      <c r="K339" s="12">
        <f t="shared" si="66"/>
        <v>0</v>
      </c>
      <c r="L339" s="12">
        <f t="shared" si="67"/>
        <v>1887</v>
      </c>
      <c r="M339" s="12" t="str">
        <f t="shared" si="68"/>
        <v/>
      </c>
      <c r="N339" s="12">
        <f t="shared" si="69"/>
        <v>1857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818</v>
      </c>
      <c r="D340" s="15" t="s">
        <v>78</v>
      </c>
      <c r="E340" s="11" t="s">
        <v>26</v>
      </c>
      <c r="F340" s="11" t="s">
        <v>819</v>
      </c>
      <c r="G340" s="12">
        <v>1846</v>
      </c>
      <c r="H340" s="12"/>
      <c r="I340" s="12"/>
      <c r="J340" s="12">
        <v>1846</v>
      </c>
      <c r="K340" s="12">
        <f t="shared" si="66"/>
        <v>0</v>
      </c>
      <c r="L340" s="12">
        <f t="shared" si="67"/>
        <v>1846</v>
      </c>
      <c r="M340" s="12" t="str">
        <f t="shared" si="68"/>
        <v/>
      </c>
      <c r="N340" s="12">
        <f t="shared" si="69"/>
        <v>1846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14</v>
      </c>
      <c r="C341" s="11" t="s">
        <v>350</v>
      </c>
      <c r="D341" s="15" t="s">
        <v>45</v>
      </c>
      <c r="E341" s="11" t="s">
        <v>26</v>
      </c>
      <c r="F341" s="11" t="s">
        <v>351</v>
      </c>
      <c r="G341" s="12">
        <v>1848</v>
      </c>
      <c r="H341" s="12"/>
      <c r="I341" s="12"/>
      <c r="J341" s="12">
        <v>1798</v>
      </c>
      <c r="K341" s="12">
        <f t="shared" si="66"/>
        <v>0</v>
      </c>
      <c r="L341" s="12">
        <f t="shared" si="67"/>
        <v>1848</v>
      </c>
      <c r="M341" s="12" t="str">
        <f t="shared" si="68"/>
        <v/>
      </c>
      <c r="N341" s="12">
        <f t="shared" si="69"/>
        <v>1798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18</v>
      </c>
      <c r="C342" s="11" t="s">
        <v>1676</v>
      </c>
      <c r="D342" s="15" t="s">
        <v>45</v>
      </c>
      <c r="E342" s="11" t="s">
        <v>60</v>
      </c>
      <c r="F342" s="11" t="s">
        <v>1677</v>
      </c>
      <c r="G342" s="12">
        <v>1890</v>
      </c>
      <c r="H342" s="12"/>
      <c r="I342" s="12"/>
      <c r="J342" s="12">
        <v>1880</v>
      </c>
      <c r="K342" s="12">
        <f t="shared" si="66"/>
        <v>0</v>
      </c>
      <c r="L342" s="12">
        <f t="shared" si="67"/>
        <v>1890</v>
      </c>
      <c r="M342" s="12" t="str">
        <f t="shared" si="68"/>
        <v/>
      </c>
      <c r="N342" s="12">
        <f t="shared" si="69"/>
        <v>1880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18</v>
      </c>
      <c r="C343" s="11" t="s">
        <v>1410</v>
      </c>
      <c r="D343" s="11" t="s">
        <v>57</v>
      </c>
      <c r="E343" s="11" t="s">
        <v>60</v>
      </c>
      <c r="F343" s="11" t="s">
        <v>1411</v>
      </c>
      <c r="G343" s="12">
        <v>1890</v>
      </c>
      <c r="H343" s="12"/>
      <c r="I343" s="12"/>
      <c r="J343" s="12">
        <v>1890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1890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16</v>
      </c>
      <c r="C344" s="11" t="s">
        <v>434</v>
      </c>
      <c r="D344" s="15" t="s">
        <v>45</v>
      </c>
      <c r="E344" s="11" t="s">
        <v>60</v>
      </c>
      <c r="F344" s="11" t="s">
        <v>435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16</v>
      </c>
      <c r="C345" s="11" t="s">
        <v>586</v>
      </c>
      <c r="D345" s="15" t="s">
        <v>45</v>
      </c>
      <c r="E345" s="11" t="s">
        <v>60</v>
      </c>
      <c r="F345" s="11" t="s">
        <v>587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686</v>
      </c>
      <c r="D346" s="11" t="s">
        <v>57</v>
      </c>
      <c r="E346" s="11" t="s">
        <v>26</v>
      </c>
      <c r="F346" s="11" t="s">
        <v>687</v>
      </c>
      <c r="G346" s="12">
        <v>1849</v>
      </c>
      <c r="H346" s="12"/>
      <c r="I346" s="12"/>
      <c r="J346" s="12">
        <v>1799</v>
      </c>
      <c r="K346" s="12">
        <f t="shared" si="66"/>
        <v>0</v>
      </c>
      <c r="L346" s="12">
        <f t="shared" si="67"/>
        <v>1849</v>
      </c>
      <c r="M346" s="12" t="str">
        <f t="shared" si="68"/>
        <v/>
      </c>
      <c r="N346" s="12">
        <f t="shared" si="69"/>
        <v>1799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154</v>
      </c>
      <c r="D347" s="15" t="s">
        <v>45</v>
      </c>
      <c r="E347" s="11" t="s">
        <v>26</v>
      </c>
      <c r="F347" s="11" t="s">
        <v>155</v>
      </c>
      <c r="G347" s="12">
        <v>1849</v>
      </c>
      <c r="H347" s="12"/>
      <c r="I347" s="12"/>
      <c r="J347" s="12">
        <v>1829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1829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1312</v>
      </c>
      <c r="D348" s="15" t="s">
        <v>78</v>
      </c>
      <c r="E348" s="11" t="s">
        <v>26</v>
      </c>
      <c r="F348" s="11" t="s">
        <v>1313</v>
      </c>
      <c r="G348" s="12">
        <v>1849</v>
      </c>
      <c r="H348" s="12"/>
      <c r="I348" s="12"/>
      <c r="J348" s="12">
        <v>1839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1839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18</v>
      </c>
      <c r="C349" s="11" t="s">
        <v>1262</v>
      </c>
      <c r="D349" s="15" t="s">
        <v>59</v>
      </c>
      <c r="E349" s="11" t="s">
        <v>26</v>
      </c>
      <c r="F349" s="11" t="s">
        <v>1263</v>
      </c>
      <c r="G349" s="12">
        <v>1895</v>
      </c>
      <c r="H349" s="12"/>
      <c r="I349" s="12"/>
      <c r="J349" s="12">
        <v>1875</v>
      </c>
      <c r="K349" s="12">
        <f t="shared" si="66"/>
        <v>0</v>
      </c>
      <c r="L349" s="12">
        <f t="shared" si="67"/>
        <v>1895</v>
      </c>
      <c r="M349" s="12" t="str">
        <f t="shared" si="68"/>
        <v/>
      </c>
      <c r="N349" s="12">
        <f t="shared" si="69"/>
        <v>1875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392</v>
      </c>
      <c r="D350" s="15" t="s">
        <v>45</v>
      </c>
      <c r="E350" s="11" t="s">
        <v>26</v>
      </c>
      <c r="F350" s="11" t="s">
        <v>393</v>
      </c>
      <c r="G350" s="12">
        <v>1854</v>
      </c>
      <c r="H350" s="12"/>
      <c r="I350" s="12"/>
      <c r="J350" s="12">
        <v>1842</v>
      </c>
      <c r="K350" s="12">
        <f t="shared" si="66"/>
        <v>0</v>
      </c>
      <c r="L350" s="12">
        <f t="shared" si="67"/>
        <v>1854</v>
      </c>
      <c r="M350" s="12" t="str">
        <f t="shared" si="68"/>
        <v/>
      </c>
      <c r="N350" s="12">
        <f t="shared" si="69"/>
        <v>1842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1701</v>
      </c>
      <c r="D351" s="11" t="s">
        <v>57</v>
      </c>
      <c r="E351" s="11" t="s">
        <v>26</v>
      </c>
      <c r="F351" s="11" t="s">
        <v>1702</v>
      </c>
      <c r="G351" s="12">
        <v>1855</v>
      </c>
      <c r="H351" s="12"/>
      <c r="I351" s="12"/>
      <c r="J351" s="12">
        <v>1825</v>
      </c>
      <c r="K351" s="12">
        <f t="shared" si="66"/>
        <v>0</v>
      </c>
      <c r="L351" s="12">
        <f t="shared" si="67"/>
        <v>1855</v>
      </c>
      <c r="M351" s="12" t="str">
        <f t="shared" si="68"/>
        <v/>
      </c>
      <c r="N351" s="12">
        <f t="shared" si="69"/>
        <v>1825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1722</v>
      </c>
      <c r="D352" s="15" t="s">
        <v>59</v>
      </c>
      <c r="E352" s="11" t="s">
        <v>26</v>
      </c>
      <c r="F352" s="11" t="s">
        <v>1723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860</v>
      </c>
      <c r="D353" s="15" t="s">
        <v>78</v>
      </c>
      <c r="E353" s="11" t="s">
        <v>26</v>
      </c>
      <c r="F353" s="11" t="s">
        <v>861</v>
      </c>
      <c r="G353" s="12">
        <v>1899</v>
      </c>
      <c r="H353" s="12"/>
      <c r="I353" s="12"/>
      <c r="J353" s="12">
        <v>1849</v>
      </c>
      <c r="K353" s="12">
        <f t="shared" si="66"/>
        <v>0</v>
      </c>
      <c r="L353" s="12">
        <f t="shared" si="67"/>
        <v>1899</v>
      </c>
      <c r="M353" s="12" t="str">
        <f t="shared" si="68"/>
        <v/>
      </c>
      <c r="N353" s="12">
        <f t="shared" si="69"/>
        <v>1849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7" customFormat="1" ht="28.5" customHeight="1">
      <c r="A354" s="11" t="str">
        <f t="shared" si="65"/>
        <v/>
      </c>
      <c r="B354" s="11" t="s">
        <v>18</v>
      </c>
      <c r="C354" s="11" t="s">
        <v>521</v>
      </c>
      <c r="D354" s="11" t="s">
        <v>57</v>
      </c>
      <c r="E354" s="11" t="s">
        <v>60</v>
      </c>
      <c r="F354" s="11" t="s">
        <v>522</v>
      </c>
      <c r="G354" s="12">
        <v>1899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18</v>
      </c>
      <c r="C355" s="11" t="s">
        <v>1157</v>
      </c>
      <c r="D355" s="15" t="s">
        <v>78</v>
      </c>
      <c r="E355" s="11" t="s">
        <v>26</v>
      </c>
      <c r="F355" s="11" t="s">
        <v>1158</v>
      </c>
      <c r="G355" s="12">
        <v>1899</v>
      </c>
      <c r="H355" s="12"/>
      <c r="I355" s="12"/>
      <c r="J355" s="12">
        <v>1889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1889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1690</v>
      </c>
      <c r="D356" s="11" t="s">
        <v>57</v>
      </c>
      <c r="E356" s="11" t="s">
        <v>60</v>
      </c>
      <c r="F356" s="11" t="s">
        <v>1691</v>
      </c>
      <c r="G356" s="12">
        <v>1899</v>
      </c>
      <c r="H356" s="12"/>
      <c r="I356" s="12"/>
      <c r="J356" s="12">
        <v>1899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1899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1159</v>
      </c>
      <c r="D357" s="15" t="s">
        <v>45</v>
      </c>
      <c r="E357" s="11" t="s">
        <v>26</v>
      </c>
      <c r="F357" s="11" t="s">
        <v>1160</v>
      </c>
      <c r="G357" s="12">
        <v>1857</v>
      </c>
      <c r="H357" s="12"/>
      <c r="I357" s="12"/>
      <c r="J357" s="12">
        <v>1792</v>
      </c>
      <c r="K357" s="12">
        <f t="shared" si="66"/>
        <v>0</v>
      </c>
      <c r="L357" s="12">
        <f t="shared" si="67"/>
        <v>1857</v>
      </c>
      <c r="M357" s="12" t="str">
        <f t="shared" si="68"/>
        <v/>
      </c>
      <c r="N357" s="12">
        <f t="shared" si="69"/>
        <v>1792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1258</v>
      </c>
      <c r="D358" s="15" t="s">
        <v>59</v>
      </c>
      <c r="E358" s="11" t="s">
        <v>60</v>
      </c>
      <c r="F358" s="11" t="s">
        <v>1259</v>
      </c>
      <c r="G358" s="12">
        <v>1858</v>
      </c>
      <c r="H358" s="12"/>
      <c r="I358" s="12"/>
      <c r="J358" s="12">
        <v>1848</v>
      </c>
      <c r="K358" s="12">
        <f t="shared" si="66"/>
        <v>0</v>
      </c>
      <c r="L358" s="12">
        <f t="shared" si="67"/>
        <v>1858</v>
      </c>
      <c r="M358" s="12" t="str">
        <f t="shared" si="68"/>
        <v/>
      </c>
      <c r="N358" s="12">
        <f t="shared" si="69"/>
        <v>1848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12</v>
      </c>
      <c r="C359" s="11" t="s">
        <v>182</v>
      </c>
      <c r="D359" s="15" t="s">
        <v>59</v>
      </c>
      <c r="E359" s="11" t="s">
        <v>26</v>
      </c>
      <c r="F359" s="11" t="s">
        <v>183</v>
      </c>
      <c r="G359" s="12">
        <v>1859</v>
      </c>
      <c r="H359" s="12"/>
      <c r="I359" s="12"/>
      <c r="J359" s="12">
        <v>1819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1819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7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960</v>
      </c>
      <c r="D360" s="15" t="s">
        <v>45</v>
      </c>
      <c r="E360" s="11" t="s">
        <v>26</v>
      </c>
      <c r="F360" s="11" t="s">
        <v>962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1284</v>
      </c>
      <c r="D364" s="15" t="s">
        <v>78</v>
      </c>
      <c r="E364" s="11" t="s">
        <v>26</v>
      </c>
      <c r="F364" s="11" t="s">
        <v>1285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1417</v>
      </c>
      <c r="D365" s="15" t="s">
        <v>59</v>
      </c>
      <c r="E365" s="11" t="s">
        <v>26</v>
      </c>
      <c r="F365" s="11" t="s">
        <v>1418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724</v>
      </c>
      <c r="D366" s="15" t="s">
        <v>78</v>
      </c>
      <c r="E366" s="11" t="s">
        <v>26</v>
      </c>
      <c r="F366" s="11" t="s">
        <v>725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1007</v>
      </c>
      <c r="D367" s="15" t="s">
        <v>57</v>
      </c>
      <c r="E367" s="11" t="s">
        <v>26</v>
      </c>
      <c r="F367" s="11" t="s">
        <v>1008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753</v>
      </c>
      <c r="D370" s="11" t="s">
        <v>57</v>
      </c>
      <c r="E370" s="11" t="s">
        <v>60</v>
      </c>
      <c r="F370" s="11" t="s">
        <v>754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1098</v>
      </c>
      <c r="D372" s="11" t="s">
        <v>57</v>
      </c>
      <c r="E372" s="11" t="s">
        <v>26</v>
      </c>
      <c r="F372" s="11" t="s">
        <v>1099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1712</v>
      </c>
      <c r="D373" s="15" t="s">
        <v>45</v>
      </c>
      <c r="E373" s="11" t="s">
        <v>60</v>
      </c>
      <c r="F373" s="11" t="s">
        <v>1713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1322</v>
      </c>
      <c r="D375" s="11" t="s">
        <v>57</v>
      </c>
      <c r="E375" s="11" t="s">
        <v>60</v>
      </c>
      <c r="F375" s="11" t="s">
        <v>1323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1514</v>
      </c>
      <c r="D377" s="15" t="s">
        <v>45</v>
      </c>
      <c r="E377" s="11" t="s">
        <v>60</v>
      </c>
      <c r="F377" s="11" t="s">
        <v>1515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1415</v>
      </c>
      <c r="D378" s="11" t="s">
        <v>57</v>
      </c>
      <c r="E378" s="11" t="s">
        <v>60</v>
      </c>
      <c r="F378" s="11" t="s">
        <v>1416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8</v>
      </c>
      <c r="C379" s="11" t="s">
        <v>743</v>
      </c>
      <c r="D379" s="11" t="s">
        <v>57</v>
      </c>
      <c r="E379" s="11" t="s">
        <v>60</v>
      </c>
      <c r="F379" s="11" t="s">
        <v>744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1161</v>
      </c>
      <c r="D380" s="15" t="s">
        <v>45</v>
      </c>
      <c r="E380" s="11" t="s">
        <v>26</v>
      </c>
      <c r="F380" s="11" t="s">
        <v>1162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857</v>
      </c>
      <c r="D381" s="15" t="s">
        <v>45</v>
      </c>
      <c r="E381" s="11" t="s">
        <v>60</v>
      </c>
      <c r="F381" s="11" t="s">
        <v>858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1602</v>
      </c>
      <c r="D382" s="11" t="s">
        <v>57</v>
      </c>
      <c r="E382" s="11" t="s">
        <v>26</v>
      </c>
      <c r="F382" s="11" t="s">
        <v>1603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1290</v>
      </c>
      <c r="D383" s="11" t="s">
        <v>69</v>
      </c>
      <c r="E383" s="11" t="s">
        <v>26</v>
      </c>
      <c r="F383" s="11" t="s">
        <v>1291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934</v>
      </c>
      <c r="D384" s="15" t="s">
        <v>45</v>
      </c>
      <c r="E384" s="11" t="s">
        <v>60</v>
      </c>
      <c r="F384" s="11" t="s">
        <v>935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1306</v>
      </c>
      <c r="D385" s="15" t="s">
        <v>59</v>
      </c>
      <c r="E385" s="11" t="s">
        <v>26</v>
      </c>
      <c r="F385" s="11" t="s">
        <v>1307</v>
      </c>
      <c r="G385" s="12">
        <v>1887</v>
      </c>
      <c r="H385" s="12"/>
      <c r="I385" s="12"/>
      <c r="J385" s="12">
        <v>1868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1868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374</v>
      </c>
      <c r="D387" s="15" t="s">
        <v>59</v>
      </c>
      <c r="E387" s="11" t="s">
        <v>60</v>
      </c>
      <c r="F387" s="11" t="s">
        <v>375</v>
      </c>
      <c r="G387" s="12">
        <v>1889</v>
      </c>
      <c r="H387" s="12"/>
      <c r="I387" s="12"/>
      <c r="J387" s="12">
        <v>1859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1859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598</v>
      </c>
      <c r="D388" s="15" t="s">
        <v>45</v>
      </c>
      <c r="E388" s="11" t="s">
        <v>60</v>
      </c>
      <c r="F388" s="11" t="s">
        <v>599</v>
      </c>
      <c r="G388" s="12">
        <v>1889</v>
      </c>
      <c r="H388" s="12"/>
      <c r="I388" s="12"/>
      <c r="J388" s="12">
        <v>1879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1879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1668</v>
      </c>
      <c r="D389" s="15" t="s">
        <v>45</v>
      </c>
      <c r="E389" s="11" t="s">
        <v>26</v>
      </c>
      <c r="F389" s="11" t="s">
        <v>1669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1574</v>
      </c>
      <c r="D391" s="15" t="s">
        <v>45</v>
      </c>
      <c r="E391" s="11" t="s">
        <v>26</v>
      </c>
      <c r="F391" s="11" t="s">
        <v>1575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1508</v>
      </c>
      <c r="D393" s="15" t="s">
        <v>45</v>
      </c>
      <c r="E393" s="11" t="s">
        <v>26</v>
      </c>
      <c r="F393" s="11" t="s">
        <v>1509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1496</v>
      </c>
      <c r="D394" s="15" t="s">
        <v>78</v>
      </c>
      <c r="E394" s="11" t="s">
        <v>26</v>
      </c>
      <c r="F394" s="11" t="s">
        <v>1497</v>
      </c>
      <c r="G394" s="12">
        <v>1894</v>
      </c>
      <c r="H394" s="12"/>
      <c r="I394" s="12"/>
      <c r="J394" s="12">
        <v>1867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1867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1028</v>
      </c>
      <c r="D396" s="11" t="s">
        <v>57</v>
      </c>
      <c r="E396" s="11" t="s">
        <v>60</v>
      </c>
      <c r="F396" s="11" t="s">
        <v>1030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1336</v>
      </c>
      <c r="D398" s="15" t="s">
        <v>45</v>
      </c>
      <c r="E398" s="11" t="s">
        <v>60</v>
      </c>
      <c r="F398" s="11" t="s">
        <v>1337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1003</v>
      </c>
      <c r="D399" s="15" t="s">
        <v>59</v>
      </c>
      <c r="E399" s="11" t="s">
        <v>60</v>
      </c>
      <c r="F399" s="11" t="s">
        <v>1004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849</v>
      </c>
      <c r="D400" s="15" t="s">
        <v>45</v>
      </c>
      <c r="E400" s="11" t="s">
        <v>60</v>
      </c>
      <c r="F400" s="11" t="s">
        <v>850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178</v>
      </c>
      <c r="D401" s="15" t="s">
        <v>57</v>
      </c>
      <c r="E401" s="11" t="s">
        <v>60</v>
      </c>
      <c r="F401" s="11" t="s">
        <v>179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478</v>
      </c>
      <c r="D402" s="15" t="s">
        <v>45</v>
      </c>
      <c r="E402" s="11" t="s">
        <v>60</v>
      </c>
      <c r="F402" s="11" t="s">
        <v>479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12</v>
      </c>
      <c r="C403" s="11" t="s">
        <v>866</v>
      </c>
      <c r="D403" s="15" t="s">
        <v>57</v>
      </c>
      <c r="E403" s="11" t="s">
        <v>60</v>
      </c>
      <c r="F403" s="11" t="s">
        <v>867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799</v>
      </c>
      <c r="D404" s="15" t="s">
        <v>57</v>
      </c>
      <c r="E404" s="11" t="s">
        <v>26</v>
      </c>
      <c r="F404" s="11" t="s">
        <v>800</v>
      </c>
      <c r="G404" s="12">
        <v>1898</v>
      </c>
      <c r="H404" s="12"/>
      <c r="I404" s="12"/>
      <c r="J404" s="12">
        <v>1867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1867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1169</v>
      </c>
      <c r="D405" s="15" t="s">
        <v>59</v>
      </c>
      <c r="E405" s="11" t="s">
        <v>60</v>
      </c>
      <c r="F405" s="11" t="s">
        <v>1170</v>
      </c>
      <c r="G405" s="12">
        <v>1898</v>
      </c>
      <c r="H405" s="12"/>
      <c r="I405" s="12"/>
      <c r="J405" s="12">
        <v>1878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1878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830</v>
      </c>
      <c r="D406" s="15" t="s">
        <v>45</v>
      </c>
      <c r="E406" s="11" t="s">
        <v>60</v>
      </c>
      <c r="F406" s="11" t="s">
        <v>832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78</v>
      </c>
      <c r="E407" s="11" t="s">
        <v>26</v>
      </c>
      <c r="F407" s="11" t="s">
        <v>433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499</v>
      </c>
      <c r="D408" s="15" t="s">
        <v>59</v>
      </c>
      <c r="E408" s="11" t="s">
        <v>26</v>
      </c>
      <c r="F408" s="11" t="s">
        <v>500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422</v>
      </c>
      <c r="D409" s="15" t="s">
        <v>45</v>
      </c>
      <c r="E409" s="11" t="s">
        <v>60</v>
      </c>
      <c r="F409" s="11" t="s">
        <v>424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274</v>
      </c>
      <c r="D410" s="15" t="s">
        <v>45</v>
      </c>
      <c r="E410" s="11" t="s">
        <v>26</v>
      </c>
      <c r="F410" s="11" t="s">
        <v>275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490</v>
      </c>
      <c r="D411" s="11" t="s">
        <v>57</v>
      </c>
      <c r="E411" s="11" t="s">
        <v>26</v>
      </c>
      <c r="F411" s="11" t="s">
        <v>492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1705</v>
      </c>
      <c r="D412" s="11" t="s">
        <v>57</v>
      </c>
      <c r="E412" s="11" t="s">
        <v>60</v>
      </c>
      <c r="F412" s="11" t="s">
        <v>1706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12</v>
      </c>
      <c r="C413" s="11" t="s">
        <v>797</v>
      </c>
      <c r="D413" s="15" t="s">
        <v>57</v>
      </c>
      <c r="E413" s="11" t="s">
        <v>60</v>
      </c>
      <c r="F413" s="11" t="s">
        <v>798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8</v>
      </c>
      <c r="C414" s="11" t="s">
        <v>653</v>
      </c>
      <c r="D414" s="15" t="s">
        <v>78</v>
      </c>
      <c r="E414" s="11" t="s">
        <v>60</v>
      </c>
      <c r="F414" s="11" t="s">
        <v>654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936</v>
      </c>
      <c r="D415" s="11" t="s">
        <v>57</v>
      </c>
      <c r="E415" s="11" t="s">
        <v>60</v>
      </c>
      <c r="F415" s="11" t="s">
        <v>937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978</v>
      </c>
      <c r="D416" s="15" t="s">
        <v>45</v>
      </c>
      <c r="E416" s="11" t="s">
        <v>26</v>
      </c>
      <c r="F416" s="11" t="s">
        <v>979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1047</v>
      </c>
      <c r="D417" s="11" t="s">
        <v>57</v>
      </c>
      <c r="E417" s="11" t="s">
        <v>60</v>
      </c>
      <c r="F417" s="11" t="s">
        <v>1048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1363</v>
      </c>
      <c r="D418" s="11" t="s">
        <v>57</v>
      </c>
      <c r="E418" s="11" t="s">
        <v>60</v>
      </c>
      <c r="F418" s="11" t="s">
        <v>1364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152</v>
      </c>
      <c r="D419" s="15" t="s">
        <v>57</v>
      </c>
      <c r="E419" s="11" t="s">
        <v>26</v>
      </c>
      <c r="F419" s="11" t="s">
        <v>153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426</v>
      </c>
      <c r="D420" s="15" t="s">
        <v>45</v>
      </c>
      <c r="E420" s="11" t="s">
        <v>60</v>
      </c>
      <c r="F420" s="11" t="s">
        <v>427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16" customFormat="1" ht="28.5" customHeight="1">
      <c r="A421" s="11" t="str">
        <f t="shared" si="78"/>
        <v/>
      </c>
      <c r="B421" s="11" t="s">
        <v>12</v>
      </c>
      <c r="C421" s="11" t="s">
        <v>853</v>
      </c>
      <c r="D421" s="15" t="s">
        <v>78</v>
      </c>
      <c r="E421" s="11" t="s">
        <v>26</v>
      </c>
      <c r="F421" s="11" t="s">
        <v>854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1550</v>
      </c>
      <c r="D422" s="15" t="s">
        <v>57</v>
      </c>
      <c r="E422" s="11" t="s">
        <v>26</v>
      </c>
      <c r="F422" s="11" t="s">
        <v>1551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1045</v>
      </c>
      <c r="D423" s="15" t="s">
        <v>78</v>
      </c>
      <c r="E423" s="11" t="s">
        <v>26</v>
      </c>
      <c r="F423" s="11" t="s">
        <v>1046</v>
      </c>
      <c r="G423" s="12">
        <v>1900</v>
      </c>
      <c r="H423" s="12"/>
      <c r="I423" s="12"/>
      <c r="J423" s="12">
        <v>1900</v>
      </c>
      <c r="K423" s="12">
        <f t="shared" si="79"/>
        <v>0</v>
      </c>
      <c r="L423" s="12">
        <f t="shared" si="80"/>
        <v>1900</v>
      </c>
      <c r="M423" s="12" t="str">
        <f t="shared" si="81"/>
        <v/>
      </c>
      <c r="N423" s="12">
        <f t="shared" si="82"/>
        <v>1900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18</v>
      </c>
      <c r="C424" s="11" t="s">
        <v>1117</v>
      </c>
      <c r="D424" s="11" t="s">
        <v>57</v>
      </c>
      <c r="E424" s="11" t="s">
        <v>60</v>
      </c>
      <c r="F424" s="11" t="s">
        <v>1118</v>
      </c>
      <c r="G424" s="12">
        <v>1949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1949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1096</v>
      </c>
      <c r="D425" s="15" t="s">
        <v>59</v>
      </c>
      <c r="E425" s="11" t="s">
        <v>60</v>
      </c>
      <c r="F425" s="11" t="s">
        <v>1097</v>
      </c>
      <c r="G425" s="12">
        <v>1908</v>
      </c>
      <c r="H425" s="12"/>
      <c r="I425" s="12"/>
      <c r="J425" s="12">
        <v>1898</v>
      </c>
      <c r="K425" s="12">
        <f t="shared" si="79"/>
        <v>0</v>
      </c>
      <c r="L425" s="12">
        <f t="shared" si="80"/>
        <v>1908</v>
      </c>
      <c r="M425" s="12" t="str">
        <f t="shared" si="81"/>
        <v/>
      </c>
      <c r="N425" s="12">
        <f t="shared" si="82"/>
        <v>1898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788</v>
      </c>
      <c r="D426" s="11" t="s">
        <v>57</v>
      </c>
      <c r="E426" s="11" t="s">
        <v>60</v>
      </c>
      <c r="F426" s="11" t="s">
        <v>789</v>
      </c>
      <c r="G426" s="12">
        <v>1909</v>
      </c>
      <c r="H426" s="12"/>
      <c r="I426" s="12"/>
      <c r="J426" s="12">
        <v>1879</v>
      </c>
      <c r="K426" s="12">
        <f t="shared" si="79"/>
        <v>0</v>
      </c>
      <c r="L426" s="12">
        <f t="shared" si="80"/>
        <v>1909</v>
      </c>
      <c r="M426" s="12" t="str">
        <f t="shared" si="81"/>
        <v/>
      </c>
      <c r="N426" s="12">
        <f t="shared" si="82"/>
        <v>1879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8</v>
      </c>
      <c r="C427" s="11" t="s">
        <v>982</v>
      </c>
      <c r="D427" s="15" t="s">
        <v>45</v>
      </c>
      <c r="E427" s="11" t="s">
        <v>60</v>
      </c>
      <c r="F427" s="11" t="s">
        <v>983</v>
      </c>
      <c r="G427" s="12">
        <v>1910</v>
      </c>
      <c r="H427" s="12"/>
      <c r="I427" s="12"/>
      <c r="J427" s="12">
        <v>1870</v>
      </c>
      <c r="K427" s="12">
        <f t="shared" si="79"/>
        <v>0</v>
      </c>
      <c r="L427" s="12">
        <f t="shared" si="80"/>
        <v>1910</v>
      </c>
      <c r="M427" s="12" t="str">
        <f t="shared" si="81"/>
        <v/>
      </c>
      <c r="N427" s="12">
        <f t="shared" si="82"/>
        <v>1870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561</v>
      </c>
      <c r="D428" s="15" t="s">
        <v>59</v>
      </c>
      <c r="E428" s="11" t="s">
        <v>60</v>
      </c>
      <c r="F428" s="11" t="s">
        <v>562</v>
      </c>
      <c r="G428" s="12">
        <v>1915</v>
      </c>
      <c r="H428" s="12"/>
      <c r="I428" s="12"/>
      <c r="J428" s="12">
        <v>1897</v>
      </c>
      <c r="K428" s="12">
        <f t="shared" si="79"/>
        <v>0</v>
      </c>
      <c r="L428" s="12">
        <f t="shared" si="80"/>
        <v>1915</v>
      </c>
      <c r="M428" s="12" t="str">
        <f t="shared" si="81"/>
        <v/>
      </c>
      <c r="N428" s="12">
        <f t="shared" si="82"/>
        <v>1897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747</v>
      </c>
      <c r="D429" s="15" t="s">
        <v>45</v>
      </c>
      <c r="E429" s="11" t="s">
        <v>60</v>
      </c>
      <c r="F429" s="11" t="s">
        <v>748</v>
      </c>
      <c r="G429" s="12">
        <v>1918</v>
      </c>
      <c r="H429" s="12"/>
      <c r="I429" s="12"/>
      <c r="J429" s="12">
        <v>1908</v>
      </c>
      <c r="K429" s="12">
        <f t="shared" si="79"/>
        <v>0</v>
      </c>
      <c r="L429" s="12">
        <f t="shared" si="80"/>
        <v>1918</v>
      </c>
      <c r="M429" s="12" t="str">
        <f t="shared" si="81"/>
        <v/>
      </c>
      <c r="N429" s="12">
        <f t="shared" si="82"/>
        <v>1908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1107</v>
      </c>
      <c r="D430" s="15" t="s">
        <v>59</v>
      </c>
      <c r="E430" s="11" t="s">
        <v>60</v>
      </c>
      <c r="F430" s="11" t="s">
        <v>1108</v>
      </c>
      <c r="G430" s="12">
        <v>1945</v>
      </c>
      <c r="H430" s="12"/>
      <c r="I430" s="12"/>
      <c r="J430" s="12">
        <v>1880</v>
      </c>
      <c r="K430" s="12">
        <f t="shared" si="79"/>
        <v>0</v>
      </c>
      <c r="L430" s="12">
        <f t="shared" si="80"/>
        <v>1945</v>
      </c>
      <c r="M430" s="12" t="str">
        <f t="shared" si="81"/>
        <v/>
      </c>
      <c r="N430" s="12">
        <f t="shared" si="82"/>
        <v>1880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1584</v>
      </c>
      <c r="D434" s="15" t="s">
        <v>45</v>
      </c>
      <c r="E434" s="11" t="s">
        <v>26</v>
      </c>
      <c r="F434" s="11" t="s">
        <v>1585</v>
      </c>
      <c r="G434" s="12">
        <v>1787</v>
      </c>
      <c r="H434" s="12"/>
      <c r="I434" s="12"/>
      <c r="J434" s="12">
        <v>1782</v>
      </c>
      <c r="K434" s="12">
        <f t="shared" si="79"/>
        <v>0</v>
      </c>
      <c r="L434" s="12">
        <f t="shared" si="80"/>
        <v>1787</v>
      </c>
      <c r="M434" s="12" t="str">
        <f t="shared" si="81"/>
        <v/>
      </c>
      <c r="N434" s="12">
        <f t="shared" si="82"/>
        <v>1782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1001</v>
      </c>
      <c r="D437" s="15" t="s">
        <v>57</v>
      </c>
      <c r="E437" s="11" t="s">
        <v>26</v>
      </c>
      <c r="F437" s="11" t="s">
        <v>1002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1378</v>
      </c>
      <c r="D439" s="15" t="s">
        <v>57</v>
      </c>
      <c r="E439" s="11" t="s">
        <v>26</v>
      </c>
      <c r="F439" s="11" t="s">
        <v>1379</v>
      </c>
      <c r="G439" s="12">
        <v>1789</v>
      </c>
      <c r="H439" s="12"/>
      <c r="I439" s="12"/>
      <c r="J439" s="12">
        <v>1805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676</v>
      </c>
      <c r="D441" s="15" t="s">
        <v>57</v>
      </c>
      <c r="E441" s="11" t="s">
        <v>26</v>
      </c>
      <c r="F441" s="11" t="s">
        <v>677</v>
      </c>
      <c r="G441" s="12">
        <v>1794</v>
      </c>
      <c r="H441" s="12"/>
      <c r="I441" s="12"/>
      <c r="J441" s="12">
        <v>1879</v>
      </c>
      <c r="K441" s="12">
        <f t="shared" si="79"/>
        <v>0</v>
      </c>
      <c r="L441" s="12">
        <f t="shared" si="80"/>
        <v>1794</v>
      </c>
      <c r="M441" s="12" t="str">
        <f t="shared" si="81"/>
        <v/>
      </c>
      <c r="N441" s="12">
        <f t="shared" si="82"/>
        <v>1879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1653</v>
      </c>
      <c r="D442" s="15" t="s">
        <v>78</v>
      </c>
      <c r="E442" s="11" t="s">
        <v>26</v>
      </c>
      <c r="F442" s="11" t="s">
        <v>1654</v>
      </c>
      <c r="G442" s="12">
        <v>1795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559</v>
      </c>
      <c r="D443" s="15" t="s">
        <v>45</v>
      </c>
      <c r="E443" s="11" t="s">
        <v>26</v>
      </c>
      <c r="F443" s="11" t="s">
        <v>560</v>
      </c>
      <c r="G443" s="12">
        <v>1795</v>
      </c>
      <c r="H443" s="12"/>
      <c r="I443" s="12"/>
      <c r="J443" s="12">
        <v>1795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1795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1488</v>
      </c>
      <c r="D444" s="15" t="s">
        <v>45</v>
      </c>
      <c r="E444" s="11" t="s">
        <v>26</v>
      </c>
      <c r="F444" s="11" t="s">
        <v>1489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1490</v>
      </c>
      <c r="D445" s="15" t="s">
        <v>69</v>
      </c>
      <c r="E445" s="11" t="s">
        <v>26</v>
      </c>
      <c r="F445" s="11" t="s">
        <v>1491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1492</v>
      </c>
      <c r="D446" s="15" t="s">
        <v>69</v>
      </c>
      <c r="E446" s="11" t="s">
        <v>26</v>
      </c>
      <c r="F446" s="11" t="s">
        <v>1493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816</v>
      </c>
      <c r="D447" s="15" t="s">
        <v>57</v>
      </c>
      <c r="E447" s="11" t="s">
        <v>60</v>
      </c>
      <c r="F447" s="11" t="s">
        <v>817</v>
      </c>
      <c r="G447" s="12">
        <v>1995</v>
      </c>
      <c r="H447" s="12"/>
      <c r="I447" s="12"/>
      <c r="J447" s="12">
        <v>1995</v>
      </c>
      <c r="K447" s="12">
        <f t="shared" si="79"/>
        <v>0</v>
      </c>
      <c r="L447" s="12">
        <f t="shared" si="80"/>
        <v>1995</v>
      </c>
      <c r="M447" s="12" t="str">
        <f t="shared" si="81"/>
        <v/>
      </c>
      <c r="N447" s="12">
        <f t="shared" si="82"/>
        <v>1995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659</v>
      </c>
      <c r="D448" s="15" t="s">
        <v>78</v>
      </c>
      <c r="E448" s="11" t="s">
        <v>26</v>
      </c>
      <c r="F448" s="11" t="s">
        <v>660</v>
      </c>
      <c r="G448" s="12">
        <v>1798</v>
      </c>
      <c r="H448" s="12"/>
      <c r="I448" s="12"/>
      <c r="J448" s="12">
        <v>1779</v>
      </c>
      <c r="K448" s="12">
        <f t="shared" si="79"/>
        <v>0</v>
      </c>
      <c r="L448" s="12">
        <f t="shared" si="80"/>
        <v>1798</v>
      </c>
      <c r="M448" s="12" t="str">
        <f t="shared" si="81"/>
        <v/>
      </c>
      <c r="N448" s="12">
        <f t="shared" si="82"/>
        <v>1779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529</v>
      </c>
      <c r="D449" s="15" t="s">
        <v>45</v>
      </c>
      <c r="E449" s="11" t="s">
        <v>26</v>
      </c>
      <c r="F449" s="11" t="s">
        <v>530</v>
      </c>
      <c r="G449" s="12">
        <v>1799</v>
      </c>
      <c r="H449" s="12"/>
      <c r="I449" s="12"/>
      <c r="J449" s="12">
        <v>1789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1789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910</v>
      </c>
      <c r="D450" s="15" t="s">
        <v>45</v>
      </c>
      <c r="E450" s="11" t="s">
        <v>26</v>
      </c>
      <c r="F450" s="11" t="s">
        <v>911</v>
      </c>
      <c r="G450" s="12">
        <v>1799</v>
      </c>
      <c r="H450" s="12"/>
      <c r="I450" s="12"/>
      <c r="J450" s="12">
        <v>1794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1794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1582</v>
      </c>
      <c r="D451" s="15" t="s">
        <v>45</v>
      </c>
      <c r="E451" s="11" t="s">
        <v>60</v>
      </c>
      <c r="F451" s="11" t="s">
        <v>1583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1215</v>
      </c>
      <c r="D453" s="15" t="s">
        <v>78</v>
      </c>
      <c r="E453" s="11" t="s">
        <v>26</v>
      </c>
      <c r="F453" s="11" t="s">
        <v>1216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1282</v>
      </c>
      <c r="D454" s="15" t="s">
        <v>78</v>
      </c>
      <c r="E454" s="11" t="s">
        <v>26</v>
      </c>
      <c r="F454" s="11" t="s">
        <v>1283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970</v>
      </c>
      <c r="D455" s="15" t="s">
        <v>45</v>
      </c>
      <c r="E455" s="11" t="s">
        <v>26</v>
      </c>
      <c r="F455" s="11" t="s">
        <v>971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1084</v>
      </c>
      <c r="D456" s="11" t="s">
        <v>48</v>
      </c>
      <c r="E456" s="11" t="s">
        <v>26</v>
      </c>
      <c r="F456" s="11" t="s">
        <v>1085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1286</v>
      </c>
      <c r="D461" s="15" t="s">
        <v>45</v>
      </c>
      <c r="E461" s="11" t="s">
        <v>26</v>
      </c>
      <c r="F461" s="11" t="s">
        <v>1287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1139</v>
      </c>
      <c r="D466" s="15" t="s">
        <v>78</v>
      </c>
      <c r="E466" s="11" t="s">
        <v>26</v>
      </c>
      <c r="F466" s="11" t="s">
        <v>1140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340</v>
      </c>
      <c r="D467" s="11" t="s">
        <v>48</v>
      </c>
      <c r="E467" s="11" t="s">
        <v>26</v>
      </c>
      <c r="F467" s="11" t="s">
        <v>341</v>
      </c>
      <c r="G467" s="12">
        <v>1808</v>
      </c>
      <c r="H467" s="12"/>
      <c r="I467" s="12"/>
      <c r="J467" s="12">
        <v>1799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621</v>
      </c>
      <c r="D469" s="11" t="s">
        <v>57</v>
      </c>
      <c r="E469" s="11" t="s">
        <v>26</v>
      </c>
      <c r="F469" s="11" t="s">
        <v>622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966</v>
      </c>
      <c r="D471" s="15" t="s">
        <v>59</v>
      </c>
      <c r="E471" s="11" t="s">
        <v>26</v>
      </c>
      <c r="F471" s="11" t="s">
        <v>967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1203</v>
      </c>
      <c r="D472" s="15" t="s">
        <v>45</v>
      </c>
      <c r="E472" s="11" t="s">
        <v>26</v>
      </c>
      <c r="F472" s="11" t="s">
        <v>1204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1500</v>
      </c>
      <c r="D474" s="11" t="s">
        <v>57</v>
      </c>
      <c r="E474" s="11" t="s">
        <v>26</v>
      </c>
      <c r="F474" s="11" t="s">
        <v>1501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1131</v>
      </c>
      <c r="D475" s="15" t="s">
        <v>59</v>
      </c>
      <c r="E475" s="11" t="s">
        <v>26</v>
      </c>
      <c r="F475" s="11" t="s">
        <v>1132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16" customFormat="1" ht="28.5" customHeight="1">
      <c r="A476" s="11" t="str">
        <f t="shared" si="91"/>
        <v/>
      </c>
      <c r="B476" s="11" t="s">
        <v>6</v>
      </c>
      <c r="C476" s="11" t="s">
        <v>1229</v>
      </c>
      <c r="D476" s="11" t="s">
        <v>57</v>
      </c>
      <c r="E476" s="11" t="s">
        <v>26</v>
      </c>
      <c r="F476" s="11" t="s">
        <v>1230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86</v>
      </c>
      <c r="D477" s="15" t="s">
        <v>78</v>
      </c>
      <c r="E477" s="11" t="s">
        <v>60</v>
      </c>
      <c r="F477" s="11" t="s">
        <v>87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698</v>
      </c>
      <c r="D478" s="15" t="s">
        <v>45</v>
      </c>
      <c r="E478" s="11" t="s">
        <v>26</v>
      </c>
      <c r="F478" s="11" t="s">
        <v>699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700</v>
      </c>
      <c r="D479" s="15" t="s">
        <v>45</v>
      </c>
      <c r="E479" s="11" t="s">
        <v>26</v>
      </c>
      <c r="F479" s="11" t="s">
        <v>701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1554</v>
      </c>
      <c r="D480" s="15" t="s">
        <v>45</v>
      </c>
      <c r="E480" s="11" t="s">
        <v>26</v>
      </c>
      <c r="F480" s="11" t="s">
        <v>1555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466</v>
      </c>
      <c r="D481" s="15" t="s">
        <v>45</v>
      </c>
      <c r="E481" s="11" t="s">
        <v>26</v>
      </c>
      <c r="F481" s="11" t="s">
        <v>467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1129</v>
      </c>
      <c r="D482" s="15" t="s">
        <v>45</v>
      </c>
      <c r="E482" s="11" t="s">
        <v>26</v>
      </c>
      <c r="F482" s="11" t="s">
        <v>1130</v>
      </c>
      <c r="G482" s="12">
        <v>1809</v>
      </c>
      <c r="H482" s="12"/>
      <c r="I482" s="12"/>
      <c r="J482" s="12">
        <v>1803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1803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920</v>
      </c>
      <c r="D484" s="15" t="s">
        <v>78</v>
      </c>
      <c r="E484" s="11" t="s">
        <v>26</v>
      </c>
      <c r="F484" s="11" t="s">
        <v>921</v>
      </c>
      <c r="G484" s="12">
        <v>1809</v>
      </c>
      <c r="H484" s="12"/>
      <c r="I484" s="12"/>
      <c r="J484" s="12">
        <v>1829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1829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1276</v>
      </c>
      <c r="D485" s="15" t="s">
        <v>59</v>
      </c>
      <c r="E485" s="11" t="s">
        <v>26</v>
      </c>
      <c r="F485" s="11" t="s">
        <v>1277</v>
      </c>
      <c r="G485" s="12">
        <v>1810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1392</v>
      </c>
      <c r="D486" s="15" t="s">
        <v>59</v>
      </c>
      <c r="E486" s="11" t="s">
        <v>26</v>
      </c>
      <c r="F486" s="11" t="s">
        <v>1393</v>
      </c>
      <c r="G486" s="12">
        <v>1812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302</v>
      </c>
      <c r="D487" s="15" t="s">
        <v>45</v>
      </c>
      <c r="E487" s="11" t="s">
        <v>26</v>
      </c>
      <c r="F487" s="11" t="s">
        <v>303</v>
      </c>
      <c r="G487" s="12">
        <v>1812</v>
      </c>
      <c r="H487" s="12"/>
      <c r="I487" s="12"/>
      <c r="J487" s="12">
        <v>1802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1802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1384</v>
      </c>
      <c r="D488" s="15" t="s">
        <v>59</v>
      </c>
      <c r="E488" s="11" t="s">
        <v>26</v>
      </c>
      <c r="F488" s="11" t="s">
        <v>1385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1560</v>
      </c>
      <c r="D489" s="11" t="s">
        <v>57</v>
      </c>
      <c r="E489" s="11" t="s">
        <v>26</v>
      </c>
      <c r="F489" s="11" t="s">
        <v>1561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1024</v>
      </c>
      <c r="D491" s="15" t="s">
        <v>45</v>
      </c>
      <c r="E491" s="11" t="s">
        <v>60</v>
      </c>
      <c r="F491" s="11" t="s">
        <v>1025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1680</v>
      </c>
      <c r="D492" s="15" t="s">
        <v>45</v>
      </c>
      <c r="E492" s="11" t="s">
        <v>60</v>
      </c>
      <c r="F492" s="11" t="s">
        <v>1681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8</v>
      </c>
      <c r="C493" s="11" t="s">
        <v>946</v>
      </c>
      <c r="D493" s="15" t="s">
        <v>45</v>
      </c>
      <c r="E493" s="11" t="s">
        <v>26</v>
      </c>
      <c r="F493" s="11" t="s">
        <v>947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493</v>
      </c>
      <c r="D494" s="11" t="s">
        <v>57</v>
      </c>
      <c r="E494" s="11" t="s">
        <v>26</v>
      </c>
      <c r="F494" s="11" t="s">
        <v>494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984</v>
      </c>
      <c r="D495" s="15" t="s">
        <v>45</v>
      </c>
      <c r="E495" s="11" t="s">
        <v>26</v>
      </c>
      <c r="F495" s="11" t="s">
        <v>985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1165</v>
      </c>
      <c r="D496" s="15" t="s">
        <v>45</v>
      </c>
      <c r="E496" s="11" t="s">
        <v>26</v>
      </c>
      <c r="F496" s="11" t="s">
        <v>1166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1520</v>
      </c>
      <c r="D497" s="15" t="s">
        <v>45</v>
      </c>
      <c r="E497" s="11" t="s">
        <v>26</v>
      </c>
      <c r="F497" s="11" t="s">
        <v>1521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362</v>
      </c>
      <c r="D498" s="15" t="s">
        <v>45</v>
      </c>
      <c r="E498" s="11" t="s">
        <v>26</v>
      </c>
      <c r="F498" s="11" t="s">
        <v>363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447</v>
      </c>
      <c r="D501" s="15" t="s">
        <v>45</v>
      </c>
      <c r="E501" s="11" t="s">
        <v>60</v>
      </c>
      <c r="F501" s="11" t="s">
        <v>449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1055</v>
      </c>
      <c r="D502" s="15" t="s">
        <v>57</v>
      </c>
      <c r="E502" s="11" t="s">
        <v>26</v>
      </c>
      <c r="F502" s="11" t="s">
        <v>1056</v>
      </c>
      <c r="G502" s="12">
        <v>1814</v>
      </c>
      <c r="H502" s="12"/>
      <c r="I502" s="12"/>
      <c r="J502" s="12">
        <v>1824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1824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75</v>
      </c>
      <c r="D503" s="15" t="s">
        <v>59</v>
      </c>
      <c r="E503" s="11" t="s">
        <v>26</v>
      </c>
      <c r="F503" s="11" t="s">
        <v>76</v>
      </c>
      <c r="G503" s="12">
        <v>1814</v>
      </c>
      <c r="H503" s="12"/>
      <c r="I503" s="12"/>
      <c r="J503" s="12">
        <v>1999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1999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330</v>
      </c>
      <c r="D504" s="15" t="s">
        <v>45</v>
      </c>
      <c r="E504" s="11" t="s">
        <v>26</v>
      </c>
      <c r="F504" s="11" t="s">
        <v>331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1260</v>
      </c>
      <c r="D505" s="15" t="s">
        <v>78</v>
      </c>
      <c r="E505" s="11" t="s">
        <v>26</v>
      </c>
      <c r="F505" s="11" t="s">
        <v>1261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1564</v>
      </c>
      <c r="D506" s="11" t="s">
        <v>57</v>
      </c>
      <c r="E506" s="11" t="s">
        <v>60</v>
      </c>
      <c r="F506" s="11" t="s">
        <v>1565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639</v>
      </c>
      <c r="D507" s="15" t="s">
        <v>78</v>
      </c>
      <c r="E507" s="11" t="s">
        <v>26</v>
      </c>
      <c r="F507" s="11" t="s">
        <v>640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1726</v>
      </c>
      <c r="D508" s="15" t="s">
        <v>45</v>
      </c>
      <c r="E508" s="11" t="s">
        <v>26</v>
      </c>
      <c r="F508" s="11" t="s">
        <v>1727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6</v>
      </c>
      <c r="C509" s="11" t="s">
        <v>104</v>
      </c>
      <c r="D509" s="11" t="s">
        <v>57</v>
      </c>
      <c r="E509" s="11" t="s">
        <v>26</v>
      </c>
      <c r="F509" s="11" t="s">
        <v>105</v>
      </c>
      <c r="G509" s="12">
        <v>1815</v>
      </c>
      <c r="H509" s="12"/>
      <c r="I509" s="12"/>
      <c r="J509" s="12">
        <v>1802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1133</v>
      </c>
      <c r="D510" s="15" t="s">
        <v>45</v>
      </c>
      <c r="E510" s="11" t="s">
        <v>26</v>
      </c>
      <c r="F510" s="11" t="s">
        <v>1134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1061</v>
      </c>
      <c r="D511" s="15" t="s">
        <v>45</v>
      </c>
      <c r="E511" s="11" t="s">
        <v>26</v>
      </c>
      <c r="F511" s="11" t="s">
        <v>1062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1388</v>
      </c>
      <c r="D512" s="15" t="s">
        <v>45</v>
      </c>
      <c r="E512" s="11" t="s">
        <v>26</v>
      </c>
      <c r="F512" s="11" t="s">
        <v>1389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1419</v>
      </c>
      <c r="D513" s="15" t="s">
        <v>45</v>
      </c>
      <c r="E513" s="11" t="s">
        <v>26</v>
      </c>
      <c r="F513" s="11" t="s">
        <v>1420</v>
      </c>
      <c r="G513" s="12">
        <v>1815</v>
      </c>
      <c r="H513" s="12"/>
      <c r="I513" s="12"/>
      <c r="J513" s="12">
        <v>1808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14</v>
      </c>
      <c r="C514" s="11" t="s">
        <v>306</v>
      </c>
      <c r="D514" s="15" t="s">
        <v>45</v>
      </c>
      <c r="E514" s="11" t="s">
        <v>26</v>
      </c>
      <c r="F514" s="11" t="s">
        <v>307</v>
      </c>
      <c r="G514" s="12">
        <v>1815</v>
      </c>
      <c r="H514" s="12"/>
      <c r="I514" s="12"/>
      <c r="J514" s="12">
        <v>1808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346</v>
      </c>
      <c r="D515" s="15" t="s">
        <v>45</v>
      </c>
      <c r="E515" s="11" t="s">
        <v>26</v>
      </c>
      <c r="F515" s="11" t="s">
        <v>347</v>
      </c>
      <c r="G515" s="12">
        <v>1815</v>
      </c>
      <c r="H515" s="12"/>
      <c r="I515" s="12"/>
      <c r="J515" s="12">
        <v>1809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1809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6</v>
      </c>
      <c r="C516" s="11" t="s">
        <v>108</v>
      </c>
      <c r="D516" s="11" t="s">
        <v>57</v>
      </c>
      <c r="E516" s="11" t="s">
        <v>26</v>
      </c>
      <c r="F516" s="11" t="s">
        <v>109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156</v>
      </c>
      <c r="D518" s="15" t="s">
        <v>57</v>
      </c>
      <c r="E518" s="11" t="s">
        <v>26</v>
      </c>
      <c r="F518" s="11" t="s">
        <v>157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735</v>
      </c>
      <c r="D519" s="15" t="s">
        <v>57</v>
      </c>
      <c r="E519" s="11" t="s">
        <v>26</v>
      </c>
      <c r="F519" s="11" t="s">
        <v>736</v>
      </c>
      <c r="G519" s="12">
        <v>1815</v>
      </c>
      <c r="H519" s="12"/>
      <c r="I519" s="12"/>
      <c r="J519" s="12">
        <v>1815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1815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1017</v>
      </c>
      <c r="D520" s="15" t="s">
        <v>45</v>
      </c>
      <c r="E520" s="11" t="s">
        <v>26</v>
      </c>
      <c r="F520" s="11" t="s">
        <v>1018</v>
      </c>
      <c r="G520" s="12">
        <v>1815</v>
      </c>
      <c r="H520" s="12"/>
      <c r="I520" s="12"/>
      <c r="J520" s="12">
        <v>1815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1815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1619</v>
      </c>
      <c r="D521" s="15" t="s">
        <v>45</v>
      </c>
      <c r="E521" s="11" t="s">
        <v>26</v>
      </c>
      <c r="F521" s="11" t="s">
        <v>1620</v>
      </c>
      <c r="G521" s="12">
        <v>1815</v>
      </c>
      <c r="H521" s="12"/>
      <c r="I521" s="12"/>
      <c r="J521" s="12">
        <v>1825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1825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7" customFormat="1" ht="28.5" customHeight="1">
      <c r="A522" s="11" t="str">
        <f t="shared" si="91"/>
        <v/>
      </c>
      <c r="B522" s="11" t="s">
        <v>12</v>
      </c>
      <c r="C522" s="11" t="s">
        <v>176</v>
      </c>
      <c r="D522" s="15" t="s">
        <v>78</v>
      </c>
      <c r="E522" s="11" t="s">
        <v>26</v>
      </c>
      <c r="F522" s="11" t="s">
        <v>177</v>
      </c>
      <c r="G522" s="12">
        <v>1816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1816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288</v>
      </c>
      <c r="D523" s="11" t="s">
        <v>57</v>
      </c>
      <c r="E523" s="11" t="s">
        <v>60</v>
      </c>
      <c r="F523" s="11" t="s">
        <v>289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1109</v>
      </c>
      <c r="D524" s="15" t="s">
        <v>59</v>
      </c>
      <c r="E524" s="11" t="s">
        <v>26</v>
      </c>
      <c r="F524" s="11" t="s">
        <v>1110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1115</v>
      </c>
      <c r="D525" s="15" t="s">
        <v>78</v>
      </c>
      <c r="E525" s="11" t="s">
        <v>26</v>
      </c>
      <c r="F525" s="11" t="s">
        <v>1116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14</v>
      </c>
      <c r="C526" s="11" t="s">
        <v>1264</v>
      </c>
      <c r="D526" s="15" t="s">
        <v>59</v>
      </c>
      <c r="E526" s="11" t="s">
        <v>26</v>
      </c>
      <c r="F526" s="11" t="s">
        <v>1265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12</v>
      </c>
      <c r="C527" s="11" t="s">
        <v>1320</v>
      </c>
      <c r="D527" s="15" t="s">
        <v>59</v>
      </c>
      <c r="E527" s="11" t="s">
        <v>26</v>
      </c>
      <c r="F527" s="11" t="s">
        <v>1321</v>
      </c>
      <c r="G527" s="12">
        <v>1817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1817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6</v>
      </c>
      <c r="C528" s="11" t="s">
        <v>1709</v>
      </c>
      <c r="D528" s="15" t="s">
        <v>78</v>
      </c>
      <c r="E528" s="11" t="s">
        <v>26</v>
      </c>
      <c r="F528" s="11" t="s">
        <v>1711</v>
      </c>
      <c r="G528" s="12">
        <v>1817</v>
      </c>
      <c r="H528" s="12"/>
      <c r="I528" s="12"/>
      <c r="J528" s="12">
        <v>1977</v>
      </c>
      <c r="K528" s="12">
        <f t="shared" si="105"/>
        <v>0</v>
      </c>
      <c r="L528" s="12">
        <f t="shared" si="106"/>
        <v>1817</v>
      </c>
      <c r="M528" s="12" t="str">
        <f t="shared" si="107"/>
        <v/>
      </c>
      <c r="N528" s="12">
        <f t="shared" si="108"/>
        <v>1977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16" customFormat="1" ht="28.5" customHeight="1">
      <c r="A529" s="11" t="str">
        <f t="shared" si="104"/>
        <v/>
      </c>
      <c r="B529" s="11" t="s">
        <v>6</v>
      </c>
      <c r="C529" s="11" t="s">
        <v>230</v>
      </c>
      <c r="D529" s="15" t="s">
        <v>78</v>
      </c>
      <c r="E529" s="11" t="s">
        <v>26</v>
      </c>
      <c r="F529" s="11" t="s">
        <v>231</v>
      </c>
      <c r="G529" s="12">
        <v>1818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334</v>
      </c>
      <c r="D530" s="15" t="s">
        <v>78</v>
      </c>
      <c r="E530" s="11" t="s">
        <v>26</v>
      </c>
      <c r="F530" s="11" t="s">
        <v>335</v>
      </c>
      <c r="G530" s="12">
        <v>1818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1274</v>
      </c>
      <c r="D531" s="11" t="s">
        <v>57</v>
      </c>
      <c r="E531" s="11" t="s">
        <v>26</v>
      </c>
      <c r="F531" s="11" t="s">
        <v>1275</v>
      </c>
      <c r="G531" s="12">
        <v>1818</v>
      </c>
      <c r="H531" s="12"/>
      <c r="I531" s="12"/>
      <c r="J531" s="12">
        <v>1819</v>
      </c>
      <c r="K531" s="12">
        <f t="shared" si="105"/>
        <v>0</v>
      </c>
      <c r="L531" s="12">
        <f t="shared" si="106"/>
        <v>1818</v>
      </c>
      <c r="M531" s="12" t="str">
        <f t="shared" si="107"/>
        <v/>
      </c>
      <c r="N531" s="12">
        <f t="shared" si="108"/>
        <v>1819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1556</v>
      </c>
      <c r="D532" s="11" t="s">
        <v>57</v>
      </c>
      <c r="E532" s="11" t="s">
        <v>26</v>
      </c>
      <c r="F532" s="11" t="s">
        <v>1557</v>
      </c>
      <c r="G532" s="12">
        <v>1818</v>
      </c>
      <c r="H532" s="12"/>
      <c r="I532" s="12"/>
      <c r="J532" s="12">
        <v>1819</v>
      </c>
      <c r="K532" s="12">
        <f t="shared" si="105"/>
        <v>0</v>
      </c>
      <c r="L532" s="12">
        <f t="shared" si="106"/>
        <v>1818</v>
      </c>
      <c r="M532" s="12" t="str">
        <f t="shared" si="107"/>
        <v/>
      </c>
      <c r="N532" s="12">
        <f t="shared" si="108"/>
        <v>1819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1302</v>
      </c>
      <c r="D535" s="15" t="s">
        <v>45</v>
      </c>
      <c r="E535" s="11" t="s">
        <v>26</v>
      </c>
      <c r="F535" s="11" t="s">
        <v>1303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16" customFormat="1" ht="28.5" customHeight="1">
      <c r="A536" s="11" t="str">
        <f t="shared" si="104"/>
        <v/>
      </c>
      <c r="B536" s="11" t="s">
        <v>6</v>
      </c>
      <c r="C536" s="11" t="s">
        <v>1238</v>
      </c>
      <c r="D536" s="11" t="s">
        <v>57</v>
      </c>
      <c r="E536" s="11" t="s">
        <v>26</v>
      </c>
      <c r="F536" s="11" t="s">
        <v>1239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402</v>
      </c>
      <c r="D537" s="11" t="s">
        <v>48</v>
      </c>
      <c r="E537" s="11" t="s">
        <v>26</v>
      </c>
      <c r="F537" s="11" t="s">
        <v>404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786</v>
      </c>
      <c r="D538" s="15" t="s">
        <v>45</v>
      </c>
      <c r="E538" s="11" t="s">
        <v>26</v>
      </c>
      <c r="F538" s="11" t="s">
        <v>787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1394</v>
      </c>
      <c r="D539" s="15" t="s">
        <v>59</v>
      </c>
      <c r="E539" s="11" t="s">
        <v>26</v>
      </c>
      <c r="F539" s="11" t="s">
        <v>1395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1714</v>
      </c>
      <c r="D540" s="15" t="s">
        <v>78</v>
      </c>
      <c r="E540" s="11" t="s">
        <v>26</v>
      </c>
      <c r="F540" s="11" t="s">
        <v>1715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14</v>
      </c>
      <c r="C541" s="11" t="s">
        <v>484</v>
      </c>
      <c r="D541" s="15" t="s">
        <v>45</v>
      </c>
      <c r="E541" s="11" t="s">
        <v>26</v>
      </c>
      <c r="F541" s="11" t="s">
        <v>485</v>
      </c>
      <c r="G541" s="12">
        <v>1819</v>
      </c>
      <c r="H541" s="12"/>
      <c r="I541" s="12"/>
      <c r="J541" s="12">
        <v>1808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1808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68</v>
      </c>
      <c r="D542" s="11" t="s">
        <v>69</v>
      </c>
      <c r="E542" s="11" t="s">
        <v>26</v>
      </c>
      <c r="F542" s="11" t="s">
        <v>70</v>
      </c>
      <c r="G542" s="12">
        <v>1819</v>
      </c>
      <c r="H542" s="12"/>
      <c r="I542" s="12"/>
      <c r="J542" s="12">
        <v>1814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882</v>
      </c>
      <c r="D543" s="15" t="s">
        <v>78</v>
      </c>
      <c r="E543" s="11" t="s">
        <v>26</v>
      </c>
      <c r="F543" s="11" t="s">
        <v>883</v>
      </c>
      <c r="G543" s="12">
        <v>1819</v>
      </c>
      <c r="H543" s="12"/>
      <c r="I543" s="12"/>
      <c r="J543" s="12">
        <v>1814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1814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8</v>
      </c>
      <c r="C544" s="11" t="s">
        <v>942</v>
      </c>
      <c r="D544" s="11" t="s">
        <v>57</v>
      </c>
      <c r="E544" s="11" t="s">
        <v>26</v>
      </c>
      <c r="F544" s="11" t="s">
        <v>943</v>
      </c>
      <c r="G544" s="12">
        <v>1819</v>
      </c>
      <c r="H544" s="12"/>
      <c r="I544" s="12"/>
      <c r="J544" s="12">
        <v>1815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1815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6</v>
      </c>
      <c r="C545" s="11" t="s">
        <v>517</v>
      </c>
      <c r="D545" s="15" t="s">
        <v>78</v>
      </c>
      <c r="E545" s="11" t="s">
        <v>26</v>
      </c>
      <c r="F545" s="11" t="s">
        <v>518</v>
      </c>
      <c r="G545" s="12">
        <v>1819</v>
      </c>
      <c r="H545" s="12"/>
      <c r="I545" s="12"/>
      <c r="J545" s="12">
        <v>1819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244</v>
      </c>
      <c r="D546" s="15" t="s">
        <v>78</v>
      </c>
      <c r="E546" s="11" t="s">
        <v>26</v>
      </c>
      <c r="F546" s="11" t="s">
        <v>245</v>
      </c>
      <c r="G546" s="12">
        <v>1819</v>
      </c>
      <c r="H546" s="12"/>
      <c r="I546" s="12"/>
      <c r="J546" s="12">
        <v>1823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1743</v>
      </c>
      <c r="D547" s="11" t="s">
        <v>102</v>
      </c>
      <c r="E547" s="11" t="s">
        <v>26</v>
      </c>
      <c r="F547" s="11" t="s">
        <v>1744</v>
      </c>
      <c r="G547" s="12">
        <v>1819</v>
      </c>
      <c r="H547" s="12"/>
      <c r="I547" s="12"/>
      <c r="J547" s="12">
        <v>1824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745</v>
      </c>
      <c r="D548" s="15" t="s">
        <v>45</v>
      </c>
      <c r="E548" s="11" t="s">
        <v>26</v>
      </c>
      <c r="F548" s="11" t="s">
        <v>746</v>
      </c>
      <c r="G548" s="12">
        <v>1819</v>
      </c>
      <c r="H548" s="12"/>
      <c r="I548" s="12"/>
      <c r="J548" s="12">
        <v>1839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1839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390</v>
      </c>
      <c r="D549" s="15" t="s">
        <v>59</v>
      </c>
      <c r="E549" s="11" t="s">
        <v>26</v>
      </c>
      <c r="F549" s="11" t="s">
        <v>391</v>
      </c>
      <c r="G549" s="12">
        <v>1822</v>
      </c>
      <c r="H549" s="12"/>
      <c r="I549" s="12"/>
      <c r="J549" s="12">
        <v>1797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1797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110</v>
      </c>
      <c r="D550" s="11" t="s">
        <v>57</v>
      </c>
      <c r="E550" s="11" t="s">
        <v>26</v>
      </c>
      <c r="F550" s="11" t="s">
        <v>111</v>
      </c>
      <c r="G550" s="12">
        <v>1822</v>
      </c>
      <c r="H550" s="12"/>
      <c r="I550" s="12"/>
      <c r="J550" s="12">
        <v>1802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1608</v>
      </c>
      <c r="D551" s="11" t="s">
        <v>57</v>
      </c>
      <c r="E551" s="11" t="s">
        <v>26</v>
      </c>
      <c r="F551" s="11" t="s">
        <v>1610</v>
      </c>
      <c r="G551" s="12">
        <v>1822</v>
      </c>
      <c r="H551" s="12"/>
      <c r="I551" s="12"/>
      <c r="J551" s="12">
        <v>1802</v>
      </c>
      <c r="K551" s="12">
        <f t="shared" si="105"/>
        <v>0</v>
      </c>
      <c r="L551" s="12">
        <f t="shared" si="106"/>
        <v>1822</v>
      </c>
      <c r="M551" s="12" t="str">
        <f t="shared" si="107"/>
        <v/>
      </c>
      <c r="N551" s="12">
        <f t="shared" si="108"/>
        <v>1802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7" customFormat="1" ht="28.5" customHeight="1">
      <c r="A552" s="11" t="str">
        <f t="shared" si="104"/>
        <v/>
      </c>
      <c r="B552" s="11" t="s">
        <v>10</v>
      </c>
      <c r="C552" s="11" t="s">
        <v>316</v>
      </c>
      <c r="D552" s="11" t="s">
        <v>48</v>
      </c>
      <c r="E552" s="11" t="s">
        <v>26</v>
      </c>
      <c r="F552" s="11" t="s">
        <v>317</v>
      </c>
      <c r="G552" s="12">
        <v>1822</v>
      </c>
      <c r="H552" s="12"/>
      <c r="I552" s="12"/>
      <c r="J552" s="12">
        <v>1807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1807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14</v>
      </c>
      <c r="C553" s="11" t="s">
        <v>1111</v>
      </c>
      <c r="D553" s="15" t="s">
        <v>45</v>
      </c>
      <c r="E553" s="11" t="s">
        <v>26</v>
      </c>
      <c r="F553" s="11" t="s">
        <v>1112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1053</v>
      </c>
      <c r="D554" s="11" t="s">
        <v>57</v>
      </c>
      <c r="E554" s="11" t="s">
        <v>26</v>
      </c>
      <c r="F554" s="11" t="s">
        <v>1054</v>
      </c>
      <c r="G554" s="12">
        <v>1823</v>
      </c>
      <c r="H554" s="12"/>
      <c r="I554" s="12"/>
      <c r="J554" s="12">
        <v>1823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1823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6</v>
      </c>
      <c r="C555" s="11" t="s">
        <v>645</v>
      </c>
      <c r="D555" s="15" t="s">
        <v>45</v>
      </c>
      <c r="E555" s="11" t="s">
        <v>26</v>
      </c>
      <c r="F555" s="11" t="s">
        <v>646</v>
      </c>
      <c r="G555" s="12">
        <v>1824</v>
      </c>
      <c r="H555" s="12"/>
      <c r="I555" s="12"/>
      <c r="J555" s="12">
        <v>1812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1812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8</v>
      </c>
      <c r="C556" s="11" t="s">
        <v>1665</v>
      </c>
      <c r="D556" s="11" t="s">
        <v>78</v>
      </c>
      <c r="E556" s="11" t="s">
        <v>26</v>
      </c>
      <c r="F556" s="11" t="s">
        <v>1750</v>
      </c>
      <c r="G556" s="12">
        <v>1824</v>
      </c>
      <c r="H556" s="12"/>
      <c r="I556" s="12"/>
      <c r="J556" s="12">
        <v>1813</v>
      </c>
      <c r="K556" s="12">
        <f t="shared" si="105"/>
        <v>0</v>
      </c>
      <c r="L556" s="12">
        <f t="shared" si="106"/>
        <v>1824</v>
      </c>
      <c r="M556" s="12" t="str">
        <f t="shared" si="107"/>
        <v/>
      </c>
      <c r="N556" s="12">
        <f t="shared" si="108"/>
        <v>1813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300</v>
      </c>
      <c r="D557" s="15" t="s">
        <v>45</v>
      </c>
      <c r="E557" s="11" t="s">
        <v>26</v>
      </c>
      <c r="F557" s="11" t="s">
        <v>301</v>
      </c>
      <c r="G557" s="12">
        <v>1824</v>
      </c>
      <c r="H557" s="12"/>
      <c r="I557" s="12"/>
      <c r="J557" s="12">
        <v>1824</v>
      </c>
      <c r="K557" s="12">
        <f t="shared" si="105"/>
        <v>0</v>
      </c>
      <c r="L557" s="12">
        <f t="shared" si="106"/>
        <v>1824</v>
      </c>
      <c r="M557" s="12" t="str">
        <f t="shared" si="107"/>
        <v/>
      </c>
      <c r="N557" s="12">
        <f t="shared" si="108"/>
        <v>1824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1542</v>
      </c>
      <c r="D558" s="15" t="s">
        <v>78</v>
      </c>
      <c r="E558" s="11" t="s">
        <v>26</v>
      </c>
      <c r="F558" s="11" t="s">
        <v>1543</v>
      </c>
      <c r="G558" s="12">
        <v>1825</v>
      </c>
      <c r="H558" s="12"/>
      <c r="I558" s="12"/>
      <c r="J558" s="12">
        <v>1789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1789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282</v>
      </c>
      <c r="D559" s="11" t="s">
        <v>57</v>
      </c>
      <c r="E559" s="11" t="s">
        <v>26</v>
      </c>
      <c r="F559" s="11" t="s">
        <v>283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308</v>
      </c>
      <c r="D560" s="15" t="s">
        <v>45</v>
      </c>
      <c r="E560" s="11" t="s">
        <v>26</v>
      </c>
      <c r="F560" s="11" t="s">
        <v>309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310</v>
      </c>
      <c r="D561" s="15" t="s">
        <v>45</v>
      </c>
      <c r="E561" s="11" t="s">
        <v>26</v>
      </c>
      <c r="F561" s="11" t="s">
        <v>311</v>
      </c>
      <c r="G561" s="12">
        <v>1825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1510</v>
      </c>
      <c r="D562" s="11" t="s">
        <v>57</v>
      </c>
      <c r="E562" s="11" t="s">
        <v>26</v>
      </c>
      <c r="F562" s="11" t="s">
        <v>1511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77</v>
      </c>
      <c r="D563" s="15" t="s">
        <v>78</v>
      </c>
      <c r="E563" s="11" t="s">
        <v>26</v>
      </c>
      <c r="F563" s="11" t="s">
        <v>79</v>
      </c>
      <c r="G563" s="12">
        <v>1825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44</v>
      </c>
      <c r="D564" s="15" t="s">
        <v>45</v>
      </c>
      <c r="E564" s="11" t="s">
        <v>26</v>
      </c>
      <c r="F564" s="11" t="s">
        <v>46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674</v>
      </c>
      <c r="D565" s="11" t="s">
        <v>48</v>
      </c>
      <c r="E565" s="11" t="s">
        <v>26</v>
      </c>
      <c r="F565" s="11" t="s">
        <v>675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394</v>
      </c>
      <c r="D566" s="11" t="s">
        <v>48</v>
      </c>
      <c r="E566" s="11" t="s">
        <v>26</v>
      </c>
      <c r="F566" s="11" t="s">
        <v>395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10</v>
      </c>
      <c r="C567" s="11" t="s">
        <v>764</v>
      </c>
      <c r="D567" s="15" t="s">
        <v>59</v>
      </c>
      <c r="E567" s="11" t="s">
        <v>26</v>
      </c>
      <c r="F567" s="11" t="s">
        <v>765</v>
      </c>
      <c r="G567" s="12">
        <v>1825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1207</v>
      </c>
      <c r="D568" s="11" t="s">
        <v>48</v>
      </c>
      <c r="E568" s="11" t="s">
        <v>26</v>
      </c>
      <c r="F568" s="11" t="s">
        <v>1208</v>
      </c>
      <c r="G568" s="12">
        <v>1825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1340</v>
      </c>
      <c r="D569" s="11" t="s">
        <v>57</v>
      </c>
      <c r="E569" s="11" t="s">
        <v>26</v>
      </c>
      <c r="F569" s="11" t="s">
        <v>1341</v>
      </c>
      <c r="G569" s="12">
        <v>1825</v>
      </c>
      <c r="H569" s="12"/>
      <c r="I569" s="12"/>
      <c r="J569" s="12">
        <v>1805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1745</v>
      </c>
      <c r="D570" s="11" t="s">
        <v>57</v>
      </c>
      <c r="E570" s="11" t="s">
        <v>26</v>
      </c>
      <c r="F570" s="11" t="s">
        <v>442</v>
      </c>
      <c r="G570" s="12">
        <v>1825</v>
      </c>
      <c r="H570" s="12"/>
      <c r="I570" s="12"/>
      <c r="J570" s="12">
        <v>1808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1808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16" customFormat="1" ht="28.5" customHeight="1">
      <c r="A571" s="11" t="str">
        <f t="shared" si="104"/>
        <v/>
      </c>
      <c r="B571" s="11" t="s">
        <v>18</v>
      </c>
      <c r="C571" s="11" t="s">
        <v>1211</v>
      </c>
      <c r="D571" s="15" t="s">
        <v>45</v>
      </c>
      <c r="E571" s="11" t="s">
        <v>26</v>
      </c>
      <c r="F571" s="11" t="s">
        <v>1212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18</v>
      </c>
      <c r="C572" s="11" t="s">
        <v>1643</v>
      </c>
      <c r="D572" s="15" t="s">
        <v>45</v>
      </c>
      <c r="E572" s="11" t="s">
        <v>26</v>
      </c>
      <c r="F572" s="11" t="s">
        <v>1644</v>
      </c>
      <c r="G572" s="12">
        <v>1825</v>
      </c>
      <c r="H572" s="12"/>
      <c r="I572" s="12"/>
      <c r="J572" s="12">
        <v>1809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1809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10</v>
      </c>
      <c r="C573" s="11" t="s">
        <v>682</v>
      </c>
      <c r="D573" s="11" t="s">
        <v>102</v>
      </c>
      <c r="E573" s="11" t="s">
        <v>26</v>
      </c>
      <c r="F573" s="11" t="s">
        <v>683</v>
      </c>
      <c r="G573" s="12">
        <v>1825</v>
      </c>
      <c r="H573" s="12"/>
      <c r="I573" s="12"/>
      <c r="J573" s="12">
        <v>1809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1809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228</v>
      </c>
      <c r="D574" s="15" t="s">
        <v>78</v>
      </c>
      <c r="E574" s="11" t="s">
        <v>26</v>
      </c>
      <c r="F574" s="11" t="s">
        <v>229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719</v>
      </c>
      <c r="D575" s="15" t="s">
        <v>45</v>
      </c>
      <c r="E575" s="11" t="s">
        <v>26</v>
      </c>
      <c r="F575" s="11" t="s">
        <v>721</v>
      </c>
      <c r="G575" s="12">
        <v>1825</v>
      </c>
      <c r="H575" s="12"/>
      <c r="I575" s="12"/>
      <c r="J575" s="12">
        <v>1810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1810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6</v>
      </c>
      <c r="C576" s="11" t="s">
        <v>1354</v>
      </c>
      <c r="D576" s="11" t="s">
        <v>57</v>
      </c>
      <c r="E576" s="11" t="s">
        <v>26</v>
      </c>
      <c r="F576" s="11" t="s">
        <v>1355</v>
      </c>
      <c r="G576" s="12">
        <v>1825</v>
      </c>
      <c r="H576" s="12"/>
      <c r="I576" s="12"/>
      <c r="J576" s="12">
        <v>1810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1810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1065</v>
      </c>
      <c r="D577" s="15" t="s">
        <v>78</v>
      </c>
      <c r="E577" s="11" t="s">
        <v>26</v>
      </c>
      <c r="F577" s="11" t="s">
        <v>1066</v>
      </c>
      <c r="G577" s="12">
        <v>1825</v>
      </c>
      <c r="H577" s="12"/>
      <c r="I577" s="12"/>
      <c r="J577" s="12">
        <v>1812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1069</v>
      </c>
      <c r="D578" s="11" t="s">
        <v>48</v>
      </c>
      <c r="E578" s="11" t="s">
        <v>26</v>
      </c>
      <c r="F578" s="11" t="s">
        <v>1070</v>
      </c>
      <c r="G578" s="12">
        <v>1825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561</v>
      </c>
      <c r="D579" s="15" t="s">
        <v>45</v>
      </c>
      <c r="E579" s="11" t="s">
        <v>26</v>
      </c>
      <c r="F579" s="11" t="s">
        <v>564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570</v>
      </c>
      <c r="D580" s="15" t="s">
        <v>78</v>
      </c>
      <c r="E580" s="11" t="s">
        <v>26</v>
      </c>
      <c r="F580" s="11" t="s">
        <v>571</v>
      </c>
      <c r="G580" s="12">
        <v>1825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1223</v>
      </c>
      <c r="D581" s="11" t="s">
        <v>57</v>
      </c>
      <c r="E581" s="11" t="s">
        <v>26</v>
      </c>
      <c r="F581" s="11" t="s">
        <v>1224</v>
      </c>
      <c r="G581" s="12">
        <v>1825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160</v>
      </c>
      <c r="D582" s="15" t="s">
        <v>59</v>
      </c>
      <c r="E582" s="11" t="s">
        <v>26</v>
      </c>
      <c r="F582" s="11" t="s">
        <v>161</v>
      </c>
      <c r="G582" s="12">
        <v>1825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1718</v>
      </c>
      <c r="D583" s="15" t="s">
        <v>45</v>
      </c>
      <c r="E583" s="11" t="s">
        <v>26</v>
      </c>
      <c r="F583" s="11" t="s">
        <v>1719</v>
      </c>
      <c r="G583" s="12">
        <v>1825</v>
      </c>
      <c r="H583" s="12"/>
      <c r="I583" s="12"/>
      <c r="J583" s="12">
        <v>1815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1815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1576</v>
      </c>
      <c r="D584" s="11" t="s">
        <v>57</v>
      </c>
      <c r="E584" s="11" t="s">
        <v>26</v>
      </c>
      <c r="F584" s="11" t="s">
        <v>1578</v>
      </c>
      <c r="G584" s="12">
        <v>1825</v>
      </c>
      <c r="H584" s="12"/>
      <c r="I584" s="12"/>
      <c r="J584" s="12">
        <v>1819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1819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14</v>
      </c>
      <c r="C585" s="11" t="s">
        <v>1635</v>
      </c>
      <c r="D585" s="11" t="s">
        <v>57</v>
      </c>
      <c r="E585" s="11" t="s">
        <v>26</v>
      </c>
      <c r="F585" s="11" t="s">
        <v>1636</v>
      </c>
      <c r="G585" s="12">
        <v>1825</v>
      </c>
      <c r="H585" s="12"/>
      <c r="I585" s="12"/>
      <c r="J585" s="12">
        <v>1819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1819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1604</v>
      </c>
      <c r="D586" s="11" t="s">
        <v>48</v>
      </c>
      <c r="E586" s="11" t="s">
        <v>26</v>
      </c>
      <c r="F586" s="11" t="s">
        <v>1605</v>
      </c>
      <c r="G586" s="12">
        <v>1828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8</v>
      </c>
      <c r="C587" s="11" t="s">
        <v>1469</v>
      </c>
      <c r="D587" s="15" t="s">
        <v>45</v>
      </c>
      <c r="E587" s="11" t="s">
        <v>26</v>
      </c>
      <c r="F587" s="11" t="s">
        <v>1470</v>
      </c>
      <c r="G587" s="12">
        <v>1828</v>
      </c>
      <c r="H587" s="12"/>
      <c r="I587" s="12"/>
      <c r="J587" s="12">
        <v>1805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1805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1308</v>
      </c>
      <c r="D588" s="11" t="s">
        <v>93</v>
      </c>
      <c r="E588" s="11" t="s">
        <v>60</v>
      </c>
      <c r="F588" s="11" t="s">
        <v>1309</v>
      </c>
      <c r="G588" s="12">
        <v>1828</v>
      </c>
      <c r="H588" s="12"/>
      <c r="I588" s="12"/>
      <c r="J588" s="12">
        <v>1812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1812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464</v>
      </c>
      <c r="D589" s="15" t="s">
        <v>59</v>
      </c>
      <c r="E589" s="11" t="s">
        <v>26</v>
      </c>
      <c r="F589" s="11" t="s">
        <v>465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6</v>
      </c>
      <c r="C590" s="11" t="s">
        <v>541</v>
      </c>
      <c r="D590" s="15" t="s">
        <v>45</v>
      </c>
      <c r="E590" s="11" t="s">
        <v>26</v>
      </c>
      <c r="F590" s="11" t="s">
        <v>542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1746</v>
      </c>
      <c r="D591" s="11" t="s">
        <v>45</v>
      </c>
      <c r="E591" s="11" t="s">
        <v>26</v>
      </c>
      <c r="F591" s="11" t="s">
        <v>1747</v>
      </c>
      <c r="G591" s="12">
        <v>1828</v>
      </c>
      <c r="H591" s="12"/>
      <c r="I591" s="12"/>
      <c r="J591" s="12">
        <v>1813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1813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1522</v>
      </c>
      <c r="D592" s="15" t="s">
        <v>45</v>
      </c>
      <c r="E592" s="11" t="s">
        <v>26</v>
      </c>
      <c r="F592" s="11" t="s">
        <v>1523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1558</v>
      </c>
      <c r="D593" s="11" t="s">
        <v>57</v>
      </c>
      <c r="E593" s="11" t="s">
        <v>26</v>
      </c>
      <c r="F593" s="11" t="s">
        <v>1559</v>
      </c>
      <c r="G593" s="12">
        <v>1828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1254</v>
      </c>
      <c r="D594" s="15" t="s">
        <v>59</v>
      </c>
      <c r="E594" s="11" t="s">
        <v>26</v>
      </c>
      <c r="F594" s="11" t="s">
        <v>1255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729</v>
      </c>
      <c r="D595" s="15" t="s">
        <v>59</v>
      </c>
      <c r="E595" s="11" t="s">
        <v>26</v>
      </c>
      <c r="F595" s="11" t="s">
        <v>730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1015</v>
      </c>
      <c r="D596" s="11" t="s">
        <v>57</v>
      </c>
      <c r="E596" s="11" t="s">
        <v>26</v>
      </c>
      <c r="F596" s="11" t="s">
        <v>1016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1665</v>
      </c>
      <c r="D597" s="15" t="s">
        <v>45</v>
      </c>
      <c r="E597" s="11" t="s">
        <v>60</v>
      </c>
      <c r="F597" s="11" t="s">
        <v>1667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826</v>
      </c>
      <c r="D598" s="15" t="s">
        <v>59</v>
      </c>
      <c r="E598" s="11" t="s">
        <v>26</v>
      </c>
      <c r="F598" s="11" t="s">
        <v>827</v>
      </c>
      <c r="G598" s="12">
        <v>1828</v>
      </c>
      <c r="H598" s="12"/>
      <c r="I598" s="12"/>
      <c r="J598" s="12">
        <v>1838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1838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1380</v>
      </c>
      <c r="D599" s="11" t="s">
        <v>57</v>
      </c>
      <c r="E599" s="11" t="s">
        <v>60</v>
      </c>
      <c r="F599" s="11" t="s">
        <v>1381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709</v>
      </c>
      <c r="D601" s="15" t="s">
        <v>45</v>
      </c>
      <c r="E601" s="11" t="s">
        <v>26</v>
      </c>
      <c r="F601" s="11" t="s">
        <v>710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1167</v>
      </c>
      <c r="D602" s="15" t="s">
        <v>45</v>
      </c>
      <c r="E602" s="11" t="s">
        <v>26</v>
      </c>
      <c r="F602" s="11" t="s">
        <v>1168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226</v>
      </c>
      <c r="D603" s="15" t="s">
        <v>78</v>
      </c>
      <c r="E603" s="11" t="s">
        <v>26</v>
      </c>
      <c r="F603" s="11" t="s">
        <v>227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928</v>
      </c>
      <c r="D604" s="11" t="s">
        <v>57</v>
      </c>
      <c r="E604" s="11" t="s">
        <v>26</v>
      </c>
      <c r="F604" s="11" t="s">
        <v>929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996</v>
      </c>
      <c r="D605" s="11" t="s">
        <v>57</v>
      </c>
      <c r="E605" s="11" t="s">
        <v>26</v>
      </c>
      <c r="F605" s="11" t="s">
        <v>998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574</v>
      </c>
      <c r="D606" s="15" t="s">
        <v>78</v>
      </c>
      <c r="E606" s="11" t="s">
        <v>26</v>
      </c>
      <c r="F606" s="11" t="s">
        <v>575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1748</v>
      </c>
      <c r="D608" s="11" t="s">
        <v>48</v>
      </c>
      <c r="E608" s="11" t="s">
        <v>26</v>
      </c>
      <c r="F608" s="11" t="s">
        <v>1749</v>
      </c>
      <c r="G608" s="12">
        <v>1829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455</v>
      </c>
      <c r="D609" s="11" t="s">
        <v>48</v>
      </c>
      <c r="E609" s="11" t="s">
        <v>26</v>
      </c>
      <c r="F609" s="11" t="s">
        <v>457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788</v>
      </c>
      <c r="D610" s="11" t="s">
        <v>57</v>
      </c>
      <c r="E610" s="11" t="s">
        <v>26</v>
      </c>
      <c r="F610" s="11" t="s">
        <v>790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948</v>
      </c>
      <c r="D611" s="15" t="s">
        <v>57</v>
      </c>
      <c r="E611" s="11" t="s">
        <v>26</v>
      </c>
      <c r="F611" s="11" t="s">
        <v>949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1548</v>
      </c>
      <c r="D612" s="11" t="s">
        <v>48</v>
      </c>
      <c r="E612" s="11" t="s">
        <v>26</v>
      </c>
      <c r="F612" s="11" t="s">
        <v>1549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1235</v>
      </c>
      <c r="D614" s="15" t="s">
        <v>59</v>
      </c>
      <c r="E614" s="11" t="s">
        <v>26</v>
      </c>
      <c r="F614" s="11" t="s">
        <v>1237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1651</v>
      </c>
      <c r="D615" s="15" t="s">
        <v>57</v>
      </c>
      <c r="E615" s="11" t="s">
        <v>26</v>
      </c>
      <c r="F615" s="11" t="s">
        <v>1652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7" customFormat="1" ht="28.5" customHeight="1">
      <c r="A616" s="11" t="str">
        <f t="shared" si="117"/>
        <v/>
      </c>
      <c r="B616" s="11" t="s">
        <v>10</v>
      </c>
      <c r="C616" s="11" t="s">
        <v>322</v>
      </c>
      <c r="D616" s="15" t="s">
        <v>45</v>
      </c>
      <c r="E616" s="11" t="s">
        <v>26</v>
      </c>
      <c r="F616" s="11" t="s">
        <v>323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876</v>
      </c>
      <c r="D617" s="11" t="s">
        <v>57</v>
      </c>
      <c r="E617" s="11" t="s">
        <v>26</v>
      </c>
      <c r="F617" s="11" t="s">
        <v>877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1100</v>
      </c>
      <c r="D618" s="11" t="s">
        <v>48</v>
      </c>
      <c r="E618" s="11" t="s">
        <v>26</v>
      </c>
      <c r="F618" s="11" t="s">
        <v>1102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1348</v>
      </c>
      <c r="D619" s="15" t="s">
        <v>78</v>
      </c>
      <c r="E619" s="11" t="s">
        <v>26</v>
      </c>
      <c r="F619" s="11" t="s">
        <v>1349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1350</v>
      </c>
      <c r="D620" s="15" t="s">
        <v>59</v>
      </c>
      <c r="E620" s="11" t="s">
        <v>26</v>
      </c>
      <c r="F620" s="11" t="s">
        <v>1351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1686</v>
      </c>
      <c r="D621" s="15" t="s">
        <v>45</v>
      </c>
      <c r="E621" s="11" t="s">
        <v>26</v>
      </c>
      <c r="F621" s="11" t="s">
        <v>1687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8</v>
      </c>
      <c r="C622" s="11" t="s">
        <v>944</v>
      </c>
      <c r="D622" s="11" t="s">
        <v>69</v>
      </c>
      <c r="E622" s="11" t="s">
        <v>26</v>
      </c>
      <c r="F622" s="11" t="s">
        <v>945</v>
      </c>
      <c r="G622" s="12">
        <v>1829</v>
      </c>
      <c r="H622" s="12"/>
      <c r="I622" s="12"/>
      <c r="J622" s="12">
        <v>1820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380</v>
      </c>
      <c r="D623" s="15" t="s">
        <v>59</v>
      </c>
      <c r="E623" s="11" t="s">
        <v>26</v>
      </c>
      <c r="F623" s="11" t="s">
        <v>381</v>
      </c>
      <c r="G623" s="12">
        <v>1829</v>
      </c>
      <c r="H623" s="12"/>
      <c r="I623" s="12"/>
      <c r="J623" s="12">
        <v>1828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1828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482</v>
      </c>
      <c r="D624" s="15" t="s">
        <v>45</v>
      </c>
      <c r="E624" s="11" t="s">
        <v>26</v>
      </c>
      <c r="F624" s="11" t="s">
        <v>483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505</v>
      </c>
      <c r="D625" s="11" t="s">
        <v>57</v>
      </c>
      <c r="E625" s="11" t="s">
        <v>26</v>
      </c>
      <c r="F625" s="11" t="s">
        <v>506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812</v>
      </c>
      <c r="D626" s="11" t="s">
        <v>48</v>
      </c>
      <c r="E626" s="11" t="s">
        <v>26</v>
      </c>
      <c r="F626" s="11" t="s">
        <v>813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874</v>
      </c>
      <c r="D627" s="11" t="s">
        <v>57</v>
      </c>
      <c r="E627" s="11" t="s">
        <v>26</v>
      </c>
      <c r="F627" s="11" t="s">
        <v>875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1051</v>
      </c>
      <c r="D628" s="15" t="s">
        <v>78</v>
      </c>
      <c r="E628" s="11" t="s">
        <v>26</v>
      </c>
      <c r="F628" s="11" t="s">
        <v>1052</v>
      </c>
      <c r="G628" s="12">
        <v>1829</v>
      </c>
      <c r="H628" s="12"/>
      <c r="I628" s="12"/>
      <c r="J628" s="12">
        <v>1848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1848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16</v>
      </c>
      <c r="C629" s="11" t="s">
        <v>50</v>
      </c>
      <c r="D629" s="11" t="s">
        <v>48</v>
      </c>
      <c r="E629" s="11" t="s">
        <v>26</v>
      </c>
      <c r="F629" s="11" t="s">
        <v>51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741</v>
      </c>
      <c r="D630" s="11" t="s">
        <v>93</v>
      </c>
      <c r="E630" s="11" t="s">
        <v>26</v>
      </c>
      <c r="F630" s="11" t="s">
        <v>742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776</v>
      </c>
      <c r="D631" s="11" t="s">
        <v>93</v>
      </c>
      <c r="E631" s="11" t="s">
        <v>26</v>
      </c>
      <c r="F631" s="11" t="s">
        <v>777</v>
      </c>
      <c r="G631" s="12">
        <v>1830</v>
      </c>
      <c r="H631" s="12"/>
      <c r="I631" s="12"/>
      <c r="J631" s="12">
        <v>1790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1790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1187</v>
      </c>
      <c r="D634" s="15" t="s">
        <v>45</v>
      </c>
      <c r="E634" s="11" t="s">
        <v>26</v>
      </c>
      <c r="F634" s="11" t="s">
        <v>1188</v>
      </c>
      <c r="G634" s="12">
        <v>1830</v>
      </c>
      <c r="H634" s="12"/>
      <c r="I634" s="12"/>
      <c r="J634" s="12">
        <v>1820</v>
      </c>
      <c r="K634" s="12">
        <f t="shared" si="118"/>
        <v>0</v>
      </c>
      <c r="L634" s="12">
        <f t="shared" si="119"/>
        <v>1830</v>
      </c>
      <c r="M634" s="12" t="str">
        <f t="shared" si="120"/>
        <v/>
      </c>
      <c r="N634" s="12">
        <f t="shared" si="121"/>
        <v>1820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12</v>
      </c>
      <c r="C635" s="11" t="s">
        <v>286</v>
      </c>
      <c r="D635" s="11" t="s">
        <v>102</v>
      </c>
      <c r="E635" s="11" t="s">
        <v>26</v>
      </c>
      <c r="F635" s="11" t="s">
        <v>287</v>
      </c>
      <c r="G635" s="12">
        <v>1831</v>
      </c>
      <c r="H635" s="12"/>
      <c r="I635" s="12"/>
      <c r="J635" s="12">
        <v>1824</v>
      </c>
      <c r="K635" s="12">
        <f t="shared" si="118"/>
        <v>0</v>
      </c>
      <c r="L635" s="12">
        <f t="shared" si="119"/>
        <v>1831</v>
      </c>
      <c r="M635" s="12" t="str">
        <f t="shared" si="120"/>
        <v/>
      </c>
      <c r="N635" s="12">
        <f t="shared" si="121"/>
        <v>1824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1141</v>
      </c>
      <c r="D636" s="15" t="s">
        <v>45</v>
      </c>
      <c r="E636" s="11" t="s">
        <v>26</v>
      </c>
      <c r="F636" s="11" t="s">
        <v>1142</v>
      </c>
      <c r="G636" s="12">
        <v>1832</v>
      </c>
      <c r="H636" s="12"/>
      <c r="I636" s="12"/>
      <c r="J636" s="12">
        <v>1812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1812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6</v>
      </c>
      <c r="C637" s="11" t="s">
        <v>128</v>
      </c>
      <c r="D637" s="15" t="s">
        <v>45</v>
      </c>
      <c r="E637" s="11" t="s">
        <v>26</v>
      </c>
      <c r="F637" s="11" t="s">
        <v>129</v>
      </c>
      <c r="G637" s="12">
        <v>1832</v>
      </c>
      <c r="H637" s="12"/>
      <c r="I637" s="12"/>
      <c r="J637" s="12">
        <v>1812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1812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18</v>
      </c>
      <c r="C638" s="11" t="s">
        <v>99</v>
      </c>
      <c r="D638" s="11" t="s">
        <v>57</v>
      </c>
      <c r="E638" s="11" t="s">
        <v>26</v>
      </c>
      <c r="F638" s="11" t="s">
        <v>100</v>
      </c>
      <c r="G638" s="12">
        <v>1832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1832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14</v>
      </c>
      <c r="C639" s="11" t="s">
        <v>112</v>
      </c>
      <c r="D639" s="15" t="s">
        <v>78</v>
      </c>
      <c r="E639" s="11" t="s">
        <v>26</v>
      </c>
      <c r="F639" s="11" t="s">
        <v>113</v>
      </c>
      <c r="G639" s="12">
        <v>1833</v>
      </c>
      <c r="H639" s="12"/>
      <c r="I639" s="12"/>
      <c r="J639" s="12">
        <v>1813</v>
      </c>
      <c r="K639" s="12">
        <f t="shared" si="118"/>
        <v>0</v>
      </c>
      <c r="L639" s="12">
        <f t="shared" si="119"/>
        <v>1833</v>
      </c>
      <c r="M639" s="12" t="str">
        <f t="shared" si="120"/>
        <v/>
      </c>
      <c r="N639" s="12">
        <f t="shared" si="121"/>
        <v>1813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14</v>
      </c>
      <c r="C640" s="11" t="s">
        <v>1374</v>
      </c>
      <c r="D640" s="11" t="s">
        <v>57</v>
      </c>
      <c r="E640" s="11" t="s">
        <v>26</v>
      </c>
      <c r="F640" s="11" t="s">
        <v>1375</v>
      </c>
      <c r="G640" s="12">
        <v>1833</v>
      </c>
      <c r="H640" s="12"/>
      <c r="I640" s="12"/>
      <c r="J640" s="12">
        <v>1813</v>
      </c>
      <c r="K640" s="12">
        <f t="shared" si="118"/>
        <v>0</v>
      </c>
      <c r="L640" s="12">
        <f t="shared" si="119"/>
        <v>1833</v>
      </c>
      <c r="M640" s="12" t="str">
        <f t="shared" si="120"/>
        <v/>
      </c>
      <c r="N640" s="12">
        <f t="shared" si="121"/>
        <v>1813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12</v>
      </c>
      <c r="C641" s="11" t="s">
        <v>1617</v>
      </c>
      <c r="D641" s="11" t="s">
        <v>57</v>
      </c>
      <c r="E641" s="11" t="s">
        <v>26</v>
      </c>
      <c r="F641" s="11" t="s">
        <v>1618</v>
      </c>
      <c r="G641" s="12">
        <v>1834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1524</v>
      </c>
      <c r="D642" s="11" t="s">
        <v>69</v>
      </c>
      <c r="E642" s="11" t="s">
        <v>26</v>
      </c>
      <c r="F642" s="11" t="s">
        <v>1525</v>
      </c>
      <c r="G642" s="12">
        <v>1834</v>
      </c>
      <c r="H642" s="12"/>
      <c r="I642" s="12"/>
      <c r="J642" s="12">
        <v>1819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1819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1057</v>
      </c>
      <c r="D643" s="11" t="s">
        <v>57</v>
      </c>
      <c r="E643" s="11" t="s">
        <v>26</v>
      </c>
      <c r="F643" s="11" t="s">
        <v>1058</v>
      </c>
      <c r="G643" s="12">
        <v>1834</v>
      </c>
      <c r="H643" s="12"/>
      <c r="I643" s="12"/>
      <c r="J643" s="12">
        <v>1822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1822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10</v>
      </c>
      <c r="C644" s="11" t="s">
        <v>755</v>
      </c>
      <c r="D644" s="15" t="s">
        <v>45</v>
      </c>
      <c r="E644" s="11" t="s">
        <v>26</v>
      </c>
      <c r="F644" s="11" t="s">
        <v>756</v>
      </c>
      <c r="G644" s="12">
        <v>1834</v>
      </c>
      <c r="H644" s="12"/>
      <c r="I644" s="12"/>
      <c r="J644" s="12">
        <v>1823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1823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7" customFormat="1" ht="28.5" customHeight="1">
      <c r="A645" s="11" t="str">
        <f t="shared" si="117"/>
        <v/>
      </c>
      <c r="B645" s="11" t="s">
        <v>10</v>
      </c>
      <c r="C645" s="11" t="s">
        <v>680</v>
      </c>
      <c r="D645" s="11" t="s">
        <v>102</v>
      </c>
      <c r="E645" s="11" t="s">
        <v>26</v>
      </c>
      <c r="F645" s="11" t="s">
        <v>681</v>
      </c>
      <c r="G645" s="12">
        <v>1834</v>
      </c>
      <c r="H645" s="12"/>
      <c r="I645" s="12"/>
      <c r="J645" s="12">
        <v>1824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1824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8</v>
      </c>
      <c r="C646" s="11" t="s">
        <v>497</v>
      </c>
      <c r="D646" s="15" t="s">
        <v>45</v>
      </c>
      <c r="E646" s="11" t="s">
        <v>26</v>
      </c>
      <c r="F646" s="11" t="s">
        <v>498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8</v>
      </c>
      <c r="C647" s="11" t="s">
        <v>964</v>
      </c>
      <c r="D647" s="11" t="s">
        <v>69</v>
      </c>
      <c r="E647" s="11" t="s">
        <v>26</v>
      </c>
      <c r="F647" s="11" t="s">
        <v>965</v>
      </c>
      <c r="G647" s="12">
        <v>1834</v>
      </c>
      <c r="H647" s="12"/>
      <c r="I647" s="12"/>
      <c r="J647" s="12">
        <v>1834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1834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1592</v>
      </c>
      <c r="D648" s="15" t="s">
        <v>59</v>
      </c>
      <c r="E648" s="11" t="s">
        <v>26</v>
      </c>
      <c r="F648" s="11" t="s">
        <v>1593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804</v>
      </c>
      <c r="D649" s="11" t="s">
        <v>48</v>
      </c>
      <c r="E649" s="11" t="s">
        <v>26</v>
      </c>
      <c r="F649" s="11" t="s">
        <v>805</v>
      </c>
      <c r="G649" s="12">
        <v>1835</v>
      </c>
      <c r="H649" s="12"/>
      <c r="I649" s="12"/>
      <c r="J649" s="12">
        <v>1815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1815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835</v>
      </c>
      <c r="D650" s="15" t="s">
        <v>78</v>
      </c>
      <c r="E650" s="11" t="s">
        <v>26</v>
      </c>
      <c r="F650" s="11" t="s">
        <v>836</v>
      </c>
      <c r="G650" s="12">
        <v>1835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18</v>
      </c>
      <c r="C651" s="11" t="s">
        <v>707</v>
      </c>
      <c r="D651" s="15" t="s">
        <v>45</v>
      </c>
      <c r="E651" s="11" t="s">
        <v>26</v>
      </c>
      <c r="F651" s="11" t="s">
        <v>708</v>
      </c>
      <c r="G651" s="12">
        <v>1835</v>
      </c>
      <c r="H651" s="12"/>
      <c r="I651" s="12"/>
      <c r="J651" s="12">
        <v>1823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6</v>
      </c>
      <c r="C652" s="11" t="s">
        <v>940</v>
      </c>
      <c r="D652" s="15" t="s">
        <v>78</v>
      </c>
      <c r="E652" s="11" t="s">
        <v>26</v>
      </c>
      <c r="F652" s="11" t="s">
        <v>941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1398</v>
      </c>
      <c r="D653" s="11" t="s">
        <v>102</v>
      </c>
      <c r="E653" s="11" t="s">
        <v>26</v>
      </c>
      <c r="F653" s="11" t="s">
        <v>1399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400</v>
      </c>
      <c r="D654" s="11" t="s">
        <v>57</v>
      </c>
      <c r="E654" s="11" t="s">
        <v>26</v>
      </c>
      <c r="F654" s="11" t="s">
        <v>401</v>
      </c>
      <c r="G654" s="12">
        <v>1835</v>
      </c>
      <c r="H654" s="12"/>
      <c r="I654" s="12"/>
      <c r="J654" s="12">
        <v>1837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1837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IF($T655="","",1+COUNTIF($W$15:$W$882,"&lt;"&amp;W655))</f>
        <v/>
      </c>
      <c r="B655" s="11" t="s">
        <v>10</v>
      </c>
      <c r="C655" s="11" t="s">
        <v>1544</v>
      </c>
      <c r="D655" s="15" t="s">
        <v>78</v>
      </c>
      <c r="E655" s="11" t="s">
        <v>26</v>
      </c>
      <c r="F655" s="11" t="s">
        <v>1545</v>
      </c>
      <c r="G655" s="12">
        <v>1836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101</v>
      </c>
      <c r="D656" s="11" t="s">
        <v>102</v>
      </c>
      <c r="E656" s="11" t="s">
        <v>26</v>
      </c>
      <c r="F656" s="11" t="s">
        <v>103</v>
      </c>
      <c r="G656" s="12">
        <v>1836</v>
      </c>
      <c r="H656" s="12"/>
      <c r="I656" s="12"/>
      <c r="J656" s="12">
        <v>1825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1825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1189</v>
      </c>
      <c r="D657" s="11" t="s">
        <v>102</v>
      </c>
      <c r="E657" s="11" t="s">
        <v>26</v>
      </c>
      <c r="F657" s="11" t="s">
        <v>1190</v>
      </c>
      <c r="G657" s="12">
        <v>1836</v>
      </c>
      <c r="H657" s="12"/>
      <c r="I657" s="12"/>
      <c r="J657" s="12">
        <v>1826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1826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366</v>
      </c>
      <c r="D658" s="15" t="s">
        <v>45</v>
      </c>
      <c r="E658" s="11" t="s">
        <v>26</v>
      </c>
      <c r="F658" s="11" t="s">
        <v>367</v>
      </c>
      <c r="G658" s="12">
        <v>1836</v>
      </c>
      <c r="H658" s="12"/>
      <c r="I658" s="12"/>
      <c r="J658" s="12">
        <v>1829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1829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12</v>
      </c>
      <c r="C659" s="11" t="s">
        <v>932</v>
      </c>
      <c r="D659" s="15" t="s">
        <v>45</v>
      </c>
      <c r="E659" s="11" t="s">
        <v>26</v>
      </c>
      <c r="F659" s="11" t="s">
        <v>933</v>
      </c>
      <c r="G659" s="12">
        <v>1837</v>
      </c>
      <c r="H659" s="12"/>
      <c r="I659" s="12"/>
      <c r="J659" s="12">
        <v>1823</v>
      </c>
      <c r="K659" s="12">
        <f t="shared" si="131"/>
        <v>0</v>
      </c>
      <c r="L659" s="12">
        <f t="shared" si="132"/>
        <v>1837</v>
      </c>
      <c r="M659" s="12" t="str">
        <f t="shared" si="133"/>
        <v/>
      </c>
      <c r="N659" s="12">
        <f t="shared" si="134"/>
        <v>1823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54</v>
      </c>
      <c r="D660" s="11" t="s">
        <v>48</v>
      </c>
      <c r="E660" s="11" t="s">
        <v>26</v>
      </c>
      <c r="F660" s="11" t="s">
        <v>55</v>
      </c>
      <c r="G660" s="12">
        <v>1837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1837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14</v>
      </c>
      <c r="C661" s="11" t="s">
        <v>126</v>
      </c>
      <c r="D661" s="15" t="s">
        <v>78</v>
      </c>
      <c r="E661" s="11" t="s">
        <v>26</v>
      </c>
      <c r="F661" s="11" t="s">
        <v>127</v>
      </c>
      <c r="G661" s="12">
        <v>1838</v>
      </c>
      <c r="H661" s="12"/>
      <c r="I661" s="12"/>
      <c r="J661" s="12">
        <v>1813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1813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324</v>
      </c>
      <c r="D662" s="15" t="s">
        <v>45</v>
      </c>
      <c r="E662" s="11" t="s">
        <v>26</v>
      </c>
      <c r="F662" s="11" t="s">
        <v>325</v>
      </c>
      <c r="G662" s="12">
        <v>1838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1195</v>
      </c>
      <c r="D663" s="15" t="s">
        <v>59</v>
      </c>
      <c r="E663" s="11" t="s">
        <v>26</v>
      </c>
      <c r="F663" s="11" t="s">
        <v>1196</v>
      </c>
      <c r="G663" s="12">
        <v>1838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1181</v>
      </c>
      <c r="D664" s="15" t="s">
        <v>78</v>
      </c>
      <c r="E664" s="11" t="s">
        <v>26</v>
      </c>
      <c r="F664" s="11" t="s">
        <v>1182</v>
      </c>
      <c r="G664" s="12">
        <v>1838</v>
      </c>
      <c r="H664" s="12"/>
      <c r="I664" s="12"/>
      <c r="J664" s="12">
        <v>1818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1818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1067</v>
      </c>
      <c r="D665" s="11" t="s">
        <v>69</v>
      </c>
      <c r="E665" s="11" t="s">
        <v>26</v>
      </c>
      <c r="F665" s="11" t="s">
        <v>1068</v>
      </c>
      <c r="G665" s="12">
        <v>1838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1611</v>
      </c>
      <c r="D666" s="11" t="s">
        <v>102</v>
      </c>
      <c r="E666" s="11" t="s">
        <v>26</v>
      </c>
      <c r="F666" s="11" t="s">
        <v>1612</v>
      </c>
      <c r="G666" s="12">
        <v>1838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18</v>
      </c>
      <c r="C667" s="11" t="s">
        <v>1613</v>
      </c>
      <c r="D667" s="11" t="s">
        <v>102</v>
      </c>
      <c r="E667" s="11" t="s">
        <v>26</v>
      </c>
      <c r="F667" s="11" t="s">
        <v>1614</v>
      </c>
      <c r="G667" s="12">
        <v>1838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388</v>
      </c>
      <c r="D668" s="11" t="s">
        <v>69</v>
      </c>
      <c r="E668" s="11" t="s">
        <v>26</v>
      </c>
      <c r="F668" s="11" t="s">
        <v>389</v>
      </c>
      <c r="G668" s="12">
        <v>1838</v>
      </c>
      <c r="H668" s="12"/>
      <c r="I668" s="12"/>
      <c r="J668" s="12">
        <v>1835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1835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1540</v>
      </c>
      <c r="D669" s="15" t="s">
        <v>78</v>
      </c>
      <c r="E669" s="11" t="s">
        <v>26</v>
      </c>
      <c r="F669" s="11" t="s">
        <v>1541</v>
      </c>
      <c r="G669" s="12">
        <v>1839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988</v>
      </c>
      <c r="D670" s="11" t="s">
        <v>48</v>
      </c>
      <c r="E670" s="11" t="s">
        <v>26</v>
      </c>
      <c r="F670" s="11" t="s">
        <v>989</v>
      </c>
      <c r="G670" s="12">
        <v>1839</v>
      </c>
      <c r="H670" s="12"/>
      <c r="I670" s="12"/>
      <c r="J670" s="12">
        <v>1809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1809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1724</v>
      </c>
      <c r="D671" s="15" t="s">
        <v>45</v>
      </c>
      <c r="E671" s="11" t="s">
        <v>60</v>
      </c>
      <c r="F671" s="11" t="s">
        <v>1725</v>
      </c>
      <c r="G671" s="12">
        <v>1839</v>
      </c>
      <c r="H671" s="12"/>
      <c r="I671" s="12"/>
      <c r="J671" s="12">
        <v>1809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1809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6</v>
      </c>
      <c r="C672" s="11" t="s">
        <v>290</v>
      </c>
      <c r="D672" s="15" t="s">
        <v>45</v>
      </c>
      <c r="E672" s="11" t="s">
        <v>60</v>
      </c>
      <c r="F672" s="11" t="s">
        <v>291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16</v>
      </c>
      <c r="C673" s="11" t="s">
        <v>602</v>
      </c>
      <c r="D673" s="15" t="s">
        <v>45</v>
      </c>
      <c r="E673" s="11" t="s">
        <v>26</v>
      </c>
      <c r="F673" s="11" t="s">
        <v>603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164</v>
      </c>
      <c r="D674" s="11" t="s">
        <v>57</v>
      </c>
      <c r="E674" s="11" t="s">
        <v>26</v>
      </c>
      <c r="F674" s="11" t="s">
        <v>165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14</v>
      </c>
      <c r="C675" s="11" t="s">
        <v>172</v>
      </c>
      <c r="D675" s="11" t="s">
        <v>57</v>
      </c>
      <c r="E675" s="11" t="s">
        <v>26</v>
      </c>
      <c r="F675" s="11" t="s">
        <v>173</v>
      </c>
      <c r="G675" s="12">
        <v>1839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615</v>
      </c>
      <c r="D676" s="11" t="s">
        <v>57</v>
      </c>
      <c r="E676" s="11" t="s">
        <v>26</v>
      </c>
      <c r="F676" s="11" t="s">
        <v>616</v>
      </c>
      <c r="G676" s="12">
        <v>1839</v>
      </c>
      <c r="H676" s="12"/>
      <c r="I676" s="12"/>
      <c r="J676" s="12">
        <v>1819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1819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751</v>
      </c>
      <c r="D677" s="15" t="s">
        <v>45</v>
      </c>
      <c r="E677" s="11" t="s">
        <v>26</v>
      </c>
      <c r="F677" s="11" t="s">
        <v>752</v>
      </c>
      <c r="G677" s="12">
        <v>1839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561</v>
      </c>
      <c r="D678" s="11" t="s">
        <v>57</v>
      </c>
      <c r="E678" s="11" t="s">
        <v>26</v>
      </c>
      <c r="F678" s="11" t="s">
        <v>565</v>
      </c>
      <c r="G678" s="12">
        <v>1839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268</v>
      </c>
      <c r="D679" s="11" t="s">
        <v>102</v>
      </c>
      <c r="E679" s="11" t="s">
        <v>26</v>
      </c>
      <c r="F679" s="11" t="s">
        <v>269</v>
      </c>
      <c r="G679" s="12">
        <v>1839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270</v>
      </c>
      <c r="D680" s="11" t="s">
        <v>102</v>
      </c>
      <c r="E680" s="11" t="s">
        <v>26</v>
      </c>
      <c r="F680" s="11" t="s">
        <v>271</v>
      </c>
      <c r="G680" s="12">
        <v>1839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272</v>
      </c>
      <c r="D681" s="11" t="s">
        <v>102</v>
      </c>
      <c r="E681" s="11" t="s">
        <v>26</v>
      </c>
      <c r="F681" s="11" t="s">
        <v>273</v>
      </c>
      <c r="G681" s="12">
        <v>1839</v>
      </c>
      <c r="H681" s="12"/>
      <c r="I681" s="12"/>
      <c r="J681" s="12">
        <v>1828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14</v>
      </c>
      <c r="C682" s="11" t="s">
        <v>1294</v>
      </c>
      <c r="D682" s="15" t="s">
        <v>45</v>
      </c>
      <c r="E682" s="11" t="s">
        <v>26</v>
      </c>
      <c r="F682" s="11" t="s">
        <v>1295</v>
      </c>
      <c r="G682" s="12">
        <v>1839</v>
      </c>
      <c r="H682" s="12"/>
      <c r="I682" s="12"/>
      <c r="J682" s="12">
        <v>1829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10</v>
      </c>
      <c r="C683" s="11" t="s">
        <v>507</v>
      </c>
      <c r="D683" s="11" t="s">
        <v>69</v>
      </c>
      <c r="E683" s="11" t="s">
        <v>26</v>
      </c>
      <c r="F683" s="11" t="s">
        <v>508</v>
      </c>
      <c r="G683" s="12">
        <v>1839</v>
      </c>
      <c r="H683" s="12"/>
      <c r="I683" s="12"/>
      <c r="J683" s="12">
        <v>1838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1838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623</v>
      </c>
      <c r="D684" s="11" t="s">
        <v>48</v>
      </c>
      <c r="E684" s="11" t="s">
        <v>26</v>
      </c>
      <c r="F684" s="11" t="s">
        <v>624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8</v>
      </c>
      <c r="C685" s="11" t="s">
        <v>872</v>
      </c>
      <c r="D685" s="15" t="s">
        <v>78</v>
      </c>
      <c r="E685" s="11" t="s">
        <v>26</v>
      </c>
      <c r="F685" s="11" t="s">
        <v>873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1127</v>
      </c>
      <c r="D686" s="11" t="s">
        <v>48</v>
      </c>
      <c r="E686" s="11" t="s">
        <v>26</v>
      </c>
      <c r="F686" s="11" t="s">
        <v>1128</v>
      </c>
      <c r="G686" s="12">
        <v>1839</v>
      </c>
      <c r="H686" s="12"/>
      <c r="I686" s="12"/>
      <c r="J686" s="12">
        <v>1839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1839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1088</v>
      </c>
      <c r="D687" s="11" t="s">
        <v>57</v>
      </c>
      <c r="E687" s="11" t="s">
        <v>26</v>
      </c>
      <c r="F687" s="11" t="s">
        <v>1089</v>
      </c>
      <c r="G687" s="12">
        <v>1839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18</v>
      </c>
      <c r="C688" s="11" t="s">
        <v>672</v>
      </c>
      <c r="D688" s="15" t="s">
        <v>78</v>
      </c>
      <c r="E688" s="11" t="s">
        <v>26</v>
      </c>
      <c r="F688" s="11" t="s">
        <v>673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922</v>
      </c>
      <c r="D689" s="15" t="s">
        <v>78</v>
      </c>
      <c r="E689" s="11" t="s">
        <v>26</v>
      </c>
      <c r="F689" s="11" t="s">
        <v>923</v>
      </c>
      <c r="G689" s="12">
        <v>1840</v>
      </c>
      <c r="H689" s="12"/>
      <c r="I689" s="12"/>
      <c r="J689" s="12">
        <v>1830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1830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1459</v>
      </c>
      <c r="D690" s="15" t="s">
        <v>59</v>
      </c>
      <c r="E690" s="11" t="s">
        <v>26</v>
      </c>
      <c r="F690" s="11" t="s">
        <v>1460</v>
      </c>
      <c r="G690" s="12">
        <v>1840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1840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1451</v>
      </c>
      <c r="D691" s="15" t="s">
        <v>59</v>
      </c>
      <c r="E691" s="11" t="s">
        <v>26</v>
      </c>
      <c r="F691" s="11" t="s">
        <v>1452</v>
      </c>
      <c r="G691" s="12">
        <v>1841</v>
      </c>
      <c r="H691" s="12"/>
      <c r="I691" s="12"/>
      <c r="J691" s="12">
        <v>1849</v>
      </c>
      <c r="K691" s="12">
        <f t="shared" si="131"/>
        <v>0</v>
      </c>
      <c r="L691" s="12">
        <f t="shared" si="132"/>
        <v>1841</v>
      </c>
      <c r="M691" s="12" t="str">
        <f t="shared" si="133"/>
        <v/>
      </c>
      <c r="N691" s="12">
        <f t="shared" si="134"/>
        <v>1849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12</v>
      </c>
      <c r="C692" s="11" t="s">
        <v>704</v>
      </c>
      <c r="D692" s="15" t="s">
        <v>59</v>
      </c>
      <c r="E692" s="11" t="s">
        <v>26</v>
      </c>
      <c r="F692" s="11" t="s">
        <v>706</v>
      </c>
      <c r="G692" s="12">
        <v>1842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6</v>
      </c>
      <c r="C693" s="11" t="s">
        <v>462</v>
      </c>
      <c r="D693" s="11" t="s">
        <v>57</v>
      </c>
      <c r="E693" s="11" t="s">
        <v>26</v>
      </c>
      <c r="F693" s="11" t="s">
        <v>463</v>
      </c>
      <c r="G693" s="12">
        <v>1842</v>
      </c>
      <c r="H693" s="12"/>
      <c r="I693" s="12"/>
      <c r="J693" s="12">
        <v>1832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1832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10</v>
      </c>
      <c r="C694" s="11" t="s">
        <v>460</v>
      </c>
      <c r="D694" s="11" t="s">
        <v>57</v>
      </c>
      <c r="E694" s="11" t="s">
        <v>60</v>
      </c>
      <c r="F694" s="11" t="s">
        <v>461</v>
      </c>
      <c r="G694" s="12">
        <v>1842</v>
      </c>
      <c r="H694" s="12"/>
      <c r="I694" s="12"/>
      <c r="J694" s="12">
        <v>1832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1832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1354</v>
      </c>
      <c r="D695" s="11" t="s">
        <v>57</v>
      </c>
      <c r="E695" s="11" t="s">
        <v>26</v>
      </c>
      <c r="F695" s="11" t="s">
        <v>1356</v>
      </c>
      <c r="G695" s="12">
        <v>1842</v>
      </c>
      <c r="H695" s="12"/>
      <c r="I695" s="12"/>
      <c r="J695" s="12">
        <v>1850</v>
      </c>
      <c r="K695" s="12">
        <f t="shared" si="131"/>
        <v>0</v>
      </c>
      <c r="L695" s="12">
        <f t="shared" si="132"/>
        <v>1842</v>
      </c>
      <c r="M695" s="12" t="str">
        <f t="shared" si="133"/>
        <v/>
      </c>
      <c r="N695" s="12">
        <f t="shared" si="134"/>
        <v>1850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731</v>
      </c>
      <c r="D696" s="15" t="s">
        <v>59</v>
      </c>
      <c r="E696" s="11" t="s">
        <v>26</v>
      </c>
      <c r="F696" s="11" t="s">
        <v>732</v>
      </c>
      <c r="G696" s="12">
        <v>1843</v>
      </c>
      <c r="H696" s="12"/>
      <c r="I696" s="12"/>
      <c r="J696" s="12">
        <v>1823</v>
      </c>
      <c r="K696" s="12">
        <f t="shared" si="131"/>
        <v>0</v>
      </c>
      <c r="L696" s="12">
        <f t="shared" si="132"/>
        <v>1843</v>
      </c>
      <c r="M696" s="12" t="str">
        <f t="shared" si="133"/>
        <v/>
      </c>
      <c r="N696" s="12">
        <f t="shared" si="134"/>
        <v>1823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10</v>
      </c>
      <c r="C697" s="11" t="s">
        <v>1221</v>
      </c>
      <c r="D697" s="11" t="s">
        <v>48</v>
      </c>
      <c r="E697" s="11" t="s">
        <v>60</v>
      </c>
      <c r="F697" s="11" t="s">
        <v>1222</v>
      </c>
      <c r="G697" s="12">
        <v>1844</v>
      </c>
      <c r="H697" s="12"/>
      <c r="I697" s="12"/>
      <c r="J697" s="12">
        <v>1814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1814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1092</v>
      </c>
      <c r="D698" s="11" t="s">
        <v>57</v>
      </c>
      <c r="E698" s="11" t="s">
        <v>26</v>
      </c>
      <c r="F698" s="11" t="s">
        <v>1093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1639</v>
      </c>
      <c r="D699" s="15" t="s">
        <v>45</v>
      </c>
      <c r="E699" s="11" t="s">
        <v>26</v>
      </c>
      <c r="F699" s="11" t="s">
        <v>1640</v>
      </c>
      <c r="G699" s="12">
        <v>1844</v>
      </c>
      <c r="H699" s="12"/>
      <c r="I699" s="12"/>
      <c r="J699" s="12">
        <v>1834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1834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130</v>
      </c>
      <c r="D700" s="15" t="s">
        <v>45</v>
      </c>
      <c r="E700" s="11" t="s">
        <v>60</v>
      </c>
      <c r="F700" s="11" t="s">
        <v>131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10</v>
      </c>
      <c r="C701" s="11" t="s">
        <v>1197</v>
      </c>
      <c r="D701" s="11" t="s">
        <v>69</v>
      </c>
      <c r="E701" s="11" t="s">
        <v>26</v>
      </c>
      <c r="F701" s="11" t="s">
        <v>1198</v>
      </c>
      <c r="G701" s="12">
        <v>1844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16" customFormat="1" ht="28.5" customHeight="1">
      <c r="A702" s="11" t="str">
        <f t="shared" si="130"/>
        <v/>
      </c>
      <c r="B702" s="11" t="s">
        <v>10</v>
      </c>
      <c r="C702" s="11" t="s">
        <v>1037</v>
      </c>
      <c r="D702" s="15" t="s">
        <v>78</v>
      </c>
      <c r="E702" s="11" t="s">
        <v>26</v>
      </c>
      <c r="F702" s="11" t="s">
        <v>1038</v>
      </c>
      <c r="G702" s="12">
        <v>1845</v>
      </c>
      <c r="H702" s="12"/>
      <c r="I702" s="12"/>
      <c r="J702" s="12">
        <v>1809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1809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18</v>
      </c>
      <c r="C703" s="11" t="s">
        <v>1242</v>
      </c>
      <c r="D703" s="15" t="s">
        <v>45</v>
      </c>
      <c r="E703" s="11" t="s">
        <v>60</v>
      </c>
      <c r="F703" s="11" t="s">
        <v>1243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14</v>
      </c>
      <c r="C704" s="11" t="s">
        <v>1103</v>
      </c>
      <c r="D704" s="15" t="s">
        <v>78</v>
      </c>
      <c r="E704" s="11" t="s">
        <v>26</v>
      </c>
      <c r="F704" s="11" t="s">
        <v>1104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1043</v>
      </c>
      <c r="D705" s="15" t="s">
        <v>45</v>
      </c>
      <c r="E705" s="11" t="s">
        <v>26</v>
      </c>
      <c r="F705" s="11" t="s">
        <v>1044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1119</v>
      </c>
      <c r="D706" s="15" t="s">
        <v>69</v>
      </c>
      <c r="E706" s="11" t="s">
        <v>60</v>
      </c>
      <c r="F706" s="11" t="s">
        <v>1120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1121</v>
      </c>
      <c r="D707" s="15" t="s">
        <v>69</v>
      </c>
      <c r="E707" s="11" t="s">
        <v>60</v>
      </c>
      <c r="F707" s="11" t="s">
        <v>1122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1123</v>
      </c>
      <c r="D708" s="15" t="s">
        <v>69</v>
      </c>
      <c r="E708" s="11" t="s">
        <v>26</v>
      </c>
      <c r="F708" s="11" t="s">
        <v>1124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1449</v>
      </c>
      <c r="D709" s="15" t="s">
        <v>59</v>
      </c>
      <c r="E709" s="11" t="s">
        <v>26</v>
      </c>
      <c r="F709" s="11" t="s">
        <v>1450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10</v>
      </c>
      <c r="C710" s="11" t="s">
        <v>1191</v>
      </c>
      <c r="D710" s="11" t="s">
        <v>102</v>
      </c>
      <c r="E710" s="11" t="s">
        <v>26</v>
      </c>
      <c r="F710" s="11" t="s">
        <v>1192</v>
      </c>
      <c r="G710" s="12">
        <v>1846</v>
      </c>
      <c r="H710" s="12"/>
      <c r="I710" s="12"/>
      <c r="J710" s="12">
        <v>1836</v>
      </c>
      <c r="K710" s="12">
        <f t="shared" si="131"/>
        <v>0</v>
      </c>
      <c r="L710" s="12">
        <f t="shared" si="132"/>
        <v>1846</v>
      </c>
      <c r="M710" s="12" t="str">
        <f t="shared" si="133"/>
        <v/>
      </c>
      <c r="N710" s="12">
        <f t="shared" si="134"/>
        <v>1836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378</v>
      </c>
      <c r="D711" s="15" t="s">
        <v>78</v>
      </c>
      <c r="E711" s="11" t="s">
        <v>60</v>
      </c>
      <c r="F711" s="11" t="s">
        <v>379</v>
      </c>
      <c r="G711" s="12">
        <v>1847</v>
      </c>
      <c r="H711" s="12"/>
      <c r="I711" s="12"/>
      <c r="J711" s="12">
        <v>1827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1827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328</v>
      </c>
      <c r="D712" s="11" t="s">
        <v>57</v>
      </c>
      <c r="E712" s="11" t="s">
        <v>26</v>
      </c>
      <c r="F712" s="11" t="s">
        <v>329</v>
      </c>
      <c r="G712" s="12">
        <v>1848</v>
      </c>
      <c r="H712" s="12"/>
      <c r="I712" s="12"/>
      <c r="J712" s="12">
        <v>1798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1798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384</v>
      </c>
      <c r="D713" s="15" t="s">
        <v>59</v>
      </c>
      <c r="E713" s="11" t="s">
        <v>26</v>
      </c>
      <c r="F713" s="11" t="s">
        <v>385</v>
      </c>
      <c r="G713" s="12">
        <v>1848</v>
      </c>
      <c r="H713" s="12"/>
      <c r="I713" s="12"/>
      <c r="J713" s="12">
        <v>1818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1818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1080</v>
      </c>
      <c r="D715" s="15" t="s">
        <v>45</v>
      </c>
      <c r="E715" s="11" t="s">
        <v>26</v>
      </c>
      <c r="F715" s="11" t="s">
        <v>1081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12</v>
      </c>
      <c r="C719" s="11" t="s">
        <v>1463</v>
      </c>
      <c r="D719" s="15" t="s">
        <v>69</v>
      </c>
      <c r="E719" s="11" t="s">
        <v>26</v>
      </c>
      <c r="F719" s="11" t="s">
        <v>1464</v>
      </c>
      <c r="G719" s="12">
        <v>1848</v>
      </c>
      <c r="H719" s="12"/>
      <c r="I719" s="12"/>
      <c r="J719" s="12">
        <v>1848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1021</v>
      </c>
      <c r="D721" s="15" t="s">
        <v>78</v>
      </c>
      <c r="E721" s="11" t="s">
        <v>26</v>
      </c>
      <c r="F721" s="11" t="s">
        <v>1022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930</v>
      </c>
      <c r="D723" s="15" t="s">
        <v>69</v>
      </c>
      <c r="E723" s="11" t="s">
        <v>26</v>
      </c>
      <c r="F723" s="11" t="s">
        <v>931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10</v>
      </c>
      <c r="C724" s="11" t="s">
        <v>1621</v>
      </c>
      <c r="D724" s="15" t="s">
        <v>45</v>
      </c>
      <c r="E724" s="11" t="s">
        <v>26</v>
      </c>
      <c r="F724" s="11" t="s">
        <v>1622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480</v>
      </c>
      <c r="D725" s="11" t="s">
        <v>69</v>
      </c>
      <c r="E725" s="11" t="s">
        <v>26</v>
      </c>
      <c r="F725" s="11" t="s">
        <v>481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1310</v>
      </c>
      <c r="D726" s="15" t="s">
        <v>69</v>
      </c>
      <c r="E726" s="11" t="s">
        <v>26</v>
      </c>
      <c r="F726" s="11" t="s">
        <v>1311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1703</v>
      </c>
      <c r="D727" s="15" t="s">
        <v>78</v>
      </c>
      <c r="E727" s="11" t="s">
        <v>26</v>
      </c>
      <c r="F727" s="11" t="s">
        <v>1704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1145</v>
      </c>
      <c r="D728" s="11" t="s">
        <v>57</v>
      </c>
      <c r="E728" s="11" t="s">
        <v>60</v>
      </c>
      <c r="F728" s="11" t="s">
        <v>1146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702</v>
      </c>
      <c r="D729" s="11" t="s">
        <v>57</v>
      </c>
      <c r="E729" s="11" t="s">
        <v>26</v>
      </c>
      <c r="F729" s="11" t="s">
        <v>703</v>
      </c>
      <c r="G729" s="12">
        <v>1849</v>
      </c>
      <c r="H729" s="12"/>
      <c r="I729" s="12"/>
      <c r="J729" s="12">
        <v>1888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1888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513</v>
      </c>
      <c r="D730" s="15" t="s">
        <v>78</v>
      </c>
      <c r="E730" s="11" t="s">
        <v>60</v>
      </c>
      <c r="F730" s="11" t="s">
        <v>514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1033</v>
      </c>
      <c r="D733" s="11" t="s">
        <v>48</v>
      </c>
      <c r="E733" s="11" t="s">
        <v>26</v>
      </c>
      <c r="F733" s="11" t="s">
        <v>1034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10</v>
      </c>
      <c r="C734" s="11" t="s">
        <v>451</v>
      </c>
      <c r="D734" s="15" t="s">
        <v>78</v>
      </c>
      <c r="E734" s="11" t="s">
        <v>26</v>
      </c>
      <c r="F734" s="11" t="s">
        <v>452</v>
      </c>
      <c r="G734" s="12">
        <v>1853</v>
      </c>
      <c r="H734" s="12"/>
      <c r="I734" s="12"/>
      <c r="J734" s="12">
        <v>1833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1833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833</v>
      </c>
      <c r="D735" s="15" t="s">
        <v>78</v>
      </c>
      <c r="E735" s="11" t="s">
        <v>60</v>
      </c>
      <c r="F735" s="11" t="s">
        <v>834</v>
      </c>
      <c r="G735" s="12">
        <v>1854</v>
      </c>
      <c r="H735" s="12"/>
      <c r="I735" s="12"/>
      <c r="J735" s="12">
        <v>1838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1838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950</v>
      </c>
      <c r="D736" s="11" t="s">
        <v>57</v>
      </c>
      <c r="E736" s="11" t="s">
        <v>26</v>
      </c>
      <c r="F736" s="11" t="s">
        <v>951</v>
      </c>
      <c r="G736" s="12">
        <v>1854</v>
      </c>
      <c r="H736" s="12"/>
      <c r="I736" s="12"/>
      <c r="J736" s="12">
        <v>1842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1842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1435</v>
      </c>
      <c r="D737" s="15" t="s">
        <v>59</v>
      </c>
      <c r="E737" s="11" t="s">
        <v>26</v>
      </c>
      <c r="F737" s="11" t="s">
        <v>1436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16" customFormat="1" ht="28.5" customHeight="1">
      <c r="A738" s="11" t="str">
        <f t="shared" si="143"/>
        <v/>
      </c>
      <c r="B738" s="11" t="s">
        <v>12</v>
      </c>
      <c r="C738" s="11" t="s">
        <v>1461</v>
      </c>
      <c r="D738" s="15" t="s">
        <v>59</v>
      </c>
      <c r="E738" s="11" t="s">
        <v>26</v>
      </c>
      <c r="F738" s="11" t="s">
        <v>1462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1041</v>
      </c>
      <c r="D739" s="15" t="s">
        <v>78</v>
      </c>
      <c r="E739" s="11" t="s">
        <v>26</v>
      </c>
      <c r="F739" s="11" t="s">
        <v>1042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1179</v>
      </c>
      <c r="D741" s="11" t="s">
        <v>57</v>
      </c>
      <c r="E741" s="11" t="s">
        <v>26</v>
      </c>
      <c r="F741" s="11" t="s">
        <v>1180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1410</v>
      </c>
      <c r="D743" s="15" t="s">
        <v>59</v>
      </c>
      <c r="E743" s="11" t="s">
        <v>60</v>
      </c>
      <c r="F743" s="11" t="s">
        <v>1412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952</v>
      </c>
      <c r="D745" s="11" t="s">
        <v>69</v>
      </c>
      <c r="E745" s="11" t="s">
        <v>26</v>
      </c>
      <c r="F745" s="11" t="s">
        <v>953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868</v>
      </c>
      <c r="D748" s="15" t="s">
        <v>59</v>
      </c>
      <c r="E748" s="11" t="s">
        <v>60</v>
      </c>
      <c r="F748" s="11" t="s">
        <v>869</v>
      </c>
      <c r="G748" s="12">
        <v>1855</v>
      </c>
      <c r="H748" s="12"/>
      <c r="I748" s="12"/>
      <c r="J748" s="12">
        <v>1875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1875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14</v>
      </c>
      <c r="C749" s="11" t="s">
        <v>1021</v>
      </c>
      <c r="D749" s="11" t="s">
        <v>57</v>
      </c>
      <c r="E749" s="11" t="s">
        <v>60</v>
      </c>
      <c r="F749" s="11" t="s">
        <v>1023</v>
      </c>
      <c r="G749" s="12">
        <v>1857</v>
      </c>
      <c r="H749" s="12"/>
      <c r="I749" s="12"/>
      <c r="J749" s="12">
        <v>1837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1837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1473</v>
      </c>
      <c r="D750" s="11" t="s">
        <v>57</v>
      </c>
      <c r="E750" s="11" t="s">
        <v>60</v>
      </c>
      <c r="F750" s="11" t="s">
        <v>1475</v>
      </c>
      <c r="G750" s="12">
        <v>1858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1094</v>
      </c>
      <c r="D751" s="11" t="s">
        <v>57</v>
      </c>
      <c r="E751" s="11" t="s">
        <v>26</v>
      </c>
      <c r="F751" s="11" t="s">
        <v>1095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1756</v>
      </c>
      <c r="D753" s="11" t="s">
        <v>45</v>
      </c>
      <c r="E753" s="11" t="s">
        <v>26</v>
      </c>
      <c r="F753" s="11" t="s">
        <v>1757</v>
      </c>
      <c r="G753" s="12">
        <v>1858</v>
      </c>
      <c r="H753" s="12"/>
      <c r="I753" s="12"/>
      <c r="J753" s="12">
        <v>1848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1441</v>
      </c>
      <c r="D754" s="15" t="s">
        <v>59</v>
      </c>
      <c r="E754" s="11" t="s">
        <v>60</v>
      </c>
      <c r="F754" s="11" t="s">
        <v>1442</v>
      </c>
      <c r="G754" s="12">
        <v>1858</v>
      </c>
      <c r="H754" s="12"/>
      <c r="I754" s="12"/>
      <c r="J754" s="12">
        <v>1849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14</v>
      </c>
      <c r="C755" s="11" t="s">
        <v>1338</v>
      </c>
      <c r="D755" s="11" t="s">
        <v>57</v>
      </c>
      <c r="E755" s="11" t="s">
        <v>26</v>
      </c>
      <c r="F755" s="11" t="s">
        <v>1339</v>
      </c>
      <c r="G755" s="12">
        <v>1858</v>
      </c>
      <c r="H755" s="12"/>
      <c r="I755" s="12"/>
      <c r="J755" s="12">
        <v>1877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1877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1678</v>
      </c>
      <c r="D756" s="11" t="s">
        <v>57</v>
      </c>
      <c r="E756" s="11" t="s">
        <v>60</v>
      </c>
      <c r="F756" s="11" t="s">
        <v>1679</v>
      </c>
      <c r="G756" s="12">
        <v>1858</v>
      </c>
      <c r="H756" s="12"/>
      <c r="I756" s="12"/>
      <c r="J756" s="12">
        <v>1881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1881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138</v>
      </c>
      <c r="D757" s="15" t="s">
        <v>78</v>
      </c>
      <c r="E757" s="11" t="s">
        <v>26</v>
      </c>
      <c r="F757" s="11" t="s">
        <v>139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1615</v>
      </c>
      <c r="D758" s="11" t="s">
        <v>57</v>
      </c>
      <c r="E758" s="11" t="s">
        <v>60</v>
      </c>
      <c r="F758" s="11" t="s">
        <v>1616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1026</v>
      </c>
      <c r="D759" s="11" t="s">
        <v>57</v>
      </c>
      <c r="E759" s="11" t="s">
        <v>60</v>
      </c>
      <c r="F759" s="11" t="s">
        <v>1027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537</v>
      </c>
      <c r="D760" s="11" t="s">
        <v>57</v>
      </c>
      <c r="E760" s="11" t="s">
        <v>60</v>
      </c>
      <c r="F760" s="11" t="s">
        <v>538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862</v>
      </c>
      <c r="D761" s="15" t="s">
        <v>45</v>
      </c>
      <c r="E761" s="11" t="s">
        <v>60</v>
      </c>
      <c r="F761" s="11" t="s">
        <v>863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1754</v>
      </c>
      <c r="D762" s="11" t="s">
        <v>59</v>
      </c>
      <c r="E762" s="11" t="s">
        <v>60</v>
      </c>
      <c r="F762" s="11" t="s">
        <v>1755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16" customFormat="1" ht="28.5" customHeight="1">
      <c r="A763" s="11" t="str">
        <f t="shared" si="143"/>
        <v/>
      </c>
      <c r="B763" s="11" t="s">
        <v>10</v>
      </c>
      <c r="C763" s="11" t="s">
        <v>372</v>
      </c>
      <c r="D763" s="15" t="s">
        <v>45</v>
      </c>
      <c r="E763" s="11" t="s">
        <v>26</v>
      </c>
      <c r="F763" s="11" t="s">
        <v>373</v>
      </c>
      <c r="G763" s="12">
        <v>1859</v>
      </c>
      <c r="H763" s="12"/>
      <c r="I763" s="12"/>
      <c r="J763" s="12">
        <v>1839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1839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12</v>
      </c>
      <c r="C764" s="11" t="s">
        <v>810</v>
      </c>
      <c r="D764" s="15" t="s">
        <v>57</v>
      </c>
      <c r="E764" s="11" t="s">
        <v>26</v>
      </c>
      <c r="F764" s="11" t="s">
        <v>811</v>
      </c>
      <c r="G764" s="12">
        <v>1859</v>
      </c>
      <c r="H764" s="12"/>
      <c r="I764" s="12"/>
      <c r="J764" s="12">
        <v>1849</v>
      </c>
      <c r="K764" s="12">
        <f t="shared" ref="K764:K771" si="157"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168</v>
      </c>
      <c r="D765" s="11" t="s">
        <v>57</v>
      </c>
      <c r="E765" s="11" t="s">
        <v>26</v>
      </c>
      <c r="F765" s="11" t="s">
        <v>169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10</v>
      </c>
      <c r="C766" s="11" t="s">
        <v>1526</v>
      </c>
      <c r="D766" s="11" t="s">
        <v>69</v>
      </c>
      <c r="E766" s="11" t="s">
        <v>60</v>
      </c>
      <c r="F766" s="11" t="s">
        <v>1527</v>
      </c>
      <c r="G766" s="12">
        <v>1859</v>
      </c>
      <c r="H766" s="12"/>
      <c r="I766" s="12"/>
      <c r="J766" s="12">
        <v>1849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14</v>
      </c>
      <c r="C767" s="11" t="s">
        <v>342</v>
      </c>
      <c r="D767" s="15" t="s">
        <v>45</v>
      </c>
      <c r="E767" s="11" t="s">
        <v>26</v>
      </c>
      <c r="F767" s="11" t="s">
        <v>343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14</v>
      </c>
      <c r="C768" s="11" t="s">
        <v>1637</v>
      </c>
      <c r="D768" s="11" t="s">
        <v>57</v>
      </c>
      <c r="E768" s="11" t="s">
        <v>26</v>
      </c>
      <c r="F768" s="11" t="s">
        <v>1638</v>
      </c>
      <c r="G768" s="12">
        <v>1859</v>
      </c>
      <c r="H768" s="12"/>
      <c r="I768" s="12"/>
      <c r="J768" s="12">
        <v>1869</v>
      </c>
      <c r="K768" s="12">
        <f t="shared" si="157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16</v>
      </c>
      <c r="C769" s="11" t="s">
        <v>604</v>
      </c>
      <c r="D769" s="15" t="s">
        <v>45</v>
      </c>
      <c r="E769" s="11" t="s">
        <v>26</v>
      </c>
      <c r="F769" s="11" t="s">
        <v>605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1512</v>
      </c>
      <c r="D770" s="11" t="s">
        <v>69</v>
      </c>
      <c r="E770" s="11" t="s">
        <v>60</v>
      </c>
      <c r="F770" s="11" t="s">
        <v>1513</v>
      </c>
      <c r="G770" s="12">
        <v>1860</v>
      </c>
      <c r="H770" s="12"/>
      <c r="I770" s="12"/>
      <c r="J770" s="12">
        <v>1820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1820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1201</v>
      </c>
      <c r="D771" s="15" t="s">
        <v>45</v>
      </c>
      <c r="E771" s="11" t="s">
        <v>26</v>
      </c>
      <c r="F771" s="11" t="s">
        <v>1202</v>
      </c>
      <c r="G771" s="12">
        <v>1860</v>
      </c>
      <c r="H771" s="12"/>
      <c r="I771" s="12"/>
      <c r="J771" s="12">
        <v>1830</v>
      </c>
      <c r="K771" s="12">
        <f t="shared" si="157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1830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220</v>
      </c>
      <c r="D772" s="15" t="s">
        <v>45</v>
      </c>
      <c r="E772" s="11" t="s">
        <v>26</v>
      </c>
      <c r="F772" s="11" t="s">
        <v>221</v>
      </c>
      <c r="G772" s="12">
        <v>1864</v>
      </c>
      <c r="H772" s="12"/>
      <c r="I772" s="12"/>
      <c r="J772" s="12">
        <v>1854</v>
      </c>
      <c r="K772" s="12">
        <v>0</v>
      </c>
      <c r="L772" s="12">
        <f t="shared" si="145"/>
        <v>1864</v>
      </c>
      <c r="M772" s="12" t="str">
        <f t="shared" si="146"/>
        <v/>
      </c>
      <c r="N772" s="12">
        <f t="shared" si="147"/>
        <v>1854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16</v>
      </c>
      <c r="C773" s="11" t="s">
        <v>1649</v>
      </c>
      <c r="D773" s="11" t="s">
        <v>57</v>
      </c>
      <c r="E773" s="11" t="s">
        <v>26</v>
      </c>
      <c r="F773" s="11" t="s">
        <v>1650</v>
      </c>
      <c r="G773" s="12">
        <v>1865</v>
      </c>
      <c r="H773" s="12"/>
      <c r="I773" s="12"/>
      <c r="J773" s="12">
        <v>1825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1825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824</v>
      </c>
      <c r="D774" s="15" t="s">
        <v>45</v>
      </c>
      <c r="E774" s="11" t="s">
        <v>60</v>
      </c>
      <c r="F774" s="11" t="s">
        <v>825</v>
      </c>
      <c r="G774" s="12">
        <v>1865</v>
      </c>
      <c r="H774" s="12"/>
      <c r="I774" s="12"/>
      <c r="J774" s="12">
        <v>1835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1835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791</v>
      </c>
      <c r="D775" s="15" t="s">
        <v>45</v>
      </c>
      <c r="E775" s="11" t="s">
        <v>26</v>
      </c>
      <c r="F775" s="11" t="s">
        <v>792</v>
      </c>
      <c r="G775" s="12">
        <v>1865</v>
      </c>
      <c r="H775" s="12"/>
      <c r="I775" s="12"/>
      <c r="J775" s="12">
        <v>1845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1845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6</v>
      </c>
      <c r="C776" s="11" t="s">
        <v>1682</v>
      </c>
      <c r="D776" s="15" t="s">
        <v>45</v>
      </c>
      <c r="E776" s="11" t="s">
        <v>60</v>
      </c>
      <c r="F776" s="11" t="s">
        <v>1683</v>
      </c>
      <c r="G776" s="12">
        <v>1866</v>
      </c>
      <c r="H776" s="12"/>
      <c r="I776" s="12"/>
      <c r="J776" s="12">
        <v>1850</v>
      </c>
      <c r="K776" s="12">
        <v>0</v>
      </c>
      <c r="L776" s="12">
        <f t="shared" si="145"/>
        <v>1866</v>
      </c>
      <c r="M776" s="12" t="str">
        <f t="shared" si="146"/>
        <v/>
      </c>
      <c r="N776" s="12">
        <f t="shared" si="147"/>
        <v>1850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1606</v>
      </c>
      <c r="D777" s="15" t="s">
        <v>45</v>
      </c>
      <c r="E777" s="11" t="s">
        <v>26</v>
      </c>
      <c r="F777" s="11" t="s">
        <v>1607</v>
      </c>
      <c r="G777" s="12">
        <v>1867</v>
      </c>
      <c r="H777" s="12"/>
      <c r="I777" s="12"/>
      <c r="J777" s="12">
        <v>1852</v>
      </c>
      <c r="K777" s="12">
        <f t="shared" ref="K777:K796" si="158">IF(AND(IFERROR(SEARCH("현대오일뱅크",$C777),0)&gt;0,IFERROR(SEARCH("직영",$C777),0)&gt;0),$B$13,0)</f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1852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7" customFormat="1" ht="28.5" customHeight="1">
      <c r="A778" s="11" t="str">
        <f t="shared" si="143"/>
        <v/>
      </c>
      <c r="B778" s="11" t="s">
        <v>14</v>
      </c>
      <c r="C778" s="11" t="s">
        <v>1465</v>
      </c>
      <c r="D778" s="15" t="s">
        <v>78</v>
      </c>
      <c r="E778" s="11" t="s">
        <v>26</v>
      </c>
      <c r="F778" s="11" t="s">
        <v>1466</v>
      </c>
      <c r="G778" s="12">
        <v>1867</v>
      </c>
      <c r="H778" s="12"/>
      <c r="I778" s="12"/>
      <c r="J778" s="12">
        <v>1853</v>
      </c>
      <c r="K778" s="12">
        <f t="shared" si="158"/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1853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1346</v>
      </c>
      <c r="D779" s="11" t="s">
        <v>69</v>
      </c>
      <c r="E779" s="11" t="s">
        <v>60</v>
      </c>
      <c r="F779" s="11" t="s">
        <v>1347</v>
      </c>
      <c r="G779" s="12">
        <v>1868</v>
      </c>
      <c r="H779" s="12"/>
      <c r="I779" s="12"/>
      <c r="J779" s="12">
        <v>1838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1838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12</v>
      </c>
      <c r="C780" s="11" t="s">
        <v>1227</v>
      </c>
      <c r="D780" s="15" t="s">
        <v>57</v>
      </c>
      <c r="E780" s="11" t="s">
        <v>60</v>
      </c>
      <c r="F780" s="11" t="s">
        <v>1228</v>
      </c>
      <c r="G780" s="12">
        <v>1868</v>
      </c>
      <c r="H780" s="12"/>
      <c r="I780" s="12"/>
      <c r="J780" s="12">
        <v>1848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1848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352</v>
      </c>
      <c r="D781" s="11" t="s">
        <v>57</v>
      </c>
      <c r="E781" s="11" t="s">
        <v>26</v>
      </c>
      <c r="F781" s="11" t="s">
        <v>353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354</v>
      </c>
      <c r="D782" s="11" t="s">
        <v>57</v>
      </c>
      <c r="E782" s="11" t="s">
        <v>26</v>
      </c>
      <c r="F782" s="11" t="s">
        <v>355</v>
      </c>
      <c r="G782" s="12">
        <v>1869</v>
      </c>
      <c r="H782" s="12"/>
      <c r="I782" s="12"/>
      <c r="J782" s="12">
        <v>1823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IF($T783="","",1+COUNTIF($W$15:$W$882,"&lt;"&amp;W783))</f>
        <v/>
      </c>
      <c r="B783" s="11" t="s">
        <v>18</v>
      </c>
      <c r="C783" s="11" t="s">
        <v>1342</v>
      </c>
      <c r="D783" s="11" t="s">
        <v>57</v>
      </c>
      <c r="E783" s="11" t="s">
        <v>26</v>
      </c>
      <c r="F783" s="11" t="s">
        <v>1343</v>
      </c>
      <c r="G783" s="12">
        <v>1869</v>
      </c>
      <c r="H783" s="12"/>
      <c r="I783" s="12"/>
      <c r="J783" s="12">
        <v>1829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1270</v>
      </c>
      <c r="D784" s="15" t="s">
        <v>45</v>
      </c>
      <c r="E784" s="11" t="s">
        <v>60</v>
      </c>
      <c r="F784" s="11" t="s">
        <v>1271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782</v>
      </c>
      <c r="D785" s="15" t="s">
        <v>45</v>
      </c>
      <c r="E785" s="11" t="s">
        <v>60</v>
      </c>
      <c r="F785" s="11" t="s">
        <v>783</v>
      </c>
      <c r="G785" s="12">
        <v>1869</v>
      </c>
      <c r="H785" s="12"/>
      <c r="I785" s="12"/>
      <c r="J785" s="12">
        <v>1839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1839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16</v>
      </c>
      <c r="C786" s="11" t="s">
        <v>440</v>
      </c>
      <c r="D786" s="11" t="s">
        <v>57</v>
      </c>
      <c r="E786" s="11" t="s">
        <v>26</v>
      </c>
      <c r="F786" s="11" t="s">
        <v>441</v>
      </c>
      <c r="G786" s="12">
        <v>1869</v>
      </c>
      <c r="H786" s="12"/>
      <c r="I786" s="12"/>
      <c r="J786" s="12">
        <v>1849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1849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898</v>
      </c>
      <c r="D787" s="15" t="s">
        <v>45</v>
      </c>
      <c r="E787" s="11" t="s">
        <v>60</v>
      </c>
      <c r="F787" s="11" t="s">
        <v>899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1155</v>
      </c>
      <c r="D788" s="11" t="s">
        <v>69</v>
      </c>
      <c r="E788" s="11" t="s">
        <v>26</v>
      </c>
      <c r="F788" s="11" t="s">
        <v>1156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6</v>
      </c>
      <c r="C789" s="11" t="s">
        <v>780</v>
      </c>
      <c r="D789" s="15" t="s">
        <v>78</v>
      </c>
      <c r="E789" s="11" t="s">
        <v>26</v>
      </c>
      <c r="F789" s="11" t="s">
        <v>781</v>
      </c>
      <c r="G789" s="12">
        <v>2199</v>
      </c>
      <c r="H789" s="12"/>
      <c r="I789" s="12"/>
      <c r="J789" s="12">
        <v>2199</v>
      </c>
      <c r="K789" s="12">
        <f t="shared" si="158"/>
        <v>0</v>
      </c>
      <c r="L789" s="12">
        <f t="shared" si="160"/>
        <v>2199</v>
      </c>
      <c r="M789" s="12" t="str">
        <f t="shared" si="161"/>
        <v/>
      </c>
      <c r="N789" s="12">
        <f t="shared" si="162"/>
        <v>2199</v>
      </c>
      <c r="O789" s="12" t="str">
        <f t="shared" si="163"/>
        <v/>
      </c>
      <c r="P789" s="12" t="str">
        <f t="shared" si="164"/>
        <v/>
      </c>
      <c r="Q789" s="12" t="s">
        <v>61</v>
      </c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16</v>
      </c>
      <c r="C790" s="11" t="s">
        <v>436</v>
      </c>
      <c r="D790" s="15" t="s">
        <v>78</v>
      </c>
      <c r="E790" s="11" t="s">
        <v>26</v>
      </c>
      <c r="F790" s="11" t="s">
        <v>437</v>
      </c>
      <c r="G790" s="12">
        <v>1870</v>
      </c>
      <c r="H790" s="12"/>
      <c r="I790" s="12"/>
      <c r="J790" s="12">
        <v>1830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1830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8</v>
      </c>
      <c r="C791" s="11" t="s">
        <v>954</v>
      </c>
      <c r="D791" s="11" t="s">
        <v>69</v>
      </c>
      <c r="E791" s="11" t="s">
        <v>60</v>
      </c>
      <c r="F791" s="11" t="s">
        <v>955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12</v>
      </c>
      <c r="C792" s="11" t="s">
        <v>1413</v>
      </c>
      <c r="D792" s="15" t="s">
        <v>45</v>
      </c>
      <c r="E792" s="11" t="s">
        <v>60</v>
      </c>
      <c r="F792" s="11" t="s">
        <v>1414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1298</v>
      </c>
      <c r="D793" s="11" t="s">
        <v>69</v>
      </c>
      <c r="E793" s="11" t="s">
        <v>60</v>
      </c>
      <c r="F793" s="11" t="s">
        <v>1299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1568</v>
      </c>
      <c r="D794" s="11" t="s">
        <v>69</v>
      </c>
      <c r="E794" s="11" t="s">
        <v>60</v>
      </c>
      <c r="F794" s="11" t="s">
        <v>1569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453</v>
      </c>
      <c r="D795" s="15" t="s">
        <v>78</v>
      </c>
      <c r="E795" s="11" t="s">
        <v>60</v>
      </c>
      <c r="F795" s="11" t="s">
        <v>454</v>
      </c>
      <c r="G795" s="12">
        <v>1870</v>
      </c>
      <c r="H795" s="12"/>
      <c r="I795" s="12"/>
      <c r="J795" s="12">
        <v>1900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1900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6</v>
      </c>
      <c r="C796" s="11" t="s">
        <v>1090</v>
      </c>
      <c r="D796" s="11" t="s">
        <v>57</v>
      </c>
      <c r="E796" s="11" t="s">
        <v>26</v>
      </c>
      <c r="F796" s="11" t="s">
        <v>1091</v>
      </c>
      <c r="G796" s="12">
        <v>1872</v>
      </c>
      <c r="H796" s="12"/>
      <c r="I796" s="12"/>
      <c r="J796" s="12">
        <v>1839</v>
      </c>
      <c r="K796" s="12">
        <f t="shared" si="158"/>
        <v>0</v>
      </c>
      <c r="L796" s="12">
        <f t="shared" si="160"/>
        <v>1872</v>
      </c>
      <c r="M796" s="12" t="str">
        <f t="shared" si="161"/>
        <v/>
      </c>
      <c r="N796" s="12">
        <f t="shared" si="162"/>
        <v>1839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10</v>
      </c>
      <c r="C797" s="11" t="s">
        <v>214</v>
      </c>
      <c r="D797" s="15" t="s">
        <v>45</v>
      </c>
      <c r="E797" s="11" t="s">
        <v>60</v>
      </c>
      <c r="F797" s="11" t="s">
        <v>215</v>
      </c>
      <c r="G797" s="12">
        <v>1874</v>
      </c>
      <c r="H797" s="12"/>
      <c r="I797" s="12"/>
      <c r="J797" s="12">
        <v>1854</v>
      </c>
      <c r="K797" s="12">
        <v>0</v>
      </c>
      <c r="L797" s="12">
        <f t="shared" si="160"/>
        <v>1874</v>
      </c>
      <c r="M797" s="12" t="str">
        <f t="shared" si="161"/>
        <v/>
      </c>
      <c r="N797" s="12">
        <f t="shared" si="162"/>
        <v>1854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7" customFormat="1" ht="28.5" customHeight="1">
      <c r="A798" s="11" t="str">
        <f t="shared" si="159"/>
        <v/>
      </c>
      <c r="B798" s="11" t="s">
        <v>8</v>
      </c>
      <c r="C798" s="11" t="s">
        <v>958</v>
      </c>
      <c r="D798" s="11" t="s">
        <v>69</v>
      </c>
      <c r="E798" s="11" t="s">
        <v>26</v>
      </c>
      <c r="F798" s="11" t="s">
        <v>959</v>
      </c>
      <c r="G798" s="12">
        <v>1875</v>
      </c>
      <c r="H798" s="12"/>
      <c r="I798" s="12"/>
      <c r="J798" s="12">
        <v>1855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1855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16" customFormat="1" ht="28.5" customHeight="1">
      <c r="A799" s="11" t="str">
        <f t="shared" si="159"/>
        <v/>
      </c>
      <c r="B799" s="11" t="s">
        <v>8</v>
      </c>
      <c r="C799" s="11" t="s">
        <v>647</v>
      </c>
      <c r="D799" s="11" t="s">
        <v>69</v>
      </c>
      <c r="E799" s="11" t="s">
        <v>60</v>
      </c>
      <c r="F799" s="11" t="s">
        <v>648</v>
      </c>
      <c r="G799" s="12">
        <v>1875</v>
      </c>
      <c r="H799" s="12"/>
      <c r="I799" s="12"/>
      <c r="J799" s="12">
        <v>1859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1859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16</v>
      </c>
      <c r="C800" s="11" t="s">
        <v>1199</v>
      </c>
      <c r="D800" s="11" t="s">
        <v>69</v>
      </c>
      <c r="E800" s="11" t="s">
        <v>26</v>
      </c>
      <c r="F800" s="11" t="s">
        <v>1200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10</v>
      </c>
      <c r="C801" s="11" t="s">
        <v>1528</v>
      </c>
      <c r="D801" s="15" t="s">
        <v>45</v>
      </c>
      <c r="E801" s="11" t="s">
        <v>60</v>
      </c>
      <c r="F801" s="11" t="s">
        <v>1529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1532</v>
      </c>
      <c r="D802" s="11" t="s">
        <v>57</v>
      </c>
      <c r="E802" s="11" t="s">
        <v>26</v>
      </c>
      <c r="F802" s="11" t="s">
        <v>1533</v>
      </c>
      <c r="G802" s="12">
        <v>1875</v>
      </c>
      <c r="H802" s="12"/>
      <c r="I802" s="12"/>
      <c r="J802" s="12">
        <v>1868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1868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12</v>
      </c>
      <c r="C803" s="11" t="s">
        <v>194</v>
      </c>
      <c r="D803" s="15" t="s">
        <v>45</v>
      </c>
      <c r="E803" s="11" t="s">
        <v>60</v>
      </c>
      <c r="F803" s="11" t="s">
        <v>195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208</v>
      </c>
      <c r="D804" s="15" t="s">
        <v>45</v>
      </c>
      <c r="E804" s="11" t="s">
        <v>60</v>
      </c>
      <c r="F804" s="11" t="s">
        <v>209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12</v>
      </c>
      <c r="C805" s="11" t="s">
        <v>222</v>
      </c>
      <c r="D805" s="15" t="s">
        <v>45</v>
      </c>
      <c r="E805" s="11" t="s">
        <v>60</v>
      </c>
      <c r="F805" s="11" t="s">
        <v>223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6</v>
      </c>
      <c r="C806" s="11" t="s">
        <v>136</v>
      </c>
      <c r="D806" s="15" t="s">
        <v>45</v>
      </c>
      <c r="E806" s="11" t="s">
        <v>26</v>
      </c>
      <c r="F806" s="11" t="s">
        <v>137</v>
      </c>
      <c r="G806" s="12">
        <v>1875</v>
      </c>
      <c r="H806" s="12"/>
      <c r="I806" s="12"/>
      <c r="J806" s="12">
        <v>1875</v>
      </c>
      <c r="K806" s="12">
        <f t="shared" ref="K806:K837" si="171"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12</v>
      </c>
      <c r="C807" s="11" t="s">
        <v>248</v>
      </c>
      <c r="D807" s="15" t="s">
        <v>78</v>
      </c>
      <c r="E807" s="11" t="s">
        <v>60</v>
      </c>
      <c r="F807" s="11" t="s">
        <v>249</v>
      </c>
      <c r="G807" s="12">
        <v>1878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1878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7" customFormat="1" ht="28.5" customHeight="1">
      <c r="A808" s="11" t="str">
        <f t="shared" si="159"/>
        <v/>
      </c>
      <c r="B808" s="11" t="s">
        <v>14</v>
      </c>
      <c r="C808" s="11" t="s">
        <v>690</v>
      </c>
      <c r="D808" s="11" t="s">
        <v>57</v>
      </c>
      <c r="E808" s="11" t="s">
        <v>26</v>
      </c>
      <c r="F808" s="11" t="s">
        <v>691</v>
      </c>
      <c r="G808" s="12">
        <v>1878</v>
      </c>
      <c r="H808" s="12"/>
      <c r="I808" s="12"/>
      <c r="J808" s="12">
        <v>1878</v>
      </c>
      <c r="K808" s="12">
        <f t="shared" si="171"/>
        <v>0</v>
      </c>
      <c r="L808" s="12">
        <f t="shared" si="160"/>
        <v>1878</v>
      </c>
      <c r="M808" s="12" t="str">
        <f t="shared" si="161"/>
        <v/>
      </c>
      <c r="N808" s="12">
        <f t="shared" si="162"/>
        <v>1878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16" customFormat="1" ht="28.5" customHeight="1">
      <c r="A809" s="11" t="str">
        <f t="shared" si="159"/>
        <v/>
      </c>
      <c r="B809" s="11" t="s">
        <v>14</v>
      </c>
      <c r="C809" s="11" t="s">
        <v>1318</v>
      </c>
      <c r="D809" s="15" t="s">
        <v>59</v>
      </c>
      <c r="E809" s="11" t="s">
        <v>26</v>
      </c>
      <c r="F809" s="11" t="s">
        <v>1319</v>
      </c>
      <c r="G809" s="12">
        <v>1879</v>
      </c>
      <c r="H809" s="12"/>
      <c r="I809" s="12"/>
      <c r="J809" s="12">
        <v>1865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1865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18</v>
      </c>
      <c r="C810" s="11" t="s">
        <v>1408</v>
      </c>
      <c r="D810" s="15" t="s">
        <v>78</v>
      </c>
      <c r="E810" s="11" t="s">
        <v>26</v>
      </c>
      <c r="F810" s="11" t="s">
        <v>1409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1764</v>
      </c>
      <c r="D811" s="11" t="s">
        <v>45</v>
      </c>
      <c r="E811" s="11" t="s">
        <v>26</v>
      </c>
      <c r="F811" s="11" t="s">
        <v>1765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1332</v>
      </c>
      <c r="D812" s="15" t="s">
        <v>45</v>
      </c>
      <c r="E812" s="11" t="s">
        <v>60</v>
      </c>
      <c r="F812" s="11" t="s">
        <v>1333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1659</v>
      </c>
      <c r="D813" s="15" t="s">
        <v>78</v>
      </c>
      <c r="E813" s="11" t="s">
        <v>26</v>
      </c>
      <c r="F813" s="11" t="s">
        <v>1660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1082</v>
      </c>
      <c r="D814" s="15" t="s">
        <v>45</v>
      </c>
      <c r="E814" s="11" t="s">
        <v>60</v>
      </c>
      <c r="F814" s="11" t="s">
        <v>1083</v>
      </c>
      <c r="G814" s="12">
        <v>1879</v>
      </c>
      <c r="H814" s="12"/>
      <c r="I814" s="12"/>
      <c r="J814" s="12">
        <v>1879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1879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12</v>
      </c>
      <c r="C818" s="11" t="s">
        <v>806</v>
      </c>
      <c r="D818" s="15" t="s">
        <v>57</v>
      </c>
      <c r="E818" s="11" t="s">
        <v>26</v>
      </c>
      <c r="F818" s="11" t="s">
        <v>807</v>
      </c>
      <c r="G818" s="12">
        <v>1887</v>
      </c>
      <c r="H818" s="12"/>
      <c r="I818" s="12"/>
      <c r="J818" s="12">
        <v>1827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1827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1"/>
        <v>0</v>
      </c>
      <c r="L819" s="12">
        <f t="shared" si="160"/>
        <v>1887</v>
      </c>
      <c r="M819" s="12" t="str">
        <f t="shared" si="161"/>
        <v/>
      </c>
      <c r="N819" s="12">
        <f t="shared" si="162"/>
        <v>1857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1"/>
        <v>0</v>
      </c>
      <c r="L820" s="12">
        <f t="shared" si="160"/>
        <v>1888</v>
      </c>
      <c r="M820" s="12" t="str">
        <f t="shared" si="161"/>
        <v/>
      </c>
      <c r="N820" s="12">
        <f t="shared" si="162"/>
        <v>1878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10</v>
      </c>
      <c r="C821" s="11" t="s">
        <v>1183</v>
      </c>
      <c r="D821" s="11" t="s">
        <v>57</v>
      </c>
      <c r="E821" s="11" t="s">
        <v>26</v>
      </c>
      <c r="F821" s="11" t="s">
        <v>1184</v>
      </c>
      <c r="G821" s="12">
        <v>1889</v>
      </c>
      <c r="H821" s="12"/>
      <c r="I821" s="12"/>
      <c r="J821" s="12">
        <v>1859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1859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5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1869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1869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1889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1899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1845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1850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si="171"/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5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1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18</v>
      </c>
      <c r="C838" s="11" t="s">
        <v>974</v>
      </c>
      <c r="D838" s="11" t="s">
        <v>57</v>
      </c>
      <c r="E838" s="11" t="s">
        <v>60</v>
      </c>
      <c r="F838" s="11" t="s">
        <v>975</v>
      </c>
      <c r="G838" s="12">
        <v>1895</v>
      </c>
      <c r="H838" s="12"/>
      <c r="I838" s="12"/>
      <c r="J838" s="12">
        <v>1869</v>
      </c>
      <c r="K838" s="12">
        <f t="shared" ref="K838:K869" si="172">IF(AND(IFERROR(SEARCH("현대오일뱅크",$C838),0)&gt;0,IFERROR(SEARCH("직영",$C838),0)&gt;0),$B$13,0)</f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1869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1885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1890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  <v/>
      </c>
      <c r="B844" s="11" t="s">
        <v>10</v>
      </c>
      <c r="C844" s="11" t="s">
        <v>1688</v>
      </c>
      <c r="D844" s="11" t="s">
        <v>57</v>
      </c>
      <c r="E844" s="11" t="s">
        <v>60</v>
      </c>
      <c r="F844" s="11" t="s">
        <v>1689</v>
      </c>
      <c r="G844" s="12">
        <v>1895</v>
      </c>
      <c r="H844" s="12"/>
      <c r="I844" s="12"/>
      <c r="J844" s="12">
        <v>1895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1895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1887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1887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2" si="173">IF($T847="","",1+COUNTIF($W$15:$W$882,"&lt;"&amp;W847))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2" si="174">IF($G847="","",$G847+$K847)</f>
        <v>1898</v>
      </c>
      <c r="M847" s="12" t="str">
        <f t="shared" ref="M847:M882" si="175">IF($H847="","",$H847+$K847)</f>
        <v/>
      </c>
      <c r="N847" s="12">
        <f t="shared" ref="N847:N882" si="176">IF($J847="","",$J847+$K847)</f>
        <v>1858</v>
      </c>
      <c r="O847" s="12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9">IF($P847="","",IF($Q847="Y",IFERROR(VLOOKUP($B847,$C$4:$D$13,2,FALSE()),0),0))</f>
        <v/>
      </c>
      <c r="S847" s="12" t="str">
        <f t="shared" ref="S847:S882" si="180">IF($P847="","",ROUNDDOWN($P847*$R847,0))</f>
        <v/>
      </c>
      <c r="T847" s="12" t="str">
        <f t="shared" ref="T847:T882" si="181">IF($P847="","",$P847-$S847)</f>
        <v/>
      </c>
      <c r="U847" s="12" t="str">
        <f t="shared" ref="U847:U882" si="182">IF($T847="","",IF($B$10=0,"",$T847/$B$10))</f>
        <v/>
      </c>
      <c r="V847" s="12" t="str">
        <f t="shared" ref="V847:V882" si="183">IF($P847="","",IF($B$10=0,"",$P847/$B$10))</f>
        <v/>
      </c>
      <c r="W847" s="14">
        <f t="shared" ref="W847:W882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6</v>
      </c>
      <c r="C849" s="11" t="s">
        <v>422</v>
      </c>
      <c r="D849" s="15" t="s">
        <v>59</v>
      </c>
      <c r="E849" s="11" t="s">
        <v>60</v>
      </c>
      <c r="F849" s="11" t="s">
        <v>425</v>
      </c>
      <c r="G849" s="12">
        <v>1899</v>
      </c>
      <c r="H849" s="12"/>
      <c r="I849" s="12"/>
      <c r="J849" s="12">
        <v>1829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1829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16</v>
      </c>
      <c r="C850" s="11" t="s">
        <v>1296</v>
      </c>
      <c r="D850" s="15" t="s">
        <v>45</v>
      </c>
      <c r="E850" s="11" t="s">
        <v>26</v>
      </c>
      <c r="F850" s="11" t="s">
        <v>1297</v>
      </c>
      <c r="G850" s="12">
        <v>1899</v>
      </c>
      <c r="H850" s="12"/>
      <c r="I850" s="12"/>
      <c r="J850" s="12">
        <v>1849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1849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14</v>
      </c>
      <c r="C851" s="11" t="s">
        <v>772</v>
      </c>
      <c r="D851" s="11" t="s">
        <v>69</v>
      </c>
      <c r="E851" s="11" t="s">
        <v>26</v>
      </c>
      <c r="F851" s="11" t="s">
        <v>773</v>
      </c>
      <c r="G851" s="12">
        <v>1899</v>
      </c>
      <c r="H851" s="12"/>
      <c r="I851" s="12"/>
      <c r="J851" s="12">
        <v>1869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1869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655</v>
      </c>
      <c r="D852" s="15" t="s">
        <v>78</v>
      </c>
      <c r="E852" s="11" t="s">
        <v>60</v>
      </c>
      <c r="F852" s="11" t="s">
        <v>656</v>
      </c>
      <c r="G852" s="12">
        <v>1899</v>
      </c>
      <c r="H852" s="12"/>
      <c r="I852" s="12"/>
      <c r="J852" s="12">
        <v>1870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1870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1209</v>
      </c>
      <c r="D854" s="11" t="s">
        <v>69</v>
      </c>
      <c r="E854" s="11" t="s">
        <v>60</v>
      </c>
      <c r="F854" s="11" t="s">
        <v>1210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1105</v>
      </c>
      <c r="D855" s="11" t="s">
        <v>57</v>
      </c>
      <c r="E855" s="11" t="s">
        <v>26</v>
      </c>
      <c r="F855" s="11" t="s">
        <v>1106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1316</v>
      </c>
      <c r="D856" s="15" t="s">
        <v>45</v>
      </c>
      <c r="E856" s="11" t="s">
        <v>26</v>
      </c>
      <c r="F856" s="11" t="s">
        <v>1317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1153</v>
      </c>
      <c r="D857" s="15" t="s">
        <v>45</v>
      </c>
      <c r="E857" s="11" t="s">
        <v>26</v>
      </c>
      <c r="F857" s="11" t="s">
        <v>1154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16" customFormat="1" ht="28.5" customHeight="1">
      <c r="A858" s="11" t="str">
        <f t="shared" si="173"/>
        <v/>
      </c>
      <c r="B858" s="11" t="s">
        <v>10</v>
      </c>
      <c r="C858" s="11" t="s">
        <v>166</v>
      </c>
      <c r="D858" s="15" t="s">
        <v>59</v>
      </c>
      <c r="E858" s="11" t="s">
        <v>26</v>
      </c>
      <c r="F858" s="11" t="s">
        <v>167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515</v>
      </c>
      <c r="D859" s="15" t="s">
        <v>59</v>
      </c>
      <c r="E859" s="11" t="s">
        <v>60</v>
      </c>
      <c r="F859" s="11" t="s">
        <v>516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980</v>
      </c>
      <c r="D860" s="15" t="s">
        <v>59</v>
      </c>
      <c r="E860" s="11" t="s">
        <v>60</v>
      </c>
      <c r="F860" s="11" t="s">
        <v>981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14</v>
      </c>
      <c r="C861" s="11" t="s">
        <v>843</v>
      </c>
      <c r="D861" s="11" t="s">
        <v>57</v>
      </c>
      <c r="E861" s="11" t="s">
        <v>26</v>
      </c>
      <c r="F861" s="11" t="s">
        <v>844</v>
      </c>
      <c r="G861" s="12">
        <v>1899</v>
      </c>
      <c r="H861" s="12"/>
      <c r="I861" s="12"/>
      <c r="J861" s="12">
        <v>1919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1919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12</v>
      </c>
      <c r="C862" s="11" t="s">
        <v>986</v>
      </c>
      <c r="D862" s="15" t="s">
        <v>45</v>
      </c>
      <c r="E862" s="11" t="s">
        <v>60</v>
      </c>
      <c r="F862" s="11" t="s">
        <v>987</v>
      </c>
      <c r="G862" s="12">
        <v>1899</v>
      </c>
      <c r="H862" s="12"/>
      <c r="I862" s="12"/>
      <c r="J862" s="12">
        <v>1948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1948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1860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1860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8</v>
      </c>
      <c r="C866" s="11" t="s">
        <v>1752</v>
      </c>
      <c r="D866" s="11" t="s">
        <v>59</v>
      </c>
      <c r="E866" s="11" t="s">
        <v>60</v>
      </c>
      <c r="F866" s="11" t="s">
        <v>1753</v>
      </c>
      <c r="G866" s="12">
        <v>1909</v>
      </c>
      <c r="H866" s="12"/>
      <c r="I866" s="12"/>
      <c r="J866" s="12">
        <v>1879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1879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si="172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ref="K870:K882" si="185">IF(AND(IFERROR(SEARCH("현대오일뱅크",$C870),0)&gt;0,IFERROR(SEARCH("직영",$C870),0)&gt;0),$B$13,0)</f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1837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14</v>
      </c>
      <c r="C881" s="11" t="s">
        <v>1074</v>
      </c>
      <c r="D881" s="11" t="s">
        <v>57</v>
      </c>
      <c r="E881" s="11" t="s">
        <v>26</v>
      </c>
      <c r="F881" s="11" t="s">
        <v>1075</v>
      </c>
      <c r="G881" s="12"/>
      <c r="H881" s="12"/>
      <c r="I881" s="12"/>
      <c r="J881" s="12">
        <v>1865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1865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1970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10</v>
      </c>
      <c r="B4" s="20" t="s">
        <v>884</v>
      </c>
      <c r="C4" s="20" t="s">
        <v>885</v>
      </c>
      <c r="D4" s="20" t="s">
        <v>1751</v>
      </c>
      <c r="E4" s="26">
        <v>1830</v>
      </c>
      <c r="F4" s="26">
        <v>1830</v>
      </c>
      <c r="G4" s="26">
        <f t="shared" ref="G4:G50" si="0">IF(OR(E4="",F4=""),"",F4-E4)</f>
        <v>0</v>
      </c>
      <c r="H4" s="26">
        <v>2250</v>
      </c>
      <c r="I4" s="26">
        <v>2270</v>
      </c>
      <c r="J4" s="26">
        <f t="shared" ref="J4:J50" si="1">IF(OR(H4="",I4=""),"",I4-H4)</f>
        <v>20</v>
      </c>
      <c r="K4" s="26">
        <v>1810</v>
      </c>
      <c r="L4" s="26">
        <v>1810</v>
      </c>
      <c r="M4" s="26">
        <f t="shared" ref="M4:M50" si="2">IF(OR(K4="",L4=""),"",L4-K4)</f>
        <v>0</v>
      </c>
    </row>
    <row r="5" spans="1:13" s="16" customFormat="1" ht="25.5" customHeight="1">
      <c r="A5" s="19" t="s">
        <v>16</v>
      </c>
      <c r="B5" s="20" t="s">
        <v>1280</v>
      </c>
      <c r="C5" s="20" t="s">
        <v>1281</v>
      </c>
      <c r="D5" s="20" t="s">
        <v>1751</v>
      </c>
      <c r="E5" s="26">
        <v>1830</v>
      </c>
      <c r="F5" s="26">
        <v>1830</v>
      </c>
      <c r="G5" s="26">
        <f t="shared" si="0"/>
        <v>0</v>
      </c>
      <c r="H5" s="26">
        <v>2190</v>
      </c>
      <c r="I5" s="26">
        <v>2250</v>
      </c>
      <c r="J5" s="26">
        <f t="shared" si="1"/>
        <v>60</v>
      </c>
      <c r="K5" s="26">
        <v>1790</v>
      </c>
      <c r="L5" s="26">
        <v>1790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1288</v>
      </c>
      <c r="C6" s="20" t="s">
        <v>1289</v>
      </c>
      <c r="D6" s="20" t="s">
        <v>1751</v>
      </c>
      <c r="E6" s="26">
        <v>1819</v>
      </c>
      <c r="F6" s="26">
        <v>1819</v>
      </c>
      <c r="G6" s="26">
        <f t="shared" si="0"/>
        <v>0</v>
      </c>
      <c r="H6" s="26">
        <v>2259</v>
      </c>
      <c r="I6" s="26">
        <v>2259</v>
      </c>
      <c r="J6" s="26">
        <f t="shared" si="1"/>
        <v>0</v>
      </c>
      <c r="K6" s="26">
        <v>1849</v>
      </c>
      <c r="L6" s="26">
        <v>1869</v>
      </c>
      <c r="M6" s="26">
        <f t="shared" si="2"/>
        <v>20</v>
      </c>
    </row>
    <row r="7" spans="1:13" s="16" customFormat="1" ht="25.5" customHeight="1">
      <c r="A7" s="19" t="s">
        <v>18</v>
      </c>
      <c r="B7" s="20" t="s">
        <v>386</v>
      </c>
      <c r="C7" s="20" t="s">
        <v>387</v>
      </c>
      <c r="D7" s="20" t="s">
        <v>1751</v>
      </c>
      <c r="E7" s="26">
        <v>1832</v>
      </c>
      <c r="F7" s="26">
        <v>1832</v>
      </c>
      <c r="G7" s="26">
        <f t="shared" si="0"/>
        <v>0</v>
      </c>
      <c r="H7" s="26">
        <v>2249</v>
      </c>
      <c r="I7" s="26">
        <v>2249</v>
      </c>
      <c r="J7" s="26">
        <f t="shared" si="1"/>
        <v>0</v>
      </c>
      <c r="K7" s="26">
        <v>1850</v>
      </c>
      <c r="L7" s="26">
        <v>1812</v>
      </c>
      <c r="M7" s="26">
        <f t="shared" si="2"/>
        <v>-38</v>
      </c>
    </row>
    <row r="8" spans="1:13" s="16" customFormat="1" ht="25.5" customHeight="1">
      <c r="A8" s="19" t="s">
        <v>10</v>
      </c>
      <c r="B8" s="20" t="s">
        <v>47</v>
      </c>
      <c r="C8" s="20" t="s">
        <v>49</v>
      </c>
      <c r="D8" s="20" t="s">
        <v>1751</v>
      </c>
      <c r="E8" s="26">
        <v>1836</v>
      </c>
      <c r="F8" s="26">
        <v>1836</v>
      </c>
      <c r="G8" s="26">
        <f t="shared" si="0"/>
        <v>0</v>
      </c>
      <c r="H8" s="26">
        <v>2257</v>
      </c>
      <c r="I8" s="26">
        <v>2279</v>
      </c>
      <c r="J8" s="26">
        <f t="shared" si="1"/>
        <v>22</v>
      </c>
      <c r="K8" s="26">
        <v>1799</v>
      </c>
      <c r="L8" s="26">
        <v>1799</v>
      </c>
      <c r="M8" s="26">
        <f t="shared" si="2"/>
        <v>0</v>
      </c>
    </row>
    <row r="9" spans="1:13" s="16" customFormat="1" ht="25.5" customHeight="1">
      <c r="A9" s="19" t="s">
        <v>16</v>
      </c>
      <c r="B9" s="20" t="s">
        <v>606</v>
      </c>
      <c r="C9" s="20" t="s">
        <v>607</v>
      </c>
      <c r="D9" s="20" t="s">
        <v>1751</v>
      </c>
      <c r="E9" s="26">
        <v>1865</v>
      </c>
      <c r="F9" s="26">
        <v>1885</v>
      </c>
      <c r="G9" s="26">
        <f t="shared" si="0"/>
        <v>20</v>
      </c>
      <c r="H9" s="26">
        <v>2225</v>
      </c>
      <c r="I9" s="26">
        <v>2225</v>
      </c>
      <c r="J9" s="26">
        <f t="shared" si="1"/>
        <v>0</v>
      </c>
      <c r="K9" s="26">
        <v>1855</v>
      </c>
      <c r="L9" s="26">
        <v>1855</v>
      </c>
      <c r="M9" s="26">
        <f t="shared" si="2"/>
        <v>0</v>
      </c>
    </row>
    <row r="10" spans="1:13" s="16" customFormat="1" ht="25.5" customHeight="1">
      <c r="A10" s="19" t="s">
        <v>14</v>
      </c>
      <c r="B10" s="20" t="s">
        <v>458</v>
      </c>
      <c r="C10" s="20" t="s">
        <v>459</v>
      </c>
      <c r="D10" s="20" t="s">
        <v>1751</v>
      </c>
      <c r="E10" s="26">
        <v>1832</v>
      </c>
      <c r="F10" s="26">
        <v>1832</v>
      </c>
      <c r="G10" s="26">
        <f t="shared" si="0"/>
        <v>0</v>
      </c>
      <c r="H10" s="26">
        <v>2309</v>
      </c>
      <c r="I10" s="26">
        <v>2335</v>
      </c>
      <c r="J10" s="26">
        <f t="shared" si="1"/>
        <v>26</v>
      </c>
      <c r="K10" s="26">
        <v>1822</v>
      </c>
      <c r="L10" s="26">
        <v>1822</v>
      </c>
      <c r="M10" s="26">
        <f t="shared" si="2"/>
        <v>0</v>
      </c>
    </row>
    <row r="11" spans="1:13" s="16" customFormat="1" ht="25.5" customHeight="1">
      <c r="A11" s="19" t="s">
        <v>14</v>
      </c>
      <c r="B11" s="20" t="s">
        <v>306</v>
      </c>
      <c r="C11" s="20" t="s">
        <v>307</v>
      </c>
      <c r="D11" s="20" t="s">
        <v>1751</v>
      </c>
      <c r="E11" s="26">
        <v>1815</v>
      </c>
      <c r="F11" s="26">
        <v>1815</v>
      </c>
      <c r="G11" s="26">
        <f t="shared" si="0"/>
        <v>0</v>
      </c>
      <c r="H11" s="26">
        <v>2339</v>
      </c>
      <c r="I11" s="26"/>
      <c r="J11" s="26" t="str">
        <f t="shared" si="1"/>
        <v/>
      </c>
      <c r="K11" s="26">
        <v>1808</v>
      </c>
      <c r="L11" s="26">
        <v>1808</v>
      </c>
      <c r="M11" s="26">
        <f t="shared" si="2"/>
        <v>0</v>
      </c>
    </row>
    <row r="12" spans="1:13" s="16" customFormat="1" ht="25.5" customHeight="1">
      <c r="A12" s="19" t="s">
        <v>10</v>
      </c>
      <c r="B12" s="20" t="s">
        <v>1278</v>
      </c>
      <c r="C12" s="20" t="s">
        <v>1279</v>
      </c>
      <c r="D12" s="20" t="s">
        <v>1751</v>
      </c>
      <c r="E12" s="26">
        <v>1869</v>
      </c>
      <c r="F12" s="26">
        <v>1869</v>
      </c>
      <c r="G12" s="26">
        <f t="shared" si="0"/>
        <v>0</v>
      </c>
      <c r="H12" s="26"/>
      <c r="I12" s="26"/>
      <c r="J12" s="26" t="str">
        <f t="shared" si="1"/>
        <v/>
      </c>
      <c r="K12" s="26">
        <v>1859</v>
      </c>
      <c r="L12" s="26">
        <v>1870</v>
      </c>
      <c r="M12" s="26">
        <f t="shared" si="2"/>
        <v>11</v>
      </c>
    </row>
    <row r="13" spans="1:13" s="16" customFormat="1" ht="25.5" customHeight="1">
      <c r="A13" s="19" t="s">
        <v>10</v>
      </c>
      <c r="B13" s="20" t="s">
        <v>900</v>
      </c>
      <c r="C13" s="20" t="s">
        <v>901</v>
      </c>
      <c r="D13" s="20" t="s">
        <v>1751</v>
      </c>
      <c r="E13" s="26">
        <v>1889</v>
      </c>
      <c r="F13" s="26">
        <v>1889</v>
      </c>
      <c r="G13" s="26">
        <f t="shared" si="0"/>
        <v>0</v>
      </c>
      <c r="H13" s="26"/>
      <c r="I13" s="26"/>
      <c r="J13" s="26" t="str">
        <f t="shared" si="1"/>
        <v/>
      </c>
      <c r="K13" s="26">
        <v>1879</v>
      </c>
      <c r="L13" s="26">
        <v>1899</v>
      </c>
      <c r="M13" s="26">
        <f t="shared" si="2"/>
        <v>20</v>
      </c>
    </row>
    <row r="14" spans="1:13" s="16" customFormat="1" ht="25.5" customHeight="1">
      <c r="A14" s="19" t="s">
        <v>6</v>
      </c>
      <c r="B14" s="20" t="s">
        <v>1518</v>
      </c>
      <c r="C14" s="20" t="s">
        <v>1519</v>
      </c>
      <c r="D14" s="20" t="s">
        <v>1751</v>
      </c>
      <c r="E14" s="26">
        <v>1899</v>
      </c>
      <c r="F14" s="26">
        <v>1899</v>
      </c>
      <c r="G14" s="26">
        <f t="shared" si="0"/>
        <v>0</v>
      </c>
      <c r="H14" s="26"/>
      <c r="I14" s="26"/>
      <c r="J14" s="26" t="str">
        <f t="shared" si="1"/>
        <v/>
      </c>
      <c r="K14" s="26">
        <v>1849</v>
      </c>
      <c r="L14" s="26">
        <v>1834</v>
      </c>
      <c r="M14" s="26">
        <f t="shared" si="2"/>
        <v>-15</v>
      </c>
    </row>
    <row r="15" spans="1:13" s="16" customFormat="1" ht="25.5" customHeight="1">
      <c r="A15" s="19" t="s">
        <v>12</v>
      </c>
      <c r="B15" s="20" t="s">
        <v>97</v>
      </c>
      <c r="C15" s="20" t="s">
        <v>98</v>
      </c>
      <c r="D15" s="20" t="s">
        <v>1751</v>
      </c>
      <c r="E15" s="26">
        <v>1797</v>
      </c>
      <c r="F15" s="26">
        <v>1812</v>
      </c>
      <c r="G15" s="26">
        <f t="shared" si="0"/>
        <v>15</v>
      </c>
      <c r="H15" s="26"/>
      <c r="I15" s="26"/>
      <c r="J15" s="26" t="str">
        <f t="shared" si="1"/>
        <v/>
      </c>
      <c r="K15" s="26">
        <v>1812</v>
      </c>
      <c r="L15" s="26">
        <v>1812</v>
      </c>
      <c r="M15" s="26">
        <f t="shared" si="2"/>
        <v>0</v>
      </c>
    </row>
    <row r="16" spans="1:13" s="16" customFormat="1" ht="25.5" customHeight="1">
      <c r="A16" s="19" t="s">
        <v>16</v>
      </c>
      <c r="B16" s="20" t="s">
        <v>474</v>
      </c>
      <c r="C16" s="20" t="s">
        <v>475</v>
      </c>
      <c r="D16" s="20" t="s">
        <v>1751</v>
      </c>
      <c r="E16" s="26">
        <v>1840</v>
      </c>
      <c r="F16" s="26">
        <v>1840</v>
      </c>
      <c r="G16" s="26">
        <f t="shared" si="0"/>
        <v>0</v>
      </c>
      <c r="H16" s="26"/>
      <c r="I16" s="26"/>
      <c r="J16" s="26" t="str">
        <f t="shared" si="1"/>
        <v/>
      </c>
      <c r="K16" s="26">
        <v>1837</v>
      </c>
      <c r="L16" s="26">
        <v>1817</v>
      </c>
      <c r="M16" s="26">
        <f t="shared" si="2"/>
        <v>-20</v>
      </c>
    </row>
    <row r="17" spans="1:13" s="16" customFormat="1" ht="25.5" customHeight="1">
      <c r="A17" s="19" t="s">
        <v>16</v>
      </c>
      <c r="B17" s="20" t="s">
        <v>663</v>
      </c>
      <c r="C17" s="20" t="s">
        <v>664</v>
      </c>
      <c r="D17" s="20" t="s">
        <v>1751</v>
      </c>
      <c r="E17" s="26">
        <v>1845</v>
      </c>
      <c r="F17" s="26">
        <v>1837</v>
      </c>
      <c r="G17" s="26">
        <f t="shared" si="0"/>
        <v>-8</v>
      </c>
      <c r="H17" s="26"/>
      <c r="I17" s="26"/>
      <c r="J17" s="26" t="str">
        <f t="shared" si="1"/>
        <v/>
      </c>
      <c r="K17" s="26">
        <v>1805</v>
      </c>
      <c r="L17" s="26">
        <v>1805</v>
      </c>
      <c r="M17" s="26">
        <f t="shared" si="2"/>
        <v>0</v>
      </c>
    </row>
    <row r="18" spans="1:13" s="16" customFormat="1" ht="25.5" customHeight="1">
      <c r="A18" s="19" t="s">
        <v>16</v>
      </c>
      <c r="B18" s="20" t="s">
        <v>926</v>
      </c>
      <c r="C18" s="20" t="s">
        <v>927</v>
      </c>
      <c r="D18" s="20" t="s">
        <v>1751</v>
      </c>
      <c r="E18" s="26">
        <v>1855</v>
      </c>
      <c r="F18" s="26">
        <v>1855</v>
      </c>
      <c r="G18" s="26">
        <f t="shared" si="0"/>
        <v>0</v>
      </c>
      <c r="H18" s="26"/>
      <c r="I18" s="26"/>
      <c r="J18" s="26" t="str">
        <f t="shared" si="1"/>
        <v/>
      </c>
      <c r="K18" s="26">
        <v>1830</v>
      </c>
      <c r="L18" s="26">
        <v>1860</v>
      </c>
      <c r="M18" s="26">
        <f t="shared" si="2"/>
        <v>30</v>
      </c>
    </row>
    <row r="19" spans="1:13" s="16" customFormat="1" ht="25.5" customHeight="1">
      <c r="A19" s="19" t="s">
        <v>12</v>
      </c>
      <c r="B19" s="20" t="s">
        <v>1159</v>
      </c>
      <c r="C19" s="20" t="s">
        <v>1160</v>
      </c>
      <c r="D19" s="20" t="s">
        <v>1751</v>
      </c>
      <c r="E19" s="26">
        <v>1827</v>
      </c>
      <c r="F19" s="26">
        <v>1857</v>
      </c>
      <c r="G19" s="26">
        <f t="shared" si="0"/>
        <v>30</v>
      </c>
      <c r="H19" s="26"/>
      <c r="I19" s="26"/>
      <c r="J19" s="26" t="str">
        <f t="shared" si="1"/>
        <v/>
      </c>
      <c r="K19" s="26">
        <v>1792</v>
      </c>
      <c r="L19" s="26">
        <v>1792</v>
      </c>
      <c r="M19" s="26">
        <f t="shared" si="2"/>
        <v>0</v>
      </c>
    </row>
    <row r="20" spans="1:13" s="16" customFormat="1" ht="25.5" customHeight="1">
      <c r="A20" s="19" t="s">
        <v>12</v>
      </c>
      <c r="B20" s="20" t="s">
        <v>864</v>
      </c>
      <c r="C20" s="20" t="s">
        <v>865</v>
      </c>
      <c r="D20" s="20" t="s">
        <v>1751</v>
      </c>
      <c r="E20" s="26">
        <v>1828</v>
      </c>
      <c r="F20" s="26">
        <v>1828</v>
      </c>
      <c r="G20" s="26">
        <f t="shared" si="0"/>
        <v>0</v>
      </c>
      <c r="H20" s="26"/>
      <c r="I20" s="26"/>
      <c r="J20" s="26" t="str">
        <f t="shared" si="1"/>
        <v/>
      </c>
      <c r="K20" s="26">
        <v>1848</v>
      </c>
      <c r="L20" s="26">
        <v>1828</v>
      </c>
      <c r="M20" s="26">
        <f t="shared" si="2"/>
        <v>-20</v>
      </c>
    </row>
    <row r="21" spans="1:13" s="16" customFormat="1" ht="25.5" customHeight="1">
      <c r="A21" s="19" t="s">
        <v>16</v>
      </c>
      <c r="B21" s="20" t="s">
        <v>1357</v>
      </c>
      <c r="C21" s="20" t="s">
        <v>1358</v>
      </c>
      <c r="D21" s="20" t="s">
        <v>1751</v>
      </c>
      <c r="E21" s="26">
        <v>1870</v>
      </c>
      <c r="F21" s="26">
        <v>1870</v>
      </c>
      <c r="G21" s="26">
        <f t="shared" si="0"/>
        <v>0</v>
      </c>
      <c r="H21" s="26"/>
      <c r="I21" s="26"/>
      <c r="J21" s="26" t="str">
        <f t="shared" si="1"/>
        <v/>
      </c>
      <c r="K21" s="26">
        <v>1820</v>
      </c>
      <c r="L21" s="26">
        <v>1840</v>
      </c>
      <c r="M21" s="26">
        <f t="shared" si="2"/>
        <v>20</v>
      </c>
    </row>
    <row r="22" spans="1:13" s="16" customFormat="1" ht="25.5" customHeight="1">
      <c r="A22" s="19" t="s">
        <v>10</v>
      </c>
      <c r="B22" s="20" t="s">
        <v>1213</v>
      </c>
      <c r="C22" s="20" t="s">
        <v>1214</v>
      </c>
      <c r="D22" s="20" t="s">
        <v>1751</v>
      </c>
      <c r="E22" s="26">
        <v>1938</v>
      </c>
      <c r="F22" s="26">
        <v>1938</v>
      </c>
      <c r="G22" s="26">
        <f t="shared" si="0"/>
        <v>0</v>
      </c>
      <c r="H22" s="26"/>
      <c r="I22" s="26"/>
      <c r="J22" s="26" t="str">
        <f t="shared" si="1"/>
        <v/>
      </c>
      <c r="K22" s="26">
        <v>1938</v>
      </c>
      <c r="L22" s="26">
        <v>1898</v>
      </c>
      <c r="M22" s="26">
        <f t="shared" si="2"/>
        <v>-40</v>
      </c>
    </row>
    <row r="23" spans="1:13" s="16" customFormat="1" ht="25.5" customHeight="1">
      <c r="A23" s="19" t="s">
        <v>14</v>
      </c>
      <c r="B23" s="20" t="s">
        <v>1107</v>
      </c>
      <c r="C23" s="20" t="s">
        <v>1108</v>
      </c>
      <c r="D23" s="20" t="s">
        <v>1751</v>
      </c>
      <c r="E23" s="26">
        <v>1945</v>
      </c>
      <c r="F23" s="26">
        <v>1945</v>
      </c>
      <c r="G23" s="26">
        <f t="shared" si="0"/>
        <v>0</v>
      </c>
      <c r="H23" s="26"/>
      <c r="I23" s="26"/>
      <c r="J23" s="26" t="str">
        <f t="shared" si="1"/>
        <v/>
      </c>
      <c r="K23" s="26">
        <v>1895</v>
      </c>
      <c r="L23" s="26">
        <v>1880</v>
      </c>
      <c r="M23" s="26">
        <f t="shared" si="2"/>
        <v>-15</v>
      </c>
    </row>
    <row r="24" spans="1:13" s="16" customFormat="1" ht="25.5" customHeight="1">
      <c r="A24" s="19" t="s">
        <v>12</v>
      </c>
      <c r="B24" s="20" t="s">
        <v>1584</v>
      </c>
      <c r="C24" s="20" t="s">
        <v>1585</v>
      </c>
      <c r="D24" s="20" t="s">
        <v>1751</v>
      </c>
      <c r="E24" s="26">
        <v>1792</v>
      </c>
      <c r="F24" s="26">
        <v>1787</v>
      </c>
      <c r="G24" s="26">
        <f t="shared" si="0"/>
        <v>-5</v>
      </c>
      <c r="H24" s="26"/>
      <c r="I24" s="26"/>
      <c r="J24" s="26" t="str">
        <f t="shared" si="1"/>
        <v/>
      </c>
      <c r="K24" s="26">
        <v>1812</v>
      </c>
      <c r="L24" s="26">
        <v>1782</v>
      </c>
      <c r="M24" s="26">
        <f t="shared" si="2"/>
        <v>-30</v>
      </c>
    </row>
    <row r="25" spans="1:13" s="16" customFormat="1" ht="25.5" customHeight="1">
      <c r="A25" s="19" t="s">
        <v>12</v>
      </c>
      <c r="B25" s="20" t="s">
        <v>447</v>
      </c>
      <c r="C25" s="20" t="s">
        <v>449</v>
      </c>
      <c r="D25" s="20" t="s">
        <v>1751</v>
      </c>
      <c r="E25" s="26">
        <v>1799</v>
      </c>
      <c r="F25" s="26">
        <v>1814</v>
      </c>
      <c r="G25" s="26">
        <f t="shared" si="0"/>
        <v>15</v>
      </c>
      <c r="H25" s="26"/>
      <c r="I25" s="26"/>
      <c r="J25" s="26" t="str">
        <f t="shared" si="1"/>
        <v/>
      </c>
      <c r="K25" s="26">
        <v>1824</v>
      </c>
      <c r="L25" s="26">
        <v>1824</v>
      </c>
      <c r="M25" s="26">
        <f t="shared" si="2"/>
        <v>0</v>
      </c>
    </row>
    <row r="26" spans="1:13" s="16" customFormat="1" ht="25.5" customHeight="1">
      <c r="A26" s="19" t="s">
        <v>14</v>
      </c>
      <c r="B26" s="20" t="s">
        <v>1726</v>
      </c>
      <c r="C26" s="20" t="s">
        <v>1727</v>
      </c>
      <c r="D26" s="20" t="s">
        <v>1751</v>
      </c>
      <c r="E26" s="26">
        <v>1809</v>
      </c>
      <c r="F26" s="26">
        <v>1815</v>
      </c>
      <c r="G26" s="26">
        <f t="shared" si="0"/>
        <v>6</v>
      </c>
      <c r="H26" s="26"/>
      <c r="I26" s="26"/>
      <c r="J26" s="26" t="str">
        <f t="shared" si="1"/>
        <v/>
      </c>
      <c r="K26" s="26">
        <v>1789</v>
      </c>
      <c r="L26" s="26">
        <v>1798</v>
      </c>
      <c r="M26" s="26">
        <f t="shared" si="2"/>
        <v>9</v>
      </c>
    </row>
    <row r="27" spans="1:13" s="16" customFormat="1" ht="25.5" customHeight="1">
      <c r="A27" s="19" t="s">
        <v>6</v>
      </c>
      <c r="B27" s="20" t="s">
        <v>645</v>
      </c>
      <c r="C27" s="20" t="s">
        <v>646</v>
      </c>
      <c r="D27" s="20" t="s">
        <v>1751</v>
      </c>
      <c r="E27" s="26">
        <v>1814</v>
      </c>
      <c r="F27" s="26">
        <v>1824</v>
      </c>
      <c r="G27" s="26">
        <f t="shared" si="0"/>
        <v>10</v>
      </c>
      <c r="H27" s="26"/>
      <c r="I27" s="26"/>
      <c r="J27" s="26" t="str">
        <f t="shared" si="1"/>
        <v/>
      </c>
      <c r="K27" s="26">
        <v>1792</v>
      </c>
      <c r="L27" s="26">
        <v>1812</v>
      </c>
      <c r="M27" s="26">
        <f t="shared" si="2"/>
        <v>20</v>
      </c>
    </row>
    <row r="28" spans="1:13" s="16" customFormat="1" ht="25.5" customHeight="1">
      <c r="A28" s="19" t="s">
        <v>6</v>
      </c>
      <c r="B28" s="20" t="s">
        <v>160</v>
      </c>
      <c r="C28" s="20" t="s">
        <v>161</v>
      </c>
      <c r="D28" s="20" t="s">
        <v>1751</v>
      </c>
      <c r="E28" s="26">
        <v>1819</v>
      </c>
      <c r="F28" s="26">
        <v>1825</v>
      </c>
      <c r="G28" s="26">
        <f t="shared" si="0"/>
        <v>6</v>
      </c>
      <c r="H28" s="26"/>
      <c r="I28" s="26"/>
      <c r="J28" s="26" t="str">
        <f t="shared" si="1"/>
        <v/>
      </c>
      <c r="K28" s="26">
        <v>1809</v>
      </c>
      <c r="L28" s="26">
        <v>1815</v>
      </c>
      <c r="M28" s="26">
        <f t="shared" si="2"/>
        <v>6</v>
      </c>
    </row>
    <row r="29" spans="1:13" s="16" customFormat="1" ht="25.5" customHeight="1">
      <c r="A29" s="19" t="s">
        <v>18</v>
      </c>
      <c r="B29" s="20" t="s">
        <v>300</v>
      </c>
      <c r="C29" s="20" t="s">
        <v>301</v>
      </c>
      <c r="D29" s="20" t="s">
        <v>1751</v>
      </c>
      <c r="E29" s="26">
        <v>1824</v>
      </c>
      <c r="F29" s="26">
        <v>1824</v>
      </c>
      <c r="G29" s="26">
        <f t="shared" si="0"/>
        <v>0</v>
      </c>
      <c r="H29" s="26"/>
      <c r="I29" s="26"/>
      <c r="J29" s="26" t="str">
        <f t="shared" si="1"/>
        <v/>
      </c>
      <c r="K29" s="26">
        <v>1812</v>
      </c>
      <c r="L29" s="26">
        <v>1824</v>
      </c>
      <c r="M29" s="26">
        <f t="shared" si="2"/>
        <v>12</v>
      </c>
    </row>
    <row r="30" spans="1:13" s="16" customFormat="1" ht="25.5" customHeight="1">
      <c r="A30" s="19" t="s">
        <v>12</v>
      </c>
      <c r="B30" s="20" t="s">
        <v>156</v>
      </c>
      <c r="C30" s="20" t="s">
        <v>157</v>
      </c>
      <c r="D30" s="20" t="s">
        <v>1751</v>
      </c>
      <c r="E30" s="26">
        <v>1825</v>
      </c>
      <c r="F30" s="26">
        <v>1815</v>
      </c>
      <c r="G30" s="26">
        <f t="shared" si="0"/>
        <v>-10</v>
      </c>
      <c r="H30" s="26"/>
      <c r="I30" s="26"/>
      <c r="J30" s="26" t="str">
        <f t="shared" si="1"/>
        <v/>
      </c>
      <c r="K30" s="26">
        <v>1815</v>
      </c>
      <c r="L30" s="26">
        <v>1815</v>
      </c>
      <c r="M30" s="26">
        <f t="shared" si="2"/>
        <v>0</v>
      </c>
    </row>
    <row r="31" spans="1:13" s="16" customFormat="1" ht="25.5" customHeight="1">
      <c r="A31" s="19" t="s">
        <v>6</v>
      </c>
      <c r="B31" s="20" t="s">
        <v>561</v>
      </c>
      <c r="C31" s="20" t="s">
        <v>564</v>
      </c>
      <c r="D31" s="20" t="s">
        <v>1751</v>
      </c>
      <c r="E31" s="26">
        <v>1825</v>
      </c>
      <c r="F31" s="26">
        <v>1825</v>
      </c>
      <c r="G31" s="26">
        <f t="shared" si="0"/>
        <v>0</v>
      </c>
      <c r="H31" s="26"/>
      <c r="I31" s="26"/>
      <c r="J31" s="26" t="str">
        <f t="shared" si="1"/>
        <v/>
      </c>
      <c r="K31" s="26">
        <v>1863</v>
      </c>
      <c r="L31" s="26">
        <v>1813</v>
      </c>
      <c r="M31" s="26">
        <f t="shared" si="2"/>
        <v>-50</v>
      </c>
    </row>
    <row r="32" spans="1:13" s="16" customFormat="1" ht="25.5" customHeight="1">
      <c r="A32" s="19" t="s">
        <v>14</v>
      </c>
      <c r="B32" s="20" t="s">
        <v>484</v>
      </c>
      <c r="C32" s="20" t="s">
        <v>485</v>
      </c>
      <c r="D32" s="20" t="s">
        <v>1751</v>
      </c>
      <c r="E32" s="26">
        <v>1827</v>
      </c>
      <c r="F32" s="26">
        <v>1819</v>
      </c>
      <c r="G32" s="26">
        <f t="shared" si="0"/>
        <v>-8</v>
      </c>
      <c r="H32" s="26"/>
      <c r="I32" s="26"/>
      <c r="J32" s="26" t="str">
        <f t="shared" si="1"/>
        <v/>
      </c>
      <c r="K32" s="26">
        <v>1808</v>
      </c>
      <c r="L32" s="26">
        <v>1808</v>
      </c>
      <c r="M32" s="26">
        <f t="shared" si="2"/>
        <v>0</v>
      </c>
    </row>
    <row r="33" spans="1:13" s="16" customFormat="1" ht="25.5" customHeight="1">
      <c r="A33" s="19" t="s">
        <v>12</v>
      </c>
      <c r="B33" s="20" t="s">
        <v>932</v>
      </c>
      <c r="C33" s="20" t="s">
        <v>933</v>
      </c>
      <c r="D33" s="20" t="s">
        <v>1751</v>
      </c>
      <c r="E33" s="26">
        <v>1827</v>
      </c>
      <c r="F33" s="26">
        <v>1837</v>
      </c>
      <c r="G33" s="26">
        <f t="shared" si="0"/>
        <v>10</v>
      </c>
      <c r="H33" s="26"/>
      <c r="I33" s="26"/>
      <c r="J33" s="26" t="str">
        <f t="shared" si="1"/>
        <v/>
      </c>
      <c r="K33" s="26">
        <v>1843</v>
      </c>
      <c r="L33" s="26">
        <v>1823</v>
      </c>
      <c r="M33" s="26">
        <f t="shared" si="2"/>
        <v>-20</v>
      </c>
    </row>
    <row r="34" spans="1:13" s="16" customFormat="1" ht="25.5" customHeight="1">
      <c r="A34" s="19" t="s">
        <v>10</v>
      </c>
      <c r="B34" s="20" t="s">
        <v>1051</v>
      </c>
      <c r="C34" s="20" t="s">
        <v>1052</v>
      </c>
      <c r="D34" s="20" t="s">
        <v>1751</v>
      </c>
      <c r="E34" s="26">
        <v>1829</v>
      </c>
      <c r="F34" s="26">
        <v>1829</v>
      </c>
      <c r="G34" s="26">
        <f t="shared" si="0"/>
        <v>0</v>
      </c>
      <c r="H34" s="26"/>
      <c r="I34" s="26"/>
      <c r="J34" s="26" t="str">
        <f t="shared" si="1"/>
        <v/>
      </c>
      <c r="K34" s="26">
        <v>1798</v>
      </c>
      <c r="L34" s="26">
        <v>1848</v>
      </c>
      <c r="M34" s="26">
        <f t="shared" si="2"/>
        <v>50</v>
      </c>
    </row>
    <row r="35" spans="1:13" s="16" customFormat="1" ht="25.5" customHeight="1">
      <c r="A35" s="19" t="s">
        <v>18</v>
      </c>
      <c r="B35" s="20" t="s">
        <v>1211</v>
      </c>
      <c r="C35" s="20" t="s">
        <v>1212</v>
      </c>
      <c r="D35" s="20" t="s">
        <v>1751</v>
      </c>
      <c r="E35" s="26">
        <v>1829</v>
      </c>
      <c r="F35" s="26">
        <v>1825</v>
      </c>
      <c r="G35" s="26">
        <f t="shared" si="0"/>
        <v>-4</v>
      </c>
      <c r="H35" s="26"/>
      <c r="I35" s="26"/>
      <c r="J35" s="26" t="str">
        <f t="shared" si="1"/>
        <v/>
      </c>
      <c r="K35" s="26">
        <v>1819</v>
      </c>
      <c r="L35" s="26">
        <v>1809</v>
      </c>
      <c r="M35" s="26">
        <f t="shared" si="2"/>
        <v>-10</v>
      </c>
    </row>
    <row r="36" spans="1:13" s="16" customFormat="1" ht="25.5" customHeight="1">
      <c r="A36" s="19" t="s">
        <v>18</v>
      </c>
      <c r="B36" s="20" t="s">
        <v>672</v>
      </c>
      <c r="C36" s="20" t="s">
        <v>673</v>
      </c>
      <c r="D36" s="20" t="s">
        <v>1751</v>
      </c>
      <c r="E36" s="26">
        <v>1840</v>
      </c>
      <c r="F36" s="26">
        <v>1840</v>
      </c>
      <c r="G36" s="26">
        <f t="shared" si="0"/>
        <v>0</v>
      </c>
      <c r="H36" s="26"/>
      <c r="I36" s="26"/>
      <c r="J36" s="26" t="str">
        <f t="shared" si="1"/>
        <v/>
      </c>
      <c r="K36" s="26">
        <v>1875</v>
      </c>
      <c r="L36" s="26">
        <v>1830</v>
      </c>
      <c r="M36" s="26">
        <f t="shared" si="2"/>
        <v>-45</v>
      </c>
    </row>
    <row r="37" spans="1:13" s="16" customFormat="1" ht="25.5" customHeight="1">
      <c r="A37" s="19" t="s">
        <v>8</v>
      </c>
      <c r="B37" s="20" t="s">
        <v>731</v>
      </c>
      <c r="C37" s="20" t="s">
        <v>732</v>
      </c>
      <c r="D37" s="20" t="s">
        <v>1751</v>
      </c>
      <c r="E37" s="26">
        <v>1843</v>
      </c>
      <c r="F37" s="26">
        <v>1843</v>
      </c>
      <c r="G37" s="26">
        <f t="shared" si="0"/>
        <v>0</v>
      </c>
      <c r="H37" s="26"/>
      <c r="I37" s="26"/>
      <c r="J37" s="26" t="str">
        <f t="shared" si="1"/>
        <v/>
      </c>
      <c r="K37" s="26">
        <v>1828</v>
      </c>
      <c r="L37" s="26">
        <v>1823</v>
      </c>
      <c r="M37" s="26">
        <f t="shared" si="2"/>
        <v>-5</v>
      </c>
    </row>
    <row r="38" spans="1:13" s="16" customFormat="1" ht="25.5" customHeight="1">
      <c r="A38" s="19" t="s">
        <v>10</v>
      </c>
      <c r="B38" s="20" t="s">
        <v>1191</v>
      </c>
      <c r="C38" s="20" t="s">
        <v>1192</v>
      </c>
      <c r="D38" s="20" t="s">
        <v>1751</v>
      </c>
      <c r="E38" s="26">
        <v>1844</v>
      </c>
      <c r="F38" s="26">
        <v>1846</v>
      </c>
      <c r="G38" s="26">
        <f t="shared" si="0"/>
        <v>2</v>
      </c>
      <c r="H38" s="26"/>
      <c r="I38" s="26"/>
      <c r="J38" s="26" t="str">
        <f t="shared" si="1"/>
        <v/>
      </c>
      <c r="K38" s="26">
        <v>1832</v>
      </c>
      <c r="L38" s="26">
        <v>1836</v>
      </c>
      <c r="M38" s="26">
        <f t="shared" si="2"/>
        <v>4</v>
      </c>
    </row>
    <row r="39" spans="1:13" s="16" customFormat="1" ht="25.5" customHeight="1">
      <c r="A39" s="19" t="s">
        <v>6</v>
      </c>
      <c r="B39" s="20" t="s">
        <v>702</v>
      </c>
      <c r="C39" s="20" t="s">
        <v>703</v>
      </c>
      <c r="D39" s="20" t="s">
        <v>1751</v>
      </c>
      <c r="E39" s="26">
        <v>1849</v>
      </c>
      <c r="F39" s="26">
        <v>1849</v>
      </c>
      <c r="G39" s="26">
        <f t="shared" si="0"/>
        <v>0</v>
      </c>
      <c r="H39" s="26"/>
      <c r="I39" s="26"/>
      <c r="J39" s="26" t="str">
        <f t="shared" si="1"/>
        <v/>
      </c>
      <c r="K39" s="26">
        <v>1834</v>
      </c>
      <c r="L39" s="26">
        <v>1888</v>
      </c>
      <c r="M39" s="26">
        <f t="shared" si="2"/>
        <v>54</v>
      </c>
    </row>
    <row r="40" spans="1:13" s="16" customFormat="1" ht="25.5" customHeight="1">
      <c r="A40" s="19" t="s">
        <v>10</v>
      </c>
      <c r="B40" s="20" t="s">
        <v>868</v>
      </c>
      <c r="C40" s="20" t="s">
        <v>869</v>
      </c>
      <c r="D40" s="20" t="s">
        <v>1751</v>
      </c>
      <c r="E40" s="26">
        <v>1855</v>
      </c>
      <c r="F40" s="26">
        <v>1855</v>
      </c>
      <c r="G40" s="26">
        <f t="shared" si="0"/>
        <v>0</v>
      </c>
      <c r="H40" s="26"/>
      <c r="I40" s="26"/>
      <c r="J40" s="26" t="str">
        <f t="shared" si="1"/>
        <v/>
      </c>
      <c r="K40" s="26">
        <v>1825</v>
      </c>
      <c r="L40" s="26">
        <v>1875</v>
      </c>
      <c r="M40" s="26">
        <f t="shared" si="2"/>
        <v>50</v>
      </c>
    </row>
    <row r="41" spans="1:13" s="16" customFormat="1" ht="25.5" customHeight="1">
      <c r="A41" s="19" t="s">
        <v>12</v>
      </c>
      <c r="B41" s="20" t="s">
        <v>1606</v>
      </c>
      <c r="C41" s="20" t="s">
        <v>1607</v>
      </c>
      <c r="D41" s="20" t="s">
        <v>1751</v>
      </c>
      <c r="E41" s="26">
        <v>1867</v>
      </c>
      <c r="F41" s="26">
        <v>1867</v>
      </c>
      <c r="G41" s="26">
        <f t="shared" si="0"/>
        <v>0</v>
      </c>
      <c r="H41" s="26"/>
      <c r="I41" s="26"/>
      <c r="J41" s="26" t="str">
        <f t="shared" si="1"/>
        <v/>
      </c>
      <c r="K41" s="26">
        <v>1867</v>
      </c>
      <c r="L41" s="26">
        <v>1852</v>
      </c>
      <c r="M41" s="26">
        <f t="shared" si="2"/>
        <v>-15</v>
      </c>
    </row>
    <row r="42" spans="1:13" s="16" customFormat="1" ht="25.5" customHeight="1">
      <c r="A42" s="19" t="s">
        <v>16</v>
      </c>
      <c r="B42" s="20" t="s">
        <v>1480</v>
      </c>
      <c r="C42" s="20" t="s">
        <v>1481</v>
      </c>
      <c r="D42" s="20" t="s">
        <v>1751</v>
      </c>
      <c r="E42" s="26">
        <v>1890</v>
      </c>
      <c r="F42" s="26">
        <v>1890</v>
      </c>
      <c r="G42" s="26">
        <f t="shared" si="0"/>
        <v>0</v>
      </c>
      <c r="H42" s="26"/>
      <c r="I42" s="26"/>
      <c r="J42" s="26" t="str">
        <f t="shared" si="1"/>
        <v/>
      </c>
      <c r="K42" s="26">
        <v>1870</v>
      </c>
      <c r="L42" s="26">
        <v>1850</v>
      </c>
      <c r="M42" s="26">
        <f t="shared" si="2"/>
        <v>-20</v>
      </c>
    </row>
    <row r="43" spans="1:13" s="16" customFormat="1" ht="25.5" customHeight="1">
      <c r="A43" s="19" t="s">
        <v>10</v>
      </c>
      <c r="B43" s="20" t="s">
        <v>1688</v>
      </c>
      <c r="C43" s="20" t="s">
        <v>1689</v>
      </c>
      <c r="D43" s="20" t="s">
        <v>1751</v>
      </c>
      <c r="E43" s="26">
        <v>1895</v>
      </c>
      <c r="F43" s="26">
        <v>1895</v>
      </c>
      <c r="G43" s="26">
        <f t="shared" si="0"/>
        <v>0</v>
      </c>
      <c r="H43" s="26"/>
      <c r="I43" s="26"/>
      <c r="J43" s="26" t="str">
        <f t="shared" si="1"/>
        <v/>
      </c>
      <c r="K43" s="26">
        <v>1875</v>
      </c>
      <c r="L43" s="26">
        <v>1895</v>
      </c>
      <c r="M43" s="26">
        <f t="shared" si="2"/>
        <v>20</v>
      </c>
    </row>
    <row r="44" spans="1:13" s="16" customFormat="1" ht="25.5" customHeight="1">
      <c r="A44" s="19" t="s">
        <v>6</v>
      </c>
      <c r="B44" s="20" t="s">
        <v>422</v>
      </c>
      <c r="C44" s="20" t="s">
        <v>425</v>
      </c>
      <c r="D44" s="20" t="s">
        <v>1751</v>
      </c>
      <c r="E44" s="26">
        <v>1899</v>
      </c>
      <c r="F44" s="26">
        <v>1899</v>
      </c>
      <c r="G44" s="26">
        <f t="shared" si="0"/>
        <v>0</v>
      </c>
      <c r="H44" s="26"/>
      <c r="I44" s="26"/>
      <c r="J44" s="26" t="str">
        <f t="shared" si="1"/>
        <v/>
      </c>
      <c r="K44" s="26">
        <v>1889</v>
      </c>
      <c r="L44" s="26">
        <v>1829</v>
      </c>
      <c r="M44" s="26">
        <f t="shared" si="2"/>
        <v>-60</v>
      </c>
    </row>
    <row r="45" spans="1:13" s="16" customFormat="1" ht="25.5" customHeight="1">
      <c r="A45" s="19" t="s">
        <v>14</v>
      </c>
      <c r="B45" s="20" t="s">
        <v>843</v>
      </c>
      <c r="C45" s="20" t="s">
        <v>844</v>
      </c>
      <c r="D45" s="20" t="s">
        <v>1751</v>
      </c>
      <c r="E45" s="26">
        <v>1899</v>
      </c>
      <c r="F45" s="26">
        <v>1899</v>
      </c>
      <c r="G45" s="26">
        <f t="shared" si="0"/>
        <v>0</v>
      </c>
      <c r="H45" s="26"/>
      <c r="I45" s="26"/>
      <c r="J45" s="26" t="str">
        <f t="shared" si="1"/>
        <v/>
      </c>
      <c r="K45" s="26">
        <v>1889</v>
      </c>
      <c r="L45" s="26">
        <v>1919</v>
      </c>
      <c r="M45" s="26">
        <f t="shared" si="2"/>
        <v>30</v>
      </c>
    </row>
    <row r="46" spans="1:13" s="16" customFormat="1" ht="25.5" customHeight="1">
      <c r="A46" s="19" t="s">
        <v>12</v>
      </c>
      <c r="B46" s="20" t="s">
        <v>986</v>
      </c>
      <c r="C46" s="20" t="s">
        <v>987</v>
      </c>
      <c r="D46" s="20" t="s">
        <v>1751</v>
      </c>
      <c r="E46" s="26">
        <v>1899</v>
      </c>
      <c r="F46" s="26">
        <v>1899</v>
      </c>
      <c r="G46" s="26">
        <f t="shared" si="0"/>
        <v>0</v>
      </c>
      <c r="H46" s="26"/>
      <c r="I46" s="26"/>
      <c r="J46" s="26" t="str">
        <f t="shared" si="1"/>
        <v/>
      </c>
      <c r="K46" s="26">
        <v>1898</v>
      </c>
      <c r="L46" s="26">
        <v>1948</v>
      </c>
      <c r="M46" s="26">
        <f t="shared" si="2"/>
        <v>50</v>
      </c>
    </row>
    <row r="47" spans="1:13" s="16" customFormat="1" ht="25.5" customHeight="1">
      <c r="A47" s="19" t="s">
        <v>14</v>
      </c>
      <c r="B47" s="20" t="s">
        <v>1113</v>
      </c>
      <c r="C47" s="20" t="s">
        <v>1114</v>
      </c>
      <c r="D47" s="20" t="s">
        <v>1751</v>
      </c>
      <c r="E47" s="26">
        <v>1909</v>
      </c>
      <c r="F47" s="26">
        <v>1909</v>
      </c>
      <c r="G47" s="26">
        <f t="shared" si="0"/>
        <v>0</v>
      </c>
      <c r="H47" s="26"/>
      <c r="I47" s="26"/>
      <c r="J47" s="26" t="str">
        <f t="shared" si="1"/>
        <v/>
      </c>
      <c r="K47" s="26">
        <v>1899</v>
      </c>
      <c r="L47" s="26">
        <v>1860</v>
      </c>
      <c r="M47" s="26">
        <f t="shared" si="2"/>
        <v>-39</v>
      </c>
    </row>
    <row r="48" spans="1:13" s="16" customFormat="1" ht="25.5" customHeight="1">
      <c r="A48" s="19" t="s">
        <v>12</v>
      </c>
      <c r="B48" s="20" t="s">
        <v>248</v>
      </c>
      <c r="C48" s="20" t="s">
        <v>249</v>
      </c>
      <c r="D48" s="20" t="s">
        <v>1751</v>
      </c>
      <c r="E48" s="26"/>
      <c r="F48" s="26">
        <v>1878</v>
      </c>
      <c r="G48" s="26" t="str">
        <f t="shared" si="0"/>
        <v/>
      </c>
      <c r="H48" s="26"/>
      <c r="I48" s="26"/>
      <c r="J48" s="26" t="str">
        <f t="shared" si="1"/>
        <v/>
      </c>
      <c r="K48" s="26">
        <v>1865</v>
      </c>
      <c r="L48" s="26">
        <v>1865</v>
      </c>
      <c r="M48" s="26">
        <f t="shared" si="2"/>
        <v>0</v>
      </c>
    </row>
    <row r="49" spans="1:13" s="16" customFormat="1" ht="25.5" customHeight="1">
      <c r="A49" s="19" t="s">
        <v>14</v>
      </c>
      <c r="B49" s="20" t="s">
        <v>1764</v>
      </c>
      <c r="C49" s="20" t="s">
        <v>1765</v>
      </c>
      <c r="D49" s="20" t="s">
        <v>1763</v>
      </c>
      <c r="E49" s="26"/>
      <c r="F49" s="26">
        <v>1879</v>
      </c>
      <c r="G49" s="26" t="str">
        <f t="shared" si="0"/>
        <v/>
      </c>
      <c r="H49" s="26"/>
      <c r="I49" s="26"/>
      <c r="J49" s="26" t="str">
        <f t="shared" si="1"/>
        <v/>
      </c>
      <c r="K49" s="26"/>
      <c r="L49" s="26">
        <v>1869</v>
      </c>
      <c r="M49" s="26" t="str">
        <f t="shared" si="2"/>
        <v/>
      </c>
    </row>
    <row r="50" spans="1:13" s="16" customFormat="1" ht="25.5" customHeight="1">
      <c r="A50" s="19" t="s">
        <v>10</v>
      </c>
      <c r="B50" s="20" t="s">
        <v>1193</v>
      </c>
      <c r="C50" s="20" t="s">
        <v>1194</v>
      </c>
      <c r="D50" s="20" t="s">
        <v>1767</v>
      </c>
      <c r="E50" s="26">
        <v>1847</v>
      </c>
      <c r="F50" s="26"/>
      <c r="G50" s="26" t="str">
        <f t="shared" si="0"/>
        <v/>
      </c>
      <c r="H50" s="26"/>
      <c r="I50" s="26"/>
      <c r="J50" s="26" t="str">
        <f t="shared" si="1"/>
        <v/>
      </c>
      <c r="K50" s="26">
        <v>1837</v>
      </c>
      <c r="L50" s="26"/>
      <c r="M50" s="26" t="str">
        <f t="shared" si="2"/>
        <v/>
      </c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5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