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16" i="2" l="1"/>
  <c r="J16" i="2"/>
  <c r="G16" i="2"/>
  <c r="M15" i="2"/>
  <c r="J15" i="2"/>
  <c r="G15" i="2"/>
  <c r="M14" i="2"/>
  <c r="J14" i="2"/>
  <c r="G14" i="2"/>
  <c r="M13" i="2"/>
  <c r="J13" i="2"/>
  <c r="G13" i="2"/>
  <c r="M12" i="2"/>
  <c r="J12" i="2"/>
  <c r="G12" i="2"/>
  <c r="M11" i="2"/>
  <c r="J11" i="2"/>
  <c r="G11" i="2"/>
  <c r="M10" i="2"/>
  <c r="J10" i="2"/>
  <c r="G10" i="2"/>
  <c r="M9" i="2"/>
  <c r="J9" i="2"/>
  <c r="G9" i="2"/>
  <c r="M8" i="2"/>
  <c r="J8" i="2"/>
  <c r="G8" i="2"/>
  <c r="M7" i="2"/>
  <c r="J7" i="2"/>
  <c r="G7" i="2"/>
  <c r="M6" i="2"/>
  <c r="J6" i="2"/>
  <c r="G6" i="2"/>
  <c r="M5" i="2"/>
  <c r="J5" i="2"/>
  <c r="G5" i="2"/>
  <c r="M4" i="2"/>
  <c r="J4" i="2"/>
  <c r="G4" i="2"/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</calcChain>
</file>

<file path=xl/sharedStrings.xml><?xml version="1.0" encoding="utf-8"?>
<sst xmlns="http://schemas.openxmlformats.org/spreadsheetml/2006/main" count="4737" uniqueCount="1756">
  <si>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</si>
  <si>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</si>
  <si>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</si>
  <si>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</si>
  <si>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</si>
  <si>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</si>
  <si>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</si>
  <si>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</si>
  <si>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</si>
  <si>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</si>
  <si>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</si>
  <si>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</si>
  <si>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</si>
  <si>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</si>
  <si>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</si>
  <si>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</si>
  <si>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</si>
  <si>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</si>
  <si>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</si>
  <si>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</si>
  <si>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</si>
  <si>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</si>
  <si>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</si>
  <si>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</si>
  <si>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</si>
  <si>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</si>
  <si>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</si>
  <si>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</si>
  <si>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</si>
  <si>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</si>
  <si>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</si>
  <si>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</si>
  <si>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</si>
  <si>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</si>
  <si>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</si>
  <si>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</si>
  <si>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</si>
  <si>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</si>
  <si>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</si>
  <si>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</si>
  <si>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</si>
  <si>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</si>
  <si>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</si>
  <si>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</si>
  <si>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</si>
  <si>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</si>
  <si>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</si>
  <si>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</si>
  <si>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</si>
  <si>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</si>
  <si>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</si>
  <si>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</si>
  <si>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</si>
  <si>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</si>
  <si>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</si>
  <si>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</si>
  <si>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</si>
  <si>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</si>
  <si>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</si>
  <si>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</si>
  <si>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</si>
  <si>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</si>
  <si>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</si>
  <si>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</si>
  <si>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</si>
  <si>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</si>
  <si>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</si>
  <si>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</si>
  <si>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</si>
  <si>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</si>
  <si>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</si>
  <si>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</si>
  <si>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</si>
  <si>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</si>
  <si>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</si>
  <si>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</si>
  <si>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</si>
  <si>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</si>
  <si>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</si>
  <si>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</si>
  <si>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</si>
  <si>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</si>
  <si>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</si>
  <si>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</si>
  <si>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</si>
  <si>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</si>
  <si>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</si>
  <si>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</si>
  <si>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</si>
  <si>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</si>
  <si>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</si>
  <si>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</si>
  <si>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</si>
  <si>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</si>
  <si>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</si>
  <si>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</si>
  <si>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</si>
  <si>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</si>
  <si>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</si>
  <si>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</si>
  <si>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</si>
  <si>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</si>
  <si>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</si>
  <si>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</si>
  <si>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</si>
  <si>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</si>
  <si>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</si>
  <si>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</si>
  <si>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</si>
  <si>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</si>
  <si>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</si>
  <si>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</si>
  <si>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</si>
  <si>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</si>
  <si>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</si>
  <si>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</si>
  <si>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</si>
  <si>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</si>
  <si>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</si>
  <si>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</si>
  <si>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</si>
  <si>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</si>
  <si>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</si>
  <si>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</si>
  <si>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</si>
  <si>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</si>
  <si>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</si>
  <si>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</si>
  <si>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</si>
  <si>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</si>
  <si>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</si>
  <si>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</si>
  <si>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</si>
  <si>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</si>
  <si>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</si>
  <si>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</si>
  <si>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</si>
  <si>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</si>
  <si>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</si>
  <si>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</si>
  <si>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</si>
  <si>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</si>
  <si>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</si>
  <si>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</si>
  <si>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</si>
  <si>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</si>
  <si>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</si>
  <si>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</si>
  <si>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</si>
  <si>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</si>
  <si>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</si>
  <si>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</si>
  <si>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</si>
  <si>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</si>
  <si>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</si>
  <si>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</si>
  <si>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</si>
  <si>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</si>
  <si>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</si>
  <si>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</si>
  <si>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</si>
  <si>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</si>
  <si>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</si>
  <si>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</si>
  <si>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</si>
  <si>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</si>
  <si>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</si>
  <si>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</si>
  <si>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</si>
  <si>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</si>
  <si>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</si>
  <si>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</si>
  <si>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</si>
  <si>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</si>
  <si>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</si>
  <si>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</si>
  <si>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</si>
  <si>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</si>
  <si>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</si>
  <si>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</si>
  <si>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</si>
  <si>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</si>
  <si>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</si>
  <si>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</si>
  <si>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</si>
  <si>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</si>
  <si>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</si>
  <si>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</si>
  <si>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</si>
  <si>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</si>
  <si>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</si>
  <si>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</si>
  <si>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</si>
  <si>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</si>
  <si>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</si>
  <si>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</si>
  <si>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</si>
  <si>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</si>
  <si>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</si>
  <si>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</si>
  <si>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</si>
  <si>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</si>
  <si>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</si>
  <si>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</si>
  <si>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</si>
  <si>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</si>
  <si>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</si>
  <si>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</si>
  <si>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</si>
  <si>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</si>
  <si>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</si>
  <si>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</si>
  <si>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</si>
  <si>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</si>
  <si>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</si>
  <si>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</si>
  <si>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</si>
  <si>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</si>
  <si>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</si>
  <si>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</si>
  <si>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</si>
  <si>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</si>
  <si>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</si>
  <si>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</si>
  <si>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</si>
  <si>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</si>
  <si>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</si>
  <si>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</si>
  <si>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</si>
  <si>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</si>
  <si>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</si>
  <si>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</si>
  <si>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</si>
  <si>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</si>
  <si>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</si>
  <si>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</si>
  <si>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</si>
  <si>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</si>
  <si>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</si>
  <si>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</si>
  <si>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</si>
  <si>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</si>
  <si>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</si>
  <si>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</si>
  <si>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</si>
  <si>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</si>
  <si>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</si>
  <si>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</si>
  <si>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</si>
  <si>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</si>
  <si>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</si>
  <si>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</si>
  <si>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</si>
  <si>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</si>
  <si>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</si>
  <si>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</si>
  <si>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</si>
  <si>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</si>
  <si>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</si>
  <si>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</si>
  <si>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</si>
  <si>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</si>
  <si>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</si>
  <si>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</si>
  <si>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</si>
  <si>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</si>
  <si>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</si>
  <si>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</si>
  <si>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</si>
  <si>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</si>
  <si>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</si>
  <si>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</si>
  <si>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</si>
  <si>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</si>
  <si>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</si>
  <si>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</si>
  <si>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</si>
  <si>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</si>
  <si>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</si>
  <si>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</si>
  <si>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</si>
  <si>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</si>
  <si>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</si>
  <si>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</si>
  <si>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</si>
  <si>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</si>
  <si>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</si>
  <si>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</si>
  <si>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</si>
  <si>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</si>
  <si>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</si>
  <si>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</si>
  <si>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</si>
  <si>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</si>
  <si>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</si>
  <si>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</si>
  <si>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</si>
  <si>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</si>
  <si>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</si>
  <si>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</si>
  <si>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</si>
  <si>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</si>
  <si>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</si>
  <si>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</si>
  <si>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</si>
  <si>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</si>
  <si>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</si>
  <si>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</si>
  <si>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</si>
  <si>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</si>
  <si>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</si>
  <si>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</si>
  <si>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</si>
  <si>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</si>
  <si>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</si>
  <si>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</si>
  <si>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</si>
  <si>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</si>
  <si>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</si>
  <si>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</si>
  <si>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</si>
  <si>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</si>
  <si>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</si>
  <si>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</si>
  <si>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</si>
  <si>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</si>
  <si>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</si>
  <si>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</si>
  <si>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</si>
  <si>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</si>
  <si>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</si>
  <si>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</si>
  <si>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</si>
  <si>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</si>
  <si>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</si>
  <si>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</si>
  <si>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</si>
  <si>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</si>
  <si>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</si>
  <si>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</si>
  <si>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</si>
  <si>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</si>
  <si>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</si>
  <si>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</si>
  <si>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</si>
  <si>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</si>
  <si>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</si>
  <si>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</si>
  <si>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</si>
  <si>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</si>
  <si>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</si>
  <si>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</si>
  <si>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</si>
  <si>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</si>
  <si>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</si>
  <si>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</si>
  <si>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</si>
  <si>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</si>
  <si>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</si>
  <si>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</si>
  <si>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</si>
  <si>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</si>
  <si>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</si>
  <si>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</si>
  <si>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</si>
  <si>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</si>
  <si>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</si>
  <si>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</si>
  <si>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</si>
  <si>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</si>
  <si>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</si>
  <si>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</si>
  <si>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</si>
  <si>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</si>
  <si>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</si>
  <si>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</si>
  <si>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</si>
  <si>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</si>
  <si>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</si>
  <si>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</si>
  <si>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</si>
  <si>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</si>
  <si>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</si>
  <si>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</si>
  <si>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</si>
  <si>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</si>
  <si>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</si>
  <si>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</si>
  <si>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</si>
  <si>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</si>
  <si>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</si>
  <si>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</si>
  <si>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</si>
  <si>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</si>
  <si>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</si>
  <si>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</si>
  <si>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</si>
  <si>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</si>
  <si>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</si>
  <si>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</si>
  <si>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</si>
  <si>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</si>
  <si>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</si>
  <si>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</si>
  <si>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</si>
  <si>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</si>
  <si>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</si>
  <si>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</si>
  <si>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</si>
  <si>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</si>
  <si>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</si>
  <si>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</si>
  <si>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</si>
  <si>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</si>
  <si>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</si>
  <si>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</si>
  <si>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</si>
  <si>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</si>
  <si>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</si>
  <si>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</si>
  <si>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</si>
  <si>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</si>
  <si>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</si>
  <si>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</si>
  <si>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</si>
  <si>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</si>
  <si>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</si>
  <si>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</si>
  <si>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</si>
  <si>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</si>
  <si>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</si>
  <si>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</si>
  <si>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</si>
  <si>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</si>
  <si>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</si>
  <si>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</si>
  <si>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</si>
  <si>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</si>
  <si>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</si>
  <si>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</si>
  <si>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</si>
  <si>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</si>
  <si>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</si>
  <si>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</si>
  <si>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</si>
  <si>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</si>
  <si>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</si>
  <si>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</si>
  <si>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</si>
  <si>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</si>
  <si>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</si>
  <si>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</si>
  <si>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</si>
  <si>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</si>
  <si>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</si>
  <si>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</si>
  <si>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</si>
  <si>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</si>
  <si>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</si>
  <si>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</si>
  <si>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</si>
  <si>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</si>
  <si>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</si>
  <si>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</si>
  <si>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</si>
  <si>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</si>
  <si>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</si>
  <si>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</si>
  <si>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</si>
  <si>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</si>
  <si>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</si>
  <si>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</si>
  <si>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</si>
  <si>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</si>
  <si>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</si>
  <si>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</si>
  <si>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</si>
  <si>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</si>
  <si>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</si>
  <si>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</si>
  <si>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</si>
  <si>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</si>
  <si>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</si>
  <si>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</si>
  <si>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</si>
  <si>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</si>
  <si>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</si>
  <si>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</si>
  <si>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</si>
  <si>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</si>
  <si>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</si>
  <si>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</si>
  <si>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</si>
  <si>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</si>
  <si>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</si>
  <si>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</si>
  <si>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</si>
  <si>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</si>
  <si>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</si>
  <si>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</si>
  <si>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</si>
  <si>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</si>
  <si>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</si>
  <si>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</si>
  <si>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</si>
  <si>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</si>
  <si>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</si>
  <si>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</si>
  <si>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</si>
  <si>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</si>
  <si>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</si>
  <si>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</si>
  <si>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</si>
  <si>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</si>
  <si>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</si>
  <si>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</si>
  <si>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</si>
  <si>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</si>
  <si>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</si>
  <si>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</si>
  <si>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</si>
  <si>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</si>
  <si>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</si>
  <si>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</si>
  <si>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</si>
  <si>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</si>
  <si>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</si>
  <si>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</si>
  <si>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</si>
  <si>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</si>
  <si>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</si>
  <si>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</si>
  <si>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</si>
  <si>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</si>
  <si>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</si>
  <si>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</si>
  <si>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</si>
  <si>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</si>
  <si>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</si>
  <si>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</si>
  <si>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</si>
  <si>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</si>
  <si>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</si>
  <si>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</si>
  <si>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</si>
  <si>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</si>
  <si>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</si>
  <si>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</si>
  <si>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</si>
  <si>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</si>
  <si>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</si>
  <si>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</si>
  <si>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</si>
  <si>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</si>
  <si>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</si>
  <si>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</si>
  <si>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</si>
  <si>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</si>
  <si>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</si>
  <si>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</si>
  <si>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</si>
  <si>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</si>
  <si>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</si>
  <si>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</si>
  <si>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</si>
  <si>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</si>
  <si>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</si>
  <si>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</si>
  <si>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</si>
  <si>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</si>
  <si>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</si>
  <si>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</si>
  <si>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</si>
  <si>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</si>
  <si>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</si>
  <si>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</si>
  <si>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</si>
  <si>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</si>
  <si>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</si>
  <si>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</si>
  <si>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</si>
  <si>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</si>
  <si>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</si>
  <si>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</si>
  <si>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</si>
  <si>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</si>
  <si>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</si>
  <si>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</si>
  <si>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</si>
  <si>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</si>
  <si>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</si>
  <si>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</si>
  <si>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</si>
  <si>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</si>
  <si>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</si>
  <si>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</si>
  <si>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</si>
  <si>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</si>
  <si>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</si>
  <si>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</si>
  <si>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</si>
  <si>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</si>
  <si>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</si>
  <si>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</si>
  <si>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</si>
  <si>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</si>
  <si>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</si>
  <si>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</si>
  <si>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</si>
  <si>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</si>
  <si>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</si>
  <si>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</si>
  <si>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</si>
  <si>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</si>
  <si>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</si>
  <si>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</si>
  <si>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</si>
  <si>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</si>
  <si>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</si>
  <si>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</si>
  <si>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</si>
  <si>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</si>
  <si>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</si>
  <si>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</si>
  <si>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</si>
  <si>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</si>
  <si>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</si>
  <si>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</si>
  <si>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</si>
  <si>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</si>
  <si>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</si>
  <si>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</si>
  <si>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</si>
  <si>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</si>
  <si>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</si>
  <si>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</si>
  <si>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</si>
  <si>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</si>
  <si>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</si>
  <si>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</si>
  <si>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</si>
  <si>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</si>
  <si>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</si>
  <si>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</si>
  <si>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</si>
  <si>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</si>
  <si>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</si>
  <si>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</si>
  <si>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</si>
  <si>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</si>
  <si>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</si>
  <si>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</si>
  <si>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</si>
  <si>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</si>
  <si>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</si>
  <si>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</si>
  <si>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</si>
  <si>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</si>
  <si>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</si>
  <si>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</si>
  <si>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</si>
  <si>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</si>
  <si>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</si>
  <si>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</si>
  <si>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</si>
  <si>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</si>
  <si>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</si>
  <si>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</si>
  <si>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</si>
  <si>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</si>
  <si>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</si>
  <si>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</si>
  <si>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</si>
  <si>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</si>
  <si>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</si>
  <si>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</si>
  <si>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</si>
  <si>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</si>
  <si>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</si>
  <si>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</si>
  <si>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</si>
  <si>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</si>
  <si>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</si>
  <si>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</si>
  <si>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</si>
  <si>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</si>
  <si>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</si>
  <si>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</si>
  <si>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</si>
  <si>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</si>
  <si>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</si>
  <si>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</si>
  <si>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</si>
  <si>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</si>
  <si>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</si>
  <si>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</si>
  <si>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</si>
  <si>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</si>
  <si>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</si>
  <si>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</si>
  <si>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</si>
  <si>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</si>
  <si>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</si>
  <si>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</si>
  <si>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</si>
  <si>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</si>
  <si>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</si>
  <si>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</si>
  <si>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</si>
  <si>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</si>
  <si>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</si>
  <si>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</si>
  <si>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</si>
  <si>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</si>
  <si>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</si>
  <si>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</si>
  <si>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</si>
  <si>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</si>
  <si>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</si>
  <si>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</si>
  <si>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</si>
  <si>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</si>
  <si>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</si>
  <si>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</si>
  <si>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</si>
  <si>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</si>
  <si>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</si>
  <si>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</si>
  <si>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</si>
  <si>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</si>
  <si>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</si>
  <si>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</si>
  <si>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</si>
  <si>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</si>
  <si>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</si>
  <si>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</si>
  <si>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</si>
  <si>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</si>
  <si>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</si>
  <si>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</si>
  <si>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</si>
  <si>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</si>
  <si>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</si>
  <si>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</si>
  <si>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</si>
  <si>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</si>
  <si>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</si>
  <si>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</si>
  <si>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</si>
  <si>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</si>
  <si>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</si>
  <si>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</si>
  <si>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</si>
  <si>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</si>
  <si>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</si>
  <si>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</si>
  <si>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</si>
  <si>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</si>
  <si>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</si>
  <si>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</si>
  <si>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</si>
  <si>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</si>
  <si>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</si>
  <si>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</si>
  <si>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</si>
  <si>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</si>
  <si>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</si>
  <si>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</si>
  <si>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</si>
  <si>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</si>
  <si>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</si>
  <si>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</si>
  <si>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</si>
  <si>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</si>
  <si>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</si>
  <si>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</si>
  <si>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</si>
  <si>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</si>
  <si>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</si>
  <si>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</si>
  <si>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</si>
  <si>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</si>
  <si>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</si>
  <si>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</si>
  <si>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</si>
  <si>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</si>
  <si>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</si>
  <si>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</si>
  <si>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</si>
  <si>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</si>
  <si>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</si>
  <si>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</si>
  <si>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</si>
  <si>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</si>
  <si>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</si>
  <si>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</si>
  <si>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</si>
  <si>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</si>
  <si>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</si>
  <si>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</si>
  <si>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</si>
  <si>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</si>
  <si>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</si>
  <si>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</si>
  <si>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</si>
  <si>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</si>
  <si>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</si>
  <si>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</si>
  <si>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</si>
  <si>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</si>
  <si>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</si>
  <si>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</si>
  <si>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</si>
  <si>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</si>
  <si>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</si>
  <si>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</si>
  <si>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</si>
  <si>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</si>
  <si>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</si>
  <si>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</si>
  <si>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</si>
  <si>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</si>
  <si>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</si>
  <si>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</si>
  <si>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</si>
  <si>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</si>
  <si>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</si>
  <si>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</si>
  <si>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</si>
  <si>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</si>
  <si>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</si>
  <si>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</si>
  <si>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</si>
  <si>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</si>
  <si>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</si>
  <si>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</si>
  <si>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</si>
  <si>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</si>
  <si>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</si>
  <si>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</si>
  <si>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</si>
  <si>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</si>
  <si>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</si>
  <si>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</si>
  <si>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</si>
  <si>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</si>
  <si>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</si>
  <si>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</si>
  <si>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</si>
  <si>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</si>
  <si>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</si>
  <si>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</si>
  <si>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</si>
  <si>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</si>
  <si>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</si>
  <si>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</si>
  <si>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</si>
  <si>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</si>
  <si>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</si>
  <si>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</si>
  <si>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</si>
  <si>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</si>
  <si>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</si>
  <si>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</si>
  <si>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</si>
  <si>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</si>
  <si>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</si>
  <si>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</si>
  <si>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</si>
  <si>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</si>
  <si>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</si>
  <si>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</si>
  <si>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</si>
  <si>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</si>
  <si>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</si>
  <si>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</si>
  <si>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</si>
  <si>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</si>
  <si>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</si>
  <si>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</si>
  <si>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</si>
  <si>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</si>
  <si>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</si>
  <si>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</si>
  <si>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</si>
  <si>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</si>
  <si>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</si>
  <si>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</si>
  <si>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</si>
  <si>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</si>
  <si>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</si>
  <si>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</si>
  <si>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</si>
  <si>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</si>
  <si>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</si>
  <si>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</si>
  <si>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</si>
  <si>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</si>
  <si>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</si>
  <si>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</si>
  <si>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</si>
  <si>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</si>
  <si>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</si>
  <si>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</si>
  <si>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</si>
  <si>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</si>
  <si>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</si>
  <si>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</si>
  <si>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</si>
  <si>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</si>
  <si>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</si>
  <si>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</si>
  <si>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</si>
  <si>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</si>
  <si>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</si>
  <si>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</si>
  <si>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</si>
  <si>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</si>
  <si>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</si>
  <si>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</si>
  <si>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</si>
  <si>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</si>
  <si>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</si>
  <si>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</si>
  <si>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</si>
  <si>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</si>
  <si>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</si>
  <si>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</si>
  <si>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</si>
  <si>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</si>
  <si>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</si>
  <si>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</si>
  <si>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</si>
  <si>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</si>
  <si>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</si>
  <si>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</si>
  <si>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</si>
  <si>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</si>
  <si>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</si>
  <si>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</si>
  <si>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</si>
  <si>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</si>
  <si>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</si>
  <si>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</si>
  <si>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</si>
  <si>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</si>
  <si>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</si>
  <si>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</si>
  <si>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</si>
  <si>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</si>
  <si>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</si>
  <si>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</si>
  <si>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</si>
  <si>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</si>
  <si>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</si>
  <si>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</si>
  <si>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</si>
  <si>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</si>
  <si>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</si>
  <si>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</si>
  <si>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</si>
  <si>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</si>
  <si>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</si>
  <si>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</si>
  <si>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</si>
  <si>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</si>
  <si>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</si>
  <si>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</si>
  <si>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</si>
  <si>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</si>
  <si>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</si>
  <si>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</si>
  <si>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</si>
  <si>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</si>
  <si>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</si>
  <si>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</si>
  <si>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</si>
  <si>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</si>
  <si>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</si>
  <si>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</si>
  <si>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</si>
  <si>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</si>
  <si>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</si>
  <si>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</si>
  <si>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</si>
  <si>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</si>
  <si>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</si>
  <si>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</si>
  <si>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</si>
  <si>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</si>
  <si>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</si>
  <si>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</si>
  <si>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</si>
  <si>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</si>
  <si>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</si>
  <si>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</si>
  <si>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</si>
  <si>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</si>
  <si>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</si>
  <si>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</si>
  <si>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</si>
  <si>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</si>
  <si>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</si>
  <si>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</si>
  <si>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</si>
  <si>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</si>
  <si>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</si>
  <si>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</si>
  <si>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</si>
  <si>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</si>
  <si>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</si>
  <si>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</si>
  <si>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</si>
  <si>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</si>
  <si>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</si>
  <si>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</si>
  <si>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</si>
  <si>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</si>
  <si>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</si>
  <si>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</si>
  <si>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</si>
  <si>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</si>
  <si>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</si>
  <si>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</si>
  <si>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</si>
  <si>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</si>
  <si>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</si>
  <si>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</si>
  <si>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</si>
  <si>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</si>
  <si>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</si>
  <si>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</si>
  <si>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</si>
  <si>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</si>
  <si>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</si>
  <si>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</si>
  <si>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</si>
  <si>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</si>
  <si>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</si>
  <si>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</si>
  <si>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</si>
  <si>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</si>
  <si>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</si>
  <si>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</si>
  <si>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</si>
  <si>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</si>
  <si>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</si>
  <si>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</si>
  <si>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</si>
  <si>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</si>
  <si>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</si>
  <si>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</si>
  <si>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</si>
  <si>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</si>
  <si>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</si>
  <si>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</si>
  <si>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</si>
  <si>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</si>
  <si>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</si>
  <si>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</si>
  <si>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</si>
  <si>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</si>
  <si>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</si>
  <si>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</si>
  <si>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</si>
  <si>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</si>
  <si>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</si>
  <si>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</si>
  <si>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</si>
  <si>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</si>
  <si>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</si>
  <si>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</si>
  <si>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</si>
  <si>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</si>
  <si>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</si>
  <si>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</si>
  <si>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</si>
  <si>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</si>
  <si>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</si>
  <si>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</si>
  <si>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</si>
  <si>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</si>
  <si>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</si>
  <si>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</si>
  <si>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</si>
  <si>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</si>
  <si>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</si>
  <si>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</si>
  <si>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</si>
  <si>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</si>
  <si>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</si>
  <si>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</si>
  <si>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</si>
  <si>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</si>
  <si>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</si>
  <si>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</si>
  <si>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</si>
  <si>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</si>
  <si>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</si>
  <si>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</si>
  <si>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</si>
  <si>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</si>
  <si>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</si>
  <si>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</si>
  <si>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</si>
  <si>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</si>
  <si>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</si>
  <si>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</si>
  <si>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</si>
  <si>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</si>
  <si>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</si>
  <si>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</si>
  <si>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</si>
  <si>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</si>
  <si>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</si>
  <si>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</si>
  <si>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</si>
  <si>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</si>
  <si>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</si>
  <si>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</si>
  <si>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</si>
  <si>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</si>
  <si>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</si>
  <si>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</si>
  <si>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</si>
  <si>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</si>
  <si>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</si>
  <si>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</si>
  <si>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</si>
  <si>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</si>
  <si>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</si>
  <si>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</si>
  <si>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</si>
  <si>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</si>
  <si>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</si>
  <si>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</si>
  <si>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</si>
  <si>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</si>
  <si>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</si>
  <si>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</si>
  <si>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</si>
  <si>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</si>
  <si>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</si>
  <si>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</si>
  <si>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</si>
  <si>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</si>
  <si>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</si>
  <si>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</si>
  <si>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</si>
  <si>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</si>
  <si>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</si>
  <si>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</si>
  <si>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</si>
  <si>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</si>
  <si>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</si>
  <si>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</si>
  <si>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</si>
  <si>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</si>
  <si>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</si>
  <si>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</si>
  <si>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</si>
  <si>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</si>
  <si>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</si>
  <si>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</si>
  <si>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</si>
  <si>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</si>
  <si>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</si>
  <si>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</si>
  <si>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</si>
  <si>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</si>
  <si>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</si>
  <si>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</si>
  <si>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</si>
  <si>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</si>
  <si>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</si>
  <si>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</si>
  <si>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</si>
  <si>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</si>
  <si>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</si>
  <si>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</si>
  <si>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</si>
  <si>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</si>
  <si>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</si>
  <si>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</si>
  <si>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</si>
  <si>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</si>
  <si>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</si>
  <si>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</si>
  <si>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</si>
  <si>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</si>
  <si>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</si>
  <si>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</si>
  <si>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</si>
  <si>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</si>
  <si>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</si>
  <si>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</si>
  <si>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</si>
  <si>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</si>
  <si>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</si>
  <si>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</si>
  <si>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</si>
  <si>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</si>
  <si>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</si>
  <si>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</si>
  <si>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</si>
  <si>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</si>
  <si>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</si>
  <si>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</si>
  <si>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</si>
  <si>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</si>
  <si>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</si>
  <si>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</si>
  <si>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</si>
  <si>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</si>
  <si>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</si>
  <si>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</si>
  <si>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</si>
  <si>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</si>
  <si>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</si>
  <si>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</si>
  <si>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</si>
  <si>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</si>
  <si>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</si>
  <si>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</si>
  <si>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</si>
  <si>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</si>
  <si>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</si>
  <si>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</si>
  <si>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</si>
  <si>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</si>
  <si>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</si>
  <si>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</si>
  <si>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</si>
  <si>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</si>
  <si>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</si>
  <si>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</si>
  <si>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</si>
  <si>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</si>
  <si>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</si>
  <si>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</si>
  <si>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</si>
  <si>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</si>
  <si>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</si>
  <si>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</si>
  <si>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</si>
  <si>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</si>
  <si>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</si>
  <si>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</si>
  <si>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</si>
  <si>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</si>
  <si>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</si>
  <si>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</si>
  <si>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</si>
  <si>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</si>
  <si>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</si>
  <si>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</si>
  <si>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</si>
  <si>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</si>
  <si>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</si>
  <si>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</si>
  <si>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</si>
  <si>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</si>
  <si>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</si>
  <si>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</si>
  <si>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</si>
  <si>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</si>
  <si>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</si>
  <si>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</si>
  <si>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</si>
  <si>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</si>
  <si>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</si>
  <si>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</si>
  <si>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</si>
  <si>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</si>
  <si>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</si>
  <si>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</si>
  <si>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</si>
  <si>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</si>
  <si>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</si>
  <si>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</si>
  <si>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</si>
  <si>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</si>
  <si>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</si>
  <si>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</si>
  <si>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</si>
  <si>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</si>
  <si>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</si>
  <si>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</si>
  <si>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</si>
  <si>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</si>
  <si>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</si>
  <si>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</si>
  <si>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</si>
  <si>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</si>
  <si>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</si>
  <si>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</si>
  <si>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</si>
  <si>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</si>
  <si>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</si>
  <si>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</si>
  <si>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</si>
  <si>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</si>
  <si>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</si>
  <si>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</si>
  <si>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</si>
  <si>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</si>
  <si>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</si>
  <si>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</si>
  <si>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</si>
  <si>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</si>
  <si>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</si>
  <si>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</si>
  <si>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</si>
  <si>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</si>
  <si>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</si>
  <si>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</si>
  <si>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</si>
  <si>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</si>
  <si>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</si>
  <si>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</si>
  <si>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</si>
  <si>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</si>
  <si>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</si>
  <si>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</si>
  <si>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</si>
  <si>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</si>
  <si>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</si>
  <si>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</si>
  <si>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</si>
  <si>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</si>
  <si>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</si>
  <si>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</si>
  <si>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</si>
  <si>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</si>
  <si>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</si>
  <si>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</si>
  <si>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</si>
  <si>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</si>
  <si>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</si>
  <si>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</si>
  <si>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</si>
  <si>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</si>
  <si>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</si>
  <si>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</si>
  <si>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</si>
  <si>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</si>
  <si>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</si>
  <si>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</si>
  <si>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</si>
  <si>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</si>
  <si>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</si>
  <si>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</si>
  <si>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</si>
  <si>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</si>
  <si>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</si>
  <si>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</si>
  <si>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</si>
  <si>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</si>
  <si>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</si>
  <si>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</si>
  <si>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</si>
  <si>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</si>
  <si>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</si>
  <si>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</si>
  <si>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</si>
  <si>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</si>
  <si>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</si>
  <si>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</si>
  <si>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</si>
  <si>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</si>
  <si>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</si>
  <si>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</si>
  <si>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</si>
  <si>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</si>
  <si>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</si>
  <si>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</si>
  <si>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</si>
  <si>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</si>
  <si>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</si>
  <si>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</si>
  <si>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</si>
  <si>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</si>
  <si>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</si>
  <si>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</si>
  <si>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</si>
  <si>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</si>
  <si>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</si>
  <si>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</si>
  <si>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</si>
  <si>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</si>
  <si>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</si>
  <si>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</si>
  <si>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</si>
  <si>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</si>
  <si>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</si>
  <si>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</si>
  <si>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</si>
  <si>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</si>
  <si>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</si>
  <si>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</si>
  <si>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</si>
  <si>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</si>
  <si>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</si>
  <si>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</si>
  <si>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</si>
  <si>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</si>
  <si>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</si>
  <si>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</si>
  <si>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</si>
  <si>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</si>
  <si>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</si>
  <si>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</si>
  <si>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</si>
  <si>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</si>
  <si>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</si>
  <si>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</si>
  <si>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</si>
  <si>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</si>
  <si>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</si>
  <si>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</si>
  <si>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</si>
  <si>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</si>
  <si>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</si>
  <si>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</si>
  <si>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</si>
  <si>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</si>
  <si>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</si>
  <si>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</si>
  <si>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</si>
  <si>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</si>
  <si>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</si>
  <si>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</si>
  <si>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</si>
  <si>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</si>
  <si>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</si>
  <si>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</si>
  <si>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</si>
  <si>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</si>
  <si>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</si>
  <si>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</si>
  <si>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</si>
  <si>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</si>
  <si>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</si>
  <si>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</si>
  <si>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</si>
  <si>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</si>
  <si>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</si>
  <si>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</si>
  <si>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</si>
  <si>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</si>
  <si>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</si>
  <si>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</si>
  <si>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</si>
  <si>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</si>
  <si>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</si>
  <si>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</si>
  <si>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</si>
  <si>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</si>
  <si>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</si>
  <si>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</si>
  <si>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</si>
  <si>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</si>
  <si>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</si>
  <si>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</si>
  <si>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</si>
  <si>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</si>
  <si>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</si>
  <si>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</si>
  <si>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</si>
  <si>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</si>
  <si>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</si>
  <si>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</si>
  <si>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</si>
  <si>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</si>
  <si>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</si>
  <si>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</si>
  <si>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</si>
  <si>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</si>
  <si>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</si>
  <si>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</si>
  <si>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</si>
  <si>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</si>
  <si>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</si>
  <si>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</si>
  <si>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</si>
  <si>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</si>
  <si>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</si>
  <si>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</si>
  <si>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</si>
  <si>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</si>
  <si>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</si>
  <si>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</si>
  <si>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</si>
  <si>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</si>
  <si>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</si>
  <si>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</si>
  <si>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</si>
  <si>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</si>
  <si>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</si>
  <si>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</si>
  <si>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</si>
  <si>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</si>
  <si>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</si>
  <si>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</si>
  <si>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</si>
  <si>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</si>
  <si>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</si>
  <si>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</si>
  <si>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</si>
  <si>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</si>
  <si>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</si>
  <si>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</si>
  <si>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</si>
  <si>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</si>
  <si>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</si>
  <si>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</si>
  <si>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</si>
  <si>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</si>
  <si>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</si>
  <si>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</si>
  <si>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</si>
  <si>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</si>
  <si>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</si>
  <si>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</si>
  <si>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</si>
  <si>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</si>
  <si>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</si>
  <si>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</si>
  <si>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</si>
  <si>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</si>
  <si>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</si>
  <si>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</si>
  <si>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</si>
  <si>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</si>
  <si>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</si>
  <si>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</si>
  <si>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</si>
  <si>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</si>
  <si>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</si>
  <si>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</si>
  <si>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</si>
  <si>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</si>
  <si>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</si>
  <si>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</si>
  <si>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</si>
  <si>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</si>
  <si>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</si>
  <si>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</si>
  <si>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</si>
  <si>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</si>
  <si>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</si>
  <si>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</si>
  <si>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</si>
  <si>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</si>
  <si>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</si>
  <si>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</si>
  <si>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</si>
  <si>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</si>
  <si>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</si>
  <si>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</si>
  <si>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</si>
  <si>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</si>
  <si>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</si>
  <si>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</si>
  <si>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</si>
  <si>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</si>
  <si>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</si>
  <si>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</si>
  <si>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</si>
  <si>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</si>
  <si>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</si>
  <si>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</si>
  <si>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</si>
  <si>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</si>
  <si>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</si>
  <si>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</si>
  <si>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</si>
  <si>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</si>
  <si>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</si>
  <si>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</si>
  <si>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</si>
  <si>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</si>
  <si>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</si>
  <si>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</si>
  <si>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</si>
  <si>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</si>
  <si>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</si>
  <si>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</si>
  <si>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</si>
  <si>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</si>
  <si>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</si>
  <si>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</si>
  <si>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</si>
  <si>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</si>
  <si>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</si>
  <si>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</si>
  <si>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</si>
  <si>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</si>
  <si>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</si>
  <si>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</si>
  <si>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</si>
  <si>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</si>
  <si>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</si>
  <si>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</si>
  <si>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</si>
  <si>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</si>
  <si>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</si>
  <si>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</si>
  <si>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</si>
  <si>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</si>
  <si>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</si>
  <si>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</si>
  <si>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</si>
  <si>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</si>
  <si>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</si>
  <si>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</si>
  <si>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</si>
  <si>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</si>
  <si>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</si>
  <si>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</si>
  <si>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</si>
  <si>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</si>
  <si>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</si>
  <si>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</si>
  <si>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</si>
  <si>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</si>
  <si>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</si>
  <si>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</si>
  <si>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</si>
  <si>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</si>
  <si>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</si>
  <si>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</si>
  <si>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</si>
  <si>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</si>
  <si>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</si>
  <si>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</si>
  <si>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</si>
  <si>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</si>
  <si>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</si>
  <si>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</si>
  <si>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</si>
  <si>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</si>
  <si>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</si>
  <si>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</si>
  <si>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</si>
  <si>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</si>
  <si>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</si>
  <si>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</si>
  <si>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</si>
  <si>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</si>
  <si>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</si>
  <si>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</si>
  <si>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</si>
  <si>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</si>
  <si>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</si>
  <si>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</si>
  <si>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</si>
  <si>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</si>
  <si>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</si>
  <si>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</si>
  <si>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</si>
  <si>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</si>
  <si>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</si>
  <si>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</si>
  <si>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</si>
  <si>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</si>
  <si>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</si>
  <si>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</si>
  <si>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</si>
  <si>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</si>
  <si>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</si>
  <si>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</si>
  <si>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</si>
  <si>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</si>
  <si>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</si>
  <si>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</si>
  <si>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</si>
  <si>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</si>
  <si>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</si>
  <si>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</si>
  <si>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</si>
  <si>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</si>
  <si>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</si>
  <si>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</si>
  <si>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</si>
  <si>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</si>
  <si>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</si>
  <si>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</si>
  <si>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</si>
  <si>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</si>
  <si>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</si>
  <si>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</si>
  <si>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</si>
  <si>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</si>
  <si>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</si>
  <si>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</si>
  <si>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</si>
  <si>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</si>
  <si>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</si>
  <si>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</si>
  <si>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</si>
  <si>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</si>
  <si>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</si>
  <si>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</si>
  <si>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</si>
  <si>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</si>
  <si>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</si>
  <si>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</si>
  <si>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</si>
  <si>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</si>
  <si>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</si>
  <si>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</si>
  <si>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</si>
  <si>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</si>
  <si>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</si>
  <si>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</si>
  <si>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</si>
  <si>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</si>
  <si>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</si>
  <si>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</si>
  <si>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</si>
  <si>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</si>
  <si>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</si>
  <si>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</si>
  <si>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</si>
  <si>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</si>
  <si>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</si>
  <si>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</si>
  <si>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</si>
  <si>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</si>
  <si>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</si>
  <si>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</si>
  <si>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</si>
  <si>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</si>
  <si>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</si>
  <si>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</si>
  <si>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</si>
  <si>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</si>
  <si>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</si>
  <si>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</si>
  <si>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</si>
  <si>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</si>
  <si>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</si>
  <si>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</si>
  <si>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</si>
  <si>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</si>
  <si>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</si>
  <si>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</si>
  <si>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</si>
  <si>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</si>
  <si>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</si>
  <si>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</si>
  <si>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</si>
  <si>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</si>
  <si>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2026-08-02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</si>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</sst>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1183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157</v>
      </c>
      <c r="D74" s="12" t="s">
        <v>45</v>
      </c>
      <c r="E74" s="12" t="s">
        <v>26</v>
      </c>
      <c r="F74" s="12" t="s">
        <v>158</v>
      </c>
      <c r="G74" s="13">
        <v>1836</v>
      </c>
      <c r="H74" s="13">
        <v>2287</v>
      </c>
      <c r="I74" s="13"/>
      <c r="J74" s="13">
        <v>1819</v>
      </c>
      <c r="K74" s="13">
        <f t="shared" si="1"/>
        <v>0</v>
      </c>
      <c r="L74" s="13">
        <f t="shared" si="2"/>
        <v>1836</v>
      </c>
      <c r="M74" s="13">
        <f t="shared" si="3"/>
        <v>2287</v>
      </c>
      <c r="N74" s="13">
        <f t="shared" si="4"/>
        <v>1819</v>
      </c>
      <c r="O74" s="13" t="str">
        <f t="shared" si="5"/>
        <v>휘발유 45,900원 / 고급유 45,740원</v>
      </c>
      <c r="P74" s="13">
        <f t="shared" si="6"/>
        <v>91640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91640</v>
      </c>
      <c r="U74" s="13">
        <f t="shared" si="10"/>
        <v>2036.4444444444443</v>
      </c>
      <c r="V74" s="13">
        <f t="shared" si="11"/>
        <v>2036.4444444444443</v>
      </c>
      <c r="W74" s="15">
        <f t="shared" si="12"/>
        <v>91640</v>
      </c>
    </row>
    <row r="75" spans="1:23" s="2" customFormat="1" ht="28.5" customHeight="1">
      <c r="A75" s="12">
        <f t="shared" si="0"/>
        <v>61</v>
      </c>
      <c r="B75" s="12" t="s">
        <v>12</v>
      </c>
      <c r="C75" s="12" t="s">
        <v>247</v>
      </c>
      <c r="D75" s="16" t="s">
        <v>52</v>
      </c>
      <c r="E75" s="12" t="s">
        <v>26</v>
      </c>
      <c r="F75" s="12" t="s">
        <v>248</v>
      </c>
      <c r="G75" s="13">
        <v>1839</v>
      </c>
      <c r="H75" s="13">
        <v>2285</v>
      </c>
      <c r="I75" s="13"/>
      <c r="J75" s="13">
        <v>1829</v>
      </c>
      <c r="K75" s="13">
        <f t="shared" si="1"/>
        <v>0</v>
      </c>
      <c r="L75" s="13">
        <f t="shared" si="2"/>
        <v>1839</v>
      </c>
      <c r="M75" s="13">
        <f t="shared" si="3"/>
        <v>2285</v>
      </c>
      <c r="N75" s="13">
        <f t="shared" si="4"/>
        <v>1829</v>
      </c>
      <c r="O75" s="13" t="str">
        <f t="shared" si="5"/>
        <v>휘발유 45,975원 / 고급유 45,700원</v>
      </c>
      <c r="P75" s="13">
        <f t="shared" si="6"/>
        <v>91675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91675</v>
      </c>
      <c r="U75" s="13">
        <f t="shared" si="10"/>
        <v>2037.2222222222222</v>
      </c>
      <c r="V75" s="13">
        <f t="shared" si="11"/>
        <v>2037.2222222222222</v>
      </c>
      <c r="W75" s="15">
        <f t="shared" si="12"/>
        <v>91675</v>
      </c>
    </row>
    <row r="76" spans="1:23" s="8" customFormat="1" ht="28.5" customHeight="1">
      <c r="A76" s="12">
        <f t="shared" si="0"/>
        <v>62</v>
      </c>
      <c r="B76" s="12" t="s">
        <v>6</v>
      </c>
      <c r="C76" s="12" t="s">
        <v>161</v>
      </c>
      <c r="D76" s="12" t="s">
        <v>49</v>
      </c>
      <c r="E76" s="12" t="s">
        <v>62</v>
      </c>
      <c r="F76" s="12" t="s">
        <v>162</v>
      </c>
      <c r="G76" s="13">
        <v>1999</v>
      </c>
      <c r="H76" s="13">
        <v>2598</v>
      </c>
      <c r="I76" s="13"/>
      <c r="J76" s="13">
        <v>1999</v>
      </c>
      <c r="K76" s="13">
        <f t="shared" si="1"/>
        <v>0</v>
      </c>
      <c r="L76" s="13">
        <f t="shared" si="2"/>
        <v>1999</v>
      </c>
      <c r="M76" s="13">
        <f t="shared" si="3"/>
        <v>2598</v>
      </c>
      <c r="N76" s="13">
        <f t="shared" si="4"/>
        <v>1999</v>
      </c>
      <c r="O76" s="13" t="str">
        <f t="shared" si="5"/>
        <v>휘발유 49,975원 / 고급유 51,960원</v>
      </c>
      <c r="P76" s="13">
        <f t="shared" si="6"/>
        <v>101935</v>
      </c>
      <c r="Q76" s="13" t="s">
        <v>47</v>
      </c>
      <c r="R76" s="14">
        <f t="shared" si="7"/>
        <v>0.1</v>
      </c>
      <c r="S76" s="13">
        <f t="shared" si="8"/>
        <v>10193</v>
      </c>
      <c r="T76" s="13">
        <f t="shared" si="9"/>
        <v>91742</v>
      </c>
      <c r="U76" s="13">
        <f t="shared" si="10"/>
        <v>2038.7111111111112</v>
      </c>
      <c r="V76" s="13">
        <f t="shared" si="11"/>
        <v>2265.2222222222222</v>
      </c>
      <c r="W76" s="15">
        <f t="shared" si="12"/>
        <v>91742</v>
      </c>
    </row>
    <row r="77" spans="1:23" s="2" customFormat="1" ht="28.5" customHeight="1">
      <c r="A77" s="12">
        <f t="shared" si="0"/>
        <v>63</v>
      </c>
      <c r="B77" s="12" t="s">
        <v>8</v>
      </c>
      <c r="C77" s="12" t="s">
        <v>163</v>
      </c>
      <c r="D77" s="12" t="s">
        <v>52</v>
      </c>
      <c r="E77" s="12" t="s">
        <v>26</v>
      </c>
      <c r="F77" s="12" t="s">
        <v>164</v>
      </c>
      <c r="G77" s="13">
        <v>1839</v>
      </c>
      <c r="H77" s="13">
        <v>2289</v>
      </c>
      <c r="I77" s="13"/>
      <c r="J77" s="13">
        <v>1829</v>
      </c>
      <c r="K77" s="13">
        <f t="shared" si="1"/>
        <v>0</v>
      </c>
      <c r="L77" s="13">
        <f t="shared" si="2"/>
        <v>1839</v>
      </c>
      <c r="M77" s="13">
        <f t="shared" si="3"/>
        <v>2289</v>
      </c>
      <c r="N77" s="13">
        <f t="shared" si="4"/>
        <v>1829</v>
      </c>
      <c r="O77" s="13" t="str">
        <f t="shared" si="5"/>
        <v>휘발유 45,975원 / 고급유 45,780원</v>
      </c>
      <c r="P77" s="13">
        <f t="shared" si="6"/>
        <v>91755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91755</v>
      </c>
      <c r="U77" s="13">
        <f t="shared" si="10"/>
        <v>2039</v>
      </c>
      <c r="V77" s="13">
        <f t="shared" si="11"/>
        <v>2039</v>
      </c>
      <c r="W77" s="15">
        <f t="shared" si="12"/>
        <v>91755</v>
      </c>
    </row>
    <row r="78" spans="1:23" s="2" customFormat="1" ht="28.5" customHeight="1">
      <c r="A78" s="12">
        <f t="shared" si="0"/>
        <v>63</v>
      </c>
      <c r="B78" s="12" t="s">
        <v>6</v>
      </c>
      <c r="C78" s="12" t="s">
        <v>261</v>
      </c>
      <c r="D78" s="16" t="s">
        <v>71</v>
      </c>
      <c r="E78" s="12" t="s">
        <v>26</v>
      </c>
      <c r="F78" s="12" t="s">
        <v>262</v>
      </c>
      <c r="G78" s="13">
        <v>1855</v>
      </c>
      <c r="H78" s="13">
        <v>2269</v>
      </c>
      <c r="I78" s="13"/>
      <c r="J78" s="13">
        <v>1835</v>
      </c>
      <c r="K78" s="13">
        <f t="shared" si="1"/>
        <v>0</v>
      </c>
      <c r="L78" s="13">
        <f t="shared" si="2"/>
        <v>1855</v>
      </c>
      <c r="M78" s="13">
        <f t="shared" si="3"/>
        <v>2269</v>
      </c>
      <c r="N78" s="13">
        <f t="shared" si="4"/>
        <v>1835</v>
      </c>
      <c r="O78" s="13" t="str">
        <f t="shared" si="5"/>
        <v>휘발유 46,375원 / 고급유 45,380원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17" customFormat="1" ht="28.5" customHeight="1">
      <c r="A79" s="12">
        <f t="shared" ref="A79:A142" si="13">IF($T79="","",1+COUNTIF($W$15:$W$878,"&lt;"&amp;W79))</f>
        <v>65</v>
      </c>
      <c r="B79" s="12" t="s">
        <v>16</v>
      </c>
      <c r="C79" s="12" t="s">
        <v>165</v>
      </c>
      <c r="D79" s="16" t="s">
        <v>71</v>
      </c>
      <c r="E79" s="12" t="s">
        <v>26</v>
      </c>
      <c r="F79" s="12" t="s">
        <v>166</v>
      </c>
      <c r="G79" s="13">
        <v>1895</v>
      </c>
      <c r="H79" s="13">
        <v>2220</v>
      </c>
      <c r="I79" s="13"/>
      <c r="J79" s="13">
        <v>1875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1895</v>
      </c>
      <c r="M79" s="13">
        <f t="shared" ref="M79:M142" si="16">IF($H79="","",$H79+$K79)</f>
        <v>2220</v>
      </c>
      <c r="N79" s="13">
        <f t="shared" ref="N79:N142" si="17">IF($J79="","",$J79+$K79)</f>
        <v>1875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47,375원 / 고급유 44,400원</v>
      </c>
      <c r="P79" s="13">
        <f t="shared" ref="P79:P142" si="19">IF($B$10=0,"",IFERROR(IF($B$4&gt;0,IF($L79="",1/0,$L79*$B$4),0)+IF($B$5&gt;0,IF($M79="",1/0,$M79*$B$5),0)+IF($B$6&gt;0,IF($N79="",1/0,$N79*$B$6),0),""))</f>
        <v>91775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91775</v>
      </c>
      <c r="U79" s="13">
        <f t="shared" ref="U79:U142" si="23">IF($T79="","",IF($B$10=0,"",$T79/$B$10))</f>
        <v>2039.4444444444443</v>
      </c>
      <c r="V79" s="13">
        <f t="shared" ref="V79:V142" si="24">IF($P79="","",IF($B$10=0,"",$P79/$B$10))</f>
        <v>2039.4444444444443</v>
      </c>
      <c r="W79" s="15">
        <f t="shared" ref="W79:W142" si="25">IF($T79="",1000000000000000,$T79)</f>
        <v>91775</v>
      </c>
    </row>
    <row r="80" spans="1:23" s="2" customFormat="1" ht="28.5" customHeight="1">
      <c r="A80" s="12">
        <f t="shared" si="13"/>
        <v>66</v>
      </c>
      <c r="B80" s="12" t="s">
        <v>10</v>
      </c>
      <c r="C80" s="12" t="s">
        <v>203</v>
      </c>
      <c r="D80" s="16" t="s">
        <v>59</v>
      </c>
      <c r="E80" s="12" t="s">
        <v>26</v>
      </c>
      <c r="F80" s="12" t="s">
        <v>204</v>
      </c>
      <c r="G80" s="13">
        <v>1848</v>
      </c>
      <c r="H80" s="13">
        <v>2280</v>
      </c>
      <c r="I80" s="13"/>
      <c r="J80" s="13">
        <v>1789</v>
      </c>
      <c r="K80" s="13">
        <f t="shared" si="14"/>
        <v>0</v>
      </c>
      <c r="L80" s="13">
        <f t="shared" si="15"/>
        <v>1848</v>
      </c>
      <c r="M80" s="13">
        <f t="shared" si="16"/>
        <v>2280</v>
      </c>
      <c r="N80" s="13">
        <f t="shared" si="17"/>
        <v>1789</v>
      </c>
      <c r="O80" s="13" t="str">
        <f t="shared" si="18"/>
        <v>휘발유 46,200원 / 고급유 45,600원</v>
      </c>
      <c r="P80" s="13">
        <f t="shared" si="19"/>
        <v>91800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91800</v>
      </c>
      <c r="U80" s="13">
        <f t="shared" si="23"/>
        <v>2040</v>
      </c>
      <c r="V80" s="13">
        <f t="shared" si="24"/>
        <v>2040</v>
      </c>
      <c r="W80" s="15">
        <f t="shared" si="25"/>
        <v>91800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225</v>
      </c>
      <c r="D81" s="12" t="s">
        <v>45</v>
      </c>
      <c r="E81" s="12" t="s">
        <v>26</v>
      </c>
      <c r="F81" s="12" t="s">
        <v>226</v>
      </c>
      <c r="G81" s="13">
        <v>1834</v>
      </c>
      <c r="H81" s="13">
        <v>2299</v>
      </c>
      <c r="I81" s="13"/>
      <c r="J81" s="13">
        <v>1822</v>
      </c>
      <c r="K81" s="13">
        <f t="shared" si="14"/>
        <v>0</v>
      </c>
      <c r="L81" s="13">
        <f t="shared" si="15"/>
        <v>1834</v>
      </c>
      <c r="M81" s="13">
        <f t="shared" si="16"/>
        <v>2299</v>
      </c>
      <c r="N81" s="13">
        <f t="shared" si="17"/>
        <v>1822</v>
      </c>
      <c r="O81" s="13" t="str">
        <f t="shared" si="18"/>
        <v>휘발유 45,850원 / 고급유 45,980원</v>
      </c>
      <c r="P81" s="13">
        <f t="shared" si="19"/>
        <v>91830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91830</v>
      </c>
      <c r="U81" s="13">
        <f t="shared" si="23"/>
        <v>2040.6666666666667</v>
      </c>
      <c r="V81" s="13">
        <f t="shared" si="24"/>
        <v>2040.6666666666667</v>
      </c>
      <c r="W81" s="15">
        <f t="shared" si="25"/>
        <v>91830</v>
      </c>
    </row>
    <row r="82" spans="1:23" s="8" customFormat="1" ht="28.5" customHeight="1">
      <c r="A82" s="12">
        <f t="shared" si="13"/>
        <v>67</v>
      </c>
      <c r="B82" s="12" t="s">
        <v>18</v>
      </c>
      <c r="C82" s="12" t="s">
        <v>169</v>
      </c>
      <c r="D82" s="16" t="s">
        <v>71</v>
      </c>
      <c r="E82" s="12" t="s">
        <v>26</v>
      </c>
      <c r="F82" s="12" t="s">
        <v>170</v>
      </c>
      <c r="G82" s="13">
        <v>1842</v>
      </c>
      <c r="H82" s="13">
        <v>2289</v>
      </c>
      <c r="I82" s="13"/>
      <c r="J82" s="13">
        <v>1822</v>
      </c>
      <c r="K82" s="13">
        <f t="shared" si="14"/>
        <v>0</v>
      </c>
      <c r="L82" s="13">
        <f t="shared" si="15"/>
        <v>1842</v>
      </c>
      <c r="M82" s="13">
        <f t="shared" si="16"/>
        <v>2289</v>
      </c>
      <c r="N82" s="13">
        <f t="shared" si="17"/>
        <v>1822</v>
      </c>
      <c r="O82" s="13" t="str">
        <f t="shared" si="18"/>
        <v>휘발유 46,050원 / 고급유 45,780원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69</v>
      </c>
      <c r="B83" s="12" t="s">
        <v>12</v>
      </c>
      <c r="C83" s="12" t="s">
        <v>227</v>
      </c>
      <c r="D83" s="16" t="s">
        <v>59</v>
      </c>
      <c r="E83" s="12" t="s">
        <v>26</v>
      </c>
      <c r="F83" s="12" t="s">
        <v>228</v>
      </c>
      <c r="G83" s="13">
        <v>1858</v>
      </c>
      <c r="H83" s="13">
        <v>2275</v>
      </c>
      <c r="I83" s="13"/>
      <c r="J83" s="13">
        <v>1789</v>
      </c>
      <c r="K83" s="13">
        <f t="shared" si="14"/>
        <v>0</v>
      </c>
      <c r="L83" s="13">
        <f t="shared" si="15"/>
        <v>1858</v>
      </c>
      <c r="M83" s="13">
        <f t="shared" si="16"/>
        <v>2275</v>
      </c>
      <c r="N83" s="13">
        <f t="shared" si="17"/>
        <v>1789</v>
      </c>
      <c r="O83" s="13" t="str">
        <f t="shared" si="18"/>
        <v>휘발유 46,450원 / 고급유 45,500원</v>
      </c>
      <c r="P83" s="13">
        <f t="shared" si="19"/>
        <v>91950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91950</v>
      </c>
      <c r="U83" s="13">
        <f t="shared" si="23"/>
        <v>2043.3333333333333</v>
      </c>
      <c r="V83" s="13">
        <f t="shared" si="24"/>
        <v>2043.3333333333333</v>
      </c>
      <c r="W83" s="15">
        <f t="shared" si="25"/>
        <v>91950</v>
      </c>
    </row>
    <row r="84" spans="1:23" s="2" customFormat="1" ht="28.5" customHeight="1">
      <c r="A84" s="12">
        <f t="shared" si="13"/>
        <v>69</v>
      </c>
      <c r="B84" s="12" t="s">
        <v>12</v>
      </c>
      <c r="C84" s="12" t="s">
        <v>239</v>
      </c>
      <c r="D84" s="16" t="s">
        <v>59</v>
      </c>
      <c r="E84" s="12" t="s">
        <v>26</v>
      </c>
      <c r="F84" s="12" t="s">
        <v>240</v>
      </c>
      <c r="G84" s="13">
        <v>1858</v>
      </c>
      <c r="H84" s="13">
        <v>2275</v>
      </c>
      <c r="I84" s="13"/>
      <c r="J84" s="13">
        <v>1789</v>
      </c>
      <c r="K84" s="13">
        <f t="shared" si="14"/>
        <v>0</v>
      </c>
      <c r="L84" s="13">
        <f t="shared" si="15"/>
        <v>1858</v>
      </c>
      <c r="M84" s="13">
        <f t="shared" si="16"/>
        <v>2275</v>
      </c>
      <c r="N84" s="13">
        <f t="shared" si="17"/>
        <v>1789</v>
      </c>
      <c r="O84" s="13" t="str">
        <f t="shared" si="18"/>
        <v>휘발유 46,450원 / 고급유 45,500원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2" customFormat="1" ht="28.5" customHeight="1">
      <c r="A85" s="12">
        <f t="shared" si="13"/>
        <v>71</v>
      </c>
      <c r="B85" s="12" t="s">
        <v>18</v>
      </c>
      <c r="C85" s="12" t="s">
        <v>177</v>
      </c>
      <c r="D85" s="16" t="s">
        <v>59</v>
      </c>
      <c r="E85" s="12" t="s">
        <v>26</v>
      </c>
      <c r="F85" s="12" t="s">
        <v>178</v>
      </c>
      <c r="G85" s="13">
        <v>1839</v>
      </c>
      <c r="H85" s="13">
        <v>2299</v>
      </c>
      <c r="I85" s="13"/>
      <c r="J85" s="13">
        <v>1799</v>
      </c>
      <c r="K85" s="13">
        <f t="shared" si="14"/>
        <v>0</v>
      </c>
      <c r="L85" s="13">
        <f t="shared" si="15"/>
        <v>1839</v>
      </c>
      <c r="M85" s="13">
        <f t="shared" si="16"/>
        <v>2299</v>
      </c>
      <c r="N85" s="13">
        <f t="shared" si="17"/>
        <v>1799</v>
      </c>
      <c r="O85" s="13" t="str">
        <f t="shared" si="18"/>
        <v>휘발유 45,975원 / 고급유 45,980원</v>
      </c>
      <c r="P85" s="13">
        <f t="shared" si="19"/>
        <v>91955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91955</v>
      </c>
      <c r="U85" s="13">
        <f t="shared" si="23"/>
        <v>2043.4444444444443</v>
      </c>
      <c r="V85" s="13">
        <f t="shared" si="24"/>
        <v>2043.4444444444443</v>
      </c>
      <c r="W85" s="15">
        <f t="shared" si="25"/>
        <v>91955</v>
      </c>
    </row>
    <row r="86" spans="1:23" s="2" customFormat="1" ht="28.5" customHeight="1">
      <c r="A86" s="12">
        <f t="shared" si="13"/>
        <v>71</v>
      </c>
      <c r="B86" s="12" t="s">
        <v>8</v>
      </c>
      <c r="C86" s="12" t="s">
        <v>179</v>
      </c>
      <c r="D86" s="16" t="s">
        <v>59</v>
      </c>
      <c r="E86" s="12" t="s">
        <v>26</v>
      </c>
      <c r="F86" s="12" t="s">
        <v>180</v>
      </c>
      <c r="G86" s="13">
        <v>1839</v>
      </c>
      <c r="H86" s="13">
        <v>2299</v>
      </c>
      <c r="I86" s="13"/>
      <c r="J86" s="13">
        <v>1799</v>
      </c>
      <c r="K86" s="13">
        <f t="shared" si="14"/>
        <v>0</v>
      </c>
      <c r="L86" s="13">
        <f t="shared" si="15"/>
        <v>1839</v>
      </c>
      <c r="M86" s="13">
        <f t="shared" si="16"/>
        <v>2299</v>
      </c>
      <c r="N86" s="13">
        <f t="shared" si="17"/>
        <v>1799</v>
      </c>
      <c r="O86" s="13" t="str">
        <f t="shared" si="18"/>
        <v>휘발유 45,975원 / 고급유 45,980원</v>
      </c>
      <c r="P86" s="13">
        <f t="shared" si="19"/>
        <v>91955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91955</v>
      </c>
      <c r="U86" s="13">
        <f t="shared" si="23"/>
        <v>2043.4444444444443</v>
      </c>
      <c r="V86" s="13">
        <f t="shared" si="24"/>
        <v>2043.4444444444443</v>
      </c>
      <c r="W86" s="15">
        <f t="shared" si="25"/>
        <v>91955</v>
      </c>
    </row>
    <row r="87" spans="1:23" s="17" customFormat="1" ht="28.5" customHeight="1">
      <c r="A87" s="12">
        <f t="shared" si="13"/>
        <v>73</v>
      </c>
      <c r="B87" s="12" t="s">
        <v>10</v>
      </c>
      <c r="C87" s="12" t="s">
        <v>199</v>
      </c>
      <c r="D87" s="16" t="s">
        <v>59</v>
      </c>
      <c r="E87" s="12" t="s">
        <v>26</v>
      </c>
      <c r="F87" s="12" t="s">
        <v>200</v>
      </c>
      <c r="G87" s="13">
        <v>1828</v>
      </c>
      <c r="H87" s="13">
        <v>2315</v>
      </c>
      <c r="I87" s="13"/>
      <c r="J87" s="13">
        <v>1799</v>
      </c>
      <c r="K87" s="13">
        <f t="shared" si="14"/>
        <v>0</v>
      </c>
      <c r="L87" s="13">
        <f t="shared" si="15"/>
        <v>1828</v>
      </c>
      <c r="M87" s="13">
        <f t="shared" si="16"/>
        <v>2315</v>
      </c>
      <c r="N87" s="13">
        <f t="shared" si="17"/>
        <v>1799</v>
      </c>
      <c r="O87" s="13" t="str">
        <f t="shared" si="18"/>
        <v>휘발유 45,700원 / 고급유 46,300원</v>
      </c>
      <c r="P87" s="13">
        <f t="shared" si="19"/>
        <v>92000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92000</v>
      </c>
      <c r="U87" s="13">
        <f t="shared" si="23"/>
        <v>2044.4444444444443</v>
      </c>
      <c r="V87" s="13">
        <f t="shared" si="24"/>
        <v>2044.4444444444443</v>
      </c>
      <c r="W87" s="15">
        <f t="shared" si="25"/>
        <v>92000</v>
      </c>
    </row>
    <row r="88" spans="1:23" s="8" customFormat="1" ht="28.5" customHeight="1">
      <c r="A88" s="12">
        <f t="shared" si="13"/>
        <v>74</v>
      </c>
      <c r="B88" s="12" t="s">
        <v>10</v>
      </c>
      <c r="C88" s="12" t="s">
        <v>181</v>
      </c>
      <c r="D88" s="12" t="s">
        <v>49</v>
      </c>
      <c r="E88" s="12" t="s">
        <v>26</v>
      </c>
      <c r="F88" s="12" t="s">
        <v>182</v>
      </c>
      <c r="G88" s="13">
        <v>1849</v>
      </c>
      <c r="H88" s="13">
        <v>2289</v>
      </c>
      <c r="I88" s="13"/>
      <c r="J88" s="13">
        <v>1819</v>
      </c>
      <c r="K88" s="13">
        <f t="shared" si="14"/>
        <v>0</v>
      </c>
      <c r="L88" s="13">
        <f t="shared" si="15"/>
        <v>1849</v>
      </c>
      <c r="M88" s="13">
        <f t="shared" si="16"/>
        <v>2289</v>
      </c>
      <c r="N88" s="13">
        <f t="shared" si="17"/>
        <v>1819</v>
      </c>
      <c r="O88" s="13" t="str">
        <f t="shared" si="18"/>
        <v>휘발유 46,225원 / 고급유 45,780원</v>
      </c>
      <c r="P88" s="13">
        <f t="shared" si="19"/>
        <v>92005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92005</v>
      </c>
      <c r="U88" s="13">
        <f t="shared" si="23"/>
        <v>2044.5555555555557</v>
      </c>
      <c r="V88" s="13">
        <f t="shared" si="24"/>
        <v>2044.5555555555557</v>
      </c>
      <c r="W88" s="15">
        <f t="shared" si="25"/>
        <v>92005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183</v>
      </c>
      <c r="D89" s="16" t="s">
        <v>52</v>
      </c>
      <c r="E89" s="12" t="s">
        <v>26</v>
      </c>
      <c r="F89" s="12" t="s">
        <v>184</v>
      </c>
      <c r="G89" s="13">
        <v>1821</v>
      </c>
      <c r="H89" s="13">
        <v>2325</v>
      </c>
      <c r="I89" s="13"/>
      <c r="J89" s="13">
        <v>1811</v>
      </c>
      <c r="K89" s="13">
        <f t="shared" si="14"/>
        <v>0</v>
      </c>
      <c r="L89" s="13">
        <f t="shared" si="15"/>
        <v>1821</v>
      </c>
      <c r="M89" s="13">
        <f t="shared" si="16"/>
        <v>2325</v>
      </c>
      <c r="N89" s="13">
        <f t="shared" si="17"/>
        <v>1811</v>
      </c>
      <c r="O89" s="13" t="str">
        <f t="shared" si="18"/>
        <v>휘발유 45,525원 / 고급유 46,500원</v>
      </c>
      <c r="P89" s="13">
        <f t="shared" si="19"/>
        <v>92025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92025</v>
      </c>
      <c r="U89" s="13">
        <f t="shared" si="23"/>
        <v>2045</v>
      </c>
      <c r="V89" s="13">
        <f t="shared" si="24"/>
        <v>2045</v>
      </c>
      <c r="W89" s="15">
        <f t="shared" si="25"/>
        <v>92025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185</v>
      </c>
      <c r="D90" s="16" t="s">
        <v>59</v>
      </c>
      <c r="E90" s="12" t="s">
        <v>62</v>
      </c>
      <c r="F90" s="12" t="s">
        <v>186</v>
      </c>
      <c r="G90" s="13">
        <v>1843</v>
      </c>
      <c r="H90" s="13">
        <v>2298</v>
      </c>
      <c r="I90" s="13"/>
      <c r="J90" s="13">
        <v>1799</v>
      </c>
      <c r="K90" s="13">
        <f t="shared" si="14"/>
        <v>0</v>
      </c>
      <c r="L90" s="13">
        <f t="shared" si="15"/>
        <v>1843</v>
      </c>
      <c r="M90" s="13">
        <f t="shared" si="16"/>
        <v>2298</v>
      </c>
      <c r="N90" s="13">
        <f t="shared" si="17"/>
        <v>1799</v>
      </c>
      <c r="O90" s="13" t="str">
        <f t="shared" si="18"/>
        <v>휘발유 46,075원 / 고급유 45,960원</v>
      </c>
      <c r="P90" s="13">
        <f t="shared" si="19"/>
        <v>92035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92035</v>
      </c>
      <c r="U90" s="13">
        <f t="shared" si="23"/>
        <v>2045.2222222222222</v>
      </c>
      <c r="V90" s="13">
        <f t="shared" si="24"/>
        <v>2045.2222222222222</v>
      </c>
      <c r="W90" s="15">
        <f t="shared" si="25"/>
        <v>92035</v>
      </c>
    </row>
    <row r="91" spans="1:23" s="8" customFormat="1" ht="28.5" customHeight="1">
      <c r="A91" s="12">
        <f t="shared" si="13"/>
        <v>77</v>
      </c>
      <c r="B91" s="12" t="s">
        <v>6</v>
      </c>
      <c r="C91" s="12" t="s">
        <v>173</v>
      </c>
      <c r="D91" s="16" t="s">
        <v>52</v>
      </c>
      <c r="E91" s="12" t="s">
        <v>26</v>
      </c>
      <c r="F91" s="12" t="s">
        <v>174</v>
      </c>
      <c r="G91" s="13">
        <v>1805</v>
      </c>
      <c r="H91" s="13">
        <v>2346</v>
      </c>
      <c r="I91" s="13"/>
      <c r="J91" s="13">
        <v>1798</v>
      </c>
      <c r="K91" s="13">
        <f t="shared" si="14"/>
        <v>0</v>
      </c>
      <c r="L91" s="13">
        <f t="shared" si="15"/>
        <v>1805</v>
      </c>
      <c r="M91" s="13">
        <f t="shared" si="16"/>
        <v>2346</v>
      </c>
      <c r="N91" s="13">
        <f t="shared" si="17"/>
        <v>1798</v>
      </c>
      <c r="O91" s="13" t="str">
        <f t="shared" si="18"/>
        <v>휘발유 45,125원 / 고급유 46,920원</v>
      </c>
      <c r="P91" s="13">
        <f t="shared" si="19"/>
        <v>92045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92045</v>
      </c>
      <c r="U91" s="13">
        <f t="shared" si="23"/>
        <v>2045.4444444444443</v>
      </c>
      <c r="V91" s="13">
        <f t="shared" si="24"/>
        <v>2045.4444444444443</v>
      </c>
      <c r="W91" s="15">
        <f t="shared" si="25"/>
        <v>92045</v>
      </c>
    </row>
    <row r="92" spans="1:23" s="17" customFormat="1" ht="28.5" customHeight="1">
      <c r="A92" s="12">
        <f t="shared" si="13"/>
        <v>78</v>
      </c>
      <c r="B92" s="12" t="s">
        <v>8</v>
      </c>
      <c r="C92" s="12" t="s">
        <v>237</v>
      </c>
      <c r="D92" s="16" t="s">
        <v>59</v>
      </c>
      <c r="E92" s="12" t="s">
        <v>26</v>
      </c>
      <c r="F92" s="12" t="s">
        <v>238</v>
      </c>
      <c r="G92" s="13">
        <v>1858</v>
      </c>
      <c r="H92" s="13">
        <v>2280</v>
      </c>
      <c r="I92" s="13"/>
      <c r="J92" s="13">
        <v>1789</v>
      </c>
      <c r="K92" s="13">
        <f t="shared" si="14"/>
        <v>0</v>
      </c>
      <c r="L92" s="13">
        <f t="shared" si="15"/>
        <v>1858</v>
      </c>
      <c r="M92" s="13">
        <f t="shared" si="16"/>
        <v>2280</v>
      </c>
      <c r="N92" s="13">
        <f t="shared" si="17"/>
        <v>1789</v>
      </c>
      <c r="O92" s="13" t="str">
        <f t="shared" si="18"/>
        <v>휘발유 46,450원 / 고급유 45,600원</v>
      </c>
      <c r="P92" s="13">
        <f t="shared" si="19"/>
        <v>92050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92050</v>
      </c>
      <c r="U92" s="13">
        <f t="shared" si="23"/>
        <v>2045.5555555555557</v>
      </c>
      <c r="V92" s="13">
        <f t="shared" si="24"/>
        <v>2045.5555555555557</v>
      </c>
      <c r="W92" s="15">
        <f t="shared" si="25"/>
        <v>92050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187</v>
      </c>
      <c r="D93" s="12" t="s">
        <v>49</v>
      </c>
      <c r="E93" s="12" t="s">
        <v>26</v>
      </c>
      <c r="F93" s="12" t="s">
        <v>188</v>
      </c>
      <c r="G93" s="13">
        <v>1844</v>
      </c>
      <c r="H93" s="13">
        <v>2298</v>
      </c>
      <c r="I93" s="13"/>
      <c r="J93" s="13">
        <v>1814</v>
      </c>
      <c r="K93" s="13">
        <f t="shared" si="14"/>
        <v>0</v>
      </c>
      <c r="L93" s="13">
        <f t="shared" si="15"/>
        <v>1844</v>
      </c>
      <c r="M93" s="13">
        <f t="shared" si="16"/>
        <v>2298</v>
      </c>
      <c r="N93" s="13">
        <f t="shared" si="17"/>
        <v>1814</v>
      </c>
      <c r="O93" s="13" t="str">
        <f t="shared" si="18"/>
        <v>휘발유 46,100원 / 고급유 45,960원</v>
      </c>
      <c r="P93" s="13">
        <f t="shared" si="19"/>
        <v>92060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92060</v>
      </c>
      <c r="U93" s="13">
        <f t="shared" si="23"/>
        <v>2045.7777777777778</v>
      </c>
      <c r="V93" s="13">
        <f t="shared" si="24"/>
        <v>2045.7777777777778</v>
      </c>
      <c r="W93" s="15">
        <f t="shared" si="25"/>
        <v>92060</v>
      </c>
    </row>
    <row r="94" spans="1:23" s="2" customFormat="1" ht="28.5" customHeight="1">
      <c r="A94" s="12">
        <f t="shared" si="13"/>
        <v>80</v>
      </c>
      <c r="B94" s="12" t="s">
        <v>14</v>
      </c>
      <c r="C94" s="12" t="s">
        <v>209</v>
      </c>
      <c r="D94" s="12" t="s">
        <v>49</v>
      </c>
      <c r="E94" s="12" t="s">
        <v>26</v>
      </c>
      <c r="F94" s="12" t="s">
        <v>210</v>
      </c>
      <c r="G94" s="13">
        <v>1839</v>
      </c>
      <c r="H94" s="13">
        <v>2305</v>
      </c>
      <c r="I94" s="13"/>
      <c r="J94" s="13">
        <v>1823</v>
      </c>
      <c r="K94" s="13">
        <f t="shared" si="14"/>
        <v>0</v>
      </c>
      <c r="L94" s="13">
        <f t="shared" si="15"/>
        <v>1839</v>
      </c>
      <c r="M94" s="13">
        <f t="shared" si="16"/>
        <v>2305</v>
      </c>
      <c r="N94" s="13">
        <f t="shared" si="17"/>
        <v>1823</v>
      </c>
      <c r="O94" s="13" t="str">
        <f t="shared" si="18"/>
        <v>휘발유 45,975원 / 고급유 46,100원</v>
      </c>
      <c r="P94" s="13">
        <f t="shared" si="19"/>
        <v>92075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92075</v>
      </c>
      <c r="U94" s="13">
        <f t="shared" si="23"/>
        <v>2046.1111111111111</v>
      </c>
      <c r="V94" s="13">
        <f t="shared" si="24"/>
        <v>2046.1111111111111</v>
      </c>
      <c r="W94" s="15">
        <f t="shared" si="25"/>
        <v>92075</v>
      </c>
    </row>
    <row r="95" spans="1:23" s="2" customFormat="1" ht="28.5" customHeight="1">
      <c r="A95" s="12">
        <f t="shared" si="13"/>
        <v>80</v>
      </c>
      <c r="B95" s="12" t="s">
        <v>14</v>
      </c>
      <c r="C95" s="12" t="s">
        <v>207</v>
      </c>
      <c r="D95" s="16" t="s">
        <v>71</v>
      </c>
      <c r="E95" s="12" t="s">
        <v>26</v>
      </c>
      <c r="F95" s="12" t="s">
        <v>208</v>
      </c>
      <c r="G95" s="13">
        <v>1839</v>
      </c>
      <c r="H95" s="13">
        <v>2305</v>
      </c>
      <c r="I95" s="13"/>
      <c r="J95" s="13">
        <v>1829</v>
      </c>
      <c r="K95" s="13">
        <f t="shared" si="14"/>
        <v>0</v>
      </c>
      <c r="L95" s="13">
        <f t="shared" si="15"/>
        <v>1839</v>
      </c>
      <c r="M95" s="13">
        <f t="shared" si="16"/>
        <v>2305</v>
      </c>
      <c r="N95" s="13">
        <f t="shared" si="17"/>
        <v>1829</v>
      </c>
      <c r="O95" s="13" t="str">
        <f t="shared" si="18"/>
        <v>휘발유 45,975원 / 고급유 46,100원</v>
      </c>
      <c r="P95" s="13">
        <f t="shared" si="19"/>
        <v>92075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92075</v>
      </c>
      <c r="U95" s="13">
        <f t="shared" si="23"/>
        <v>2046.1111111111111</v>
      </c>
      <c r="V95" s="13">
        <f t="shared" si="24"/>
        <v>2046.1111111111111</v>
      </c>
      <c r="W95" s="15">
        <f t="shared" si="25"/>
        <v>92075</v>
      </c>
    </row>
    <row r="96" spans="1:23" s="8" customFormat="1" ht="28.5" customHeight="1">
      <c r="A96" s="12">
        <f t="shared" si="13"/>
        <v>80</v>
      </c>
      <c r="B96" s="12" t="s">
        <v>10</v>
      </c>
      <c r="C96" s="12" t="s">
        <v>221</v>
      </c>
      <c r="D96" s="16" t="s">
        <v>52</v>
      </c>
      <c r="E96" s="12" t="s">
        <v>26</v>
      </c>
      <c r="F96" s="12" t="s">
        <v>222</v>
      </c>
      <c r="G96" s="13">
        <v>1879</v>
      </c>
      <c r="H96" s="13">
        <v>2255</v>
      </c>
      <c r="I96" s="13"/>
      <c r="J96" s="13">
        <v>1869</v>
      </c>
      <c r="K96" s="13">
        <f t="shared" si="14"/>
        <v>0</v>
      </c>
      <c r="L96" s="13">
        <f t="shared" si="15"/>
        <v>1879</v>
      </c>
      <c r="M96" s="13">
        <f t="shared" si="16"/>
        <v>2255</v>
      </c>
      <c r="N96" s="13">
        <f t="shared" si="17"/>
        <v>1869</v>
      </c>
      <c r="O96" s="13" t="str">
        <f t="shared" si="18"/>
        <v>휘발유 46,975원 / 고급유 45,100원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278</v>
      </c>
      <c r="D97" s="16" t="s">
        <v>71</v>
      </c>
      <c r="E97" s="12" t="s">
        <v>26</v>
      </c>
      <c r="F97" s="12" t="s">
        <v>279</v>
      </c>
      <c r="G97" s="13">
        <v>1845</v>
      </c>
      <c r="H97" s="13">
        <v>2299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2299</v>
      </c>
      <c r="N97" s="13">
        <f t="shared" si="17"/>
        <v>1849</v>
      </c>
      <c r="O97" s="13" t="str">
        <f t="shared" si="18"/>
        <v>휘발유 46,125원 / 고급유 45,980원</v>
      </c>
      <c r="P97" s="13">
        <f t="shared" si="19"/>
        <v>92105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92105</v>
      </c>
      <c r="U97" s="13">
        <f t="shared" si="23"/>
        <v>2046.7777777777778</v>
      </c>
      <c r="V97" s="13">
        <f t="shared" si="24"/>
        <v>2046.7777777777778</v>
      </c>
      <c r="W97" s="15">
        <f t="shared" si="25"/>
        <v>92105</v>
      </c>
    </row>
    <row r="98" spans="1:23" s="2" customFormat="1" ht="28.5" customHeight="1">
      <c r="A98" s="12">
        <f t="shared" si="13"/>
        <v>83</v>
      </c>
      <c r="B98" s="12" t="s">
        <v>6</v>
      </c>
      <c r="C98" s="12" t="s">
        <v>189</v>
      </c>
      <c r="D98" s="16" t="s">
        <v>71</v>
      </c>
      <c r="E98" s="12" t="s">
        <v>26</v>
      </c>
      <c r="F98" s="12" t="s">
        <v>190</v>
      </c>
      <c r="G98" s="13">
        <v>1845</v>
      </c>
      <c r="H98" s="13">
        <v>2299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2299</v>
      </c>
      <c r="N98" s="13">
        <f t="shared" si="17"/>
        <v>1849</v>
      </c>
      <c r="O98" s="13" t="str">
        <f t="shared" si="18"/>
        <v>휘발유 46,125원 / 고급유 45,980원</v>
      </c>
      <c r="P98" s="13">
        <f t="shared" si="19"/>
        <v>92105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92105</v>
      </c>
      <c r="U98" s="13">
        <f t="shared" si="23"/>
        <v>2046.7777777777778</v>
      </c>
      <c r="V98" s="13">
        <f t="shared" si="24"/>
        <v>2046.7777777777778</v>
      </c>
      <c r="W98" s="15">
        <f t="shared" si="25"/>
        <v>92105</v>
      </c>
    </row>
    <row r="99" spans="1:23" s="2" customFormat="1" ht="28.5" customHeight="1">
      <c r="A99" s="12">
        <f t="shared" si="13"/>
        <v>83</v>
      </c>
      <c r="B99" s="12" t="s">
        <v>6</v>
      </c>
      <c r="C99" s="12" t="s">
        <v>191</v>
      </c>
      <c r="D99" s="16" t="s">
        <v>71</v>
      </c>
      <c r="E99" s="12" t="s">
        <v>26</v>
      </c>
      <c r="F99" s="12" t="s">
        <v>192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8" customFormat="1" ht="28.5" customHeight="1">
      <c r="A100" s="12">
        <f t="shared" si="13"/>
        <v>83</v>
      </c>
      <c r="B100" s="12" t="s">
        <v>6</v>
      </c>
      <c r="C100" s="12" t="s">
        <v>193</v>
      </c>
      <c r="D100" s="16" t="s">
        <v>71</v>
      </c>
      <c r="E100" s="12" t="s">
        <v>26</v>
      </c>
      <c r="F100" s="12" t="s">
        <v>194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17" customFormat="1" ht="28.5" customHeight="1">
      <c r="A101" s="12">
        <f t="shared" si="13"/>
        <v>83</v>
      </c>
      <c r="B101" s="12" t="s">
        <v>6</v>
      </c>
      <c r="C101" s="12" t="s">
        <v>135</v>
      </c>
      <c r="D101" s="16" t="s">
        <v>71</v>
      </c>
      <c r="E101" s="12" t="s">
        <v>26</v>
      </c>
      <c r="F101" s="12" t="s">
        <v>136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2" customFormat="1" ht="28.5" customHeight="1">
      <c r="A102" s="12">
        <f t="shared" si="13"/>
        <v>83</v>
      </c>
      <c r="B102" s="12" t="s">
        <v>10</v>
      </c>
      <c r="C102" s="12" t="s">
        <v>195</v>
      </c>
      <c r="D102" s="16" t="s">
        <v>71</v>
      </c>
      <c r="E102" s="12" t="s">
        <v>26</v>
      </c>
      <c r="F102" s="12" t="s">
        <v>196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89</v>
      </c>
      <c r="B103" s="12" t="s">
        <v>6</v>
      </c>
      <c r="C103" s="12" t="s">
        <v>235</v>
      </c>
      <c r="D103" s="16" t="s">
        <v>59</v>
      </c>
      <c r="E103" s="12" t="s">
        <v>26</v>
      </c>
      <c r="F103" s="12" t="s">
        <v>236</v>
      </c>
      <c r="G103" s="13">
        <v>1824</v>
      </c>
      <c r="H103" s="13">
        <v>2328</v>
      </c>
      <c r="I103" s="13"/>
      <c r="J103" s="13">
        <v>1798</v>
      </c>
      <c r="K103" s="13">
        <f t="shared" si="14"/>
        <v>0</v>
      </c>
      <c r="L103" s="13">
        <f t="shared" si="15"/>
        <v>1824</v>
      </c>
      <c r="M103" s="13">
        <f t="shared" si="16"/>
        <v>2328</v>
      </c>
      <c r="N103" s="13">
        <f t="shared" si="17"/>
        <v>1798</v>
      </c>
      <c r="O103" s="13" t="str">
        <f t="shared" si="18"/>
        <v>휘발유 45,600원 / 고급유 46,560원</v>
      </c>
      <c r="P103" s="13">
        <f t="shared" si="19"/>
        <v>92160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92160</v>
      </c>
      <c r="U103" s="13">
        <f t="shared" si="23"/>
        <v>2048</v>
      </c>
      <c r="V103" s="13">
        <f t="shared" si="24"/>
        <v>2048</v>
      </c>
      <c r="W103" s="15">
        <f t="shared" si="25"/>
        <v>92160</v>
      </c>
    </row>
    <row r="104" spans="1:23" s="2" customFormat="1" ht="28.5" customHeight="1">
      <c r="A104" s="12">
        <f t="shared" si="13"/>
        <v>90</v>
      </c>
      <c r="B104" s="12" t="s">
        <v>10</v>
      </c>
      <c r="C104" s="12" t="s">
        <v>201</v>
      </c>
      <c r="D104" s="16" t="s">
        <v>71</v>
      </c>
      <c r="E104" s="12" t="s">
        <v>26</v>
      </c>
      <c r="F104" s="12" t="s">
        <v>202</v>
      </c>
      <c r="G104" s="13">
        <v>1835</v>
      </c>
      <c r="H104" s="13">
        <v>2315</v>
      </c>
      <c r="I104" s="13"/>
      <c r="J104" s="13">
        <v>1799</v>
      </c>
      <c r="K104" s="13">
        <f t="shared" si="14"/>
        <v>0</v>
      </c>
      <c r="L104" s="13">
        <f t="shared" si="15"/>
        <v>1835</v>
      </c>
      <c r="M104" s="13">
        <f t="shared" si="16"/>
        <v>2315</v>
      </c>
      <c r="N104" s="13">
        <f t="shared" si="17"/>
        <v>1799</v>
      </c>
      <c r="O104" s="13" t="str">
        <f t="shared" si="18"/>
        <v>휘발유 45,875원 / 고급유 46,300원</v>
      </c>
      <c r="P104" s="13">
        <f t="shared" si="19"/>
        <v>92175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92175</v>
      </c>
      <c r="U104" s="13">
        <f t="shared" si="23"/>
        <v>2048.3333333333335</v>
      </c>
      <c r="V104" s="13">
        <f t="shared" si="24"/>
        <v>2048.3333333333335</v>
      </c>
      <c r="W104" s="15">
        <f t="shared" si="25"/>
        <v>92175</v>
      </c>
    </row>
    <row r="105" spans="1:23" s="2" customFormat="1" ht="28.5" customHeight="1">
      <c r="A105" s="12">
        <f t="shared" si="13"/>
        <v>90</v>
      </c>
      <c r="B105" s="12" t="s">
        <v>10</v>
      </c>
      <c r="C105" s="12" t="s">
        <v>274</v>
      </c>
      <c r="D105" s="16" t="s">
        <v>71</v>
      </c>
      <c r="E105" s="12" t="s">
        <v>26</v>
      </c>
      <c r="F105" s="12" t="s">
        <v>275</v>
      </c>
      <c r="G105" s="13">
        <v>1835</v>
      </c>
      <c r="H105" s="13">
        <v>2315</v>
      </c>
      <c r="I105" s="13"/>
      <c r="J105" s="13">
        <v>1815</v>
      </c>
      <c r="K105" s="13">
        <f t="shared" si="14"/>
        <v>0</v>
      </c>
      <c r="L105" s="13">
        <f t="shared" si="15"/>
        <v>1835</v>
      </c>
      <c r="M105" s="13">
        <f t="shared" si="16"/>
        <v>2315</v>
      </c>
      <c r="N105" s="13">
        <f t="shared" si="17"/>
        <v>1815</v>
      </c>
      <c r="O105" s="13" t="str">
        <f t="shared" si="18"/>
        <v>휘발유 45,875원 / 고급유 46,300원</v>
      </c>
      <c r="P105" s="13">
        <f t="shared" si="19"/>
        <v>92175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92175</v>
      </c>
      <c r="U105" s="13">
        <f t="shared" si="23"/>
        <v>2048.3333333333335</v>
      </c>
      <c r="V105" s="13">
        <f t="shared" si="24"/>
        <v>2048.3333333333335</v>
      </c>
      <c r="W105" s="15">
        <f t="shared" si="25"/>
        <v>92175</v>
      </c>
    </row>
    <row r="106" spans="1:23" s="8" customFormat="1" ht="28.5" customHeight="1">
      <c r="A106" s="12">
        <f t="shared" si="13"/>
        <v>92</v>
      </c>
      <c r="B106" s="12" t="s">
        <v>12</v>
      </c>
      <c r="C106" s="12" t="s">
        <v>205</v>
      </c>
      <c r="D106" s="16" t="s">
        <v>71</v>
      </c>
      <c r="E106" s="12" t="s">
        <v>26</v>
      </c>
      <c r="F106" s="12" t="s">
        <v>206</v>
      </c>
      <c r="G106" s="13">
        <v>1845</v>
      </c>
      <c r="H106" s="13">
        <v>2303</v>
      </c>
      <c r="I106" s="13"/>
      <c r="J106" s="13">
        <v>1849</v>
      </c>
      <c r="K106" s="13">
        <f t="shared" si="14"/>
        <v>0</v>
      </c>
      <c r="L106" s="13">
        <f t="shared" si="15"/>
        <v>1845</v>
      </c>
      <c r="M106" s="13">
        <f t="shared" si="16"/>
        <v>2303</v>
      </c>
      <c r="N106" s="13">
        <f t="shared" si="17"/>
        <v>1849</v>
      </c>
      <c r="O106" s="13" t="str">
        <f t="shared" si="18"/>
        <v>휘발유 46,125원 / 고급유 46,060원</v>
      </c>
      <c r="P106" s="13">
        <f t="shared" si="19"/>
        <v>92185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92185</v>
      </c>
      <c r="U106" s="13">
        <f t="shared" si="23"/>
        <v>2048.5555555555557</v>
      </c>
      <c r="V106" s="13">
        <f t="shared" si="24"/>
        <v>2048.5555555555557</v>
      </c>
      <c r="W106" s="15">
        <f t="shared" si="25"/>
        <v>92185</v>
      </c>
    </row>
    <row r="107" spans="1:23" s="17" customFormat="1" ht="28.5" customHeight="1">
      <c r="A107" s="12">
        <f t="shared" si="13"/>
        <v>93</v>
      </c>
      <c r="B107" s="12" t="s">
        <v>6</v>
      </c>
      <c r="C107" s="12" t="s">
        <v>211</v>
      </c>
      <c r="D107" s="16" t="s">
        <v>52</v>
      </c>
      <c r="E107" s="12" t="s">
        <v>26</v>
      </c>
      <c r="F107" s="12" t="s">
        <v>212</v>
      </c>
      <c r="G107" s="13">
        <v>1814</v>
      </c>
      <c r="H107" s="13">
        <v>2346</v>
      </c>
      <c r="I107" s="13"/>
      <c r="J107" s="13">
        <v>1808</v>
      </c>
      <c r="K107" s="13">
        <f t="shared" si="14"/>
        <v>0</v>
      </c>
      <c r="L107" s="13">
        <f t="shared" si="15"/>
        <v>1814</v>
      </c>
      <c r="M107" s="13">
        <f t="shared" si="16"/>
        <v>2346</v>
      </c>
      <c r="N107" s="13">
        <f t="shared" si="17"/>
        <v>1808</v>
      </c>
      <c r="O107" s="13" t="str">
        <f t="shared" si="18"/>
        <v>휘발유 45,350원 / 고급유 46,920원</v>
      </c>
      <c r="P107" s="13">
        <f t="shared" si="19"/>
        <v>92270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92270</v>
      </c>
      <c r="U107" s="13">
        <f t="shared" si="23"/>
        <v>2050.4444444444443</v>
      </c>
      <c r="V107" s="13">
        <f t="shared" si="24"/>
        <v>2050.4444444444443</v>
      </c>
      <c r="W107" s="15">
        <f t="shared" si="25"/>
        <v>92270</v>
      </c>
    </row>
    <row r="108" spans="1:23" s="2" customFormat="1" ht="28.5" customHeight="1">
      <c r="A108" s="12">
        <f t="shared" si="13"/>
        <v>94</v>
      </c>
      <c r="B108" s="12" t="s">
        <v>6</v>
      </c>
      <c r="C108" s="12" t="s">
        <v>213</v>
      </c>
      <c r="D108" s="16" t="s">
        <v>59</v>
      </c>
      <c r="E108" s="12" t="s">
        <v>26</v>
      </c>
      <c r="F108" s="12" t="s">
        <v>214</v>
      </c>
      <c r="G108" s="13">
        <v>1815</v>
      </c>
      <c r="H108" s="13">
        <v>2345</v>
      </c>
      <c r="I108" s="13"/>
      <c r="J108" s="13">
        <v>1799</v>
      </c>
      <c r="K108" s="13">
        <f t="shared" si="14"/>
        <v>0</v>
      </c>
      <c r="L108" s="13">
        <f t="shared" si="15"/>
        <v>1815</v>
      </c>
      <c r="M108" s="13">
        <f t="shared" si="16"/>
        <v>2345</v>
      </c>
      <c r="N108" s="13">
        <f t="shared" si="17"/>
        <v>1799</v>
      </c>
      <c r="O108" s="13" t="str">
        <f t="shared" si="18"/>
        <v>휘발유 45,375원 / 고급유 46,900원</v>
      </c>
      <c r="P108" s="13">
        <f t="shared" si="19"/>
        <v>92275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92275</v>
      </c>
      <c r="U108" s="13">
        <f t="shared" si="23"/>
        <v>2050.5555555555557</v>
      </c>
      <c r="V108" s="13">
        <f t="shared" si="24"/>
        <v>2050.5555555555557</v>
      </c>
      <c r="W108" s="15">
        <f t="shared" si="25"/>
        <v>92275</v>
      </c>
    </row>
    <row r="109" spans="1:23" s="2" customFormat="1" ht="28.5" customHeight="1">
      <c r="A109" s="12">
        <f t="shared" si="13"/>
        <v>95</v>
      </c>
      <c r="B109" s="12" t="s">
        <v>8</v>
      </c>
      <c r="C109" s="12" t="s">
        <v>217</v>
      </c>
      <c r="D109" s="16" t="s">
        <v>52</v>
      </c>
      <c r="E109" s="12" t="s">
        <v>26</v>
      </c>
      <c r="F109" s="12" t="s">
        <v>218</v>
      </c>
      <c r="G109" s="13">
        <v>1854</v>
      </c>
      <c r="H109" s="13">
        <v>2319</v>
      </c>
      <c r="I109" s="13"/>
      <c r="J109" s="13">
        <v>1842</v>
      </c>
      <c r="K109" s="13">
        <f t="shared" si="14"/>
        <v>-10</v>
      </c>
      <c r="L109" s="13">
        <f t="shared" si="15"/>
        <v>1844</v>
      </c>
      <c r="M109" s="13">
        <f t="shared" si="16"/>
        <v>2309</v>
      </c>
      <c r="N109" s="13">
        <f t="shared" si="17"/>
        <v>1832</v>
      </c>
      <c r="O109" s="13" t="str">
        <f t="shared" si="18"/>
        <v>휘발유 46,100원 / 고급유 46,180원</v>
      </c>
      <c r="P109" s="13">
        <f t="shared" si="19"/>
        <v>92280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92280</v>
      </c>
      <c r="U109" s="13">
        <f t="shared" si="23"/>
        <v>2050.6666666666665</v>
      </c>
      <c r="V109" s="13">
        <f t="shared" si="24"/>
        <v>2050.6666666666665</v>
      </c>
      <c r="W109" s="15">
        <f t="shared" si="25"/>
        <v>92280</v>
      </c>
    </row>
    <row r="110" spans="1:23" s="2" customFormat="1" ht="28.5" customHeight="1">
      <c r="A110" s="12">
        <f t="shared" si="13"/>
        <v>95</v>
      </c>
      <c r="B110" s="12" t="s">
        <v>10</v>
      </c>
      <c r="C110" s="12" t="s">
        <v>219</v>
      </c>
      <c r="D110" s="16" t="s">
        <v>52</v>
      </c>
      <c r="E110" s="12" t="s">
        <v>26</v>
      </c>
      <c r="F110" s="12" t="s">
        <v>220</v>
      </c>
      <c r="G110" s="13">
        <v>1854</v>
      </c>
      <c r="H110" s="13">
        <v>2319</v>
      </c>
      <c r="I110" s="13"/>
      <c r="J110" s="13">
        <v>1844</v>
      </c>
      <c r="K110" s="13">
        <f t="shared" si="14"/>
        <v>-10</v>
      </c>
      <c r="L110" s="13">
        <f t="shared" si="15"/>
        <v>1844</v>
      </c>
      <c r="M110" s="13">
        <f t="shared" si="16"/>
        <v>2309</v>
      </c>
      <c r="N110" s="13">
        <f t="shared" si="17"/>
        <v>1834</v>
      </c>
      <c r="O110" s="13" t="str">
        <f t="shared" si="18"/>
        <v>휘발유 46,100원 / 고급유 46,180원</v>
      </c>
      <c r="P110" s="13">
        <f t="shared" si="19"/>
        <v>92280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92280</v>
      </c>
      <c r="U110" s="13">
        <f t="shared" si="23"/>
        <v>2050.6666666666665</v>
      </c>
      <c r="V110" s="13">
        <f t="shared" si="24"/>
        <v>2050.6666666666665</v>
      </c>
      <c r="W110" s="15">
        <f t="shared" si="25"/>
        <v>92280</v>
      </c>
    </row>
    <row r="111" spans="1:23" s="17" customFormat="1" ht="28.5" customHeight="1">
      <c r="A111" s="12">
        <f t="shared" si="13"/>
        <v>97</v>
      </c>
      <c r="B111" s="12" t="s">
        <v>8</v>
      </c>
      <c r="C111" s="12" t="s">
        <v>223</v>
      </c>
      <c r="D111" s="16" t="s">
        <v>59</v>
      </c>
      <c r="E111" s="12" t="s">
        <v>26</v>
      </c>
      <c r="F111" s="12" t="s">
        <v>224</v>
      </c>
      <c r="G111" s="13">
        <v>1854</v>
      </c>
      <c r="H111" s="13">
        <v>2299</v>
      </c>
      <c r="I111" s="13"/>
      <c r="J111" s="13">
        <v>1842</v>
      </c>
      <c r="K111" s="13">
        <f t="shared" si="14"/>
        <v>0</v>
      </c>
      <c r="L111" s="13">
        <f t="shared" si="15"/>
        <v>1854</v>
      </c>
      <c r="M111" s="13">
        <f t="shared" si="16"/>
        <v>2299</v>
      </c>
      <c r="N111" s="13">
        <f t="shared" si="17"/>
        <v>1842</v>
      </c>
      <c r="O111" s="13" t="str">
        <f t="shared" si="18"/>
        <v>휘발유 46,350원 / 고급유 45,980원</v>
      </c>
      <c r="P111" s="13">
        <f t="shared" si="19"/>
        <v>92330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92330</v>
      </c>
      <c r="U111" s="13">
        <f t="shared" si="23"/>
        <v>2051.7777777777778</v>
      </c>
      <c r="V111" s="13">
        <f t="shared" si="24"/>
        <v>2051.7777777777778</v>
      </c>
      <c r="W111" s="15">
        <f t="shared" si="25"/>
        <v>92330</v>
      </c>
    </row>
    <row r="112" spans="1:23" s="8" customFormat="1" ht="28.5" customHeight="1">
      <c r="A112" s="12">
        <f t="shared" si="13"/>
        <v>98</v>
      </c>
      <c r="B112" s="12" t="s">
        <v>6</v>
      </c>
      <c r="C112" s="12" t="s">
        <v>229</v>
      </c>
      <c r="D112" s="16" t="s">
        <v>71</v>
      </c>
      <c r="E112" s="12" t="s">
        <v>26</v>
      </c>
      <c r="F112" s="12" t="s">
        <v>230</v>
      </c>
      <c r="G112" s="13">
        <v>1833</v>
      </c>
      <c r="H112" s="13">
        <v>2328</v>
      </c>
      <c r="I112" s="13"/>
      <c r="J112" s="13">
        <v>1819</v>
      </c>
      <c r="K112" s="13">
        <f t="shared" si="14"/>
        <v>0</v>
      </c>
      <c r="L112" s="13">
        <f t="shared" si="15"/>
        <v>1833</v>
      </c>
      <c r="M112" s="13">
        <f t="shared" si="16"/>
        <v>2328</v>
      </c>
      <c r="N112" s="13">
        <f t="shared" si="17"/>
        <v>1819</v>
      </c>
      <c r="O112" s="13" t="str">
        <f t="shared" si="18"/>
        <v>휘발유 45,825원 / 고급유 46,560원</v>
      </c>
      <c r="P112" s="13">
        <f t="shared" si="19"/>
        <v>92385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92385</v>
      </c>
      <c r="U112" s="13">
        <f t="shared" si="23"/>
        <v>2053</v>
      </c>
      <c r="V112" s="13">
        <f t="shared" si="24"/>
        <v>2053</v>
      </c>
      <c r="W112" s="15">
        <f t="shared" si="25"/>
        <v>92385</v>
      </c>
    </row>
    <row r="113" spans="1:23" s="2" customFormat="1" ht="28.5" customHeight="1">
      <c r="A113" s="12">
        <f t="shared" si="13"/>
        <v>99</v>
      </c>
      <c r="B113" s="12" t="s">
        <v>6</v>
      </c>
      <c r="C113" s="12" t="s">
        <v>231</v>
      </c>
      <c r="D113" s="16" t="s">
        <v>52</v>
      </c>
      <c r="E113" s="12" t="s">
        <v>26</v>
      </c>
      <c r="F113" s="12" t="s">
        <v>232</v>
      </c>
      <c r="G113" s="13">
        <v>1848</v>
      </c>
      <c r="H113" s="13">
        <v>2332</v>
      </c>
      <c r="I113" s="13" t="s">
        <v>47</v>
      </c>
      <c r="J113" s="13">
        <v>1838</v>
      </c>
      <c r="K113" s="13">
        <f t="shared" si="14"/>
        <v>-10</v>
      </c>
      <c r="L113" s="13">
        <f t="shared" si="15"/>
        <v>1838</v>
      </c>
      <c r="M113" s="13">
        <f t="shared" si="16"/>
        <v>2322</v>
      </c>
      <c r="N113" s="13">
        <f t="shared" si="17"/>
        <v>1828</v>
      </c>
      <c r="O113" s="13" t="str">
        <f t="shared" si="18"/>
        <v>휘발유 45,950원 / 고급유 46,440원</v>
      </c>
      <c r="P113" s="13">
        <f t="shared" si="19"/>
        <v>92390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92390</v>
      </c>
      <c r="U113" s="13">
        <f t="shared" si="23"/>
        <v>2053.1111111111113</v>
      </c>
      <c r="V113" s="13">
        <f t="shared" si="24"/>
        <v>2053.1111111111113</v>
      </c>
      <c r="W113" s="15">
        <f t="shared" si="25"/>
        <v>92390</v>
      </c>
    </row>
    <row r="114" spans="1:23" s="17" customFormat="1" ht="28.5" customHeight="1">
      <c r="A114" s="12">
        <f t="shared" si="13"/>
        <v>99</v>
      </c>
      <c r="B114" s="12" t="s">
        <v>6</v>
      </c>
      <c r="C114" s="12" t="s">
        <v>233</v>
      </c>
      <c r="D114" s="16" t="s">
        <v>52</v>
      </c>
      <c r="E114" s="12" t="s">
        <v>26</v>
      </c>
      <c r="F114" s="12" t="s">
        <v>234</v>
      </c>
      <c r="G114" s="13">
        <v>1848</v>
      </c>
      <c r="H114" s="13">
        <v>2332</v>
      </c>
      <c r="I114" s="13" t="s">
        <v>47</v>
      </c>
      <c r="J114" s="13">
        <v>1838</v>
      </c>
      <c r="K114" s="13">
        <f t="shared" si="14"/>
        <v>-10</v>
      </c>
      <c r="L114" s="13">
        <f t="shared" si="15"/>
        <v>1838</v>
      </c>
      <c r="M114" s="13">
        <f t="shared" si="16"/>
        <v>2322</v>
      </c>
      <c r="N114" s="13">
        <f t="shared" si="17"/>
        <v>1828</v>
      </c>
      <c r="O114" s="13" t="str">
        <f t="shared" si="18"/>
        <v>휘발유 45,950원 / 고급유 46,440원</v>
      </c>
      <c r="P114" s="13">
        <f t="shared" si="19"/>
        <v>92390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92390</v>
      </c>
      <c r="U114" s="13">
        <f t="shared" si="23"/>
        <v>2053.1111111111113</v>
      </c>
      <c r="V114" s="13">
        <f t="shared" si="24"/>
        <v>2053.1111111111113</v>
      </c>
      <c r="W114" s="15">
        <f t="shared" si="25"/>
        <v>92390</v>
      </c>
    </row>
    <row r="115" spans="1:23" s="8" customFormat="1" ht="28.5" customHeight="1">
      <c r="A115" s="12">
        <f t="shared" si="13"/>
        <v>101</v>
      </c>
      <c r="B115" s="12" t="s">
        <v>10</v>
      </c>
      <c r="C115" s="12" t="s">
        <v>197</v>
      </c>
      <c r="D115" s="16" t="s">
        <v>52</v>
      </c>
      <c r="E115" s="12" t="s">
        <v>26</v>
      </c>
      <c r="F115" s="12" t="s">
        <v>198</v>
      </c>
      <c r="G115" s="13">
        <v>1896</v>
      </c>
      <c r="H115" s="13">
        <v>2250</v>
      </c>
      <c r="I115" s="13"/>
      <c r="J115" s="13">
        <v>1876</v>
      </c>
      <c r="K115" s="13">
        <f t="shared" si="14"/>
        <v>0</v>
      </c>
      <c r="L115" s="13">
        <f t="shared" si="15"/>
        <v>1896</v>
      </c>
      <c r="M115" s="13">
        <f t="shared" si="16"/>
        <v>2250</v>
      </c>
      <c r="N115" s="13">
        <f t="shared" si="17"/>
        <v>1876</v>
      </c>
      <c r="O115" s="13" t="str">
        <f t="shared" si="18"/>
        <v>휘발유 47,400원 / 고급유 45,000원</v>
      </c>
      <c r="P115" s="13">
        <f t="shared" si="19"/>
        <v>92400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92400</v>
      </c>
      <c r="U115" s="13">
        <f t="shared" si="23"/>
        <v>2053.3333333333335</v>
      </c>
      <c r="V115" s="13">
        <f t="shared" si="24"/>
        <v>2053.3333333333335</v>
      </c>
      <c r="W115" s="15">
        <f t="shared" si="25"/>
        <v>92400</v>
      </c>
    </row>
    <row r="116" spans="1:23" s="8" customFormat="1" ht="28.5" customHeight="1">
      <c r="A116" s="12">
        <f t="shared" si="13"/>
        <v>102</v>
      </c>
      <c r="B116" s="12" t="s">
        <v>10</v>
      </c>
      <c r="C116" s="12" t="s">
        <v>296</v>
      </c>
      <c r="D116" s="16" t="s">
        <v>71</v>
      </c>
      <c r="E116" s="12" t="s">
        <v>62</v>
      </c>
      <c r="F116" s="12" t="s">
        <v>297</v>
      </c>
      <c r="G116" s="13">
        <v>1858</v>
      </c>
      <c r="H116" s="13">
        <v>2299</v>
      </c>
      <c r="I116" s="13"/>
      <c r="J116" s="13">
        <v>1838</v>
      </c>
      <c r="K116" s="13">
        <f t="shared" si="14"/>
        <v>0</v>
      </c>
      <c r="L116" s="13">
        <f t="shared" si="15"/>
        <v>1858</v>
      </c>
      <c r="M116" s="13">
        <f t="shared" si="16"/>
        <v>2299</v>
      </c>
      <c r="N116" s="13">
        <f t="shared" si="17"/>
        <v>1838</v>
      </c>
      <c r="O116" s="13" t="str">
        <f t="shared" si="18"/>
        <v>휘발유 46,450원 / 고급유 45,980원</v>
      </c>
      <c r="P116" s="13">
        <f t="shared" si="19"/>
        <v>92430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92430</v>
      </c>
      <c r="U116" s="13">
        <f t="shared" si="23"/>
        <v>2054</v>
      </c>
      <c r="V116" s="13">
        <f t="shared" si="24"/>
        <v>2054</v>
      </c>
      <c r="W116" s="15">
        <f t="shared" si="25"/>
        <v>92430</v>
      </c>
    </row>
    <row r="117" spans="1:23" s="8" customFormat="1" ht="28.5" customHeight="1">
      <c r="A117" s="12">
        <f t="shared" si="13"/>
        <v>103</v>
      </c>
      <c r="B117" s="12" t="s">
        <v>10</v>
      </c>
      <c r="C117" s="12" t="s">
        <v>334</v>
      </c>
      <c r="D117" s="12" t="s">
        <v>49</v>
      </c>
      <c r="E117" s="12" t="s">
        <v>26</v>
      </c>
      <c r="F117" s="12" t="s">
        <v>335</v>
      </c>
      <c r="G117" s="13">
        <v>1859</v>
      </c>
      <c r="H117" s="13">
        <v>2298</v>
      </c>
      <c r="I117" s="13"/>
      <c r="J117" s="13">
        <v>1839</v>
      </c>
      <c r="K117" s="13">
        <f t="shared" si="14"/>
        <v>0</v>
      </c>
      <c r="L117" s="13">
        <f t="shared" si="15"/>
        <v>1859</v>
      </c>
      <c r="M117" s="13">
        <f t="shared" si="16"/>
        <v>2298</v>
      </c>
      <c r="N117" s="13">
        <f t="shared" si="17"/>
        <v>1839</v>
      </c>
      <c r="O117" s="13" t="str">
        <f t="shared" si="18"/>
        <v>휘발유 46,475원 / 고급유 45,960원</v>
      </c>
      <c r="P117" s="13">
        <f t="shared" si="19"/>
        <v>92435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92435</v>
      </c>
      <c r="U117" s="13">
        <f t="shared" si="23"/>
        <v>2054.1111111111113</v>
      </c>
      <c r="V117" s="13">
        <f t="shared" si="24"/>
        <v>2054.1111111111113</v>
      </c>
      <c r="W117" s="15">
        <f t="shared" si="25"/>
        <v>92435</v>
      </c>
    </row>
    <row r="118" spans="1:23" s="2" customFormat="1" ht="28.5" customHeight="1">
      <c r="A118" s="12">
        <f t="shared" si="13"/>
        <v>104</v>
      </c>
      <c r="B118" s="12" t="s">
        <v>6</v>
      </c>
      <c r="C118" s="12" t="s">
        <v>243</v>
      </c>
      <c r="D118" s="16" t="s">
        <v>52</v>
      </c>
      <c r="E118" s="12" t="s">
        <v>62</v>
      </c>
      <c r="F118" s="12" t="s">
        <v>244</v>
      </c>
      <c r="G118" s="13">
        <v>1860</v>
      </c>
      <c r="H118" s="13">
        <v>2320</v>
      </c>
      <c r="I118" s="13"/>
      <c r="J118" s="13">
        <v>1855</v>
      </c>
      <c r="K118" s="13">
        <f t="shared" si="14"/>
        <v>-10</v>
      </c>
      <c r="L118" s="13">
        <f t="shared" si="15"/>
        <v>1850</v>
      </c>
      <c r="M118" s="13">
        <f t="shared" si="16"/>
        <v>2310</v>
      </c>
      <c r="N118" s="13">
        <f t="shared" si="17"/>
        <v>1845</v>
      </c>
      <c r="O118" s="13" t="str">
        <f t="shared" si="18"/>
        <v>휘발유 46,250원 / 고급유 46,200원</v>
      </c>
      <c r="P118" s="13">
        <f t="shared" si="19"/>
        <v>92450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92450</v>
      </c>
      <c r="U118" s="13">
        <f t="shared" si="23"/>
        <v>2054.4444444444443</v>
      </c>
      <c r="V118" s="13">
        <f t="shared" si="24"/>
        <v>2054.4444444444443</v>
      </c>
      <c r="W118" s="15">
        <f t="shared" si="25"/>
        <v>92450</v>
      </c>
    </row>
    <row r="119" spans="1:23" s="2" customFormat="1" ht="28.5" customHeight="1">
      <c r="A119" s="12">
        <f t="shared" si="13"/>
        <v>105</v>
      </c>
      <c r="B119" s="12" t="s">
        <v>18</v>
      </c>
      <c r="C119" s="12" t="s">
        <v>245</v>
      </c>
      <c r="D119" s="12" t="s">
        <v>49</v>
      </c>
      <c r="E119" s="12" t="s">
        <v>26</v>
      </c>
      <c r="F119" s="12" t="s">
        <v>246</v>
      </c>
      <c r="G119" s="13">
        <v>1859</v>
      </c>
      <c r="H119" s="13">
        <v>2299</v>
      </c>
      <c r="I119" s="13"/>
      <c r="J119" s="13">
        <v>1799</v>
      </c>
      <c r="K119" s="13">
        <f t="shared" si="14"/>
        <v>0</v>
      </c>
      <c r="L119" s="13">
        <f t="shared" si="15"/>
        <v>1859</v>
      </c>
      <c r="M119" s="13">
        <f t="shared" si="16"/>
        <v>2299</v>
      </c>
      <c r="N119" s="13">
        <f t="shared" si="17"/>
        <v>1799</v>
      </c>
      <c r="O119" s="13" t="str">
        <f t="shared" si="18"/>
        <v>휘발유 46,475원 / 고급유 45,980원</v>
      </c>
      <c r="P119" s="13">
        <f t="shared" si="19"/>
        <v>92455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92455</v>
      </c>
      <c r="U119" s="13">
        <f t="shared" si="23"/>
        <v>2054.5555555555557</v>
      </c>
      <c r="V119" s="13">
        <f t="shared" si="24"/>
        <v>2054.5555555555557</v>
      </c>
      <c r="W119" s="15">
        <f t="shared" si="25"/>
        <v>92455</v>
      </c>
    </row>
    <row r="120" spans="1:23" s="8" customFormat="1" ht="28.5" customHeight="1">
      <c r="A120" s="12">
        <f t="shared" si="13"/>
        <v>106</v>
      </c>
      <c r="B120" s="12" t="s">
        <v>12</v>
      </c>
      <c r="C120" s="12" t="s">
        <v>249</v>
      </c>
      <c r="D120" s="16" t="s">
        <v>71</v>
      </c>
      <c r="E120" s="12" t="s">
        <v>26</v>
      </c>
      <c r="F120" s="12" t="s">
        <v>250</v>
      </c>
      <c r="G120" s="13">
        <v>1839</v>
      </c>
      <c r="H120" s="13">
        <v>2325</v>
      </c>
      <c r="I120" s="13"/>
      <c r="J120" s="13">
        <v>1829</v>
      </c>
      <c r="K120" s="13">
        <f t="shared" si="14"/>
        <v>0</v>
      </c>
      <c r="L120" s="13">
        <f t="shared" si="15"/>
        <v>1839</v>
      </c>
      <c r="M120" s="13">
        <f t="shared" si="16"/>
        <v>2325</v>
      </c>
      <c r="N120" s="13">
        <f t="shared" si="17"/>
        <v>1829</v>
      </c>
      <c r="O120" s="13" t="str">
        <f t="shared" si="18"/>
        <v>휘발유 45,975원 / 고급유 46,500원</v>
      </c>
      <c r="P120" s="13">
        <f t="shared" si="19"/>
        <v>92475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92475</v>
      </c>
      <c r="U120" s="13">
        <f t="shared" si="23"/>
        <v>2055</v>
      </c>
      <c r="V120" s="13">
        <f t="shared" si="24"/>
        <v>2055</v>
      </c>
      <c r="W120" s="15">
        <f t="shared" si="25"/>
        <v>92475</v>
      </c>
    </row>
    <row r="121" spans="1:23" s="2" customFormat="1" ht="28.5" customHeight="1">
      <c r="A121" s="12">
        <f t="shared" si="13"/>
        <v>107</v>
      </c>
      <c r="B121" s="12" t="s">
        <v>6</v>
      </c>
      <c r="C121" s="12" t="s">
        <v>251</v>
      </c>
      <c r="D121" s="12" t="s">
        <v>49</v>
      </c>
      <c r="E121" s="12" t="s">
        <v>26</v>
      </c>
      <c r="F121" s="12" t="s">
        <v>252</v>
      </c>
      <c r="G121" s="13">
        <v>1839</v>
      </c>
      <c r="H121" s="13">
        <v>2326</v>
      </c>
      <c r="I121" s="13"/>
      <c r="J121" s="13">
        <v>1819</v>
      </c>
      <c r="K121" s="13">
        <f t="shared" si="14"/>
        <v>0</v>
      </c>
      <c r="L121" s="13">
        <f t="shared" si="15"/>
        <v>1839</v>
      </c>
      <c r="M121" s="13">
        <f t="shared" si="16"/>
        <v>2326</v>
      </c>
      <c r="N121" s="13">
        <f t="shared" si="17"/>
        <v>1819</v>
      </c>
      <c r="O121" s="13" t="str">
        <f t="shared" si="18"/>
        <v>휘발유 45,975원 / 고급유 46,520원</v>
      </c>
      <c r="P121" s="13">
        <f t="shared" si="19"/>
        <v>92495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92495</v>
      </c>
      <c r="U121" s="13">
        <f t="shared" si="23"/>
        <v>2055.4444444444443</v>
      </c>
      <c r="V121" s="13">
        <f t="shared" si="24"/>
        <v>2055.4444444444443</v>
      </c>
      <c r="W121" s="15">
        <f t="shared" si="25"/>
        <v>92495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253</v>
      </c>
      <c r="D122" s="16" t="s">
        <v>59</v>
      </c>
      <c r="E122" s="12" t="s">
        <v>26</v>
      </c>
      <c r="F122" s="12" t="s">
        <v>254</v>
      </c>
      <c r="G122" s="13">
        <v>1828</v>
      </c>
      <c r="H122" s="13">
        <v>2340</v>
      </c>
      <c r="I122" s="13"/>
      <c r="J122" s="13">
        <v>1798</v>
      </c>
      <c r="K122" s="13">
        <f t="shared" si="14"/>
        <v>0</v>
      </c>
      <c r="L122" s="13">
        <f t="shared" si="15"/>
        <v>1828</v>
      </c>
      <c r="M122" s="13">
        <f t="shared" si="16"/>
        <v>2340</v>
      </c>
      <c r="N122" s="13">
        <f t="shared" si="17"/>
        <v>1798</v>
      </c>
      <c r="O122" s="13" t="str">
        <f t="shared" si="18"/>
        <v>휘발유 45,700원 / 고급유 46,800원</v>
      </c>
      <c r="P122" s="13">
        <f t="shared" si="19"/>
        <v>92500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92500</v>
      </c>
      <c r="U122" s="13">
        <f t="shared" si="23"/>
        <v>2055.5555555555557</v>
      </c>
      <c r="V122" s="13">
        <f t="shared" si="24"/>
        <v>2055.5555555555557</v>
      </c>
      <c r="W122" s="15">
        <f t="shared" si="25"/>
        <v>92500</v>
      </c>
    </row>
    <row r="123" spans="1:23" s="2" customFormat="1" ht="28.5" customHeight="1">
      <c r="A123" s="12">
        <f t="shared" si="13"/>
        <v>108</v>
      </c>
      <c r="B123" s="12" t="s">
        <v>6</v>
      </c>
      <c r="C123" s="12" t="s">
        <v>255</v>
      </c>
      <c r="D123" s="16" t="s">
        <v>52</v>
      </c>
      <c r="E123" s="12" t="s">
        <v>26</v>
      </c>
      <c r="F123" s="12" t="s">
        <v>256</v>
      </c>
      <c r="G123" s="13">
        <v>1844</v>
      </c>
      <c r="H123" s="13">
        <v>2320</v>
      </c>
      <c r="I123" s="13"/>
      <c r="J123" s="13">
        <v>1834</v>
      </c>
      <c r="K123" s="13">
        <f t="shared" si="14"/>
        <v>0</v>
      </c>
      <c r="L123" s="13">
        <f t="shared" si="15"/>
        <v>1844</v>
      </c>
      <c r="M123" s="13">
        <f t="shared" si="16"/>
        <v>2320</v>
      </c>
      <c r="N123" s="13">
        <f t="shared" si="17"/>
        <v>1834</v>
      </c>
      <c r="O123" s="13" t="str">
        <f t="shared" si="18"/>
        <v>휘발유 46,100원 / 고급유 46,400원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110</v>
      </c>
      <c r="B124" s="12" t="s">
        <v>10</v>
      </c>
      <c r="C124" s="12" t="s">
        <v>257</v>
      </c>
      <c r="D124" s="16" t="s">
        <v>71</v>
      </c>
      <c r="E124" s="12" t="s">
        <v>26</v>
      </c>
      <c r="F124" s="12" t="s">
        <v>258</v>
      </c>
      <c r="G124" s="13">
        <v>1845</v>
      </c>
      <c r="H124" s="13">
        <v>2320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2320</v>
      </c>
      <c r="N124" s="13">
        <f t="shared" si="17"/>
        <v>1849</v>
      </c>
      <c r="O124" s="13" t="str">
        <f t="shared" si="18"/>
        <v>휘발유 46,125원 / 고급유 46,400원</v>
      </c>
      <c r="P124" s="13">
        <f t="shared" si="19"/>
        <v>92525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92525</v>
      </c>
      <c r="U124" s="13">
        <f t="shared" si="23"/>
        <v>2056.1111111111113</v>
      </c>
      <c r="V124" s="13">
        <f t="shared" si="24"/>
        <v>2056.1111111111113</v>
      </c>
      <c r="W124" s="15">
        <f t="shared" si="25"/>
        <v>92525</v>
      </c>
    </row>
    <row r="125" spans="1:23" s="17" customFormat="1" ht="28.5" customHeight="1">
      <c r="A125" s="12">
        <f t="shared" si="13"/>
        <v>110</v>
      </c>
      <c r="B125" s="12" t="s">
        <v>10</v>
      </c>
      <c r="C125" s="12" t="s">
        <v>259</v>
      </c>
      <c r="D125" s="16" t="s">
        <v>71</v>
      </c>
      <c r="E125" s="12" t="s">
        <v>26</v>
      </c>
      <c r="F125" s="12" t="s">
        <v>260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2" customFormat="1" ht="28.5" customHeight="1">
      <c r="A126" s="12">
        <f t="shared" si="13"/>
        <v>112</v>
      </c>
      <c r="B126" s="12" t="s">
        <v>12</v>
      </c>
      <c r="C126" s="12" t="s">
        <v>288</v>
      </c>
      <c r="D126" s="12" t="s">
        <v>59</v>
      </c>
      <c r="E126" s="12" t="s">
        <v>62</v>
      </c>
      <c r="F126" s="12" t="s">
        <v>289</v>
      </c>
      <c r="G126" s="13">
        <v>1878</v>
      </c>
      <c r="H126" s="13">
        <v>2279</v>
      </c>
      <c r="I126" s="13"/>
      <c r="J126" s="13">
        <v>1819</v>
      </c>
      <c r="K126" s="13">
        <f t="shared" si="14"/>
        <v>0</v>
      </c>
      <c r="L126" s="13">
        <f t="shared" si="15"/>
        <v>1878</v>
      </c>
      <c r="M126" s="13">
        <f t="shared" si="16"/>
        <v>2279</v>
      </c>
      <c r="N126" s="13">
        <f t="shared" si="17"/>
        <v>1819</v>
      </c>
      <c r="O126" s="13" t="str">
        <f t="shared" si="18"/>
        <v>휘발유 46,950원 / 고급유 45,580원</v>
      </c>
      <c r="P126" s="13">
        <f t="shared" si="19"/>
        <v>92530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92530</v>
      </c>
      <c r="U126" s="13">
        <f t="shared" si="23"/>
        <v>2056.2222222222222</v>
      </c>
      <c r="V126" s="13">
        <f t="shared" si="24"/>
        <v>2056.2222222222222</v>
      </c>
      <c r="W126" s="15">
        <f t="shared" si="25"/>
        <v>92530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129</v>
      </c>
      <c r="D127" s="16" t="s">
        <v>52</v>
      </c>
      <c r="E127" s="12" t="s">
        <v>26</v>
      </c>
      <c r="F127" s="12" t="s">
        <v>130</v>
      </c>
      <c r="G127" s="13">
        <v>1834</v>
      </c>
      <c r="H127" s="13">
        <v>2335</v>
      </c>
      <c r="I127" s="13"/>
      <c r="J127" s="13">
        <v>1814</v>
      </c>
      <c r="K127" s="13">
        <f t="shared" si="14"/>
        <v>0</v>
      </c>
      <c r="L127" s="13">
        <f t="shared" si="15"/>
        <v>1834</v>
      </c>
      <c r="M127" s="13">
        <f t="shared" si="16"/>
        <v>2335</v>
      </c>
      <c r="N127" s="13">
        <f t="shared" si="17"/>
        <v>1814</v>
      </c>
      <c r="O127" s="13" t="str">
        <f t="shared" si="18"/>
        <v>휘발유 45,850원 / 고급유 46,700원</v>
      </c>
      <c r="P127" s="13">
        <f t="shared" si="19"/>
        <v>92550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92550</v>
      </c>
      <c r="U127" s="13">
        <f t="shared" si="23"/>
        <v>2056.6666666666665</v>
      </c>
      <c r="V127" s="13">
        <f t="shared" si="24"/>
        <v>2056.6666666666665</v>
      </c>
      <c r="W127" s="15">
        <f t="shared" si="25"/>
        <v>92550</v>
      </c>
    </row>
    <row r="128" spans="1:23" s="2" customFormat="1" ht="28.5" customHeight="1">
      <c r="A128" s="12">
        <f t="shared" si="13"/>
        <v>114</v>
      </c>
      <c r="B128" s="12" t="s">
        <v>14</v>
      </c>
      <c r="C128" s="12" t="s">
        <v>263</v>
      </c>
      <c r="D128" s="16" t="s">
        <v>59</v>
      </c>
      <c r="E128" s="12" t="s">
        <v>26</v>
      </c>
      <c r="F128" s="12" t="s">
        <v>264</v>
      </c>
      <c r="G128" s="13">
        <v>1844</v>
      </c>
      <c r="H128" s="13">
        <v>2324</v>
      </c>
      <c r="I128" s="13"/>
      <c r="J128" s="13">
        <v>1799</v>
      </c>
      <c r="K128" s="13">
        <f t="shared" si="14"/>
        <v>0</v>
      </c>
      <c r="L128" s="13">
        <f t="shared" si="15"/>
        <v>1844</v>
      </c>
      <c r="M128" s="13">
        <f t="shared" si="16"/>
        <v>2324</v>
      </c>
      <c r="N128" s="13">
        <f t="shared" si="17"/>
        <v>1799</v>
      </c>
      <c r="O128" s="13" t="str">
        <f t="shared" si="18"/>
        <v>휘발유 46,100원 / 고급유 46,480원</v>
      </c>
      <c r="P128" s="13">
        <f t="shared" si="19"/>
        <v>92580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92580</v>
      </c>
      <c r="U128" s="13">
        <f t="shared" si="23"/>
        <v>2057.3333333333335</v>
      </c>
      <c r="V128" s="13">
        <f t="shared" si="24"/>
        <v>2057.3333333333335</v>
      </c>
      <c r="W128" s="15">
        <f t="shared" si="25"/>
        <v>92580</v>
      </c>
    </row>
    <row r="129" spans="1:23" s="2" customFormat="1" ht="28.5" customHeight="1">
      <c r="A129" s="12">
        <f t="shared" si="13"/>
        <v>114</v>
      </c>
      <c r="B129" s="12" t="s">
        <v>6</v>
      </c>
      <c r="C129" s="12" t="s">
        <v>265</v>
      </c>
      <c r="D129" s="16" t="s">
        <v>52</v>
      </c>
      <c r="E129" s="12" t="s">
        <v>62</v>
      </c>
      <c r="F129" s="12" t="s">
        <v>266</v>
      </c>
      <c r="G129" s="13">
        <v>1866</v>
      </c>
      <c r="H129" s="13">
        <v>2319</v>
      </c>
      <c r="I129" s="13"/>
      <c r="J129" s="13">
        <v>1850</v>
      </c>
      <c r="K129" s="13">
        <f t="shared" si="14"/>
        <v>-10</v>
      </c>
      <c r="L129" s="13">
        <f t="shared" si="15"/>
        <v>1856</v>
      </c>
      <c r="M129" s="13">
        <f t="shared" si="16"/>
        <v>2309</v>
      </c>
      <c r="N129" s="13">
        <f t="shared" si="17"/>
        <v>1840</v>
      </c>
      <c r="O129" s="13" t="str">
        <f t="shared" si="18"/>
        <v>휘발유 46,400원 / 고급유 46,180원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17" customFormat="1" ht="28.5" customHeight="1">
      <c r="A130" s="12">
        <f t="shared" si="13"/>
        <v>116</v>
      </c>
      <c r="B130" s="12" t="s">
        <v>12</v>
      </c>
      <c r="C130" s="12" t="s">
        <v>269</v>
      </c>
      <c r="D130" s="18" t="s">
        <v>49</v>
      </c>
      <c r="E130" s="12" t="s">
        <v>26</v>
      </c>
      <c r="F130" s="12" t="s">
        <v>270</v>
      </c>
      <c r="G130" s="13">
        <v>1829</v>
      </c>
      <c r="H130" s="13">
        <v>2345</v>
      </c>
      <c r="I130" s="13"/>
      <c r="J130" s="13">
        <v>1829</v>
      </c>
      <c r="K130" s="13">
        <f t="shared" si="14"/>
        <v>0</v>
      </c>
      <c r="L130" s="13">
        <f t="shared" si="15"/>
        <v>1829</v>
      </c>
      <c r="M130" s="13">
        <f t="shared" si="16"/>
        <v>2345</v>
      </c>
      <c r="N130" s="13">
        <f t="shared" si="17"/>
        <v>1829</v>
      </c>
      <c r="O130" s="13" t="str">
        <f t="shared" si="18"/>
        <v>휘발유 45,725원 / 고급유 46,900원</v>
      </c>
      <c r="P130" s="13">
        <f t="shared" si="19"/>
        <v>92625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92625</v>
      </c>
      <c r="U130" s="13">
        <f t="shared" si="23"/>
        <v>2058.3333333333335</v>
      </c>
      <c r="V130" s="13">
        <f t="shared" si="24"/>
        <v>2058.3333333333335</v>
      </c>
      <c r="W130" s="15">
        <f t="shared" si="25"/>
        <v>92625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271</v>
      </c>
      <c r="D131" s="12" t="s">
        <v>272</v>
      </c>
      <c r="E131" s="12" t="s">
        <v>26</v>
      </c>
      <c r="F131" s="12" t="s">
        <v>273</v>
      </c>
      <c r="G131" s="13">
        <v>1844</v>
      </c>
      <c r="H131" s="13">
        <v>2328</v>
      </c>
      <c r="I131" s="13"/>
      <c r="J131" s="13">
        <v>1833</v>
      </c>
      <c r="K131" s="13">
        <f t="shared" si="14"/>
        <v>0</v>
      </c>
      <c r="L131" s="13">
        <f t="shared" si="15"/>
        <v>1844</v>
      </c>
      <c r="M131" s="13">
        <f t="shared" si="16"/>
        <v>2328</v>
      </c>
      <c r="N131" s="13">
        <f t="shared" si="17"/>
        <v>1833</v>
      </c>
      <c r="O131" s="13" t="str">
        <f t="shared" si="18"/>
        <v>휘발유 46,100원 / 고급유 46,560원</v>
      </c>
      <c r="P131" s="13">
        <f t="shared" si="19"/>
        <v>92660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92660</v>
      </c>
      <c r="U131" s="13">
        <f t="shared" si="23"/>
        <v>2059.1111111111113</v>
      </c>
      <c r="V131" s="13">
        <f t="shared" si="24"/>
        <v>2059.1111111111113</v>
      </c>
      <c r="W131" s="15">
        <f t="shared" si="25"/>
        <v>92660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1864</v>
      </c>
      <c r="H132" s="13">
        <v>2329</v>
      </c>
      <c r="I132" s="13"/>
      <c r="J132" s="13">
        <v>1852</v>
      </c>
      <c r="K132" s="13">
        <f t="shared" si="14"/>
        <v>-10</v>
      </c>
      <c r="L132" s="13">
        <f t="shared" si="15"/>
        <v>1854</v>
      </c>
      <c r="M132" s="13">
        <f t="shared" si="16"/>
        <v>2319</v>
      </c>
      <c r="N132" s="13">
        <f t="shared" si="17"/>
        <v>1842</v>
      </c>
      <c r="O132" s="13" t="str">
        <f t="shared" si="18"/>
        <v>휘발유 46,350원 / 고급유 46,380원</v>
      </c>
      <c r="P132" s="13">
        <f t="shared" si="19"/>
        <v>92730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92730</v>
      </c>
      <c r="U132" s="13">
        <f t="shared" si="23"/>
        <v>2060.6666666666665</v>
      </c>
      <c r="V132" s="13">
        <f t="shared" si="24"/>
        <v>2060.6666666666665</v>
      </c>
      <c r="W132" s="15">
        <f t="shared" si="25"/>
        <v>92730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299</v>
      </c>
      <c r="D133" s="16" t="s">
        <v>71</v>
      </c>
      <c r="E133" s="12" t="s">
        <v>26</v>
      </c>
      <c r="F133" s="12" t="s">
        <v>300</v>
      </c>
      <c r="G133" s="13">
        <v>1840</v>
      </c>
      <c r="H133" s="13">
        <v>2340</v>
      </c>
      <c r="I133" s="13"/>
      <c r="J133" s="13">
        <v>1819</v>
      </c>
      <c r="K133" s="13">
        <f t="shared" si="14"/>
        <v>0</v>
      </c>
      <c r="L133" s="13">
        <f t="shared" si="15"/>
        <v>1840</v>
      </c>
      <c r="M133" s="13">
        <f t="shared" si="16"/>
        <v>2340</v>
      </c>
      <c r="N133" s="13">
        <f t="shared" si="17"/>
        <v>1819</v>
      </c>
      <c r="O133" s="13" t="str">
        <f t="shared" si="18"/>
        <v>휘발유 46,000원 / 고급유 46,800원</v>
      </c>
      <c r="P133" s="13">
        <f t="shared" si="19"/>
        <v>92800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92800</v>
      </c>
      <c r="U133" s="13">
        <f t="shared" si="23"/>
        <v>2062.2222222222222</v>
      </c>
      <c r="V133" s="13">
        <f t="shared" si="24"/>
        <v>2062.2222222222222</v>
      </c>
      <c r="W133" s="15">
        <f t="shared" si="25"/>
        <v>92800</v>
      </c>
    </row>
    <row r="134" spans="1:23" s="8" customFormat="1" ht="28.5" customHeight="1">
      <c r="A134" s="12">
        <f t="shared" si="13"/>
        <v>120</v>
      </c>
      <c r="B134" s="12" t="s">
        <v>6</v>
      </c>
      <c r="C134" s="12" t="s">
        <v>284</v>
      </c>
      <c r="D134" s="16" t="s">
        <v>52</v>
      </c>
      <c r="E134" s="12" t="s">
        <v>62</v>
      </c>
      <c r="F134" s="12" t="s">
        <v>285</v>
      </c>
      <c r="G134" s="13">
        <v>1862</v>
      </c>
      <c r="H134" s="13">
        <v>2337</v>
      </c>
      <c r="I134" s="13" t="s">
        <v>47</v>
      </c>
      <c r="J134" s="13">
        <v>1843</v>
      </c>
      <c r="K134" s="13">
        <f t="shared" si="14"/>
        <v>-10</v>
      </c>
      <c r="L134" s="13">
        <f t="shared" si="15"/>
        <v>1852</v>
      </c>
      <c r="M134" s="13">
        <f t="shared" si="16"/>
        <v>2327</v>
      </c>
      <c r="N134" s="13">
        <f t="shared" si="17"/>
        <v>1833</v>
      </c>
      <c r="O134" s="13" t="str">
        <f t="shared" si="18"/>
        <v>휘발유 46,300원 / 고급유 46,540원</v>
      </c>
      <c r="P134" s="13">
        <f t="shared" si="19"/>
        <v>92840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92840</v>
      </c>
      <c r="U134" s="13">
        <f t="shared" si="23"/>
        <v>2063.1111111111113</v>
      </c>
      <c r="V134" s="13">
        <f t="shared" si="24"/>
        <v>2063.1111111111113</v>
      </c>
      <c r="W134" s="15">
        <f t="shared" si="25"/>
        <v>92840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338</v>
      </c>
      <c r="D135" s="16" t="s">
        <v>59</v>
      </c>
      <c r="E135" s="12" t="s">
        <v>26</v>
      </c>
      <c r="F135" s="12" t="s">
        <v>339</v>
      </c>
      <c r="G135" s="13">
        <v>1878</v>
      </c>
      <c r="H135" s="13">
        <v>2298</v>
      </c>
      <c r="I135" s="13"/>
      <c r="J135" s="13">
        <v>1809</v>
      </c>
      <c r="K135" s="13">
        <f t="shared" si="14"/>
        <v>0</v>
      </c>
      <c r="L135" s="13">
        <f t="shared" si="15"/>
        <v>1878</v>
      </c>
      <c r="M135" s="13">
        <f t="shared" si="16"/>
        <v>2298</v>
      </c>
      <c r="N135" s="13">
        <f t="shared" si="17"/>
        <v>1809</v>
      </c>
      <c r="O135" s="13" t="str">
        <f t="shared" si="18"/>
        <v>휘발유 46,950원 / 고급유 45,960원</v>
      </c>
      <c r="P135" s="13">
        <f t="shared" si="19"/>
        <v>92910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92910</v>
      </c>
      <c r="U135" s="13">
        <f t="shared" si="23"/>
        <v>2064.6666666666665</v>
      </c>
      <c r="V135" s="13">
        <f t="shared" si="24"/>
        <v>2064.6666666666665</v>
      </c>
      <c r="W135" s="15">
        <f t="shared" si="25"/>
        <v>92910</v>
      </c>
    </row>
    <row r="136" spans="1:23" s="2" customFormat="1" ht="28.5" customHeight="1">
      <c r="A136" s="12">
        <f t="shared" si="13"/>
        <v>122</v>
      </c>
      <c r="B136" s="12" t="s">
        <v>14</v>
      </c>
      <c r="C136" s="12" t="s">
        <v>286</v>
      </c>
      <c r="D136" s="16" t="s">
        <v>71</v>
      </c>
      <c r="E136" s="12" t="s">
        <v>26</v>
      </c>
      <c r="F136" s="12" t="s">
        <v>287</v>
      </c>
      <c r="G136" s="13">
        <v>1845</v>
      </c>
      <c r="H136" s="13">
        <v>2340</v>
      </c>
      <c r="I136" s="13"/>
      <c r="J136" s="13">
        <v>1849</v>
      </c>
      <c r="K136" s="13">
        <f t="shared" si="14"/>
        <v>0</v>
      </c>
      <c r="L136" s="13">
        <f t="shared" si="15"/>
        <v>1845</v>
      </c>
      <c r="M136" s="13">
        <f t="shared" si="16"/>
        <v>2340</v>
      </c>
      <c r="N136" s="13">
        <f t="shared" si="17"/>
        <v>1849</v>
      </c>
      <c r="O136" s="13" t="str">
        <f t="shared" si="18"/>
        <v>휘발유 46,125원 / 고급유 46,800원</v>
      </c>
      <c r="P136" s="13">
        <f t="shared" si="19"/>
        <v>92925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92925</v>
      </c>
      <c r="U136" s="13">
        <f t="shared" si="23"/>
        <v>2065</v>
      </c>
      <c r="V136" s="13">
        <f t="shared" si="24"/>
        <v>2065</v>
      </c>
      <c r="W136" s="15">
        <f t="shared" si="25"/>
        <v>92925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131</v>
      </c>
      <c r="D137" s="16" t="s">
        <v>52</v>
      </c>
      <c r="E137" s="12" t="s">
        <v>26</v>
      </c>
      <c r="F137" s="12" t="s">
        <v>132</v>
      </c>
      <c r="G137" s="13">
        <v>1834</v>
      </c>
      <c r="H137" s="13">
        <v>2355</v>
      </c>
      <c r="I137" s="13"/>
      <c r="J137" s="13">
        <v>1814</v>
      </c>
      <c r="K137" s="13">
        <f t="shared" si="14"/>
        <v>0</v>
      </c>
      <c r="L137" s="13">
        <f t="shared" si="15"/>
        <v>1834</v>
      </c>
      <c r="M137" s="13">
        <f t="shared" si="16"/>
        <v>2355</v>
      </c>
      <c r="N137" s="13">
        <f t="shared" si="17"/>
        <v>1814</v>
      </c>
      <c r="O137" s="13" t="str">
        <f t="shared" si="18"/>
        <v>휘발유 45,850원 / 고급유 47,100원</v>
      </c>
      <c r="P137" s="13">
        <f t="shared" si="19"/>
        <v>92950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92950</v>
      </c>
      <c r="U137" s="13">
        <f t="shared" si="23"/>
        <v>2065.5555555555557</v>
      </c>
      <c r="V137" s="13">
        <f t="shared" si="24"/>
        <v>2065.5555555555557</v>
      </c>
      <c r="W137" s="15">
        <f t="shared" si="25"/>
        <v>92950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IF($T143="","",1+COUNTIF($W$15:$W$878,"&lt;"&amp;W143))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1298</v>
      </c>
      <c r="D164" s="16" t="s">
        <v>52</v>
      </c>
      <c r="E164" s="12" t="s">
        <v>26</v>
      </c>
      <c r="F164" s="12" t="s">
        <v>1299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390</v>
      </c>
      <c r="D185" s="18" t="s">
        <v>49</v>
      </c>
      <c r="E185" s="12" t="s">
        <v>26</v>
      </c>
      <c r="F185" s="12" t="s">
        <v>391</v>
      </c>
      <c r="G185" s="13">
        <v>1809</v>
      </c>
      <c r="H185" s="13"/>
      <c r="I185" s="13"/>
      <c r="J185" s="13">
        <v>1879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1879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18</v>
      </c>
      <c r="C186" s="12" t="s">
        <v>392</v>
      </c>
      <c r="D186" s="12" t="s">
        <v>49</v>
      </c>
      <c r="E186" s="12" t="s">
        <v>26</v>
      </c>
      <c r="F186" s="12" t="s">
        <v>393</v>
      </c>
      <c r="G186" s="13">
        <v>1852</v>
      </c>
      <c r="H186" s="13"/>
      <c r="I186" s="13"/>
      <c r="J186" s="13">
        <v>1832</v>
      </c>
      <c r="K186" s="13">
        <f t="shared" si="27"/>
        <v>0</v>
      </c>
      <c r="L186" s="13">
        <f t="shared" si="28"/>
        <v>1852</v>
      </c>
      <c r="M186" s="13" t="str">
        <f t="shared" si="29"/>
        <v/>
      </c>
      <c r="N186" s="13">
        <f t="shared" si="30"/>
        <v>1832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406</v>
      </c>
      <c r="D187" s="16" t="s">
        <v>52</v>
      </c>
      <c r="E187" s="12" t="s">
        <v>26</v>
      </c>
      <c r="F187" s="12" t="s">
        <v>407</v>
      </c>
      <c r="G187" s="13">
        <v>1813</v>
      </c>
      <c r="H187" s="13"/>
      <c r="I187" s="13"/>
      <c r="J187" s="13">
        <v>1856</v>
      </c>
      <c r="K187" s="13">
        <f t="shared" si="27"/>
        <v>0</v>
      </c>
      <c r="L187" s="13">
        <f t="shared" si="28"/>
        <v>1813</v>
      </c>
      <c r="M187" s="13" t="str">
        <f t="shared" si="29"/>
        <v/>
      </c>
      <c r="N187" s="13">
        <f t="shared" si="30"/>
        <v>1856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16</v>
      </c>
      <c r="C188" s="12" t="s">
        <v>394</v>
      </c>
      <c r="D188" s="12" t="s">
        <v>49</v>
      </c>
      <c r="E188" s="12" t="s">
        <v>26</v>
      </c>
      <c r="F188" s="12" t="s">
        <v>395</v>
      </c>
      <c r="G188" s="13">
        <v>1855</v>
      </c>
      <c r="H188" s="13"/>
      <c r="I188" s="13"/>
      <c r="J188" s="13">
        <v>1815</v>
      </c>
      <c r="K188" s="13">
        <f t="shared" si="27"/>
        <v>0</v>
      </c>
      <c r="L188" s="13">
        <f t="shared" si="28"/>
        <v>1855</v>
      </c>
      <c r="M188" s="13" t="str">
        <f t="shared" si="29"/>
        <v/>
      </c>
      <c r="N188" s="13">
        <f t="shared" si="30"/>
        <v>1815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396</v>
      </c>
      <c r="D189" s="16" t="s">
        <v>52</v>
      </c>
      <c r="E189" s="12" t="s">
        <v>26</v>
      </c>
      <c r="F189" s="12" t="s">
        <v>397</v>
      </c>
      <c r="G189" s="13">
        <v>1855</v>
      </c>
      <c r="H189" s="13"/>
      <c r="I189" s="13"/>
      <c r="J189" s="13">
        <v>1845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1845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12</v>
      </c>
      <c r="C190" s="12" t="s">
        <v>398</v>
      </c>
      <c r="D190" s="16" t="s">
        <v>59</v>
      </c>
      <c r="E190" s="12" t="s">
        <v>26</v>
      </c>
      <c r="F190" s="12" t="s">
        <v>399</v>
      </c>
      <c r="G190" s="13">
        <v>1814</v>
      </c>
      <c r="H190" s="13"/>
      <c r="I190" s="13"/>
      <c r="J190" s="13">
        <v>1803</v>
      </c>
      <c r="K190" s="13">
        <f t="shared" si="27"/>
        <v>0</v>
      </c>
      <c r="L190" s="13">
        <f t="shared" si="28"/>
        <v>1814</v>
      </c>
      <c r="M190" s="13" t="str">
        <f t="shared" si="29"/>
        <v/>
      </c>
      <c r="N190" s="13">
        <f t="shared" si="30"/>
        <v>1803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680</v>
      </c>
      <c r="D191" s="18" t="s">
        <v>49</v>
      </c>
      <c r="E191" s="12" t="s">
        <v>26</v>
      </c>
      <c r="F191" s="12" t="s">
        <v>681</v>
      </c>
      <c r="G191" s="13">
        <v>1814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6</v>
      </c>
      <c r="C192" s="12" t="s">
        <v>416</v>
      </c>
      <c r="D192" s="12" t="s">
        <v>49</v>
      </c>
      <c r="E192" s="12" t="s">
        <v>26</v>
      </c>
      <c r="F192" s="12" t="s">
        <v>417</v>
      </c>
      <c r="G192" s="13">
        <v>1815</v>
      </c>
      <c r="H192" s="13"/>
      <c r="I192" s="13"/>
      <c r="J192" s="13">
        <v>1800</v>
      </c>
      <c r="K192" s="13">
        <f t="shared" si="27"/>
        <v>0</v>
      </c>
      <c r="L192" s="13">
        <f t="shared" si="28"/>
        <v>1815</v>
      </c>
      <c r="M192" s="13" t="str">
        <f t="shared" si="29"/>
        <v/>
      </c>
      <c r="N192" s="13">
        <f t="shared" si="30"/>
        <v>1800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400</v>
      </c>
      <c r="D193" s="16" t="s">
        <v>71</v>
      </c>
      <c r="E193" s="12" t="s">
        <v>26</v>
      </c>
      <c r="F193" s="12" t="s">
        <v>401</v>
      </c>
      <c r="G193" s="13">
        <v>1857</v>
      </c>
      <c r="H193" s="13"/>
      <c r="I193" s="13"/>
      <c r="J193" s="13">
        <v>1829</v>
      </c>
      <c r="K193" s="13">
        <f t="shared" si="27"/>
        <v>0</v>
      </c>
      <c r="L193" s="13">
        <f t="shared" si="28"/>
        <v>1857</v>
      </c>
      <c r="M193" s="13" t="str">
        <f t="shared" si="29"/>
        <v/>
      </c>
      <c r="N193" s="13">
        <f t="shared" si="30"/>
        <v>1829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402</v>
      </c>
      <c r="D194" s="16" t="s">
        <v>71</v>
      </c>
      <c r="E194" s="12" t="s">
        <v>62</v>
      </c>
      <c r="F194" s="12" t="s">
        <v>403</v>
      </c>
      <c r="G194" s="13">
        <v>1857</v>
      </c>
      <c r="H194" s="13"/>
      <c r="I194" s="13"/>
      <c r="J194" s="13">
        <v>1837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1837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18</v>
      </c>
      <c r="C195" s="12" t="s">
        <v>404</v>
      </c>
      <c r="D195" s="16" t="s">
        <v>59</v>
      </c>
      <c r="E195" s="12" t="s">
        <v>62</v>
      </c>
      <c r="F195" s="12" t="s">
        <v>405</v>
      </c>
      <c r="G195" s="13">
        <v>1857</v>
      </c>
      <c r="H195" s="13"/>
      <c r="I195" s="13"/>
      <c r="J195" s="13">
        <v>1847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1847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494</v>
      </c>
      <c r="D196" s="16" t="s">
        <v>59</v>
      </c>
      <c r="E196" s="12" t="s">
        <v>26</v>
      </c>
      <c r="F196" s="12" t="s">
        <v>495</v>
      </c>
      <c r="G196" s="13">
        <v>1817</v>
      </c>
      <c r="H196" s="13"/>
      <c r="I196" s="13"/>
      <c r="J196" s="13">
        <v>1788</v>
      </c>
      <c r="K196" s="13">
        <f t="shared" si="27"/>
        <v>0</v>
      </c>
      <c r="L196" s="13">
        <f t="shared" si="28"/>
        <v>1817</v>
      </c>
      <c r="M196" s="13" t="str">
        <f t="shared" si="29"/>
        <v/>
      </c>
      <c r="N196" s="13">
        <f t="shared" si="30"/>
        <v>1788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410</v>
      </c>
      <c r="D197" s="12" t="s">
        <v>49</v>
      </c>
      <c r="E197" s="12" t="s">
        <v>62</v>
      </c>
      <c r="F197" s="12" t="s">
        <v>411</v>
      </c>
      <c r="G197" s="13">
        <v>1859</v>
      </c>
      <c r="H197" s="13"/>
      <c r="I197" s="13"/>
      <c r="J197" s="13">
        <v>1839</v>
      </c>
      <c r="K197" s="13">
        <f t="shared" si="27"/>
        <v>0</v>
      </c>
      <c r="L197" s="13">
        <f t="shared" si="28"/>
        <v>1859</v>
      </c>
      <c r="M197" s="13" t="str">
        <f t="shared" si="29"/>
        <v/>
      </c>
      <c r="N197" s="13">
        <f t="shared" si="30"/>
        <v>1839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17" customFormat="1" ht="28.5" customHeight="1">
      <c r="A198" s="12" t="str">
        <f t="shared" si="26"/>
        <v/>
      </c>
      <c r="B198" s="12" t="s">
        <v>18</v>
      </c>
      <c r="C198" s="12" t="s">
        <v>408</v>
      </c>
      <c r="D198" s="16" t="s">
        <v>71</v>
      </c>
      <c r="E198" s="12" t="s">
        <v>62</v>
      </c>
      <c r="F198" s="12" t="s">
        <v>409</v>
      </c>
      <c r="G198" s="13">
        <v>1859</v>
      </c>
      <c r="H198" s="13"/>
      <c r="I198" s="13"/>
      <c r="J198" s="13">
        <v>1849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1849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470</v>
      </c>
      <c r="D199" s="12" t="s">
        <v>49</v>
      </c>
      <c r="E199" s="12" t="s">
        <v>26</v>
      </c>
      <c r="F199" s="12" t="s">
        <v>471</v>
      </c>
      <c r="G199" s="13">
        <v>1859</v>
      </c>
      <c r="H199" s="13"/>
      <c r="I199" s="13"/>
      <c r="J199" s="13">
        <v>1869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1869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412</v>
      </c>
      <c r="D200" s="12" t="s">
        <v>49</v>
      </c>
      <c r="E200" s="12" t="s">
        <v>26</v>
      </c>
      <c r="F200" s="12" t="s">
        <v>413</v>
      </c>
      <c r="G200" s="13">
        <v>1860</v>
      </c>
      <c r="H200" s="13"/>
      <c r="I200" s="13"/>
      <c r="J200" s="13">
        <v>1860</v>
      </c>
      <c r="K200" s="13">
        <f t="shared" si="27"/>
        <v>0</v>
      </c>
      <c r="L200" s="13">
        <f t="shared" si="28"/>
        <v>1860</v>
      </c>
      <c r="M200" s="13" t="str">
        <f t="shared" si="29"/>
        <v/>
      </c>
      <c r="N200" s="13">
        <f t="shared" si="30"/>
        <v>1860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6</v>
      </c>
      <c r="C201" s="12" t="s">
        <v>414</v>
      </c>
      <c r="D201" s="16" t="s">
        <v>59</v>
      </c>
      <c r="E201" s="12" t="s">
        <v>62</v>
      </c>
      <c r="F201" s="12" t="s">
        <v>415</v>
      </c>
      <c r="G201" s="13">
        <v>1819</v>
      </c>
      <c r="H201" s="13"/>
      <c r="I201" s="13"/>
      <c r="J201" s="13">
        <v>1809</v>
      </c>
      <c r="K201" s="13">
        <f t="shared" si="27"/>
        <v>0</v>
      </c>
      <c r="L201" s="13">
        <f t="shared" si="28"/>
        <v>1819</v>
      </c>
      <c r="M201" s="13" t="str">
        <f t="shared" si="29"/>
        <v/>
      </c>
      <c r="N201" s="13">
        <f t="shared" si="30"/>
        <v>1809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543</v>
      </c>
      <c r="D202" s="16" t="s">
        <v>52</v>
      </c>
      <c r="E202" s="12" t="s">
        <v>26</v>
      </c>
      <c r="F202" s="12" t="s">
        <v>544</v>
      </c>
      <c r="G202" s="13">
        <v>1820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1820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418</v>
      </c>
      <c r="D203" s="16" t="s">
        <v>71</v>
      </c>
      <c r="E203" s="12" t="s">
        <v>26</v>
      </c>
      <c r="F203" s="12" t="s">
        <v>419</v>
      </c>
      <c r="G203" s="13">
        <v>1862</v>
      </c>
      <c r="H203" s="13"/>
      <c r="I203" s="13"/>
      <c r="J203" s="13">
        <v>1822</v>
      </c>
      <c r="K203" s="13">
        <f t="shared" si="27"/>
        <v>0</v>
      </c>
      <c r="L203" s="13">
        <f t="shared" si="28"/>
        <v>1862</v>
      </c>
      <c r="M203" s="13" t="str">
        <f t="shared" si="29"/>
        <v/>
      </c>
      <c r="N203" s="13">
        <f t="shared" si="30"/>
        <v>1822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420</v>
      </c>
      <c r="D204" s="12" t="s">
        <v>272</v>
      </c>
      <c r="E204" s="12" t="s">
        <v>26</v>
      </c>
      <c r="F204" s="12" t="s">
        <v>421</v>
      </c>
      <c r="G204" s="13">
        <v>1822</v>
      </c>
      <c r="H204" s="13"/>
      <c r="I204" s="13"/>
      <c r="J204" s="13">
        <v>1788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1788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6</v>
      </c>
      <c r="C205" s="12" t="s">
        <v>490</v>
      </c>
      <c r="D205" s="12" t="s">
        <v>45</v>
      </c>
      <c r="E205" s="12" t="s">
        <v>26</v>
      </c>
      <c r="F205" s="12" t="s">
        <v>491</v>
      </c>
      <c r="G205" s="13">
        <v>1822</v>
      </c>
      <c r="H205" s="13"/>
      <c r="I205" s="13"/>
      <c r="J205" s="13">
        <v>1802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1802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12</v>
      </c>
      <c r="C206" s="12" t="s">
        <v>430</v>
      </c>
      <c r="D206" s="16" t="s">
        <v>52</v>
      </c>
      <c r="E206" s="12" t="s">
        <v>26</v>
      </c>
      <c r="F206" s="12" t="s">
        <v>431</v>
      </c>
      <c r="G206" s="13">
        <v>1823</v>
      </c>
      <c r="H206" s="13"/>
      <c r="I206" s="13"/>
      <c r="J206" s="13">
        <v>1768</v>
      </c>
      <c r="K206" s="13">
        <f t="shared" si="27"/>
        <v>0</v>
      </c>
      <c r="L206" s="13">
        <f t="shared" si="28"/>
        <v>1823</v>
      </c>
      <c r="M206" s="13" t="str">
        <f t="shared" si="29"/>
        <v/>
      </c>
      <c r="N206" s="13">
        <f t="shared" si="30"/>
        <v>1768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IF($T207="","",1+COUNTIF($W$15:$W$878,"&lt;"&amp;W207))</f>
        <v/>
      </c>
      <c r="B207" s="12" t="s">
        <v>12</v>
      </c>
      <c r="C207" s="12" t="s">
        <v>422</v>
      </c>
      <c r="D207" s="16" t="s">
        <v>52</v>
      </c>
      <c r="E207" s="12" t="s">
        <v>26</v>
      </c>
      <c r="F207" s="12" t="s">
        <v>423</v>
      </c>
      <c r="G207" s="13">
        <v>1823</v>
      </c>
      <c r="H207" s="13"/>
      <c r="I207" s="13"/>
      <c r="J207" s="13">
        <v>1797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1797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16</v>
      </c>
      <c r="C208" s="12" t="s">
        <v>424</v>
      </c>
      <c r="D208" s="16" t="s">
        <v>59</v>
      </c>
      <c r="E208" s="12" t="s">
        <v>26</v>
      </c>
      <c r="F208" s="12" t="s">
        <v>425</v>
      </c>
      <c r="G208" s="13">
        <v>1865</v>
      </c>
      <c r="H208" s="13"/>
      <c r="I208" s="13"/>
      <c r="J208" s="13">
        <v>1825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1825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426</v>
      </c>
      <c r="D209" s="12" t="s">
        <v>272</v>
      </c>
      <c r="E209" s="12" t="s">
        <v>26</v>
      </c>
      <c r="F209" s="12" t="s">
        <v>427</v>
      </c>
      <c r="G209" s="13">
        <v>1865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6</v>
      </c>
      <c r="C210" s="12" t="s">
        <v>444</v>
      </c>
      <c r="D210" s="16" t="s">
        <v>52</v>
      </c>
      <c r="E210" s="12" t="s">
        <v>26</v>
      </c>
      <c r="F210" s="12" t="s">
        <v>445</v>
      </c>
      <c r="G210" s="13">
        <v>1824</v>
      </c>
      <c r="H210" s="13"/>
      <c r="I210" s="13"/>
      <c r="J210" s="13">
        <v>1794</v>
      </c>
      <c r="K210" s="13">
        <f t="shared" si="40"/>
        <v>0</v>
      </c>
      <c r="L210" s="13">
        <f t="shared" si="41"/>
        <v>1824</v>
      </c>
      <c r="M210" s="13" t="str">
        <f t="shared" si="42"/>
        <v/>
      </c>
      <c r="N210" s="13">
        <f t="shared" si="43"/>
        <v>1794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573</v>
      </c>
      <c r="D213" s="16" t="s">
        <v>59</v>
      </c>
      <c r="E213" s="12" t="s">
        <v>62</v>
      </c>
      <c r="F213" s="12" t="s">
        <v>574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436</v>
      </c>
      <c r="D218" s="16" t="s">
        <v>59</v>
      </c>
      <c r="E218" s="12" t="s">
        <v>62</v>
      </c>
      <c r="F218" s="12" t="s">
        <v>437</v>
      </c>
      <c r="G218" s="13">
        <v>1869</v>
      </c>
      <c r="H218" s="13"/>
      <c r="I218" s="13"/>
      <c r="J218" s="13">
        <v>1854</v>
      </c>
      <c r="K218" s="13">
        <f t="shared" si="40"/>
        <v>0</v>
      </c>
      <c r="L218" s="13">
        <f t="shared" si="41"/>
        <v>1869</v>
      </c>
      <c r="M218" s="13" t="str">
        <f t="shared" si="42"/>
        <v/>
      </c>
      <c r="N218" s="13">
        <f t="shared" si="43"/>
        <v>1854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12</v>
      </c>
      <c r="C219" s="12" t="s">
        <v>438</v>
      </c>
      <c r="D219" s="18" t="s">
        <v>49</v>
      </c>
      <c r="E219" s="12" t="s">
        <v>26</v>
      </c>
      <c r="F219" s="12" t="s">
        <v>439</v>
      </c>
      <c r="G219" s="13">
        <v>1828</v>
      </c>
      <c r="H219" s="13"/>
      <c r="I219" s="13"/>
      <c r="J219" s="13">
        <v>1828</v>
      </c>
      <c r="K219" s="13">
        <f t="shared" si="40"/>
        <v>0</v>
      </c>
      <c r="L219" s="13">
        <f t="shared" si="41"/>
        <v>1828</v>
      </c>
      <c r="M219" s="13" t="str">
        <f t="shared" si="42"/>
        <v/>
      </c>
      <c r="N219" s="13">
        <f t="shared" si="43"/>
        <v>1828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17" customFormat="1" ht="28.5" customHeight="1">
      <c r="A220" s="12" t="str">
        <f t="shared" si="39"/>
        <v/>
      </c>
      <c r="B220" s="12" t="s">
        <v>16</v>
      </c>
      <c r="C220" s="12" t="s">
        <v>527</v>
      </c>
      <c r="D220" s="16" t="s">
        <v>59</v>
      </c>
      <c r="E220" s="12" t="s">
        <v>62</v>
      </c>
      <c r="F220" s="12" t="s">
        <v>528</v>
      </c>
      <c r="G220" s="13">
        <v>1870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440</v>
      </c>
      <c r="D221" s="16" t="s">
        <v>59</v>
      </c>
      <c r="E221" s="12" t="s">
        <v>26</v>
      </c>
      <c r="F221" s="12" t="s">
        <v>441</v>
      </c>
      <c r="G221" s="13">
        <v>1870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17" customFormat="1" ht="28.5" customHeight="1">
      <c r="A222" s="12" t="str">
        <f t="shared" si="39"/>
        <v/>
      </c>
      <c r="B222" s="12" t="s">
        <v>16</v>
      </c>
      <c r="C222" s="12" t="s">
        <v>456</v>
      </c>
      <c r="D222" s="12" t="s">
        <v>45</v>
      </c>
      <c r="E222" s="12" t="s">
        <v>26</v>
      </c>
      <c r="F222" s="12" t="s">
        <v>457</v>
      </c>
      <c r="G222" s="13">
        <v>1870</v>
      </c>
      <c r="H222" s="13"/>
      <c r="I222" s="13"/>
      <c r="J222" s="13">
        <v>1855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1855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442</v>
      </c>
      <c r="D223" s="12" t="s">
        <v>49</v>
      </c>
      <c r="E223" s="12" t="s">
        <v>62</v>
      </c>
      <c r="F223" s="12" t="s">
        <v>443</v>
      </c>
      <c r="G223" s="13">
        <v>1870</v>
      </c>
      <c r="H223" s="13"/>
      <c r="I223" s="13"/>
      <c r="J223" s="13">
        <v>1870</v>
      </c>
      <c r="K223" s="13">
        <f t="shared" si="40"/>
        <v>0</v>
      </c>
      <c r="L223" s="13">
        <f t="shared" si="41"/>
        <v>1870</v>
      </c>
      <c r="M223" s="13" t="str">
        <f t="shared" si="42"/>
        <v/>
      </c>
      <c r="N223" s="13">
        <f t="shared" si="43"/>
        <v>1870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10</v>
      </c>
      <c r="C224" s="12" t="s">
        <v>446</v>
      </c>
      <c r="D224" s="16" t="s">
        <v>59</v>
      </c>
      <c r="E224" s="12" t="s">
        <v>26</v>
      </c>
      <c r="F224" s="12" t="s">
        <v>447</v>
      </c>
      <c r="G224" s="13">
        <v>1829</v>
      </c>
      <c r="H224" s="13"/>
      <c r="I224" s="13"/>
      <c r="J224" s="13">
        <v>1799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1799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448</v>
      </c>
      <c r="D225" s="16" t="s">
        <v>59</v>
      </c>
      <c r="E225" s="12" t="s">
        <v>26</v>
      </c>
      <c r="F225" s="12" t="s">
        <v>449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10</v>
      </c>
      <c r="C226" s="12" t="s">
        <v>480</v>
      </c>
      <c r="D226" s="16" t="s">
        <v>59</v>
      </c>
      <c r="E226" s="12" t="s">
        <v>62</v>
      </c>
      <c r="F226" s="12" t="s">
        <v>481</v>
      </c>
      <c r="G226" s="13">
        <v>1829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541</v>
      </c>
      <c r="D227" s="16" t="s">
        <v>52</v>
      </c>
      <c r="E227" s="12" t="s">
        <v>26</v>
      </c>
      <c r="F227" s="12" t="s">
        <v>542</v>
      </c>
      <c r="G227" s="13">
        <v>1829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575</v>
      </c>
      <c r="D228" s="16" t="s">
        <v>52</v>
      </c>
      <c r="E228" s="12" t="s">
        <v>26</v>
      </c>
      <c r="F228" s="12" t="s">
        <v>576</v>
      </c>
      <c r="G228" s="13">
        <v>1833</v>
      </c>
      <c r="H228" s="13"/>
      <c r="I228" s="13"/>
      <c r="J228" s="13">
        <v>1811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1811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500</v>
      </c>
      <c r="D229" s="12" t="s">
        <v>49</v>
      </c>
      <c r="E229" s="12" t="s">
        <v>26</v>
      </c>
      <c r="F229" s="12" t="s">
        <v>501</v>
      </c>
      <c r="G229" s="13">
        <v>1833</v>
      </c>
      <c r="H229" s="13"/>
      <c r="I229" s="13"/>
      <c r="J229" s="13">
        <v>1819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8" customFormat="1" ht="28.5" customHeight="1">
      <c r="A230" s="12" t="str">
        <f t="shared" si="39"/>
        <v/>
      </c>
      <c r="B230" s="12" t="s">
        <v>18</v>
      </c>
      <c r="C230" s="12" t="s">
        <v>452</v>
      </c>
      <c r="D230" s="12" t="s">
        <v>49</v>
      </c>
      <c r="E230" s="12" t="s">
        <v>62</v>
      </c>
      <c r="F230" s="12" t="s">
        <v>453</v>
      </c>
      <c r="G230" s="13">
        <v>1875</v>
      </c>
      <c r="H230" s="13"/>
      <c r="I230" s="13"/>
      <c r="J230" s="13">
        <v>1845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1845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18</v>
      </c>
      <c r="C231" s="6" t="s">
        <v>454</v>
      </c>
      <c r="D231" s="16" t="s">
        <v>52</v>
      </c>
      <c r="E231" s="12" t="s">
        <v>62</v>
      </c>
      <c r="F231" s="12" t="s">
        <v>455</v>
      </c>
      <c r="G231" s="13">
        <v>1875</v>
      </c>
      <c r="H231" s="13"/>
      <c r="I231" s="13"/>
      <c r="J231" s="13">
        <v>1855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1855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1795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1795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492</v>
      </c>
      <c r="D233" s="16" t="s">
        <v>52</v>
      </c>
      <c r="E233" s="12" t="s">
        <v>26</v>
      </c>
      <c r="F233" s="12" t="s">
        <v>493</v>
      </c>
      <c r="G233" s="13">
        <v>1835</v>
      </c>
      <c r="H233" s="13"/>
      <c r="I233" s="13"/>
      <c r="J233" s="13">
        <v>1815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1815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468</v>
      </c>
      <c r="D234" s="16" t="s">
        <v>52</v>
      </c>
      <c r="E234" s="12" t="s">
        <v>62</v>
      </c>
      <c r="F234" s="12" t="s">
        <v>469</v>
      </c>
      <c r="G234" s="13">
        <v>1878</v>
      </c>
      <c r="H234" s="13"/>
      <c r="I234" s="13"/>
      <c r="J234" s="13">
        <v>1858</v>
      </c>
      <c r="K234" s="13">
        <f t="shared" si="40"/>
        <v>0</v>
      </c>
      <c r="L234" s="13">
        <f t="shared" si="41"/>
        <v>1878</v>
      </c>
      <c r="M234" s="13" t="str">
        <f t="shared" si="42"/>
        <v/>
      </c>
      <c r="N234" s="13">
        <f t="shared" si="43"/>
        <v>1858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8" customFormat="1" ht="28.5" customHeight="1">
      <c r="A235" s="12" t="str">
        <f t="shared" si="39"/>
        <v/>
      </c>
      <c r="B235" s="12" t="s">
        <v>6</v>
      </c>
      <c r="C235" s="12" t="s">
        <v>519</v>
      </c>
      <c r="D235" s="16" t="s">
        <v>52</v>
      </c>
      <c r="E235" s="12" t="s">
        <v>62</v>
      </c>
      <c r="F235" s="12" t="s">
        <v>520</v>
      </c>
      <c r="G235" s="13">
        <v>1837</v>
      </c>
      <c r="H235" s="13"/>
      <c r="I235" s="13"/>
      <c r="J235" s="13">
        <v>1827</v>
      </c>
      <c r="K235" s="13">
        <f t="shared" si="40"/>
        <v>0</v>
      </c>
      <c r="L235" s="13">
        <f t="shared" si="41"/>
        <v>1837</v>
      </c>
      <c r="M235" s="13" t="str">
        <f t="shared" si="42"/>
        <v/>
      </c>
      <c r="N235" s="13">
        <f t="shared" si="43"/>
        <v>1827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17" customFormat="1" ht="28.5" customHeight="1">
      <c r="A236" s="12" t="str">
        <f t="shared" si="39"/>
        <v/>
      </c>
      <c r="B236" s="12" t="s">
        <v>10</v>
      </c>
      <c r="C236" s="12" t="s">
        <v>567</v>
      </c>
      <c r="D236" s="16" t="s">
        <v>59</v>
      </c>
      <c r="E236" s="12" t="s">
        <v>26</v>
      </c>
      <c r="F236" s="12" t="s">
        <v>568</v>
      </c>
      <c r="G236" s="13">
        <v>1838</v>
      </c>
      <c r="H236" s="13"/>
      <c r="I236" s="13"/>
      <c r="J236" s="13">
        <v>1824</v>
      </c>
      <c r="K236" s="13">
        <f t="shared" si="40"/>
        <v>0</v>
      </c>
      <c r="L236" s="13">
        <f t="shared" si="41"/>
        <v>1838</v>
      </c>
      <c r="M236" s="13" t="str">
        <f t="shared" si="42"/>
        <v/>
      </c>
      <c r="N236" s="13">
        <f t="shared" si="43"/>
        <v>1824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472</v>
      </c>
      <c r="D237" s="16" t="s">
        <v>52</v>
      </c>
      <c r="E237" s="12" t="s">
        <v>62</v>
      </c>
      <c r="F237" s="12" t="s">
        <v>473</v>
      </c>
      <c r="G237" s="13">
        <v>1838</v>
      </c>
      <c r="H237" s="13"/>
      <c r="I237" s="13"/>
      <c r="J237" s="13">
        <v>1838</v>
      </c>
      <c r="K237" s="13">
        <f t="shared" si="40"/>
        <v>0</v>
      </c>
      <c r="L237" s="13">
        <f t="shared" si="41"/>
        <v>1838</v>
      </c>
      <c r="M237" s="13" t="str">
        <f t="shared" si="42"/>
        <v/>
      </c>
      <c r="N237" s="13">
        <f t="shared" si="43"/>
        <v>1838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476</v>
      </c>
      <c r="D238" s="16" t="s">
        <v>71</v>
      </c>
      <c r="E238" s="12" t="s">
        <v>62</v>
      </c>
      <c r="F238" s="12" t="s">
        <v>477</v>
      </c>
      <c r="G238" s="13">
        <v>1880</v>
      </c>
      <c r="H238" s="13"/>
      <c r="I238" s="13"/>
      <c r="J238" s="13">
        <v>1860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1860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16</v>
      </c>
      <c r="C239" s="12" t="s">
        <v>597</v>
      </c>
      <c r="D239" s="16" t="s">
        <v>71</v>
      </c>
      <c r="E239" s="12" t="s">
        <v>62</v>
      </c>
      <c r="F239" s="12" t="s">
        <v>598</v>
      </c>
      <c r="G239" s="13">
        <v>1880</v>
      </c>
      <c r="H239" s="13"/>
      <c r="I239" s="13"/>
      <c r="J239" s="13">
        <v>1880</v>
      </c>
      <c r="K239" s="13">
        <f t="shared" si="40"/>
        <v>0</v>
      </c>
      <c r="L239" s="13">
        <f t="shared" si="41"/>
        <v>1880</v>
      </c>
      <c r="M239" s="13" t="str">
        <f t="shared" si="42"/>
        <v/>
      </c>
      <c r="N239" s="13">
        <f t="shared" si="43"/>
        <v>1880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16</v>
      </c>
      <c r="C240" s="12" t="s">
        <v>474</v>
      </c>
      <c r="D240" s="16" t="s">
        <v>52</v>
      </c>
      <c r="E240" s="12" t="s">
        <v>26</v>
      </c>
      <c r="F240" s="12" t="s">
        <v>475</v>
      </c>
      <c r="G240" s="13">
        <v>1880</v>
      </c>
      <c r="H240" s="13"/>
      <c r="I240" s="13"/>
      <c r="J240" s="13">
        <v>1890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1890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14</v>
      </c>
      <c r="C241" s="12" t="s">
        <v>478</v>
      </c>
      <c r="D241" s="16" t="s">
        <v>52</v>
      </c>
      <c r="E241" s="12" t="s">
        <v>26</v>
      </c>
      <c r="F241" s="12" t="s">
        <v>479</v>
      </c>
      <c r="G241" s="13">
        <v>1839</v>
      </c>
      <c r="H241" s="13"/>
      <c r="I241" s="13"/>
      <c r="J241" s="13">
        <v>1799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1799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12</v>
      </c>
      <c r="C242" s="12" t="s">
        <v>601</v>
      </c>
      <c r="D242" s="16" t="s">
        <v>52</v>
      </c>
      <c r="E242" s="12" t="s">
        <v>26</v>
      </c>
      <c r="F242" s="12" t="s">
        <v>602</v>
      </c>
      <c r="G242" s="13">
        <v>1839</v>
      </c>
      <c r="H242" s="13"/>
      <c r="I242" s="13"/>
      <c r="J242" s="13">
        <v>1809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1809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514</v>
      </c>
      <c r="D243" s="12" t="s">
        <v>49</v>
      </c>
      <c r="E243" s="12" t="s">
        <v>26</v>
      </c>
      <c r="F243" s="12" t="s">
        <v>515</v>
      </c>
      <c r="G243" s="13">
        <v>1839</v>
      </c>
      <c r="H243" s="13"/>
      <c r="I243" s="13"/>
      <c r="J243" s="13">
        <v>1809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1809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14</v>
      </c>
      <c r="C244" s="12" t="s">
        <v>482</v>
      </c>
      <c r="D244" s="16" t="s">
        <v>52</v>
      </c>
      <c r="E244" s="12" t="s">
        <v>26</v>
      </c>
      <c r="F244" s="12" t="s">
        <v>483</v>
      </c>
      <c r="G244" s="13">
        <v>1839</v>
      </c>
      <c r="H244" s="13"/>
      <c r="I244" s="13"/>
      <c r="J244" s="13">
        <v>1819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1819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8</v>
      </c>
      <c r="C245" s="12" t="s">
        <v>604</v>
      </c>
      <c r="D245" s="16" t="s">
        <v>52</v>
      </c>
      <c r="E245" s="12" t="s">
        <v>26</v>
      </c>
      <c r="F245" s="12" t="s">
        <v>605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8" customFormat="1" ht="28.5" customHeight="1">
      <c r="A246" s="12" t="str">
        <f t="shared" si="39"/>
        <v/>
      </c>
      <c r="B246" s="12" t="s">
        <v>8</v>
      </c>
      <c r="C246" s="12" t="s">
        <v>348</v>
      </c>
      <c r="D246" s="16" t="s">
        <v>59</v>
      </c>
      <c r="E246" s="12" t="s">
        <v>26</v>
      </c>
      <c r="F246" s="12" t="s">
        <v>516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484</v>
      </c>
      <c r="D247" s="16" t="s">
        <v>59</v>
      </c>
      <c r="E247" s="12" t="s">
        <v>26</v>
      </c>
      <c r="F247" s="12" t="s">
        <v>485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12</v>
      </c>
      <c r="C248" s="12" t="s">
        <v>486</v>
      </c>
      <c r="D248" s="18" t="s">
        <v>49</v>
      </c>
      <c r="E248" s="12" t="s">
        <v>26</v>
      </c>
      <c r="F248" s="12" t="s">
        <v>487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488</v>
      </c>
      <c r="D249" s="16" t="s">
        <v>52</v>
      </c>
      <c r="E249" s="12" t="s">
        <v>62</v>
      </c>
      <c r="F249" s="12" t="s">
        <v>489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529</v>
      </c>
      <c r="D250" s="12" t="s">
        <v>45</v>
      </c>
      <c r="E250" s="12" t="s">
        <v>26</v>
      </c>
      <c r="F250" s="12" t="s">
        <v>530</v>
      </c>
      <c r="G250" s="13">
        <v>1842</v>
      </c>
      <c r="H250" s="13"/>
      <c r="I250" s="13"/>
      <c r="J250" s="13">
        <v>1832</v>
      </c>
      <c r="K250" s="13">
        <f t="shared" si="40"/>
        <v>0</v>
      </c>
      <c r="L250" s="13">
        <f t="shared" si="41"/>
        <v>1842</v>
      </c>
      <c r="M250" s="13" t="str">
        <f t="shared" si="42"/>
        <v/>
      </c>
      <c r="N250" s="13">
        <f t="shared" si="43"/>
        <v>1832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17" customFormat="1" ht="28.5" customHeight="1">
      <c r="A251" s="12" t="str">
        <f t="shared" si="39"/>
        <v/>
      </c>
      <c r="B251" s="12" t="s">
        <v>10</v>
      </c>
      <c r="C251" s="12" t="s">
        <v>632</v>
      </c>
      <c r="D251" s="12" t="s">
        <v>272</v>
      </c>
      <c r="E251" s="12" t="s">
        <v>26</v>
      </c>
      <c r="F251" s="12" t="s">
        <v>633</v>
      </c>
      <c r="G251" s="13">
        <v>1843</v>
      </c>
      <c r="H251" s="13"/>
      <c r="I251" s="13"/>
      <c r="J251" s="13">
        <v>1828</v>
      </c>
      <c r="K251" s="13">
        <f t="shared" si="40"/>
        <v>0</v>
      </c>
      <c r="L251" s="13">
        <f t="shared" si="41"/>
        <v>1843</v>
      </c>
      <c r="M251" s="13" t="str">
        <f t="shared" si="42"/>
        <v/>
      </c>
      <c r="N251" s="13">
        <f t="shared" si="43"/>
        <v>1828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458</v>
      </c>
      <c r="D252" s="16" t="s">
        <v>59</v>
      </c>
      <c r="E252" s="12" t="s">
        <v>62</v>
      </c>
      <c r="F252" s="12" t="s">
        <v>459</v>
      </c>
      <c r="G252" s="13">
        <v>1885</v>
      </c>
      <c r="H252" s="13"/>
      <c r="I252" s="13"/>
      <c r="J252" s="13">
        <v>1875</v>
      </c>
      <c r="K252" s="13">
        <f t="shared" si="40"/>
        <v>0</v>
      </c>
      <c r="L252" s="13">
        <f t="shared" si="41"/>
        <v>1885</v>
      </c>
      <c r="M252" s="13" t="str">
        <f t="shared" si="42"/>
        <v/>
      </c>
      <c r="N252" s="13">
        <f t="shared" si="43"/>
        <v>1875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12</v>
      </c>
      <c r="C253" s="12" t="s">
        <v>496</v>
      </c>
      <c r="D253" s="16" t="s">
        <v>52</v>
      </c>
      <c r="E253" s="12" t="s">
        <v>26</v>
      </c>
      <c r="F253" s="12" t="s">
        <v>497</v>
      </c>
      <c r="G253" s="13">
        <v>1844</v>
      </c>
      <c r="H253" s="13"/>
      <c r="I253" s="13"/>
      <c r="J253" s="13">
        <v>1813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1813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10</v>
      </c>
      <c r="C254" s="12" t="s">
        <v>498</v>
      </c>
      <c r="D254" s="12" t="s">
        <v>49</v>
      </c>
      <c r="E254" s="12" t="s">
        <v>26</v>
      </c>
      <c r="F254" s="12" t="s">
        <v>499</v>
      </c>
      <c r="G254" s="13">
        <v>1844</v>
      </c>
      <c r="H254" s="13"/>
      <c r="I254" s="13"/>
      <c r="J254" s="13">
        <v>1814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1814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502</v>
      </c>
      <c r="D255" s="16" t="s">
        <v>71</v>
      </c>
      <c r="E255" s="12" t="s">
        <v>26</v>
      </c>
      <c r="F255" s="12" t="s">
        <v>503</v>
      </c>
      <c r="G255" s="13">
        <v>1844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1844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14</v>
      </c>
      <c r="C256" s="12" t="s">
        <v>716</v>
      </c>
      <c r="D256" s="12" t="s">
        <v>49</v>
      </c>
      <c r="E256" s="12" t="s">
        <v>26</v>
      </c>
      <c r="F256" s="12" t="s">
        <v>717</v>
      </c>
      <c r="G256" s="13">
        <v>1845</v>
      </c>
      <c r="H256" s="13"/>
      <c r="I256" s="13"/>
      <c r="J256" s="13">
        <v>1815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1815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506</v>
      </c>
      <c r="D257" s="12" t="s">
        <v>49</v>
      </c>
      <c r="E257" s="12" t="s">
        <v>26</v>
      </c>
      <c r="F257" s="12" t="s">
        <v>507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8" customFormat="1" ht="28.5" customHeight="1">
      <c r="A258" s="12" t="str">
        <f t="shared" si="39"/>
        <v/>
      </c>
      <c r="B258" s="12" t="s">
        <v>6</v>
      </c>
      <c r="C258" s="12" t="s">
        <v>460</v>
      </c>
      <c r="D258" s="18" t="s">
        <v>49</v>
      </c>
      <c r="E258" s="12" t="s">
        <v>26</v>
      </c>
      <c r="F258" s="12" t="s">
        <v>461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6</v>
      </c>
      <c r="C259" s="12" t="s">
        <v>512</v>
      </c>
      <c r="D259" s="12" t="s">
        <v>49</v>
      </c>
      <c r="E259" s="12" t="s">
        <v>26</v>
      </c>
      <c r="F259" s="12" t="s">
        <v>513</v>
      </c>
      <c r="G259" s="13">
        <v>1845</v>
      </c>
      <c r="H259" s="13"/>
      <c r="I259" s="13"/>
      <c r="J259" s="13">
        <v>1819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504</v>
      </c>
      <c r="D260" s="16" t="s">
        <v>59</v>
      </c>
      <c r="E260" s="12" t="s">
        <v>26</v>
      </c>
      <c r="F260" s="12" t="s">
        <v>505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16</v>
      </c>
      <c r="C261" s="12" t="s">
        <v>517</v>
      </c>
      <c r="D261" s="16" t="s">
        <v>52</v>
      </c>
      <c r="E261" s="12" t="s">
        <v>26</v>
      </c>
      <c r="F261" s="12" t="s">
        <v>518</v>
      </c>
      <c r="G261" s="13">
        <v>1887</v>
      </c>
      <c r="H261" s="13"/>
      <c r="I261" s="13"/>
      <c r="J261" s="13">
        <v>1877</v>
      </c>
      <c r="K261" s="13">
        <f t="shared" si="40"/>
        <v>0</v>
      </c>
      <c r="L261" s="13">
        <f t="shared" si="41"/>
        <v>1887</v>
      </c>
      <c r="M261" s="13" t="str">
        <f t="shared" si="42"/>
        <v/>
      </c>
      <c r="N261" s="13">
        <f t="shared" si="43"/>
        <v>1877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10</v>
      </c>
      <c r="C262" s="12" t="s">
        <v>521</v>
      </c>
      <c r="D262" s="12" t="s">
        <v>49</v>
      </c>
      <c r="E262" s="12" t="s">
        <v>62</v>
      </c>
      <c r="F262" s="12" t="s">
        <v>522</v>
      </c>
      <c r="G262" s="13">
        <v>1847</v>
      </c>
      <c r="H262" s="13"/>
      <c r="I262" s="13"/>
      <c r="J262" s="13">
        <v>1839</v>
      </c>
      <c r="K262" s="13">
        <f t="shared" si="40"/>
        <v>0</v>
      </c>
      <c r="L262" s="13">
        <f t="shared" si="41"/>
        <v>1847</v>
      </c>
      <c r="M262" s="13" t="str">
        <f t="shared" si="42"/>
        <v/>
      </c>
      <c r="N262" s="13">
        <f t="shared" si="43"/>
        <v>1839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523</v>
      </c>
      <c r="D263" s="16" t="s">
        <v>52</v>
      </c>
      <c r="E263" s="12" t="s">
        <v>26</v>
      </c>
      <c r="F263" s="12" t="s">
        <v>524</v>
      </c>
      <c r="G263" s="13">
        <v>1889</v>
      </c>
      <c r="H263" s="13"/>
      <c r="I263" s="13"/>
      <c r="J263" s="13">
        <v>1867</v>
      </c>
      <c r="K263" s="13">
        <f t="shared" si="40"/>
        <v>0</v>
      </c>
      <c r="L263" s="13">
        <f t="shared" si="41"/>
        <v>1889</v>
      </c>
      <c r="M263" s="13" t="str">
        <f t="shared" si="42"/>
        <v/>
      </c>
      <c r="N263" s="13">
        <f t="shared" si="43"/>
        <v>1867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17" customFormat="1" ht="28.5" customHeight="1">
      <c r="A264" s="12" t="str">
        <f t="shared" si="39"/>
        <v/>
      </c>
      <c r="B264" s="12" t="s">
        <v>14</v>
      </c>
      <c r="C264" s="12" t="s">
        <v>620</v>
      </c>
      <c r="D264" s="16" t="s">
        <v>52</v>
      </c>
      <c r="E264" s="12" t="s">
        <v>26</v>
      </c>
      <c r="F264" s="12" t="s">
        <v>621</v>
      </c>
      <c r="G264" s="13">
        <v>1848</v>
      </c>
      <c r="H264" s="13"/>
      <c r="I264" s="13"/>
      <c r="J264" s="13">
        <v>1798</v>
      </c>
      <c r="K264" s="13">
        <f t="shared" si="40"/>
        <v>0</v>
      </c>
      <c r="L264" s="13">
        <f t="shared" si="41"/>
        <v>1848</v>
      </c>
      <c r="M264" s="13" t="str">
        <f t="shared" si="42"/>
        <v/>
      </c>
      <c r="N264" s="13">
        <f t="shared" si="43"/>
        <v>1798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16</v>
      </c>
      <c r="C265" s="12" t="s">
        <v>525</v>
      </c>
      <c r="D265" s="12" t="s">
        <v>59</v>
      </c>
      <c r="E265" s="12" t="s">
        <v>62</v>
      </c>
      <c r="F265" s="12" t="s">
        <v>526</v>
      </c>
      <c r="G265" s="13">
        <v>1890</v>
      </c>
      <c r="H265" s="13"/>
      <c r="I265" s="13"/>
      <c r="J265" s="13">
        <v>1869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1869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537</v>
      </c>
      <c r="D266" s="16" t="s">
        <v>59</v>
      </c>
      <c r="E266" s="12" t="s">
        <v>62</v>
      </c>
      <c r="F266" s="12" t="s">
        <v>538</v>
      </c>
      <c r="G266" s="13">
        <v>1890</v>
      </c>
      <c r="H266" s="13"/>
      <c r="I266" s="13"/>
      <c r="J266" s="13">
        <v>1870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1870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10</v>
      </c>
      <c r="C267" s="12" t="s">
        <v>599</v>
      </c>
      <c r="D267" s="16" t="s">
        <v>52</v>
      </c>
      <c r="E267" s="12" t="s">
        <v>26</v>
      </c>
      <c r="F267" s="12" t="s">
        <v>600</v>
      </c>
      <c r="G267" s="13">
        <v>1848</v>
      </c>
      <c r="H267" s="13"/>
      <c r="I267" s="13"/>
      <c r="J267" s="13">
        <v>1838</v>
      </c>
      <c r="K267" s="13">
        <f t="shared" si="40"/>
        <v>0</v>
      </c>
      <c r="L267" s="13">
        <f t="shared" si="41"/>
        <v>1848</v>
      </c>
      <c r="M267" s="13" t="str">
        <f t="shared" si="42"/>
        <v/>
      </c>
      <c r="N267" s="13">
        <f t="shared" si="43"/>
        <v>1838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17" customFormat="1" ht="28.5" customHeight="1">
      <c r="A268" s="12" t="str">
        <f t="shared" si="39"/>
        <v/>
      </c>
      <c r="B268" s="12" t="s">
        <v>18</v>
      </c>
      <c r="C268" s="12" t="s">
        <v>531</v>
      </c>
      <c r="D268" s="16" t="s">
        <v>59</v>
      </c>
      <c r="E268" s="12" t="s">
        <v>62</v>
      </c>
      <c r="F268" s="12" t="s">
        <v>532</v>
      </c>
      <c r="G268" s="13">
        <v>1890</v>
      </c>
      <c r="H268" s="13"/>
      <c r="I268" s="13"/>
      <c r="J268" s="13">
        <v>1880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1880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18</v>
      </c>
      <c r="C269" s="12" t="s">
        <v>533</v>
      </c>
      <c r="D269" s="16" t="s">
        <v>52</v>
      </c>
      <c r="E269" s="12" t="s">
        <v>62</v>
      </c>
      <c r="F269" s="12" t="s">
        <v>534</v>
      </c>
      <c r="G269" s="13">
        <v>1890</v>
      </c>
      <c r="H269" s="13"/>
      <c r="I269" s="13"/>
      <c r="J269" s="13">
        <v>1880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1880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18</v>
      </c>
      <c r="C270" s="12" t="s">
        <v>535</v>
      </c>
      <c r="D270" s="12" t="s">
        <v>49</v>
      </c>
      <c r="E270" s="12" t="s">
        <v>62</v>
      </c>
      <c r="F270" s="12" t="s">
        <v>536</v>
      </c>
      <c r="G270" s="13">
        <v>1890</v>
      </c>
      <c r="H270" s="13"/>
      <c r="I270" s="13"/>
      <c r="J270" s="13">
        <v>1890</v>
      </c>
      <c r="K270" s="13">
        <f t="shared" si="40"/>
        <v>0</v>
      </c>
      <c r="L270" s="13">
        <f t="shared" si="41"/>
        <v>1890</v>
      </c>
      <c r="M270" s="13" t="str">
        <f t="shared" si="42"/>
        <v/>
      </c>
      <c r="N270" s="13">
        <f t="shared" si="43"/>
        <v>1890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16</v>
      </c>
      <c r="C271" s="12" t="s">
        <v>658</v>
      </c>
      <c r="D271" s="16" t="s">
        <v>52</v>
      </c>
      <c r="E271" s="12" t="s">
        <v>62</v>
      </c>
      <c r="F271" s="12" t="s">
        <v>659</v>
      </c>
      <c r="G271" s="13">
        <v>1890</v>
      </c>
      <c r="H271" s="13"/>
      <c r="I271" s="13"/>
      <c r="J271" s="13">
        <v>1890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1890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16</v>
      </c>
      <c r="C272" s="12" t="s">
        <v>595</v>
      </c>
      <c r="D272" s="16" t="s">
        <v>52</v>
      </c>
      <c r="E272" s="12" t="s">
        <v>26</v>
      </c>
      <c r="F272" s="12" t="s">
        <v>596</v>
      </c>
      <c r="G272" s="13">
        <v>1890</v>
      </c>
      <c r="H272" s="13"/>
      <c r="I272" s="13"/>
      <c r="J272" s="13">
        <v>1900</v>
      </c>
      <c r="K272" s="13">
        <f t="shared" si="53"/>
        <v>0</v>
      </c>
      <c r="L272" s="13">
        <f t="shared" si="54"/>
        <v>1890</v>
      </c>
      <c r="M272" s="13" t="str">
        <f t="shared" si="55"/>
        <v/>
      </c>
      <c r="N272" s="13">
        <f t="shared" si="56"/>
        <v>1900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14</v>
      </c>
      <c r="C273" s="12" t="s">
        <v>622</v>
      </c>
      <c r="D273" s="12" t="s">
        <v>49</v>
      </c>
      <c r="E273" s="12" t="s">
        <v>26</v>
      </c>
      <c r="F273" s="12" t="s">
        <v>623</v>
      </c>
      <c r="G273" s="13">
        <v>1849</v>
      </c>
      <c r="H273" s="13"/>
      <c r="I273" s="13"/>
      <c r="J273" s="13">
        <v>1799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1799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12</v>
      </c>
      <c r="C274" s="12" t="s">
        <v>539</v>
      </c>
      <c r="D274" s="16" t="s">
        <v>52</v>
      </c>
      <c r="E274" s="12" t="s">
        <v>26</v>
      </c>
      <c r="F274" s="12" t="s">
        <v>540</v>
      </c>
      <c r="G274" s="13">
        <v>1849</v>
      </c>
      <c r="H274" s="13"/>
      <c r="I274" s="13"/>
      <c r="J274" s="13">
        <v>1799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1799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10</v>
      </c>
      <c r="C275" s="12" t="s">
        <v>553</v>
      </c>
      <c r="D275" s="16" t="s">
        <v>59</v>
      </c>
      <c r="E275" s="12" t="s">
        <v>26</v>
      </c>
      <c r="F275" s="12" t="s">
        <v>554</v>
      </c>
      <c r="G275" s="13">
        <v>1849</v>
      </c>
      <c r="H275" s="13"/>
      <c r="I275" s="13"/>
      <c r="J275" s="13">
        <v>1809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1809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616</v>
      </c>
      <c r="D276" s="12" t="s">
        <v>49</v>
      </c>
      <c r="E276" s="12" t="s">
        <v>26</v>
      </c>
      <c r="F276" s="12" t="s">
        <v>617</v>
      </c>
      <c r="G276" s="13">
        <v>1849</v>
      </c>
      <c r="H276" s="13"/>
      <c r="I276" s="13"/>
      <c r="J276" s="13">
        <v>1819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1819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6</v>
      </c>
      <c r="C277" s="12" t="s">
        <v>545</v>
      </c>
      <c r="D277" s="16" t="s">
        <v>59</v>
      </c>
      <c r="E277" s="12" t="s">
        <v>26</v>
      </c>
      <c r="F277" s="12" t="s">
        <v>546</v>
      </c>
      <c r="G277" s="13">
        <v>1849</v>
      </c>
      <c r="H277" s="13"/>
      <c r="I277" s="13"/>
      <c r="J277" s="13">
        <v>1834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1834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6</v>
      </c>
      <c r="C278" s="12" t="s">
        <v>547</v>
      </c>
      <c r="D278" s="12" t="s">
        <v>49</v>
      </c>
      <c r="E278" s="12" t="s">
        <v>26</v>
      </c>
      <c r="F278" s="12" t="s">
        <v>548</v>
      </c>
      <c r="G278" s="13">
        <v>1849</v>
      </c>
      <c r="H278" s="13"/>
      <c r="I278" s="13"/>
      <c r="J278" s="13">
        <v>1836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1836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6</v>
      </c>
      <c r="C279" s="12" t="s">
        <v>549</v>
      </c>
      <c r="D279" s="16" t="s">
        <v>52</v>
      </c>
      <c r="E279" s="12" t="s">
        <v>62</v>
      </c>
      <c r="F279" s="12" t="s">
        <v>550</v>
      </c>
      <c r="G279" s="13">
        <v>1849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8" customFormat="1" ht="28.5" customHeight="1">
      <c r="A280" s="12" t="str">
        <f t="shared" si="52"/>
        <v/>
      </c>
      <c r="B280" s="12" t="s">
        <v>12</v>
      </c>
      <c r="C280" s="12" t="s">
        <v>551</v>
      </c>
      <c r="D280" s="16" t="s">
        <v>59</v>
      </c>
      <c r="E280" s="12" t="s">
        <v>26</v>
      </c>
      <c r="F280" s="12" t="s">
        <v>552</v>
      </c>
      <c r="G280" s="13">
        <v>1849</v>
      </c>
      <c r="H280" s="13"/>
      <c r="I280" s="13"/>
      <c r="J280" s="13">
        <v>1839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1839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583</v>
      </c>
      <c r="D281" s="16" t="s">
        <v>71</v>
      </c>
      <c r="E281" s="12" t="s">
        <v>26</v>
      </c>
      <c r="F281" s="12" t="s">
        <v>584</v>
      </c>
      <c r="G281" s="13">
        <v>1849</v>
      </c>
      <c r="H281" s="13"/>
      <c r="I281" s="13"/>
      <c r="J281" s="13">
        <v>1849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1849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10</v>
      </c>
      <c r="C282" s="12" t="s">
        <v>644</v>
      </c>
      <c r="D282" s="12" t="s">
        <v>45</v>
      </c>
      <c r="E282" s="12" t="s">
        <v>26</v>
      </c>
      <c r="F282" s="12" t="s">
        <v>645</v>
      </c>
      <c r="G282" s="13">
        <v>1849</v>
      </c>
      <c r="H282" s="13"/>
      <c r="I282" s="13"/>
      <c r="J282" s="13">
        <v>1849</v>
      </c>
      <c r="K282" s="13">
        <f t="shared" si="53"/>
        <v>0</v>
      </c>
      <c r="L282" s="13">
        <f t="shared" si="54"/>
        <v>1849</v>
      </c>
      <c r="M282" s="13" t="str">
        <f t="shared" si="55"/>
        <v/>
      </c>
      <c r="N282" s="13">
        <f t="shared" si="56"/>
        <v>1849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450</v>
      </c>
      <c r="D283" s="16" t="s">
        <v>52</v>
      </c>
      <c r="E283" s="12" t="s">
        <v>26</v>
      </c>
      <c r="F283" s="12" t="s">
        <v>451</v>
      </c>
      <c r="G283" s="13">
        <v>1892</v>
      </c>
      <c r="H283" s="13"/>
      <c r="I283" s="13"/>
      <c r="J283" s="13">
        <v>1882</v>
      </c>
      <c r="K283" s="13">
        <f t="shared" si="53"/>
        <v>0</v>
      </c>
      <c r="L283" s="13">
        <f t="shared" si="54"/>
        <v>1892</v>
      </c>
      <c r="M283" s="13" t="str">
        <f t="shared" si="55"/>
        <v/>
      </c>
      <c r="N283" s="13">
        <f t="shared" si="56"/>
        <v>1882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10</v>
      </c>
      <c r="C284" s="12" t="s">
        <v>555</v>
      </c>
      <c r="D284" s="12" t="s">
        <v>45</v>
      </c>
      <c r="E284" s="12" t="s">
        <v>62</v>
      </c>
      <c r="F284" s="12" t="s">
        <v>556</v>
      </c>
      <c r="G284" s="13">
        <v>1852</v>
      </c>
      <c r="H284" s="13"/>
      <c r="I284" s="13"/>
      <c r="J284" s="13">
        <v>1839</v>
      </c>
      <c r="K284" s="13">
        <f t="shared" si="53"/>
        <v>0</v>
      </c>
      <c r="L284" s="13">
        <f t="shared" si="54"/>
        <v>1852</v>
      </c>
      <c r="M284" s="13" t="str">
        <f t="shared" si="55"/>
        <v/>
      </c>
      <c r="N284" s="13">
        <f t="shared" si="56"/>
        <v>1839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8" customFormat="1" ht="28.5" customHeight="1">
      <c r="A285" s="12" t="str">
        <f t="shared" si="52"/>
        <v/>
      </c>
      <c r="B285" s="12" t="s">
        <v>16</v>
      </c>
      <c r="C285" s="12" t="s">
        <v>557</v>
      </c>
      <c r="D285" s="16" t="s">
        <v>59</v>
      </c>
      <c r="E285" s="12" t="s">
        <v>62</v>
      </c>
      <c r="F285" s="12" t="s">
        <v>558</v>
      </c>
      <c r="G285" s="13">
        <v>1895</v>
      </c>
      <c r="H285" s="13"/>
      <c r="I285" s="13"/>
      <c r="J285" s="13">
        <v>1850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1850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559</v>
      </c>
      <c r="D286" s="16" t="s">
        <v>59</v>
      </c>
      <c r="E286" s="12" t="s">
        <v>26</v>
      </c>
      <c r="F286" s="12" t="s">
        <v>560</v>
      </c>
      <c r="G286" s="13">
        <v>1895</v>
      </c>
      <c r="H286" s="13"/>
      <c r="I286" s="13"/>
      <c r="J286" s="13">
        <v>1855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1855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18</v>
      </c>
      <c r="C287" s="12" t="s">
        <v>561</v>
      </c>
      <c r="D287" s="16" t="s">
        <v>59</v>
      </c>
      <c r="E287" s="12" t="s">
        <v>62</v>
      </c>
      <c r="F287" s="12" t="s">
        <v>562</v>
      </c>
      <c r="G287" s="13">
        <v>1895</v>
      </c>
      <c r="H287" s="13"/>
      <c r="I287" s="13"/>
      <c r="J287" s="13">
        <v>1875</v>
      </c>
      <c r="K287" s="13">
        <f t="shared" si="53"/>
        <v>0</v>
      </c>
      <c r="L287" s="13">
        <f t="shared" si="54"/>
        <v>1895</v>
      </c>
      <c r="M287" s="13" t="str">
        <f t="shared" si="55"/>
        <v/>
      </c>
      <c r="N287" s="13">
        <f t="shared" si="56"/>
        <v>1875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18</v>
      </c>
      <c r="C288" s="12" t="s">
        <v>563</v>
      </c>
      <c r="D288" s="16" t="s">
        <v>71</v>
      </c>
      <c r="E288" s="12" t="s">
        <v>26</v>
      </c>
      <c r="F288" s="12" t="s">
        <v>564</v>
      </c>
      <c r="G288" s="13">
        <v>1895</v>
      </c>
      <c r="H288" s="13"/>
      <c r="I288" s="13"/>
      <c r="J288" s="13">
        <v>1875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1875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18</v>
      </c>
      <c r="C289" s="12" t="s">
        <v>565</v>
      </c>
      <c r="D289" s="16" t="s">
        <v>71</v>
      </c>
      <c r="E289" s="12" t="s">
        <v>62</v>
      </c>
      <c r="F289" s="12" t="s">
        <v>566</v>
      </c>
      <c r="G289" s="13">
        <v>1895</v>
      </c>
      <c r="H289" s="13"/>
      <c r="I289" s="13"/>
      <c r="J289" s="13">
        <v>1895</v>
      </c>
      <c r="K289" s="13">
        <f t="shared" si="53"/>
        <v>0</v>
      </c>
      <c r="L289" s="13">
        <f t="shared" si="54"/>
        <v>1895</v>
      </c>
      <c r="M289" s="13" t="str">
        <f t="shared" si="55"/>
        <v/>
      </c>
      <c r="N289" s="13">
        <f t="shared" si="56"/>
        <v>1895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569</v>
      </c>
      <c r="D290" s="16" t="s">
        <v>71</v>
      </c>
      <c r="E290" s="12" t="s">
        <v>26</v>
      </c>
      <c r="F290" s="12" t="s">
        <v>570</v>
      </c>
      <c r="G290" s="13">
        <v>1854</v>
      </c>
      <c r="H290" s="13"/>
      <c r="I290" s="13"/>
      <c r="J290" s="13">
        <v>1818</v>
      </c>
      <c r="K290" s="13">
        <f t="shared" si="53"/>
        <v>0</v>
      </c>
      <c r="L290" s="13">
        <f t="shared" si="54"/>
        <v>1854</v>
      </c>
      <c r="M290" s="13" t="str">
        <f t="shared" si="55"/>
        <v/>
      </c>
      <c r="N290" s="13">
        <f t="shared" si="56"/>
        <v>1818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10</v>
      </c>
      <c r="C291" s="12" t="s">
        <v>571</v>
      </c>
      <c r="D291" s="16" t="s">
        <v>59</v>
      </c>
      <c r="E291" s="12" t="s">
        <v>26</v>
      </c>
      <c r="F291" s="12" t="s">
        <v>572</v>
      </c>
      <c r="G291" s="13">
        <v>1854</v>
      </c>
      <c r="H291" s="13"/>
      <c r="I291" s="13"/>
      <c r="J291" s="13">
        <v>1829</v>
      </c>
      <c r="K291" s="13">
        <f t="shared" si="53"/>
        <v>0</v>
      </c>
      <c r="L291" s="13">
        <f t="shared" si="54"/>
        <v>1854</v>
      </c>
      <c r="M291" s="13" t="str">
        <f t="shared" si="55"/>
        <v/>
      </c>
      <c r="N291" s="13">
        <f t="shared" si="56"/>
        <v>1829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8</v>
      </c>
      <c r="C292" s="12" t="s">
        <v>577</v>
      </c>
      <c r="D292" s="12" t="s">
        <v>49</v>
      </c>
      <c r="E292" s="12" t="s">
        <v>26</v>
      </c>
      <c r="F292" s="12" t="s">
        <v>578</v>
      </c>
      <c r="G292" s="13">
        <v>1855</v>
      </c>
      <c r="H292" s="13"/>
      <c r="I292" s="13"/>
      <c r="J292" s="13">
        <v>1825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1825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6</v>
      </c>
      <c r="C293" s="12" t="s">
        <v>579</v>
      </c>
      <c r="D293" s="16" t="s">
        <v>52</v>
      </c>
      <c r="E293" s="12" t="s">
        <v>26</v>
      </c>
      <c r="F293" s="12" t="s">
        <v>580</v>
      </c>
      <c r="G293" s="13">
        <v>1855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8" customFormat="1" ht="28.5" customHeight="1">
      <c r="A294" s="12" t="str">
        <f t="shared" si="52"/>
        <v/>
      </c>
      <c r="B294" s="12" t="s">
        <v>8</v>
      </c>
      <c r="C294" s="12" t="s">
        <v>581</v>
      </c>
      <c r="D294" s="16" t="s">
        <v>71</v>
      </c>
      <c r="E294" s="12" t="s">
        <v>26</v>
      </c>
      <c r="F294" s="12" t="s">
        <v>582</v>
      </c>
      <c r="G294" s="13">
        <v>1855</v>
      </c>
      <c r="H294" s="13"/>
      <c r="I294" s="13"/>
      <c r="J294" s="13">
        <v>1845</v>
      </c>
      <c r="K294" s="13">
        <f t="shared" si="53"/>
        <v>0</v>
      </c>
      <c r="L294" s="13">
        <f t="shared" si="54"/>
        <v>1855</v>
      </c>
      <c r="M294" s="13" t="str">
        <f t="shared" si="55"/>
        <v/>
      </c>
      <c r="N294" s="13">
        <f t="shared" si="56"/>
        <v>1845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585</v>
      </c>
      <c r="D295" s="12" t="s">
        <v>49</v>
      </c>
      <c r="E295" s="12" t="s">
        <v>26</v>
      </c>
      <c r="F295" s="12" t="s">
        <v>586</v>
      </c>
      <c r="G295" s="13">
        <v>1899</v>
      </c>
      <c r="H295" s="13"/>
      <c r="I295" s="13"/>
      <c r="J295" s="13">
        <v>1829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1829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589</v>
      </c>
      <c r="D296" s="16" t="s">
        <v>59</v>
      </c>
      <c r="E296" s="12" t="s">
        <v>26</v>
      </c>
      <c r="F296" s="12" t="s">
        <v>590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587</v>
      </c>
      <c r="D297" s="16" t="s">
        <v>59</v>
      </c>
      <c r="E297" s="12" t="s">
        <v>26</v>
      </c>
      <c r="F297" s="12" t="s">
        <v>588</v>
      </c>
      <c r="G297" s="13">
        <v>1899</v>
      </c>
      <c r="H297" s="13"/>
      <c r="I297" s="13"/>
      <c r="J297" s="13">
        <v>1869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1869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18</v>
      </c>
      <c r="C298" s="12" t="s">
        <v>591</v>
      </c>
      <c r="D298" s="12" t="s">
        <v>49</v>
      </c>
      <c r="E298" s="12" t="s">
        <v>62</v>
      </c>
      <c r="F298" s="12" t="s">
        <v>592</v>
      </c>
      <c r="G298" s="13">
        <v>1899</v>
      </c>
      <c r="H298" s="13"/>
      <c r="I298" s="13"/>
      <c r="J298" s="13">
        <v>1899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1899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10</v>
      </c>
      <c r="C299" s="12" t="s">
        <v>688</v>
      </c>
      <c r="D299" s="16" t="s">
        <v>71</v>
      </c>
      <c r="E299" s="12" t="s">
        <v>26</v>
      </c>
      <c r="F299" s="12" t="s">
        <v>689</v>
      </c>
      <c r="G299" s="13">
        <v>1857</v>
      </c>
      <c r="H299" s="13"/>
      <c r="I299" s="13"/>
      <c r="J299" s="13">
        <v>1827</v>
      </c>
      <c r="K299" s="13">
        <f t="shared" si="53"/>
        <v>0</v>
      </c>
      <c r="L299" s="13">
        <f t="shared" si="54"/>
        <v>1857</v>
      </c>
      <c r="M299" s="13" t="str">
        <f t="shared" si="55"/>
        <v/>
      </c>
      <c r="N299" s="13">
        <f t="shared" si="56"/>
        <v>1827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16</v>
      </c>
      <c r="C300" s="12" t="s">
        <v>593</v>
      </c>
      <c r="D300" s="16" t="s">
        <v>52</v>
      </c>
      <c r="E300" s="12" t="s">
        <v>62</v>
      </c>
      <c r="F300" s="12" t="s">
        <v>594</v>
      </c>
      <c r="G300" s="13">
        <v>1900</v>
      </c>
      <c r="H300" s="13"/>
      <c r="I300" s="13"/>
      <c r="J300" s="13">
        <v>1890</v>
      </c>
      <c r="K300" s="13">
        <f t="shared" si="53"/>
        <v>0</v>
      </c>
      <c r="L300" s="13">
        <f t="shared" si="54"/>
        <v>1900</v>
      </c>
      <c r="M300" s="13" t="str">
        <f t="shared" si="55"/>
        <v/>
      </c>
      <c r="N300" s="13">
        <f t="shared" si="56"/>
        <v>1890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665</v>
      </c>
      <c r="D301" s="16" t="s">
        <v>71</v>
      </c>
      <c r="E301" s="12" t="s">
        <v>26</v>
      </c>
      <c r="F301" s="12" t="s">
        <v>666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610</v>
      </c>
      <c r="D302" s="16" t="s">
        <v>71</v>
      </c>
      <c r="E302" s="12" t="s">
        <v>62</v>
      </c>
      <c r="F302" s="12" t="s">
        <v>611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603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606</v>
      </c>
      <c r="D304" s="12" t="s">
        <v>272</v>
      </c>
      <c r="E304" s="12" t="s">
        <v>62</v>
      </c>
      <c r="F304" s="12" t="s">
        <v>607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608</v>
      </c>
      <c r="D305" s="12" t="s">
        <v>49</v>
      </c>
      <c r="E305" s="12" t="s">
        <v>26</v>
      </c>
      <c r="F305" s="12" t="s">
        <v>609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612</v>
      </c>
      <c r="D306" s="16" t="s">
        <v>59</v>
      </c>
      <c r="E306" s="12" t="s">
        <v>26</v>
      </c>
      <c r="F306" s="12" t="s">
        <v>613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614</v>
      </c>
      <c r="D307" s="12" t="s">
        <v>49</v>
      </c>
      <c r="E307" s="12" t="s">
        <v>26</v>
      </c>
      <c r="F307" s="12" t="s">
        <v>615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650</v>
      </c>
      <c r="D308" s="12" t="s">
        <v>49</v>
      </c>
      <c r="E308" s="12" t="s">
        <v>26</v>
      </c>
      <c r="F308" s="12" t="s">
        <v>651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634</v>
      </c>
      <c r="D309" s="12" t="s">
        <v>49</v>
      </c>
      <c r="E309" s="12" t="s">
        <v>26</v>
      </c>
      <c r="F309" s="12" t="s">
        <v>635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654</v>
      </c>
      <c r="D310" s="16" t="s">
        <v>59</v>
      </c>
      <c r="E310" s="12" t="s">
        <v>26</v>
      </c>
      <c r="F310" s="12" t="s">
        <v>655</v>
      </c>
      <c r="G310" s="13">
        <v>1866</v>
      </c>
      <c r="H310" s="13"/>
      <c r="I310" s="13"/>
      <c r="J310" s="13">
        <v>1846</v>
      </c>
      <c r="K310" s="13">
        <f t="shared" si="53"/>
        <v>0</v>
      </c>
      <c r="L310" s="13">
        <f t="shared" si="54"/>
        <v>1866</v>
      </c>
      <c r="M310" s="13" t="str">
        <f t="shared" si="55"/>
        <v/>
      </c>
      <c r="N310" s="13">
        <f t="shared" si="56"/>
        <v>1846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17" customFormat="1" ht="28.5" customHeight="1">
      <c r="A311" s="12" t="str">
        <f t="shared" si="52"/>
        <v/>
      </c>
      <c r="B311" s="12" t="s">
        <v>10</v>
      </c>
      <c r="C311" s="12" t="s">
        <v>624</v>
      </c>
      <c r="D311" s="16" t="s">
        <v>59</v>
      </c>
      <c r="E311" s="12" t="s">
        <v>62</v>
      </c>
      <c r="F311" s="12" t="s">
        <v>625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12</v>
      </c>
      <c r="C312" s="12" t="s">
        <v>626</v>
      </c>
      <c r="D312" s="16" t="s">
        <v>59</v>
      </c>
      <c r="E312" s="12" t="s">
        <v>26</v>
      </c>
      <c r="F312" s="12" t="s">
        <v>627</v>
      </c>
      <c r="G312" s="13">
        <v>1867</v>
      </c>
      <c r="H312" s="13"/>
      <c r="I312" s="13"/>
      <c r="J312" s="13">
        <v>1837</v>
      </c>
      <c r="K312" s="13">
        <f t="shared" si="53"/>
        <v>0</v>
      </c>
      <c r="L312" s="13">
        <f t="shared" si="54"/>
        <v>1867</v>
      </c>
      <c r="M312" s="13" t="str">
        <f t="shared" si="55"/>
        <v/>
      </c>
      <c r="N312" s="13">
        <f t="shared" si="56"/>
        <v>1837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630</v>
      </c>
      <c r="D314" s="12" t="s">
        <v>49</v>
      </c>
      <c r="E314" s="12" t="s">
        <v>62</v>
      </c>
      <c r="F314" s="12" t="s">
        <v>631</v>
      </c>
      <c r="G314" s="13">
        <v>1867</v>
      </c>
      <c r="H314" s="13"/>
      <c r="I314" s="13"/>
      <c r="J314" s="13">
        <v>1857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1857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163</v>
      </c>
      <c r="D315" s="16" t="s">
        <v>52</v>
      </c>
      <c r="E315" s="12" t="s">
        <v>62</v>
      </c>
      <c r="F315" s="12" t="s">
        <v>745</v>
      </c>
      <c r="G315" s="13">
        <v>1868</v>
      </c>
      <c r="H315" s="13"/>
      <c r="I315" s="13"/>
      <c r="J315" s="13">
        <v>1828</v>
      </c>
      <c r="K315" s="13">
        <f t="shared" si="53"/>
        <v>0</v>
      </c>
      <c r="L315" s="13">
        <f t="shared" si="54"/>
        <v>1868</v>
      </c>
      <c r="M315" s="13" t="str">
        <f t="shared" si="55"/>
        <v/>
      </c>
      <c r="N315" s="13">
        <f t="shared" si="56"/>
        <v>1828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638</v>
      </c>
      <c r="D316" s="16" t="s">
        <v>71</v>
      </c>
      <c r="E316" s="12" t="s">
        <v>26</v>
      </c>
      <c r="F316" s="12" t="s">
        <v>639</v>
      </c>
      <c r="G316" s="13">
        <v>1869</v>
      </c>
      <c r="H316" s="13"/>
      <c r="I316" s="13"/>
      <c r="J316" s="13">
        <v>1829</v>
      </c>
      <c r="K316" s="13">
        <f t="shared" si="53"/>
        <v>0</v>
      </c>
      <c r="L316" s="13">
        <f t="shared" si="54"/>
        <v>1869</v>
      </c>
      <c r="M316" s="13" t="str">
        <f t="shared" si="55"/>
        <v/>
      </c>
      <c r="N316" s="13">
        <f t="shared" si="56"/>
        <v>1829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9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14</v>
      </c>
      <c r="C317" s="12" t="s">
        <v>636</v>
      </c>
      <c r="D317" s="16" t="s">
        <v>59</v>
      </c>
      <c r="E317" s="12" t="s">
        <v>62</v>
      </c>
      <c r="F317" s="12" t="s">
        <v>637</v>
      </c>
      <c r="G317" s="13">
        <v>1869</v>
      </c>
      <c r="H317" s="13"/>
      <c r="I317" s="13"/>
      <c r="J317" s="13">
        <v>1839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1839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8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71</v>
      </c>
      <c r="E318" s="12" t="s">
        <v>62</v>
      </c>
      <c r="F318" s="12" t="s">
        <v>641</v>
      </c>
      <c r="G318" s="13">
        <v>1869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52</v>
      </c>
      <c r="E319" s="12" t="s">
        <v>26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8</v>
      </c>
      <c r="C320" s="12" t="s">
        <v>665</v>
      </c>
      <c r="D320" s="16" t="s">
        <v>52</v>
      </c>
      <c r="E320" s="12" t="s">
        <v>26</v>
      </c>
      <c r="F320" s="12" t="s">
        <v>667</v>
      </c>
      <c r="G320" s="13">
        <v>1869</v>
      </c>
      <c r="H320" s="13"/>
      <c r="I320" s="13"/>
      <c r="J320" s="13">
        <v>1859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1859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6</v>
      </c>
      <c r="C321" s="12" t="s">
        <v>646</v>
      </c>
      <c r="D321" s="16" t="s">
        <v>71</v>
      </c>
      <c r="E321" s="12" t="s">
        <v>62</v>
      </c>
      <c r="F321" s="12" t="s">
        <v>647</v>
      </c>
      <c r="G321" s="13">
        <v>1869</v>
      </c>
      <c r="H321" s="13"/>
      <c r="I321" s="13"/>
      <c r="J321" s="13">
        <v>1869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1869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8" customFormat="1" ht="28.5" customHeight="1">
      <c r="A322" s="12" t="str">
        <f t="shared" si="52"/>
        <v/>
      </c>
      <c r="B322" s="12" t="s">
        <v>12</v>
      </c>
      <c r="C322" s="12" t="s">
        <v>648</v>
      </c>
      <c r="D322" s="18" t="s">
        <v>49</v>
      </c>
      <c r="E322" s="12" t="s">
        <v>62</v>
      </c>
      <c r="F322" s="12" t="s">
        <v>649</v>
      </c>
      <c r="G322" s="13">
        <v>1870</v>
      </c>
      <c r="H322" s="13"/>
      <c r="I322" s="13"/>
      <c r="J322" s="13">
        <v>1860</v>
      </c>
      <c r="K322" s="13">
        <f t="shared" si="53"/>
        <v>0</v>
      </c>
      <c r="L322" s="13">
        <f t="shared" si="54"/>
        <v>1870</v>
      </c>
      <c r="M322" s="13" t="str">
        <f t="shared" si="55"/>
        <v/>
      </c>
      <c r="N322" s="13">
        <f t="shared" si="56"/>
        <v>1860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8</v>
      </c>
      <c r="C323" s="12" t="s">
        <v>652</v>
      </c>
      <c r="D323" s="16" t="s">
        <v>59</v>
      </c>
      <c r="E323" s="12" t="s">
        <v>62</v>
      </c>
      <c r="F323" s="12" t="s">
        <v>653</v>
      </c>
      <c r="G323" s="13">
        <v>1875</v>
      </c>
      <c r="H323" s="13"/>
      <c r="I323" s="13"/>
      <c r="J323" s="13">
        <v>1859</v>
      </c>
      <c r="K323" s="13">
        <f t="shared" si="53"/>
        <v>0</v>
      </c>
      <c r="L323" s="13">
        <f t="shared" si="54"/>
        <v>1875</v>
      </c>
      <c r="M323" s="13" t="str">
        <f t="shared" si="55"/>
        <v/>
      </c>
      <c r="N323" s="13">
        <f t="shared" si="56"/>
        <v>1859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839</v>
      </c>
      <c r="D324" s="16" t="s">
        <v>52</v>
      </c>
      <c r="E324" s="12" t="s">
        <v>62</v>
      </c>
      <c r="F324" s="12" t="s">
        <v>840</v>
      </c>
      <c r="G324" s="13">
        <v>1875</v>
      </c>
      <c r="H324" s="13"/>
      <c r="I324" s="13"/>
      <c r="J324" s="13">
        <v>1875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1875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656</v>
      </c>
      <c r="D325" s="18" t="s">
        <v>49</v>
      </c>
      <c r="E325" s="12" t="s">
        <v>26</v>
      </c>
      <c r="F325" s="12" t="s">
        <v>657</v>
      </c>
      <c r="G325" s="13">
        <v>1877</v>
      </c>
      <c r="H325" s="13"/>
      <c r="I325" s="13"/>
      <c r="J325" s="13">
        <v>1837</v>
      </c>
      <c r="K325" s="13">
        <f t="shared" si="53"/>
        <v>0</v>
      </c>
      <c r="L325" s="13">
        <f t="shared" si="54"/>
        <v>1877</v>
      </c>
      <c r="M325" s="13" t="str">
        <f t="shared" si="55"/>
        <v/>
      </c>
      <c r="N325" s="13">
        <f t="shared" si="56"/>
        <v>1837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10</v>
      </c>
      <c r="C326" s="12" t="s">
        <v>464</v>
      </c>
      <c r="D326" s="16" t="s">
        <v>59</v>
      </c>
      <c r="E326" s="12" t="s">
        <v>26</v>
      </c>
      <c r="F326" s="12" t="s">
        <v>660</v>
      </c>
      <c r="G326" s="13">
        <v>1878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1878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661</v>
      </c>
      <c r="D327" s="16" t="s">
        <v>71</v>
      </c>
      <c r="E327" s="12" t="s">
        <v>62</v>
      </c>
      <c r="F327" s="12" t="s">
        <v>662</v>
      </c>
      <c r="G327" s="13">
        <v>1878</v>
      </c>
      <c r="H327" s="13"/>
      <c r="I327" s="13"/>
      <c r="J327" s="13">
        <v>1868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1868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2" t="s">
        <v>49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14</v>
      </c>
      <c r="C329" s="12" t="s">
        <v>772</v>
      </c>
      <c r="D329" s="12" t="s">
        <v>49</v>
      </c>
      <c r="E329" s="12" t="s">
        <v>26</v>
      </c>
      <c r="F329" s="12" t="s">
        <v>773</v>
      </c>
      <c r="G329" s="13">
        <v>1879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1879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672</v>
      </c>
      <c r="D330" s="16" t="s">
        <v>52</v>
      </c>
      <c r="E330" s="12" t="s">
        <v>62</v>
      </c>
      <c r="F330" s="12" t="s">
        <v>673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14</v>
      </c>
      <c r="C331" s="12" t="s">
        <v>748</v>
      </c>
      <c r="D331" s="12" t="s">
        <v>749</v>
      </c>
      <c r="E331" s="12" t="s">
        <v>26</v>
      </c>
      <c r="F331" s="12" t="s">
        <v>750</v>
      </c>
      <c r="G331" s="13">
        <v>1879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668</v>
      </c>
      <c r="D332" s="16" t="s">
        <v>71</v>
      </c>
      <c r="E332" s="12" t="s">
        <v>26</v>
      </c>
      <c r="F332" s="12" t="s">
        <v>669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62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674</v>
      </c>
      <c r="D334" s="12" t="s">
        <v>49</v>
      </c>
      <c r="E334" s="12" t="s">
        <v>62</v>
      </c>
      <c r="F334" s="12" t="s">
        <v>675</v>
      </c>
      <c r="G334" s="13">
        <v>1880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1880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IF($T335="","",1+COUNTIF($W$15:$W$878,"&lt;"&amp;W335))</f>
        <v/>
      </c>
      <c r="B335" s="12" t="s">
        <v>6</v>
      </c>
      <c r="C335" s="12" t="s">
        <v>676</v>
      </c>
      <c r="D335" s="12" t="s">
        <v>49</v>
      </c>
      <c r="E335" s="12" t="s">
        <v>26</v>
      </c>
      <c r="F335" s="12" t="s">
        <v>677</v>
      </c>
      <c r="G335" s="13">
        <v>1883</v>
      </c>
      <c r="H335" s="13"/>
      <c r="I335" s="13"/>
      <c r="J335" s="13">
        <v>1874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1883</v>
      </c>
      <c r="M335" s="13" t="str">
        <f t="shared" ref="M335:M398" si="68">IF($H335="","",$H335+$K335)</f>
        <v/>
      </c>
      <c r="N335" s="13">
        <f t="shared" ref="N335:N398" si="69">IF($J335="","",$J335+$K335)</f>
        <v>1874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6</v>
      </c>
      <c r="C336" s="12" t="s">
        <v>618</v>
      </c>
      <c r="D336" s="16" t="s">
        <v>52</v>
      </c>
      <c r="E336" s="12" t="s">
        <v>26</v>
      </c>
      <c r="F336" s="12" t="s">
        <v>619</v>
      </c>
      <c r="G336" s="13">
        <v>1884</v>
      </c>
      <c r="H336" s="13"/>
      <c r="I336" s="13"/>
      <c r="J336" s="13">
        <v>1857</v>
      </c>
      <c r="K336" s="13">
        <f t="shared" si="66"/>
        <v>0</v>
      </c>
      <c r="L336" s="13">
        <f t="shared" si="67"/>
        <v>1884</v>
      </c>
      <c r="M336" s="13" t="str">
        <f t="shared" si="68"/>
        <v/>
      </c>
      <c r="N336" s="13">
        <f t="shared" si="69"/>
        <v>1857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678</v>
      </c>
      <c r="D337" s="16" t="s">
        <v>52</v>
      </c>
      <c r="E337" s="12" t="s">
        <v>26</v>
      </c>
      <c r="F337" s="12" t="s">
        <v>679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682</v>
      </c>
      <c r="D338" s="16" t="s">
        <v>59</v>
      </c>
      <c r="E338" s="12" t="s">
        <v>26</v>
      </c>
      <c r="F338" s="12" t="s">
        <v>683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18</v>
      </c>
      <c r="C339" s="12" t="s">
        <v>684</v>
      </c>
      <c r="D339" s="12" t="s">
        <v>49</v>
      </c>
      <c r="E339" s="12" t="s">
        <v>62</v>
      </c>
      <c r="F339" s="12" t="s">
        <v>685</v>
      </c>
      <c r="G339" s="13">
        <v>1929</v>
      </c>
      <c r="H339" s="13"/>
      <c r="I339" s="13"/>
      <c r="J339" s="13">
        <v>1909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1909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686</v>
      </c>
      <c r="D340" s="16" t="s">
        <v>71</v>
      </c>
      <c r="E340" s="12" t="s">
        <v>26</v>
      </c>
      <c r="F340" s="12" t="s">
        <v>687</v>
      </c>
      <c r="G340" s="13">
        <v>1887</v>
      </c>
      <c r="H340" s="13"/>
      <c r="I340" s="13"/>
      <c r="J340" s="13">
        <v>1867</v>
      </c>
      <c r="K340" s="13">
        <f t="shared" si="66"/>
        <v>0</v>
      </c>
      <c r="L340" s="13">
        <f t="shared" si="67"/>
        <v>1887</v>
      </c>
      <c r="M340" s="13" t="str">
        <f t="shared" si="68"/>
        <v/>
      </c>
      <c r="N340" s="13">
        <f t="shared" si="69"/>
        <v>1867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690</v>
      </c>
      <c r="D341" s="16" t="s">
        <v>71</v>
      </c>
      <c r="E341" s="12" t="s">
        <v>26</v>
      </c>
      <c r="F341" s="12" t="s">
        <v>691</v>
      </c>
      <c r="G341" s="13">
        <v>1887</v>
      </c>
      <c r="H341" s="13"/>
      <c r="I341" s="13"/>
      <c r="J341" s="13">
        <v>1873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1873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6</v>
      </c>
      <c r="C342" s="12" t="s">
        <v>692</v>
      </c>
      <c r="D342" s="16" t="s">
        <v>59</v>
      </c>
      <c r="E342" s="12" t="s">
        <v>26</v>
      </c>
      <c r="F342" s="12" t="s">
        <v>693</v>
      </c>
      <c r="G342" s="13">
        <v>1889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1889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694</v>
      </c>
      <c r="D343" s="16" t="s">
        <v>52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1879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1879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696</v>
      </c>
      <c r="D344" s="16" t="s">
        <v>52</v>
      </c>
      <c r="E344" s="12" t="s">
        <v>62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698</v>
      </c>
      <c r="D345" s="16" t="s">
        <v>52</v>
      </c>
      <c r="E345" s="12" t="s">
        <v>26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14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1889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1889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17" customFormat="1" ht="28.5" customHeight="1">
      <c r="A347" s="12" t="str">
        <f t="shared" si="65"/>
        <v/>
      </c>
      <c r="B347" s="12" t="s">
        <v>10</v>
      </c>
      <c r="C347" s="12" t="s">
        <v>702</v>
      </c>
      <c r="D347" s="12" t="s">
        <v>49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6" t="s">
        <v>52</v>
      </c>
      <c r="E348" s="12" t="s">
        <v>26</v>
      </c>
      <c r="F348" s="12" t="s">
        <v>705</v>
      </c>
      <c r="G348" s="13">
        <v>1890</v>
      </c>
      <c r="H348" s="13"/>
      <c r="I348" s="13"/>
      <c r="J348" s="13">
        <v>1870</v>
      </c>
      <c r="K348" s="13">
        <f t="shared" si="66"/>
        <v>0</v>
      </c>
      <c r="L348" s="13">
        <f t="shared" si="67"/>
        <v>1890</v>
      </c>
      <c r="M348" s="13" t="str">
        <f t="shared" si="68"/>
        <v/>
      </c>
      <c r="N348" s="13">
        <f t="shared" si="69"/>
        <v>1870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17" customFormat="1" ht="28.5" customHeight="1">
      <c r="A349" s="12" t="str">
        <f t="shared" si="65"/>
        <v/>
      </c>
      <c r="B349" s="12" t="s">
        <v>8</v>
      </c>
      <c r="C349" s="12" t="s">
        <v>706</v>
      </c>
      <c r="D349" s="16" t="s">
        <v>52</v>
      </c>
      <c r="E349" s="12" t="s">
        <v>62</v>
      </c>
      <c r="F349" s="12" t="s">
        <v>707</v>
      </c>
      <c r="G349" s="13">
        <v>1890</v>
      </c>
      <c r="H349" s="13"/>
      <c r="I349" s="13"/>
      <c r="J349" s="13">
        <v>1890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1890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26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12</v>
      </c>
      <c r="C351" s="12" t="s">
        <v>710</v>
      </c>
      <c r="D351" s="16" t="s">
        <v>59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52</v>
      </c>
      <c r="E352" s="12" t="s">
        <v>26</v>
      </c>
      <c r="F352" s="12" t="s">
        <v>713</v>
      </c>
      <c r="G352" s="13">
        <v>1894</v>
      </c>
      <c r="H352" s="13"/>
      <c r="I352" s="13"/>
      <c r="J352" s="13">
        <v>1864</v>
      </c>
      <c r="K352" s="13">
        <f t="shared" si="66"/>
        <v>0</v>
      </c>
      <c r="L352" s="13">
        <f t="shared" si="67"/>
        <v>1894</v>
      </c>
      <c r="M352" s="13" t="str">
        <f t="shared" si="68"/>
        <v/>
      </c>
      <c r="N352" s="13">
        <f t="shared" si="69"/>
        <v>1864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71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1873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1873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10</v>
      </c>
      <c r="C354" s="12" t="s">
        <v>549</v>
      </c>
      <c r="D354" s="12" t="s">
        <v>49</v>
      </c>
      <c r="E354" s="12" t="s">
        <v>62</v>
      </c>
      <c r="F354" s="12" t="s">
        <v>727</v>
      </c>
      <c r="G354" s="13">
        <v>1895</v>
      </c>
      <c r="H354" s="13"/>
      <c r="I354" s="13"/>
      <c r="J354" s="13">
        <v>1845</v>
      </c>
      <c r="K354" s="13">
        <f t="shared" si="66"/>
        <v>0</v>
      </c>
      <c r="L354" s="13">
        <f t="shared" si="67"/>
        <v>1895</v>
      </c>
      <c r="M354" s="13" t="str">
        <f t="shared" si="68"/>
        <v/>
      </c>
      <c r="N354" s="13">
        <f t="shared" si="69"/>
        <v>1845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8</v>
      </c>
      <c r="C355" s="12" t="s">
        <v>722</v>
      </c>
      <c r="D355" s="12" t="s">
        <v>49</v>
      </c>
      <c r="E355" s="12" t="s">
        <v>62</v>
      </c>
      <c r="F355" s="12" t="s">
        <v>723</v>
      </c>
      <c r="G355" s="13">
        <v>1895</v>
      </c>
      <c r="H355" s="13"/>
      <c r="I355" s="13"/>
      <c r="J355" s="13">
        <v>1859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1859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8</v>
      </c>
      <c r="C356" s="12" t="s">
        <v>718</v>
      </c>
      <c r="D356" s="16" t="s">
        <v>52</v>
      </c>
      <c r="E356" s="12" t="s">
        <v>62</v>
      </c>
      <c r="F356" s="12" t="s">
        <v>719</v>
      </c>
      <c r="G356" s="13">
        <v>1895</v>
      </c>
      <c r="H356" s="13"/>
      <c r="I356" s="13"/>
      <c r="J356" s="13">
        <v>1875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1875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12</v>
      </c>
      <c r="C357" s="12" t="s">
        <v>720</v>
      </c>
      <c r="D357" s="18" t="s">
        <v>49</v>
      </c>
      <c r="E357" s="12" t="s">
        <v>26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724</v>
      </c>
      <c r="D358" s="16" t="s">
        <v>52</v>
      </c>
      <c r="E358" s="12" t="s">
        <v>62</v>
      </c>
      <c r="F358" s="12" t="s">
        <v>725</v>
      </c>
      <c r="G358" s="13">
        <v>1895</v>
      </c>
      <c r="H358" s="13"/>
      <c r="I358" s="13"/>
      <c r="J358" s="13">
        <v>1885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1885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614</v>
      </c>
      <c r="D359" s="16" t="s">
        <v>52</v>
      </c>
      <c r="E359" s="12" t="s">
        <v>62</v>
      </c>
      <c r="F359" s="12" t="s">
        <v>726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6</v>
      </c>
      <c r="C360" s="12" t="s">
        <v>728</v>
      </c>
      <c r="D360" s="12" t="s">
        <v>49</v>
      </c>
      <c r="E360" s="12" t="s">
        <v>26</v>
      </c>
      <c r="F360" s="12" t="s">
        <v>729</v>
      </c>
      <c r="G360" s="13">
        <v>1895</v>
      </c>
      <c r="H360" s="13"/>
      <c r="I360" s="13"/>
      <c r="J360" s="13">
        <v>1895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1895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730</v>
      </c>
      <c r="D361" s="16" t="s">
        <v>71</v>
      </c>
      <c r="E361" s="12" t="s">
        <v>62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561</v>
      </c>
      <c r="D362" s="12" t="s">
        <v>49</v>
      </c>
      <c r="E362" s="12" t="s">
        <v>62</v>
      </c>
      <c r="F362" s="12" t="s">
        <v>732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14</v>
      </c>
      <c r="C363" s="12" t="s">
        <v>735</v>
      </c>
      <c r="D363" s="16" t="s">
        <v>52</v>
      </c>
      <c r="E363" s="12" t="s">
        <v>26</v>
      </c>
      <c r="F363" s="12" t="s">
        <v>736</v>
      </c>
      <c r="G363" s="13">
        <v>1897</v>
      </c>
      <c r="H363" s="13"/>
      <c r="I363" s="13"/>
      <c r="J363" s="13">
        <v>1837</v>
      </c>
      <c r="K363" s="13">
        <f t="shared" si="66"/>
        <v>0</v>
      </c>
      <c r="L363" s="13">
        <f t="shared" si="67"/>
        <v>1897</v>
      </c>
      <c r="M363" s="13" t="str">
        <f t="shared" si="68"/>
        <v/>
      </c>
      <c r="N363" s="13">
        <f t="shared" si="69"/>
        <v>1837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733</v>
      </c>
      <c r="D364" s="12" t="s">
        <v>49</v>
      </c>
      <c r="E364" s="12" t="s">
        <v>26</v>
      </c>
      <c r="F364" s="12" t="s">
        <v>734</v>
      </c>
      <c r="G364" s="13">
        <v>1897</v>
      </c>
      <c r="H364" s="13"/>
      <c r="I364" s="13"/>
      <c r="J364" s="13">
        <v>1847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1847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737</v>
      </c>
      <c r="D365" s="18" t="s">
        <v>49</v>
      </c>
      <c r="E365" s="12" t="s">
        <v>26</v>
      </c>
      <c r="F365" s="12" t="s">
        <v>738</v>
      </c>
      <c r="G365" s="13">
        <v>1897</v>
      </c>
      <c r="H365" s="13"/>
      <c r="I365" s="13"/>
      <c r="J365" s="13">
        <v>1879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1879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739</v>
      </c>
      <c r="D366" s="16" t="s">
        <v>52</v>
      </c>
      <c r="E366" s="12" t="s">
        <v>62</v>
      </c>
      <c r="F366" s="12" t="s">
        <v>740</v>
      </c>
      <c r="G366" s="13">
        <v>1897</v>
      </c>
      <c r="H366" s="13"/>
      <c r="I366" s="13"/>
      <c r="J366" s="13">
        <v>1887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1887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741</v>
      </c>
      <c r="D367" s="18" t="s">
        <v>49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1897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1897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10</v>
      </c>
      <c r="C368" s="12" t="s">
        <v>743</v>
      </c>
      <c r="D368" s="16" t="s">
        <v>52</v>
      </c>
      <c r="E368" s="12" t="s">
        <v>26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746</v>
      </c>
      <c r="D369" s="18" t="s">
        <v>49</v>
      </c>
      <c r="E369" s="12" t="s">
        <v>26</v>
      </c>
      <c r="F369" s="12" t="s">
        <v>747</v>
      </c>
      <c r="G369" s="13">
        <v>1898</v>
      </c>
      <c r="H369" s="13"/>
      <c r="I369" s="13"/>
      <c r="J369" s="13">
        <v>1867</v>
      </c>
      <c r="K369" s="13">
        <f t="shared" si="66"/>
        <v>0</v>
      </c>
      <c r="L369" s="13">
        <f t="shared" si="67"/>
        <v>1898</v>
      </c>
      <c r="M369" s="13" t="str">
        <f t="shared" si="68"/>
        <v/>
      </c>
      <c r="N369" s="13">
        <f t="shared" si="69"/>
        <v>1867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751</v>
      </c>
      <c r="D370" s="16" t="s">
        <v>71</v>
      </c>
      <c r="E370" s="12" t="s">
        <v>62</v>
      </c>
      <c r="F370" s="12" t="s">
        <v>752</v>
      </c>
      <c r="G370" s="13">
        <v>1898</v>
      </c>
      <c r="H370" s="13"/>
      <c r="I370" s="13"/>
      <c r="J370" s="13">
        <v>1878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1878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52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14</v>
      </c>
      <c r="C372" s="12" t="s">
        <v>624</v>
      </c>
      <c r="D372" s="16" t="s">
        <v>52</v>
      </c>
      <c r="E372" s="12" t="s">
        <v>62</v>
      </c>
      <c r="F372" s="12" t="s">
        <v>755</v>
      </c>
      <c r="G372" s="13">
        <v>1898</v>
      </c>
      <c r="H372" s="13"/>
      <c r="I372" s="13"/>
      <c r="J372" s="13">
        <v>1898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1898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756</v>
      </c>
      <c r="D373" s="16" t="s">
        <v>59</v>
      </c>
      <c r="E373" s="12" t="s">
        <v>26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8" customFormat="1" ht="28.5" customHeight="1">
      <c r="A374" s="12" t="str">
        <f t="shared" si="65"/>
        <v/>
      </c>
      <c r="B374" s="12" t="s">
        <v>12</v>
      </c>
      <c r="C374" s="12" t="s">
        <v>845</v>
      </c>
      <c r="D374" s="16" t="s">
        <v>71</v>
      </c>
      <c r="E374" s="12" t="s">
        <v>26</v>
      </c>
      <c r="F374" s="12" t="s">
        <v>846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758</v>
      </c>
      <c r="D375" s="16" t="s">
        <v>52</v>
      </c>
      <c r="E375" s="12" t="s">
        <v>62</v>
      </c>
      <c r="F375" s="12" t="s">
        <v>759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10</v>
      </c>
      <c r="C376" s="12" t="s">
        <v>760</v>
      </c>
      <c r="D376" s="12" t="s">
        <v>49</v>
      </c>
      <c r="E376" s="12" t="s">
        <v>26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6</v>
      </c>
      <c r="C377" s="12" t="s">
        <v>821</v>
      </c>
      <c r="D377" s="16" t="s">
        <v>71</v>
      </c>
      <c r="E377" s="12" t="s">
        <v>62</v>
      </c>
      <c r="F377" s="12" t="s">
        <v>822</v>
      </c>
      <c r="G377" s="13">
        <v>1899</v>
      </c>
      <c r="H377" s="13"/>
      <c r="I377" s="13"/>
      <c r="J377" s="13">
        <v>1873</v>
      </c>
      <c r="K377" s="13">
        <f t="shared" si="66"/>
        <v>0</v>
      </c>
      <c r="L377" s="13">
        <f t="shared" si="67"/>
        <v>1899</v>
      </c>
      <c r="M377" s="13" t="str">
        <f t="shared" si="68"/>
        <v/>
      </c>
      <c r="N377" s="13">
        <f t="shared" si="69"/>
        <v>1873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8</v>
      </c>
      <c r="C378" s="12" t="s">
        <v>762</v>
      </c>
      <c r="D378" s="12" t="s">
        <v>49</v>
      </c>
      <c r="E378" s="12" t="s">
        <v>62</v>
      </c>
      <c r="F378" s="12" t="s">
        <v>763</v>
      </c>
      <c r="G378" s="13">
        <v>1899</v>
      </c>
      <c r="H378" s="13"/>
      <c r="I378" s="13"/>
      <c r="J378" s="13">
        <v>1879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1879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14</v>
      </c>
      <c r="C379" s="12" t="s">
        <v>764</v>
      </c>
      <c r="D379" s="16" t="s">
        <v>52</v>
      </c>
      <c r="E379" s="12" t="s">
        <v>26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71</v>
      </c>
      <c r="E380" s="12" t="s">
        <v>62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462</v>
      </c>
      <c r="D381" s="16" t="s">
        <v>52</v>
      </c>
      <c r="E381" s="12" t="s">
        <v>62</v>
      </c>
      <c r="F381" s="12" t="s">
        <v>876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8</v>
      </c>
      <c r="C382" s="12" t="s">
        <v>770</v>
      </c>
      <c r="D382" s="16" t="s">
        <v>52</v>
      </c>
      <c r="E382" s="12" t="s">
        <v>62</v>
      </c>
      <c r="F382" s="12" t="s">
        <v>771</v>
      </c>
      <c r="G382" s="13">
        <v>1899</v>
      </c>
      <c r="H382" s="13"/>
      <c r="I382" s="13"/>
      <c r="J382" s="13">
        <v>1889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1889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774</v>
      </c>
      <c r="D383" s="12" t="s">
        <v>49</v>
      </c>
      <c r="E383" s="12" t="s">
        <v>62</v>
      </c>
      <c r="F383" s="12" t="s">
        <v>775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10</v>
      </c>
      <c r="C384" s="12" t="s">
        <v>817</v>
      </c>
      <c r="D384" s="16" t="s">
        <v>52</v>
      </c>
      <c r="E384" s="12" t="s">
        <v>26</v>
      </c>
      <c r="F384" s="12" t="s">
        <v>818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17" customFormat="1" ht="28.5" customHeight="1">
      <c r="A385" s="12" t="str">
        <f t="shared" si="65"/>
        <v/>
      </c>
      <c r="B385" s="12" t="s">
        <v>10</v>
      </c>
      <c r="C385" s="12" t="s">
        <v>795</v>
      </c>
      <c r="D385" s="16" t="s">
        <v>59</v>
      </c>
      <c r="E385" s="12" t="s">
        <v>62</v>
      </c>
      <c r="F385" s="12" t="s">
        <v>796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10</v>
      </c>
      <c r="C386" s="12" t="s">
        <v>799</v>
      </c>
      <c r="D386" s="16" t="s">
        <v>71</v>
      </c>
      <c r="E386" s="12" t="s">
        <v>62</v>
      </c>
      <c r="F386" s="12" t="s">
        <v>800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12</v>
      </c>
      <c r="C387" s="12" t="s">
        <v>768</v>
      </c>
      <c r="D387" s="16" t="s">
        <v>59</v>
      </c>
      <c r="E387" s="12" t="s">
        <v>26</v>
      </c>
      <c r="F387" s="12" t="s">
        <v>769</v>
      </c>
      <c r="G387" s="13">
        <v>1899</v>
      </c>
      <c r="H387" s="13"/>
      <c r="I387" s="13"/>
      <c r="J387" s="13">
        <v>1897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1897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10</v>
      </c>
      <c r="C388" s="12" t="s">
        <v>778</v>
      </c>
      <c r="D388" s="16" t="s">
        <v>52</v>
      </c>
      <c r="E388" s="12" t="s">
        <v>62</v>
      </c>
      <c r="F388" s="12" t="s">
        <v>779</v>
      </c>
      <c r="G388" s="13">
        <v>1899</v>
      </c>
      <c r="H388" s="13"/>
      <c r="I388" s="13"/>
      <c r="J388" s="13">
        <v>1898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1898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8</v>
      </c>
      <c r="C389" s="12" t="s">
        <v>780</v>
      </c>
      <c r="D389" s="16" t="s">
        <v>59</v>
      </c>
      <c r="E389" s="12" t="s">
        <v>62</v>
      </c>
      <c r="F389" s="12" t="s">
        <v>781</v>
      </c>
      <c r="G389" s="13">
        <v>1899</v>
      </c>
      <c r="H389" s="13"/>
      <c r="I389" s="13"/>
      <c r="J389" s="13">
        <v>1899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8</v>
      </c>
      <c r="C390" s="12" t="s">
        <v>782</v>
      </c>
      <c r="D390" s="12" t="s">
        <v>49</v>
      </c>
      <c r="E390" s="12" t="s">
        <v>26</v>
      </c>
      <c r="F390" s="12" t="s">
        <v>783</v>
      </c>
      <c r="G390" s="13">
        <v>1899</v>
      </c>
      <c r="H390" s="13"/>
      <c r="I390" s="13"/>
      <c r="J390" s="13">
        <v>1899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710</v>
      </c>
      <c r="D391" s="12" t="s">
        <v>49</v>
      </c>
      <c r="E391" s="12" t="s">
        <v>26</v>
      </c>
      <c r="F391" s="12" t="s">
        <v>784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868</v>
      </c>
      <c r="D392" s="16" t="s">
        <v>52</v>
      </c>
      <c r="E392" s="12" t="s">
        <v>26</v>
      </c>
      <c r="F392" s="12" t="s">
        <v>869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863</v>
      </c>
      <c r="D393" s="12" t="s">
        <v>49</v>
      </c>
      <c r="E393" s="12" t="s">
        <v>62</v>
      </c>
      <c r="F393" s="12" t="s">
        <v>864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14</v>
      </c>
      <c r="C394" s="12" t="s">
        <v>811</v>
      </c>
      <c r="D394" s="12" t="s">
        <v>49</v>
      </c>
      <c r="E394" s="12" t="s">
        <v>62</v>
      </c>
      <c r="F394" s="12" t="s">
        <v>812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12</v>
      </c>
      <c r="C395" s="12" t="s">
        <v>785</v>
      </c>
      <c r="D395" s="18" t="s">
        <v>49</v>
      </c>
      <c r="E395" s="12" t="s">
        <v>26</v>
      </c>
      <c r="F395" s="12" t="s">
        <v>786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787</v>
      </c>
      <c r="D396" s="16" t="s">
        <v>52</v>
      </c>
      <c r="E396" s="12" t="s">
        <v>62</v>
      </c>
      <c r="F396" s="12" t="s">
        <v>788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8" customFormat="1" ht="28.5" customHeight="1">
      <c r="A397" s="12" t="str">
        <f t="shared" si="65"/>
        <v/>
      </c>
      <c r="B397" s="12" t="s">
        <v>12</v>
      </c>
      <c r="C397" s="12" t="s">
        <v>776</v>
      </c>
      <c r="D397" s="18" t="s">
        <v>49</v>
      </c>
      <c r="E397" s="12" t="s">
        <v>62</v>
      </c>
      <c r="F397" s="12" t="s">
        <v>777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8" t="s">
        <v>49</v>
      </c>
      <c r="E398" s="12" t="s">
        <v>26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IF($T399="","",1+COUNTIF($W$15:$W$878,"&lt;"&amp;W399))</f>
        <v/>
      </c>
      <c r="B399" s="12" t="s">
        <v>10</v>
      </c>
      <c r="C399" s="12" t="s">
        <v>791</v>
      </c>
      <c r="D399" s="16" t="s">
        <v>52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59</v>
      </c>
      <c r="E400" s="12" t="s">
        <v>62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797</v>
      </c>
      <c r="D401" s="16" t="s">
        <v>52</v>
      </c>
      <c r="E401" s="12" t="s">
        <v>62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8</v>
      </c>
      <c r="C402" s="12" t="s">
        <v>853</v>
      </c>
      <c r="D402" s="16" t="s">
        <v>52</v>
      </c>
      <c r="E402" s="12" t="s">
        <v>62</v>
      </c>
      <c r="F402" s="12" t="s">
        <v>854</v>
      </c>
      <c r="G402" s="13">
        <v>1899</v>
      </c>
      <c r="H402" s="13"/>
      <c r="I402" s="13"/>
      <c r="J402" s="13">
        <v>1919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1919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49</v>
      </c>
      <c r="E403" s="12" t="s">
        <v>62</v>
      </c>
      <c r="F403" s="12" t="s">
        <v>802</v>
      </c>
      <c r="G403" s="13">
        <v>1899</v>
      </c>
      <c r="H403" s="13"/>
      <c r="I403" s="13"/>
      <c r="J403" s="13">
        <v>1929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1929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803</v>
      </c>
      <c r="D404" s="16" t="s">
        <v>59</v>
      </c>
      <c r="E404" s="12" t="s">
        <v>26</v>
      </c>
      <c r="F404" s="12" t="s">
        <v>804</v>
      </c>
      <c r="G404" s="13">
        <v>1900</v>
      </c>
      <c r="H404" s="13"/>
      <c r="I404" s="13"/>
      <c r="J404" s="13">
        <v>1900</v>
      </c>
      <c r="K404" s="13">
        <f t="shared" si="79"/>
        <v>0</v>
      </c>
      <c r="L404" s="13">
        <f t="shared" si="80"/>
        <v>1900</v>
      </c>
      <c r="M404" s="13" t="str">
        <f t="shared" si="81"/>
        <v/>
      </c>
      <c r="N404" s="13">
        <f t="shared" si="82"/>
        <v>1900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18</v>
      </c>
      <c r="C405" s="12" t="s">
        <v>805</v>
      </c>
      <c r="D405" s="12" t="s">
        <v>49</v>
      </c>
      <c r="E405" s="12" t="s">
        <v>62</v>
      </c>
      <c r="F405" s="12" t="s">
        <v>806</v>
      </c>
      <c r="G405" s="13">
        <v>1949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1949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829</v>
      </c>
      <c r="D406" s="18" t="s">
        <v>49</v>
      </c>
      <c r="E406" s="12" t="s">
        <v>62</v>
      </c>
      <c r="F406" s="12" t="s">
        <v>830</v>
      </c>
      <c r="G406" s="13">
        <v>1907</v>
      </c>
      <c r="H406" s="13"/>
      <c r="I406" s="13"/>
      <c r="J406" s="13">
        <v>1887</v>
      </c>
      <c r="K406" s="13">
        <f t="shared" si="79"/>
        <v>0</v>
      </c>
      <c r="L406" s="13">
        <f t="shared" si="80"/>
        <v>1907</v>
      </c>
      <c r="M406" s="13" t="str">
        <f t="shared" si="81"/>
        <v/>
      </c>
      <c r="N406" s="13">
        <f t="shared" si="82"/>
        <v>1887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807</v>
      </c>
      <c r="D407" s="16" t="s">
        <v>71</v>
      </c>
      <c r="E407" s="12" t="s">
        <v>62</v>
      </c>
      <c r="F407" s="12" t="s">
        <v>808</v>
      </c>
      <c r="G407" s="13">
        <v>1908</v>
      </c>
      <c r="H407" s="13"/>
      <c r="I407" s="13"/>
      <c r="J407" s="13">
        <v>1898</v>
      </c>
      <c r="K407" s="13">
        <f t="shared" si="79"/>
        <v>0</v>
      </c>
      <c r="L407" s="13">
        <f t="shared" si="80"/>
        <v>1908</v>
      </c>
      <c r="M407" s="13" t="str">
        <f t="shared" si="81"/>
        <v/>
      </c>
      <c r="N407" s="13">
        <f t="shared" si="82"/>
        <v>1898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14</v>
      </c>
      <c r="C408" s="12" t="s">
        <v>809</v>
      </c>
      <c r="D408" s="12" t="s">
        <v>49</v>
      </c>
      <c r="E408" s="12" t="s">
        <v>62</v>
      </c>
      <c r="F408" s="12" t="s">
        <v>810</v>
      </c>
      <c r="G408" s="13">
        <v>1909</v>
      </c>
      <c r="H408" s="13"/>
      <c r="I408" s="13"/>
      <c r="J408" s="13">
        <v>1879</v>
      </c>
      <c r="K408" s="13">
        <f t="shared" si="79"/>
        <v>0</v>
      </c>
      <c r="L408" s="13">
        <f t="shared" si="80"/>
        <v>1909</v>
      </c>
      <c r="M408" s="13" t="str">
        <f t="shared" si="81"/>
        <v/>
      </c>
      <c r="N408" s="13">
        <f t="shared" si="82"/>
        <v>1879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823</v>
      </c>
      <c r="D409" s="16" t="s">
        <v>52</v>
      </c>
      <c r="E409" s="12" t="s">
        <v>62</v>
      </c>
      <c r="F409" s="12" t="s">
        <v>824</v>
      </c>
      <c r="G409" s="13">
        <v>1909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746</v>
      </c>
      <c r="D410" s="16" t="s">
        <v>71</v>
      </c>
      <c r="E410" s="12" t="s">
        <v>62</v>
      </c>
      <c r="F410" s="12" t="s">
        <v>850</v>
      </c>
      <c r="G410" s="13">
        <v>1909</v>
      </c>
      <c r="H410" s="13"/>
      <c r="I410" s="13"/>
      <c r="J410" s="13">
        <v>1909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1909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6</v>
      </c>
      <c r="C411" s="12" t="s">
        <v>813</v>
      </c>
      <c r="D411" s="12" t="s">
        <v>49</v>
      </c>
      <c r="E411" s="12" t="s">
        <v>62</v>
      </c>
      <c r="F411" s="12" t="s">
        <v>814</v>
      </c>
      <c r="G411" s="13">
        <v>1915</v>
      </c>
      <c r="H411" s="13"/>
      <c r="I411" s="13"/>
      <c r="J411" s="13">
        <v>1854</v>
      </c>
      <c r="K411" s="13">
        <f t="shared" si="79"/>
        <v>0</v>
      </c>
      <c r="L411" s="13">
        <f t="shared" si="80"/>
        <v>1915</v>
      </c>
      <c r="M411" s="13" t="str">
        <f t="shared" si="81"/>
        <v/>
      </c>
      <c r="N411" s="13">
        <f t="shared" si="82"/>
        <v>1854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8" customFormat="1" ht="28.5" customHeight="1">
      <c r="A412" s="12" t="str">
        <f t="shared" si="78"/>
        <v/>
      </c>
      <c r="B412" s="12" t="s">
        <v>12</v>
      </c>
      <c r="C412" s="12" t="s">
        <v>835</v>
      </c>
      <c r="D412" s="16" t="s">
        <v>71</v>
      </c>
      <c r="E412" s="12" t="s">
        <v>62</v>
      </c>
      <c r="F412" s="12" t="s">
        <v>836</v>
      </c>
      <c r="G412" s="13">
        <v>1915</v>
      </c>
      <c r="H412" s="13"/>
      <c r="I412" s="13"/>
      <c r="J412" s="13">
        <v>1897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1897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815</v>
      </c>
      <c r="D413" s="12" t="s">
        <v>49</v>
      </c>
      <c r="E413" s="12" t="s">
        <v>26</v>
      </c>
      <c r="F413" s="12" t="s">
        <v>816</v>
      </c>
      <c r="G413" s="13">
        <v>1918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1918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819</v>
      </c>
      <c r="D414" s="16" t="s">
        <v>52</v>
      </c>
      <c r="E414" s="12" t="s">
        <v>62</v>
      </c>
      <c r="F414" s="12" t="s">
        <v>820</v>
      </c>
      <c r="G414" s="13">
        <v>1918</v>
      </c>
      <c r="H414" s="13"/>
      <c r="I414" s="13"/>
      <c r="J414" s="13">
        <v>1908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1908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825</v>
      </c>
      <c r="D415" s="16" t="s">
        <v>59</v>
      </c>
      <c r="E415" s="12" t="s">
        <v>26</v>
      </c>
      <c r="F415" s="12" t="s">
        <v>826</v>
      </c>
      <c r="G415" s="13">
        <v>1919</v>
      </c>
      <c r="H415" s="13"/>
      <c r="I415" s="13"/>
      <c r="J415" s="13">
        <v>1919</v>
      </c>
      <c r="K415" s="13">
        <f t="shared" si="79"/>
        <v>0</v>
      </c>
      <c r="L415" s="13">
        <f t="shared" si="80"/>
        <v>1919</v>
      </c>
      <c r="M415" s="13" t="str">
        <f t="shared" si="81"/>
        <v/>
      </c>
      <c r="N415" s="13">
        <f t="shared" si="82"/>
        <v>1919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8</v>
      </c>
      <c r="C416" s="12" t="s">
        <v>827</v>
      </c>
      <c r="D416" s="16" t="s">
        <v>52</v>
      </c>
      <c r="E416" s="12" t="s">
        <v>62</v>
      </c>
      <c r="F416" s="12" t="s">
        <v>828</v>
      </c>
      <c r="G416" s="13">
        <v>1920</v>
      </c>
      <c r="H416" s="13"/>
      <c r="I416" s="13"/>
      <c r="J416" s="13">
        <v>1880</v>
      </c>
      <c r="K416" s="13">
        <f t="shared" si="79"/>
        <v>0</v>
      </c>
      <c r="L416" s="13">
        <f t="shared" si="80"/>
        <v>1920</v>
      </c>
      <c r="M416" s="13" t="str">
        <f t="shared" si="81"/>
        <v/>
      </c>
      <c r="N416" s="13">
        <f t="shared" si="82"/>
        <v>1880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12</v>
      </c>
      <c r="C417" s="12" t="s">
        <v>831</v>
      </c>
      <c r="D417" s="16" t="s">
        <v>52</v>
      </c>
      <c r="E417" s="12" t="s">
        <v>26</v>
      </c>
      <c r="F417" s="12" t="s">
        <v>832</v>
      </c>
      <c r="G417" s="13">
        <v>1929</v>
      </c>
      <c r="H417" s="13"/>
      <c r="I417" s="13"/>
      <c r="J417" s="13">
        <v>1899</v>
      </c>
      <c r="K417" s="13">
        <f t="shared" si="79"/>
        <v>0</v>
      </c>
      <c r="L417" s="13">
        <f t="shared" si="80"/>
        <v>1929</v>
      </c>
      <c r="M417" s="13" t="str">
        <f t="shared" si="81"/>
        <v/>
      </c>
      <c r="N417" s="13">
        <f t="shared" si="82"/>
        <v>1899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17" customFormat="1" ht="28.5" customHeight="1">
      <c r="A418" s="12" t="str">
        <f t="shared" si="78"/>
        <v/>
      </c>
      <c r="B418" s="12" t="s">
        <v>10</v>
      </c>
      <c r="C418" s="12" t="s">
        <v>833</v>
      </c>
      <c r="D418" s="16" t="s">
        <v>52</v>
      </c>
      <c r="E418" s="12" t="s">
        <v>62</v>
      </c>
      <c r="F418" s="12" t="s">
        <v>834</v>
      </c>
      <c r="G418" s="13">
        <v>1929</v>
      </c>
      <c r="H418" s="13"/>
      <c r="I418" s="13"/>
      <c r="J418" s="13">
        <v>1929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1929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6</v>
      </c>
      <c r="C419" s="12" t="s">
        <v>837</v>
      </c>
      <c r="D419" s="12" t="s">
        <v>49</v>
      </c>
      <c r="E419" s="12" t="s">
        <v>26</v>
      </c>
      <c r="F419" s="12" t="s">
        <v>838</v>
      </c>
      <c r="G419" s="13">
        <v>1935</v>
      </c>
      <c r="H419" s="13"/>
      <c r="I419" s="13"/>
      <c r="J419" s="13">
        <v>1925</v>
      </c>
      <c r="K419" s="13">
        <f t="shared" si="79"/>
        <v>0</v>
      </c>
      <c r="L419" s="13">
        <f t="shared" si="80"/>
        <v>1935</v>
      </c>
      <c r="M419" s="13" t="str">
        <f t="shared" si="81"/>
        <v/>
      </c>
      <c r="N419" s="13">
        <f t="shared" si="82"/>
        <v>1925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857</v>
      </c>
      <c r="D420" s="16" t="s">
        <v>52</v>
      </c>
      <c r="E420" s="12" t="s">
        <v>62</v>
      </c>
      <c r="F420" s="12" t="s">
        <v>858</v>
      </c>
      <c r="G420" s="13">
        <v>1938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861</v>
      </c>
      <c r="D421" s="16" t="s">
        <v>59</v>
      </c>
      <c r="E421" s="12" t="s">
        <v>62</v>
      </c>
      <c r="F421" s="12" t="s">
        <v>862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841</v>
      </c>
      <c r="D422" s="16" t="s">
        <v>71</v>
      </c>
      <c r="E422" s="12" t="s">
        <v>62</v>
      </c>
      <c r="F422" s="12" t="s">
        <v>842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1945</v>
      </c>
      <c r="H423" s="13"/>
      <c r="I423" s="13"/>
      <c r="J423" s="13">
        <v>1880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1880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770</v>
      </c>
      <c r="D424" s="12" t="s">
        <v>49</v>
      </c>
      <c r="E424" s="12" t="s">
        <v>26</v>
      </c>
      <c r="F424" s="12" t="s">
        <v>847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848</v>
      </c>
      <c r="D425" s="16" t="s">
        <v>59</v>
      </c>
      <c r="E425" s="12" t="s">
        <v>62</v>
      </c>
      <c r="F425" s="12" t="s">
        <v>849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851</v>
      </c>
      <c r="D426" s="16" t="s">
        <v>52</v>
      </c>
      <c r="E426" s="12" t="s">
        <v>62</v>
      </c>
      <c r="F426" s="12" t="s">
        <v>852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14</v>
      </c>
      <c r="C427" s="12" t="s">
        <v>855</v>
      </c>
      <c r="D427" s="16" t="s">
        <v>71</v>
      </c>
      <c r="E427" s="12" t="s">
        <v>62</v>
      </c>
      <c r="F427" s="12" t="s">
        <v>856</v>
      </c>
      <c r="G427" s="13">
        <v>1950</v>
      </c>
      <c r="H427" s="13"/>
      <c r="I427" s="13"/>
      <c r="J427" s="13">
        <v>1920</v>
      </c>
      <c r="K427" s="13">
        <f t="shared" si="79"/>
        <v>0</v>
      </c>
      <c r="L427" s="13">
        <f t="shared" si="80"/>
        <v>1950</v>
      </c>
      <c r="M427" s="13" t="str">
        <f t="shared" si="81"/>
        <v/>
      </c>
      <c r="N427" s="13">
        <f t="shared" si="82"/>
        <v>1920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12</v>
      </c>
      <c r="C428" s="12" t="s">
        <v>859</v>
      </c>
      <c r="D428" s="16" t="s">
        <v>59</v>
      </c>
      <c r="E428" s="12" t="s">
        <v>62</v>
      </c>
      <c r="F428" s="12" t="s">
        <v>860</v>
      </c>
      <c r="G428" s="13">
        <v>1958</v>
      </c>
      <c r="H428" s="13"/>
      <c r="I428" s="13"/>
      <c r="J428" s="13">
        <v>1948</v>
      </c>
      <c r="K428" s="13">
        <f t="shared" si="79"/>
        <v>0</v>
      </c>
      <c r="L428" s="13">
        <f t="shared" si="80"/>
        <v>1958</v>
      </c>
      <c r="M428" s="13" t="str">
        <f t="shared" si="81"/>
        <v/>
      </c>
      <c r="N428" s="13">
        <f t="shared" si="82"/>
        <v>1948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8" customFormat="1" ht="28.5" customHeight="1">
      <c r="A429" s="12" t="str">
        <f t="shared" si="78"/>
        <v/>
      </c>
      <c r="B429" s="12" t="s">
        <v>10</v>
      </c>
      <c r="C429" s="12" t="s">
        <v>865</v>
      </c>
      <c r="D429" s="12" t="s">
        <v>49</v>
      </c>
      <c r="E429" s="12" t="s">
        <v>62</v>
      </c>
      <c r="F429" s="12" t="s">
        <v>866</v>
      </c>
      <c r="G429" s="13">
        <v>1959</v>
      </c>
      <c r="H429" s="13"/>
      <c r="I429" s="13"/>
      <c r="J429" s="13">
        <v>1959</v>
      </c>
      <c r="K429" s="13">
        <f t="shared" si="79"/>
        <v>0</v>
      </c>
      <c r="L429" s="13">
        <f t="shared" si="80"/>
        <v>1959</v>
      </c>
      <c r="M429" s="13" t="str">
        <f t="shared" si="81"/>
        <v/>
      </c>
      <c r="N429" s="13">
        <f t="shared" si="82"/>
        <v>1959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480</v>
      </c>
      <c r="D430" s="16" t="s">
        <v>71</v>
      </c>
      <c r="E430" s="12" t="s">
        <v>62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10</v>
      </c>
      <c r="C431" s="12" t="s">
        <v>665</v>
      </c>
      <c r="D431" s="12" t="s">
        <v>49</v>
      </c>
      <c r="E431" s="12" t="s">
        <v>26</v>
      </c>
      <c r="F431" s="12" t="s">
        <v>870</v>
      </c>
      <c r="G431" s="13">
        <v>1969</v>
      </c>
      <c r="H431" s="13"/>
      <c r="I431" s="13"/>
      <c r="J431" s="13">
        <v>1859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1859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835</v>
      </c>
      <c r="D432" s="16" t="s">
        <v>59</v>
      </c>
      <c r="E432" s="12" t="s">
        <v>62</v>
      </c>
      <c r="F432" s="12" t="s">
        <v>871</v>
      </c>
      <c r="G432" s="13">
        <v>1969</v>
      </c>
      <c r="H432" s="13"/>
      <c r="I432" s="13"/>
      <c r="J432" s="13">
        <v>1909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1909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874</v>
      </c>
      <c r="D433" s="18" t="s">
        <v>49</v>
      </c>
      <c r="E433" s="12" t="s">
        <v>26</v>
      </c>
      <c r="F433" s="12" t="s">
        <v>875</v>
      </c>
      <c r="G433" s="13">
        <v>1789</v>
      </c>
      <c r="H433" s="13"/>
      <c r="I433" s="13"/>
      <c r="J433" s="13">
        <v>1815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1815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872</v>
      </c>
      <c r="D434" s="18" t="s">
        <v>49</v>
      </c>
      <c r="E434" s="12" t="s">
        <v>26</v>
      </c>
      <c r="F434" s="12" t="s">
        <v>873</v>
      </c>
      <c r="G434" s="13">
        <v>1789</v>
      </c>
      <c r="H434" s="13"/>
      <c r="I434" s="13"/>
      <c r="J434" s="13">
        <v>1819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1819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879</v>
      </c>
      <c r="D435" s="16" t="s">
        <v>71</v>
      </c>
      <c r="E435" s="12" t="s">
        <v>26</v>
      </c>
      <c r="F435" s="12" t="s">
        <v>880</v>
      </c>
      <c r="G435" s="13">
        <v>1794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1794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877</v>
      </c>
      <c r="D436" s="16" t="s">
        <v>59</v>
      </c>
      <c r="E436" s="12" t="s">
        <v>26</v>
      </c>
      <c r="F436" s="12" t="s">
        <v>878</v>
      </c>
      <c r="G436" s="13">
        <v>1795</v>
      </c>
      <c r="H436" s="13"/>
      <c r="I436" s="13"/>
      <c r="J436" s="13">
        <v>1757</v>
      </c>
      <c r="K436" s="13">
        <f t="shared" si="79"/>
        <v>0</v>
      </c>
      <c r="L436" s="13">
        <f t="shared" si="80"/>
        <v>1795</v>
      </c>
      <c r="M436" s="13" t="str">
        <f t="shared" si="81"/>
        <v/>
      </c>
      <c r="N436" s="13">
        <f t="shared" si="82"/>
        <v>1757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891</v>
      </c>
      <c r="D437" s="16" t="s">
        <v>59</v>
      </c>
      <c r="E437" s="12" t="s">
        <v>26</v>
      </c>
      <c r="F437" s="12" t="s">
        <v>892</v>
      </c>
      <c r="G437" s="13">
        <v>1795</v>
      </c>
      <c r="H437" s="13"/>
      <c r="I437" s="13"/>
      <c r="J437" s="13">
        <v>1767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1767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881</v>
      </c>
      <c r="D438" s="18" t="s">
        <v>49</v>
      </c>
      <c r="E438" s="12" t="s">
        <v>62</v>
      </c>
      <c r="F438" s="12" t="s">
        <v>882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885</v>
      </c>
      <c r="D439" s="16" t="s">
        <v>71</v>
      </c>
      <c r="E439" s="12" t="s">
        <v>26</v>
      </c>
      <c r="F439" s="12" t="s">
        <v>886</v>
      </c>
      <c r="G439" s="13">
        <v>1798</v>
      </c>
      <c r="H439" s="13"/>
      <c r="I439" s="13"/>
      <c r="J439" s="13">
        <v>1798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1798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2" t="s">
        <v>49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6" t="s">
        <v>71</v>
      </c>
      <c r="E441" s="12" t="s">
        <v>62</v>
      </c>
      <c r="F441" s="12" t="s">
        <v>890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12</v>
      </c>
      <c r="C442" s="12" t="s">
        <v>909</v>
      </c>
      <c r="D442" s="16" t="s">
        <v>52</v>
      </c>
      <c r="E442" s="12" t="s">
        <v>26</v>
      </c>
      <c r="F442" s="12" t="s">
        <v>910</v>
      </c>
      <c r="G442" s="13">
        <v>1799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1799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895</v>
      </c>
      <c r="D443" s="16" t="s">
        <v>71</v>
      </c>
      <c r="E443" s="12" t="s">
        <v>62</v>
      </c>
      <c r="F443" s="12" t="s">
        <v>896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893</v>
      </c>
      <c r="D444" s="16" t="s">
        <v>52</v>
      </c>
      <c r="E444" s="12" t="s">
        <v>62</v>
      </c>
      <c r="F444" s="12" t="s">
        <v>894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899</v>
      </c>
      <c r="D445" s="16" t="s">
        <v>59</v>
      </c>
      <c r="E445" s="12" t="s">
        <v>26</v>
      </c>
      <c r="F445" s="12" t="s">
        <v>900</v>
      </c>
      <c r="G445" s="13">
        <v>1809</v>
      </c>
      <c r="H445" s="13"/>
      <c r="I445" s="13"/>
      <c r="J445" s="13">
        <v>1779</v>
      </c>
      <c r="K445" s="13">
        <f t="shared" si="79"/>
        <v>0</v>
      </c>
      <c r="L445" s="13">
        <f t="shared" si="80"/>
        <v>1809</v>
      </c>
      <c r="M445" s="13" t="str">
        <f t="shared" si="81"/>
        <v/>
      </c>
      <c r="N445" s="13">
        <f t="shared" si="82"/>
        <v>1779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12</v>
      </c>
      <c r="C446" s="12" t="s">
        <v>911</v>
      </c>
      <c r="D446" s="16" t="s">
        <v>52</v>
      </c>
      <c r="E446" s="12" t="s">
        <v>26</v>
      </c>
      <c r="F446" s="12" t="s">
        <v>912</v>
      </c>
      <c r="G446" s="13">
        <v>1809</v>
      </c>
      <c r="H446" s="13"/>
      <c r="I446" s="13"/>
      <c r="J446" s="13">
        <v>1789</v>
      </c>
      <c r="K446" s="13">
        <f t="shared" si="79"/>
        <v>0</v>
      </c>
      <c r="L446" s="13">
        <f t="shared" si="80"/>
        <v>1809</v>
      </c>
      <c r="M446" s="13" t="str">
        <f t="shared" si="81"/>
        <v/>
      </c>
      <c r="N446" s="13">
        <f t="shared" si="82"/>
        <v>1789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897</v>
      </c>
      <c r="D447" s="16" t="s">
        <v>59</v>
      </c>
      <c r="E447" s="12" t="s">
        <v>26</v>
      </c>
      <c r="F447" s="12" t="s">
        <v>898</v>
      </c>
      <c r="G447" s="13">
        <v>1809</v>
      </c>
      <c r="H447" s="13"/>
      <c r="I447" s="13"/>
      <c r="J447" s="13">
        <v>1798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1798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935</v>
      </c>
      <c r="D448" s="12" t="s">
        <v>49</v>
      </c>
      <c r="E448" s="12" t="s">
        <v>26</v>
      </c>
      <c r="F448" s="12" t="s">
        <v>936</v>
      </c>
      <c r="G448" s="13">
        <v>1810</v>
      </c>
      <c r="H448" s="13"/>
      <c r="I448" s="13"/>
      <c r="J448" s="13">
        <v>1792</v>
      </c>
      <c r="K448" s="13">
        <f t="shared" si="79"/>
        <v>0</v>
      </c>
      <c r="L448" s="13">
        <f t="shared" si="80"/>
        <v>1810</v>
      </c>
      <c r="M448" s="13" t="str">
        <f t="shared" si="81"/>
        <v/>
      </c>
      <c r="N448" s="13">
        <f t="shared" si="82"/>
        <v>1792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901</v>
      </c>
      <c r="D449" s="16" t="s">
        <v>59</v>
      </c>
      <c r="E449" s="12" t="s">
        <v>26</v>
      </c>
      <c r="F449" s="12" t="s">
        <v>902</v>
      </c>
      <c r="G449" s="13">
        <v>1810</v>
      </c>
      <c r="H449" s="13"/>
      <c r="I449" s="13"/>
      <c r="J449" s="13">
        <v>1797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951</v>
      </c>
      <c r="D450" s="12" t="s">
        <v>49</v>
      </c>
      <c r="E450" s="12" t="s">
        <v>26</v>
      </c>
      <c r="F450" s="12" t="s">
        <v>952</v>
      </c>
      <c r="G450" s="13">
        <v>1811</v>
      </c>
      <c r="H450" s="13"/>
      <c r="I450" s="13"/>
      <c r="J450" s="13">
        <v>1794</v>
      </c>
      <c r="K450" s="13">
        <f t="shared" si="79"/>
        <v>0</v>
      </c>
      <c r="L450" s="13">
        <f t="shared" si="80"/>
        <v>1811</v>
      </c>
      <c r="M450" s="13" t="str">
        <f t="shared" si="81"/>
        <v/>
      </c>
      <c r="N450" s="13">
        <f t="shared" si="82"/>
        <v>1794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953</v>
      </c>
      <c r="D451" s="16" t="s">
        <v>71</v>
      </c>
      <c r="E451" s="12" t="s">
        <v>26</v>
      </c>
      <c r="F451" s="12" t="s">
        <v>954</v>
      </c>
      <c r="G451" s="13">
        <v>1812</v>
      </c>
      <c r="H451" s="13"/>
      <c r="I451" s="13"/>
      <c r="J451" s="13">
        <v>1803</v>
      </c>
      <c r="K451" s="13">
        <f t="shared" si="79"/>
        <v>0</v>
      </c>
      <c r="L451" s="13">
        <f t="shared" si="80"/>
        <v>1812</v>
      </c>
      <c r="M451" s="13" t="str">
        <f t="shared" si="81"/>
        <v/>
      </c>
      <c r="N451" s="13">
        <f t="shared" si="82"/>
        <v>1803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903</v>
      </c>
      <c r="D452" s="12" t="s">
        <v>49</v>
      </c>
      <c r="E452" s="12" t="s">
        <v>26</v>
      </c>
      <c r="F452" s="12" t="s">
        <v>904</v>
      </c>
      <c r="G452" s="13">
        <v>1814</v>
      </c>
      <c r="H452" s="13"/>
      <c r="I452" s="13"/>
      <c r="J452" s="13">
        <v>1808</v>
      </c>
      <c r="K452" s="13">
        <f t="shared" si="79"/>
        <v>0</v>
      </c>
      <c r="L452" s="13">
        <f t="shared" si="80"/>
        <v>1814</v>
      </c>
      <c r="M452" s="13" t="str">
        <f t="shared" si="81"/>
        <v/>
      </c>
      <c r="N452" s="13">
        <f t="shared" si="82"/>
        <v>1808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6" t="s">
        <v>71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1819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1819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907</v>
      </c>
      <c r="D454" s="16" t="s">
        <v>71</v>
      </c>
      <c r="E454" s="12" t="s">
        <v>26</v>
      </c>
      <c r="F454" s="12" t="s">
        <v>908</v>
      </c>
      <c r="G454" s="13">
        <v>1815</v>
      </c>
      <c r="H454" s="13"/>
      <c r="I454" s="13"/>
      <c r="J454" s="13">
        <v>1757</v>
      </c>
      <c r="K454" s="13">
        <f t="shared" si="79"/>
        <v>0</v>
      </c>
      <c r="L454" s="13">
        <f t="shared" si="80"/>
        <v>1815</v>
      </c>
      <c r="M454" s="13" t="str">
        <f t="shared" si="81"/>
        <v/>
      </c>
      <c r="N454" s="13">
        <f t="shared" si="82"/>
        <v>1757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919</v>
      </c>
      <c r="D455" s="16" t="s">
        <v>71</v>
      </c>
      <c r="E455" s="12" t="s">
        <v>26</v>
      </c>
      <c r="F455" s="12" t="s">
        <v>920</v>
      </c>
      <c r="G455" s="13">
        <v>1815</v>
      </c>
      <c r="H455" s="13"/>
      <c r="I455" s="13"/>
      <c r="J455" s="13">
        <v>1795</v>
      </c>
      <c r="K455" s="13">
        <f t="shared" si="79"/>
        <v>0</v>
      </c>
      <c r="L455" s="13">
        <f t="shared" si="80"/>
        <v>1815</v>
      </c>
      <c r="M455" s="13" t="str">
        <f t="shared" si="81"/>
        <v/>
      </c>
      <c r="N455" s="13">
        <f t="shared" si="82"/>
        <v>1795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915</v>
      </c>
      <c r="D456" s="12" t="s">
        <v>45</v>
      </c>
      <c r="E456" s="12" t="s">
        <v>26</v>
      </c>
      <c r="F456" s="12" t="s">
        <v>916</v>
      </c>
      <c r="G456" s="13">
        <v>1815</v>
      </c>
      <c r="H456" s="13"/>
      <c r="I456" s="13"/>
      <c r="J456" s="13">
        <v>1799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1799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949</v>
      </c>
      <c r="D457" s="16" t="s">
        <v>59</v>
      </c>
      <c r="E457" s="12" t="s">
        <v>26</v>
      </c>
      <c r="F457" s="12" t="s">
        <v>950</v>
      </c>
      <c r="G457" s="13">
        <v>1815</v>
      </c>
      <c r="H457" s="13"/>
      <c r="I457" s="13"/>
      <c r="J457" s="13">
        <v>1799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975</v>
      </c>
      <c r="D458" s="16" t="s">
        <v>52</v>
      </c>
      <c r="E458" s="12" t="s">
        <v>26</v>
      </c>
      <c r="F458" s="12" t="s">
        <v>976</v>
      </c>
      <c r="G458" s="13">
        <v>1815</v>
      </c>
      <c r="H458" s="13"/>
      <c r="I458" s="13"/>
      <c r="J458" s="13">
        <v>1805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1805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913</v>
      </c>
      <c r="D459" s="16" t="s">
        <v>52</v>
      </c>
      <c r="E459" s="12" t="s">
        <v>26</v>
      </c>
      <c r="F459" s="12" t="s">
        <v>914</v>
      </c>
      <c r="G459" s="13">
        <v>1815</v>
      </c>
      <c r="H459" s="13"/>
      <c r="I459" s="13"/>
      <c r="J459" s="13">
        <v>1805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1805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1077</v>
      </c>
      <c r="D460" s="16" t="s">
        <v>52</v>
      </c>
      <c r="E460" s="12" t="s">
        <v>26</v>
      </c>
      <c r="F460" s="12" t="s">
        <v>1078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12</v>
      </c>
      <c r="C461" s="12" t="s">
        <v>1294</v>
      </c>
      <c r="D461" s="16" t="s">
        <v>52</v>
      </c>
      <c r="E461" s="12" t="s">
        <v>26</v>
      </c>
      <c r="F461" s="12" t="s">
        <v>1295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947</v>
      </c>
      <c r="D462" s="16" t="s">
        <v>52</v>
      </c>
      <c r="E462" s="12" t="s">
        <v>26</v>
      </c>
      <c r="F462" s="12" t="s">
        <v>948</v>
      </c>
      <c r="G462" s="13">
        <v>1815</v>
      </c>
      <c r="H462" s="13"/>
      <c r="I462" s="13"/>
      <c r="J462" s="13">
        <v>1809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IF($T463="","",1+COUNTIF($W$15:$W$878,"&lt;"&amp;W463))</f>
        <v/>
      </c>
      <c r="B463" s="12" t="s">
        <v>12</v>
      </c>
      <c r="C463" s="12" t="s">
        <v>917</v>
      </c>
      <c r="D463" s="16" t="s">
        <v>52</v>
      </c>
      <c r="E463" s="12" t="s">
        <v>26</v>
      </c>
      <c r="F463" s="12" t="s">
        <v>918</v>
      </c>
      <c r="G463" s="13">
        <v>1815</v>
      </c>
      <c r="H463" s="13"/>
      <c r="I463" s="13"/>
      <c r="J463" s="13">
        <v>1813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1813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12</v>
      </c>
      <c r="C464" s="12" t="s">
        <v>993</v>
      </c>
      <c r="D464" s="18" t="s">
        <v>49</v>
      </c>
      <c r="E464" s="12" t="s">
        <v>26</v>
      </c>
      <c r="F464" s="12" t="s">
        <v>994</v>
      </c>
      <c r="G464" s="13">
        <v>1815</v>
      </c>
      <c r="H464" s="13"/>
      <c r="I464" s="13"/>
      <c r="J464" s="13">
        <v>1815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12</v>
      </c>
      <c r="C465" s="12" t="s">
        <v>921</v>
      </c>
      <c r="D465" s="16" t="s">
        <v>59</v>
      </c>
      <c r="E465" s="12" t="s">
        <v>26</v>
      </c>
      <c r="F465" s="12" t="s">
        <v>922</v>
      </c>
      <c r="G465" s="13">
        <v>1816</v>
      </c>
      <c r="H465" s="13"/>
      <c r="I465" s="13"/>
      <c r="J465" s="13">
        <v>1799</v>
      </c>
      <c r="K465" s="13">
        <f t="shared" si="92"/>
        <v>0</v>
      </c>
      <c r="L465" s="13">
        <f t="shared" si="93"/>
        <v>1816</v>
      </c>
      <c r="M465" s="13" t="str">
        <f t="shared" si="94"/>
        <v/>
      </c>
      <c r="N465" s="13">
        <f t="shared" si="95"/>
        <v>1799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923</v>
      </c>
      <c r="D466" s="16" t="s">
        <v>59</v>
      </c>
      <c r="E466" s="12" t="s">
        <v>26</v>
      </c>
      <c r="F466" s="12" t="s">
        <v>924</v>
      </c>
      <c r="G466" s="13">
        <v>1817</v>
      </c>
      <c r="H466" s="13"/>
      <c r="I466" s="13"/>
      <c r="J466" s="13">
        <v>1796</v>
      </c>
      <c r="K466" s="13">
        <f t="shared" si="92"/>
        <v>0</v>
      </c>
      <c r="L466" s="13">
        <f t="shared" si="93"/>
        <v>1817</v>
      </c>
      <c r="M466" s="13" t="str">
        <f t="shared" si="94"/>
        <v/>
      </c>
      <c r="N466" s="13">
        <f t="shared" si="95"/>
        <v>1796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8" customFormat="1" ht="28.5" customHeight="1">
      <c r="A467" s="12" t="str">
        <f t="shared" si="91"/>
        <v/>
      </c>
      <c r="B467" s="12" t="s">
        <v>12</v>
      </c>
      <c r="C467" s="12" t="s">
        <v>925</v>
      </c>
      <c r="D467" s="18" t="s">
        <v>49</v>
      </c>
      <c r="E467" s="12" t="s">
        <v>26</v>
      </c>
      <c r="F467" s="12" t="s">
        <v>926</v>
      </c>
      <c r="G467" s="13">
        <v>1817</v>
      </c>
      <c r="H467" s="13"/>
      <c r="I467" s="13"/>
      <c r="J467" s="13">
        <v>1799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977</v>
      </c>
      <c r="D468" s="16" t="s">
        <v>71</v>
      </c>
      <c r="E468" s="12" t="s">
        <v>26</v>
      </c>
      <c r="F468" s="12" t="s">
        <v>978</v>
      </c>
      <c r="G468" s="13">
        <v>1819</v>
      </c>
      <c r="H468" s="13"/>
      <c r="I468" s="13"/>
      <c r="J468" s="13">
        <v>1796</v>
      </c>
      <c r="K468" s="13">
        <f t="shared" si="92"/>
        <v>0</v>
      </c>
      <c r="L468" s="13">
        <f t="shared" si="93"/>
        <v>1819</v>
      </c>
      <c r="M468" s="13" t="str">
        <f t="shared" si="94"/>
        <v/>
      </c>
      <c r="N468" s="13">
        <f t="shared" si="95"/>
        <v>1796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927</v>
      </c>
      <c r="D469" s="16" t="s">
        <v>59</v>
      </c>
      <c r="E469" s="12" t="s">
        <v>26</v>
      </c>
      <c r="F469" s="12" t="s">
        <v>928</v>
      </c>
      <c r="G469" s="13">
        <v>1819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933</v>
      </c>
      <c r="D470" s="16" t="s">
        <v>59</v>
      </c>
      <c r="E470" s="12" t="s">
        <v>26</v>
      </c>
      <c r="F470" s="12" t="s">
        <v>934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6</v>
      </c>
      <c r="C471" s="12" t="s">
        <v>1020</v>
      </c>
      <c r="D471" s="12" t="s">
        <v>49</v>
      </c>
      <c r="E471" s="12" t="s">
        <v>26</v>
      </c>
      <c r="F471" s="12" t="s">
        <v>1021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929</v>
      </c>
      <c r="D472" s="16" t="s">
        <v>52</v>
      </c>
      <c r="E472" s="12" t="s">
        <v>26</v>
      </c>
      <c r="F472" s="12" t="s">
        <v>930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931</v>
      </c>
      <c r="D473" s="12" t="s">
        <v>49</v>
      </c>
      <c r="E473" s="12" t="s">
        <v>26</v>
      </c>
      <c r="F473" s="12" t="s">
        <v>932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10</v>
      </c>
      <c r="C474" s="12" t="s">
        <v>1029</v>
      </c>
      <c r="D474" s="16" t="s">
        <v>71</v>
      </c>
      <c r="E474" s="12" t="s">
        <v>26</v>
      </c>
      <c r="F474" s="12" t="s">
        <v>1030</v>
      </c>
      <c r="G474" s="13">
        <v>1819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1031</v>
      </c>
      <c r="D475" s="16" t="s">
        <v>71</v>
      </c>
      <c r="E475" s="12" t="s">
        <v>26</v>
      </c>
      <c r="F475" s="12" t="s">
        <v>1032</v>
      </c>
      <c r="G475" s="13">
        <v>1819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14</v>
      </c>
      <c r="C476" s="12" t="s">
        <v>937</v>
      </c>
      <c r="D476" s="16" t="s">
        <v>59</v>
      </c>
      <c r="E476" s="12" t="s">
        <v>62</v>
      </c>
      <c r="F476" s="12" t="s">
        <v>938</v>
      </c>
      <c r="G476" s="13">
        <v>1819</v>
      </c>
      <c r="H476" s="13"/>
      <c r="I476" s="13"/>
      <c r="J476" s="13">
        <v>1813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1813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939</v>
      </c>
      <c r="D477" s="16" t="s">
        <v>52</v>
      </c>
      <c r="E477" s="12" t="s">
        <v>26</v>
      </c>
      <c r="F477" s="12" t="s">
        <v>940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14</v>
      </c>
      <c r="C478" s="12" t="s">
        <v>941</v>
      </c>
      <c r="D478" s="16" t="s">
        <v>52</v>
      </c>
      <c r="E478" s="12" t="s">
        <v>26</v>
      </c>
      <c r="F478" s="12" t="s">
        <v>942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943</v>
      </c>
      <c r="D479" s="16" t="s">
        <v>52</v>
      </c>
      <c r="E479" s="12" t="s">
        <v>26</v>
      </c>
      <c r="F479" s="12" t="s">
        <v>944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883</v>
      </c>
      <c r="D480" s="12" t="s">
        <v>749</v>
      </c>
      <c r="E480" s="12" t="s">
        <v>26</v>
      </c>
      <c r="F480" s="12" t="s">
        <v>884</v>
      </c>
      <c r="G480" s="13">
        <v>1819</v>
      </c>
      <c r="H480" s="13"/>
      <c r="I480" s="13"/>
      <c r="J480" s="13">
        <v>1814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10</v>
      </c>
      <c r="C481" s="12" t="s">
        <v>955</v>
      </c>
      <c r="D481" s="16" t="s">
        <v>52</v>
      </c>
      <c r="E481" s="12" t="s">
        <v>26</v>
      </c>
      <c r="F481" s="12" t="s">
        <v>956</v>
      </c>
      <c r="G481" s="13">
        <v>1822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1822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14</v>
      </c>
      <c r="C482" s="12" t="s">
        <v>1073</v>
      </c>
      <c r="D482" s="12" t="s">
        <v>49</v>
      </c>
      <c r="E482" s="12" t="s">
        <v>62</v>
      </c>
      <c r="F482" s="12" t="s">
        <v>1074</v>
      </c>
      <c r="G482" s="13">
        <v>1823</v>
      </c>
      <c r="H482" s="13"/>
      <c r="I482" s="13"/>
      <c r="J482" s="13">
        <v>1813</v>
      </c>
      <c r="K482" s="13">
        <f t="shared" si="92"/>
        <v>0</v>
      </c>
      <c r="L482" s="13">
        <f t="shared" si="93"/>
        <v>1823</v>
      </c>
      <c r="M482" s="13" t="str">
        <f t="shared" si="94"/>
        <v/>
      </c>
      <c r="N482" s="13">
        <f t="shared" si="95"/>
        <v>1813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957</v>
      </c>
      <c r="D483" s="16" t="s">
        <v>71</v>
      </c>
      <c r="E483" s="12" t="s">
        <v>26</v>
      </c>
      <c r="F483" s="12" t="s">
        <v>958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959</v>
      </c>
      <c r="D484" s="16" t="s">
        <v>71</v>
      </c>
      <c r="E484" s="12" t="s">
        <v>26</v>
      </c>
      <c r="F484" s="12" t="s">
        <v>960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8" customFormat="1" ht="28.5" customHeight="1">
      <c r="A485" s="12" t="str">
        <f t="shared" si="91"/>
        <v/>
      </c>
      <c r="B485" s="12" t="s">
        <v>10</v>
      </c>
      <c r="C485" s="12" t="s">
        <v>967</v>
      </c>
      <c r="D485" s="12" t="s">
        <v>749</v>
      </c>
      <c r="E485" s="12" t="s">
        <v>26</v>
      </c>
      <c r="F485" s="12" t="s">
        <v>968</v>
      </c>
      <c r="G485" s="13">
        <v>1823</v>
      </c>
      <c r="H485" s="13"/>
      <c r="I485" s="13"/>
      <c r="J485" s="13">
        <v>1842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1842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1055</v>
      </c>
      <c r="D486" s="12" t="s">
        <v>49</v>
      </c>
      <c r="E486" s="12" t="s">
        <v>26</v>
      </c>
      <c r="F486" s="12" t="s">
        <v>1056</v>
      </c>
      <c r="G486" s="13">
        <v>1824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1824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961</v>
      </c>
      <c r="D487" s="16" t="s">
        <v>52</v>
      </c>
      <c r="E487" s="12" t="s">
        <v>26</v>
      </c>
      <c r="F487" s="12" t="s">
        <v>962</v>
      </c>
      <c r="G487" s="13">
        <v>1824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6</v>
      </c>
      <c r="C488" s="12" t="s">
        <v>1010</v>
      </c>
      <c r="D488" s="12" t="s">
        <v>49</v>
      </c>
      <c r="E488" s="12" t="s">
        <v>26</v>
      </c>
      <c r="F488" s="12" t="s">
        <v>1011</v>
      </c>
      <c r="G488" s="13">
        <v>1824</v>
      </c>
      <c r="H488" s="13"/>
      <c r="I488" s="13"/>
      <c r="J488" s="13">
        <v>1799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1799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17" customFormat="1" ht="28.5" customHeight="1">
      <c r="A489" s="12" t="str">
        <f t="shared" si="91"/>
        <v/>
      </c>
      <c r="B489" s="12" t="s">
        <v>6</v>
      </c>
      <c r="C489" s="12" t="s">
        <v>1012</v>
      </c>
      <c r="D489" s="16" t="s">
        <v>52</v>
      </c>
      <c r="E489" s="12" t="s">
        <v>26</v>
      </c>
      <c r="F489" s="12" t="s">
        <v>1013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963</v>
      </c>
      <c r="D490" s="12" t="s">
        <v>49</v>
      </c>
      <c r="E490" s="12" t="s">
        <v>26</v>
      </c>
      <c r="F490" s="12" t="s">
        <v>964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18</v>
      </c>
      <c r="C491" s="12" t="s">
        <v>965</v>
      </c>
      <c r="D491" s="16" t="s">
        <v>52</v>
      </c>
      <c r="E491" s="12" t="s">
        <v>26</v>
      </c>
      <c r="F491" s="12" t="s">
        <v>966</v>
      </c>
      <c r="G491" s="13">
        <v>1824</v>
      </c>
      <c r="H491" s="13"/>
      <c r="I491" s="13"/>
      <c r="J491" s="13">
        <v>1837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1837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983</v>
      </c>
      <c r="D492" s="12" t="s">
        <v>49</v>
      </c>
      <c r="E492" s="12" t="s">
        <v>26</v>
      </c>
      <c r="F492" s="12" t="s">
        <v>984</v>
      </c>
      <c r="G492" s="13">
        <v>1825</v>
      </c>
      <c r="H492" s="13"/>
      <c r="I492" s="13"/>
      <c r="J492" s="13">
        <v>1789</v>
      </c>
      <c r="K492" s="13">
        <f t="shared" si="92"/>
        <v>0</v>
      </c>
      <c r="L492" s="13">
        <f t="shared" si="93"/>
        <v>1825</v>
      </c>
      <c r="M492" s="13" t="str">
        <f t="shared" si="94"/>
        <v/>
      </c>
      <c r="N492" s="13">
        <f t="shared" si="95"/>
        <v>1789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18</v>
      </c>
      <c r="C493" s="12" t="s">
        <v>985</v>
      </c>
      <c r="D493" s="16" t="s">
        <v>52</v>
      </c>
      <c r="E493" s="12" t="s">
        <v>26</v>
      </c>
      <c r="F493" s="12" t="s">
        <v>986</v>
      </c>
      <c r="G493" s="13">
        <v>1825</v>
      </c>
      <c r="H493" s="13"/>
      <c r="I493" s="13"/>
      <c r="J493" s="13">
        <v>1795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1795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987</v>
      </c>
      <c r="D494" s="16" t="s">
        <v>52</v>
      </c>
      <c r="E494" s="12" t="s">
        <v>26</v>
      </c>
      <c r="F494" s="12" t="s">
        <v>988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8" customFormat="1" ht="28.5" customHeight="1">
      <c r="A495" s="12" t="str">
        <f t="shared" si="91"/>
        <v/>
      </c>
      <c r="B495" s="12" t="s">
        <v>18</v>
      </c>
      <c r="C495" s="12" t="s">
        <v>991</v>
      </c>
      <c r="D495" s="12" t="s">
        <v>49</v>
      </c>
      <c r="E495" s="12" t="s">
        <v>26</v>
      </c>
      <c r="F495" s="12" t="s">
        <v>992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1067</v>
      </c>
      <c r="D496" s="16" t="s">
        <v>59</v>
      </c>
      <c r="E496" s="12" t="s">
        <v>26</v>
      </c>
      <c r="F496" s="12" t="s">
        <v>1068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969</v>
      </c>
      <c r="D497" s="16" t="s">
        <v>52</v>
      </c>
      <c r="E497" s="12" t="s">
        <v>26</v>
      </c>
      <c r="F497" s="12" t="s">
        <v>970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971</v>
      </c>
      <c r="D498" s="12" t="s">
        <v>749</v>
      </c>
      <c r="E498" s="12" t="s">
        <v>26</v>
      </c>
      <c r="F498" s="12" t="s">
        <v>972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1232</v>
      </c>
      <c r="D499" s="12" t="s">
        <v>49</v>
      </c>
      <c r="E499" s="12" t="s">
        <v>26</v>
      </c>
      <c r="F499" s="12" t="s">
        <v>1233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973</v>
      </c>
      <c r="D500" s="16" t="s">
        <v>52</v>
      </c>
      <c r="E500" s="12" t="s">
        <v>26</v>
      </c>
      <c r="F500" s="12" t="s">
        <v>974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1362</v>
      </c>
      <c r="D501" s="16" t="s">
        <v>71</v>
      </c>
      <c r="E501" s="12" t="s">
        <v>26</v>
      </c>
      <c r="F501" s="12" t="s">
        <v>1363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1234</v>
      </c>
      <c r="D502" s="12" t="s">
        <v>49</v>
      </c>
      <c r="E502" s="12" t="s">
        <v>26</v>
      </c>
      <c r="F502" s="12" t="s">
        <v>1235</v>
      </c>
      <c r="G502" s="13">
        <v>1825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1018</v>
      </c>
      <c r="D503" s="12" t="s">
        <v>304</v>
      </c>
      <c r="E503" s="12" t="s">
        <v>26</v>
      </c>
      <c r="F503" s="12" t="s">
        <v>1019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979</v>
      </c>
      <c r="D504" s="18" t="s">
        <v>49</v>
      </c>
      <c r="E504" s="12" t="s">
        <v>26</v>
      </c>
      <c r="F504" s="12" t="s">
        <v>980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995</v>
      </c>
      <c r="D505" s="16" t="s">
        <v>52</v>
      </c>
      <c r="E505" s="12" t="s">
        <v>26</v>
      </c>
      <c r="F505" s="12" t="s">
        <v>996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981</v>
      </c>
      <c r="D506" s="16" t="s">
        <v>52</v>
      </c>
      <c r="E506" s="12" t="s">
        <v>26</v>
      </c>
      <c r="F506" s="12" t="s">
        <v>982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989</v>
      </c>
      <c r="D507" s="12" t="s">
        <v>45</v>
      </c>
      <c r="E507" s="12" t="s">
        <v>26</v>
      </c>
      <c r="F507" s="12" t="s">
        <v>990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18</v>
      </c>
      <c r="C508" s="12" t="s">
        <v>1138</v>
      </c>
      <c r="D508" s="16" t="s">
        <v>52</v>
      </c>
      <c r="E508" s="12" t="s">
        <v>26</v>
      </c>
      <c r="F508" s="12" t="s">
        <v>1139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1174</v>
      </c>
      <c r="D509" s="16" t="s">
        <v>59</v>
      </c>
      <c r="E509" s="12" t="s">
        <v>26</v>
      </c>
      <c r="F509" s="12" t="s">
        <v>1175</v>
      </c>
      <c r="G509" s="13">
        <v>1825</v>
      </c>
      <c r="H509" s="13"/>
      <c r="I509" s="13"/>
      <c r="J509" s="13">
        <v>1822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1822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1181</v>
      </c>
      <c r="D510" s="12" t="s">
        <v>49</v>
      </c>
      <c r="E510" s="12" t="s">
        <v>26</v>
      </c>
      <c r="F510" s="12" t="s">
        <v>1182</v>
      </c>
      <c r="G510" s="13">
        <v>1825</v>
      </c>
      <c r="H510" s="13"/>
      <c r="I510" s="13"/>
      <c r="J510" s="13">
        <v>1823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1823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12</v>
      </c>
      <c r="C511" s="12" t="s">
        <v>997</v>
      </c>
      <c r="D511" s="16" t="s">
        <v>71</v>
      </c>
      <c r="E511" s="12" t="s">
        <v>26</v>
      </c>
      <c r="F511" s="12" t="s">
        <v>998</v>
      </c>
      <c r="G511" s="13">
        <v>1827</v>
      </c>
      <c r="H511" s="13"/>
      <c r="I511" s="13"/>
      <c r="J511" s="13">
        <v>1815</v>
      </c>
      <c r="K511" s="13">
        <f t="shared" si="92"/>
        <v>0</v>
      </c>
      <c r="L511" s="13">
        <f t="shared" si="93"/>
        <v>1827</v>
      </c>
      <c r="M511" s="13" t="str">
        <f t="shared" si="94"/>
        <v/>
      </c>
      <c r="N511" s="13">
        <f t="shared" si="95"/>
        <v>1815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1001</v>
      </c>
      <c r="D512" s="16" t="s">
        <v>71</v>
      </c>
      <c r="E512" s="12" t="s">
        <v>26</v>
      </c>
      <c r="F512" s="12" t="s">
        <v>1002</v>
      </c>
      <c r="G512" s="13">
        <v>1828</v>
      </c>
      <c r="H512" s="13"/>
      <c r="I512" s="13"/>
      <c r="J512" s="13">
        <v>1828</v>
      </c>
      <c r="K512" s="13">
        <f t="shared" si="92"/>
        <v>0</v>
      </c>
      <c r="L512" s="13">
        <f t="shared" si="93"/>
        <v>1828</v>
      </c>
      <c r="M512" s="13" t="str">
        <f t="shared" si="94"/>
        <v/>
      </c>
      <c r="N512" s="13">
        <f t="shared" si="95"/>
        <v>1828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1003</v>
      </c>
      <c r="D513" s="12" t="s">
        <v>49</v>
      </c>
      <c r="E513" s="12" t="s">
        <v>26</v>
      </c>
      <c r="F513" s="12" t="s">
        <v>1004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348</v>
      </c>
      <c r="D514" s="16" t="s">
        <v>52</v>
      </c>
      <c r="E514" s="12" t="s">
        <v>62</v>
      </c>
      <c r="F514" s="12" t="s">
        <v>1005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999</v>
      </c>
      <c r="D515" s="16" t="s">
        <v>59</v>
      </c>
      <c r="E515" s="12" t="s">
        <v>26</v>
      </c>
      <c r="F515" s="12" t="s">
        <v>1000</v>
      </c>
      <c r="G515" s="13">
        <v>1828</v>
      </c>
      <c r="H515" s="13"/>
      <c r="I515" s="13"/>
      <c r="J515" s="13">
        <v>1833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1833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17" customFormat="1" ht="28.5" customHeight="1">
      <c r="A516" s="12" t="str">
        <f t="shared" si="91"/>
        <v/>
      </c>
      <c r="B516" s="12" t="s">
        <v>10</v>
      </c>
      <c r="C516" s="12" t="s">
        <v>1014</v>
      </c>
      <c r="D516" s="16" t="s">
        <v>52</v>
      </c>
      <c r="E516" s="12" t="s">
        <v>26</v>
      </c>
      <c r="F516" s="12" t="s">
        <v>1015</v>
      </c>
      <c r="G516" s="13">
        <v>1829</v>
      </c>
      <c r="H516" s="13"/>
      <c r="I516" s="13"/>
      <c r="J516" s="13">
        <v>1779</v>
      </c>
      <c r="K516" s="13">
        <f t="shared" si="92"/>
        <v>0</v>
      </c>
      <c r="L516" s="13">
        <f t="shared" si="93"/>
        <v>1829</v>
      </c>
      <c r="M516" s="13" t="str">
        <f t="shared" si="94"/>
        <v/>
      </c>
      <c r="N516" s="13">
        <f t="shared" si="95"/>
        <v>1779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1109</v>
      </c>
      <c r="D517" s="16" t="s">
        <v>59</v>
      </c>
      <c r="E517" s="12" t="s">
        <v>26</v>
      </c>
      <c r="F517" s="12" t="s">
        <v>1110</v>
      </c>
      <c r="G517" s="13">
        <v>1829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8</v>
      </c>
      <c r="C518" s="12" t="s">
        <v>1006</v>
      </c>
      <c r="D518" s="16" t="s">
        <v>59</v>
      </c>
      <c r="E518" s="12" t="s">
        <v>26</v>
      </c>
      <c r="F518" s="12" t="s">
        <v>1007</v>
      </c>
      <c r="G518" s="13">
        <v>1829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14</v>
      </c>
      <c r="C519" s="12" t="s">
        <v>1069</v>
      </c>
      <c r="D519" s="12" t="s">
        <v>49</v>
      </c>
      <c r="E519" s="12" t="s">
        <v>26</v>
      </c>
      <c r="F519" s="12" t="s">
        <v>1070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1071</v>
      </c>
      <c r="D520" s="16" t="s">
        <v>52</v>
      </c>
      <c r="E520" s="12" t="s">
        <v>26</v>
      </c>
      <c r="F520" s="12" t="s">
        <v>1072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1008</v>
      </c>
      <c r="D521" s="16" t="s">
        <v>59</v>
      </c>
      <c r="E521" s="12" t="s">
        <v>26</v>
      </c>
      <c r="F521" s="12" t="s">
        <v>1009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14</v>
      </c>
      <c r="C522" s="12" t="s">
        <v>1016</v>
      </c>
      <c r="D522" s="12" t="s">
        <v>49</v>
      </c>
      <c r="E522" s="12" t="s">
        <v>62</v>
      </c>
      <c r="F522" s="12" t="s">
        <v>1017</v>
      </c>
      <c r="G522" s="13">
        <v>1829</v>
      </c>
      <c r="H522" s="13"/>
      <c r="I522" s="13"/>
      <c r="J522" s="13">
        <v>1813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1813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1208</v>
      </c>
      <c r="D523" s="16" t="s">
        <v>52</v>
      </c>
      <c r="E523" s="12" t="s">
        <v>26</v>
      </c>
      <c r="F523" s="12" t="s">
        <v>1209</v>
      </c>
      <c r="G523" s="13">
        <v>1829</v>
      </c>
      <c r="H523" s="13"/>
      <c r="I523" s="13"/>
      <c r="J523" s="13">
        <v>1819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8</v>
      </c>
      <c r="C524" s="12" t="s">
        <v>1022</v>
      </c>
      <c r="D524" s="16" t="s">
        <v>52</v>
      </c>
      <c r="E524" s="12" t="s">
        <v>26</v>
      </c>
      <c r="F524" s="12" t="s">
        <v>1023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1024</v>
      </c>
      <c r="D525" s="16" t="s">
        <v>71</v>
      </c>
      <c r="E525" s="12" t="s">
        <v>26</v>
      </c>
      <c r="F525" s="12" t="s">
        <v>1025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1026</v>
      </c>
      <c r="D526" s="12" t="s">
        <v>45</v>
      </c>
      <c r="E526" s="12" t="s">
        <v>26</v>
      </c>
      <c r="F526" s="12" t="s">
        <v>1027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14</v>
      </c>
      <c r="C527" s="12" t="s">
        <v>1290</v>
      </c>
      <c r="D527" s="16" t="s">
        <v>52</v>
      </c>
      <c r="E527" s="12" t="s">
        <v>26</v>
      </c>
      <c r="F527" s="12" t="s">
        <v>1291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6</v>
      </c>
      <c r="C528" s="12" t="s">
        <v>945</v>
      </c>
      <c r="D528" s="16" t="s">
        <v>59</v>
      </c>
      <c r="E528" s="12" t="s">
        <v>26</v>
      </c>
      <c r="F528" s="12" t="s">
        <v>946</v>
      </c>
      <c r="G528" s="13">
        <v>1829</v>
      </c>
      <c r="H528" s="13"/>
      <c r="I528" s="13"/>
      <c r="J528" s="13">
        <v>1824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1824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12</v>
      </c>
      <c r="C529" s="12" t="s">
        <v>1033</v>
      </c>
      <c r="D529" s="16" t="s">
        <v>52</v>
      </c>
      <c r="E529" s="12" t="s">
        <v>26</v>
      </c>
      <c r="F529" s="12" t="s">
        <v>1034</v>
      </c>
      <c r="G529" s="13">
        <v>1829</v>
      </c>
      <c r="H529" s="13"/>
      <c r="I529" s="13"/>
      <c r="J529" s="13">
        <v>1829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12</v>
      </c>
      <c r="C530" s="12" t="s">
        <v>1152</v>
      </c>
      <c r="D530" s="18" t="s">
        <v>749</v>
      </c>
      <c r="E530" s="12" t="s">
        <v>26</v>
      </c>
      <c r="F530" s="12" t="s">
        <v>1153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12</v>
      </c>
      <c r="C531" s="12" t="s">
        <v>370</v>
      </c>
      <c r="D531" s="16" t="s">
        <v>71</v>
      </c>
      <c r="E531" s="12" t="s">
        <v>26</v>
      </c>
      <c r="F531" s="12" t="s">
        <v>1035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1036</v>
      </c>
      <c r="D532" s="16" t="s">
        <v>52</v>
      </c>
      <c r="E532" s="12" t="s">
        <v>26</v>
      </c>
      <c r="F532" s="12" t="s">
        <v>1037</v>
      </c>
      <c r="G532" s="13">
        <v>1829</v>
      </c>
      <c r="H532" s="13"/>
      <c r="I532" s="13"/>
      <c r="J532" s="13">
        <v>1837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1837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1038</v>
      </c>
      <c r="D533" s="18" t="s">
        <v>749</v>
      </c>
      <c r="E533" s="12" t="s">
        <v>26</v>
      </c>
      <c r="F533" s="12" t="s">
        <v>1039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17" customFormat="1" ht="28.5" customHeight="1">
      <c r="A534" s="12" t="str">
        <f t="shared" si="104"/>
        <v/>
      </c>
      <c r="B534" s="12" t="s">
        <v>12</v>
      </c>
      <c r="C534" s="12" t="s">
        <v>1040</v>
      </c>
      <c r="D534" s="18" t="s">
        <v>749</v>
      </c>
      <c r="E534" s="12" t="s">
        <v>26</v>
      </c>
      <c r="F534" s="12" t="s">
        <v>1041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1411</v>
      </c>
      <c r="D535" s="16" t="s">
        <v>52</v>
      </c>
      <c r="E535" s="12" t="s">
        <v>26</v>
      </c>
      <c r="F535" s="12" t="s">
        <v>1412</v>
      </c>
      <c r="G535" s="13">
        <v>1830</v>
      </c>
      <c r="H535" s="13"/>
      <c r="I535" s="13"/>
      <c r="J535" s="13">
        <v>1820</v>
      </c>
      <c r="K535" s="13">
        <f t="shared" si="105"/>
        <v>0</v>
      </c>
      <c r="L535" s="13">
        <f t="shared" si="106"/>
        <v>1830</v>
      </c>
      <c r="M535" s="13" t="str">
        <f t="shared" si="107"/>
        <v/>
      </c>
      <c r="N535" s="13">
        <f t="shared" si="108"/>
        <v>1820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12</v>
      </c>
      <c r="C536" s="12" t="s">
        <v>1087</v>
      </c>
      <c r="D536" s="12" t="s">
        <v>304</v>
      </c>
      <c r="E536" s="12" t="s">
        <v>26</v>
      </c>
      <c r="F536" s="12" t="s">
        <v>1088</v>
      </c>
      <c r="G536" s="13">
        <v>1831</v>
      </c>
      <c r="H536" s="13"/>
      <c r="I536" s="13"/>
      <c r="J536" s="13">
        <v>1824</v>
      </c>
      <c r="K536" s="13">
        <f t="shared" si="105"/>
        <v>0</v>
      </c>
      <c r="L536" s="13">
        <f t="shared" si="106"/>
        <v>1831</v>
      </c>
      <c r="M536" s="13" t="str">
        <f t="shared" si="107"/>
        <v/>
      </c>
      <c r="N536" s="13">
        <f t="shared" si="108"/>
        <v>1824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1042</v>
      </c>
      <c r="D537" s="16" t="s">
        <v>52</v>
      </c>
      <c r="E537" s="12" t="s">
        <v>26</v>
      </c>
      <c r="F537" s="12" t="s">
        <v>1043</v>
      </c>
      <c r="G537" s="13">
        <v>1832</v>
      </c>
      <c r="H537" s="13"/>
      <c r="I537" s="13"/>
      <c r="J537" s="13">
        <v>1794</v>
      </c>
      <c r="K537" s="13">
        <f t="shared" si="105"/>
        <v>0</v>
      </c>
      <c r="L537" s="13">
        <f t="shared" si="106"/>
        <v>1832</v>
      </c>
      <c r="M537" s="13" t="str">
        <f t="shared" si="107"/>
        <v/>
      </c>
      <c r="N537" s="13">
        <f t="shared" si="108"/>
        <v>1794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1044</v>
      </c>
      <c r="D538" s="16" t="s">
        <v>71</v>
      </c>
      <c r="E538" s="12" t="s">
        <v>26</v>
      </c>
      <c r="F538" s="12" t="s">
        <v>1045</v>
      </c>
      <c r="G538" s="13">
        <v>1832</v>
      </c>
      <c r="H538" s="13"/>
      <c r="I538" s="13"/>
      <c r="J538" s="13">
        <v>1797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1797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12</v>
      </c>
      <c r="C539" s="12" t="s">
        <v>975</v>
      </c>
      <c r="D539" s="16" t="s">
        <v>52</v>
      </c>
      <c r="E539" s="12" t="s">
        <v>62</v>
      </c>
      <c r="F539" s="12" t="s">
        <v>1046</v>
      </c>
      <c r="G539" s="13">
        <v>1832</v>
      </c>
      <c r="H539" s="13"/>
      <c r="I539" s="13"/>
      <c r="J539" s="13">
        <v>1824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1824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14</v>
      </c>
      <c r="C540" s="12" t="s">
        <v>306</v>
      </c>
      <c r="D540" s="16" t="s">
        <v>52</v>
      </c>
      <c r="E540" s="12" t="s">
        <v>26</v>
      </c>
      <c r="F540" s="12" t="s">
        <v>307</v>
      </c>
      <c r="G540" s="13">
        <v>1833</v>
      </c>
      <c r="H540" s="13"/>
      <c r="I540" s="13"/>
      <c r="J540" s="13">
        <v>1798</v>
      </c>
      <c r="K540" s="13">
        <f t="shared" si="105"/>
        <v>0</v>
      </c>
      <c r="L540" s="13">
        <f t="shared" si="106"/>
        <v>1833</v>
      </c>
      <c r="M540" s="13" t="str">
        <f t="shared" si="107"/>
        <v/>
      </c>
      <c r="N540" s="13">
        <f t="shared" si="108"/>
        <v>1798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1399</v>
      </c>
      <c r="D541" s="16" t="s">
        <v>59</v>
      </c>
      <c r="E541" s="12" t="s">
        <v>26</v>
      </c>
      <c r="F541" s="12" t="s">
        <v>1400</v>
      </c>
      <c r="G541" s="13">
        <v>1833</v>
      </c>
      <c r="H541" s="13"/>
      <c r="I541" s="13"/>
      <c r="J541" s="13">
        <v>1813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1813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17" customFormat="1" ht="28.5" customHeight="1">
      <c r="A542" s="12" t="str">
        <f t="shared" si="104"/>
        <v/>
      </c>
      <c r="B542" s="12" t="s">
        <v>10</v>
      </c>
      <c r="C542" s="12" t="s">
        <v>1253</v>
      </c>
      <c r="D542" s="12" t="s">
        <v>45</v>
      </c>
      <c r="E542" s="12" t="s">
        <v>26</v>
      </c>
      <c r="F542" s="12" t="s">
        <v>1254</v>
      </c>
      <c r="G542" s="13">
        <v>1833</v>
      </c>
      <c r="H542" s="13"/>
      <c r="I542" s="13"/>
      <c r="J542" s="13">
        <v>1817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1047</v>
      </c>
      <c r="D543" s="16" t="s">
        <v>52</v>
      </c>
      <c r="E543" s="12" t="s">
        <v>26</v>
      </c>
      <c r="F543" s="12" t="s">
        <v>1048</v>
      </c>
      <c r="G543" s="13">
        <v>1833</v>
      </c>
      <c r="H543" s="13"/>
      <c r="I543" s="13"/>
      <c r="J543" s="13">
        <v>1819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1190</v>
      </c>
      <c r="D544" s="12" t="s">
        <v>49</v>
      </c>
      <c r="E544" s="12" t="s">
        <v>26</v>
      </c>
      <c r="F544" s="12" t="s">
        <v>1191</v>
      </c>
      <c r="G544" s="13">
        <v>1833</v>
      </c>
      <c r="H544" s="13"/>
      <c r="I544" s="13"/>
      <c r="J544" s="13">
        <v>1823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1823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1049</v>
      </c>
      <c r="D545" s="16" t="s">
        <v>52</v>
      </c>
      <c r="E545" s="12" t="s">
        <v>26</v>
      </c>
      <c r="F545" s="12" t="s">
        <v>1050</v>
      </c>
      <c r="G545" s="13">
        <v>1833</v>
      </c>
      <c r="H545" s="13"/>
      <c r="I545" s="13"/>
      <c r="J545" s="13">
        <v>1833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1833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1267</v>
      </c>
      <c r="D546" s="16" t="s">
        <v>59</v>
      </c>
      <c r="E546" s="12" t="s">
        <v>26</v>
      </c>
      <c r="F546" s="12" t="s">
        <v>1268</v>
      </c>
      <c r="G546" s="13">
        <v>1834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1834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1200</v>
      </c>
      <c r="D547" s="16" t="s">
        <v>52</v>
      </c>
      <c r="E547" s="12" t="s">
        <v>26</v>
      </c>
      <c r="F547" s="12" t="s">
        <v>1201</v>
      </c>
      <c r="G547" s="13">
        <v>1834</v>
      </c>
      <c r="H547" s="13"/>
      <c r="I547" s="13"/>
      <c r="J547" s="13">
        <v>1814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1814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1063</v>
      </c>
      <c r="D548" s="18" t="s">
        <v>49</v>
      </c>
      <c r="E548" s="12" t="s">
        <v>26</v>
      </c>
      <c r="F548" s="12" t="s">
        <v>1064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1051</v>
      </c>
      <c r="D549" s="16" t="s">
        <v>59</v>
      </c>
      <c r="E549" s="12" t="s">
        <v>26</v>
      </c>
      <c r="F549" s="12" t="s">
        <v>1052</v>
      </c>
      <c r="G549" s="13">
        <v>1834</v>
      </c>
      <c r="H549" s="13"/>
      <c r="I549" s="13"/>
      <c r="J549" s="13">
        <v>1819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8" customFormat="1" ht="28.5" customHeight="1">
      <c r="A550" s="12" t="str">
        <f t="shared" si="104"/>
        <v/>
      </c>
      <c r="B550" s="12" t="s">
        <v>10</v>
      </c>
      <c r="C550" s="12" t="s">
        <v>1342</v>
      </c>
      <c r="D550" s="12" t="s">
        <v>49</v>
      </c>
      <c r="E550" s="12" t="s">
        <v>26</v>
      </c>
      <c r="F550" s="12" t="s">
        <v>1343</v>
      </c>
      <c r="G550" s="13">
        <v>1834</v>
      </c>
      <c r="H550" s="13"/>
      <c r="I550" s="13"/>
      <c r="J550" s="13">
        <v>1822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1822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1053</v>
      </c>
      <c r="D551" s="16" t="s">
        <v>59</v>
      </c>
      <c r="E551" s="12" t="s">
        <v>26</v>
      </c>
      <c r="F551" s="12" t="s">
        <v>1054</v>
      </c>
      <c r="G551" s="13">
        <v>1834</v>
      </c>
      <c r="H551" s="13"/>
      <c r="I551" s="13"/>
      <c r="J551" s="13">
        <v>1823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1057</v>
      </c>
      <c r="D552" s="16" t="s">
        <v>52</v>
      </c>
      <c r="E552" s="12" t="s">
        <v>26</v>
      </c>
      <c r="F552" s="12" t="s">
        <v>1058</v>
      </c>
      <c r="G552" s="13">
        <v>1834</v>
      </c>
      <c r="H552" s="13"/>
      <c r="I552" s="13"/>
      <c r="J552" s="13">
        <v>1824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1824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1059</v>
      </c>
      <c r="D553" s="12" t="s">
        <v>45</v>
      </c>
      <c r="E553" s="12" t="s">
        <v>26</v>
      </c>
      <c r="F553" s="12" t="s">
        <v>1060</v>
      </c>
      <c r="G553" s="13">
        <v>1834</v>
      </c>
      <c r="H553" s="13"/>
      <c r="I553" s="13"/>
      <c r="J553" s="13">
        <v>1827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1827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1344</v>
      </c>
      <c r="D554" s="12" t="s">
        <v>749</v>
      </c>
      <c r="E554" s="12" t="s">
        <v>26</v>
      </c>
      <c r="F554" s="12" t="s">
        <v>1345</v>
      </c>
      <c r="G554" s="13">
        <v>1834</v>
      </c>
      <c r="H554" s="13"/>
      <c r="I554" s="13"/>
      <c r="J554" s="13">
        <v>1834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1834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1061</v>
      </c>
      <c r="D555" s="12" t="s">
        <v>304</v>
      </c>
      <c r="E555" s="12" t="s">
        <v>26</v>
      </c>
      <c r="F555" s="12" t="s">
        <v>1062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17" customFormat="1" ht="28.5" customHeight="1">
      <c r="A556" s="12" t="str">
        <f t="shared" si="104"/>
        <v/>
      </c>
      <c r="B556" s="12" t="s">
        <v>6</v>
      </c>
      <c r="C556" s="12" t="s">
        <v>1065</v>
      </c>
      <c r="D556" s="16" t="s">
        <v>59</v>
      </c>
      <c r="E556" s="12" t="s">
        <v>26</v>
      </c>
      <c r="F556" s="12" t="s">
        <v>1066</v>
      </c>
      <c r="G556" s="13">
        <v>1835</v>
      </c>
      <c r="H556" s="13"/>
      <c r="I556" s="13"/>
      <c r="J556" s="13">
        <v>1799</v>
      </c>
      <c r="K556" s="13">
        <f t="shared" si="105"/>
        <v>0</v>
      </c>
      <c r="L556" s="13">
        <f t="shared" si="106"/>
        <v>1835</v>
      </c>
      <c r="M556" s="13" t="str">
        <f t="shared" si="107"/>
        <v/>
      </c>
      <c r="N556" s="13">
        <f t="shared" si="108"/>
        <v>1799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8</v>
      </c>
      <c r="C557" s="12" t="s">
        <v>1075</v>
      </c>
      <c r="D557" s="12" t="s">
        <v>49</v>
      </c>
      <c r="E557" s="12" t="s">
        <v>26</v>
      </c>
      <c r="F557" s="12" t="s">
        <v>1076</v>
      </c>
      <c r="G557" s="13">
        <v>1835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1283</v>
      </c>
      <c r="D558" s="12" t="s">
        <v>49</v>
      </c>
      <c r="E558" s="12" t="s">
        <v>26</v>
      </c>
      <c r="F558" s="12" t="s">
        <v>1284</v>
      </c>
      <c r="G558" s="13">
        <v>1835</v>
      </c>
      <c r="H558" s="13"/>
      <c r="I558" s="13"/>
      <c r="J558" s="13">
        <v>1819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6</v>
      </c>
      <c r="C559" s="12" t="s">
        <v>1079</v>
      </c>
      <c r="D559" s="16" t="s">
        <v>71</v>
      </c>
      <c r="E559" s="12" t="s">
        <v>26</v>
      </c>
      <c r="F559" s="12" t="s">
        <v>1080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1081</v>
      </c>
      <c r="D560" s="16" t="s">
        <v>59</v>
      </c>
      <c r="E560" s="12" t="s">
        <v>26</v>
      </c>
      <c r="F560" s="12" t="s">
        <v>1082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14</v>
      </c>
      <c r="C561" s="12" t="s">
        <v>1083</v>
      </c>
      <c r="D561" s="16" t="s">
        <v>59</v>
      </c>
      <c r="E561" s="12" t="s">
        <v>26</v>
      </c>
      <c r="F561" s="12" t="s">
        <v>1084</v>
      </c>
      <c r="G561" s="13">
        <v>1835</v>
      </c>
      <c r="H561" s="13"/>
      <c r="I561" s="13"/>
      <c r="J561" s="13">
        <v>1820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1820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10</v>
      </c>
      <c r="C562" s="12" t="s">
        <v>1089</v>
      </c>
      <c r="D562" s="12" t="s">
        <v>304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1825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1105</v>
      </c>
      <c r="D563" s="12" t="s">
        <v>304</v>
      </c>
      <c r="E563" s="12" t="s">
        <v>26</v>
      </c>
      <c r="F563" s="12" t="s">
        <v>1106</v>
      </c>
      <c r="G563" s="13">
        <v>1835</v>
      </c>
      <c r="H563" s="13"/>
      <c r="I563" s="13"/>
      <c r="J563" s="13">
        <v>1832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1832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18</v>
      </c>
      <c r="C564" s="12" t="s">
        <v>1107</v>
      </c>
      <c r="D564" s="12" t="s">
        <v>304</v>
      </c>
      <c r="E564" s="12" t="s">
        <v>26</v>
      </c>
      <c r="F564" s="12" t="s">
        <v>1108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1091</v>
      </c>
      <c r="D565" s="12" t="s">
        <v>45</v>
      </c>
      <c r="E565" s="12" t="s">
        <v>26</v>
      </c>
      <c r="F565" s="12" t="s">
        <v>1092</v>
      </c>
      <c r="G565" s="13">
        <v>1835</v>
      </c>
      <c r="H565" s="13"/>
      <c r="I565" s="13"/>
      <c r="J565" s="13">
        <v>1835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14</v>
      </c>
      <c r="C566" s="12" t="s">
        <v>1093</v>
      </c>
      <c r="D566" s="12" t="s">
        <v>49</v>
      </c>
      <c r="E566" s="12" t="s">
        <v>26</v>
      </c>
      <c r="F566" s="12" t="s">
        <v>1094</v>
      </c>
      <c r="G566" s="13">
        <v>1835</v>
      </c>
      <c r="H566" s="13"/>
      <c r="I566" s="13"/>
      <c r="J566" s="13">
        <v>1837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1095</v>
      </c>
      <c r="D567" s="16" t="s">
        <v>59</v>
      </c>
      <c r="E567" s="12" t="s">
        <v>26</v>
      </c>
      <c r="F567" s="12" t="s">
        <v>1096</v>
      </c>
      <c r="G567" s="13">
        <v>1836</v>
      </c>
      <c r="H567" s="13"/>
      <c r="I567" s="13"/>
      <c r="J567" s="13">
        <v>1799</v>
      </c>
      <c r="K567" s="13">
        <f t="shared" si="105"/>
        <v>0</v>
      </c>
      <c r="L567" s="13">
        <f t="shared" si="106"/>
        <v>1836</v>
      </c>
      <c r="M567" s="13" t="str">
        <f t="shared" si="107"/>
        <v/>
      </c>
      <c r="N567" s="13">
        <f t="shared" si="108"/>
        <v>1799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1097</v>
      </c>
      <c r="D568" s="16" t="s">
        <v>52</v>
      </c>
      <c r="E568" s="12" t="s">
        <v>26</v>
      </c>
      <c r="F568" s="12" t="s">
        <v>1098</v>
      </c>
      <c r="G568" s="13">
        <v>1836</v>
      </c>
      <c r="H568" s="13"/>
      <c r="I568" s="13"/>
      <c r="J568" s="13">
        <v>1829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1829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17" customFormat="1" ht="28.5" customHeight="1">
      <c r="A569" s="12" t="str">
        <f t="shared" si="104"/>
        <v/>
      </c>
      <c r="B569" s="12" t="s">
        <v>6</v>
      </c>
      <c r="C569" s="12" t="s">
        <v>1099</v>
      </c>
      <c r="D569" s="12" t="s">
        <v>45</v>
      </c>
      <c r="E569" s="12" t="s">
        <v>26</v>
      </c>
      <c r="F569" s="12" t="s">
        <v>1100</v>
      </c>
      <c r="G569" s="13">
        <v>1837</v>
      </c>
      <c r="H569" s="13"/>
      <c r="I569" s="13"/>
      <c r="J569" s="13">
        <v>1822</v>
      </c>
      <c r="K569" s="13">
        <f t="shared" si="105"/>
        <v>0</v>
      </c>
      <c r="L569" s="13">
        <f t="shared" si="106"/>
        <v>1837</v>
      </c>
      <c r="M569" s="13" t="str">
        <f t="shared" si="107"/>
        <v/>
      </c>
      <c r="N569" s="13">
        <f t="shared" si="108"/>
        <v>1822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12</v>
      </c>
      <c r="C570" s="12" t="s">
        <v>1202</v>
      </c>
      <c r="D570" s="12" t="s">
        <v>49</v>
      </c>
      <c r="E570" s="12" t="s">
        <v>26</v>
      </c>
      <c r="F570" s="12" t="s">
        <v>1203</v>
      </c>
      <c r="G570" s="13">
        <v>1837</v>
      </c>
      <c r="H570" s="13"/>
      <c r="I570" s="13"/>
      <c r="J570" s="13">
        <v>1824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1824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1101</v>
      </c>
      <c r="D571" s="16" t="s">
        <v>52</v>
      </c>
      <c r="E571" s="12" t="s">
        <v>26</v>
      </c>
      <c r="F571" s="12" t="s">
        <v>1102</v>
      </c>
      <c r="G571" s="13">
        <v>1838</v>
      </c>
      <c r="H571" s="13"/>
      <c r="I571" s="13"/>
      <c r="J571" s="13">
        <v>1798</v>
      </c>
      <c r="K571" s="13">
        <f t="shared" si="105"/>
        <v>0</v>
      </c>
      <c r="L571" s="13">
        <f t="shared" si="106"/>
        <v>1838</v>
      </c>
      <c r="M571" s="13" t="str">
        <f t="shared" si="107"/>
        <v/>
      </c>
      <c r="N571" s="13">
        <f t="shared" si="108"/>
        <v>1798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14</v>
      </c>
      <c r="C572" s="12" t="s">
        <v>1103</v>
      </c>
      <c r="D572" s="16" t="s">
        <v>59</v>
      </c>
      <c r="E572" s="12" t="s">
        <v>26</v>
      </c>
      <c r="F572" s="12" t="s">
        <v>1104</v>
      </c>
      <c r="G572" s="13">
        <v>1838</v>
      </c>
      <c r="H572" s="13"/>
      <c r="I572" s="13"/>
      <c r="J572" s="13">
        <v>1813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1813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12</v>
      </c>
      <c r="C573" s="12" t="s">
        <v>1292</v>
      </c>
      <c r="D573" s="16" t="s">
        <v>71</v>
      </c>
      <c r="E573" s="12" t="s">
        <v>26</v>
      </c>
      <c r="F573" s="12" t="s">
        <v>1293</v>
      </c>
      <c r="G573" s="13">
        <v>1838</v>
      </c>
      <c r="H573" s="13"/>
      <c r="I573" s="13"/>
      <c r="J573" s="13">
        <v>1828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1828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1111</v>
      </c>
      <c r="D574" s="16" t="s">
        <v>59</v>
      </c>
      <c r="E574" s="12" t="s">
        <v>26</v>
      </c>
      <c r="F574" s="12" t="s">
        <v>1112</v>
      </c>
      <c r="G574" s="13">
        <v>1839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1839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610</v>
      </c>
      <c r="D575" s="12" t="s">
        <v>45</v>
      </c>
      <c r="E575" s="12" t="s">
        <v>26</v>
      </c>
      <c r="F575" s="12" t="s">
        <v>1028</v>
      </c>
      <c r="G575" s="13">
        <v>1839</v>
      </c>
      <c r="H575" s="13"/>
      <c r="I575" s="13"/>
      <c r="J575" s="13">
        <v>1805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1805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6</v>
      </c>
      <c r="C576" s="12" t="s">
        <v>1113</v>
      </c>
      <c r="D576" s="16" t="s">
        <v>52</v>
      </c>
      <c r="E576" s="12" t="s">
        <v>26</v>
      </c>
      <c r="F576" s="12" t="s">
        <v>1114</v>
      </c>
      <c r="G576" s="13">
        <v>1839</v>
      </c>
      <c r="H576" s="13"/>
      <c r="I576" s="13"/>
      <c r="J576" s="13">
        <v>1808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1115</v>
      </c>
      <c r="D577" s="12" t="s">
        <v>45</v>
      </c>
      <c r="E577" s="12" t="s">
        <v>26</v>
      </c>
      <c r="F577" s="12" t="s">
        <v>1116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14</v>
      </c>
      <c r="C578" s="12" t="s">
        <v>1128</v>
      </c>
      <c r="D578" s="12" t="s">
        <v>49</v>
      </c>
      <c r="E578" s="12" t="s">
        <v>26</v>
      </c>
      <c r="F578" s="12" t="s">
        <v>1129</v>
      </c>
      <c r="G578" s="13">
        <v>1839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8" customFormat="1" ht="28.5" customHeight="1">
      <c r="A579" s="12" t="str">
        <f t="shared" si="104"/>
        <v/>
      </c>
      <c r="B579" s="12" t="s">
        <v>10</v>
      </c>
      <c r="C579" s="12" t="s">
        <v>1296</v>
      </c>
      <c r="D579" s="12" t="s">
        <v>45</v>
      </c>
      <c r="E579" s="12" t="s">
        <v>26</v>
      </c>
      <c r="F579" s="12" t="s">
        <v>1297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1119</v>
      </c>
      <c r="D580" s="16" t="s">
        <v>59</v>
      </c>
      <c r="E580" s="12" t="s">
        <v>26</v>
      </c>
      <c r="F580" s="12" t="s">
        <v>1120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1121</v>
      </c>
      <c r="D581" s="12" t="s">
        <v>49</v>
      </c>
      <c r="E581" s="12" t="s">
        <v>26</v>
      </c>
      <c r="F581" s="12" t="s">
        <v>1122</v>
      </c>
      <c r="G581" s="13">
        <v>1839</v>
      </c>
      <c r="H581" s="13"/>
      <c r="I581" s="13"/>
      <c r="J581" s="13">
        <v>1816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1816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1285</v>
      </c>
      <c r="D582" s="16" t="s">
        <v>52</v>
      </c>
      <c r="E582" s="12" t="s">
        <v>26</v>
      </c>
      <c r="F582" s="12" t="s">
        <v>1286</v>
      </c>
      <c r="G582" s="13">
        <v>1839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89</v>
      </c>
      <c r="D583" s="12" t="s">
        <v>45</v>
      </c>
      <c r="E583" s="12" t="s">
        <v>26</v>
      </c>
      <c r="F583" s="12" t="s">
        <v>1123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1124</v>
      </c>
      <c r="D584" s="12" t="s">
        <v>45</v>
      </c>
      <c r="E584" s="12" t="s">
        <v>26</v>
      </c>
      <c r="F584" s="12" t="s">
        <v>1125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6</v>
      </c>
      <c r="C585" s="12" t="s">
        <v>514</v>
      </c>
      <c r="D585" s="12" t="s">
        <v>49</v>
      </c>
      <c r="E585" s="12" t="s">
        <v>26</v>
      </c>
      <c r="F585" s="12" t="s">
        <v>1289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14</v>
      </c>
      <c r="C586" s="12" t="s">
        <v>1126</v>
      </c>
      <c r="D586" s="16" t="s">
        <v>52</v>
      </c>
      <c r="E586" s="12" t="s">
        <v>26</v>
      </c>
      <c r="F586" s="12" t="s">
        <v>1127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10</v>
      </c>
      <c r="C587" s="12" t="s">
        <v>1130</v>
      </c>
      <c r="D587" s="12" t="s">
        <v>49</v>
      </c>
      <c r="E587" s="12" t="s">
        <v>26</v>
      </c>
      <c r="F587" s="12" t="s">
        <v>1131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1401</v>
      </c>
      <c r="D588" s="16" t="s">
        <v>52</v>
      </c>
      <c r="E588" s="12" t="s">
        <v>26</v>
      </c>
      <c r="F588" s="12" t="s">
        <v>1402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1132</v>
      </c>
      <c r="D589" s="16" t="s">
        <v>52</v>
      </c>
      <c r="E589" s="12" t="s">
        <v>26</v>
      </c>
      <c r="F589" s="12" t="s">
        <v>1133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1314</v>
      </c>
      <c r="D590" s="12" t="s">
        <v>749</v>
      </c>
      <c r="E590" s="12" t="s">
        <v>26</v>
      </c>
      <c r="F590" s="12" t="s">
        <v>1315</v>
      </c>
      <c r="G590" s="13">
        <v>1839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14</v>
      </c>
      <c r="C591" s="12" t="s">
        <v>1134</v>
      </c>
      <c r="D591" s="16" t="s">
        <v>52</v>
      </c>
      <c r="E591" s="12" t="s">
        <v>26</v>
      </c>
      <c r="F591" s="12" t="s">
        <v>1135</v>
      </c>
      <c r="G591" s="13">
        <v>1839</v>
      </c>
      <c r="H591" s="13"/>
      <c r="I591" s="13"/>
      <c r="J591" s="13">
        <v>1828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1828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18</v>
      </c>
      <c r="C592" s="12" t="s">
        <v>1136</v>
      </c>
      <c r="D592" s="16" t="s">
        <v>52</v>
      </c>
      <c r="E592" s="12" t="s">
        <v>26</v>
      </c>
      <c r="F592" s="12" t="s">
        <v>1137</v>
      </c>
      <c r="G592" s="13">
        <v>1839</v>
      </c>
      <c r="H592" s="13"/>
      <c r="I592" s="13"/>
      <c r="J592" s="13">
        <v>1829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1140</v>
      </c>
      <c r="D593" s="12" t="s">
        <v>49</v>
      </c>
      <c r="E593" s="12" t="s">
        <v>26</v>
      </c>
      <c r="F593" s="12" t="s">
        <v>1141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1142</v>
      </c>
      <c r="D594" s="16" t="s">
        <v>52</v>
      </c>
      <c r="E594" s="12" t="s">
        <v>26</v>
      </c>
      <c r="F594" s="12" t="s">
        <v>1143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1210</v>
      </c>
      <c r="D595" s="18" t="s">
        <v>49</v>
      </c>
      <c r="E595" s="12" t="s">
        <v>26</v>
      </c>
      <c r="F595" s="12" t="s">
        <v>1211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1144</v>
      </c>
      <c r="D596" s="12" t="s">
        <v>304</v>
      </c>
      <c r="E596" s="12" t="s">
        <v>26</v>
      </c>
      <c r="F596" s="12" t="s">
        <v>1145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1348</v>
      </c>
      <c r="D597" s="16" t="s">
        <v>52</v>
      </c>
      <c r="E597" s="12" t="s">
        <v>26</v>
      </c>
      <c r="F597" s="12" t="s">
        <v>1349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1300</v>
      </c>
      <c r="D598" s="12" t="s">
        <v>49</v>
      </c>
      <c r="E598" s="12" t="s">
        <v>26</v>
      </c>
      <c r="F598" s="12" t="s">
        <v>1301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1415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1302</v>
      </c>
      <c r="D600" s="16" t="s">
        <v>71</v>
      </c>
      <c r="E600" s="12" t="s">
        <v>26</v>
      </c>
      <c r="F600" s="12" t="s">
        <v>1303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1146</v>
      </c>
      <c r="D601" s="12" t="s">
        <v>45</v>
      </c>
      <c r="E601" s="12" t="s">
        <v>26</v>
      </c>
      <c r="F601" s="12" t="s">
        <v>1147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1148</v>
      </c>
      <c r="D602" s="16" t="s">
        <v>59</v>
      </c>
      <c r="E602" s="12" t="s">
        <v>26</v>
      </c>
      <c r="F602" s="12" t="s">
        <v>1149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1150</v>
      </c>
      <c r="D603" s="12" t="s">
        <v>49</v>
      </c>
      <c r="E603" s="12" t="s">
        <v>26</v>
      </c>
      <c r="F603" s="12" t="s">
        <v>1151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1154</v>
      </c>
      <c r="D604" s="12" t="s">
        <v>49</v>
      </c>
      <c r="E604" s="12" t="s">
        <v>26</v>
      </c>
      <c r="F604" s="12" t="s">
        <v>1155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835</v>
      </c>
      <c r="D605" s="12" t="s">
        <v>49</v>
      </c>
      <c r="E605" s="12" t="s">
        <v>26</v>
      </c>
      <c r="F605" s="12" t="s">
        <v>1424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1156</v>
      </c>
      <c r="D606" s="16" t="s">
        <v>59</v>
      </c>
      <c r="E606" s="12" t="s">
        <v>26</v>
      </c>
      <c r="F606" s="12" t="s">
        <v>1157</v>
      </c>
      <c r="G606" s="13">
        <v>1840</v>
      </c>
      <c r="H606" s="13"/>
      <c r="I606" s="13"/>
      <c r="J606" s="13">
        <v>1775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1775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1241</v>
      </c>
      <c r="D607" s="16" t="s">
        <v>59</v>
      </c>
      <c r="E607" s="12" t="s">
        <v>26</v>
      </c>
      <c r="F607" s="12" t="s">
        <v>1242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1158</v>
      </c>
      <c r="D608" s="16" t="s">
        <v>71</v>
      </c>
      <c r="E608" s="12" t="s">
        <v>26</v>
      </c>
      <c r="F608" s="12" t="s">
        <v>1159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1160</v>
      </c>
      <c r="D609" s="12" t="s">
        <v>272</v>
      </c>
      <c r="E609" s="12" t="s">
        <v>62</v>
      </c>
      <c r="F609" s="12" t="s">
        <v>1161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1176</v>
      </c>
      <c r="D610" s="16" t="s">
        <v>71</v>
      </c>
      <c r="E610" s="12" t="s">
        <v>26</v>
      </c>
      <c r="F610" s="12" t="s">
        <v>1177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1162</v>
      </c>
      <c r="D611" s="16" t="s">
        <v>52</v>
      </c>
      <c r="E611" s="12" t="s">
        <v>26</v>
      </c>
      <c r="F611" s="12" t="s">
        <v>1163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1164</v>
      </c>
      <c r="D612" s="16" t="s">
        <v>52</v>
      </c>
      <c r="E612" s="12" t="s">
        <v>26</v>
      </c>
      <c r="F612" s="12" t="s">
        <v>1165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1166</v>
      </c>
      <c r="D613" s="16" t="s">
        <v>71</v>
      </c>
      <c r="E613" s="12" t="s">
        <v>26</v>
      </c>
      <c r="F613" s="12" t="s">
        <v>1167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1354</v>
      </c>
      <c r="D614" s="12" t="s">
        <v>49</v>
      </c>
      <c r="E614" s="12" t="s">
        <v>26</v>
      </c>
      <c r="F614" s="12" t="s">
        <v>1355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1170</v>
      </c>
      <c r="D615" s="12" t="s">
        <v>49</v>
      </c>
      <c r="E615" s="12" t="s">
        <v>26</v>
      </c>
      <c r="F615" s="12" t="s">
        <v>1171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1172</v>
      </c>
      <c r="D616" s="16" t="s">
        <v>52</v>
      </c>
      <c r="E616" s="12" t="s">
        <v>26</v>
      </c>
      <c r="F616" s="12" t="s">
        <v>1173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1178</v>
      </c>
      <c r="D617" s="12" t="s">
        <v>49</v>
      </c>
      <c r="E617" s="12" t="s">
        <v>26</v>
      </c>
      <c r="F617" s="12" t="s">
        <v>1179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553</v>
      </c>
      <c r="D618" s="12" t="s">
        <v>49</v>
      </c>
      <c r="E618" s="12" t="s">
        <v>26</v>
      </c>
      <c r="F618" s="12" t="s">
        <v>1180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1183</v>
      </c>
      <c r="D619" s="16" t="s">
        <v>71</v>
      </c>
      <c r="E619" s="12" t="s">
        <v>26</v>
      </c>
      <c r="F619" s="12" t="s">
        <v>1184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1185</v>
      </c>
      <c r="D620" s="12" t="s">
        <v>49</v>
      </c>
      <c r="E620" s="12" t="s">
        <v>26</v>
      </c>
      <c r="F620" s="12" t="s">
        <v>1186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18</v>
      </c>
      <c r="C621" s="12" t="s">
        <v>1188</v>
      </c>
      <c r="D621" s="12" t="s">
        <v>49</v>
      </c>
      <c r="E621" s="12" t="s">
        <v>26</v>
      </c>
      <c r="F621" s="12" t="s">
        <v>1189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18</v>
      </c>
      <c r="C622" s="12" t="s">
        <v>117</v>
      </c>
      <c r="D622" s="12" t="s">
        <v>49</v>
      </c>
      <c r="E622" s="12" t="s">
        <v>26</v>
      </c>
      <c r="F622" s="12" t="s">
        <v>1187</v>
      </c>
      <c r="G622" s="13">
        <v>1842</v>
      </c>
      <c r="H622" s="13"/>
      <c r="I622" s="13"/>
      <c r="J622" s="13">
        <v>1832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1832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1085</v>
      </c>
      <c r="D623" s="16" t="s">
        <v>71</v>
      </c>
      <c r="E623" s="12" t="s">
        <v>26</v>
      </c>
      <c r="F623" s="12" t="s">
        <v>1086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1204</v>
      </c>
      <c r="D624" s="16" t="s">
        <v>71</v>
      </c>
      <c r="E624" s="12" t="s">
        <v>26</v>
      </c>
      <c r="F624" s="12" t="s">
        <v>1205</v>
      </c>
      <c r="G624" s="13">
        <v>1844</v>
      </c>
      <c r="H624" s="13"/>
      <c r="I624" s="13"/>
      <c r="J624" s="13">
        <v>1797</v>
      </c>
      <c r="K624" s="13">
        <f t="shared" si="118"/>
        <v>0</v>
      </c>
      <c r="L624" s="13">
        <f t="shared" si="119"/>
        <v>1844</v>
      </c>
      <c r="M624" s="13" t="str">
        <f t="shared" si="120"/>
        <v/>
      </c>
      <c r="N624" s="13">
        <f t="shared" si="121"/>
        <v>1797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1192</v>
      </c>
      <c r="D625" s="16" t="s">
        <v>59</v>
      </c>
      <c r="E625" s="12" t="s">
        <v>26</v>
      </c>
      <c r="F625" s="12" t="s">
        <v>1193</v>
      </c>
      <c r="G625" s="13">
        <v>1844</v>
      </c>
      <c r="H625" s="13"/>
      <c r="I625" s="13"/>
      <c r="J625" s="13">
        <v>1799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1194</v>
      </c>
      <c r="D626" s="16" t="s">
        <v>59</v>
      </c>
      <c r="E626" s="12" t="s">
        <v>26</v>
      </c>
      <c r="F626" s="12" t="s">
        <v>1195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1196</v>
      </c>
      <c r="D627" s="16" t="s">
        <v>59</v>
      </c>
      <c r="E627" s="12" t="s">
        <v>26</v>
      </c>
      <c r="F627" s="12" t="s">
        <v>1197</v>
      </c>
      <c r="G627" s="13">
        <v>1844</v>
      </c>
      <c r="H627" s="13"/>
      <c r="I627" s="13"/>
      <c r="J627" s="13">
        <v>1800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1800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1198</v>
      </c>
      <c r="D628" s="16" t="s">
        <v>59</v>
      </c>
      <c r="E628" s="12" t="s">
        <v>26</v>
      </c>
      <c r="F628" s="12" t="s">
        <v>1199</v>
      </c>
      <c r="G628" s="13">
        <v>1844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1212</v>
      </c>
      <c r="D629" s="12" t="s">
        <v>45</v>
      </c>
      <c r="E629" s="12" t="s">
        <v>62</v>
      </c>
      <c r="F629" s="12" t="s">
        <v>1213</v>
      </c>
      <c r="G629" s="13">
        <v>1844</v>
      </c>
      <c r="H629" s="13"/>
      <c r="I629" s="13"/>
      <c r="J629" s="13">
        <v>1814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1814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10</v>
      </c>
      <c r="C630" s="12" t="s">
        <v>1245</v>
      </c>
      <c r="D630" s="16" t="s">
        <v>52</v>
      </c>
      <c r="E630" s="12" t="s">
        <v>26</v>
      </c>
      <c r="F630" s="12" t="s">
        <v>1246</v>
      </c>
      <c r="G630" s="13">
        <v>1844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10</v>
      </c>
      <c r="C631" s="12" t="s">
        <v>1247</v>
      </c>
      <c r="D631" s="16" t="s">
        <v>71</v>
      </c>
      <c r="E631" s="12" t="s">
        <v>26</v>
      </c>
      <c r="F631" s="12" t="s">
        <v>1248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1330</v>
      </c>
      <c r="D632" s="12" t="s">
        <v>49</v>
      </c>
      <c r="E632" s="12" t="s">
        <v>26</v>
      </c>
      <c r="F632" s="12" t="s">
        <v>1331</v>
      </c>
      <c r="G632" s="13">
        <v>1844</v>
      </c>
      <c r="H632" s="13"/>
      <c r="I632" s="13"/>
      <c r="J632" s="13">
        <v>1819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1206</v>
      </c>
      <c r="D633" s="16" t="s">
        <v>59</v>
      </c>
      <c r="E633" s="12" t="s">
        <v>26</v>
      </c>
      <c r="F633" s="12" t="s">
        <v>1207</v>
      </c>
      <c r="G633" s="13">
        <v>1844</v>
      </c>
      <c r="H633" s="13"/>
      <c r="I633" s="13"/>
      <c r="J633" s="13">
        <v>1824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1824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10</v>
      </c>
      <c r="C634" s="12" t="s">
        <v>1257</v>
      </c>
      <c r="D634" s="12" t="s">
        <v>304</v>
      </c>
      <c r="E634" s="12" t="s">
        <v>26</v>
      </c>
      <c r="F634" s="12" t="s">
        <v>1258</v>
      </c>
      <c r="G634" s="13">
        <v>1844</v>
      </c>
      <c r="H634" s="13"/>
      <c r="I634" s="13"/>
      <c r="J634" s="13">
        <v>1834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1834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1214</v>
      </c>
      <c r="D635" s="16" t="s">
        <v>59</v>
      </c>
      <c r="E635" s="12" t="s">
        <v>26</v>
      </c>
      <c r="F635" s="12" t="s">
        <v>1215</v>
      </c>
      <c r="G635" s="13">
        <v>1845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1845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1216</v>
      </c>
      <c r="D636" s="16" t="s">
        <v>59</v>
      </c>
      <c r="E636" s="12" t="s">
        <v>26</v>
      </c>
      <c r="F636" s="12" t="s">
        <v>1217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1218</v>
      </c>
      <c r="D637" s="12" t="s">
        <v>45</v>
      </c>
      <c r="E637" s="12" t="s">
        <v>26</v>
      </c>
      <c r="F637" s="12" t="s">
        <v>1219</v>
      </c>
      <c r="G637" s="13">
        <v>1845</v>
      </c>
      <c r="H637" s="13"/>
      <c r="I637" s="13"/>
      <c r="J637" s="13">
        <v>1815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1815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1228</v>
      </c>
      <c r="D638" s="16" t="s">
        <v>71</v>
      </c>
      <c r="E638" s="12" t="s">
        <v>26</v>
      </c>
      <c r="F638" s="12" t="s">
        <v>1229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10</v>
      </c>
      <c r="C639" s="12" t="s">
        <v>1220</v>
      </c>
      <c r="D639" s="12" t="s">
        <v>45</v>
      </c>
      <c r="E639" s="12" t="s">
        <v>26</v>
      </c>
      <c r="F639" s="12" t="s">
        <v>1221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6</v>
      </c>
      <c r="C640" s="12" t="s">
        <v>376</v>
      </c>
      <c r="D640" s="16" t="s">
        <v>52</v>
      </c>
      <c r="E640" s="12" t="s">
        <v>26</v>
      </c>
      <c r="F640" s="12" t="s">
        <v>1222</v>
      </c>
      <c r="G640" s="13">
        <v>1845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1188</v>
      </c>
      <c r="D641" s="12" t="s">
        <v>49</v>
      </c>
      <c r="E641" s="12" t="s">
        <v>26</v>
      </c>
      <c r="F641" s="12" t="s">
        <v>1223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8" customFormat="1" ht="28.5" customHeight="1">
      <c r="A642" s="12" t="str">
        <f t="shared" si="117"/>
        <v/>
      </c>
      <c r="B642" s="12" t="s">
        <v>6</v>
      </c>
      <c r="C642" s="12" t="s">
        <v>1224</v>
      </c>
      <c r="D642" s="16" t="s">
        <v>71</v>
      </c>
      <c r="E642" s="12" t="s">
        <v>26</v>
      </c>
      <c r="F642" s="12" t="s">
        <v>1225</v>
      </c>
      <c r="G642" s="13">
        <v>1845</v>
      </c>
      <c r="H642" s="13"/>
      <c r="I642" s="13"/>
      <c r="J642" s="13">
        <v>1825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1825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8</v>
      </c>
      <c r="C643" s="12" t="s">
        <v>809</v>
      </c>
      <c r="D643" s="12" t="s">
        <v>49</v>
      </c>
      <c r="E643" s="12" t="s">
        <v>26</v>
      </c>
      <c r="F643" s="12" t="s">
        <v>1236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12</v>
      </c>
      <c r="C644" s="12" t="s">
        <v>1226</v>
      </c>
      <c r="D644" s="18" t="s">
        <v>49</v>
      </c>
      <c r="E644" s="12" t="s">
        <v>26</v>
      </c>
      <c r="F644" s="12" t="s">
        <v>1227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1230</v>
      </c>
      <c r="D645" s="16" t="s">
        <v>59</v>
      </c>
      <c r="E645" s="12" t="s">
        <v>26</v>
      </c>
      <c r="F645" s="12" t="s">
        <v>1231</v>
      </c>
      <c r="G645" s="13">
        <v>1845</v>
      </c>
      <c r="H645" s="13"/>
      <c r="I645" s="13"/>
      <c r="J645" s="13">
        <v>1829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1281</v>
      </c>
      <c r="D646" s="12" t="s">
        <v>304</v>
      </c>
      <c r="E646" s="12" t="s">
        <v>26</v>
      </c>
      <c r="F646" s="12" t="s">
        <v>1282</v>
      </c>
      <c r="G646" s="13">
        <v>1845</v>
      </c>
      <c r="H646" s="13"/>
      <c r="I646" s="13"/>
      <c r="J646" s="13">
        <v>1834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1834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12</v>
      </c>
      <c r="C647" s="12" t="s">
        <v>1237</v>
      </c>
      <c r="D647" s="16" t="s">
        <v>52</v>
      </c>
      <c r="E647" s="12" t="s">
        <v>26</v>
      </c>
      <c r="F647" s="12" t="s">
        <v>1238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12</v>
      </c>
      <c r="C648" s="12" t="s">
        <v>1239</v>
      </c>
      <c r="D648" s="16" t="s">
        <v>52</v>
      </c>
      <c r="E648" s="12" t="s">
        <v>26</v>
      </c>
      <c r="F648" s="12" t="s">
        <v>1240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17" customFormat="1" ht="28.5" customHeight="1">
      <c r="A649" s="12" t="str">
        <f t="shared" si="117"/>
        <v/>
      </c>
      <c r="B649" s="12" t="s">
        <v>10</v>
      </c>
      <c r="C649" s="12" t="s">
        <v>1243</v>
      </c>
      <c r="D649" s="16" t="s">
        <v>59</v>
      </c>
      <c r="E649" s="12" t="s">
        <v>26</v>
      </c>
      <c r="F649" s="12" t="s">
        <v>1244</v>
      </c>
      <c r="G649" s="13">
        <v>1845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1497</v>
      </c>
      <c r="D650" s="12" t="s">
        <v>49</v>
      </c>
      <c r="E650" s="12" t="s">
        <v>26</v>
      </c>
      <c r="F650" s="12" t="s">
        <v>1498</v>
      </c>
      <c r="G650" s="13">
        <v>1845</v>
      </c>
      <c r="H650" s="13"/>
      <c r="I650" s="13"/>
      <c r="J650" s="13">
        <v>1845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1249</v>
      </c>
      <c r="D651" s="12" t="s">
        <v>749</v>
      </c>
      <c r="E651" s="12" t="s">
        <v>26</v>
      </c>
      <c r="F651" s="12" t="s">
        <v>1250</v>
      </c>
      <c r="G651" s="13">
        <v>1845</v>
      </c>
      <c r="H651" s="13"/>
      <c r="I651" s="13"/>
      <c r="J651" s="13">
        <v>1845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8</v>
      </c>
      <c r="C652" s="12" t="s">
        <v>1251</v>
      </c>
      <c r="D652" s="16" t="s">
        <v>71</v>
      </c>
      <c r="E652" s="12" t="s">
        <v>26</v>
      </c>
      <c r="F652" s="12" t="s">
        <v>1252</v>
      </c>
      <c r="G652" s="13">
        <v>1845</v>
      </c>
      <c r="H652" s="13"/>
      <c r="I652" s="13"/>
      <c r="J652" s="13">
        <v>1849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1849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14</v>
      </c>
      <c r="C653" s="12" t="s">
        <v>1379</v>
      </c>
      <c r="D653" s="12" t="s">
        <v>49</v>
      </c>
      <c r="E653" s="12" t="s">
        <v>26</v>
      </c>
      <c r="F653" s="12" t="s">
        <v>1380</v>
      </c>
      <c r="G653" s="13">
        <v>1846</v>
      </c>
      <c r="H653" s="13"/>
      <c r="I653" s="13"/>
      <c r="J653" s="13">
        <v>1827</v>
      </c>
      <c r="K653" s="13">
        <f t="shared" si="118"/>
        <v>0</v>
      </c>
      <c r="L653" s="13">
        <f t="shared" si="119"/>
        <v>1846</v>
      </c>
      <c r="M653" s="13" t="str">
        <f t="shared" si="120"/>
        <v/>
      </c>
      <c r="N653" s="13">
        <f t="shared" si="121"/>
        <v>1827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14</v>
      </c>
      <c r="C654" s="12" t="s">
        <v>1259</v>
      </c>
      <c r="D654" s="12" t="s">
        <v>49</v>
      </c>
      <c r="E654" s="12" t="s">
        <v>26</v>
      </c>
      <c r="F654" s="12" t="s">
        <v>1260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1389</v>
      </c>
      <c r="D655" s="16" t="s">
        <v>52</v>
      </c>
      <c r="E655" s="12" t="s">
        <v>26</v>
      </c>
      <c r="F655" s="12" t="s">
        <v>1390</v>
      </c>
      <c r="G655" s="13">
        <v>1848</v>
      </c>
      <c r="H655" s="13"/>
      <c r="I655" s="13"/>
      <c r="J655" s="13">
        <v>1819</v>
      </c>
      <c r="K655" s="13">
        <f t="shared" ref="K655:K684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1429</v>
      </c>
      <c r="D656" s="12" t="s">
        <v>49</v>
      </c>
      <c r="E656" s="12" t="s">
        <v>26</v>
      </c>
      <c r="F656" s="12" t="s">
        <v>1430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14</v>
      </c>
      <c r="C657" s="12" t="s">
        <v>1453</v>
      </c>
      <c r="D657" s="16" t="s">
        <v>71</v>
      </c>
      <c r="E657" s="12" t="s">
        <v>26</v>
      </c>
      <c r="F657" s="12" t="s">
        <v>1454</v>
      </c>
      <c r="G657" s="13">
        <v>1848</v>
      </c>
      <c r="H657" s="13"/>
      <c r="I657" s="13"/>
      <c r="J657" s="13">
        <v>1824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1824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1261</v>
      </c>
      <c r="D658" s="16" t="s">
        <v>59</v>
      </c>
      <c r="E658" s="12" t="s">
        <v>26</v>
      </c>
      <c r="F658" s="12" t="s">
        <v>1262</v>
      </c>
      <c r="G658" s="13">
        <v>1848</v>
      </c>
      <c r="H658" s="13"/>
      <c r="I658" s="13"/>
      <c r="J658" s="13">
        <v>1848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1848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12</v>
      </c>
      <c r="C659" s="12" t="s">
        <v>1263</v>
      </c>
      <c r="D659" s="18" t="s">
        <v>749</v>
      </c>
      <c r="E659" s="12" t="s">
        <v>62</v>
      </c>
      <c r="F659" s="12" t="s">
        <v>1264</v>
      </c>
      <c r="G659" s="13">
        <v>1848</v>
      </c>
      <c r="H659" s="13"/>
      <c r="I659" s="13"/>
      <c r="J659" s="13">
        <v>1855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1855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1491</v>
      </c>
      <c r="D660" s="16" t="s">
        <v>52</v>
      </c>
      <c r="E660" s="12" t="s">
        <v>26</v>
      </c>
      <c r="F660" s="12" t="s">
        <v>1492</v>
      </c>
      <c r="G660" s="13">
        <v>1848</v>
      </c>
      <c r="H660" s="13"/>
      <c r="I660" s="13"/>
      <c r="J660" s="13">
        <v>1884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1884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1265</v>
      </c>
      <c r="D661" s="16" t="s">
        <v>59</v>
      </c>
      <c r="E661" s="12" t="s">
        <v>26</v>
      </c>
      <c r="F661" s="12" t="s">
        <v>1266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1269</v>
      </c>
      <c r="D662" s="16" t="s">
        <v>52</v>
      </c>
      <c r="E662" s="12" t="s">
        <v>26</v>
      </c>
      <c r="F662" s="12" t="s">
        <v>1270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1405</v>
      </c>
      <c r="D663" s="16" t="s">
        <v>52</v>
      </c>
      <c r="E663" s="12" t="s">
        <v>62</v>
      </c>
      <c r="F663" s="12" t="s">
        <v>1406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1319</v>
      </c>
      <c r="D664" s="12" t="s">
        <v>749</v>
      </c>
      <c r="E664" s="12" t="s">
        <v>26</v>
      </c>
      <c r="F664" s="12" t="s">
        <v>1320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1350</v>
      </c>
      <c r="D665" s="12" t="s">
        <v>49</v>
      </c>
      <c r="E665" s="12" t="s">
        <v>26</v>
      </c>
      <c r="F665" s="12" t="s">
        <v>1351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1271</v>
      </c>
      <c r="D666" s="18" t="s">
        <v>749</v>
      </c>
      <c r="E666" s="12" t="s">
        <v>26</v>
      </c>
      <c r="F666" s="12" t="s">
        <v>1272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1326</v>
      </c>
      <c r="D667" s="12" t="s">
        <v>45</v>
      </c>
      <c r="E667" s="12" t="s">
        <v>26</v>
      </c>
      <c r="F667" s="12" t="s">
        <v>1327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1422</v>
      </c>
      <c r="D668" s="12" t="s">
        <v>45</v>
      </c>
      <c r="E668" s="12" t="s">
        <v>26</v>
      </c>
      <c r="F668" s="12" t="s">
        <v>1423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1273</v>
      </c>
      <c r="D669" s="16" t="s">
        <v>52</v>
      </c>
      <c r="E669" s="12" t="s">
        <v>62</v>
      </c>
      <c r="F669" s="12" t="s">
        <v>1274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1489</v>
      </c>
      <c r="D670" s="12" t="s">
        <v>49</v>
      </c>
      <c r="E670" s="12" t="s">
        <v>26</v>
      </c>
      <c r="F670" s="12" t="s">
        <v>1490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1370</v>
      </c>
      <c r="D671" s="12" t="s">
        <v>49</v>
      </c>
      <c r="E671" s="12" t="s">
        <v>26</v>
      </c>
      <c r="F671" s="12" t="s">
        <v>1371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1372</v>
      </c>
      <c r="D672" s="12" t="s">
        <v>49</v>
      </c>
      <c r="E672" s="12" t="s">
        <v>62</v>
      </c>
      <c r="F672" s="12" t="s">
        <v>1373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1255</v>
      </c>
      <c r="D673" s="12" t="s">
        <v>304</v>
      </c>
      <c r="E673" s="12" t="s">
        <v>26</v>
      </c>
      <c r="F673" s="12" t="s">
        <v>1256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1275</v>
      </c>
      <c r="D674" s="12" t="s">
        <v>304</v>
      </c>
      <c r="E674" s="12" t="s">
        <v>26</v>
      </c>
      <c r="F674" s="12" t="s">
        <v>1276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1277</v>
      </c>
      <c r="D675" s="12" t="s">
        <v>304</v>
      </c>
      <c r="E675" s="12" t="s">
        <v>26</v>
      </c>
      <c r="F675" s="12" t="s">
        <v>1278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1279</v>
      </c>
      <c r="D676" s="12" t="s">
        <v>304</v>
      </c>
      <c r="E676" s="12" t="s">
        <v>26</v>
      </c>
      <c r="F676" s="12" t="s">
        <v>1280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6</v>
      </c>
      <c r="C677" s="12" t="s">
        <v>1287</v>
      </c>
      <c r="D677" s="12" t="s">
        <v>749</v>
      </c>
      <c r="E677" s="12" t="s">
        <v>26</v>
      </c>
      <c r="F677" s="12" t="s">
        <v>1288</v>
      </c>
      <c r="G677" s="13">
        <v>1849</v>
      </c>
      <c r="H677" s="13"/>
      <c r="I677" s="13"/>
      <c r="J677" s="13">
        <v>1839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1475</v>
      </c>
      <c r="D678" s="12" t="s">
        <v>49</v>
      </c>
      <c r="E678" s="12" t="s">
        <v>62</v>
      </c>
      <c r="F678" s="12" t="s">
        <v>1476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1304</v>
      </c>
      <c r="D679" s="16" t="s">
        <v>71</v>
      </c>
      <c r="E679" s="12" t="s">
        <v>26</v>
      </c>
      <c r="F679" s="12" t="s">
        <v>1305</v>
      </c>
      <c r="G679" s="13">
        <v>1849</v>
      </c>
      <c r="H679" s="13"/>
      <c r="I679" s="13"/>
      <c r="J679" s="13">
        <v>1848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1848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8</v>
      </c>
      <c r="C680" s="12" t="s">
        <v>1306</v>
      </c>
      <c r="D680" s="16" t="s">
        <v>52</v>
      </c>
      <c r="E680" s="12" t="s">
        <v>26</v>
      </c>
      <c r="F680" s="12" t="s">
        <v>1307</v>
      </c>
      <c r="G680" s="13">
        <v>1849</v>
      </c>
      <c r="H680" s="13"/>
      <c r="I680" s="13"/>
      <c r="J680" s="13">
        <v>1849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1849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16</v>
      </c>
      <c r="C681" s="12" t="s">
        <v>1310</v>
      </c>
      <c r="D681" s="12" t="s">
        <v>272</v>
      </c>
      <c r="E681" s="12" t="s">
        <v>26</v>
      </c>
      <c r="F681" s="12" t="s">
        <v>1311</v>
      </c>
      <c r="G681" s="13">
        <v>1850</v>
      </c>
      <c r="H681" s="13"/>
      <c r="I681" s="13"/>
      <c r="J681" s="13">
        <v>1790</v>
      </c>
      <c r="K681" s="13">
        <f t="shared" si="131"/>
        <v>0</v>
      </c>
      <c r="L681" s="13">
        <f t="shared" si="132"/>
        <v>1850</v>
      </c>
      <c r="M681" s="13" t="str">
        <f t="shared" si="133"/>
        <v/>
      </c>
      <c r="N681" s="13">
        <f t="shared" si="134"/>
        <v>1790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16</v>
      </c>
      <c r="C682" s="12" t="s">
        <v>1312</v>
      </c>
      <c r="D682" s="12" t="s">
        <v>272</v>
      </c>
      <c r="E682" s="12" t="s">
        <v>26</v>
      </c>
      <c r="F682" s="12" t="s">
        <v>1313</v>
      </c>
      <c r="G682" s="13">
        <v>1850</v>
      </c>
      <c r="H682" s="13"/>
      <c r="I682" s="13"/>
      <c r="J682" s="13">
        <v>1790</v>
      </c>
      <c r="K682" s="13">
        <f t="shared" si="131"/>
        <v>0</v>
      </c>
      <c r="L682" s="13">
        <f t="shared" si="132"/>
        <v>1850</v>
      </c>
      <c r="M682" s="13" t="str">
        <f t="shared" si="133"/>
        <v/>
      </c>
      <c r="N682" s="13">
        <f t="shared" si="134"/>
        <v>1790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16</v>
      </c>
      <c r="C683" s="12" t="s">
        <v>1308</v>
      </c>
      <c r="D683" s="12" t="s">
        <v>45</v>
      </c>
      <c r="E683" s="12" t="s">
        <v>26</v>
      </c>
      <c r="F683" s="12" t="s">
        <v>1309</v>
      </c>
      <c r="G683" s="13">
        <v>1850</v>
      </c>
      <c r="H683" s="13"/>
      <c r="I683" s="13"/>
      <c r="J683" s="13">
        <v>1810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1810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835</v>
      </c>
      <c r="D684" s="16" t="s">
        <v>52</v>
      </c>
      <c r="E684" s="12" t="s">
        <v>26</v>
      </c>
      <c r="F684" s="12" t="s">
        <v>1316</v>
      </c>
      <c r="G684" s="13">
        <v>1852</v>
      </c>
      <c r="H684" s="13"/>
      <c r="I684" s="13"/>
      <c r="J684" s="13">
        <v>1823</v>
      </c>
      <c r="K684" s="13">
        <f t="shared" si="131"/>
        <v>0</v>
      </c>
      <c r="L684" s="13">
        <f t="shared" si="132"/>
        <v>1852</v>
      </c>
      <c r="M684" s="13" t="str">
        <f t="shared" si="133"/>
        <v/>
      </c>
      <c r="N684" s="13">
        <f t="shared" si="134"/>
        <v>1823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18</v>
      </c>
      <c r="C685" s="12" t="s">
        <v>1317</v>
      </c>
      <c r="D685" s="16" t="s">
        <v>52</v>
      </c>
      <c r="E685" s="12" t="s">
        <v>62</v>
      </c>
      <c r="F685" s="12" t="s">
        <v>1318</v>
      </c>
      <c r="G685" s="13">
        <v>1852</v>
      </c>
      <c r="H685" s="13"/>
      <c r="I685" s="13"/>
      <c r="J685" s="13">
        <v>1840</v>
      </c>
      <c r="K685" s="13">
        <v>0</v>
      </c>
      <c r="L685" s="13">
        <f t="shared" si="132"/>
        <v>1852</v>
      </c>
      <c r="M685" s="13" t="str">
        <f t="shared" si="133"/>
        <v/>
      </c>
      <c r="N685" s="13">
        <f t="shared" si="134"/>
        <v>1840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975</v>
      </c>
      <c r="D686" s="12" t="s">
        <v>272</v>
      </c>
      <c r="E686" s="12" t="s">
        <v>62</v>
      </c>
      <c r="F686" s="12" t="s">
        <v>1321</v>
      </c>
      <c r="G686" s="13">
        <v>1853</v>
      </c>
      <c r="H686" s="13"/>
      <c r="I686" s="13"/>
      <c r="J686" s="13">
        <v>1823</v>
      </c>
      <c r="K686" s="13">
        <f t="shared" ref="K686:K717" si="143">IF(AND(IFERROR(SEARCH("현대오일뱅크",$C686),0)&gt;0,IFERROR(SEARCH("직영",$C686),0)&gt;0),$B$13,0)</f>
        <v>0</v>
      </c>
      <c r="L686" s="13">
        <f t="shared" si="132"/>
        <v>1853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8</v>
      </c>
      <c r="C687" s="12" t="s">
        <v>1322</v>
      </c>
      <c r="D687" s="16" t="s">
        <v>71</v>
      </c>
      <c r="E687" s="12" t="s">
        <v>26</v>
      </c>
      <c r="F687" s="12" t="s">
        <v>1323</v>
      </c>
      <c r="G687" s="13">
        <v>1853</v>
      </c>
      <c r="H687" s="13"/>
      <c r="I687" s="13"/>
      <c r="J687" s="13">
        <v>1823</v>
      </c>
      <c r="K687" s="13">
        <f t="shared" si="143"/>
        <v>0</v>
      </c>
      <c r="L687" s="13">
        <f t="shared" si="132"/>
        <v>1853</v>
      </c>
      <c r="M687" s="13" t="str">
        <f t="shared" si="133"/>
        <v/>
      </c>
      <c r="N687" s="13">
        <f t="shared" si="134"/>
        <v>1823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1324</v>
      </c>
      <c r="D688" s="12" t="s">
        <v>45</v>
      </c>
      <c r="E688" s="12" t="s">
        <v>26</v>
      </c>
      <c r="F688" s="12" t="s">
        <v>1325</v>
      </c>
      <c r="G688" s="13">
        <v>1853</v>
      </c>
      <c r="H688" s="13"/>
      <c r="I688" s="13"/>
      <c r="J688" s="13">
        <v>1823</v>
      </c>
      <c r="K688" s="13">
        <f t="shared" si="143"/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1332</v>
      </c>
      <c r="D689" s="16" t="s">
        <v>71</v>
      </c>
      <c r="E689" s="12" t="s">
        <v>26</v>
      </c>
      <c r="F689" s="12" t="s">
        <v>1333</v>
      </c>
      <c r="G689" s="13">
        <v>1854</v>
      </c>
      <c r="H689" s="13"/>
      <c r="I689" s="13"/>
      <c r="J689" s="13">
        <v>1839</v>
      </c>
      <c r="K689" s="13">
        <f t="shared" si="143"/>
        <v>0</v>
      </c>
      <c r="L689" s="13">
        <f t="shared" si="132"/>
        <v>1854</v>
      </c>
      <c r="M689" s="13" t="str">
        <f t="shared" si="133"/>
        <v/>
      </c>
      <c r="N689" s="13">
        <f t="shared" si="134"/>
        <v>1839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1334</v>
      </c>
      <c r="D690" s="12" t="s">
        <v>45</v>
      </c>
      <c r="E690" s="12" t="s">
        <v>26</v>
      </c>
      <c r="F690" s="12" t="s">
        <v>1335</v>
      </c>
      <c r="G690" s="13">
        <v>1854</v>
      </c>
      <c r="H690" s="13"/>
      <c r="I690" s="13"/>
      <c r="J690" s="13">
        <v>1842</v>
      </c>
      <c r="K690" s="13">
        <f t="shared" si="143"/>
        <v>0</v>
      </c>
      <c r="L690" s="13">
        <f t="shared" si="132"/>
        <v>1854</v>
      </c>
      <c r="M690" s="13" t="str">
        <f t="shared" si="133"/>
        <v/>
      </c>
      <c r="N690" s="13">
        <f t="shared" si="134"/>
        <v>1842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1336</v>
      </c>
      <c r="D691" s="16" t="s">
        <v>59</v>
      </c>
      <c r="E691" s="12" t="s">
        <v>26</v>
      </c>
      <c r="F691" s="12" t="s">
        <v>1337</v>
      </c>
      <c r="G691" s="13">
        <v>1854</v>
      </c>
      <c r="H691" s="13"/>
      <c r="I691" s="13"/>
      <c r="J691" s="13">
        <v>1842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1842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1338</v>
      </c>
      <c r="D692" s="12" t="s">
        <v>49</v>
      </c>
      <c r="E692" s="12" t="s">
        <v>26</v>
      </c>
      <c r="F692" s="12" t="s">
        <v>1339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1340</v>
      </c>
      <c r="D693" s="12" t="s">
        <v>45</v>
      </c>
      <c r="E693" s="12" t="s">
        <v>26</v>
      </c>
      <c r="F693" s="12" t="s">
        <v>1341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10</v>
      </c>
      <c r="C694" s="12" t="s">
        <v>1346</v>
      </c>
      <c r="D694" s="16" t="s">
        <v>52</v>
      </c>
      <c r="E694" s="12" t="s">
        <v>26</v>
      </c>
      <c r="F694" s="12" t="s">
        <v>1347</v>
      </c>
      <c r="G694" s="13">
        <v>1854</v>
      </c>
      <c r="H694" s="13"/>
      <c r="I694" s="13"/>
      <c r="J694" s="13">
        <v>1845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1845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12</v>
      </c>
      <c r="C695" s="12" t="s">
        <v>1328</v>
      </c>
      <c r="D695" s="16" t="s">
        <v>59</v>
      </c>
      <c r="E695" s="12" t="s">
        <v>62</v>
      </c>
      <c r="F695" s="12" t="s">
        <v>1329</v>
      </c>
      <c r="G695" s="13">
        <v>1854</v>
      </c>
      <c r="H695" s="13"/>
      <c r="I695" s="13"/>
      <c r="J695" s="13">
        <v>1849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1352</v>
      </c>
      <c r="D696" s="16" t="s">
        <v>71</v>
      </c>
      <c r="E696" s="12" t="s">
        <v>26</v>
      </c>
      <c r="F696" s="12" t="s">
        <v>1353</v>
      </c>
      <c r="G696" s="13">
        <v>1854</v>
      </c>
      <c r="H696" s="13"/>
      <c r="I696" s="13"/>
      <c r="J696" s="13">
        <v>1849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8</v>
      </c>
      <c r="C697" s="12" t="s">
        <v>1356</v>
      </c>
      <c r="D697" s="16" t="s">
        <v>59</v>
      </c>
      <c r="E697" s="12" t="s">
        <v>26</v>
      </c>
      <c r="F697" s="12" t="s">
        <v>1357</v>
      </c>
      <c r="G697" s="13">
        <v>1855</v>
      </c>
      <c r="H697" s="13"/>
      <c r="I697" s="13"/>
      <c r="J697" s="13">
        <v>1825</v>
      </c>
      <c r="K697" s="13">
        <f t="shared" si="143"/>
        <v>0</v>
      </c>
      <c r="L697" s="13">
        <f t="shared" si="132"/>
        <v>1855</v>
      </c>
      <c r="M697" s="13" t="str">
        <f t="shared" si="133"/>
        <v/>
      </c>
      <c r="N697" s="13">
        <f t="shared" si="134"/>
        <v>1825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1364</v>
      </c>
      <c r="D698" s="12" t="s">
        <v>49</v>
      </c>
      <c r="E698" s="12" t="s">
        <v>26</v>
      </c>
      <c r="F698" s="12" t="s">
        <v>1365</v>
      </c>
      <c r="G698" s="13">
        <v>1855</v>
      </c>
      <c r="H698" s="13"/>
      <c r="I698" s="13"/>
      <c r="J698" s="13">
        <v>1825</v>
      </c>
      <c r="K698" s="13">
        <f t="shared" si="143"/>
        <v>0</v>
      </c>
      <c r="L698" s="13">
        <f t="shared" si="132"/>
        <v>1855</v>
      </c>
      <c r="M698" s="13" t="str">
        <f t="shared" si="133"/>
        <v/>
      </c>
      <c r="N698" s="13">
        <f t="shared" si="134"/>
        <v>1825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18</v>
      </c>
      <c r="C699" s="12" t="s">
        <v>1358</v>
      </c>
      <c r="D699" s="16" t="s">
        <v>52</v>
      </c>
      <c r="E699" s="12" t="s">
        <v>26</v>
      </c>
      <c r="F699" s="12" t="s">
        <v>1359</v>
      </c>
      <c r="G699" s="13">
        <v>1855</v>
      </c>
      <c r="H699" s="13"/>
      <c r="I699" s="13"/>
      <c r="J699" s="13">
        <v>1845</v>
      </c>
      <c r="K699" s="13">
        <f t="shared" si="143"/>
        <v>0</v>
      </c>
      <c r="L699" s="13">
        <f t="shared" si="132"/>
        <v>1855</v>
      </c>
      <c r="M699" s="13" t="str">
        <f t="shared" si="133"/>
        <v/>
      </c>
      <c r="N699" s="13">
        <f t="shared" si="134"/>
        <v>1845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17" customFormat="1" ht="28.5" customHeight="1">
      <c r="A700" s="12" t="str">
        <f t="shared" si="130"/>
        <v/>
      </c>
      <c r="B700" s="12" t="s">
        <v>6</v>
      </c>
      <c r="C700" s="12" t="s">
        <v>1360</v>
      </c>
      <c r="D700" s="16" t="s">
        <v>59</v>
      </c>
      <c r="E700" s="12" t="s">
        <v>26</v>
      </c>
      <c r="F700" s="12" t="s">
        <v>1361</v>
      </c>
      <c r="G700" s="13">
        <v>1855</v>
      </c>
      <c r="H700" s="13"/>
      <c r="I700" s="13"/>
      <c r="J700" s="13">
        <v>1845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1845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1366</v>
      </c>
      <c r="D701" s="12" t="s">
        <v>749</v>
      </c>
      <c r="E701" s="12" t="s">
        <v>26</v>
      </c>
      <c r="F701" s="12" t="s">
        <v>1367</v>
      </c>
      <c r="G701" s="13">
        <v>1855</v>
      </c>
      <c r="H701" s="13"/>
      <c r="I701" s="13"/>
      <c r="J701" s="13">
        <v>1846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1846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6</v>
      </c>
      <c r="C702" s="12" t="s">
        <v>1499</v>
      </c>
      <c r="D702" s="16" t="s">
        <v>52</v>
      </c>
      <c r="E702" s="12" t="s">
        <v>26</v>
      </c>
      <c r="F702" s="12" t="s">
        <v>1500</v>
      </c>
      <c r="G702" s="13">
        <v>1855</v>
      </c>
      <c r="H702" s="13"/>
      <c r="I702" s="13"/>
      <c r="J702" s="13">
        <v>1850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1850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6</v>
      </c>
      <c r="C703" s="12" t="s">
        <v>1368</v>
      </c>
      <c r="D703" s="16" t="s">
        <v>52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1855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1855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1374</v>
      </c>
      <c r="D704" s="16" t="s">
        <v>52</v>
      </c>
      <c r="E704" s="12" t="s">
        <v>62</v>
      </c>
      <c r="F704" s="12" t="s">
        <v>1375</v>
      </c>
      <c r="G704" s="13">
        <v>1856</v>
      </c>
      <c r="H704" s="13"/>
      <c r="I704" s="13"/>
      <c r="J704" s="13">
        <v>1856</v>
      </c>
      <c r="K704" s="13">
        <f t="shared" si="143"/>
        <v>0</v>
      </c>
      <c r="L704" s="13">
        <f t="shared" si="132"/>
        <v>1856</v>
      </c>
      <c r="M704" s="13" t="str">
        <f t="shared" si="133"/>
        <v/>
      </c>
      <c r="N704" s="13">
        <f t="shared" si="134"/>
        <v>1856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12</v>
      </c>
      <c r="C705" s="12" t="s">
        <v>1376</v>
      </c>
      <c r="D705" s="16" t="s">
        <v>52</v>
      </c>
      <c r="E705" s="12" t="s">
        <v>62</v>
      </c>
      <c r="F705" s="12" t="s">
        <v>1377</v>
      </c>
      <c r="G705" s="13">
        <v>1856</v>
      </c>
      <c r="H705" s="13"/>
      <c r="I705" s="13"/>
      <c r="J705" s="13">
        <v>1856</v>
      </c>
      <c r="K705" s="13">
        <f t="shared" si="143"/>
        <v>0</v>
      </c>
      <c r="L705" s="13">
        <f t="shared" si="132"/>
        <v>1856</v>
      </c>
      <c r="M705" s="13" t="str">
        <f t="shared" si="133"/>
        <v/>
      </c>
      <c r="N705" s="13">
        <f t="shared" si="134"/>
        <v>1856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6</v>
      </c>
      <c r="C706" s="12" t="s">
        <v>1381</v>
      </c>
      <c r="D706" s="16" t="s">
        <v>71</v>
      </c>
      <c r="E706" s="12" t="s">
        <v>26</v>
      </c>
      <c r="F706" s="12" t="s">
        <v>1382</v>
      </c>
      <c r="G706" s="13">
        <v>1858</v>
      </c>
      <c r="H706" s="13"/>
      <c r="I706" s="13"/>
      <c r="J706" s="13">
        <v>1828</v>
      </c>
      <c r="K706" s="13">
        <f t="shared" si="143"/>
        <v>0</v>
      </c>
      <c r="L706" s="13">
        <f t="shared" si="132"/>
        <v>1858</v>
      </c>
      <c r="M706" s="13" t="str">
        <f t="shared" si="133"/>
        <v/>
      </c>
      <c r="N706" s="13">
        <f t="shared" si="134"/>
        <v>1828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378</v>
      </c>
      <c r="D707" s="12" t="s">
        <v>49</v>
      </c>
      <c r="E707" s="12" t="s">
        <v>62</v>
      </c>
      <c r="F707" s="12" t="s">
        <v>1448</v>
      </c>
      <c r="G707" s="13">
        <v>1858</v>
      </c>
      <c r="H707" s="13"/>
      <c r="I707" s="13"/>
      <c r="J707" s="13">
        <v>1835</v>
      </c>
      <c r="K707" s="13">
        <f t="shared" si="143"/>
        <v>0</v>
      </c>
      <c r="L707" s="13">
        <f t="shared" si="132"/>
        <v>1858</v>
      </c>
      <c r="M707" s="13" t="str">
        <f t="shared" si="133"/>
        <v/>
      </c>
      <c r="N707" s="13">
        <f t="shared" si="134"/>
        <v>1835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1449</v>
      </c>
      <c r="D708" s="12" t="s">
        <v>49</v>
      </c>
      <c r="E708" s="12" t="s">
        <v>26</v>
      </c>
      <c r="F708" s="12" t="s">
        <v>1450</v>
      </c>
      <c r="G708" s="13">
        <v>1858</v>
      </c>
      <c r="H708" s="13"/>
      <c r="I708" s="13"/>
      <c r="J708" s="13">
        <v>1838</v>
      </c>
      <c r="K708" s="13">
        <f t="shared" si="143"/>
        <v>0</v>
      </c>
      <c r="L708" s="13">
        <f t="shared" si="132"/>
        <v>1858</v>
      </c>
      <c r="M708" s="13" t="str">
        <f t="shared" si="133"/>
        <v/>
      </c>
      <c r="N708" s="13">
        <f t="shared" si="134"/>
        <v>1838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14</v>
      </c>
      <c r="C709" s="12" t="s">
        <v>1383</v>
      </c>
      <c r="D709" s="16" t="s">
        <v>71</v>
      </c>
      <c r="E709" s="12" t="s">
        <v>26</v>
      </c>
      <c r="F709" s="12" t="s">
        <v>1384</v>
      </c>
      <c r="G709" s="13">
        <v>1858</v>
      </c>
      <c r="H709" s="13"/>
      <c r="I709" s="13"/>
      <c r="J709" s="13">
        <v>1838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1838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1385</v>
      </c>
      <c r="D710" s="12" t="s">
        <v>49</v>
      </c>
      <c r="E710" s="12" t="s">
        <v>26</v>
      </c>
      <c r="F710" s="12" t="s">
        <v>1386</v>
      </c>
      <c r="G710" s="13">
        <v>1858</v>
      </c>
      <c r="H710" s="13"/>
      <c r="I710" s="13"/>
      <c r="J710" s="13">
        <v>1838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1838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1387</v>
      </c>
      <c r="D711" s="16" t="s">
        <v>59</v>
      </c>
      <c r="E711" s="12" t="s">
        <v>62</v>
      </c>
      <c r="F711" s="12" t="s">
        <v>1388</v>
      </c>
      <c r="G711" s="13">
        <v>1858</v>
      </c>
      <c r="H711" s="13"/>
      <c r="I711" s="13"/>
      <c r="J711" s="13">
        <v>1848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1848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1391</v>
      </c>
      <c r="D712" s="16" t="s">
        <v>71</v>
      </c>
      <c r="E712" s="12" t="s">
        <v>62</v>
      </c>
      <c r="F712" s="12" t="s">
        <v>1392</v>
      </c>
      <c r="G712" s="13">
        <v>1858</v>
      </c>
      <c r="H712" s="13"/>
      <c r="I712" s="13"/>
      <c r="J712" s="13">
        <v>1849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1849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10</v>
      </c>
      <c r="C713" s="12" t="s">
        <v>1467</v>
      </c>
      <c r="D713" s="12" t="s">
        <v>45</v>
      </c>
      <c r="E713" s="12" t="s">
        <v>62</v>
      </c>
      <c r="F713" s="12" t="s">
        <v>1468</v>
      </c>
      <c r="G713" s="13">
        <v>1858</v>
      </c>
      <c r="H713" s="13"/>
      <c r="I713" s="13"/>
      <c r="J713" s="13">
        <v>1859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1859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10</v>
      </c>
      <c r="C714" s="12" t="s">
        <v>1117</v>
      </c>
      <c r="D714" s="12" t="s">
        <v>749</v>
      </c>
      <c r="E714" s="12" t="s">
        <v>26</v>
      </c>
      <c r="F714" s="12" t="s">
        <v>1118</v>
      </c>
      <c r="G714" s="13">
        <v>1859</v>
      </c>
      <c r="H714" s="13"/>
      <c r="I714" s="13"/>
      <c r="J714" s="13">
        <v>1808</v>
      </c>
      <c r="K714" s="13">
        <f t="shared" si="143"/>
        <v>0</v>
      </c>
      <c r="L714" s="13">
        <f t="shared" si="132"/>
        <v>1859</v>
      </c>
      <c r="M714" s="13" t="str">
        <f t="shared" si="133"/>
        <v/>
      </c>
      <c r="N714" s="13">
        <f t="shared" si="134"/>
        <v>1808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1393</v>
      </c>
      <c r="D715" s="12" t="s">
        <v>49</v>
      </c>
      <c r="E715" s="12" t="s">
        <v>62</v>
      </c>
      <c r="F715" s="12" t="s">
        <v>1394</v>
      </c>
      <c r="G715" s="13">
        <v>1859</v>
      </c>
      <c r="H715" s="13"/>
      <c r="I715" s="13"/>
      <c r="J715" s="13">
        <v>1809</v>
      </c>
      <c r="K715" s="13">
        <f t="shared" si="143"/>
        <v>0</v>
      </c>
      <c r="L715" s="13">
        <f t="shared" si="132"/>
        <v>1859</v>
      </c>
      <c r="M715" s="13" t="str">
        <f t="shared" si="133"/>
        <v/>
      </c>
      <c r="N715" s="13">
        <f t="shared" si="134"/>
        <v>1809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8</v>
      </c>
      <c r="C716" s="12" t="s">
        <v>1395</v>
      </c>
      <c r="D716" s="16" t="s">
        <v>59</v>
      </c>
      <c r="E716" s="12" t="s">
        <v>26</v>
      </c>
      <c r="F716" s="12" t="s">
        <v>1396</v>
      </c>
      <c r="G716" s="13">
        <v>1859</v>
      </c>
      <c r="H716" s="13"/>
      <c r="I716" s="13"/>
      <c r="J716" s="13">
        <v>1814</v>
      </c>
      <c r="K716" s="13">
        <f t="shared" si="143"/>
        <v>0</v>
      </c>
      <c r="L716" s="13">
        <f t="shared" si="132"/>
        <v>1859</v>
      </c>
      <c r="M716" s="13" t="str">
        <f t="shared" si="133"/>
        <v/>
      </c>
      <c r="N716" s="13">
        <f t="shared" si="134"/>
        <v>1814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1420</v>
      </c>
      <c r="D717" s="12" t="s">
        <v>49</v>
      </c>
      <c r="E717" s="12" t="s">
        <v>62</v>
      </c>
      <c r="F717" s="12" t="s">
        <v>1421</v>
      </c>
      <c r="G717" s="13">
        <v>1859</v>
      </c>
      <c r="H717" s="13"/>
      <c r="I717" s="13"/>
      <c r="J717" s="13">
        <v>1820</v>
      </c>
      <c r="K717" s="13">
        <f t="shared" si="143"/>
        <v>0</v>
      </c>
      <c r="L717" s="13">
        <f t="shared" si="132"/>
        <v>1859</v>
      </c>
      <c r="M717" s="13" t="str">
        <f t="shared" si="133"/>
        <v/>
      </c>
      <c r="N717" s="13">
        <f t="shared" si="134"/>
        <v>1820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10</v>
      </c>
      <c r="C718" s="12" t="s">
        <v>1463</v>
      </c>
      <c r="D718" s="12" t="s">
        <v>49</v>
      </c>
      <c r="E718" s="12" t="s">
        <v>26</v>
      </c>
      <c r="F718" s="12" t="s">
        <v>1464</v>
      </c>
      <c r="G718" s="13">
        <v>1859</v>
      </c>
      <c r="H718" s="13"/>
      <c r="I718" s="13"/>
      <c r="J718" s="13">
        <v>1829</v>
      </c>
      <c r="K718" s="13">
        <f t="shared" ref="K718:K728" si="144">IF(AND(IFERROR(SEARCH("현대오일뱅크",$C718),0)&gt;0,IFERROR(SEARCH("직영",$C718),0)&gt;0),$B$13,0)</f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1829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5">IF($T719="","",1+COUNTIF($W$15:$W$878,"&lt;"&amp;W719))</f>
        <v/>
      </c>
      <c r="B719" s="12" t="s">
        <v>10</v>
      </c>
      <c r="C719" s="12" t="s">
        <v>1397</v>
      </c>
      <c r="D719" s="12" t="s">
        <v>45</v>
      </c>
      <c r="E719" s="12" t="s">
        <v>26</v>
      </c>
      <c r="F719" s="12" t="s">
        <v>1398</v>
      </c>
      <c r="G719" s="13">
        <v>1859</v>
      </c>
      <c r="H719" s="13"/>
      <c r="I719" s="13"/>
      <c r="J719" s="13">
        <v>1829</v>
      </c>
      <c r="K719" s="13">
        <f t="shared" si="144"/>
        <v>0</v>
      </c>
      <c r="L719" s="13">
        <f t="shared" ref="L719:L782" si="146">IF($G719="","",$G719+$K719)</f>
        <v>1859</v>
      </c>
      <c r="M719" s="13" t="str">
        <f t="shared" ref="M719:M782" si="147">IF($H719="","",$H719+$K719)</f>
        <v/>
      </c>
      <c r="N719" s="13">
        <f t="shared" ref="N719:N782" si="148">IF($J719="","",$J719+$K719)</f>
        <v>1829</v>
      </c>
      <c r="O719" s="13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50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1">IF($P719="","",IF($Q719="Y",IFERROR(VLOOKUP($B719,$C$4:$D$13,2,FALSE()),0),0))</f>
        <v/>
      </c>
      <c r="S719" s="13" t="str">
        <f t="shared" ref="S719:S782" si="152">IF($P719="","",ROUNDDOWN($P719*$R719,0))</f>
        <v/>
      </c>
      <c r="T719" s="13" t="str">
        <f t="shared" ref="T719:T782" si="153">IF($P719="","",$P719-$S719)</f>
        <v/>
      </c>
      <c r="U719" s="13" t="str">
        <f t="shared" ref="U719:U782" si="154">IF($T719="","",IF($B$10=0,"",$T719/$B$10))</f>
        <v/>
      </c>
      <c r="V719" s="13" t="str">
        <f t="shared" ref="V719:V782" si="155">IF($P719="","",IF($B$10=0,"",$P719/$B$10))</f>
        <v/>
      </c>
      <c r="W719" s="15">
        <f t="shared" ref="W719:W782" si="156">IF($T719="",1000000000000000,$T719)</f>
        <v>1000000000000000</v>
      </c>
    </row>
    <row r="720" spans="1:23" s="8" customFormat="1" ht="28.5" customHeight="1">
      <c r="A720" s="12" t="str">
        <f t="shared" si="145"/>
        <v/>
      </c>
      <c r="B720" s="12" t="s">
        <v>10</v>
      </c>
      <c r="C720" s="12" t="s">
        <v>1403</v>
      </c>
      <c r="D720" s="16" t="s">
        <v>52</v>
      </c>
      <c r="E720" s="12" t="s">
        <v>26</v>
      </c>
      <c r="F720" s="12" t="s">
        <v>1404</v>
      </c>
      <c r="G720" s="13">
        <v>1859</v>
      </c>
      <c r="H720" s="13"/>
      <c r="I720" s="13"/>
      <c r="J720" s="13">
        <v>1839</v>
      </c>
      <c r="K720" s="13">
        <f t="shared" si="144"/>
        <v>0</v>
      </c>
      <c r="L720" s="13">
        <f t="shared" si="146"/>
        <v>1859</v>
      </c>
      <c r="M720" s="13" t="str">
        <f t="shared" si="147"/>
        <v/>
      </c>
      <c r="N720" s="13">
        <f t="shared" si="148"/>
        <v>1839</v>
      </c>
      <c r="O720" s="13" t="str">
        <f t="shared" si="149"/>
        <v/>
      </c>
      <c r="P720" s="13" t="str">
        <f t="shared" si="150"/>
        <v/>
      </c>
      <c r="Q720" s="13"/>
      <c r="R720" s="14" t="str">
        <f t="shared" si="151"/>
        <v/>
      </c>
      <c r="S720" s="13" t="str">
        <f t="shared" si="152"/>
        <v/>
      </c>
      <c r="T720" s="13" t="str">
        <f t="shared" si="153"/>
        <v/>
      </c>
      <c r="U720" s="13" t="str">
        <f t="shared" si="154"/>
        <v/>
      </c>
      <c r="V720" s="13" t="str">
        <f t="shared" si="155"/>
        <v/>
      </c>
      <c r="W720" s="15">
        <f t="shared" si="156"/>
        <v>1000000000000000</v>
      </c>
    </row>
    <row r="721" spans="1:23" s="17" customFormat="1" ht="28.5" customHeight="1">
      <c r="A721" s="12" t="str">
        <f t="shared" si="145"/>
        <v/>
      </c>
      <c r="B721" s="12" t="s">
        <v>6</v>
      </c>
      <c r="C721" s="12" t="s">
        <v>1407</v>
      </c>
      <c r="D721" s="16" t="s">
        <v>52</v>
      </c>
      <c r="E721" s="12" t="s">
        <v>62</v>
      </c>
      <c r="F721" s="12" t="s">
        <v>1408</v>
      </c>
      <c r="G721" s="13">
        <v>1859</v>
      </c>
      <c r="H721" s="13"/>
      <c r="I721" s="13"/>
      <c r="J721" s="13">
        <v>1849</v>
      </c>
      <c r="K721" s="13">
        <f t="shared" si="144"/>
        <v>0</v>
      </c>
      <c r="L721" s="13">
        <f t="shared" si="146"/>
        <v>1859</v>
      </c>
      <c r="M721" s="13" t="str">
        <f t="shared" si="147"/>
        <v/>
      </c>
      <c r="N721" s="13">
        <f t="shared" si="148"/>
        <v>1849</v>
      </c>
      <c r="O721" s="13" t="str">
        <f t="shared" si="149"/>
        <v/>
      </c>
      <c r="P721" s="13" t="str">
        <f t="shared" si="150"/>
        <v/>
      </c>
      <c r="Q721" s="13"/>
      <c r="R721" s="14" t="str">
        <f t="shared" si="151"/>
        <v/>
      </c>
      <c r="S721" s="13" t="str">
        <f t="shared" si="152"/>
        <v/>
      </c>
      <c r="T721" s="13" t="str">
        <f t="shared" si="153"/>
        <v/>
      </c>
      <c r="U721" s="13" t="str">
        <f t="shared" si="154"/>
        <v/>
      </c>
      <c r="V721" s="13" t="str">
        <f t="shared" si="155"/>
        <v/>
      </c>
      <c r="W721" s="15">
        <f t="shared" si="156"/>
        <v>1000000000000000</v>
      </c>
    </row>
    <row r="722" spans="1:23" s="2" customFormat="1" ht="28.5" customHeight="1">
      <c r="A722" s="12" t="str">
        <f t="shared" si="145"/>
        <v/>
      </c>
      <c r="B722" s="12" t="s">
        <v>10</v>
      </c>
      <c r="C722" s="12" t="s">
        <v>1413</v>
      </c>
      <c r="D722" s="12" t="s">
        <v>49</v>
      </c>
      <c r="E722" s="12" t="s">
        <v>26</v>
      </c>
      <c r="F722" s="12" t="s">
        <v>1414</v>
      </c>
      <c r="G722" s="13">
        <v>1859</v>
      </c>
      <c r="H722" s="13"/>
      <c r="I722" s="13"/>
      <c r="J722" s="13">
        <v>1849</v>
      </c>
      <c r="K722" s="13">
        <f t="shared" si="144"/>
        <v>0</v>
      </c>
      <c r="L722" s="13">
        <f t="shared" si="146"/>
        <v>1859</v>
      </c>
      <c r="M722" s="13" t="str">
        <f t="shared" si="147"/>
        <v/>
      </c>
      <c r="N722" s="13">
        <f t="shared" si="148"/>
        <v>1849</v>
      </c>
      <c r="O722" s="13" t="str">
        <f t="shared" si="149"/>
        <v/>
      </c>
      <c r="P722" s="13" t="str">
        <f t="shared" si="150"/>
        <v/>
      </c>
      <c r="Q722" s="13"/>
      <c r="R722" s="14" t="str">
        <f t="shared" si="151"/>
        <v/>
      </c>
      <c r="S722" s="13" t="str">
        <f t="shared" si="152"/>
        <v/>
      </c>
      <c r="T722" s="13" t="str">
        <f t="shared" si="153"/>
        <v/>
      </c>
      <c r="U722" s="13" t="str">
        <f t="shared" si="154"/>
        <v/>
      </c>
      <c r="V722" s="13" t="str">
        <f t="shared" si="155"/>
        <v/>
      </c>
      <c r="W722" s="15">
        <f t="shared" si="156"/>
        <v>1000000000000000</v>
      </c>
    </row>
    <row r="723" spans="1:23" s="2" customFormat="1" ht="28.5" customHeight="1">
      <c r="A723" s="12" t="str">
        <f t="shared" si="145"/>
        <v/>
      </c>
      <c r="B723" s="12" t="s">
        <v>10</v>
      </c>
      <c r="C723" s="12" t="s">
        <v>1416</v>
      </c>
      <c r="D723" s="12" t="s">
        <v>749</v>
      </c>
      <c r="E723" s="12" t="s">
        <v>62</v>
      </c>
      <c r="F723" s="12" t="s">
        <v>1417</v>
      </c>
      <c r="G723" s="13">
        <v>1859</v>
      </c>
      <c r="H723" s="13"/>
      <c r="I723" s="13"/>
      <c r="J723" s="13">
        <v>1849</v>
      </c>
      <c r="K723" s="13">
        <f t="shared" si="144"/>
        <v>0</v>
      </c>
      <c r="L723" s="13">
        <f t="shared" si="146"/>
        <v>1859</v>
      </c>
      <c r="M723" s="13" t="str">
        <f t="shared" si="147"/>
        <v/>
      </c>
      <c r="N723" s="13">
        <f t="shared" si="148"/>
        <v>1849</v>
      </c>
      <c r="O723" s="13" t="str">
        <f t="shared" si="149"/>
        <v/>
      </c>
      <c r="P723" s="13" t="str">
        <f t="shared" si="150"/>
        <v/>
      </c>
      <c r="Q723" s="13"/>
      <c r="R723" s="14" t="str">
        <f t="shared" si="151"/>
        <v/>
      </c>
      <c r="S723" s="13" t="str">
        <f t="shared" si="152"/>
        <v/>
      </c>
      <c r="T723" s="13" t="str">
        <f t="shared" si="153"/>
        <v/>
      </c>
      <c r="U723" s="13" t="str">
        <f t="shared" si="154"/>
        <v/>
      </c>
      <c r="V723" s="13" t="str">
        <f t="shared" si="155"/>
        <v/>
      </c>
      <c r="W723" s="15">
        <f t="shared" si="156"/>
        <v>1000000000000000</v>
      </c>
    </row>
    <row r="724" spans="1:23" s="2" customFormat="1" ht="28.5" customHeight="1">
      <c r="A724" s="12" t="str">
        <f t="shared" si="145"/>
        <v/>
      </c>
      <c r="B724" s="12" t="s">
        <v>10</v>
      </c>
      <c r="C724" s="12" t="s">
        <v>1418</v>
      </c>
      <c r="D724" s="16" t="s">
        <v>52</v>
      </c>
      <c r="E724" s="12" t="s">
        <v>26</v>
      </c>
      <c r="F724" s="12" t="s">
        <v>1419</v>
      </c>
      <c r="G724" s="13">
        <v>1859</v>
      </c>
      <c r="H724" s="13"/>
      <c r="I724" s="13"/>
      <c r="J724" s="13">
        <v>1854</v>
      </c>
      <c r="K724" s="13">
        <f t="shared" si="144"/>
        <v>0</v>
      </c>
      <c r="L724" s="13">
        <f t="shared" si="146"/>
        <v>1859</v>
      </c>
      <c r="M724" s="13" t="str">
        <f t="shared" si="147"/>
        <v/>
      </c>
      <c r="N724" s="13">
        <f t="shared" si="148"/>
        <v>1854</v>
      </c>
      <c r="O724" s="13" t="str">
        <f t="shared" si="149"/>
        <v/>
      </c>
      <c r="P724" s="13" t="str">
        <f t="shared" si="150"/>
        <v/>
      </c>
      <c r="Q724" s="13"/>
      <c r="R724" s="14" t="str">
        <f t="shared" si="151"/>
        <v/>
      </c>
      <c r="S724" s="13" t="str">
        <f t="shared" si="152"/>
        <v/>
      </c>
      <c r="T724" s="13" t="str">
        <f t="shared" si="153"/>
        <v/>
      </c>
      <c r="U724" s="13" t="str">
        <f t="shared" si="154"/>
        <v/>
      </c>
      <c r="V724" s="13" t="str">
        <f t="shared" si="155"/>
        <v/>
      </c>
      <c r="W724" s="15">
        <f t="shared" si="156"/>
        <v>1000000000000000</v>
      </c>
    </row>
    <row r="725" spans="1:23" s="2" customFormat="1" ht="28.5" customHeight="1">
      <c r="A725" s="12" t="str">
        <f t="shared" si="145"/>
        <v/>
      </c>
      <c r="B725" s="12" t="s">
        <v>6</v>
      </c>
      <c r="C725" s="12" t="s">
        <v>1409</v>
      </c>
      <c r="D725" s="12" t="s">
        <v>49</v>
      </c>
      <c r="E725" s="12" t="s">
        <v>62</v>
      </c>
      <c r="F725" s="12" t="s">
        <v>1410</v>
      </c>
      <c r="G725" s="13">
        <v>1859</v>
      </c>
      <c r="H725" s="13"/>
      <c r="I725" s="13"/>
      <c r="J725" s="13">
        <v>1859</v>
      </c>
      <c r="K725" s="13">
        <f t="shared" si="144"/>
        <v>0</v>
      </c>
      <c r="L725" s="13">
        <f t="shared" si="146"/>
        <v>1859</v>
      </c>
      <c r="M725" s="13" t="str">
        <f t="shared" si="147"/>
        <v/>
      </c>
      <c r="N725" s="13">
        <f t="shared" si="148"/>
        <v>1859</v>
      </c>
      <c r="O725" s="13" t="str">
        <f t="shared" si="149"/>
        <v/>
      </c>
      <c r="P725" s="13" t="str">
        <f t="shared" si="150"/>
        <v/>
      </c>
      <c r="Q725" s="13"/>
      <c r="R725" s="14" t="str">
        <f t="shared" si="151"/>
        <v/>
      </c>
      <c r="S725" s="13" t="str">
        <f t="shared" si="152"/>
        <v/>
      </c>
      <c r="T725" s="13" t="str">
        <f t="shared" si="153"/>
        <v/>
      </c>
      <c r="U725" s="13" t="str">
        <f t="shared" si="154"/>
        <v/>
      </c>
      <c r="V725" s="13" t="str">
        <f t="shared" si="155"/>
        <v/>
      </c>
      <c r="W725" s="15">
        <f t="shared" si="156"/>
        <v>1000000000000000</v>
      </c>
    </row>
    <row r="726" spans="1:23" s="2" customFormat="1" ht="28.5" customHeight="1">
      <c r="A726" s="12" t="str">
        <f t="shared" si="145"/>
        <v/>
      </c>
      <c r="B726" s="12" t="s">
        <v>14</v>
      </c>
      <c r="C726" s="12" t="s">
        <v>1425</v>
      </c>
      <c r="D726" s="16" t="s">
        <v>52</v>
      </c>
      <c r="E726" s="12" t="s">
        <v>26</v>
      </c>
      <c r="F726" s="12" t="s">
        <v>1426</v>
      </c>
      <c r="G726" s="13">
        <v>1859</v>
      </c>
      <c r="H726" s="13"/>
      <c r="I726" s="13"/>
      <c r="J726" s="13">
        <v>1869</v>
      </c>
      <c r="K726" s="13">
        <f t="shared" si="144"/>
        <v>0</v>
      </c>
      <c r="L726" s="13">
        <f t="shared" si="146"/>
        <v>1859</v>
      </c>
      <c r="M726" s="13" t="str">
        <f t="shared" si="147"/>
        <v/>
      </c>
      <c r="N726" s="13">
        <f t="shared" si="148"/>
        <v>1869</v>
      </c>
      <c r="O726" s="13" t="str">
        <f t="shared" si="149"/>
        <v/>
      </c>
      <c r="P726" s="13" t="str">
        <f t="shared" si="150"/>
        <v/>
      </c>
      <c r="Q726" s="13"/>
      <c r="R726" s="14" t="str">
        <f t="shared" si="151"/>
        <v/>
      </c>
      <c r="S726" s="13" t="str">
        <f t="shared" si="152"/>
        <v/>
      </c>
      <c r="T726" s="13" t="str">
        <f t="shared" si="153"/>
        <v/>
      </c>
      <c r="U726" s="13" t="str">
        <f t="shared" si="154"/>
        <v/>
      </c>
      <c r="V726" s="13" t="str">
        <f t="shared" si="155"/>
        <v/>
      </c>
      <c r="W726" s="15">
        <f t="shared" si="156"/>
        <v>1000000000000000</v>
      </c>
    </row>
    <row r="727" spans="1:23" s="2" customFormat="1" ht="28.5" customHeight="1">
      <c r="A727" s="12" t="str">
        <f t="shared" si="145"/>
        <v/>
      </c>
      <c r="B727" s="12" t="s">
        <v>14</v>
      </c>
      <c r="C727" s="12" t="s">
        <v>1427</v>
      </c>
      <c r="D727" s="12" t="s">
        <v>49</v>
      </c>
      <c r="E727" s="12" t="s">
        <v>26</v>
      </c>
      <c r="F727" s="12" t="s">
        <v>1428</v>
      </c>
      <c r="G727" s="13">
        <v>1859</v>
      </c>
      <c r="H727" s="13"/>
      <c r="I727" s="13"/>
      <c r="J727" s="13">
        <v>1869</v>
      </c>
      <c r="K727" s="13">
        <f t="shared" si="144"/>
        <v>0</v>
      </c>
      <c r="L727" s="13">
        <f t="shared" si="146"/>
        <v>1859</v>
      </c>
      <c r="M727" s="13" t="str">
        <f t="shared" si="147"/>
        <v/>
      </c>
      <c r="N727" s="13">
        <f t="shared" si="148"/>
        <v>1869</v>
      </c>
      <c r="O727" s="13" t="str">
        <f t="shared" si="149"/>
        <v/>
      </c>
      <c r="P727" s="13" t="str">
        <f t="shared" si="150"/>
        <v/>
      </c>
      <c r="Q727" s="13"/>
      <c r="R727" s="14" t="str">
        <f t="shared" si="151"/>
        <v/>
      </c>
      <c r="S727" s="13" t="str">
        <f t="shared" si="152"/>
        <v/>
      </c>
      <c r="T727" s="13" t="str">
        <f t="shared" si="153"/>
        <v/>
      </c>
      <c r="U727" s="13" t="str">
        <f t="shared" si="154"/>
        <v/>
      </c>
      <c r="V727" s="13" t="str">
        <f t="shared" si="155"/>
        <v/>
      </c>
      <c r="W727" s="15">
        <f t="shared" si="156"/>
        <v>1000000000000000</v>
      </c>
    </row>
    <row r="728" spans="1:23" s="2" customFormat="1" ht="28.5" customHeight="1">
      <c r="A728" s="12" t="str">
        <f t="shared" si="145"/>
        <v/>
      </c>
      <c r="B728" s="12" t="s">
        <v>6</v>
      </c>
      <c r="C728" s="12" t="s">
        <v>1168</v>
      </c>
      <c r="D728" s="16" t="s">
        <v>52</v>
      </c>
      <c r="E728" s="12" t="s">
        <v>26</v>
      </c>
      <c r="F728" s="12" t="s">
        <v>1169</v>
      </c>
      <c r="G728" s="13">
        <v>1862</v>
      </c>
      <c r="H728" s="13"/>
      <c r="I728" s="13"/>
      <c r="J728" s="13">
        <v>1842</v>
      </c>
      <c r="K728" s="13">
        <f t="shared" si="144"/>
        <v>0</v>
      </c>
      <c r="L728" s="13">
        <f t="shared" si="146"/>
        <v>1862</v>
      </c>
      <c r="M728" s="13" t="str">
        <f t="shared" si="147"/>
        <v/>
      </c>
      <c r="N728" s="13">
        <f t="shared" si="148"/>
        <v>1842</v>
      </c>
      <c r="O728" s="13" t="str">
        <f t="shared" si="149"/>
        <v/>
      </c>
      <c r="P728" s="13" t="str">
        <f t="shared" si="150"/>
        <v/>
      </c>
      <c r="Q728" s="13"/>
      <c r="R728" s="14" t="str">
        <f t="shared" si="151"/>
        <v/>
      </c>
      <c r="S728" s="13" t="str">
        <f t="shared" si="152"/>
        <v/>
      </c>
      <c r="T728" s="13" t="str">
        <f t="shared" si="153"/>
        <v/>
      </c>
      <c r="U728" s="13" t="str">
        <f t="shared" si="154"/>
        <v/>
      </c>
      <c r="V728" s="13" t="str">
        <f t="shared" si="155"/>
        <v/>
      </c>
      <c r="W728" s="15">
        <f t="shared" si="156"/>
        <v>1000000000000000</v>
      </c>
    </row>
    <row r="729" spans="1:23" s="2" customFormat="1" ht="28.5" customHeight="1">
      <c r="A729" s="12" t="str">
        <f t="shared" si="145"/>
        <v/>
      </c>
      <c r="B729" s="12" t="s">
        <v>10</v>
      </c>
      <c r="C729" s="12" t="s">
        <v>1431</v>
      </c>
      <c r="D729" s="16" t="s">
        <v>52</v>
      </c>
      <c r="E729" s="12" t="s">
        <v>26</v>
      </c>
      <c r="F729" s="12" t="s">
        <v>1432</v>
      </c>
      <c r="G729" s="13">
        <v>1864</v>
      </c>
      <c r="H729" s="13"/>
      <c r="I729" s="13"/>
      <c r="J729" s="13">
        <v>1854</v>
      </c>
      <c r="K729" s="13">
        <v>0</v>
      </c>
      <c r="L729" s="13">
        <f t="shared" si="146"/>
        <v>1864</v>
      </c>
      <c r="M729" s="13" t="str">
        <f t="shared" si="147"/>
        <v/>
      </c>
      <c r="N729" s="13">
        <f t="shared" si="148"/>
        <v>1854</v>
      </c>
      <c r="O729" s="13" t="str">
        <f t="shared" si="149"/>
        <v/>
      </c>
      <c r="P729" s="13" t="str">
        <f t="shared" si="150"/>
        <v/>
      </c>
      <c r="Q729" s="13"/>
      <c r="R729" s="14" t="str">
        <f t="shared" si="151"/>
        <v/>
      </c>
      <c r="S729" s="13" t="str">
        <f t="shared" si="152"/>
        <v/>
      </c>
      <c r="T729" s="13" t="str">
        <f t="shared" si="153"/>
        <v/>
      </c>
      <c r="U729" s="13" t="str">
        <f t="shared" si="154"/>
        <v/>
      </c>
      <c r="V729" s="13" t="str">
        <f t="shared" si="155"/>
        <v/>
      </c>
      <c r="W729" s="15">
        <f t="shared" si="156"/>
        <v>1000000000000000</v>
      </c>
    </row>
    <row r="730" spans="1:23" s="8" customFormat="1" ht="28.5" customHeight="1">
      <c r="A730" s="12" t="str">
        <f t="shared" si="145"/>
        <v/>
      </c>
      <c r="B730" s="12" t="s">
        <v>10</v>
      </c>
      <c r="C730" s="12" t="s">
        <v>1440</v>
      </c>
      <c r="D730" s="16" t="s">
        <v>71</v>
      </c>
      <c r="E730" s="12" t="s">
        <v>62</v>
      </c>
      <c r="F730" s="12" t="s">
        <v>1441</v>
      </c>
      <c r="G730" s="13">
        <v>1865</v>
      </c>
      <c r="H730" s="13"/>
      <c r="I730" s="13"/>
      <c r="J730" s="13">
        <v>1825</v>
      </c>
      <c r="K730" s="13">
        <f t="shared" ref="K730:K735" si="157">IF(AND(IFERROR(SEARCH("현대오일뱅크",$C730),0)&gt;0,IFERROR(SEARCH("직영",$C730),0)&gt;0),$B$13,0)</f>
        <v>0</v>
      </c>
      <c r="L730" s="13">
        <f t="shared" si="146"/>
        <v>1865</v>
      </c>
      <c r="M730" s="13" t="str">
        <f t="shared" si="147"/>
        <v/>
      </c>
      <c r="N730" s="13">
        <f t="shared" si="148"/>
        <v>1825</v>
      </c>
      <c r="O730" s="13" t="str">
        <f t="shared" si="149"/>
        <v/>
      </c>
      <c r="P730" s="13" t="str">
        <f t="shared" si="150"/>
        <v/>
      </c>
      <c r="Q730" s="13"/>
      <c r="R730" s="14" t="str">
        <f t="shared" si="151"/>
        <v/>
      </c>
      <c r="S730" s="13" t="str">
        <f t="shared" si="152"/>
        <v/>
      </c>
      <c r="T730" s="13" t="str">
        <f t="shared" si="153"/>
        <v/>
      </c>
      <c r="U730" s="13" t="str">
        <f t="shared" si="154"/>
        <v/>
      </c>
      <c r="V730" s="13" t="str">
        <f t="shared" si="155"/>
        <v/>
      </c>
      <c r="W730" s="15">
        <f t="shared" si="156"/>
        <v>1000000000000000</v>
      </c>
    </row>
    <row r="731" spans="1:23" s="17" customFormat="1" ht="28.5" customHeight="1">
      <c r="A731" s="12" t="str">
        <f t="shared" si="145"/>
        <v/>
      </c>
      <c r="B731" s="12" t="s">
        <v>14</v>
      </c>
      <c r="C731" s="12" t="s">
        <v>1433</v>
      </c>
      <c r="D731" s="16" t="s">
        <v>52</v>
      </c>
      <c r="E731" s="12" t="s">
        <v>26</v>
      </c>
      <c r="F731" s="12" t="s">
        <v>1434</v>
      </c>
      <c r="G731" s="13">
        <v>1865</v>
      </c>
      <c r="H731" s="13"/>
      <c r="I731" s="13"/>
      <c r="J731" s="13">
        <v>1845</v>
      </c>
      <c r="K731" s="13">
        <f t="shared" si="157"/>
        <v>0</v>
      </c>
      <c r="L731" s="13">
        <f t="shared" si="146"/>
        <v>1865</v>
      </c>
      <c r="M731" s="13" t="str">
        <f t="shared" si="147"/>
        <v/>
      </c>
      <c r="N731" s="13">
        <f t="shared" si="148"/>
        <v>1845</v>
      </c>
      <c r="O731" s="13" t="str">
        <f t="shared" si="149"/>
        <v/>
      </c>
      <c r="P731" s="13" t="str">
        <f t="shared" si="150"/>
        <v/>
      </c>
      <c r="Q731" s="13"/>
      <c r="R731" s="14" t="str">
        <f t="shared" si="151"/>
        <v/>
      </c>
      <c r="S731" s="13" t="str">
        <f t="shared" si="152"/>
        <v/>
      </c>
      <c r="T731" s="13" t="str">
        <f t="shared" si="153"/>
        <v/>
      </c>
      <c r="U731" s="13" t="str">
        <f t="shared" si="154"/>
        <v/>
      </c>
      <c r="V731" s="13" t="str">
        <f t="shared" si="155"/>
        <v/>
      </c>
      <c r="W731" s="15">
        <f t="shared" si="156"/>
        <v>1000000000000000</v>
      </c>
    </row>
    <row r="732" spans="1:23" s="2" customFormat="1" ht="28.5" customHeight="1">
      <c r="A732" s="12" t="str">
        <f t="shared" si="145"/>
        <v/>
      </c>
      <c r="B732" s="12" t="s">
        <v>14</v>
      </c>
      <c r="C732" s="12" t="s">
        <v>535</v>
      </c>
      <c r="D732" s="16" t="s">
        <v>71</v>
      </c>
      <c r="E732" s="12" t="s">
        <v>62</v>
      </c>
      <c r="F732" s="12" t="s">
        <v>1435</v>
      </c>
      <c r="G732" s="13">
        <v>1865</v>
      </c>
      <c r="H732" s="13"/>
      <c r="I732" s="13"/>
      <c r="J732" s="13">
        <v>1845</v>
      </c>
      <c r="K732" s="13">
        <f t="shared" si="157"/>
        <v>0</v>
      </c>
      <c r="L732" s="13">
        <f t="shared" si="146"/>
        <v>1865</v>
      </c>
      <c r="M732" s="13" t="str">
        <f t="shared" si="147"/>
        <v/>
      </c>
      <c r="N732" s="13">
        <f t="shared" si="148"/>
        <v>1845</v>
      </c>
      <c r="O732" s="13" t="str">
        <f t="shared" si="149"/>
        <v/>
      </c>
      <c r="P732" s="13" t="str">
        <f t="shared" si="150"/>
        <v/>
      </c>
      <c r="Q732" s="13"/>
      <c r="R732" s="14" t="str">
        <f t="shared" si="151"/>
        <v/>
      </c>
      <c r="S732" s="13" t="str">
        <f t="shared" si="152"/>
        <v/>
      </c>
      <c r="T732" s="13" t="str">
        <f t="shared" si="153"/>
        <v/>
      </c>
      <c r="U732" s="13" t="str">
        <f t="shared" si="154"/>
        <v/>
      </c>
      <c r="V732" s="13" t="str">
        <f t="shared" si="155"/>
        <v/>
      </c>
      <c r="W732" s="15">
        <f t="shared" si="156"/>
        <v>1000000000000000</v>
      </c>
    </row>
    <row r="733" spans="1:23" s="2" customFormat="1" ht="28.5" customHeight="1">
      <c r="A733" s="12" t="str">
        <f t="shared" si="145"/>
        <v/>
      </c>
      <c r="B733" s="12" t="s">
        <v>16</v>
      </c>
      <c r="C733" s="12" t="s">
        <v>1436</v>
      </c>
      <c r="D733" s="16" t="s">
        <v>52</v>
      </c>
      <c r="E733" s="12" t="s">
        <v>26</v>
      </c>
      <c r="F733" s="12" t="s">
        <v>1437</v>
      </c>
      <c r="G733" s="13">
        <v>1865</v>
      </c>
      <c r="H733" s="13"/>
      <c r="I733" s="13"/>
      <c r="J733" s="13">
        <v>1848</v>
      </c>
      <c r="K733" s="13">
        <f t="shared" si="157"/>
        <v>0</v>
      </c>
      <c r="L733" s="13">
        <f t="shared" si="146"/>
        <v>1865</v>
      </c>
      <c r="M733" s="13" t="str">
        <f t="shared" si="147"/>
        <v/>
      </c>
      <c r="N733" s="13">
        <f t="shared" si="148"/>
        <v>1848</v>
      </c>
      <c r="O733" s="13" t="str">
        <f t="shared" si="149"/>
        <v/>
      </c>
      <c r="P733" s="13" t="str">
        <f t="shared" si="150"/>
        <v/>
      </c>
      <c r="Q733" s="13"/>
      <c r="R733" s="14" t="str">
        <f t="shared" si="151"/>
        <v/>
      </c>
      <c r="S733" s="13" t="str">
        <f t="shared" si="152"/>
        <v/>
      </c>
      <c r="T733" s="13" t="str">
        <f t="shared" si="153"/>
        <v/>
      </c>
      <c r="U733" s="13" t="str">
        <f t="shared" si="154"/>
        <v/>
      </c>
      <c r="V733" s="13" t="str">
        <f t="shared" si="155"/>
        <v/>
      </c>
      <c r="W733" s="15">
        <f t="shared" si="156"/>
        <v>1000000000000000</v>
      </c>
    </row>
    <row r="734" spans="1:23" s="2" customFormat="1" ht="28.5" customHeight="1">
      <c r="A734" s="12" t="str">
        <f t="shared" si="145"/>
        <v/>
      </c>
      <c r="B734" s="12" t="s">
        <v>14</v>
      </c>
      <c r="C734" s="12" t="s">
        <v>1514</v>
      </c>
      <c r="D734" s="16" t="s">
        <v>52</v>
      </c>
      <c r="E734" s="12" t="s">
        <v>26</v>
      </c>
      <c r="F734" s="12" t="s">
        <v>1515</v>
      </c>
      <c r="G734" s="13">
        <v>1865</v>
      </c>
      <c r="H734" s="13"/>
      <c r="I734" s="13"/>
      <c r="J734" s="13">
        <v>1855</v>
      </c>
      <c r="K734" s="13">
        <f t="shared" si="157"/>
        <v>0</v>
      </c>
      <c r="L734" s="13">
        <f t="shared" si="146"/>
        <v>1865</v>
      </c>
      <c r="M734" s="13" t="str">
        <f t="shared" si="147"/>
        <v/>
      </c>
      <c r="N734" s="13">
        <f t="shared" si="148"/>
        <v>1855</v>
      </c>
      <c r="O734" s="13" t="str">
        <f t="shared" si="149"/>
        <v/>
      </c>
      <c r="P734" s="13" t="str">
        <f t="shared" si="150"/>
        <v/>
      </c>
      <c r="Q734" s="13"/>
      <c r="R734" s="14" t="str">
        <f t="shared" si="151"/>
        <v/>
      </c>
      <c r="S734" s="13" t="str">
        <f t="shared" si="152"/>
        <v/>
      </c>
      <c r="T734" s="13" t="str">
        <f t="shared" si="153"/>
        <v/>
      </c>
      <c r="U734" s="13" t="str">
        <f t="shared" si="154"/>
        <v/>
      </c>
      <c r="V734" s="13" t="str">
        <f t="shared" si="155"/>
        <v/>
      </c>
      <c r="W734" s="15">
        <f t="shared" si="156"/>
        <v>1000000000000000</v>
      </c>
    </row>
    <row r="735" spans="1:23" s="2" customFormat="1" ht="28.5" customHeight="1">
      <c r="A735" s="12" t="str">
        <f t="shared" si="145"/>
        <v/>
      </c>
      <c r="B735" s="12" t="s">
        <v>18</v>
      </c>
      <c r="C735" s="12" t="s">
        <v>1438</v>
      </c>
      <c r="D735" s="16" t="s">
        <v>52</v>
      </c>
      <c r="E735" s="12" t="s">
        <v>62</v>
      </c>
      <c r="F735" s="12" t="s">
        <v>1439</v>
      </c>
      <c r="G735" s="13">
        <v>1865</v>
      </c>
      <c r="H735" s="13"/>
      <c r="I735" s="13"/>
      <c r="J735" s="13">
        <v>1857</v>
      </c>
      <c r="K735" s="13">
        <f t="shared" si="157"/>
        <v>0</v>
      </c>
      <c r="L735" s="13">
        <f t="shared" si="146"/>
        <v>1865</v>
      </c>
      <c r="M735" s="13" t="str">
        <f t="shared" si="147"/>
        <v/>
      </c>
      <c r="N735" s="13">
        <f t="shared" si="148"/>
        <v>1857</v>
      </c>
      <c r="O735" s="13" t="str">
        <f t="shared" si="149"/>
        <v/>
      </c>
      <c r="P735" s="13" t="str">
        <f t="shared" si="150"/>
        <v/>
      </c>
      <c r="Q735" s="13"/>
      <c r="R735" s="14" t="str">
        <f t="shared" si="151"/>
        <v/>
      </c>
      <c r="S735" s="13" t="str">
        <f t="shared" si="152"/>
        <v/>
      </c>
      <c r="T735" s="13" t="str">
        <f t="shared" si="153"/>
        <v/>
      </c>
      <c r="U735" s="13" t="str">
        <f t="shared" si="154"/>
        <v/>
      </c>
      <c r="V735" s="13" t="str">
        <f t="shared" si="155"/>
        <v/>
      </c>
      <c r="W735" s="15">
        <f t="shared" si="156"/>
        <v>1000000000000000</v>
      </c>
    </row>
    <row r="736" spans="1:23" s="8" customFormat="1" ht="28.5" customHeight="1">
      <c r="A736" s="12" t="str">
        <f t="shared" si="145"/>
        <v/>
      </c>
      <c r="B736" s="12" t="s">
        <v>6</v>
      </c>
      <c r="C736" s="12" t="s">
        <v>1442</v>
      </c>
      <c r="D736" s="16" t="s">
        <v>52</v>
      </c>
      <c r="E736" s="12" t="s">
        <v>62</v>
      </c>
      <c r="F736" s="12" t="s">
        <v>1443</v>
      </c>
      <c r="G736" s="13">
        <v>1866</v>
      </c>
      <c r="H736" s="13"/>
      <c r="I736" s="13"/>
      <c r="J736" s="13">
        <v>1850</v>
      </c>
      <c r="K736" s="13">
        <v>0</v>
      </c>
      <c r="L736" s="13">
        <f t="shared" si="146"/>
        <v>1866</v>
      </c>
      <c r="M736" s="13" t="str">
        <f t="shared" si="147"/>
        <v/>
      </c>
      <c r="N736" s="13">
        <f t="shared" si="148"/>
        <v>1850</v>
      </c>
      <c r="O736" s="13" t="str">
        <f t="shared" si="149"/>
        <v/>
      </c>
      <c r="P736" s="13" t="str">
        <f t="shared" si="150"/>
        <v/>
      </c>
      <c r="Q736" s="13"/>
      <c r="R736" s="14" t="str">
        <f t="shared" si="151"/>
        <v/>
      </c>
      <c r="S736" s="13" t="str">
        <f t="shared" si="152"/>
        <v/>
      </c>
      <c r="T736" s="13" t="str">
        <f t="shared" si="153"/>
        <v/>
      </c>
      <c r="U736" s="13" t="str">
        <f t="shared" si="154"/>
        <v/>
      </c>
      <c r="V736" s="13" t="str">
        <f t="shared" si="155"/>
        <v/>
      </c>
      <c r="W736" s="15">
        <f t="shared" si="156"/>
        <v>1000000000000000</v>
      </c>
    </row>
    <row r="737" spans="1:23" s="8" customFormat="1" ht="28.5" customHeight="1">
      <c r="A737" s="12" t="str">
        <f t="shared" si="145"/>
        <v/>
      </c>
      <c r="B737" s="12" t="s">
        <v>12</v>
      </c>
      <c r="C737" s="12" t="s">
        <v>1444</v>
      </c>
      <c r="D737" s="16" t="s">
        <v>59</v>
      </c>
      <c r="E737" s="12" t="s">
        <v>62</v>
      </c>
      <c r="F737" s="12" t="s">
        <v>1445</v>
      </c>
      <c r="G737" s="13">
        <v>1867</v>
      </c>
      <c r="H737" s="13"/>
      <c r="I737" s="13"/>
      <c r="J737" s="13">
        <v>1827</v>
      </c>
      <c r="K737" s="13">
        <f t="shared" ref="K737:K761" si="158">IF(AND(IFERROR(SEARCH("현대오일뱅크",$C737),0)&gt;0,IFERROR(SEARCH("직영",$C737),0)&gt;0),$B$13,0)</f>
        <v>0</v>
      </c>
      <c r="L737" s="13">
        <f t="shared" si="146"/>
        <v>1867</v>
      </c>
      <c r="M737" s="13" t="str">
        <f t="shared" si="147"/>
        <v/>
      </c>
      <c r="N737" s="13">
        <f t="shared" si="148"/>
        <v>1827</v>
      </c>
      <c r="O737" s="13" t="str">
        <f t="shared" si="149"/>
        <v/>
      </c>
      <c r="P737" s="13" t="str">
        <f t="shared" si="150"/>
        <v/>
      </c>
      <c r="Q737" s="13"/>
      <c r="R737" s="14" t="str">
        <f t="shared" si="151"/>
        <v/>
      </c>
      <c r="S737" s="13" t="str">
        <f t="shared" si="152"/>
        <v/>
      </c>
      <c r="T737" s="13" t="str">
        <f t="shared" si="153"/>
        <v/>
      </c>
      <c r="U737" s="13" t="str">
        <f t="shared" si="154"/>
        <v/>
      </c>
      <c r="V737" s="13" t="str">
        <f t="shared" si="155"/>
        <v/>
      </c>
      <c r="W737" s="15">
        <f t="shared" si="156"/>
        <v>1000000000000000</v>
      </c>
    </row>
    <row r="738" spans="1:23" s="2" customFormat="1" ht="28.5" customHeight="1">
      <c r="A738" s="12" t="str">
        <f t="shared" si="145"/>
        <v/>
      </c>
      <c r="B738" s="12" t="s">
        <v>10</v>
      </c>
      <c r="C738" s="12" t="s">
        <v>1516</v>
      </c>
      <c r="D738" s="16" t="s">
        <v>71</v>
      </c>
      <c r="E738" s="12" t="s">
        <v>26</v>
      </c>
      <c r="F738" s="12" t="s">
        <v>1517</v>
      </c>
      <c r="G738" s="13">
        <v>1867</v>
      </c>
      <c r="H738" s="13"/>
      <c r="I738" s="13"/>
      <c r="J738" s="13">
        <v>1854</v>
      </c>
      <c r="K738" s="13">
        <f t="shared" si="158"/>
        <v>0</v>
      </c>
      <c r="L738" s="13">
        <f t="shared" si="146"/>
        <v>1867</v>
      </c>
      <c r="M738" s="13" t="str">
        <f t="shared" si="147"/>
        <v/>
      </c>
      <c r="N738" s="13">
        <f t="shared" si="148"/>
        <v>1854</v>
      </c>
      <c r="O738" s="13" t="str">
        <f t="shared" si="149"/>
        <v/>
      </c>
      <c r="P738" s="13" t="str">
        <f t="shared" si="150"/>
        <v/>
      </c>
      <c r="Q738" s="13"/>
      <c r="R738" s="14" t="str">
        <f t="shared" si="151"/>
        <v/>
      </c>
      <c r="S738" s="13" t="str">
        <f t="shared" si="152"/>
        <v/>
      </c>
      <c r="T738" s="13" t="str">
        <f t="shared" si="153"/>
        <v/>
      </c>
      <c r="U738" s="13" t="str">
        <f t="shared" si="154"/>
        <v/>
      </c>
      <c r="V738" s="13" t="str">
        <f t="shared" si="155"/>
        <v/>
      </c>
      <c r="W738" s="15">
        <f t="shared" si="156"/>
        <v>1000000000000000</v>
      </c>
    </row>
    <row r="739" spans="1:23" s="17" customFormat="1" ht="28.5" customHeight="1">
      <c r="A739" s="12" t="str">
        <f t="shared" si="145"/>
        <v/>
      </c>
      <c r="B739" s="12" t="s">
        <v>12</v>
      </c>
      <c r="C739" s="12" t="s">
        <v>1446</v>
      </c>
      <c r="D739" s="16" t="s">
        <v>52</v>
      </c>
      <c r="E739" s="12" t="s">
        <v>26</v>
      </c>
      <c r="F739" s="12" t="s">
        <v>1447</v>
      </c>
      <c r="G739" s="13">
        <v>1867</v>
      </c>
      <c r="H739" s="13"/>
      <c r="I739" s="13"/>
      <c r="J739" s="13">
        <v>1867</v>
      </c>
      <c r="K739" s="13">
        <f t="shared" si="158"/>
        <v>0</v>
      </c>
      <c r="L739" s="13">
        <f t="shared" si="146"/>
        <v>1867</v>
      </c>
      <c r="M739" s="13" t="str">
        <f t="shared" si="147"/>
        <v/>
      </c>
      <c r="N739" s="13">
        <f t="shared" si="148"/>
        <v>1867</v>
      </c>
      <c r="O739" s="13" t="str">
        <f t="shared" si="149"/>
        <v/>
      </c>
      <c r="P739" s="13" t="str">
        <f t="shared" si="150"/>
        <v/>
      </c>
      <c r="Q739" s="13"/>
      <c r="R739" s="14" t="str">
        <f t="shared" si="151"/>
        <v/>
      </c>
      <c r="S739" s="13" t="str">
        <f t="shared" si="152"/>
        <v/>
      </c>
      <c r="T739" s="13" t="str">
        <f t="shared" si="153"/>
        <v/>
      </c>
      <c r="U739" s="13" t="str">
        <f t="shared" si="154"/>
        <v/>
      </c>
      <c r="V739" s="13" t="str">
        <f t="shared" si="155"/>
        <v/>
      </c>
      <c r="W739" s="15">
        <f t="shared" si="156"/>
        <v>1000000000000000</v>
      </c>
    </row>
    <row r="740" spans="1:23" s="2" customFormat="1" ht="28.5" customHeight="1">
      <c r="A740" s="12" t="str">
        <f t="shared" si="145"/>
        <v/>
      </c>
      <c r="B740" s="12" t="s">
        <v>8</v>
      </c>
      <c r="C740" s="12" t="s">
        <v>1451</v>
      </c>
      <c r="D740" s="16" t="s">
        <v>52</v>
      </c>
      <c r="E740" s="12" t="s">
        <v>26</v>
      </c>
      <c r="F740" s="12" t="s">
        <v>1452</v>
      </c>
      <c r="G740" s="13">
        <v>1868</v>
      </c>
      <c r="H740" s="13"/>
      <c r="I740" s="13"/>
      <c r="J740" s="13">
        <v>1848</v>
      </c>
      <c r="K740" s="13">
        <f t="shared" si="158"/>
        <v>0</v>
      </c>
      <c r="L740" s="13">
        <f t="shared" si="146"/>
        <v>1868</v>
      </c>
      <c r="M740" s="13" t="str">
        <f t="shared" si="147"/>
        <v/>
      </c>
      <c r="N740" s="13">
        <f t="shared" si="148"/>
        <v>1848</v>
      </c>
      <c r="O740" s="13" t="str">
        <f t="shared" si="149"/>
        <v/>
      </c>
      <c r="P740" s="13" t="str">
        <f t="shared" si="150"/>
        <v/>
      </c>
      <c r="Q740" s="13"/>
      <c r="R740" s="14" t="str">
        <f t="shared" si="151"/>
        <v/>
      </c>
      <c r="S740" s="13" t="str">
        <f t="shared" si="152"/>
        <v/>
      </c>
      <c r="T740" s="13" t="str">
        <f t="shared" si="153"/>
        <v/>
      </c>
      <c r="U740" s="13" t="str">
        <f t="shared" si="154"/>
        <v/>
      </c>
      <c r="V740" s="13" t="str">
        <f t="shared" si="155"/>
        <v/>
      </c>
      <c r="W740" s="15">
        <f t="shared" si="156"/>
        <v>1000000000000000</v>
      </c>
    </row>
    <row r="741" spans="1:23" s="2" customFormat="1" ht="28.5" customHeight="1">
      <c r="A741" s="12" t="str">
        <f t="shared" si="145"/>
        <v/>
      </c>
      <c r="B741" s="12" t="s">
        <v>12</v>
      </c>
      <c r="C741" s="12" t="s">
        <v>1455</v>
      </c>
      <c r="D741" s="18" t="s">
        <v>49</v>
      </c>
      <c r="E741" s="12" t="s">
        <v>62</v>
      </c>
      <c r="F741" s="12" t="s">
        <v>1456</v>
      </c>
      <c r="G741" s="13">
        <v>1868</v>
      </c>
      <c r="H741" s="13"/>
      <c r="I741" s="13"/>
      <c r="J741" s="13">
        <v>1848</v>
      </c>
      <c r="K741" s="13">
        <f t="shared" si="158"/>
        <v>0</v>
      </c>
      <c r="L741" s="13">
        <f t="shared" si="146"/>
        <v>1868</v>
      </c>
      <c r="M741" s="13" t="str">
        <f t="shared" si="147"/>
        <v/>
      </c>
      <c r="N741" s="13">
        <f t="shared" si="148"/>
        <v>1848</v>
      </c>
      <c r="O741" s="13" t="str">
        <f t="shared" si="149"/>
        <v/>
      </c>
      <c r="P741" s="13" t="str">
        <f t="shared" si="150"/>
        <v/>
      </c>
      <c r="Q741" s="13"/>
      <c r="R741" s="14" t="str">
        <f t="shared" si="151"/>
        <v/>
      </c>
      <c r="S741" s="13" t="str">
        <f t="shared" si="152"/>
        <v/>
      </c>
      <c r="T741" s="13" t="str">
        <f t="shared" si="153"/>
        <v/>
      </c>
      <c r="U741" s="13" t="str">
        <f t="shared" si="154"/>
        <v/>
      </c>
      <c r="V741" s="13" t="str">
        <f t="shared" si="155"/>
        <v/>
      </c>
      <c r="W741" s="15">
        <f t="shared" si="156"/>
        <v>1000000000000000</v>
      </c>
    </row>
    <row r="742" spans="1:23" s="8" customFormat="1" ht="28.5" customHeight="1">
      <c r="A742" s="12" t="str">
        <f t="shared" si="145"/>
        <v/>
      </c>
      <c r="B742" s="12" t="s">
        <v>12</v>
      </c>
      <c r="C742" s="12" t="s">
        <v>1524</v>
      </c>
      <c r="D742" s="18" t="s">
        <v>749</v>
      </c>
      <c r="E742" s="12" t="s">
        <v>26</v>
      </c>
      <c r="F742" s="12" t="s">
        <v>1525</v>
      </c>
      <c r="G742" s="13">
        <v>1868</v>
      </c>
      <c r="H742" s="13"/>
      <c r="I742" s="13"/>
      <c r="J742" s="13">
        <v>1868</v>
      </c>
      <c r="K742" s="13">
        <f t="shared" si="158"/>
        <v>0</v>
      </c>
      <c r="L742" s="13">
        <f t="shared" si="146"/>
        <v>1868</v>
      </c>
      <c r="M742" s="13" t="str">
        <f t="shared" si="147"/>
        <v/>
      </c>
      <c r="N742" s="13">
        <f t="shared" si="148"/>
        <v>1868</v>
      </c>
      <c r="O742" s="13" t="str">
        <f t="shared" si="149"/>
        <v/>
      </c>
      <c r="P742" s="13" t="str">
        <f t="shared" si="150"/>
        <v/>
      </c>
      <c r="Q742" s="13"/>
      <c r="R742" s="14" t="str">
        <f t="shared" si="151"/>
        <v/>
      </c>
      <c r="S742" s="13" t="str">
        <f t="shared" si="152"/>
        <v/>
      </c>
      <c r="T742" s="13" t="str">
        <f t="shared" si="153"/>
        <v/>
      </c>
      <c r="U742" s="13" t="str">
        <f t="shared" si="154"/>
        <v/>
      </c>
      <c r="V742" s="13" t="str">
        <f t="shared" si="155"/>
        <v/>
      </c>
      <c r="W742" s="15">
        <f t="shared" si="156"/>
        <v>1000000000000000</v>
      </c>
    </row>
    <row r="743" spans="1:23" s="2" customFormat="1" ht="28.5" customHeight="1">
      <c r="A743" s="12" t="str">
        <f t="shared" si="145"/>
        <v/>
      </c>
      <c r="B743" s="12" t="s">
        <v>16</v>
      </c>
      <c r="C743" s="12" t="s">
        <v>1457</v>
      </c>
      <c r="D743" s="12" t="s">
        <v>49</v>
      </c>
      <c r="E743" s="12" t="s">
        <v>62</v>
      </c>
      <c r="F743" s="12" t="s">
        <v>1458</v>
      </c>
      <c r="G743" s="13">
        <v>1869</v>
      </c>
      <c r="H743" s="13"/>
      <c r="I743" s="13"/>
      <c r="J743" s="13">
        <v>1829</v>
      </c>
      <c r="K743" s="13">
        <f t="shared" si="158"/>
        <v>0</v>
      </c>
      <c r="L743" s="13">
        <f t="shared" si="146"/>
        <v>1869</v>
      </c>
      <c r="M743" s="13" t="str">
        <f t="shared" si="147"/>
        <v/>
      </c>
      <c r="N743" s="13">
        <f t="shared" si="148"/>
        <v>1829</v>
      </c>
      <c r="O743" s="13" t="str">
        <f t="shared" si="149"/>
        <v/>
      </c>
      <c r="P743" s="13" t="str">
        <f t="shared" si="150"/>
        <v/>
      </c>
      <c r="Q743" s="13"/>
      <c r="R743" s="14" t="str">
        <f t="shared" si="151"/>
        <v/>
      </c>
      <c r="S743" s="13" t="str">
        <f t="shared" si="152"/>
        <v/>
      </c>
      <c r="T743" s="13" t="str">
        <f t="shared" si="153"/>
        <v/>
      </c>
      <c r="U743" s="13" t="str">
        <f t="shared" si="154"/>
        <v/>
      </c>
      <c r="V743" s="13" t="str">
        <f t="shared" si="155"/>
        <v/>
      </c>
      <c r="W743" s="15">
        <f t="shared" si="156"/>
        <v>1000000000000000</v>
      </c>
    </row>
    <row r="744" spans="1:23" s="17" customFormat="1" ht="28.5" customHeight="1">
      <c r="A744" s="12" t="str">
        <f t="shared" si="145"/>
        <v/>
      </c>
      <c r="B744" s="12" t="s">
        <v>14</v>
      </c>
      <c r="C744" s="12" t="s">
        <v>1459</v>
      </c>
      <c r="D744" s="12" t="s">
        <v>49</v>
      </c>
      <c r="E744" s="12" t="s">
        <v>26</v>
      </c>
      <c r="F744" s="12" t="s">
        <v>1460</v>
      </c>
      <c r="G744" s="13">
        <v>1869</v>
      </c>
      <c r="H744" s="13"/>
      <c r="I744" s="13"/>
      <c r="J744" s="13">
        <v>1839</v>
      </c>
      <c r="K744" s="13">
        <f t="shared" si="158"/>
        <v>0</v>
      </c>
      <c r="L744" s="13">
        <f t="shared" si="146"/>
        <v>1869</v>
      </c>
      <c r="M744" s="13" t="str">
        <f t="shared" si="147"/>
        <v/>
      </c>
      <c r="N744" s="13">
        <f t="shared" si="148"/>
        <v>1839</v>
      </c>
      <c r="O744" s="13" t="str">
        <f t="shared" si="149"/>
        <v/>
      </c>
      <c r="P744" s="13" t="str">
        <f t="shared" si="150"/>
        <v/>
      </c>
      <c r="Q744" s="13"/>
      <c r="R744" s="14" t="str">
        <f t="shared" si="151"/>
        <v/>
      </c>
      <c r="S744" s="13" t="str">
        <f t="shared" si="152"/>
        <v/>
      </c>
      <c r="T744" s="13" t="str">
        <f t="shared" si="153"/>
        <v/>
      </c>
      <c r="U744" s="13" t="str">
        <f t="shared" si="154"/>
        <v/>
      </c>
      <c r="V744" s="13" t="str">
        <f t="shared" si="155"/>
        <v/>
      </c>
      <c r="W744" s="15">
        <f t="shared" si="156"/>
        <v>1000000000000000</v>
      </c>
    </row>
    <row r="745" spans="1:23" s="8" customFormat="1" ht="28.5" customHeight="1">
      <c r="A745" s="12" t="str">
        <f t="shared" si="145"/>
        <v/>
      </c>
      <c r="B745" s="12" t="s">
        <v>14</v>
      </c>
      <c r="C745" s="12" t="s">
        <v>1461</v>
      </c>
      <c r="D745" s="12" t="s">
        <v>49</v>
      </c>
      <c r="E745" s="12" t="s">
        <v>26</v>
      </c>
      <c r="F745" s="12" t="s">
        <v>1462</v>
      </c>
      <c r="G745" s="13">
        <v>1869</v>
      </c>
      <c r="H745" s="13"/>
      <c r="I745" s="13"/>
      <c r="J745" s="13">
        <v>1839</v>
      </c>
      <c r="K745" s="13">
        <f t="shared" si="158"/>
        <v>0</v>
      </c>
      <c r="L745" s="13">
        <f t="shared" si="146"/>
        <v>1869</v>
      </c>
      <c r="M745" s="13" t="str">
        <f t="shared" si="147"/>
        <v/>
      </c>
      <c r="N745" s="13">
        <f t="shared" si="148"/>
        <v>1839</v>
      </c>
      <c r="O745" s="13" t="str">
        <f t="shared" si="149"/>
        <v/>
      </c>
      <c r="P745" s="13" t="str">
        <f t="shared" si="150"/>
        <v/>
      </c>
      <c r="Q745" s="13"/>
      <c r="R745" s="14" t="str">
        <f t="shared" si="151"/>
        <v/>
      </c>
      <c r="S745" s="13" t="str">
        <f t="shared" si="152"/>
        <v/>
      </c>
      <c r="T745" s="13" t="str">
        <f t="shared" si="153"/>
        <v/>
      </c>
      <c r="U745" s="13" t="str">
        <f t="shared" si="154"/>
        <v/>
      </c>
      <c r="V745" s="13" t="str">
        <f t="shared" si="155"/>
        <v/>
      </c>
      <c r="W745" s="15">
        <f t="shared" si="156"/>
        <v>1000000000000000</v>
      </c>
    </row>
    <row r="746" spans="1:23" s="17" customFormat="1" ht="28.5" customHeight="1">
      <c r="A746" s="12" t="str">
        <f t="shared" si="145"/>
        <v/>
      </c>
      <c r="B746" s="12" t="s">
        <v>14</v>
      </c>
      <c r="C746" s="12" t="s">
        <v>1471</v>
      </c>
      <c r="D746" s="16" t="s">
        <v>52</v>
      </c>
      <c r="E746" s="12" t="s">
        <v>62</v>
      </c>
      <c r="F746" s="12" t="s">
        <v>1472</v>
      </c>
      <c r="G746" s="13">
        <v>1869</v>
      </c>
      <c r="H746" s="13"/>
      <c r="I746" s="13"/>
      <c r="J746" s="13">
        <v>1839</v>
      </c>
      <c r="K746" s="13">
        <f t="shared" si="158"/>
        <v>0</v>
      </c>
      <c r="L746" s="13">
        <f t="shared" si="146"/>
        <v>1869</v>
      </c>
      <c r="M746" s="13" t="str">
        <f t="shared" si="147"/>
        <v/>
      </c>
      <c r="N746" s="13">
        <f t="shared" si="148"/>
        <v>1839</v>
      </c>
      <c r="O746" s="13" t="str">
        <f t="shared" si="149"/>
        <v/>
      </c>
      <c r="P746" s="13" t="str">
        <f t="shared" si="150"/>
        <v/>
      </c>
      <c r="Q746" s="13"/>
      <c r="R746" s="14" t="str">
        <f t="shared" si="151"/>
        <v/>
      </c>
      <c r="S746" s="13" t="str">
        <f t="shared" si="152"/>
        <v/>
      </c>
      <c r="T746" s="13" t="str">
        <f t="shared" si="153"/>
        <v/>
      </c>
      <c r="U746" s="13" t="str">
        <f t="shared" si="154"/>
        <v/>
      </c>
      <c r="V746" s="13" t="str">
        <f t="shared" si="155"/>
        <v/>
      </c>
      <c r="W746" s="15">
        <f t="shared" si="156"/>
        <v>1000000000000000</v>
      </c>
    </row>
    <row r="747" spans="1:23" s="2" customFormat="1" ht="28.5" customHeight="1">
      <c r="A747" s="12" t="str">
        <f t="shared" si="145"/>
        <v/>
      </c>
      <c r="B747" s="12" t="s">
        <v>18</v>
      </c>
      <c r="C747" s="12" t="s">
        <v>1638</v>
      </c>
      <c r="D747" s="12" t="s">
        <v>49</v>
      </c>
      <c r="E747" s="12" t="s">
        <v>26</v>
      </c>
      <c r="F747" s="12" t="s">
        <v>1639</v>
      </c>
      <c r="G747" s="13">
        <v>1869</v>
      </c>
      <c r="H747" s="13"/>
      <c r="I747" s="13"/>
      <c r="J747" s="13">
        <v>1840</v>
      </c>
      <c r="K747" s="13">
        <f t="shared" si="158"/>
        <v>0</v>
      </c>
      <c r="L747" s="13">
        <f t="shared" si="146"/>
        <v>1869</v>
      </c>
      <c r="M747" s="13" t="str">
        <f t="shared" si="147"/>
        <v/>
      </c>
      <c r="N747" s="13">
        <f t="shared" si="148"/>
        <v>1840</v>
      </c>
      <c r="O747" s="13" t="str">
        <f t="shared" si="149"/>
        <v/>
      </c>
      <c r="P747" s="13" t="str">
        <f t="shared" si="150"/>
        <v/>
      </c>
      <c r="Q747" s="13"/>
      <c r="R747" s="14" t="str">
        <f t="shared" si="151"/>
        <v/>
      </c>
      <c r="S747" s="13" t="str">
        <f t="shared" si="152"/>
        <v/>
      </c>
      <c r="T747" s="13" t="str">
        <f t="shared" si="153"/>
        <v/>
      </c>
      <c r="U747" s="13" t="str">
        <f t="shared" si="154"/>
        <v/>
      </c>
      <c r="V747" s="13" t="str">
        <f t="shared" si="155"/>
        <v/>
      </c>
      <c r="W747" s="15">
        <f t="shared" si="156"/>
        <v>1000000000000000</v>
      </c>
    </row>
    <row r="748" spans="1:23" s="8" customFormat="1" ht="28.5" customHeight="1">
      <c r="A748" s="12" t="str">
        <f t="shared" si="145"/>
        <v/>
      </c>
      <c r="B748" s="12" t="s">
        <v>18</v>
      </c>
      <c r="C748" s="12" t="s">
        <v>1640</v>
      </c>
      <c r="D748" s="12" t="s">
        <v>49</v>
      </c>
      <c r="E748" s="12" t="s">
        <v>26</v>
      </c>
      <c r="F748" s="12" t="s">
        <v>1641</v>
      </c>
      <c r="G748" s="13">
        <v>1869</v>
      </c>
      <c r="H748" s="13"/>
      <c r="I748" s="13"/>
      <c r="J748" s="13">
        <v>1840</v>
      </c>
      <c r="K748" s="13">
        <f t="shared" si="158"/>
        <v>0</v>
      </c>
      <c r="L748" s="13">
        <f t="shared" si="146"/>
        <v>1869</v>
      </c>
      <c r="M748" s="13" t="str">
        <f t="shared" si="147"/>
        <v/>
      </c>
      <c r="N748" s="13">
        <f t="shared" si="148"/>
        <v>1840</v>
      </c>
      <c r="O748" s="13" t="str">
        <f t="shared" si="149"/>
        <v/>
      </c>
      <c r="P748" s="13" t="str">
        <f t="shared" si="150"/>
        <v/>
      </c>
      <c r="Q748" s="13"/>
      <c r="R748" s="14" t="str">
        <f t="shared" si="151"/>
        <v/>
      </c>
      <c r="S748" s="13" t="str">
        <f t="shared" si="152"/>
        <v/>
      </c>
      <c r="T748" s="13" t="str">
        <f t="shared" si="153"/>
        <v/>
      </c>
      <c r="U748" s="13" t="str">
        <f t="shared" si="154"/>
        <v/>
      </c>
      <c r="V748" s="13" t="str">
        <f t="shared" si="155"/>
        <v/>
      </c>
      <c r="W748" s="15">
        <f t="shared" si="156"/>
        <v>1000000000000000</v>
      </c>
    </row>
    <row r="749" spans="1:23" s="2" customFormat="1" ht="28.5" customHeight="1">
      <c r="A749" s="12" t="str">
        <f t="shared" si="145"/>
        <v/>
      </c>
      <c r="B749" s="12" t="s">
        <v>16</v>
      </c>
      <c r="C749" s="12" t="s">
        <v>1670</v>
      </c>
      <c r="D749" s="12" t="s">
        <v>49</v>
      </c>
      <c r="E749" s="12" t="s">
        <v>26</v>
      </c>
      <c r="F749" s="12" t="s">
        <v>1671</v>
      </c>
      <c r="G749" s="13">
        <v>1869</v>
      </c>
      <c r="H749" s="13"/>
      <c r="I749" s="13"/>
      <c r="J749" s="13">
        <v>1849</v>
      </c>
      <c r="K749" s="13">
        <f t="shared" si="158"/>
        <v>0</v>
      </c>
      <c r="L749" s="13">
        <f t="shared" si="146"/>
        <v>1869</v>
      </c>
      <c r="M749" s="13" t="str">
        <f t="shared" si="147"/>
        <v/>
      </c>
      <c r="N749" s="13">
        <f t="shared" si="148"/>
        <v>1849</v>
      </c>
      <c r="O749" s="13" t="str">
        <f t="shared" si="149"/>
        <v/>
      </c>
      <c r="P749" s="13" t="str">
        <f t="shared" si="150"/>
        <v/>
      </c>
      <c r="Q749" s="13"/>
      <c r="R749" s="14" t="str">
        <f t="shared" si="151"/>
        <v/>
      </c>
      <c r="S749" s="13" t="str">
        <f t="shared" si="152"/>
        <v/>
      </c>
      <c r="T749" s="13" t="str">
        <f t="shared" si="153"/>
        <v/>
      </c>
      <c r="U749" s="13" t="str">
        <f t="shared" si="154"/>
        <v/>
      </c>
      <c r="V749" s="13" t="str">
        <f t="shared" si="155"/>
        <v/>
      </c>
      <c r="W749" s="15">
        <f t="shared" si="156"/>
        <v>1000000000000000</v>
      </c>
    </row>
    <row r="750" spans="1:23" s="2" customFormat="1" ht="28.5" customHeight="1">
      <c r="A750" s="12" t="str">
        <f t="shared" si="145"/>
        <v/>
      </c>
      <c r="B750" s="12" t="s">
        <v>14</v>
      </c>
      <c r="C750" s="12" t="s">
        <v>1530</v>
      </c>
      <c r="D750" s="12" t="s">
        <v>749</v>
      </c>
      <c r="E750" s="12" t="s">
        <v>62</v>
      </c>
      <c r="F750" s="12" t="s">
        <v>1531</v>
      </c>
      <c r="G750" s="13">
        <v>1869</v>
      </c>
      <c r="H750" s="13"/>
      <c r="I750" s="13"/>
      <c r="J750" s="13">
        <v>1849</v>
      </c>
      <c r="K750" s="13">
        <f t="shared" si="158"/>
        <v>0</v>
      </c>
      <c r="L750" s="13">
        <f t="shared" si="146"/>
        <v>1869</v>
      </c>
      <c r="M750" s="13" t="str">
        <f t="shared" si="147"/>
        <v/>
      </c>
      <c r="N750" s="13">
        <f t="shared" si="148"/>
        <v>1849</v>
      </c>
      <c r="O750" s="13" t="str">
        <f t="shared" si="149"/>
        <v/>
      </c>
      <c r="P750" s="13" t="str">
        <f t="shared" si="150"/>
        <v/>
      </c>
      <c r="Q750" s="13"/>
      <c r="R750" s="14" t="str">
        <f t="shared" si="151"/>
        <v/>
      </c>
      <c r="S750" s="13" t="str">
        <f t="shared" si="152"/>
        <v/>
      </c>
      <c r="T750" s="13" t="str">
        <f t="shared" si="153"/>
        <v/>
      </c>
      <c r="U750" s="13" t="str">
        <f t="shared" si="154"/>
        <v/>
      </c>
      <c r="V750" s="13" t="str">
        <f t="shared" si="155"/>
        <v/>
      </c>
      <c r="W750" s="15">
        <f t="shared" si="156"/>
        <v>1000000000000000</v>
      </c>
    </row>
    <row r="751" spans="1:23" s="2" customFormat="1" ht="28.5" customHeight="1">
      <c r="A751" s="12" t="str">
        <f t="shared" si="145"/>
        <v/>
      </c>
      <c r="B751" s="12" t="s">
        <v>12</v>
      </c>
      <c r="C751" s="12" t="s">
        <v>1465</v>
      </c>
      <c r="D751" s="16" t="s">
        <v>59</v>
      </c>
      <c r="E751" s="12" t="s">
        <v>26</v>
      </c>
      <c r="F751" s="12" t="s">
        <v>1466</v>
      </c>
      <c r="G751" s="13">
        <v>1869</v>
      </c>
      <c r="H751" s="13"/>
      <c r="I751" s="13"/>
      <c r="J751" s="13">
        <v>1859</v>
      </c>
      <c r="K751" s="13">
        <f t="shared" si="158"/>
        <v>0</v>
      </c>
      <c r="L751" s="13">
        <f t="shared" si="146"/>
        <v>1869</v>
      </c>
      <c r="M751" s="13" t="str">
        <f t="shared" si="147"/>
        <v/>
      </c>
      <c r="N751" s="13">
        <f t="shared" si="148"/>
        <v>1859</v>
      </c>
      <c r="O751" s="13" t="str">
        <f t="shared" si="149"/>
        <v/>
      </c>
      <c r="P751" s="13" t="str">
        <f t="shared" si="150"/>
        <v/>
      </c>
      <c r="Q751" s="13"/>
      <c r="R751" s="14" t="str">
        <f t="shared" si="151"/>
        <v/>
      </c>
      <c r="S751" s="13" t="str">
        <f t="shared" si="152"/>
        <v/>
      </c>
      <c r="T751" s="13" t="str">
        <f t="shared" si="153"/>
        <v/>
      </c>
      <c r="U751" s="13" t="str">
        <f t="shared" si="154"/>
        <v/>
      </c>
      <c r="V751" s="13" t="str">
        <f t="shared" si="155"/>
        <v/>
      </c>
      <c r="W751" s="15">
        <f t="shared" si="156"/>
        <v>1000000000000000</v>
      </c>
    </row>
    <row r="752" spans="1:23" s="2" customFormat="1" ht="28.5" customHeight="1">
      <c r="A752" s="12" t="str">
        <f t="shared" si="145"/>
        <v/>
      </c>
      <c r="B752" s="12" t="s">
        <v>10</v>
      </c>
      <c r="C752" s="12" t="s">
        <v>1469</v>
      </c>
      <c r="D752" s="16" t="s">
        <v>52</v>
      </c>
      <c r="E752" s="12" t="s">
        <v>26</v>
      </c>
      <c r="F752" s="12" t="s">
        <v>1470</v>
      </c>
      <c r="G752" s="13">
        <v>1869</v>
      </c>
      <c r="H752" s="13"/>
      <c r="I752" s="13"/>
      <c r="J752" s="13">
        <v>1859</v>
      </c>
      <c r="K752" s="13">
        <f t="shared" si="158"/>
        <v>0</v>
      </c>
      <c r="L752" s="13">
        <f t="shared" si="146"/>
        <v>1869</v>
      </c>
      <c r="M752" s="13" t="str">
        <f t="shared" si="147"/>
        <v/>
      </c>
      <c r="N752" s="13">
        <f t="shared" si="148"/>
        <v>1859</v>
      </c>
      <c r="O752" s="13" t="str">
        <f t="shared" si="149"/>
        <v/>
      </c>
      <c r="P752" s="13" t="str">
        <f t="shared" si="150"/>
        <v/>
      </c>
      <c r="Q752" s="13"/>
      <c r="R752" s="14" t="str">
        <f t="shared" si="151"/>
        <v/>
      </c>
      <c r="S752" s="13" t="str">
        <f t="shared" si="152"/>
        <v/>
      </c>
      <c r="T752" s="13" t="str">
        <f t="shared" si="153"/>
        <v/>
      </c>
      <c r="U752" s="13" t="str">
        <f t="shared" si="154"/>
        <v/>
      </c>
      <c r="V752" s="13" t="str">
        <f t="shared" si="155"/>
        <v/>
      </c>
      <c r="W752" s="15">
        <f t="shared" si="156"/>
        <v>1000000000000000</v>
      </c>
    </row>
    <row r="753" spans="1:23" s="8" customFormat="1" ht="28.5" customHeight="1">
      <c r="A753" s="12" t="str">
        <f t="shared" si="145"/>
        <v/>
      </c>
      <c r="B753" s="12" t="s">
        <v>14</v>
      </c>
      <c r="C753" s="12" t="s">
        <v>1473</v>
      </c>
      <c r="D753" s="12" t="s">
        <v>749</v>
      </c>
      <c r="E753" s="12" t="s">
        <v>26</v>
      </c>
      <c r="F753" s="12" t="s">
        <v>1474</v>
      </c>
      <c r="G753" s="13">
        <v>1869</v>
      </c>
      <c r="H753" s="13"/>
      <c r="I753" s="13"/>
      <c r="J753" s="13">
        <v>1869</v>
      </c>
      <c r="K753" s="13">
        <f t="shared" si="158"/>
        <v>0</v>
      </c>
      <c r="L753" s="13">
        <f t="shared" si="146"/>
        <v>1869</v>
      </c>
      <c r="M753" s="13" t="str">
        <f t="shared" si="147"/>
        <v/>
      </c>
      <c r="N753" s="13">
        <f t="shared" si="148"/>
        <v>1869</v>
      </c>
      <c r="O753" s="13" t="str">
        <f t="shared" si="149"/>
        <v/>
      </c>
      <c r="P753" s="13" t="str">
        <f t="shared" si="150"/>
        <v/>
      </c>
      <c r="Q753" s="13"/>
      <c r="R753" s="14" t="str">
        <f t="shared" si="151"/>
        <v/>
      </c>
      <c r="S753" s="13" t="str">
        <f t="shared" si="152"/>
        <v/>
      </c>
      <c r="T753" s="13" t="str">
        <f t="shared" si="153"/>
        <v/>
      </c>
      <c r="U753" s="13" t="str">
        <f t="shared" si="154"/>
        <v/>
      </c>
      <c r="V753" s="13" t="str">
        <f t="shared" si="155"/>
        <v/>
      </c>
      <c r="W753" s="15">
        <f t="shared" si="156"/>
        <v>1000000000000000</v>
      </c>
    </row>
    <row r="754" spans="1:23" s="2" customFormat="1" ht="28.5" customHeight="1">
      <c r="A754" s="12" t="str">
        <f t="shared" si="145"/>
        <v/>
      </c>
      <c r="B754" s="12" t="s">
        <v>16</v>
      </c>
      <c r="C754" s="12" t="s">
        <v>1477</v>
      </c>
      <c r="D754" s="16" t="s">
        <v>59</v>
      </c>
      <c r="E754" s="12" t="s">
        <v>26</v>
      </c>
      <c r="F754" s="12" t="s">
        <v>1478</v>
      </c>
      <c r="G754" s="13">
        <v>1870</v>
      </c>
      <c r="H754" s="13"/>
      <c r="I754" s="13"/>
      <c r="J754" s="13">
        <v>1830</v>
      </c>
      <c r="K754" s="13">
        <f t="shared" si="158"/>
        <v>0</v>
      </c>
      <c r="L754" s="13">
        <f t="shared" si="146"/>
        <v>1870</v>
      </c>
      <c r="M754" s="13" t="str">
        <f t="shared" si="147"/>
        <v/>
      </c>
      <c r="N754" s="13">
        <f t="shared" si="148"/>
        <v>1830</v>
      </c>
      <c r="O754" s="13" t="str">
        <f t="shared" si="149"/>
        <v/>
      </c>
      <c r="P754" s="13" t="str">
        <f t="shared" si="150"/>
        <v/>
      </c>
      <c r="Q754" s="13"/>
      <c r="R754" s="14" t="str">
        <f t="shared" si="151"/>
        <v/>
      </c>
      <c r="S754" s="13" t="str">
        <f t="shared" si="152"/>
        <v/>
      </c>
      <c r="T754" s="13" t="str">
        <f t="shared" si="153"/>
        <v/>
      </c>
      <c r="U754" s="13" t="str">
        <f t="shared" si="154"/>
        <v/>
      </c>
      <c r="V754" s="13" t="str">
        <f t="shared" si="155"/>
        <v/>
      </c>
      <c r="W754" s="15">
        <f t="shared" si="156"/>
        <v>1000000000000000</v>
      </c>
    </row>
    <row r="755" spans="1:23" s="17" customFormat="1" ht="28.5" customHeight="1">
      <c r="A755" s="12" t="str">
        <f t="shared" si="145"/>
        <v/>
      </c>
      <c r="B755" s="12" t="s">
        <v>16</v>
      </c>
      <c r="C755" s="12" t="s">
        <v>1479</v>
      </c>
      <c r="D755" s="16" t="s">
        <v>52</v>
      </c>
      <c r="E755" s="12" t="s">
        <v>26</v>
      </c>
      <c r="F755" s="12" t="s">
        <v>1480</v>
      </c>
      <c r="G755" s="13">
        <v>1870</v>
      </c>
      <c r="H755" s="13"/>
      <c r="I755" s="13"/>
      <c r="J755" s="13">
        <v>1830</v>
      </c>
      <c r="K755" s="13">
        <f t="shared" si="158"/>
        <v>0</v>
      </c>
      <c r="L755" s="13">
        <f t="shared" si="146"/>
        <v>1870</v>
      </c>
      <c r="M755" s="13" t="str">
        <f t="shared" si="147"/>
        <v/>
      </c>
      <c r="N755" s="13">
        <f t="shared" si="148"/>
        <v>1830</v>
      </c>
      <c r="O755" s="13" t="str">
        <f t="shared" si="149"/>
        <v/>
      </c>
      <c r="P755" s="13" t="str">
        <f t="shared" si="150"/>
        <v/>
      </c>
      <c r="Q755" s="13"/>
      <c r="R755" s="14" t="str">
        <f t="shared" si="151"/>
        <v/>
      </c>
      <c r="S755" s="13" t="str">
        <f t="shared" si="152"/>
        <v/>
      </c>
      <c r="T755" s="13" t="str">
        <f t="shared" si="153"/>
        <v/>
      </c>
      <c r="U755" s="13" t="str">
        <f t="shared" si="154"/>
        <v/>
      </c>
      <c r="V755" s="13" t="str">
        <f t="shared" si="155"/>
        <v/>
      </c>
      <c r="W755" s="15">
        <f t="shared" si="156"/>
        <v>1000000000000000</v>
      </c>
    </row>
    <row r="756" spans="1:23" s="2" customFormat="1" ht="28.5" customHeight="1">
      <c r="A756" s="12" t="str">
        <f t="shared" si="145"/>
        <v/>
      </c>
      <c r="B756" s="12" t="s">
        <v>16</v>
      </c>
      <c r="C756" s="12" t="s">
        <v>1481</v>
      </c>
      <c r="D756" s="12" t="s">
        <v>749</v>
      </c>
      <c r="E756" s="12" t="s">
        <v>62</v>
      </c>
      <c r="F756" s="12" t="s">
        <v>1482</v>
      </c>
      <c r="G756" s="13">
        <v>1870</v>
      </c>
      <c r="H756" s="13"/>
      <c r="I756" s="13"/>
      <c r="J756" s="13">
        <v>1830</v>
      </c>
      <c r="K756" s="13">
        <f t="shared" si="158"/>
        <v>0</v>
      </c>
      <c r="L756" s="13">
        <f t="shared" si="146"/>
        <v>1870</v>
      </c>
      <c r="M756" s="13" t="str">
        <f t="shared" si="147"/>
        <v/>
      </c>
      <c r="N756" s="13">
        <f t="shared" si="148"/>
        <v>1830</v>
      </c>
      <c r="O756" s="13" t="str">
        <f t="shared" si="149"/>
        <v/>
      </c>
      <c r="P756" s="13" t="str">
        <f t="shared" si="150"/>
        <v/>
      </c>
      <c r="Q756" s="13"/>
      <c r="R756" s="14" t="str">
        <f t="shared" si="151"/>
        <v/>
      </c>
      <c r="S756" s="13" t="str">
        <f t="shared" si="152"/>
        <v/>
      </c>
      <c r="T756" s="13" t="str">
        <f t="shared" si="153"/>
        <v/>
      </c>
      <c r="U756" s="13" t="str">
        <f t="shared" si="154"/>
        <v/>
      </c>
      <c r="V756" s="13" t="str">
        <f t="shared" si="155"/>
        <v/>
      </c>
      <c r="W756" s="15">
        <f t="shared" si="156"/>
        <v>1000000000000000</v>
      </c>
    </row>
    <row r="757" spans="1:23" s="17" customFormat="1" ht="28.5" customHeight="1">
      <c r="A757" s="12" t="str">
        <f t="shared" si="145"/>
        <v/>
      </c>
      <c r="B757" s="12" t="s">
        <v>8</v>
      </c>
      <c r="C757" s="12" t="s">
        <v>1483</v>
      </c>
      <c r="D757" s="12" t="s">
        <v>749</v>
      </c>
      <c r="E757" s="12" t="s">
        <v>62</v>
      </c>
      <c r="F757" s="12" t="s">
        <v>1484</v>
      </c>
      <c r="G757" s="13">
        <v>1870</v>
      </c>
      <c r="H757" s="13"/>
      <c r="I757" s="13"/>
      <c r="J757" s="13">
        <v>1850</v>
      </c>
      <c r="K757" s="13">
        <f t="shared" si="158"/>
        <v>0</v>
      </c>
      <c r="L757" s="13">
        <f t="shared" si="146"/>
        <v>1870</v>
      </c>
      <c r="M757" s="13" t="str">
        <f t="shared" si="147"/>
        <v/>
      </c>
      <c r="N757" s="13">
        <f t="shared" si="148"/>
        <v>1850</v>
      </c>
      <c r="O757" s="13" t="str">
        <f t="shared" si="149"/>
        <v/>
      </c>
      <c r="P757" s="13" t="str">
        <f t="shared" si="150"/>
        <v/>
      </c>
      <c r="Q757" s="13"/>
      <c r="R757" s="14" t="str">
        <f t="shared" si="151"/>
        <v/>
      </c>
      <c r="S757" s="13" t="str">
        <f t="shared" si="152"/>
        <v/>
      </c>
      <c r="T757" s="13" t="str">
        <f t="shared" si="153"/>
        <v/>
      </c>
      <c r="U757" s="13" t="str">
        <f t="shared" si="154"/>
        <v/>
      </c>
      <c r="V757" s="13" t="str">
        <f t="shared" si="155"/>
        <v/>
      </c>
      <c r="W757" s="15">
        <f t="shared" si="156"/>
        <v>1000000000000000</v>
      </c>
    </row>
    <row r="758" spans="1:23" s="2" customFormat="1" ht="28.5" customHeight="1">
      <c r="A758" s="12" t="str">
        <f t="shared" si="145"/>
        <v/>
      </c>
      <c r="B758" s="12" t="s">
        <v>12</v>
      </c>
      <c r="C758" s="12" t="s">
        <v>1680</v>
      </c>
      <c r="D758" s="16" t="s">
        <v>52</v>
      </c>
      <c r="E758" s="12" t="s">
        <v>62</v>
      </c>
      <c r="F758" s="12" t="s">
        <v>1681</v>
      </c>
      <c r="G758" s="13">
        <v>1870</v>
      </c>
      <c r="H758" s="13"/>
      <c r="I758" s="13"/>
      <c r="J758" s="13">
        <v>1850</v>
      </c>
      <c r="K758" s="13">
        <f t="shared" si="158"/>
        <v>0</v>
      </c>
      <c r="L758" s="13">
        <f t="shared" si="146"/>
        <v>1870</v>
      </c>
      <c r="M758" s="13" t="str">
        <f t="shared" si="147"/>
        <v/>
      </c>
      <c r="N758" s="13">
        <f t="shared" si="148"/>
        <v>1850</v>
      </c>
      <c r="O758" s="13" t="str">
        <f t="shared" si="149"/>
        <v/>
      </c>
      <c r="P758" s="13" t="str">
        <f t="shared" si="150"/>
        <v/>
      </c>
      <c r="Q758" s="13"/>
      <c r="R758" s="14" t="str">
        <f t="shared" si="151"/>
        <v/>
      </c>
      <c r="S758" s="13" t="str">
        <f t="shared" si="152"/>
        <v/>
      </c>
      <c r="T758" s="13" t="str">
        <f t="shared" si="153"/>
        <v/>
      </c>
      <c r="U758" s="13" t="str">
        <f t="shared" si="154"/>
        <v/>
      </c>
      <c r="V758" s="13" t="str">
        <f t="shared" si="155"/>
        <v/>
      </c>
      <c r="W758" s="15">
        <f t="shared" si="156"/>
        <v>1000000000000000</v>
      </c>
    </row>
    <row r="759" spans="1:23" s="2" customFormat="1" ht="28.5" customHeight="1">
      <c r="A759" s="12" t="str">
        <f t="shared" si="145"/>
        <v/>
      </c>
      <c r="B759" s="12" t="s">
        <v>18</v>
      </c>
      <c r="C759" s="12" t="s">
        <v>1686</v>
      </c>
      <c r="D759" s="12" t="s">
        <v>749</v>
      </c>
      <c r="E759" s="12" t="s">
        <v>62</v>
      </c>
      <c r="F759" s="12" t="s">
        <v>1687</v>
      </c>
      <c r="G759" s="13">
        <v>1870</v>
      </c>
      <c r="H759" s="13"/>
      <c r="I759" s="13"/>
      <c r="J759" s="13">
        <v>1870</v>
      </c>
      <c r="K759" s="13">
        <f t="shared" si="158"/>
        <v>0</v>
      </c>
      <c r="L759" s="13">
        <f t="shared" si="146"/>
        <v>1870</v>
      </c>
      <c r="M759" s="13" t="str">
        <f t="shared" si="147"/>
        <v/>
      </c>
      <c r="N759" s="13">
        <f t="shared" si="148"/>
        <v>1870</v>
      </c>
      <c r="O759" s="13" t="str">
        <f t="shared" si="149"/>
        <v/>
      </c>
      <c r="P759" s="13" t="str">
        <f t="shared" si="150"/>
        <v/>
      </c>
      <c r="Q759" s="13"/>
      <c r="R759" s="14" t="str">
        <f t="shared" si="151"/>
        <v/>
      </c>
      <c r="S759" s="13" t="str">
        <f t="shared" si="152"/>
        <v/>
      </c>
      <c r="T759" s="13" t="str">
        <f t="shared" si="153"/>
        <v/>
      </c>
      <c r="U759" s="13" t="str">
        <f t="shared" si="154"/>
        <v/>
      </c>
      <c r="V759" s="13" t="str">
        <f t="shared" si="155"/>
        <v/>
      </c>
      <c r="W759" s="15">
        <f t="shared" si="156"/>
        <v>1000000000000000</v>
      </c>
    </row>
    <row r="760" spans="1:23" s="2" customFormat="1" ht="28.5" customHeight="1">
      <c r="A760" s="12" t="str">
        <f t="shared" si="145"/>
        <v/>
      </c>
      <c r="B760" s="12" t="s">
        <v>10</v>
      </c>
      <c r="C760" s="12" t="s">
        <v>1485</v>
      </c>
      <c r="D760" s="16" t="s">
        <v>52</v>
      </c>
      <c r="E760" s="12" t="s">
        <v>26</v>
      </c>
      <c r="F760" s="12" t="s">
        <v>1486</v>
      </c>
      <c r="G760" s="13">
        <v>2080</v>
      </c>
      <c r="H760" s="13"/>
      <c r="I760" s="13"/>
      <c r="J760" s="13">
        <v>1817</v>
      </c>
      <c r="K760" s="13">
        <f t="shared" si="158"/>
        <v>0</v>
      </c>
      <c r="L760" s="13">
        <f t="shared" si="146"/>
        <v>2080</v>
      </c>
      <c r="M760" s="13" t="str">
        <f t="shared" si="147"/>
        <v/>
      </c>
      <c r="N760" s="13">
        <f t="shared" si="148"/>
        <v>1817</v>
      </c>
      <c r="O760" s="13" t="str">
        <f t="shared" si="149"/>
        <v/>
      </c>
      <c r="P760" s="13" t="str">
        <f t="shared" si="150"/>
        <v/>
      </c>
      <c r="Q760" s="13" t="s">
        <v>47</v>
      </c>
      <c r="R760" s="14" t="str">
        <f t="shared" si="151"/>
        <v/>
      </c>
      <c r="S760" s="13" t="str">
        <f t="shared" si="152"/>
        <v/>
      </c>
      <c r="T760" s="13" t="str">
        <f t="shared" si="153"/>
        <v/>
      </c>
      <c r="U760" s="13" t="str">
        <f t="shared" si="154"/>
        <v/>
      </c>
      <c r="V760" s="13" t="str">
        <f t="shared" si="155"/>
        <v/>
      </c>
      <c r="W760" s="15">
        <f t="shared" si="156"/>
        <v>1000000000000000</v>
      </c>
    </row>
    <row r="761" spans="1:23" s="2" customFormat="1" ht="28.5" customHeight="1">
      <c r="A761" s="12" t="str">
        <f t="shared" si="145"/>
        <v/>
      </c>
      <c r="B761" s="12" t="s">
        <v>18</v>
      </c>
      <c r="C761" s="12" t="s">
        <v>1495</v>
      </c>
      <c r="D761" s="16" t="s">
        <v>52</v>
      </c>
      <c r="E761" s="12" t="s">
        <v>26</v>
      </c>
      <c r="F761" s="12" t="s">
        <v>1496</v>
      </c>
      <c r="G761" s="13">
        <v>1874</v>
      </c>
      <c r="H761" s="13"/>
      <c r="I761" s="13"/>
      <c r="J761" s="13">
        <v>1840</v>
      </c>
      <c r="K761" s="13">
        <f t="shared" si="158"/>
        <v>0</v>
      </c>
      <c r="L761" s="13">
        <f t="shared" si="146"/>
        <v>1874</v>
      </c>
      <c r="M761" s="13" t="str">
        <f t="shared" si="147"/>
        <v/>
      </c>
      <c r="N761" s="13">
        <f t="shared" si="148"/>
        <v>1840</v>
      </c>
      <c r="O761" s="13" t="str">
        <f t="shared" si="149"/>
        <v/>
      </c>
      <c r="P761" s="13" t="str">
        <f t="shared" si="150"/>
        <v/>
      </c>
      <c r="Q761" s="13"/>
      <c r="R761" s="14" t="str">
        <f t="shared" si="151"/>
        <v/>
      </c>
      <c r="S761" s="13" t="str">
        <f t="shared" si="152"/>
        <v/>
      </c>
      <c r="T761" s="13" t="str">
        <f t="shared" si="153"/>
        <v/>
      </c>
      <c r="U761" s="13" t="str">
        <f t="shared" si="154"/>
        <v/>
      </c>
      <c r="V761" s="13" t="str">
        <f t="shared" si="155"/>
        <v/>
      </c>
      <c r="W761" s="15">
        <f t="shared" si="156"/>
        <v>1000000000000000</v>
      </c>
    </row>
    <row r="762" spans="1:23" s="2" customFormat="1" ht="28.5" customHeight="1">
      <c r="A762" s="12" t="str">
        <f t="shared" si="145"/>
        <v/>
      </c>
      <c r="B762" s="12" t="s">
        <v>10</v>
      </c>
      <c r="C762" s="12" t="s">
        <v>1493</v>
      </c>
      <c r="D762" s="16" t="s">
        <v>52</v>
      </c>
      <c r="E762" s="12" t="s">
        <v>62</v>
      </c>
      <c r="F762" s="12" t="s">
        <v>1494</v>
      </c>
      <c r="G762" s="13">
        <v>1874</v>
      </c>
      <c r="H762" s="13"/>
      <c r="I762" s="13"/>
      <c r="J762" s="13">
        <v>1854</v>
      </c>
      <c r="K762" s="13">
        <v>0</v>
      </c>
      <c r="L762" s="13">
        <f t="shared" si="146"/>
        <v>1874</v>
      </c>
      <c r="M762" s="13" t="str">
        <f t="shared" si="147"/>
        <v/>
      </c>
      <c r="N762" s="13">
        <f t="shared" si="148"/>
        <v>1854</v>
      </c>
      <c r="O762" s="13" t="str">
        <f t="shared" si="149"/>
        <v/>
      </c>
      <c r="P762" s="13" t="str">
        <f t="shared" si="150"/>
        <v/>
      </c>
      <c r="Q762" s="13"/>
      <c r="R762" s="14" t="str">
        <f t="shared" si="151"/>
        <v/>
      </c>
      <c r="S762" s="13" t="str">
        <f t="shared" si="152"/>
        <v/>
      </c>
      <c r="T762" s="13" t="str">
        <f t="shared" si="153"/>
        <v/>
      </c>
      <c r="U762" s="13" t="str">
        <f t="shared" si="154"/>
        <v/>
      </c>
      <c r="V762" s="13" t="str">
        <f t="shared" si="155"/>
        <v/>
      </c>
      <c r="W762" s="15">
        <f t="shared" si="156"/>
        <v>1000000000000000</v>
      </c>
    </row>
    <row r="763" spans="1:23" s="2" customFormat="1" ht="28.5" customHeight="1">
      <c r="A763" s="12" t="str">
        <f t="shared" si="145"/>
        <v/>
      </c>
      <c r="B763" s="12" t="s">
        <v>18</v>
      </c>
      <c r="C763" s="12" t="s">
        <v>1592</v>
      </c>
      <c r="D763" s="12" t="s">
        <v>49</v>
      </c>
      <c r="E763" s="12" t="s">
        <v>26</v>
      </c>
      <c r="F763" s="12" t="s">
        <v>1593</v>
      </c>
      <c r="G763" s="13">
        <v>1875</v>
      </c>
      <c r="H763" s="13"/>
      <c r="I763" s="13"/>
      <c r="J763" s="13">
        <v>1842</v>
      </c>
      <c r="K763" s="13">
        <f>IF(AND(IFERROR(SEARCH("현대오일뱅크",$C763),0)&gt;0,IFERROR(SEARCH("직영",$C763),0)&gt;0),$B$13,0)</f>
        <v>0</v>
      </c>
      <c r="L763" s="13">
        <f t="shared" si="146"/>
        <v>1875</v>
      </c>
      <c r="M763" s="13" t="str">
        <f t="shared" si="147"/>
        <v/>
      </c>
      <c r="N763" s="13">
        <f t="shared" si="148"/>
        <v>1842</v>
      </c>
      <c r="O763" s="13" t="str">
        <f t="shared" si="149"/>
        <v/>
      </c>
      <c r="P763" s="13" t="str">
        <f t="shared" si="150"/>
        <v/>
      </c>
      <c r="Q763" s="13"/>
      <c r="R763" s="14" t="str">
        <f t="shared" si="151"/>
        <v/>
      </c>
      <c r="S763" s="13" t="str">
        <f t="shared" si="152"/>
        <v/>
      </c>
      <c r="T763" s="13" t="str">
        <f t="shared" si="153"/>
        <v/>
      </c>
      <c r="U763" s="13" t="str">
        <f t="shared" si="154"/>
        <v/>
      </c>
      <c r="V763" s="13" t="str">
        <f t="shared" si="155"/>
        <v/>
      </c>
      <c r="W763" s="15">
        <f t="shared" si="156"/>
        <v>1000000000000000</v>
      </c>
    </row>
    <row r="764" spans="1:23" s="2" customFormat="1" ht="28.5" customHeight="1">
      <c r="A764" s="12" t="str">
        <f t="shared" si="145"/>
        <v/>
      </c>
      <c r="B764" s="12" t="s">
        <v>8</v>
      </c>
      <c r="C764" s="12" t="s">
        <v>1614</v>
      </c>
      <c r="D764" s="12" t="s">
        <v>749</v>
      </c>
      <c r="E764" s="12" t="s">
        <v>26</v>
      </c>
      <c r="F764" s="12" t="s">
        <v>1615</v>
      </c>
      <c r="G764" s="13">
        <v>1875</v>
      </c>
      <c r="H764" s="13"/>
      <c r="I764" s="13"/>
      <c r="J764" s="13">
        <v>1855</v>
      </c>
      <c r="K764" s="13">
        <f>IF(AND(IFERROR(SEARCH("현대오일뱅크",$C764),0)&gt;0,IFERROR(SEARCH("직영",$C764),0)&gt;0),$B$13,0)</f>
        <v>0</v>
      </c>
      <c r="L764" s="13">
        <f t="shared" si="146"/>
        <v>1875</v>
      </c>
      <c r="M764" s="13" t="str">
        <f t="shared" si="147"/>
        <v/>
      </c>
      <c r="N764" s="13">
        <f t="shared" si="148"/>
        <v>1855</v>
      </c>
      <c r="O764" s="13" t="str">
        <f t="shared" si="149"/>
        <v/>
      </c>
      <c r="P764" s="13" t="str">
        <f t="shared" si="150"/>
        <v/>
      </c>
      <c r="Q764" s="13"/>
      <c r="R764" s="14" t="str">
        <f t="shared" si="151"/>
        <v/>
      </c>
      <c r="S764" s="13" t="str">
        <f t="shared" si="152"/>
        <v/>
      </c>
      <c r="T764" s="13" t="str">
        <f t="shared" si="153"/>
        <v/>
      </c>
      <c r="U764" s="13" t="str">
        <f t="shared" si="154"/>
        <v/>
      </c>
      <c r="V764" s="13" t="str">
        <f t="shared" si="155"/>
        <v/>
      </c>
      <c r="W764" s="15">
        <f t="shared" si="156"/>
        <v>1000000000000000</v>
      </c>
    </row>
    <row r="765" spans="1:23" s="2" customFormat="1" ht="28.5" customHeight="1">
      <c r="A765" s="12" t="str">
        <f t="shared" si="145"/>
        <v/>
      </c>
      <c r="B765" s="12" t="s">
        <v>14</v>
      </c>
      <c r="C765" s="12" t="s">
        <v>1265</v>
      </c>
      <c r="D765" s="12" t="s">
        <v>49</v>
      </c>
      <c r="E765" s="12" t="s">
        <v>62</v>
      </c>
      <c r="F765" s="12" t="s">
        <v>1501</v>
      </c>
      <c r="G765" s="13">
        <v>1875</v>
      </c>
      <c r="H765" s="13"/>
      <c r="I765" s="13"/>
      <c r="J765" s="13">
        <v>1857</v>
      </c>
      <c r="K765" s="13">
        <f>IF(AND(IFERROR(SEARCH("현대오일뱅크",$C765),0)&gt;0,IFERROR(SEARCH("직영",$C765),0)&gt;0),$B$13,0)</f>
        <v>0</v>
      </c>
      <c r="L765" s="13">
        <f t="shared" si="146"/>
        <v>1875</v>
      </c>
      <c r="M765" s="13" t="str">
        <f t="shared" si="147"/>
        <v/>
      </c>
      <c r="N765" s="13">
        <f t="shared" si="148"/>
        <v>1857</v>
      </c>
      <c r="O765" s="13" t="str">
        <f t="shared" si="149"/>
        <v/>
      </c>
      <c r="P765" s="13" t="str">
        <f t="shared" si="150"/>
        <v/>
      </c>
      <c r="Q765" s="13"/>
      <c r="R765" s="14" t="str">
        <f t="shared" si="151"/>
        <v/>
      </c>
      <c r="S765" s="13" t="str">
        <f t="shared" si="152"/>
        <v/>
      </c>
      <c r="T765" s="13" t="str">
        <f t="shared" si="153"/>
        <v/>
      </c>
      <c r="U765" s="13" t="str">
        <f t="shared" si="154"/>
        <v/>
      </c>
      <c r="V765" s="13" t="str">
        <f t="shared" si="155"/>
        <v/>
      </c>
      <c r="W765" s="15">
        <f t="shared" si="156"/>
        <v>1000000000000000</v>
      </c>
    </row>
    <row r="766" spans="1:23" s="17" customFormat="1" ht="28.5" customHeight="1">
      <c r="A766" s="12" t="str">
        <f t="shared" si="145"/>
        <v/>
      </c>
      <c r="B766" s="12" t="s">
        <v>8</v>
      </c>
      <c r="C766" s="12" t="s">
        <v>1502</v>
      </c>
      <c r="D766" s="12" t="s">
        <v>749</v>
      </c>
      <c r="E766" s="12" t="s">
        <v>62</v>
      </c>
      <c r="F766" s="12" t="s">
        <v>1503</v>
      </c>
      <c r="G766" s="13">
        <v>1875</v>
      </c>
      <c r="H766" s="13"/>
      <c r="I766" s="13"/>
      <c r="J766" s="13">
        <v>1859</v>
      </c>
      <c r="K766" s="13">
        <f>IF(AND(IFERROR(SEARCH("현대오일뱅크",$C766),0)&gt;0,IFERROR(SEARCH("직영",$C766),0)&gt;0),$B$13,0)</f>
        <v>0</v>
      </c>
      <c r="L766" s="13">
        <f t="shared" si="146"/>
        <v>1875</v>
      </c>
      <c r="M766" s="13" t="str">
        <f t="shared" si="147"/>
        <v/>
      </c>
      <c r="N766" s="13">
        <f t="shared" si="148"/>
        <v>1859</v>
      </c>
      <c r="O766" s="13" t="str">
        <f t="shared" si="149"/>
        <v/>
      </c>
      <c r="P766" s="13" t="str">
        <f t="shared" si="150"/>
        <v/>
      </c>
      <c r="Q766" s="13"/>
      <c r="R766" s="14" t="str">
        <f t="shared" si="151"/>
        <v/>
      </c>
      <c r="S766" s="13" t="str">
        <f t="shared" si="152"/>
        <v/>
      </c>
      <c r="T766" s="13" t="str">
        <f t="shared" si="153"/>
        <v/>
      </c>
      <c r="U766" s="13" t="str">
        <f t="shared" si="154"/>
        <v/>
      </c>
      <c r="V766" s="13" t="str">
        <f t="shared" si="155"/>
        <v/>
      </c>
      <c r="W766" s="15">
        <f t="shared" si="156"/>
        <v>1000000000000000</v>
      </c>
    </row>
    <row r="767" spans="1:23" s="2" customFormat="1" ht="28.5" customHeight="1">
      <c r="A767" s="12" t="str">
        <f t="shared" si="145"/>
        <v/>
      </c>
      <c r="B767" s="12" t="s">
        <v>14</v>
      </c>
      <c r="C767" s="12" t="s">
        <v>1504</v>
      </c>
      <c r="D767" s="12" t="s">
        <v>49</v>
      </c>
      <c r="E767" s="12" t="s">
        <v>26</v>
      </c>
      <c r="F767" s="12" t="s">
        <v>1505</v>
      </c>
      <c r="G767" s="13">
        <v>1875</v>
      </c>
      <c r="H767" s="13"/>
      <c r="I767" s="13"/>
      <c r="J767" s="13">
        <v>1868</v>
      </c>
      <c r="K767" s="13">
        <f>IF(AND(IFERROR(SEARCH("현대오일뱅크",$C767),0)&gt;0,IFERROR(SEARCH("직영",$C767),0)&gt;0),$B$13,0)</f>
        <v>0</v>
      </c>
      <c r="L767" s="13">
        <f t="shared" si="146"/>
        <v>1875</v>
      </c>
      <c r="M767" s="13" t="str">
        <f t="shared" si="147"/>
        <v/>
      </c>
      <c r="N767" s="13">
        <f t="shared" si="148"/>
        <v>1868</v>
      </c>
      <c r="O767" s="13" t="str">
        <f t="shared" si="149"/>
        <v/>
      </c>
      <c r="P767" s="13" t="str">
        <f t="shared" si="150"/>
        <v/>
      </c>
      <c r="Q767" s="13"/>
      <c r="R767" s="14" t="str">
        <f t="shared" si="151"/>
        <v/>
      </c>
      <c r="S767" s="13" t="str">
        <f t="shared" si="152"/>
        <v/>
      </c>
      <c r="T767" s="13" t="str">
        <f t="shared" si="153"/>
        <v/>
      </c>
      <c r="U767" s="13" t="str">
        <f t="shared" si="154"/>
        <v/>
      </c>
      <c r="V767" s="13" t="str">
        <f t="shared" si="155"/>
        <v/>
      </c>
      <c r="W767" s="15">
        <f t="shared" si="156"/>
        <v>1000000000000000</v>
      </c>
    </row>
    <row r="768" spans="1:23" s="2" customFormat="1" ht="28.5" customHeight="1">
      <c r="A768" s="12" t="str">
        <f t="shared" si="145"/>
        <v/>
      </c>
      <c r="B768" s="12" t="s">
        <v>12</v>
      </c>
      <c r="C768" s="12" t="s">
        <v>1506</v>
      </c>
      <c r="D768" s="16" t="s">
        <v>52</v>
      </c>
      <c r="E768" s="12" t="s">
        <v>62</v>
      </c>
      <c r="F768" s="12" t="s">
        <v>1507</v>
      </c>
      <c r="G768" s="13">
        <v>1875</v>
      </c>
      <c r="H768" s="13"/>
      <c r="I768" s="13"/>
      <c r="J768" s="13">
        <v>1870</v>
      </c>
      <c r="K768" s="13">
        <v>0</v>
      </c>
      <c r="L768" s="13">
        <f t="shared" si="146"/>
        <v>1875</v>
      </c>
      <c r="M768" s="13" t="str">
        <f t="shared" si="147"/>
        <v/>
      </c>
      <c r="N768" s="13">
        <f t="shared" si="148"/>
        <v>1870</v>
      </c>
      <c r="O768" s="13" t="str">
        <f t="shared" si="149"/>
        <v/>
      </c>
      <c r="P768" s="13" t="str">
        <f t="shared" si="150"/>
        <v/>
      </c>
      <c r="Q768" s="13"/>
      <c r="R768" s="14" t="str">
        <f t="shared" si="151"/>
        <v/>
      </c>
      <c r="S768" s="13" t="str">
        <f t="shared" si="152"/>
        <v/>
      </c>
      <c r="T768" s="13" t="str">
        <f t="shared" si="153"/>
        <v/>
      </c>
      <c r="U768" s="13" t="str">
        <f t="shared" si="154"/>
        <v/>
      </c>
      <c r="V768" s="13" t="str">
        <f t="shared" si="155"/>
        <v/>
      </c>
      <c r="W768" s="15">
        <f t="shared" si="156"/>
        <v>1000000000000000</v>
      </c>
    </row>
    <row r="769" spans="1:23" s="2" customFormat="1" ht="28.5" customHeight="1">
      <c r="A769" s="12" t="str">
        <f t="shared" si="145"/>
        <v/>
      </c>
      <c r="B769" s="12" t="s">
        <v>12</v>
      </c>
      <c r="C769" s="12" t="s">
        <v>1508</v>
      </c>
      <c r="D769" s="16" t="s">
        <v>52</v>
      </c>
      <c r="E769" s="12" t="s">
        <v>62</v>
      </c>
      <c r="F769" s="12" t="s">
        <v>1509</v>
      </c>
      <c r="G769" s="13">
        <v>1875</v>
      </c>
      <c r="H769" s="13"/>
      <c r="I769" s="13"/>
      <c r="J769" s="13">
        <v>1870</v>
      </c>
      <c r="K769" s="13">
        <v>0</v>
      </c>
      <c r="L769" s="13">
        <f t="shared" si="146"/>
        <v>1875</v>
      </c>
      <c r="M769" s="13" t="str">
        <f t="shared" si="147"/>
        <v/>
      </c>
      <c r="N769" s="13">
        <f t="shared" si="148"/>
        <v>1870</v>
      </c>
      <c r="O769" s="13" t="str">
        <f t="shared" si="149"/>
        <v/>
      </c>
      <c r="P769" s="13" t="str">
        <f t="shared" si="150"/>
        <v/>
      </c>
      <c r="Q769" s="13"/>
      <c r="R769" s="14" t="str">
        <f t="shared" si="151"/>
        <v/>
      </c>
      <c r="S769" s="13" t="str">
        <f t="shared" si="152"/>
        <v/>
      </c>
      <c r="T769" s="13" t="str">
        <f t="shared" si="153"/>
        <v/>
      </c>
      <c r="U769" s="13" t="str">
        <f t="shared" si="154"/>
        <v/>
      </c>
      <c r="V769" s="13" t="str">
        <f t="shared" si="155"/>
        <v/>
      </c>
      <c r="W769" s="15">
        <f t="shared" si="156"/>
        <v>1000000000000000</v>
      </c>
    </row>
    <row r="770" spans="1:23" s="17" customFormat="1" ht="28.5" customHeight="1">
      <c r="A770" s="12" t="str">
        <f t="shared" si="145"/>
        <v/>
      </c>
      <c r="B770" s="12" t="s">
        <v>12</v>
      </c>
      <c r="C770" s="12" t="s">
        <v>1510</v>
      </c>
      <c r="D770" s="16" t="s">
        <v>52</v>
      </c>
      <c r="E770" s="12" t="s">
        <v>62</v>
      </c>
      <c r="F770" s="12" t="s">
        <v>1511</v>
      </c>
      <c r="G770" s="13">
        <v>1875</v>
      </c>
      <c r="H770" s="13"/>
      <c r="I770" s="13"/>
      <c r="J770" s="13">
        <v>1870</v>
      </c>
      <c r="K770" s="13">
        <v>0</v>
      </c>
      <c r="L770" s="13">
        <f t="shared" si="146"/>
        <v>1875</v>
      </c>
      <c r="M770" s="13" t="str">
        <f t="shared" si="147"/>
        <v/>
      </c>
      <c r="N770" s="13">
        <f t="shared" si="148"/>
        <v>1870</v>
      </c>
      <c r="O770" s="13" t="str">
        <f t="shared" si="149"/>
        <v/>
      </c>
      <c r="P770" s="13" t="str">
        <f t="shared" si="150"/>
        <v/>
      </c>
      <c r="Q770" s="13"/>
      <c r="R770" s="14" t="str">
        <f t="shared" si="151"/>
        <v/>
      </c>
      <c r="S770" s="13" t="str">
        <f t="shared" si="152"/>
        <v/>
      </c>
      <c r="T770" s="13" t="str">
        <f t="shared" si="153"/>
        <v/>
      </c>
      <c r="U770" s="13" t="str">
        <f t="shared" si="154"/>
        <v/>
      </c>
      <c r="V770" s="13" t="str">
        <f t="shared" si="155"/>
        <v/>
      </c>
      <c r="W770" s="15">
        <f t="shared" si="156"/>
        <v>1000000000000000</v>
      </c>
    </row>
    <row r="771" spans="1:23" s="2" customFormat="1" ht="28.5" customHeight="1">
      <c r="A771" s="12" t="str">
        <f t="shared" si="145"/>
        <v/>
      </c>
      <c r="B771" s="12" t="s">
        <v>6</v>
      </c>
      <c r="C771" s="12" t="s">
        <v>1512</v>
      </c>
      <c r="D771" s="16" t="s">
        <v>52</v>
      </c>
      <c r="E771" s="12" t="s">
        <v>26</v>
      </c>
      <c r="F771" s="12" t="s">
        <v>1513</v>
      </c>
      <c r="G771" s="13">
        <v>1875</v>
      </c>
      <c r="H771" s="13"/>
      <c r="I771" s="13"/>
      <c r="J771" s="13">
        <v>1875</v>
      </c>
      <c r="K771" s="13">
        <f t="shared" ref="K771:K802" si="159">IF(AND(IFERROR(SEARCH("현대오일뱅크",$C771),0)&gt;0,IFERROR(SEARCH("직영",$C771),0)&gt;0),$B$13,0)</f>
        <v>0</v>
      </c>
      <c r="L771" s="13">
        <f t="shared" si="146"/>
        <v>1875</v>
      </c>
      <c r="M771" s="13" t="str">
        <f t="shared" si="147"/>
        <v/>
      </c>
      <c r="N771" s="13">
        <f t="shared" si="148"/>
        <v>1875</v>
      </c>
      <c r="O771" s="13" t="str">
        <f t="shared" si="149"/>
        <v/>
      </c>
      <c r="P771" s="13" t="str">
        <f t="shared" si="150"/>
        <v/>
      </c>
      <c r="Q771" s="13"/>
      <c r="R771" s="14" t="str">
        <f t="shared" si="151"/>
        <v/>
      </c>
      <c r="S771" s="13" t="str">
        <f t="shared" si="152"/>
        <v/>
      </c>
      <c r="T771" s="13" t="str">
        <f t="shared" si="153"/>
        <v/>
      </c>
      <c r="U771" s="13" t="str">
        <f t="shared" si="154"/>
        <v/>
      </c>
      <c r="V771" s="13" t="str">
        <f t="shared" si="155"/>
        <v/>
      </c>
      <c r="W771" s="15">
        <f t="shared" si="156"/>
        <v>1000000000000000</v>
      </c>
    </row>
    <row r="772" spans="1:23" s="2" customFormat="1" ht="28.5" customHeight="1">
      <c r="A772" s="12" t="str">
        <f t="shared" si="145"/>
        <v/>
      </c>
      <c r="B772" s="12" t="s">
        <v>14</v>
      </c>
      <c r="C772" s="12" t="s">
        <v>1518</v>
      </c>
      <c r="D772" s="16" t="s">
        <v>59</v>
      </c>
      <c r="E772" s="12" t="s">
        <v>26</v>
      </c>
      <c r="F772" s="12" t="s">
        <v>1519</v>
      </c>
      <c r="G772" s="13">
        <v>1877</v>
      </c>
      <c r="H772" s="13"/>
      <c r="I772" s="13"/>
      <c r="J772" s="13">
        <v>1867</v>
      </c>
      <c r="K772" s="13">
        <f t="shared" si="159"/>
        <v>0</v>
      </c>
      <c r="L772" s="13">
        <f t="shared" si="146"/>
        <v>1877</v>
      </c>
      <c r="M772" s="13" t="str">
        <f t="shared" si="147"/>
        <v/>
      </c>
      <c r="N772" s="13">
        <f t="shared" si="148"/>
        <v>1867</v>
      </c>
      <c r="O772" s="13" t="str">
        <f t="shared" si="149"/>
        <v/>
      </c>
      <c r="P772" s="13" t="str">
        <f t="shared" si="150"/>
        <v/>
      </c>
      <c r="Q772" s="13"/>
      <c r="R772" s="14" t="str">
        <f t="shared" si="151"/>
        <v/>
      </c>
      <c r="S772" s="13" t="str">
        <f t="shared" si="152"/>
        <v/>
      </c>
      <c r="T772" s="13" t="str">
        <f t="shared" si="153"/>
        <v/>
      </c>
      <c r="U772" s="13" t="str">
        <f t="shared" si="154"/>
        <v/>
      </c>
      <c r="V772" s="13" t="str">
        <f t="shared" si="155"/>
        <v/>
      </c>
      <c r="W772" s="15">
        <f t="shared" si="156"/>
        <v>1000000000000000</v>
      </c>
    </row>
    <row r="773" spans="1:23" s="17" customFormat="1" ht="28.5" customHeight="1">
      <c r="A773" s="12" t="str">
        <f t="shared" si="145"/>
        <v/>
      </c>
      <c r="B773" s="12" t="s">
        <v>6</v>
      </c>
      <c r="C773" s="12" t="s">
        <v>1487</v>
      </c>
      <c r="D773" s="16" t="s">
        <v>52</v>
      </c>
      <c r="E773" s="12" t="s">
        <v>26</v>
      </c>
      <c r="F773" s="12" t="s">
        <v>1488</v>
      </c>
      <c r="G773" s="13">
        <v>1878</v>
      </c>
      <c r="H773" s="13"/>
      <c r="I773" s="13"/>
      <c r="J773" s="13">
        <v>1817</v>
      </c>
      <c r="K773" s="13">
        <f t="shared" si="159"/>
        <v>0</v>
      </c>
      <c r="L773" s="13">
        <f t="shared" si="146"/>
        <v>1878</v>
      </c>
      <c r="M773" s="13" t="str">
        <f t="shared" si="147"/>
        <v/>
      </c>
      <c r="N773" s="13">
        <f t="shared" si="148"/>
        <v>1817</v>
      </c>
      <c r="O773" s="13" t="str">
        <f t="shared" si="149"/>
        <v/>
      </c>
      <c r="P773" s="13" t="str">
        <f t="shared" si="150"/>
        <v/>
      </c>
      <c r="Q773" s="13"/>
      <c r="R773" s="14" t="str">
        <f t="shared" si="151"/>
        <v/>
      </c>
      <c r="S773" s="13" t="str">
        <f t="shared" si="152"/>
        <v/>
      </c>
      <c r="T773" s="13" t="str">
        <f t="shared" si="153"/>
        <v/>
      </c>
      <c r="U773" s="13" t="str">
        <f t="shared" si="154"/>
        <v/>
      </c>
      <c r="V773" s="13" t="str">
        <f t="shared" si="155"/>
        <v/>
      </c>
      <c r="W773" s="15">
        <f t="shared" si="156"/>
        <v>1000000000000000</v>
      </c>
    </row>
    <row r="774" spans="1:23" s="2" customFormat="1" ht="28.5" customHeight="1">
      <c r="A774" s="12" t="str">
        <f t="shared" si="145"/>
        <v/>
      </c>
      <c r="B774" s="12" t="s">
        <v>12</v>
      </c>
      <c r="C774" s="12" t="s">
        <v>1520</v>
      </c>
      <c r="D774" s="16" t="s">
        <v>59</v>
      </c>
      <c r="E774" s="12" t="s">
        <v>62</v>
      </c>
      <c r="F774" s="12" t="s">
        <v>1521</v>
      </c>
      <c r="G774" s="13">
        <v>1878</v>
      </c>
      <c r="H774" s="13"/>
      <c r="I774" s="13"/>
      <c r="J774" s="13">
        <v>1819</v>
      </c>
      <c r="K774" s="13">
        <f t="shared" si="159"/>
        <v>0</v>
      </c>
      <c r="L774" s="13">
        <f t="shared" si="146"/>
        <v>1878</v>
      </c>
      <c r="M774" s="13" t="str">
        <f t="shared" si="147"/>
        <v/>
      </c>
      <c r="N774" s="13">
        <f t="shared" si="148"/>
        <v>1819</v>
      </c>
      <c r="O774" s="13" t="str">
        <f t="shared" si="149"/>
        <v/>
      </c>
      <c r="P774" s="13" t="str">
        <f t="shared" si="150"/>
        <v/>
      </c>
      <c r="Q774" s="13"/>
      <c r="R774" s="14" t="str">
        <f t="shared" si="151"/>
        <v/>
      </c>
      <c r="S774" s="13" t="str">
        <f t="shared" si="152"/>
        <v/>
      </c>
      <c r="T774" s="13" t="str">
        <f t="shared" si="153"/>
        <v/>
      </c>
      <c r="U774" s="13" t="str">
        <f t="shared" si="154"/>
        <v/>
      </c>
      <c r="V774" s="13" t="str">
        <f t="shared" si="155"/>
        <v/>
      </c>
      <c r="W774" s="15">
        <f t="shared" si="156"/>
        <v>1000000000000000</v>
      </c>
    </row>
    <row r="775" spans="1:23" s="2" customFormat="1" ht="28.5" customHeight="1">
      <c r="A775" s="12" t="str">
        <f t="shared" si="145"/>
        <v/>
      </c>
      <c r="B775" s="12" t="s">
        <v>14</v>
      </c>
      <c r="C775" s="12" t="s">
        <v>1522</v>
      </c>
      <c r="D775" s="12" t="s">
        <v>49</v>
      </c>
      <c r="E775" s="12" t="s">
        <v>26</v>
      </c>
      <c r="F775" s="12" t="s">
        <v>1523</v>
      </c>
      <c r="G775" s="13">
        <v>1878</v>
      </c>
      <c r="H775" s="13"/>
      <c r="I775" s="13"/>
      <c r="J775" s="13">
        <v>1867</v>
      </c>
      <c r="K775" s="13">
        <f t="shared" si="159"/>
        <v>0</v>
      </c>
      <c r="L775" s="13">
        <f t="shared" si="146"/>
        <v>1878</v>
      </c>
      <c r="M775" s="13" t="str">
        <f t="shared" si="147"/>
        <v/>
      </c>
      <c r="N775" s="13">
        <f t="shared" si="148"/>
        <v>1867</v>
      </c>
      <c r="O775" s="13" t="str">
        <f t="shared" si="149"/>
        <v/>
      </c>
      <c r="P775" s="13" t="str">
        <f t="shared" si="150"/>
        <v/>
      </c>
      <c r="Q775" s="13"/>
      <c r="R775" s="14" t="str">
        <f t="shared" si="151"/>
        <v/>
      </c>
      <c r="S775" s="13" t="str">
        <f t="shared" si="152"/>
        <v/>
      </c>
      <c r="T775" s="13" t="str">
        <f t="shared" si="153"/>
        <v/>
      </c>
      <c r="U775" s="13" t="str">
        <f t="shared" si="154"/>
        <v/>
      </c>
      <c r="V775" s="13" t="str">
        <f t="shared" si="155"/>
        <v/>
      </c>
      <c r="W775" s="15">
        <f t="shared" si="156"/>
        <v>1000000000000000</v>
      </c>
    </row>
    <row r="776" spans="1:23" s="17" customFormat="1" ht="28.5" customHeight="1">
      <c r="A776" s="12" t="str">
        <f t="shared" si="145"/>
        <v/>
      </c>
      <c r="B776" s="12" t="s">
        <v>14</v>
      </c>
      <c r="C776" s="12" t="s">
        <v>1634</v>
      </c>
      <c r="D776" s="12" t="s">
        <v>49</v>
      </c>
      <c r="E776" s="12" t="s">
        <v>26</v>
      </c>
      <c r="F776" s="12" t="s">
        <v>1635</v>
      </c>
      <c r="G776" s="13">
        <v>1878</v>
      </c>
      <c r="H776" s="13"/>
      <c r="I776" s="13"/>
      <c r="J776" s="13">
        <v>1878</v>
      </c>
      <c r="K776" s="13">
        <f t="shared" si="159"/>
        <v>0</v>
      </c>
      <c r="L776" s="13">
        <f t="shared" si="146"/>
        <v>1878</v>
      </c>
      <c r="M776" s="13" t="str">
        <f t="shared" si="147"/>
        <v/>
      </c>
      <c r="N776" s="13">
        <f t="shared" si="148"/>
        <v>1878</v>
      </c>
      <c r="O776" s="13" t="str">
        <f t="shared" si="149"/>
        <v/>
      </c>
      <c r="P776" s="13" t="str">
        <f t="shared" si="150"/>
        <v/>
      </c>
      <c r="Q776" s="13"/>
      <c r="R776" s="14" t="str">
        <f t="shared" si="151"/>
        <v/>
      </c>
      <c r="S776" s="13" t="str">
        <f t="shared" si="152"/>
        <v/>
      </c>
      <c r="T776" s="13" t="str">
        <f t="shared" si="153"/>
        <v/>
      </c>
      <c r="U776" s="13" t="str">
        <f t="shared" si="154"/>
        <v/>
      </c>
      <c r="V776" s="13" t="str">
        <f t="shared" si="155"/>
        <v/>
      </c>
      <c r="W776" s="15">
        <f t="shared" si="156"/>
        <v>1000000000000000</v>
      </c>
    </row>
    <row r="777" spans="1:23" s="17" customFormat="1" ht="28.5" customHeight="1">
      <c r="A777" s="12" t="str">
        <f t="shared" si="145"/>
        <v/>
      </c>
      <c r="B777" s="12" t="s">
        <v>12</v>
      </c>
      <c r="C777" s="12" t="s">
        <v>1526</v>
      </c>
      <c r="D777" s="18" t="s">
        <v>749</v>
      </c>
      <c r="E777" s="12" t="s">
        <v>26</v>
      </c>
      <c r="F777" s="12" t="s">
        <v>1527</v>
      </c>
      <c r="G777" s="13">
        <v>1879</v>
      </c>
      <c r="H777" s="13"/>
      <c r="I777" s="13"/>
      <c r="J777" s="13">
        <v>1859</v>
      </c>
      <c r="K777" s="13">
        <f t="shared" si="159"/>
        <v>0</v>
      </c>
      <c r="L777" s="13">
        <f t="shared" si="146"/>
        <v>1879</v>
      </c>
      <c r="M777" s="13" t="str">
        <f t="shared" si="147"/>
        <v/>
      </c>
      <c r="N777" s="13">
        <f t="shared" si="148"/>
        <v>1859</v>
      </c>
      <c r="O777" s="13" t="str">
        <f t="shared" si="149"/>
        <v/>
      </c>
      <c r="P777" s="13" t="str">
        <f t="shared" si="150"/>
        <v/>
      </c>
      <c r="Q777" s="13"/>
      <c r="R777" s="14" t="str">
        <f t="shared" si="151"/>
        <v/>
      </c>
      <c r="S777" s="13" t="str">
        <f t="shared" si="152"/>
        <v/>
      </c>
      <c r="T777" s="13" t="str">
        <f t="shared" si="153"/>
        <v/>
      </c>
      <c r="U777" s="13" t="str">
        <f t="shared" si="154"/>
        <v/>
      </c>
      <c r="V777" s="13" t="str">
        <f t="shared" si="155"/>
        <v/>
      </c>
      <c r="W777" s="15">
        <f t="shared" si="156"/>
        <v>1000000000000000</v>
      </c>
    </row>
    <row r="778" spans="1:23" s="2" customFormat="1" ht="28.5" customHeight="1">
      <c r="A778" s="12" t="str">
        <f t="shared" si="145"/>
        <v/>
      </c>
      <c r="B778" s="12" t="s">
        <v>14</v>
      </c>
      <c r="C778" s="12" t="s">
        <v>1674</v>
      </c>
      <c r="D778" s="12" t="s">
        <v>49</v>
      </c>
      <c r="E778" s="12" t="s">
        <v>26</v>
      </c>
      <c r="F778" s="12" t="s">
        <v>1675</v>
      </c>
      <c r="G778" s="13">
        <v>1879</v>
      </c>
      <c r="H778" s="13"/>
      <c r="I778" s="13"/>
      <c r="J778" s="13">
        <v>1865</v>
      </c>
      <c r="K778" s="13">
        <f t="shared" si="159"/>
        <v>0</v>
      </c>
      <c r="L778" s="13">
        <f t="shared" si="146"/>
        <v>1879</v>
      </c>
      <c r="M778" s="13" t="str">
        <f t="shared" si="147"/>
        <v/>
      </c>
      <c r="N778" s="13">
        <f t="shared" si="148"/>
        <v>1865</v>
      </c>
      <c r="O778" s="13" t="str">
        <f t="shared" si="149"/>
        <v/>
      </c>
      <c r="P778" s="13" t="str">
        <f t="shared" si="150"/>
        <v/>
      </c>
      <c r="Q778" s="13"/>
      <c r="R778" s="14" t="str">
        <f t="shared" si="151"/>
        <v/>
      </c>
      <c r="S778" s="13" t="str">
        <f t="shared" si="152"/>
        <v/>
      </c>
      <c r="T778" s="13" t="str">
        <f t="shared" si="153"/>
        <v/>
      </c>
      <c r="U778" s="13" t="str">
        <f t="shared" si="154"/>
        <v/>
      </c>
      <c r="V778" s="13" t="str">
        <f t="shared" si="155"/>
        <v/>
      </c>
      <c r="W778" s="15">
        <f t="shared" si="156"/>
        <v>1000000000000000</v>
      </c>
    </row>
    <row r="779" spans="1:23" s="2" customFormat="1" ht="28.5" customHeight="1">
      <c r="A779" s="12" t="str">
        <f t="shared" si="145"/>
        <v/>
      </c>
      <c r="B779" s="12" t="s">
        <v>14</v>
      </c>
      <c r="C779" s="12" t="s">
        <v>1676</v>
      </c>
      <c r="D779" s="16" t="s">
        <v>71</v>
      </c>
      <c r="E779" s="12" t="s">
        <v>26</v>
      </c>
      <c r="F779" s="12" t="s">
        <v>1677</v>
      </c>
      <c r="G779" s="13">
        <v>1879</v>
      </c>
      <c r="H779" s="13"/>
      <c r="I779" s="13"/>
      <c r="J779" s="13">
        <v>1865</v>
      </c>
      <c r="K779" s="13">
        <f t="shared" si="159"/>
        <v>0</v>
      </c>
      <c r="L779" s="13">
        <f t="shared" si="146"/>
        <v>1879</v>
      </c>
      <c r="M779" s="13" t="str">
        <f t="shared" si="147"/>
        <v/>
      </c>
      <c r="N779" s="13">
        <f t="shared" si="148"/>
        <v>1865</v>
      </c>
      <c r="O779" s="13" t="str">
        <f t="shared" si="149"/>
        <v/>
      </c>
      <c r="P779" s="13" t="str">
        <f t="shared" si="150"/>
        <v/>
      </c>
      <c r="Q779" s="13"/>
      <c r="R779" s="14" t="str">
        <f t="shared" si="151"/>
        <v/>
      </c>
      <c r="S779" s="13" t="str">
        <f t="shared" si="152"/>
        <v/>
      </c>
      <c r="T779" s="13" t="str">
        <f t="shared" si="153"/>
        <v/>
      </c>
      <c r="U779" s="13" t="str">
        <f t="shared" si="154"/>
        <v/>
      </c>
      <c r="V779" s="13" t="str">
        <f t="shared" si="155"/>
        <v/>
      </c>
      <c r="W779" s="15">
        <f t="shared" si="156"/>
        <v>1000000000000000</v>
      </c>
    </row>
    <row r="780" spans="1:23" s="2" customFormat="1" ht="28.5" customHeight="1">
      <c r="A780" s="12" t="str">
        <f t="shared" si="145"/>
        <v/>
      </c>
      <c r="B780" s="12" t="s">
        <v>18</v>
      </c>
      <c r="C780" s="12" t="s">
        <v>1528</v>
      </c>
      <c r="D780" s="16" t="s">
        <v>59</v>
      </c>
      <c r="E780" s="12" t="s">
        <v>26</v>
      </c>
      <c r="F780" s="12" t="s">
        <v>1529</v>
      </c>
      <c r="G780" s="13">
        <v>1879</v>
      </c>
      <c r="H780" s="13"/>
      <c r="I780" s="13"/>
      <c r="J780" s="13">
        <v>1869</v>
      </c>
      <c r="K780" s="13">
        <f t="shared" si="159"/>
        <v>0</v>
      </c>
      <c r="L780" s="13">
        <f t="shared" si="146"/>
        <v>1879</v>
      </c>
      <c r="M780" s="13" t="str">
        <f t="shared" si="147"/>
        <v/>
      </c>
      <c r="N780" s="13">
        <f t="shared" si="148"/>
        <v>1869</v>
      </c>
      <c r="O780" s="13" t="str">
        <f t="shared" si="149"/>
        <v/>
      </c>
      <c r="P780" s="13" t="str">
        <f t="shared" si="150"/>
        <v/>
      </c>
      <c r="Q780" s="13"/>
      <c r="R780" s="14" t="str">
        <f t="shared" si="151"/>
        <v/>
      </c>
      <c r="S780" s="13" t="str">
        <f t="shared" si="152"/>
        <v/>
      </c>
      <c r="T780" s="13" t="str">
        <f t="shared" si="153"/>
        <v/>
      </c>
      <c r="U780" s="13" t="str">
        <f t="shared" si="154"/>
        <v/>
      </c>
      <c r="V780" s="13" t="str">
        <f t="shared" si="155"/>
        <v/>
      </c>
      <c r="W780" s="15">
        <f t="shared" si="156"/>
        <v>1000000000000000</v>
      </c>
    </row>
    <row r="781" spans="1:23" s="2" customFormat="1" ht="28.5" customHeight="1">
      <c r="A781" s="12" t="str">
        <f t="shared" si="145"/>
        <v/>
      </c>
      <c r="B781" s="12" t="s">
        <v>14</v>
      </c>
      <c r="C781" s="12" t="s">
        <v>1532</v>
      </c>
      <c r="D781" s="16" t="s">
        <v>52</v>
      </c>
      <c r="E781" s="12" t="s">
        <v>62</v>
      </c>
      <c r="F781" s="12" t="s">
        <v>1533</v>
      </c>
      <c r="G781" s="13">
        <v>1879</v>
      </c>
      <c r="H781" s="13"/>
      <c r="I781" s="13"/>
      <c r="J781" s="13">
        <v>1869</v>
      </c>
      <c r="K781" s="13">
        <f t="shared" si="159"/>
        <v>0</v>
      </c>
      <c r="L781" s="13">
        <f t="shared" si="146"/>
        <v>1879</v>
      </c>
      <c r="M781" s="13" t="str">
        <f t="shared" si="147"/>
        <v/>
      </c>
      <c r="N781" s="13">
        <f t="shared" si="148"/>
        <v>1869</v>
      </c>
      <c r="O781" s="13" t="str">
        <f t="shared" si="149"/>
        <v/>
      </c>
      <c r="P781" s="13" t="str">
        <f t="shared" si="150"/>
        <v/>
      </c>
      <c r="Q781" s="13"/>
      <c r="R781" s="14" t="str">
        <f t="shared" si="151"/>
        <v/>
      </c>
      <c r="S781" s="13" t="str">
        <f t="shared" si="152"/>
        <v/>
      </c>
      <c r="T781" s="13" t="str">
        <f t="shared" si="153"/>
        <v/>
      </c>
      <c r="U781" s="13" t="str">
        <f t="shared" si="154"/>
        <v/>
      </c>
      <c r="V781" s="13" t="str">
        <f t="shared" si="155"/>
        <v/>
      </c>
      <c r="W781" s="15">
        <f t="shared" si="156"/>
        <v>1000000000000000</v>
      </c>
    </row>
    <row r="782" spans="1:23" s="2" customFormat="1" ht="28.5" customHeight="1">
      <c r="A782" s="12" t="str">
        <f t="shared" si="145"/>
        <v/>
      </c>
      <c r="B782" s="12" t="s">
        <v>6</v>
      </c>
      <c r="C782" s="12" t="s">
        <v>1534</v>
      </c>
      <c r="D782" s="16" t="s">
        <v>52</v>
      </c>
      <c r="E782" s="12" t="s">
        <v>26</v>
      </c>
      <c r="F782" s="12" t="s">
        <v>1535</v>
      </c>
      <c r="G782" s="13">
        <v>1884</v>
      </c>
      <c r="H782" s="13"/>
      <c r="I782" s="13"/>
      <c r="J782" s="13">
        <v>1874</v>
      </c>
      <c r="K782" s="13">
        <f t="shared" si="159"/>
        <v>0</v>
      </c>
      <c r="L782" s="13">
        <f t="shared" si="146"/>
        <v>1884</v>
      </c>
      <c r="M782" s="13" t="str">
        <f t="shared" si="147"/>
        <v/>
      </c>
      <c r="N782" s="13">
        <f t="shared" si="148"/>
        <v>1874</v>
      </c>
      <c r="O782" s="13" t="str">
        <f t="shared" si="149"/>
        <v/>
      </c>
      <c r="P782" s="13" t="str">
        <f t="shared" si="150"/>
        <v/>
      </c>
      <c r="Q782" s="13"/>
      <c r="R782" s="14" t="str">
        <f t="shared" si="151"/>
        <v/>
      </c>
      <c r="S782" s="13" t="str">
        <f t="shared" si="152"/>
        <v/>
      </c>
      <c r="T782" s="13" t="str">
        <f t="shared" si="153"/>
        <v/>
      </c>
      <c r="U782" s="13" t="str">
        <f t="shared" si="154"/>
        <v/>
      </c>
      <c r="V782" s="13" t="str">
        <f t="shared" si="155"/>
        <v/>
      </c>
      <c r="W782" s="15">
        <f t="shared" si="156"/>
        <v>1000000000000000</v>
      </c>
    </row>
    <row r="783" spans="1:23" s="8" customFormat="1" ht="28.5" customHeight="1">
      <c r="A783" s="12" t="str">
        <f t="shared" ref="A783:A846" si="160">IF($T783="","",1+COUNTIF($W$15:$W$878,"&lt;"&amp;W783))</f>
        <v/>
      </c>
      <c r="B783" s="12" t="s">
        <v>16</v>
      </c>
      <c r="C783" s="12" t="s">
        <v>1536</v>
      </c>
      <c r="D783" s="12" t="s">
        <v>49</v>
      </c>
      <c r="E783" s="12" t="s">
        <v>26</v>
      </c>
      <c r="F783" s="12" t="s">
        <v>1537</v>
      </c>
      <c r="G783" s="13">
        <v>1885</v>
      </c>
      <c r="H783" s="13"/>
      <c r="I783" s="13"/>
      <c r="J783" s="13">
        <v>1845</v>
      </c>
      <c r="K783" s="13">
        <f t="shared" si="159"/>
        <v>0</v>
      </c>
      <c r="L783" s="13">
        <f t="shared" ref="L783:L846" si="161">IF($G783="","",$G783+$K783)</f>
        <v>1885</v>
      </c>
      <c r="M783" s="13" t="str">
        <f t="shared" ref="M783:M846" si="162">IF($H783="","",$H783+$K783)</f>
        <v/>
      </c>
      <c r="N783" s="13">
        <f t="shared" ref="N783:N846" si="163">IF($J783="","",$J783+$K783)</f>
        <v>1845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12</v>
      </c>
      <c r="C784" s="12" t="s">
        <v>1538</v>
      </c>
      <c r="D784" s="16" t="s">
        <v>52</v>
      </c>
      <c r="E784" s="12" t="s">
        <v>26</v>
      </c>
      <c r="F784" s="12" t="s">
        <v>1539</v>
      </c>
      <c r="G784" s="13">
        <v>1885</v>
      </c>
      <c r="H784" s="13"/>
      <c r="I784" s="13"/>
      <c r="J784" s="13">
        <v>1865</v>
      </c>
      <c r="K784" s="13">
        <f t="shared" si="159"/>
        <v>0</v>
      </c>
      <c r="L784" s="13">
        <f t="shared" si="161"/>
        <v>1885</v>
      </c>
      <c r="M784" s="13" t="str">
        <f t="shared" si="162"/>
        <v/>
      </c>
      <c r="N784" s="13">
        <f t="shared" si="163"/>
        <v>1865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60"/>
        <v/>
      </c>
      <c r="B785" s="12" t="s">
        <v>18</v>
      </c>
      <c r="C785" s="12" t="s">
        <v>1540</v>
      </c>
      <c r="D785" s="12" t="s">
        <v>749</v>
      </c>
      <c r="E785" s="12" t="s">
        <v>26</v>
      </c>
      <c r="F785" s="12" t="s">
        <v>1541</v>
      </c>
      <c r="G785" s="13">
        <v>1885</v>
      </c>
      <c r="H785" s="13"/>
      <c r="I785" s="13"/>
      <c r="J785" s="13">
        <v>1875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1875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17" customFormat="1" ht="28.5" customHeight="1">
      <c r="A786" s="12" t="str">
        <f t="shared" si="160"/>
        <v/>
      </c>
      <c r="B786" s="12" t="s">
        <v>14</v>
      </c>
      <c r="C786" s="12" t="s">
        <v>1542</v>
      </c>
      <c r="D786" s="16" t="s">
        <v>52</v>
      </c>
      <c r="E786" s="12" t="s">
        <v>62</v>
      </c>
      <c r="F786" s="12" t="s">
        <v>1543</v>
      </c>
      <c r="G786" s="13">
        <v>1885</v>
      </c>
      <c r="H786" s="13"/>
      <c r="I786" s="13"/>
      <c r="J786" s="13">
        <v>1885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1885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14</v>
      </c>
      <c r="C787" s="12" t="s">
        <v>1544</v>
      </c>
      <c r="D787" s="16" t="s">
        <v>52</v>
      </c>
      <c r="E787" s="12" t="s">
        <v>62</v>
      </c>
      <c r="F787" s="12" t="s">
        <v>1545</v>
      </c>
      <c r="G787" s="13">
        <v>1886</v>
      </c>
      <c r="H787" s="13"/>
      <c r="I787" s="13"/>
      <c r="J787" s="13">
        <v>1856</v>
      </c>
      <c r="K787" s="13">
        <f t="shared" si="159"/>
        <v>0</v>
      </c>
      <c r="L787" s="13">
        <f t="shared" si="161"/>
        <v>1886</v>
      </c>
      <c r="M787" s="13" t="str">
        <f t="shared" si="162"/>
        <v/>
      </c>
      <c r="N787" s="13">
        <f t="shared" si="163"/>
        <v>1856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8" customFormat="1" ht="28.5" customHeight="1">
      <c r="A788" s="12" t="str">
        <f t="shared" si="160"/>
        <v/>
      </c>
      <c r="B788" s="12" t="s">
        <v>10</v>
      </c>
      <c r="C788" s="12" t="s">
        <v>1546</v>
      </c>
      <c r="D788" s="16" t="s">
        <v>59</v>
      </c>
      <c r="E788" s="12" t="s">
        <v>62</v>
      </c>
      <c r="F788" s="12" t="s">
        <v>1547</v>
      </c>
      <c r="G788" s="13">
        <v>1889</v>
      </c>
      <c r="H788" s="13"/>
      <c r="I788" s="13"/>
      <c r="J788" s="13">
        <v>1818</v>
      </c>
      <c r="K788" s="13">
        <f t="shared" si="159"/>
        <v>0</v>
      </c>
      <c r="L788" s="13">
        <f t="shared" si="161"/>
        <v>1889</v>
      </c>
      <c r="M788" s="13" t="str">
        <f t="shared" si="162"/>
        <v/>
      </c>
      <c r="N788" s="13">
        <f t="shared" si="163"/>
        <v>1818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8" customFormat="1" ht="28.5" customHeight="1">
      <c r="A789" s="12" t="str">
        <f t="shared" si="160"/>
        <v/>
      </c>
      <c r="B789" s="12" t="s">
        <v>12</v>
      </c>
      <c r="C789" s="12" t="s">
        <v>1548</v>
      </c>
      <c r="D789" s="18" t="s">
        <v>49</v>
      </c>
      <c r="E789" s="12" t="s">
        <v>26</v>
      </c>
      <c r="F789" s="12" t="s">
        <v>1549</v>
      </c>
      <c r="G789" s="13">
        <v>1889</v>
      </c>
      <c r="H789" s="13"/>
      <c r="I789" s="13"/>
      <c r="J789" s="13">
        <v>1827</v>
      </c>
      <c r="K789" s="13">
        <f t="shared" si="159"/>
        <v>0</v>
      </c>
      <c r="L789" s="13">
        <f t="shared" si="161"/>
        <v>1889</v>
      </c>
      <c r="M789" s="13" t="str">
        <f t="shared" si="162"/>
        <v/>
      </c>
      <c r="N789" s="13">
        <f t="shared" si="163"/>
        <v>1827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10</v>
      </c>
      <c r="C790" s="12" t="s">
        <v>1550</v>
      </c>
      <c r="D790" s="12" t="s">
        <v>49</v>
      </c>
      <c r="E790" s="12" t="s">
        <v>26</v>
      </c>
      <c r="F790" s="12" t="s">
        <v>1551</v>
      </c>
      <c r="G790" s="13">
        <v>1889</v>
      </c>
      <c r="H790" s="13"/>
      <c r="I790" s="13"/>
      <c r="J790" s="13">
        <v>1859</v>
      </c>
      <c r="K790" s="13">
        <f t="shared" si="159"/>
        <v>0</v>
      </c>
      <c r="L790" s="13">
        <f t="shared" si="161"/>
        <v>1889</v>
      </c>
      <c r="M790" s="13" t="str">
        <f t="shared" si="162"/>
        <v/>
      </c>
      <c r="N790" s="13">
        <f t="shared" si="163"/>
        <v>1859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2" customFormat="1" ht="28.5" customHeight="1">
      <c r="A791" s="12" t="str">
        <f t="shared" si="160"/>
        <v/>
      </c>
      <c r="B791" s="12" t="s">
        <v>14</v>
      </c>
      <c r="C791" s="12" t="s">
        <v>1672</v>
      </c>
      <c r="D791" s="12" t="s">
        <v>749</v>
      </c>
      <c r="E791" s="12" t="s">
        <v>62</v>
      </c>
      <c r="F791" s="12" t="s">
        <v>1673</v>
      </c>
      <c r="G791" s="13">
        <v>1889</v>
      </c>
      <c r="H791" s="13"/>
      <c r="I791" s="13"/>
      <c r="J791" s="13">
        <v>1869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1869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60"/>
        <v/>
      </c>
      <c r="B792" s="12" t="s">
        <v>14</v>
      </c>
      <c r="C792" s="12" t="s">
        <v>1552</v>
      </c>
      <c r="D792" s="16" t="s">
        <v>52</v>
      </c>
      <c r="E792" s="12" t="s">
        <v>62</v>
      </c>
      <c r="F792" s="12" t="s">
        <v>1553</v>
      </c>
      <c r="G792" s="13">
        <v>1889</v>
      </c>
      <c r="H792" s="13"/>
      <c r="I792" s="13"/>
      <c r="J792" s="13">
        <v>1869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1869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12</v>
      </c>
      <c r="C793" s="12" t="s">
        <v>1554</v>
      </c>
      <c r="D793" s="16" t="s">
        <v>71</v>
      </c>
      <c r="E793" s="12" t="s">
        <v>62</v>
      </c>
      <c r="F793" s="12" t="s">
        <v>1555</v>
      </c>
      <c r="G793" s="13">
        <v>1889</v>
      </c>
      <c r="H793" s="13"/>
      <c r="I793" s="13"/>
      <c r="J793" s="13">
        <v>1879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1879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8" customFormat="1" ht="28.5" customHeight="1">
      <c r="A794" s="12" t="str">
        <f t="shared" si="160"/>
        <v/>
      </c>
      <c r="B794" s="12" t="s">
        <v>10</v>
      </c>
      <c r="C794" s="12" t="s">
        <v>1556</v>
      </c>
      <c r="D794" s="16" t="s">
        <v>52</v>
      </c>
      <c r="E794" s="12" t="s">
        <v>26</v>
      </c>
      <c r="F794" s="12" t="s">
        <v>1557</v>
      </c>
      <c r="G794" s="13">
        <v>1889</v>
      </c>
      <c r="H794" s="13"/>
      <c r="I794" s="13"/>
      <c r="J794" s="13">
        <v>1879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1879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10</v>
      </c>
      <c r="C795" s="12" t="s">
        <v>1558</v>
      </c>
      <c r="D795" s="16" t="s">
        <v>71</v>
      </c>
      <c r="E795" s="12" t="s">
        <v>62</v>
      </c>
      <c r="F795" s="12" t="s">
        <v>1559</v>
      </c>
      <c r="G795" s="13">
        <v>1889</v>
      </c>
      <c r="H795" s="13"/>
      <c r="I795" s="13"/>
      <c r="J795" s="13">
        <v>1879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1879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18</v>
      </c>
      <c r="C796" s="12" t="s">
        <v>1560</v>
      </c>
      <c r="D796" s="12" t="s">
        <v>749</v>
      </c>
      <c r="E796" s="12" t="s">
        <v>62</v>
      </c>
      <c r="F796" s="12" t="s">
        <v>1561</v>
      </c>
      <c r="G796" s="13">
        <v>1889</v>
      </c>
      <c r="H796" s="13"/>
      <c r="I796" s="13"/>
      <c r="J796" s="13">
        <v>1889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1889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17" customFormat="1" ht="28.5" customHeight="1">
      <c r="A797" s="12" t="str">
        <f t="shared" si="160"/>
        <v/>
      </c>
      <c r="B797" s="12" t="s">
        <v>10</v>
      </c>
      <c r="C797" s="12" t="s">
        <v>1562</v>
      </c>
      <c r="D797" s="16" t="s">
        <v>52</v>
      </c>
      <c r="E797" s="12" t="s">
        <v>26</v>
      </c>
      <c r="F797" s="12" t="s">
        <v>1563</v>
      </c>
      <c r="G797" s="13">
        <v>1889</v>
      </c>
      <c r="H797" s="13"/>
      <c r="I797" s="13"/>
      <c r="J797" s="13">
        <v>1899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1899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16</v>
      </c>
      <c r="C798" s="12" t="s">
        <v>1564</v>
      </c>
      <c r="D798" s="16" t="s">
        <v>52</v>
      </c>
      <c r="E798" s="12" t="s">
        <v>26</v>
      </c>
      <c r="F798" s="12" t="s">
        <v>1565</v>
      </c>
      <c r="G798" s="13">
        <v>1890</v>
      </c>
      <c r="H798" s="13"/>
      <c r="I798" s="13"/>
      <c r="J798" s="13">
        <v>1870</v>
      </c>
      <c r="K798" s="13">
        <f t="shared" si="159"/>
        <v>0</v>
      </c>
      <c r="L798" s="13">
        <f t="shared" si="161"/>
        <v>1890</v>
      </c>
      <c r="M798" s="13" t="str">
        <f t="shared" si="162"/>
        <v/>
      </c>
      <c r="N798" s="13">
        <f t="shared" si="163"/>
        <v>1870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16</v>
      </c>
      <c r="C799" s="12" t="s">
        <v>1566</v>
      </c>
      <c r="D799" s="12" t="s">
        <v>749</v>
      </c>
      <c r="E799" s="12" t="s">
        <v>26</v>
      </c>
      <c r="F799" s="12" t="s">
        <v>1567</v>
      </c>
      <c r="G799" s="13">
        <v>1890</v>
      </c>
      <c r="H799" s="13"/>
      <c r="I799" s="13"/>
      <c r="J799" s="13">
        <v>1870</v>
      </c>
      <c r="K799" s="13">
        <f t="shared" si="159"/>
        <v>0</v>
      </c>
      <c r="L799" s="13">
        <f t="shared" si="161"/>
        <v>1890</v>
      </c>
      <c r="M799" s="13" t="str">
        <f t="shared" si="162"/>
        <v/>
      </c>
      <c r="N799" s="13">
        <f t="shared" si="163"/>
        <v>1870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16</v>
      </c>
      <c r="C800" s="12" t="s">
        <v>1580</v>
      </c>
      <c r="D800" s="12" t="s">
        <v>749</v>
      </c>
      <c r="E800" s="12" t="s">
        <v>62</v>
      </c>
      <c r="F800" s="12" t="s">
        <v>1581</v>
      </c>
      <c r="G800" s="13">
        <v>1890</v>
      </c>
      <c r="H800" s="13"/>
      <c r="I800" s="13"/>
      <c r="J800" s="13">
        <v>1870</v>
      </c>
      <c r="K800" s="13">
        <f t="shared" si="159"/>
        <v>0</v>
      </c>
      <c r="L800" s="13">
        <f t="shared" si="161"/>
        <v>1890</v>
      </c>
      <c r="M800" s="13" t="str">
        <f t="shared" si="162"/>
        <v/>
      </c>
      <c r="N800" s="13">
        <f t="shared" si="163"/>
        <v>1870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8" customFormat="1" ht="28.5" customHeight="1">
      <c r="A801" s="12" t="str">
        <f t="shared" si="160"/>
        <v/>
      </c>
      <c r="B801" s="12" t="s">
        <v>16</v>
      </c>
      <c r="C801" s="12" t="s">
        <v>1568</v>
      </c>
      <c r="D801" s="16" t="s">
        <v>59</v>
      </c>
      <c r="E801" s="12" t="s">
        <v>62</v>
      </c>
      <c r="F801" s="12" t="s">
        <v>1569</v>
      </c>
      <c r="G801" s="13">
        <v>1890</v>
      </c>
      <c r="H801" s="13"/>
      <c r="I801" s="13"/>
      <c r="J801" s="13">
        <v>1880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1880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17" customFormat="1" ht="28.5" customHeight="1">
      <c r="A802" s="12" t="str">
        <f t="shared" si="160"/>
        <v/>
      </c>
      <c r="B802" s="12" t="s">
        <v>16</v>
      </c>
      <c r="C802" s="12" t="s">
        <v>1570</v>
      </c>
      <c r="D802" s="12" t="s">
        <v>749</v>
      </c>
      <c r="E802" s="12" t="s">
        <v>26</v>
      </c>
      <c r="F802" s="12" t="s">
        <v>1571</v>
      </c>
      <c r="G802" s="13">
        <v>1890</v>
      </c>
      <c r="H802" s="13"/>
      <c r="I802" s="13"/>
      <c r="J802" s="13">
        <v>1880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1880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1572</v>
      </c>
      <c r="D803" s="12" t="s">
        <v>749</v>
      </c>
      <c r="E803" s="12" t="s">
        <v>62</v>
      </c>
      <c r="F803" s="12" t="s">
        <v>1573</v>
      </c>
      <c r="G803" s="13">
        <v>1890</v>
      </c>
      <c r="H803" s="13"/>
      <c r="I803" s="13"/>
      <c r="J803" s="13">
        <v>1880</v>
      </c>
      <c r="K803" s="13">
        <f t="shared" ref="K803:K834" si="172">IF(AND(IFERROR(SEARCH("현대오일뱅크",$C803),0)&gt;0,IFERROR(SEARCH("직영",$C803),0)&gt;0),$B$13,0)</f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1880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1574</v>
      </c>
      <c r="D804" s="12" t="s">
        <v>749</v>
      </c>
      <c r="E804" s="12" t="s">
        <v>62</v>
      </c>
      <c r="F804" s="12" t="s">
        <v>1575</v>
      </c>
      <c r="G804" s="13">
        <v>1890</v>
      </c>
      <c r="H804" s="13"/>
      <c r="I804" s="13"/>
      <c r="J804" s="13">
        <v>1880</v>
      </c>
      <c r="K804" s="13">
        <f t="shared" si="172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2" customFormat="1" ht="28.5" customHeight="1">
      <c r="A805" s="12" t="str">
        <f t="shared" si="160"/>
        <v/>
      </c>
      <c r="B805" s="12" t="s">
        <v>16</v>
      </c>
      <c r="C805" s="12" t="s">
        <v>1576</v>
      </c>
      <c r="D805" s="12" t="s">
        <v>749</v>
      </c>
      <c r="E805" s="12" t="s">
        <v>26</v>
      </c>
      <c r="F805" s="12" t="s">
        <v>1577</v>
      </c>
      <c r="G805" s="13">
        <v>1890</v>
      </c>
      <c r="H805" s="13"/>
      <c r="I805" s="13"/>
      <c r="J805" s="13">
        <v>1880</v>
      </c>
      <c r="K805" s="13">
        <f t="shared" si="172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8" customFormat="1" ht="28.5" customHeight="1">
      <c r="A806" s="12" t="str">
        <f t="shared" si="160"/>
        <v/>
      </c>
      <c r="B806" s="12" t="s">
        <v>18</v>
      </c>
      <c r="C806" s="12" t="s">
        <v>1578</v>
      </c>
      <c r="D806" s="12" t="s">
        <v>749</v>
      </c>
      <c r="E806" s="12" t="s">
        <v>62</v>
      </c>
      <c r="F806" s="12" t="s">
        <v>1579</v>
      </c>
      <c r="G806" s="13">
        <v>1890</v>
      </c>
      <c r="H806" s="13"/>
      <c r="I806" s="13"/>
      <c r="J806" s="13">
        <v>1890</v>
      </c>
      <c r="K806" s="13">
        <f t="shared" si="172"/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1890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2" customFormat="1" ht="28.5" customHeight="1">
      <c r="A807" s="12" t="str">
        <f t="shared" si="160"/>
        <v/>
      </c>
      <c r="B807" s="12" t="s">
        <v>10</v>
      </c>
      <c r="C807" s="12" t="s">
        <v>1582</v>
      </c>
      <c r="D807" s="16" t="s">
        <v>59</v>
      </c>
      <c r="E807" s="12" t="s">
        <v>62</v>
      </c>
      <c r="F807" s="12" t="s">
        <v>1583</v>
      </c>
      <c r="G807" s="13">
        <v>1890</v>
      </c>
      <c r="H807" s="13"/>
      <c r="I807" s="13"/>
      <c r="J807" s="13">
        <v>1890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1890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10</v>
      </c>
      <c r="C808" s="12" t="s">
        <v>1588</v>
      </c>
      <c r="D808" s="16" t="s">
        <v>59</v>
      </c>
      <c r="E808" s="12" t="s">
        <v>62</v>
      </c>
      <c r="F808" s="12" t="s">
        <v>1589</v>
      </c>
      <c r="G808" s="13">
        <v>1895</v>
      </c>
      <c r="H808" s="13"/>
      <c r="I808" s="13"/>
      <c r="J808" s="13">
        <v>1839</v>
      </c>
      <c r="K808" s="13">
        <f t="shared" si="172"/>
        <v>0</v>
      </c>
      <c r="L808" s="13">
        <f t="shared" si="161"/>
        <v>1895</v>
      </c>
      <c r="M808" s="13" t="str">
        <f t="shared" si="162"/>
        <v/>
      </c>
      <c r="N808" s="13">
        <f t="shared" si="163"/>
        <v>1839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2" customFormat="1" ht="28.5" customHeight="1">
      <c r="A809" s="12" t="str">
        <f t="shared" si="160"/>
        <v/>
      </c>
      <c r="B809" s="12" t="s">
        <v>18</v>
      </c>
      <c r="C809" s="12" t="s">
        <v>1594</v>
      </c>
      <c r="D809" s="12" t="s">
        <v>49</v>
      </c>
      <c r="E809" s="12" t="s">
        <v>62</v>
      </c>
      <c r="F809" s="12" t="s">
        <v>1595</v>
      </c>
      <c r="G809" s="13">
        <v>1895</v>
      </c>
      <c r="H809" s="13"/>
      <c r="I809" s="13"/>
      <c r="J809" s="13">
        <v>1845</v>
      </c>
      <c r="K809" s="13">
        <f t="shared" si="172"/>
        <v>0</v>
      </c>
      <c r="L809" s="13">
        <f t="shared" si="161"/>
        <v>1895</v>
      </c>
      <c r="M809" s="13" t="str">
        <f t="shared" si="162"/>
        <v/>
      </c>
      <c r="N809" s="13">
        <f t="shared" si="163"/>
        <v>1845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17" customFormat="1" ht="28.5" customHeight="1">
      <c r="A810" s="12" t="str">
        <f t="shared" si="160"/>
        <v/>
      </c>
      <c r="B810" s="12" t="s">
        <v>10</v>
      </c>
      <c r="C810" s="12" t="s">
        <v>1590</v>
      </c>
      <c r="D810" s="12" t="s">
        <v>49</v>
      </c>
      <c r="E810" s="12" t="s">
        <v>26</v>
      </c>
      <c r="F810" s="12" t="s">
        <v>1591</v>
      </c>
      <c r="G810" s="13">
        <v>1895</v>
      </c>
      <c r="H810" s="13"/>
      <c r="I810" s="13"/>
      <c r="J810" s="13">
        <v>1845</v>
      </c>
      <c r="K810" s="13">
        <f t="shared" si="172"/>
        <v>0</v>
      </c>
      <c r="L810" s="13">
        <f t="shared" si="161"/>
        <v>1895</v>
      </c>
      <c r="M810" s="13" t="str">
        <f t="shared" si="162"/>
        <v/>
      </c>
      <c r="N810" s="13">
        <f t="shared" si="163"/>
        <v>1845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6</v>
      </c>
      <c r="C811" s="12" t="s">
        <v>1596</v>
      </c>
      <c r="D811" s="16" t="s">
        <v>52</v>
      </c>
      <c r="E811" s="12" t="s">
        <v>26</v>
      </c>
      <c r="F811" s="12" t="s">
        <v>1597</v>
      </c>
      <c r="G811" s="13">
        <v>1895</v>
      </c>
      <c r="H811" s="13"/>
      <c r="I811" s="13"/>
      <c r="J811" s="13">
        <v>1875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1875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12</v>
      </c>
      <c r="C812" s="12" t="s">
        <v>1598</v>
      </c>
      <c r="D812" s="18" t="s">
        <v>49</v>
      </c>
      <c r="E812" s="12" t="s">
        <v>62</v>
      </c>
      <c r="F812" s="12" t="s">
        <v>1599</v>
      </c>
      <c r="G812" s="13">
        <v>1895</v>
      </c>
      <c r="H812" s="13"/>
      <c r="I812" s="13"/>
      <c r="J812" s="13">
        <v>1875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1875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12</v>
      </c>
      <c r="C813" s="12" t="s">
        <v>1600</v>
      </c>
      <c r="D813" s="18" t="s">
        <v>749</v>
      </c>
      <c r="E813" s="12" t="s">
        <v>62</v>
      </c>
      <c r="F813" s="12" t="s">
        <v>1601</v>
      </c>
      <c r="G813" s="13">
        <v>1895</v>
      </c>
      <c r="H813" s="13"/>
      <c r="I813" s="13"/>
      <c r="J813" s="13">
        <v>1875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1875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12</v>
      </c>
      <c r="C814" s="12" t="s">
        <v>1602</v>
      </c>
      <c r="D814" s="18" t="s">
        <v>749</v>
      </c>
      <c r="E814" s="12" t="s">
        <v>62</v>
      </c>
      <c r="F814" s="12" t="s">
        <v>1603</v>
      </c>
      <c r="G814" s="13">
        <v>1895</v>
      </c>
      <c r="H814" s="13"/>
      <c r="I814" s="13"/>
      <c r="J814" s="13">
        <v>1875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1875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8" customFormat="1" ht="28.5" customHeight="1">
      <c r="A815" s="12" t="str">
        <f t="shared" si="160"/>
        <v/>
      </c>
      <c r="B815" s="12" t="s">
        <v>12</v>
      </c>
      <c r="C815" s="12" t="s">
        <v>1604</v>
      </c>
      <c r="D815" s="18" t="s">
        <v>749</v>
      </c>
      <c r="E815" s="12" t="s">
        <v>26</v>
      </c>
      <c r="F815" s="12" t="s">
        <v>1605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10</v>
      </c>
      <c r="C816" s="12" t="s">
        <v>1689</v>
      </c>
      <c r="D816" s="12" t="s">
        <v>49</v>
      </c>
      <c r="E816" s="12" t="s">
        <v>62</v>
      </c>
      <c r="F816" s="12" t="s">
        <v>1690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2" customFormat="1" ht="28.5" customHeight="1">
      <c r="A817" s="12" t="str">
        <f t="shared" si="160"/>
        <v/>
      </c>
      <c r="B817" s="12" t="s">
        <v>18</v>
      </c>
      <c r="C817" s="12" t="s">
        <v>1606</v>
      </c>
      <c r="D817" s="16" t="s">
        <v>52</v>
      </c>
      <c r="E817" s="12" t="s">
        <v>62</v>
      </c>
      <c r="F817" s="12" t="s">
        <v>1607</v>
      </c>
      <c r="G817" s="13">
        <v>1895</v>
      </c>
      <c r="H817" s="13"/>
      <c r="I817" s="13"/>
      <c r="J817" s="13">
        <v>1885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1885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18</v>
      </c>
      <c r="C818" s="12" t="s">
        <v>1608</v>
      </c>
      <c r="D818" s="16" t="s">
        <v>52</v>
      </c>
      <c r="E818" s="12" t="s">
        <v>62</v>
      </c>
      <c r="F818" s="12" t="s">
        <v>1609</v>
      </c>
      <c r="G818" s="13">
        <v>1895</v>
      </c>
      <c r="H818" s="13"/>
      <c r="I818" s="13"/>
      <c r="J818" s="13">
        <v>1885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1885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2" customFormat="1" ht="28.5" customHeight="1">
      <c r="A819" s="12" t="str">
        <f t="shared" si="160"/>
        <v/>
      </c>
      <c r="B819" s="12" t="s">
        <v>10</v>
      </c>
      <c r="C819" s="12" t="s">
        <v>1610</v>
      </c>
      <c r="D819" s="16" t="s">
        <v>52</v>
      </c>
      <c r="E819" s="12" t="s">
        <v>62</v>
      </c>
      <c r="F819" s="12" t="s">
        <v>1611</v>
      </c>
      <c r="G819" s="13">
        <v>1895</v>
      </c>
      <c r="H819" s="13"/>
      <c r="I819" s="13"/>
      <c r="J819" s="13">
        <v>1885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1885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17" customFormat="1" ht="28.5" customHeight="1">
      <c r="A820" s="12" t="str">
        <f t="shared" si="160"/>
        <v/>
      </c>
      <c r="B820" s="12" t="s">
        <v>18</v>
      </c>
      <c r="C820" s="12" t="s">
        <v>1612</v>
      </c>
      <c r="D820" s="12" t="s">
        <v>749</v>
      </c>
      <c r="E820" s="12" t="s">
        <v>62</v>
      </c>
      <c r="F820" s="12" t="s">
        <v>1613</v>
      </c>
      <c r="G820" s="13">
        <v>1895</v>
      </c>
      <c r="H820" s="13"/>
      <c r="I820" s="13"/>
      <c r="J820" s="13">
        <v>1890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1890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8</v>
      </c>
      <c r="C821" s="12" t="s">
        <v>1616</v>
      </c>
      <c r="D821" s="16" t="s">
        <v>71</v>
      </c>
      <c r="E821" s="12" t="s">
        <v>62</v>
      </c>
      <c r="F821" s="12" t="s">
        <v>1617</v>
      </c>
      <c r="G821" s="13">
        <v>1895</v>
      </c>
      <c r="H821" s="13"/>
      <c r="I821" s="13"/>
      <c r="J821" s="13">
        <v>1895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1895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12</v>
      </c>
      <c r="C822" s="12" t="s">
        <v>1584</v>
      </c>
      <c r="D822" s="16" t="s">
        <v>52</v>
      </c>
      <c r="E822" s="12" t="s">
        <v>26</v>
      </c>
      <c r="F822" s="12" t="s">
        <v>1585</v>
      </c>
      <c r="G822" s="13">
        <v>1897</v>
      </c>
      <c r="H822" s="13"/>
      <c r="I822" s="13"/>
      <c r="J822" s="13">
        <v>1773</v>
      </c>
      <c r="K822" s="13">
        <f t="shared" si="172"/>
        <v>0</v>
      </c>
      <c r="L822" s="13">
        <f t="shared" si="161"/>
        <v>1897</v>
      </c>
      <c r="M822" s="13" t="str">
        <f t="shared" si="162"/>
        <v/>
      </c>
      <c r="N822" s="13">
        <f t="shared" si="163"/>
        <v>1773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8" customFormat="1" ht="28.5" customHeight="1">
      <c r="A823" s="12" t="str">
        <f t="shared" si="160"/>
        <v/>
      </c>
      <c r="B823" s="12" t="s">
        <v>6</v>
      </c>
      <c r="C823" s="12" t="s">
        <v>698</v>
      </c>
      <c r="D823" s="16" t="s">
        <v>59</v>
      </c>
      <c r="E823" s="12" t="s">
        <v>26</v>
      </c>
      <c r="F823" s="12" t="s">
        <v>1378</v>
      </c>
      <c r="G823" s="13">
        <v>1897</v>
      </c>
      <c r="H823" s="13"/>
      <c r="I823" s="13"/>
      <c r="J823" s="13">
        <v>1817</v>
      </c>
      <c r="K823" s="13">
        <f t="shared" si="172"/>
        <v>0</v>
      </c>
      <c r="L823" s="13">
        <f t="shared" si="161"/>
        <v>1897</v>
      </c>
      <c r="M823" s="13" t="str">
        <f t="shared" si="162"/>
        <v/>
      </c>
      <c r="N823" s="13">
        <f t="shared" si="163"/>
        <v>1817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1618</v>
      </c>
      <c r="D824" s="12" t="s">
        <v>49</v>
      </c>
      <c r="E824" s="12" t="s">
        <v>62</v>
      </c>
      <c r="F824" s="12" t="s">
        <v>1619</v>
      </c>
      <c r="G824" s="13">
        <v>1897</v>
      </c>
      <c r="H824" s="13"/>
      <c r="I824" s="13"/>
      <c r="J824" s="13">
        <v>1857</v>
      </c>
      <c r="K824" s="13">
        <f t="shared" si="172"/>
        <v>0</v>
      </c>
      <c r="L824" s="13">
        <f t="shared" si="161"/>
        <v>1897</v>
      </c>
      <c r="M824" s="13" t="str">
        <f t="shared" si="162"/>
        <v/>
      </c>
      <c r="N824" s="13">
        <f t="shared" si="163"/>
        <v>1857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12</v>
      </c>
      <c r="C825" s="12" t="s">
        <v>1620</v>
      </c>
      <c r="D825" s="16" t="s">
        <v>59</v>
      </c>
      <c r="E825" s="12" t="s">
        <v>62</v>
      </c>
      <c r="F825" s="12" t="s">
        <v>1621</v>
      </c>
      <c r="G825" s="13">
        <v>1897</v>
      </c>
      <c r="H825" s="13"/>
      <c r="I825" s="13"/>
      <c r="J825" s="13">
        <v>1887</v>
      </c>
      <c r="K825" s="13">
        <f t="shared" si="172"/>
        <v>0</v>
      </c>
      <c r="L825" s="13">
        <f t="shared" si="161"/>
        <v>1897</v>
      </c>
      <c r="M825" s="13" t="str">
        <f t="shared" si="162"/>
        <v/>
      </c>
      <c r="N825" s="13">
        <f t="shared" si="163"/>
        <v>1887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10</v>
      </c>
      <c r="C826" s="12" t="s">
        <v>1622</v>
      </c>
      <c r="D826" s="16" t="s">
        <v>59</v>
      </c>
      <c r="E826" s="12" t="s">
        <v>26</v>
      </c>
      <c r="F826" s="12" t="s">
        <v>1623</v>
      </c>
      <c r="G826" s="13">
        <v>1897</v>
      </c>
      <c r="H826" s="13"/>
      <c r="I826" s="13"/>
      <c r="J826" s="13">
        <v>1887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1887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2" customFormat="1" ht="28.5" customHeight="1">
      <c r="A827" s="12" t="str">
        <f t="shared" si="160"/>
        <v/>
      </c>
      <c r="B827" s="12" t="s">
        <v>18</v>
      </c>
      <c r="C827" s="12" t="s">
        <v>1624</v>
      </c>
      <c r="D827" s="12" t="s">
        <v>749</v>
      </c>
      <c r="E827" s="12" t="s">
        <v>62</v>
      </c>
      <c r="F827" s="12" t="s">
        <v>1625</v>
      </c>
      <c r="G827" s="13">
        <v>1898</v>
      </c>
      <c r="H827" s="13"/>
      <c r="I827" s="13"/>
      <c r="J827" s="13">
        <v>1858</v>
      </c>
      <c r="K827" s="13">
        <f t="shared" si="172"/>
        <v>0</v>
      </c>
      <c r="L827" s="13">
        <f t="shared" si="161"/>
        <v>1898</v>
      </c>
      <c r="M827" s="13" t="str">
        <f t="shared" si="162"/>
        <v/>
      </c>
      <c r="N827" s="13">
        <f t="shared" si="163"/>
        <v>1858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14</v>
      </c>
      <c r="C828" s="12" t="s">
        <v>1626</v>
      </c>
      <c r="D828" s="16" t="s">
        <v>59</v>
      </c>
      <c r="E828" s="12" t="s">
        <v>26</v>
      </c>
      <c r="F828" s="12" t="s">
        <v>1627</v>
      </c>
      <c r="G828" s="13">
        <v>1898</v>
      </c>
      <c r="H828" s="13"/>
      <c r="I828" s="13"/>
      <c r="J828" s="13">
        <v>1858</v>
      </c>
      <c r="K828" s="13">
        <f t="shared" si="172"/>
        <v>0</v>
      </c>
      <c r="L828" s="13">
        <f t="shared" si="161"/>
        <v>1898</v>
      </c>
      <c r="M828" s="13" t="str">
        <f t="shared" si="162"/>
        <v/>
      </c>
      <c r="N828" s="13">
        <f t="shared" si="163"/>
        <v>1858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1628</v>
      </c>
      <c r="D829" s="16" t="s">
        <v>52</v>
      </c>
      <c r="E829" s="12" t="s">
        <v>26</v>
      </c>
      <c r="F829" s="12" t="s">
        <v>1629</v>
      </c>
      <c r="G829" s="13">
        <v>1898</v>
      </c>
      <c r="H829" s="13"/>
      <c r="I829" s="13"/>
      <c r="J829" s="13">
        <v>1878</v>
      </c>
      <c r="K829" s="13">
        <f t="shared" si="172"/>
        <v>0</v>
      </c>
      <c r="L829" s="13">
        <f t="shared" si="161"/>
        <v>1898</v>
      </c>
      <c r="M829" s="13" t="str">
        <f t="shared" si="162"/>
        <v/>
      </c>
      <c r="N829" s="13">
        <f t="shared" si="163"/>
        <v>1878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17" customFormat="1" ht="28.5" customHeight="1">
      <c r="A830" s="12" t="str">
        <f t="shared" si="160"/>
        <v/>
      </c>
      <c r="B830" s="12" t="s">
        <v>14</v>
      </c>
      <c r="C830" s="12" t="s">
        <v>1630</v>
      </c>
      <c r="D830" s="12" t="s">
        <v>49</v>
      </c>
      <c r="E830" s="12" t="s">
        <v>62</v>
      </c>
      <c r="F830" s="12" t="s">
        <v>1631</v>
      </c>
      <c r="G830" s="13">
        <v>1898</v>
      </c>
      <c r="H830" s="13"/>
      <c r="I830" s="13"/>
      <c r="J830" s="13">
        <v>1881</v>
      </c>
      <c r="K830" s="13">
        <f t="shared" si="172"/>
        <v>0</v>
      </c>
      <c r="L830" s="13">
        <f t="shared" si="161"/>
        <v>1898</v>
      </c>
      <c r="M830" s="13" t="str">
        <f t="shared" si="162"/>
        <v/>
      </c>
      <c r="N830" s="13">
        <f t="shared" si="163"/>
        <v>1881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8" customFormat="1" ht="28.5" customHeight="1">
      <c r="A831" s="12" t="str">
        <f t="shared" si="160"/>
        <v/>
      </c>
      <c r="B831" s="12" t="s">
        <v>10</v>
      </c>
      <c r="C831" s="12" t="s">
        <v>1632</v>
      </c>
      <c r="D831" s="16" t="s">
        <v>71</v>
      </c>
      <c r="E831" s="12" t="s">
        <v>62</v>
      </c>
      <c r="F831" s="12" t="s">
        <v>1633</v>
      </c>
      <c r="G831" s="13">
        <v>1898</v>
      </c>
      <c r="H831" s="13"/>
      <c r="I831" s="13"/>
      <c r="J831" s="13">
        <v>1888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1888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8" customFormat="1" ht="28.5" customHeight="1">
      <c r="A832" s="12" t="str">
        <f t="shared" si="160"/>
        <v/>
      </c>
      <c r="B832" s="12" t="s">
        <v>14</v>
      </c>
      <c r="C832" s="12" t="s">
        <v>1636</v>
      </c>
      <c r="D832" s="16" t="s">
        <v>52</v>
      </c>
      <c r="E832" s="12" t="s">
        <v>62</v>
      </c>
      <c r="F832" s="12" t="s">
        <v>1637</v>
      </c>
      <c r="G832" s="13">
        <v>1898</v>
      </c>
      <c r="H832" s="13"/>
      <c r="I832" s="13"/>
      <c r="J832" s="13">
        <v>1898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1898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16</v>
      </c>
      <c r="C833" s="12" t="s">
        <v>1642</v>
      </c>
      <c r="D833" s="16" t="s">
        <v>52</v>
      </c>
      <c r="E833" s="12" t="s">
        <v>26</v>
      </c>
      <c r="F833" s="12" t="s">
        <v>1643</v>
      </c>
      <c r="G833" s="13">
        <v>1899</v>
      </c>
      <c r="H833" s="13"/>
      <c r="I833" s="13"/>
      <c r="J833" s="13">
        <v>1849</v>
      </c>
      <c r="K833" s="13">
        <f t="shared" si="172"/>
        <v>0</v>
      </c>
      <c r="L833" s="13">
        <f t="shared" si="161"/>
        <v>1899</v>
      </c>
      <c r="M833" s="13" t="str">
        <f t="shared" si="162"/>
        <v/>
      </c>
      <c r="N833" s="13">
        <f t="shared" si="163"/>
        <v>1849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2" customFormat="1" ht="28.5" customHeight="1">
      <c r="A834" s="12" t="str">
        <f t="shared" si="160"/>
        <v/>
      </c>
      <c r="B834" s="12" t="s">
        <v>18</v>
      </c>
      <c r="C834" s="12" t="s">
        <v>1644</v>
      </c>
      <c r="D834" s="16" t="s">
        <v>59</v>
      </c>
      <c r="E834" s="12" t="s">
        <v>26</v>
      </c>
      <c r="F834" s="12" t="s">
        <v>1645</v>
      </c>
      <c r="G834" s="13">
        <v>1899</v>
      </c>
      <c r="H834" s="13"/>
      <c r="I834" s="13"/>
      <c r="J834" s="13">
        <v>1850</v>
      </c>
      <c r="K834" s="13">
        <f t="shared" si="172"/>
        <v>0</v>
      </c>
      <c r="L834" s="13">
        <f t="shared" si="161"/>
        <v>1899</v>
      </c>
      <c r="M834" s="13" t="str">
        <f t="shared" si="162"/>
        <v/>
      </c>
      <c r="N834" s="13">
        <f t="shared" si="163"/>
        <v>1850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2" customFormat="1" ht="28.5" customHeight="1">
      <c r="A835" s="12" t="str">
        <f t="shared" si="160"/>
        <v/>
      </c>
      <c r="B835" s="12" t="s">
        <v>14</v>
      </c>
      <c r="C835" s="12" t="s">
        <v>1646</v>
      </c>
      <c r="D835" s="12" t="s">
        <v>749</v>
      </c>
      <c r="E835" s="12" t="s">
        <v>26</v>
      </c>
      <c r="F835" s="12" t="s">
        <v>1647</v>
      </c>
      <c r="G835" s="13">
        <v>1899</v>
      </c>
      <c r="H835" s="13"/>
      <c r="I835" s="13"/>
      <c r="J835" s="13">
        <v>1869</v>
      </c>
      <c r="K835" s="13">
        <f t="shared" ref="K835:K866" si="173">IF(AND(IFERROR(SEARCH("현대오일뱅크",$C835),0)&gt;0,IFERROR(SEARCH("직영",$C835),0)&gt;0),$B$13,0)</f>
        <v>0</v>
      </c>
      <c r="L835" s="13">
        <f t="shared" si="161"/>
        <v>1899</v>
      </c>
      <c r="M835" s="13" t="str">
        <f t="shared" si="162"/>
        <v/>
      </c>
      <c r="N835" s="13">
        <f t="shared" si="163"/>
        <v>1869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17" customFormat="1" ht="28.5" customHeight="1">
      <c r="A836" s="12" t="str">
        <f t="shared" si="160"/>
        <v/>
      </c>
      <c r="B836" s="12" t="s">
        <v>14</v>
      </c>
      <c r="C836" s="12" t="s">
        <v>1702</v>
      </c>
      <c r="D836" s="16" t="s">
        <v>59</v>
      </c>
      <c r="E836" s="12" t="s">
        <v>62</v>
      </c>
      <c r="F836" s="12" t="s">
        <v>1703</v>
      </c>
      <c r="G836" s="13">
        <v>1899</v>
      </c>
      <c r="H836" s="13"/>
      <c r="I836" s="13"/>
      <c r="J836" s="13">
        <v>1870</v>
      </c>
      <c r="K836" s="13">
        <f t="shared" si="173"/>
        <v>0</v>
      </c>
      <c r="L836" s="13">
        <f t="shared" si="161"/>
        <v>1899</v>
      </c>
      <c r="M836" s="13" t="str">
        <f t="shared" si="162"/>
        <v/>
      </c>
      <c r="N836" s="13">
        <f t="shared" si="163"/>
        <v>1870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10</v>
      </c>
      <c r="C837" s="12" t="s">
        <v>1648</v>
      </c>
      <c r="D837" s="16" t="s">
        <v>59</v>
      </c>
      <c r="E837" s="12" t="s">
        <v>62</v>
      </c>
      <c r="F837" s="12" t="s">
        <v>1649</v>
      </c>
      <c r="G837" s="13">
        <v>1899</v>
      </c>
      <c r="H837" s="13"/>
      <c r="I837" s="13"/>
      <c r="J837" s="13">
        <v>1870</v>
      </c>
      <c r="K837" s="13">
        <f t="shared" si="173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1870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17" customFormat="1" ht="28.5" customHeight="1">
      <c r="A838" s="12" t="str">
        <f t="shared" si="160"/>
        <v/>
      </c>
      <c r="B838" s="12" t="s">
        <v>16</v>
      </c>
      <c r="C838" s="12" t="s">
        <v>1697</v>
      </c>
      <c r="D838" s="12" t="s">
        <v>49</v>
      </c>
      <c r="E838" s="12" t="s">
        <v>26</v>
      </c>
      <c r="F838" s="12" t="s">
        <v>1698</v>
      </c>
      <c r="G838" s="13">
        <v>1899</v>
      </c>
      <c r="H838" s="13"/>
      <c r="I838" s="13"/>
      <c r="J838" s="13">
        <v>1875</v>
      </c>
      <c r="K838" s="13">
        <f t="shared" si="173"/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1875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10</v>
      </c>
      <c r="C839" s="12" t="s">
        <v>1650</v>
      </c>
      <c r="D839" s="16" t="s">
        <v>52</v>
      </c>
      <c r="E839" s="12" t="s">
        <v>26</v>
      </c>
      <c r="F839" s="12" t="s">
        <v>1651</v>
      </c>
      <c r="G839" s="13">
        <v>1899</v>
      </c>
      <c r="H839" s="13"/>
      <c r="I839" s="13"/>
      <c r="J839" s="13">
        <v>1879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1879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2" customFormat="1" ht="28.5" customHeight="1">
      <c r="A840" s="12" t="str">
        <f t="shared" si="160"/>
        <v/>
      </c>
      <c r="B840" s="12" t="s">
        <v>18</v>
      </c>
      <c r="C840" s="12" t="s">
        <v>1652</v>
      </c>
      <c r="D840" s="16" t="s">
        <v>52</v>
      </c>
      <c r="E840" s="12" t="s">
        <v>62</v>
      </c>
      <c r="F840" s="12" t="s">
        <v>1653</v>
      </c>
      <c r="G840" s="13">
        <v>1899</v>
      </c>
      <c r="H840" s="13"/>
      <c r="I840" s="13"/>
      <c r="J840" s="13">
        <v>1889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1889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14</v>
      </c>
      <c r="C841" s="12" t="s">
        <v>1654</v>
      </c>
      <c r="D841" s="16" t="s">
        <v>71</v>
      </c>
      <c r="E841" s="12" t="s">
        <v>26</v>
      </c>
      <c r="F841" s="12" t="s">
        <v>1655</v>
      </c>
      <c r="G841" s="13">
        <v>1899</v>
      </c>
      <c r="H841" s="13"/>
      <c r="I841" s="13"/>
      <c r="J841" s="13">
        <v>1889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1889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2" customFormat="1" ht="28.5" customHeight="1">
      <c r="A842" s="12" t="str">
        <f t="shared" si="160"/>
        <v/>
      </c>
      <c r="B842" s="12" t="s">
        <v>14</v>
      </c>
      <c r="C842" s="12" t="s">
        <v>1656</v>
      </c>
      <c r="D842" s="12" t="s">
        <v>49</v>
      </c>
      <c r="E842" s="12" t="s">
        <v>26</v>
      </c>
      <c r="F842" s="12" t="s">
        <v>1657</v>
      </c>
      <c r="G842" s="13">
        <v>1899</v>
      </c>
      <c r="H842" s="13"/>
      <c r="I842" s="13"/>
      <c r="J842" s="13">
        <v>1889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1889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8" customFormat="1" ht="28.5" customHeight="1">
      <c r="A843" s="12" t="str">
        <f t="shared" si="160"/>
        <v/>
      </c>
      <c r="B843" s="12" t="s">
        <v>14</v>
      </c>
      <c r="C843" s="12" t="s">
        <v>1658</v>
      </c>
      <c r="D843" s="12" t="s">
        <v>749</v>
      </c>
      <c r="E843" s="12" t="s">
        <v>62</v>
      </c>
      <c r="F843" s="12" t="s">
        <v>1659</v>
      </c>
      <c r="G843" s="13">
        <v>1899</v>
      </c>
      <c r="H843" s="13"/>
      <c r="I843" s="13"/>
      <c r="J843" s="13">
        <v>1889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1889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8" customFormat="1" ht="28.5" customHeight="1">
      <c r="A844" s="12" t="str">
        <f t="shared" si="160"/>
        <v/>
      </c>
      <c r="B844" s="12" t="s">
        <v>10</v>
      </c>
      <c r="C844" s="12" t="s">
        <v>1660</v>
      </c>
      <c r="D844" s="16" t="s">
        <v>52</v>
      </c>
      <c r="E844" s="12" t="s">
        <v>62</v>
      </c>
      <c r="F844" s="12" t="s">
        <v>1661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6</v>
      </c>
      <c r="C845" s="12" t="s">
        <v>1662</v>
      </c>
      <c r="D845" s="16" t="s">
        <v>52</v>
      </c>
      <c r="E845" s="12" t="s">
        <v>26</v>
      </c>
      <c r="F845" s="12" t="s">
        <v>1663</v>
      </c>
      <c r="G845" s="13">
        <v>1899</v>
      </c>
      <c r="H845" s="13"/>
      <c r="I845" s="13"/>
      <c r="J845" s="13">
        <v>1894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1894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1664</v>
      </c>
      <c r="D846" s="16" t="s">
        <v>52</v>
      </c>
      <c r="E846" s="12" t="s">
        <v>26</v>
      </c>
      <c r="F846" s="12" t="s">
        <v>1665</v>
      </c>
      <c r="G846" s="13">
        <v>1899</v>
      </c>
      <c r="H846" s="13"/>
      <c r="I846" s="13"/>
      <c r="J846" s="13">
        <v>1895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1895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2" customFormat="1" ht="28.5" customHeight="1">
      <c r="A847" s="12" t="str">
        <f t="shared" ref="A847:A878" si="174">IF($T847="","",1+COUNTIF($W$15:$W$878,"&lt;"&amp;W847))</f>
        <v/>
      </c>
      <c r="B847" s="12" t="s">
        <v>12</v>
      </c>
      <c r="C847" s="12" t="s">
        <v>1666</v>
      </c>
      <c r="D847" s="16" t="s">
        <v>52</v>
      </c>
      <c r="E847" s="12" t="s">
        <v>62</v>
      </c>
      <c r="F847" s="12" t="s">
        <v>1667</v>
      </c>
      <c r="G847" s="13">
        <v>1899</v>
      </c>
      <c r="H847" s="13"/>
      <c r="I847" s="13"/>
      <c r="J847" s="13">
        <v>1898</v>
      </c>
      <c r="K847" s="13">
        <f t="shared" si="173"/>
        <v>0</v>
      </c>
      <c r="L847" s="13">
        <f t="shared" ref="L847:L878" si="175">IF($G847="","",$G847+$K847)</f>
        <v>1899</v>
      </c>
      <c r="M847" s="13" t="str">
        <f t="shared" ref="M847:M878" si="176">IF($H847="","",$H847+$K847)</f>
        <v/>
      </c>
      <c r="N847" s="13">
        <f t="shared" ref="N847:N878" si="177">IF($J847="","",$J847+$K847)</f>
        <v>1898</v>
      </c>
      <c r="O847" s="13" t="str">
        <f t="shared" ref="O847:O878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80">IF($P847="","",IF($Q847="Y",IFERROR(VLOOKUP($B847,$C$4:$D$13,2,FALSE()),0),0))</f>
        <v/>
      </c>
      <c r="S847" s="13" t="str">
        <f t="shared" ref="S847:S878" si="181">IF($P847="","",ROUNDDOWN($P847*$R847,0))</f>
        <v/>
      </c>
      <c r="T847" s="13" t="str">
        <f t="shared" ref="T847:T878" si="182">IF($P847="","",$P847-$S847)</f>
        <v/>
      </c>
      <c r="U847" s="13" t="str">
        <f t="shared" ref="U847:U878" si="183">IF($T847="","",IF($B$10=0,"",$T847/$B$10))</f>
        <v/>
      </c>
      <c r="V847" s="13" t="str">
        <f t="shared" ref="V847:V878" si="184">IF($P847="","",IF($B$10=0,"",$P847/$B$10))</f>
        <v/>
      </c>
      <c r="W847" s="15">
        <f t="shared" ref="W847:W878" si="185">IF($T847="",1000000000000000,$T847)</f>
        <v>1000000000000000</v>
      </c>
    </row>
    <row r="848" spans="1:23" s="17" customFormat="1" ht="28.5" customHeight="1">
      <c r="A848" s="12" t="str">
        <f t="shared" si="174"/>
        <v/>
      </c>
      <c r="B848" s="12" t="s">
        <v>10</v>
      </c>
      <c r="C848" s="12" t="s">
        <v>1668</v>
      </c>
      <c r="D848" s="16" t="s">
        <v>52</v>
      </c>
      <c r="E848" s="12" t="s">
        <v>26</v>
      </c>
      <c r="F848" s="12" t="s">
        <v>1669</v>
      </c>
      <c r="G848" s="13">
        <v>1899</v>
      </c>
      <c r="H848" s="13"/>
      <c r="I848" s="13"/>
      <c r="J848" s="13">
        <v>1898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1898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14</v>
      </c>
      <c r="C849" s="12" t="s">
        <v>1678</v>
      </c>
      <c r="D849" s="16" t="s">
        <v>59</v>
      </c>
      <c r="E849" s="12" t="s">
        <v>26</v>
      </c>
      <c r="F849" s="12" t="s">
        <v>1679</v>
      </c>
      <c r="G849" s="13">
        <v>1899</v>
      </c>
      <c r="H849" s="13"/>
      <c r="I849" s="13"/>
      <c r="J849" s="13">
        <v>1899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1899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10</v>
      </c>
      <c r="C850" s="12" t="s">
        <v>1682</v>
      </c>
      <c r="D850" s="16" t="s">
        <v>71</v>
      </c>
      <c r="E850" s="12" t="s">
        <v>26</v>
      </c>
      <c r="F850" s="12" t="s">
        <v>1683</v>
      </c>
      <c r="G850" s="13">
        <v>1899</v>
      </c>
      <c r="H850" s="13"/>
      <c r="I850" s="13"/>
      <c r="J850" s="13">
        <v>1899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1899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10</v>
      </c>
      <c r="C851" s="12" t="s">
        <v>1684</v>
      </c>
      <c r="D851" s="16" t="s">
        <v>71</v>
      </c>
      <c r="E851" s="12" t="s">
        <v>62</v>
      </c>
      <c r="F851" s="12" t="s">
        <v>1685</v>
      </c>
      <c r="G851" s="13">
        <v>1899</v>
      </c>
      <c r="H851" s="13"/>
      <c r="I851" s="13"/>
      <c r="J851" s="13">
        <v>1899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8" customFormat="1" ht="28.5" customHeight="1">
      <c r="A852" s="12" t="str">
        <f t="shared" si="174"/>
        <v/>
      </c>
      <c r="B852" s="12" t="s">
        <v>10</v>
      </c>
      <c r="C852" s="12" t="s">
        <v>1710</v>
      </c>
      <c r="D852" s="16" t="s">
        <v>71</v>
      </c>
      <c r="E852" s="12" t="s">
        <v>62</v>
      </c>
      <c r="F852" s="12" t="s">
        <v>1711</v>
      </c>
      <c r="G852" s="13">
        <v>1899</v>
      </c>
      <c r="H852" s="13"/>
      <c r="I852" s="13"/>
      <c r="J852" s="13">
        <v>1899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8" customFormat="1" ht="28.5" customHeight="1">
      <c r="A853" s="12" t="str">
        <f t="shared" si="174"/>
        <v/>
      </c>
      <c r="B853" s="12" t="s">
        <v>10</v>
      </c>
      <c r="C853" s="12" t="s">
        <v>514</v>
      </c>
      <c r="D853" s="16" t="s">
        <v>71</v>
      </c>
      <c r="E853" s="12" t="s">
        <v>62</v>
      </c>
      <c r="F853" s="12" t="s">
        <v>1688</v>
      </c>
      <c r="G853" s="13">
        <v>1905</v>
      </c>
      <c r="H853" s="13"/>
      <c r="I853" s="13"/>
      <c r="J853" s="13">
        <v>1895</v>
      </c>
      <c r="K853" s="13">
        <f t="shared" si="173"/>
        <v>0</v>
      </c>
      <c r="L853" s="13">
        <f t="shared" si="175"/>
        <v>1905</v>
      </c>
      <c r="M853" s="13" t="str">
        <f t="shared" si="176"/>
        <v/>
      </c>
      <c r="N853" s="13">
        <f t="shared" si="177"/>
        <v>1895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1691</v>
      </c>
      <c r="D854" s="16" t="s">
        <v>59</v>
      </c>
      <c r="E854" s="12" t="s">
        <v>62</v>
      </c>
      <c r="F854" s="12" t="s">
        <v>1692</v>
      </c>
      <c r="G854" s="13">
        <v>1908</v>
      </c>
      <c r="H854" s="13"/>
      <c r="I854" s="13"/>
      <c r="J854" s="13">
        <v>1878</v>
      </c>
      <c r="K854" s="13">
        <f t="shared" si="173"/>
        <v>0</v>
      </c>
      <c r="L854" s="13">
        <f t="shared" si="175"/>
        <v>1908</v>
      </c>
      <c r="M854" s="13" t="str">
        <f t="shared" si="176"/>
        <v/>
      </c>
      <c r="N854" s="13">
        <f t="shared" si="177"/>
        <v>1878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17" customFormat="1" ht="28.5" customHeight="1">
      <c r="A855" s="12" t="str">
        <f t="shared" si="174"/>
        <v/>
      </c>
      <c r="B855" s="12" t="s">
        <v>14</v>
      </c>
      <c r="C855" s="12" t="s">
        <v>1695</v>
      </c>
      <c r="D855" s="16" t="s">
        <v>52</v>
      </c>
      <c r="E855" s="12" t="s">
        <v>26</v>
      </c>
      <c r="F855" s="12" t="s">
        <v>1696</v>
      </c>
      <c r="G855" s="13">
        <v>1909</v>
      </c>
      <c r="H855" s="13"/>
      <c r="I855" s="13"/>
      <c r="J855" s="13">
        <v>1890</v>
      </c>
      <c r="K855" s="13">
        <f t="shared" si="173"/>
        <v>0</v>
      </c>
      <c r="L855" s="13">
        <f t="shared" si="175"/>
        <v>1909</v>
      </c>
      <c r="M855" s="13" t="str">
        <f t="shared" si="176"/>
        <v/>
      </c>
      <c r="N855" s="13">
        <f t="shared" si="177"/>
        <v>1890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2" customFormat="1" ht="28.5" customHeight="1">
      <c r="A856" s="12" t="str">
        <f t="shared" si="174"/>
        <v/>
      </c>
      <c r="B856" s="12" t="s">
        <v>8</v>
      </c>
      <c r="C856" s="12" t="s">
        <v>1693</v>
      </c>
      <c r="D856" s="16" t="s">
        <v>71</v>
      </c>
      <c r="E856" s="12" t="s">
        <v>62</v>
      </c>
      <c r="F856" s="12" t="s">
        <v>1694</v>
      </c>
      <c r="G856" s="13">
        <v>1909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1909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2" customFormat="1" ht="28.5" customHeight="1">
      <c r="A857" s="12" t="str">
        <f t="shared" si="174"/>
        <v/>
      </c>
      <c r="B857" s="12" t="s">
        <v>18</v>
      </c>
      <c r="C857" s="12" t="s">
        <v>1708</v>
      </c>
      <c r="D857" s="12" t="s">
        <v>49</v>
      </c>
      <c r="E857" s="12" t="s">
        <v>62</v>
      </c>
      <c r="F857" s="12" t="s">
        <v>1709</v>
      </c>
      <c r="G857" s="13">
        <v>1910</v>
      </c>
      <c r="H857" s="13"/>
      <c r="I857" s="13"/>
      <c r="J857" s="13">
        <v>1910</v>
      </c>
      <c r="K857" s="13">
        <f t="shared" si="173"/>
        <v>0</v>
      </c>
      <c r="L857" s="13">
        <f t="shared" si="175"/>
        <v>1910</v>
      </c>
      <c r="M857" s="13" t="str">
        <f t="shared" si="176"/>
        <v/>
      </c>
      <c r="N857" s="13">
        <f t="shared" si="177"/>
        <v>1910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12</v>
      </c>
      <c r="C858" s="12" t="s">
        <v>1699</v>
      </c>
      <c r="D858" s="16" t="s">
        <v>71</v>
      </c>
      <c r="E858" s="12" t="s">
        <v>62</v>
      </c>
      <c r="F858" s="12" t="s">
        <v>1700</v>
      </c>
      <c r="G858" s="13">
        <v>1917</v>
      </c>
      <c r="H858" s="13"/>
      <c r="I858" s="13"/>
      <c r="J858" s="13">
        <v>1897</v>
      </c>
      <c r="K858" s="13">
        <f t="shared" si="173"/>
        <v>0</v>
      </c>
      <c r="L858" s="13">
        <f t="shared" si="175"/>
        <v>1917</v>
      </c>
      <c r="M858" s="13" t="str">
        <f t="shared" si="176"/>
        <v/>
      </c>
      <c r="N858" s="13">
        <f t="shared" si="177"/>
        <v>1897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6</v>
      </c>
      <c r="C859" s="12" t="s">
        <v>462</v>
      </c>
      <c r="D859" s="16" t="s">
        <v>71</v>
      </c>
      <c r="E859" s="12" t="s">
        <v>62</v>
      </c>
      <c r="F859" s="12" t="s">
        <v>1701</v>
      </c>
      <c r="G859" s="13">
        <v>1919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1919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12</v>
      </c>
      <c r="C860" s="12" t="s">
        <v>1586</v>
      </c>
      <c r="D860" s="16" t="s">
        <v>52</v>
      </c>
      <c r="E860" s="12" t="s">
        <v>26</v>
      </c>
      <c r="F860" s="12" t="s">
        <v>1587</v>
      </c>
      <c r="G860" s="13">
        <v>1924</v>
      </c>
      <c r="H860" s="13"/>
      <c r="I860" s="13"/>
      <c r="J860" s="13">
        <v>1914</v>
      </c>
      <c r="K860" s="13">
        <f t="shared" si="173"/>
        <v>0</v>
      </c>
      <c r="L860" s="13">
        <f t="shared" si="175"/>
        <v>1924</v>
      </c>
      <c r="M860" s="13" t="str">
        <f t="shared" si="176"/>
        <v/>
      </c>
      <c r="N860" s="13">
        <f t="shared" si="177"/>
        <v>1914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10</v>
      </c>
      <c r="C861" s="12" t="s">
        <v>1704</v>
      </c>
      <c r="D861" s="16" t="s">
        <v>59</v>
      </c>
      <c r="E861" s="12" t="s">
        <v>62</v>
      </c>
      <c r="F861" s="12" t="s">
        <v>1705</v>
      </c>
      <c r="G861" s="13">
        <v>1929</v>
      </c>
      <c r="H861" s="13"/>
      <c r="I861" s="13"/>
      <c r="J861" s="13">
        <v>1925</v>
      </c>
      <c r="K861" s="13">
        <f t="shared" si="173"/>
        <v>0</v>
      </c>
      <c r="L861" s="13">
        <f t="shared" si="175"/>
        <v>1929</v>
      </c>
      <c r="M861" s="13" t="str">
        <f t="shared" si="176"/>
        <v/>
      </c>
      <c r="N861" s="13">
        <f t="shared" si="177"/>
        <v>1925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8" customFormat="1" ht="28.5" customHeight="1">
      <c r="A862" s="12" t="str">
        <f t="shared" si="174"/>
        <v/>
      </c>
      <c r="B862" s="12" t="s">
        <v>10</v>
      </c>
      <c r="C862" s="12" t="s">
        <v>1722</v>
      </c>
      <c r="D862" s="12" t="s">
        <v>49</v>
      </c>
      <c r="E862" s="12" t="s">
        <v>62</v>
      </c>
      <c r="F862" s="12" t="s">
        <v>1723</v>
      </c>
      <c r="G862" s="13">
        <v>1939</v>
      </c>
      <c r="H862" s="13"/>
      <c r="I862" s="13"/>
      <c r="J862" s="13">
        <v>1919</v>
      </c>
      <c r="K862" s="13">
        <f t="shared" si="173"/>
        <v>0</v>
      </c>
      <c r="L862" s="13">
        <f t="shared" si="175"/>
        <v>1939</v>
      </c>
      <c r="M862" s="13" t="str">
        <f t="shared" si="176"/>
        <v/>
      </c>
      <c r="N862" s="13">
        <f t="shared" si="177"/>
        <v>1919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17" customFormat="1" ht="28.5" customHeight="1">
      <c r="A863" s="12" t="str">
        <f t="shared" si="174"/>
        <v/>
      </c>
      <c r="B863" s="12" t="s">
        <v>10</v>
      </c>
      <c r="C863" s="12" t="s">
        <v>1706</v>
      </c>
      <c r="D863" s="12" t="s">
        <v>49</v>
      </c>
      <c r="E863" s="12" t="s">
        <v>62</v>
      </c>
      <c r="F863" s="12" t="s">
        <v>1707</v>
      </c>
      <c r="G863" s="13">
        <v>1940</v>
      </c>
      <c r="H863" s="13"/>
      <c r="I863" s="13"/>
      <c r="J863" s="13">
        <v>1940</v>
      </c>
      <c r="K863" s="13">
        <f t="shared" si="173"/>
        <v>0</v>
      </c>
      <c r="L863" s="13">
        <f t="shared" si="175"/>
        <v>1940</v>
      </c>
      <c r="M863" s="13" t="str">
        <f t="shared" si="176"/>
        <v/>
      </c>
      <c r="N863" s="13">
        <f t="shared" si="177"/>
        <v>1940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2" customFormat="1" ht="28.5" customHeight="1">
      <c r="A864" s="12" t="str">
        <f t="shared" si="174"/>
        <v/>
      </c>
      <c r="B864" s="12" t="s">
        <v>10</v>
      </c>
      <c r="C864" s="12" t="s">
        <v>1712</v>
      </c>
      <c r="D864" s="16" t="s">
        <v>59</v>
      </c>
      <c r="E864" s="12" t="s">
        <v>26</v>
      </c>
      <c r="F864" s="12" t="s">
        <v>1713</v>
      </c>
      <c r="G864" s="13">
        <v>1945</v>
      </c>
      <c r="H864" s="13"/>
      <c r="I864" s="13"/>
      <c r="J864" s="13">
        <v>1945</v>
      </c>
      <c r="K864" s="13">
        <f t="shared" si="173"/>
        <v>0</v>
      </c>
      <c r="L864" s="13">
        <f t="shared" si="175"/>
        <v>1945</v>
      </c>
      <c r="M864" s="13" t="str">
        <f t="shared" si="176"/>
        <v/>
      </c>
      <c r="N864" s="13">
        <f t="shared" si="177"/>
        <v>1945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12</v>
      </c>
      <c r="C865" s="12" t="s">
        <v>1720</v>
      </c>
      <c r="D865" s="16" t="s">
        <v>71</v>
      </c>
      <c r="E865" s="12" t="s">
        <v>62</v>
      </c>
      <c r="F865" s="12" t="s">
        <v>1721</v>
      </c>
      <c r="G865" s="13">
        <v>1948</v>
      </c>
      <c r="H865" s="13"/>
      <c r="I865" s="13"/>
      <c r="J865" s="13">
        <v>1938</v>
      </c>
      <c r="K865" s="13">
        <f t="shared" si="173"/>
        <v>0</v>
      </c>
      <c r="L865" s="13">
        <f t="shared" si="175"/>
        <v>1948</v>
      </c>
      <c r="M865" s="13" t="str">
        <f t="shared" si="176"/>
        <v/>
      </c>
      <c r="N865" s="13">
        <f t="shared" si="177"/>
        <v>1938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2" customFormat="1" ht="28.5" customHeight="1">
      <c r="A866" s="12" t="str">
        <f t="shared" si="174"/>
        <v/>
      </c>
      <c r="B866" s="12" t="s">
        <v>14</v>
      </c>
      <c r="C866" s="12" t="s">
        <v>1714</v>
      </c>
      <c r="D866" s="12" t="s">
        <v>49</v>
      </c>
      <c r="E866" s="12" t="s">
        <v>26</v>
      </c>
      <c r="F866" s="12" t="s">
        <v>1715</v>
      </c>
      <c r="G866" s="13">
        <v>1949</v>
      </c>
      <c r="H866" s="13"/>
      <c r="I866" s="13"/>
      <c r="J866" s="13">
        <v>1929</v>
      </c>
      <c r="K866" s="13">
        <f t="shared" si="173"/>
        <v>0</v>
      </c>
      <c r="L866" s="13">
        <f t="shared" si="175"/>
        <v>1949</v>
      </c>
      <c r="M866" s="13" t="str">
        <f t="shared" si="176"/>
        <v/>
      </c>
      <c r="N866" s="13">
        <f t="shared" si="177"/>
        <v>1929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2" customFormat="1" ht="28.5" customHeight="1">
      <c r="A867" s="12" t="str">
        <f t="shared" si="174"/>
        <v/>
      </c>
      <c r="B867" s="12" t="s">
        <v>10</v>
      </c>
      <c r="C867" s="12" t="s">
        <v>1729</v>
      </c>
      <c r="D867" s="16" t="s">
        <v>59</v>
      </c>
      <c r="E867" s="12" t="s">
        <v>62</v>
      </c>
      <c r="F867" s="12" t="s">
        <v>1730</v>
      </c>
      <c r="G867" s="13">
        <v>1949</v>
      </c>
      <c r="H867" s="13"/>
      <c r="I867" s="13"/>
      <c r="J867" s="13">
        <v>1929</v>
      </c>
      <c r="K867" s="13">
        <f t="shared" ref="K867:K878" si="186">IF(AND(IFERROR(SEARCH("현대오일뱅크",$C867),0)&gt;0,IFERROR(SEARCH("직영",$C867),0)&gt;0),$B$13,0)</f>
        <v>0</v>
      </c>
      <c r="L867" s="13">
        <f t="shared" si="175"/>
        <v>1949</v>
      </c>
      <c r="M867" s="13" t="str">
        <f t="shared" si="176"/>
        <v/>
      </c>
      <c r="N867" s="13">
        <f t="shared" si="177"/>
        <v>1929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17" customFormat="1" ht="28.5" customHeight="1">
      <c r="A868" s="12" t="str">
        <f t="shared" si="174"/>
        <v/>
      </c>
      <c r="B868" s="12" t="s">
        <v>12</v>
      </c>
      <c r="C868" s="12" t="s">
        <v>1716</v>
      </c>
      <c r="D868" s="16" t="s">
        <v>52</v>
      </c>
      <c r="E868" s="12" t="s">
        <v>62</v>
      </c>
      <c r="F868" s="12" t="s">
        <v>1717</v>
      </c>
      <c r="G868" s="13">
        <v>1949</v>
      </c>
      <c r="H868" s="13"/>
      <c r="I868" s="13"/>
      <c r="J868" s="13">
        <v>1948</v>
      </c>
      <c r="K868" s="13">
        <f t="shared" si="186"/>
        <v>0</v>
      </c>
      <c r="L868" s="13">
        <f t="shared" si="175"/>
        <v>1949</v>
      </c>
      <c r="M868" s="13" t="str">
        <f t="shared" si="176"/>
        <v/>
      </c>
      <c r="N868" s="13">
        <f t="shared" si="177"/>
        <v>1948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8" customFormat="1" ht="28.5" customHeight="1">
      <c r="A869" s="12" t="str">
        <f t="shared" si="174"/>
        <v/>
      </c>
      <c r="B869" s="12" t="s">
        <v>12</v>
      </c>
      <c r="C869" s="12" t="s">
        <v>1718</v>
      </c>
      <c r="D869" s="18" t="s">
        <v>49</v>
      </c>
      <c r="E869" s="12" t="s">
        <v>26</v>
      </c>
      <c r="F869" s="12" t="s">
        <v>1719</v>
      </c>
      <c r="G869" s="13">
        <v>1955</v>
      </c>
      <c r="H869" s="13"/>
      <c r="I869" s="13"/>
      <c r="J869" s="13">
        <v>1935</v>
      </c>
      <c r="K869" s="13">
        <f t="shared" si="186"/>
        <v>0</v>
      </c>
      <c r="L869" s="13">
        <f t="shared" si="175"/>
        <v>1955</v>
      </c>
      <c r="M869" s="13" t="str">
        <f t="shared" si="176"/>
        <v/>
      </c>
      <c r="N869" s="13">
        <f t="shared" si="177"/>
        <v>1935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17" customFormat="1" ht="28.5" customHeight="1">
      <c r="A870" s="12" t="str">
        <f t="shared" si="174"/>
        <v/>
      </c>
      <c r="B870" s="12" t="s">
        <v>14</v>
      </c>
      <c r="C870" s="12" t="s">
        <v>1724</v>
      </c>
      <c r="D870" s="16" t="s">
        <v>71</v>
      </c>
      <c r="E870" s="12" t="s">
        <v>26</v>
      </c>
      <c r="F870" s="12" t="s">
        <v>1725</v>
      </c>
      <c r="G870" s="13">
        <v>1978</v>
      </c>
      <c r="H870" s="13"/>
      <c r="I870" s="13"/>
      <c r="J870" s="13">
        <v>1968</v>
      </c>
      <c r="K870" s="13">
        <f t="shared" si="186"/>
        <v>0</v>
      </c>
      <c r="L870" s="13">
        <f t="shared" si="175"/>
        <v>1978</v>
      </c>
      <c r="M870" s="13" t="str">
        <f t="shared" si="176"/>
        <v/>
      </c>
      <c r="N870" s="13">
        <f t="shared" si="177"/>
        <v>1968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6</v>
      </c>
      <c r="C871" s="12" t="s">
        <v>1726</v>
      </c>
      <c r="D871" s="16" t="s">
        <v>59</v>
      </c>
      <c r="E871" s="12" t="s">
        <v>26</v>
      </c>
      <c r="F871" s="12" t="s">
        <v>1727</v>
      </c>
      <c r="G871" s="13">
        <v>2199</v>
      </c>
      <c r="H871" s="13"/>
      <c r="I871" s="13"/>
      <c r="J871" s="13">
        <v>2149</v>
      </c>
      <c r="K871" s="13">
        <f t="shared" si="186"/>
        <v>0</v>
      </c>
      <c r="L871" s="13">
        <f t="shared" si="175"/>
        <v>2199</v>
      </c>
      <c r="M871" s="13" t="str">
        <f t="shared" si="176"/>
        <v/>
      </c>
      <c r="N871" s="13">
        <f t="shared" si="177"/>
        <v>2149</v>
      </c>
      <c r="O871" s="13" t="str">
        <f t="shared" si="178"/>
        <v/>
      </c>
      <c r="P871" s="13" t="str">
        <f t="shared" si="179"/>
        <v/>
      </c>
      <c r="Q871" s="13" t="s">
        <v>47</v>
      </c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2" customFormat="1" ht="28.5" customHeight="1">
      <c r="A872" s="12" t="str">
        <f t="shared" si="174"/>
        <v/>
      </c>
      <c r="B872" s="12" t="s">
        <v>14</v>
      </c>
      <c r="C872" s="12" t="s">
        <v>400</v>
      </c>
      <c r="D872" s="16" t="s">
        <v>71</v>
      </c>
      <c r="E872" s="12" t="s">
        <v>62</v>
      </c>
      <c r="F872" s="12" t="s">
        <v>1728</v>
      </c>
      <c r="G872" s="13">
        <v>1995</v>
      </c>
      <c r="H872" s="13"/>
      <c r="I872" s="13"/>
      <c r="J872" s="13">
        <v>1995</v>
      </c>
      <c r="K872" s="13">
        <f t="shared" si="186"/>
        <v>0</v>
      </c>
      <c r="L872" s="13">
        <f t="shared" si="175"/>
        <v>1995</v>
      </c>
      <c r="M872" s="13" t="str">
        <f t="shared" si="176"/>
        <v/>
      </c>
      <c r="N872" s="13">
        <f t="shared" si="177"/>
        <v>1995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2" customFormat="1" ht="28.5" customHeight="1">
      <c r="A873" s="12" t="str">
        <f t="shared" si="174"/>
        <v/>
      </c>
      <c r="B873" s="12" t="s">
        <v>14</v>
      </c>
      <c r="C873" s="12" t="s">
        <v>1731</v>
      </c>
      <c r="D873" s="12" t="s">
        <v>49</v>
      </c>
      <c r="E873" s="12" t="s">
        <v>62</v>
      </c>
      <c r="F873" s="12" t="s">
        <v>1732</v>
      </c>
      <c r="G873" s="13">
        <v>1999</v>
      </c>
      <c r="H873" s="13"/>
      <c r="I873" s="13"/>
      <c r="J873" s="13">
        <v>1989</v>
      </c>
      <c r="K873" s="13">
        <f t="shared" si="186"/>
        <v>0</v>
      </c>
      <c r="L873" s="13">
        <f t="shared" si="175"/>
        <v>1999</v>
      </c>
      <c r="M873" s="13" t="str">
        <f t="shared" si="176"/>
        <v/>
      </c>
      <c r="N873" s="13">
        <f t="shared" si="177"/>
        <v>1989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2" customFormat="1" ht="28.5" customHeight="1">
      <c r="A874" s="12" t="str">
        <f t="shared" si="174"/>
        <v/>
      </c>
      <c r="B874" s="12" t="s">
        <v>12</v>
      </c>
      <c r="C874" s="12" t="s">
        <v>1733</v>
      </c>
      <c r="D874" s="16" t="s">
        <v>71</v>
      </c>
      <c r="E874" s="12" t="s">
        <v>62</v>
      </c>
      <c r="F874" s="12" t="s">
        <v>1734</v>
      </c>
      <c r="G874" s="13">
        <v>2098</v>
      </c>
      <c r="H874" s="13"/>
      <c r="I874" s="13"/>
      <c r="J874" s="13">
        <v>2095</v>
      </c>
      <c r="K874" s="13">
        <f t="shared" si="186"/>
        <v>0</v>
      </c>
      <c r="L874" s="13">
        <f t="shared" si="175"/>
        <v>2098</v>
      </c>
      <c r="M874" s="13" t="str">
        <f t="shared" si="176"/>
        <v/>
      </c>
      <c r="N874" s="13">
        <f t="shared" si="177"/>
        <v>2095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14</v>
      </c>
      <c r="C875" s="12" t="s">
        <v>1735</v>
      </c>
      <c r="D875" s="12" t="s">
        <v>49</v>
      </c>
      <c r="E875" s="12" t="s">
        <v>62</v>
      </c>
      <c r="F875" s="12" t="s">
        <v>1736</v>
      </c>
      <c r="G875" s="13"/>
      <c r="H875" s="13">
        <v>2357</v>
      </c>
      <c r="I875" s="13"/>
      <c r="J875" s="13">
        <v>1953</v>
      </c>
      <c r="K875" s="13">
        <f t="shared" si="186"/>
        <v>0</v>
      </c>
      <c r="L875" s="13" t="str">
        <f t="shared" si="175"/>
        <v/>
      </c>
      <c r="M875" s="13">
        <f t="shared" si="176"/>
        <v>2357</v>
      </c>
      <c r="N875" s="13">
        <f t="shared" si="177"/>
        <v>1953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10</v>
      </c>
      <c r="C876" s="12" t="s">
        <v>1737</v>
      </c>
      <c r="D876" s="16" t="s">
        <v>71</v>
      </c>
      <c r="E876" s="12" t="s">
        <v>26</v>
      </c>
      <c r="F876" s="12" t="s">
        <v>1738</v>
      </c>
      <c r="G876" s="13"/>
      <c r="H876" s="13">
        <v>2459</v>
      </c>
      <c r="I876" s="13"/>
      <c r="J876" s="13">
        <v>1859</v>
      </c>
      <c r="K876" s="13">
        <f t="shared" si="186"/>
        <v>0</v>
      </c>
      <c r="L876" s="13" t="str">
        <f t="shared" si="175"/>
        <v/>
      </c>
      <c r="M876" s="13">
        <f t="shared" si="176"/>
        <v>2459</v>
      </c>
      <c r="N876" s="13">
        <f t="shared" si="177"/>
        <v>1859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17" customFormat="1" ht="28.5" customHeight="1">
      <c r="A877" s="12" t="str">
        <f t="shared" si="174"/>
        <v/>
      </c>
      <c r="B877" s="12" t="s">
        <v>6</v>
      </c>
      <c r="C877" s="12" t="s">
        <v>1739</v>
      </c>
      <c r="D877" s="12" t="s">
        <v>272</v>
      </c>
      <c r="E877" s="12" t="s">
        <v>26</v>
      </c>
      <c r="F877" s="12" t="s">
        <v>1740</v>
      </c>
      <c r="G877" s="13"/>
      <c r="H877" s="13"/>
      <c r="I877" s="13"/>
      <c r="J877" s="13">
        <v>1869</v>
      </c>
      <c r="K877" s="13">
        <f t="shared" si="186"/>
        <v>0</v>
      </c>
      <c r="L877" s="13" t="str">
        <f t="shared" si="175"/>
        <v/>
      </c>
      <c r="M877" s="13" t="str">
        <f t="shared" si="176"/>
        <v/>
      </c>
      <c r="N877" s="13">
        <f t="shared" si="177"/>
        <v>1869</v>
      </c>
      <c r="O877" s="13" t="str">
        <f t="shared" si="178"/>
        <v/>
      </c>
      <c r="P877" s="13" t="str">
        <f t="shared" si="179"/>
        <v/>
      </c>
      <c r="Q877" s="13" t="s">
        <v>47</v>
      </c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10</v>
      </c>
      <c r="C878" s="12" t="s">
        <v>1741</v>
      </c>
      <c r="D878" s="12" t="s">
        <v>272</v>
      </c>
      <c r="E878" s="12" t="s">
        <v>62</v>
      </c>
      <c r="F878" s="12" t="s">
        <v>1742</v>
      </c>
      <c r="G878" s="13"/>
      <c r="H878" s="13"/>
      <c r="I878" s="13"/>
      <c r="J878" s="13">
        <v>2020</v>
      </c>
      <c r="K878" s="13">
        <f t="shared" si="186"/>
        <v>0</v>
      </c>
      <c r="L878" s="13" t="str">
        <f t="shared" si="175"/>
        <v/>
      </c>
      <c r="M878" s="13" t="str">
        <f t="shared" si="176"/>
        <v/>
      </c>
      <c r="N878" s="13">
        <f t="shared" si="177"/>
        <v>2020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1754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1744</v>
      </c>
      <c r="E3" s="4" t="s">
        <v>1745</v>
      </c>
      <c r="F3" s="4" t="s">
        <v>1746</v>
      </c>
      <c r="G3" s="4" t="s">
        <v>1747</v>
      </c>
      <c r="H3" s="4" t="s">
        <v>1748</v>
      </c>
      <c r="I3" s="4" t="s">
        <v>1749</v>
      </c>
      <c r="J3" s="4" t="s">
        <v>1750</v>
      </c>
      <c r="K3" s="4" t="s">
        <v>1751</v>
      </c>
      <c r="L3" s="4" t="s">
        <v>1752</v>
      </c>
      <c r="M3" s="4" t="s">
        <v>1753</v>
      </c>
    </row>
    <row r="4" spans="1:13" s="17" customFormat="1" ht="25.5" customHeight="1">
      <c r="A4" s="21" t="s">
        <v>10</v>
      </c>
      <c r="B4" s="22" t="s">
        <v>197</v>
      </c>
      <c r="C4" s="22" t="s">
        <v>198</v>
      </c>
      <c r="D4" s="22" t="s">
        <v>1755</v>
      </c>
      <c r="E4" s="23">
        <v>1886</v>
      </c>
      <c r="F4" s="23">
        <v>1896</v>
      </c>
      <c r="G4" s="23">
        <f t="shared" ref="G4:G16" si="0">IF(OR(E4="",F4=""),"",F4-E4)</f>
        <v>10</v>
      </c>
      <c r="H4" s="23">
        <v>2250</v>
      </c>
      <c r="I4" s="23">
        <v>2250</v>
      </c>
      <c r="J4" s="23">
        <f t="shared" ref="J4:J16" si="1">IF(OR(H4="",I4=""),"",I4-H4)</f>
        <v>0</v>
      </c>
      <c r="K4" s="23">
        <v>1876</v>
      </c>
      <c r="L4" s="23">
        <v>1876</v>
      </c>
      <c r="M4" s="23">
        <f t="shared" ref="M4:M16" si="2">IF(OR(K4="",L4=""),"",L4-K4)</f>
        <v>0</v>
      </c>
    </row>
    <row r="5" spans="1:13" s="17" customFormat="1" ht="25.5" customHeight="1">
      <c r="A5" s="21" t="s">
        <v>18</v>
      </c>
      <c r="B5" s="22" t="s">
        <v>470</v>
      </c>
      <c r="C5" s="22" t="s">
        <v>471</v>
      </c>
      <c r="D5" s="22" t="s">
        <v>1755</v>
      </c>
      <c r="E5" s="23">
        <v>1859</v>
      </c>
      <c r="F5" s="23">
        <v>1859</v>
      </c>
      <c r="G5" s="23">
        <f t="shared" si="0"/>
        <v>0</v>
      </c>
      <c r="H5" s="23"/>
      <c r="I5" s="23"/>
      <c r="J5" s="23" t="str">
        <f t="shared" si="1"/>
        <v/>
      </c>
      <c r="K5" s="23">
        <v>1849</v>
      </c>
      <c r="L5" s="23">
        <v>1869</v>
      </c>
      <c r="M5" s="23">
        <f t="shared" si="2"/>
        <v>20</v>
      </c>
    </row>
    <row r="6" spans="1:13" s="17" customFormat="1" ht="25.5" customHeight="1">
      <c r="A6" s="21" t="s">
        <v>16</v>
      </c>
      <c r="B6" s="22" t="s">
        <v>436</v>
      </c>
      <c r="C6" s="22" t="s">
        <v>437</v>
      </c>
      <c r="D6" s="22" t="s">
        <v>1755</v>
      </c>
      <c r="E6" s="23">
        <v>1869</v>
      </c>
      <c r="F6" s="23">
        <v>1869</v>
      </c>
      <c r="G6" s="23">
        <f t="shared" si="0"/>
        <v>0</v>
      </c>
      <c r="H6" s="23"/>
      <c r="I6" s="23"/>
      <c r="J6" s="23" t="str">
        <f t="shared" si="1"/>
        <v/>
      </c>
      <c r="K6" s="23">
        <v>1849</v>
      </c>
      <c r="L6" s="23">
        <v>1854</v>
      </c>
      <c r="M6" s="23">
        <f t="shared" si="2"/>
        <v>5</v>
      </c>
    </row>
    <row r="7" spans="1:13" s="17" customFormat="1" ht="25.5" customHeight="1">
      <c r="A7" s="21" t="s">
        <v>16</v>
      </c>
      <c r="B7" s="22" t="s">
        <v>474</v>
      </c>
      <c r="C7" s="22" t="s">
        <v>475</v>
      </c>
      <c r="D7" s="22" t="s">
        <v>1755</v>
      </c>
      <c r="E7" s="23">
        <v>1880</v>
      </c>
      <c r="F7" s="23">
        <v>1880</v>
      </c>
      <c r="G7" s="23">
        <f t="shared" si="0"/>
        <v>0</v>
      </c>
      <c r="H7" s="23"/>
      <c r="I7" s="23"/>
      <c r="J7" s="23" t="str">
        <f t="shared" si="1"/>
        <v/>
      </c>
      <c r="K7" s="23">
        <v>1860</v>
      </c>
      <c r="L7" s="23">
        <v>1890</v>
      </c>
      <c r="M7" s="23">
        <f t="shared" si="2"/>
        <v>30</v>
      </c>
    </row>
    <row r="8" spans="1:13" s="17" customFormat="1" ht="25.5" customHeight="1">
      <c r="A8" s="21" t="s">
        <v>16</v>
      </c>
      <c r="B8" s="22" t="s">
        <v>523</v>
      </c>
      <c r="C8" s="22" t="s">
        <v>524</v>
      </c>
      <c r="D8" s="22" t="s">
        <v>1755</v>
      </c>
      <c r="E8" s="23">
        <v>1889</v>
      </c>
      <c r="F8" s="23">
        <v>1889</v>
      </c>
      <c r="G8" s="23">
        <f t="shared" si="0"/>
        <v>0</v>
      </c>
      <c r="H8" s="23"/>
      <c r="I8" s="23"/>
      <c r="J8" s="23" t="str">
        <f t="shared" si="1"/>
        <v/>
      </c>
      <c r="K8" s="23">
        <v>1847</v>
      </c>
      <c r="L8" s="23">
        <v>1867</v>
      </c>
      <c r="M8" s="23">
        <f t="shared" si="2"/>
        <v>20</v>
      </c>
    </row>
    <row r="9" spans="1:13" s="17" customFormat="1" ht="25.5" customHeight="1">
      <c r="A9" s="21" t="s">
        <v>10</v>
      </c>
      <c r="B9" s="22" t="s">
        <v>571</v>
      </c>
      <c r="C9" s="22" t="s">
        <v>572</v>
      </c>
      <c r="D9" s="22" t="s">
        <v>1755</v>
      </c>
      <c r="E9" s="23">
        <v>1854</v>
      </c>
      <c r="F9" s="23">
        <v>1854</v>
      </c>
      <c r="G9" s="23">
        <f t="shared" si="0"/>
        <v>0</v>
      </c>
      <c r="H9" s="23"/>
      <c r="I9" s="23"/>
      <c r="J9" s="23" t="str">
        <f t="shared" si="1"/>
        <v/>
      </c>
      <c r="K9" s="23">
        <v>1837</v>
      </c>
      <c r="L9" s="23">
        <v>1829</v>
      </c>
      <c r="M9" s="23">
        <f t="shared" si="2"/>
        <v>-8</v>
      </c>
    </row>
    <row r="10" spans="1:13" s="17" customFormat="1" ht="25.5" customHeight="1">
      <c r="A10" s="21" t="s">
        <v>10</v>
      </c>
      <c r="B10" s="22" t="s">
        <v>599</v>
      </c>
      <c r="C10" s="22" t="s">
        <v>600</v>
      </c>
      <c r="D10" s="22" t="s">
        <v>1755</v>
      </c>
      <c r="E10" s="23">
        <v>1858</v>
      </c>
      <c r="F10" s="23">
        <v>1848</v>
      </c>
      <c r="G10" s="23">
        <f t="shared" si="0"/>
        <v>-10</v>
      </c>
      <c r="H10" s="23"/>
      <c r="I10" s="23"/>
      <c r="J10" s="23" t="str">
        <f t="shared" si="1"/>
        <v/>
      </c>
      <c r="K10" s="23">
        <v>1848</v>
      </c>
      <c r="L10" s="23">
        <v>1838</v>
      </c>
      <c r="M10" s="23">
        <f t="shared" si="2"/>
        <v>-10</v>
      </c>
    </row>
    <row r="11" spans="1:13" s="17" customFormat="1" ht="25.5" customHeight="1">
      <c r="A11" s="21" t="s">
        <v>10</v>
      </c>
      <c r="B11" s="22" t="s">
        <v>624</v>
      </c>
      <c r="C11" s="22" t="s">
        <v>625</v>
      </c>
      <c r="D11" s="22" t="s">
        <v>1755</v>
      </c>
      <c r="E11" s="23">
        <v>1866</v>
      </c>
      <c r="F11" s="23">
        <v>1866</v>
      </c>
      <c r="G11" s="23">
        <f t="shared" si="0"/>
        <v>0</v>
      </c>
      <c r="H11" s="23"/>
      <c r="I11" s="23"/>
      <c r="J11" s="23" t="str">
        <f t="shared" si="1"/>
        <v/>
      </c>
      <c r="K11" s="23">
        <v>1831</v>
      </c>
      <c r="L11" s="23">
        <v>1846</v>
      </c>
      <c r="M11" s="23">
        <f t="shared" si="2"/>
        <v>15</v>
      </c>
    </row>
    <row r="12" spans="1:13" s="17" customFormat="1" ht="25.5" customHeight="1">
      <c r="A12" s="21" t="s">
        <v>12</v>
      </c>
      <c r="B12" s="22" t="s">
        <v>776</v>
      </c>
      <c r="C12" s="22" t="s">
        <v>777</v>
      </c>
      <c r="D12" s="22" t="s">
        <v>1755</v>
      </c>
      <c r="E12" s="23">
        <v>1899</v>
      </c>
      <c r="F12" s="23">
        <v>1899</v>
      </c>
      <c r="G12" s="23">
        <f t="shared" si="0"/>
        <v>0</v>
      </c>
      <c r="H12" s="23"/>
      <c r="I12" s="23"/>
      <c r="J12" s="23" t="str">
        <f t="shared" si="1"/>
        <v/>
      </c>
      <c r="K12" s="23">
        <v>1889</v>
      </c>
      <c r="L12" s="23">
        <v>1899</v>
      </c>
      <c r="M12" s="23">
        <f t="shared" si="2"/>
        <v>10</v>
      </c>
    </row>
    <row r="13" spans="1:13" s="17" customFormat="1" ht="25.5" customHeight="1">
      <c r="A13" s="21" t="s">
        <v>8</v>
      </c>
      <c r="B13" s="22" t="s">
        <v>1251</v>
      </c>
      <c r="C13" s="22" t="s">
        <v>1252</v>
      </c>
      <c r="D13" s="22" t="s">
        <v>1755</v>
      </c>
      <c r="E13" s="23">
        <v>1845</v>
      </c>
      <c r="F13" s="23">
        <v>1845</v>
      </c>
      <c r="G13" s="23">
        <f t="shared" si="0"/>
        <v>0</v>
      </c>
      <c r="H13" s="23"/>
      <c r="I13" s="23"/>
      <c r="J13" s="23" t="str">
        <f t="shared" si="1"/>
        <v/>
      </c>
      <c r="K13" s="23">
        <v>1834</v>
      </c>
      <c r="L13" s="23">
        <v>1849</v>
      </c>
      <c r="M13" s="23">
        <f t="shared" si="2"/>
        <v>15</v>
      </c>
    </row>
    <row r="14" spans="1:13" s="17" customFormat="1" ht="25.5" customHeight="1">
      <c r="A14" s="21" t="s">
        <v>10</v>
      </c>
      <c r="B14" s="22" t="s">
        <v>1261</v>
      </c>
      <c r="C14" s="22" t="s">
        <v>1262</v>
      </c>
      <c r="D14" s="22" t="s">
        <v>1755</v>
      </c>
      <c r="E14" s="23">
        <v>1848</v>
      </c>
      <c r="F14" s="23">
        <v>1848</v>
      </c>
      <c r="G14" s="23">
        <f t="shared" si="0"/>
        <v>0</v>
      </c>
      <c r="H14" s="23"/>
      <c r="I14" s="23"/>
      <c r="J14" s="23" t="str">
        <f t="shared" si="1"/>
        <v/>
      </c>
      <c r="K14" s="23">
        <v>1818</v>
      </c>
      <c r="L14" s="23">
        <v>1848</v>
      </c>
      <c r="M14" s="23">
        <f t="shared" si="2"/>
        <v>30</v>
      </c>
    </row>
    <row r="15" spans="1:13" s="17" customFormat="1" ht="25.5" customHeight="1">
      <c r="A15" s="21" t="s">
        <v>8</v>
      </c>
      <c r="B15" s="22" t="s">
        <v>1491</v>
      </c>
      <c r="C15" s="22" t="s">
        <v>1492</v>
      </c>
      <c r="D15" s="22" t="s">
        <v>1755</v>
      </c>
      <c r="E15" s="23">
        <v>1848</v>
      </c>
      <c r="F15" s="23">
        <v>1848</v>
      </c>
      <c r="G15" s="23">
        <f t="shared" si="0"/>
        <v>0</v>
      </c>
      <c r="H15" s="23"/>
      <c r="I15" s="23"/>
      <c r="J15" s="23" t="str">
        <f t="shared" si="1"/>
        <v/>
      </c>
      <c r="K15" s="23">
        <v>1834</v>
      </c>
      <c r="L15" s="23">
        <v>1884</v>
      </c>
      <c r="M15" s="23">
        <f t="shared" si="2"/>
        <v>50</v>
      </c>
    </row>
    <row r="16" spans="1:13" s="17" customFormat="1" ht="25.5" customHeight="1">
      <c r="A16" s="21" t="s">
        <v>14</v>
      </c>
      <c r="B16" s="22" t="s">
        <v>1695</v>
      </c>
      <c r="C16" s="22" t="s">
        <v>1696</v>
      </c>
      <c r="D16" s="22" t="s">
        <v>1755</v>
      </c>
      <c r="E16" s="23">
        <v>1909</v>
      </c>
      <c r="F16" s="23">
        <v>1909</v>
      </c>
      <c r="G16" s="23">
        <f t="shared" si="0"/>
        <v>0</v>
      </c>
      <c r="H16" s="23"/>
      <c r="I16" s="23"/>
      <c r="J16" s="23" t="str">
        <f t="shared" si="1"/>
        <v/>
      </c>
      <c r="K16" s="23">
        <v>1899</v>
      </c>
      <c r="L16" s="23">
        <v>1890</v>
      </c>
      <c r="M16" s="23">
        <f t="shared" si="2"/>
        <v>-9</v>
      </c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1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