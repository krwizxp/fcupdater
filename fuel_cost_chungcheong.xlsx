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유류비!$A$15:$XFC$894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<sst xmlns="http://schemas.openxmlformats.org/spreadsheetml/2006/main" count="1787" uniqueCount="1785">
  <si>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</si>
  <si>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</si>
  <si>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</si>
  <si>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</si>
  <si>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</si>
  <si>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</si>
  <si>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</si>
  <si>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</si>
  <si>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</si>
  <si>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</si>
  <si>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</si>
  <si>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</si>
  <si>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</si>
  <si>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</si>
  <si>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</si>
  <si>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</si>
  <si>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</si>
  <si>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</si>
  <si>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</si>
  <si>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</si>
  <si>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</si>
  <si>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</si>
  <si>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</si>
  <si>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</si>
  <si>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</si>
  <si>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</si>
  <si>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</si>
  <si>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</si>
  <si>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</si>
  <si>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</si>
  <si>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</si>
  <si>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</si>
  <si>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</si>
  <si>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</si>
  <si>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</si>
  <si>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</si>
  <si>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</si>
  <si>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</si>
  <si>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</si>
  <si>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</si>
  <si>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</si>
  <si>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</si>
  <si>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</si>
  <si>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</si>
  <si>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</si>
  <si>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</si>
  <si>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</si>
  <si>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</si>
  <si>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㈜삼화에너지 아산</t>
  </si>
  <si>
    <t xml:space="preserve">충남 아산시 온천대로 1169</t>
  </si>
  <si>
    <t xml:space="preserve">지에스칼텍스(주) GS사이언스주유소</t>
  </si>
  <si>
    <t xml:space="preserve">GS칼텍스</t>
  </si>
  <si>
    <t xml:space="preserve">대전 유성구 대덕대로 539</t>
  </si>
  <si>
    <t xml:space="preserve">지에스칼텍스(주)정다운주유소</t>
  </si>
  <si>
    <t xml:space="preserve">대전 유성구 북유성대로 51(노은동)</t>
  </si>
  <si>
    <t xml:space="preserve">유한회사 우진에너지</t>
  </si>
  <si>
    <t xml:space="preserve">알뜰주유소</t>
  </si>
  <si>
    <t xml:space="preserve">충남 보령시 대해로 294</t>
  </si>
  <si>
    <t xml:space="preserve">미라클에너지㈜</t>
  </si>
  <si>
    <t xml:space="preserve">충남 아산시 음봉면 아산온천로 240</t>
  </si>
  <si>
    <t xml:space="preserve">지에스칼텍스(주)충대앞주유소</t>
  </si>
  <si>
    <t xml:space="preserve">대전 유성구 대학로 85 (궁동)</t>
  </si>
  <si>
    <t xml:space="preserve">지에스칼텍스(주)대덕밸리주유소</t>
  </si>
  <si>
    <t xml:space="preserve">일반</t>
  </si>
  <si>
    <t xml:space="preserve">대전 유성구 대덕대로 938</t>
  </si>
  <si>
    <t xml:space="preserve">지에스칼텍스㈜ 북유성IC주유소</t>
  </si>
  <si>
    <t xml:space="preserve">대전 유성구 북유성대로 408 (외삼동)</t>
  </si>
  <si>
    <t xml:space="preserve">지에스칼텍스㈜ 덕명주유소</t>
  </si>
  <si>
    <t xml:space="preserve">대전 유성구 현충원로 283 (덕명동)</t>
  </si>
  <si>
    <t xml:space="preserve">신연금스테이션 ㈜제이에이치대성</t>
  </si>
  <si>
    <t xml:space="preserve">대전 유성구 북유성대로 155 (지족동)</t>
  </si>
  <si>
    <t xml:space="preserve">장대주유소</t>
  </si>
  <si>
    <t xml:space="preserve">대전 유성구 유성대로 768 (장대동)</t>
  </si>
  <si>
    <t xml:space="preserve">중도석유(주)오정동주유소</t>
  </si>
  <si>
    <t xml:space="preserve">대전 대덕구 대전로 1144 (오정동)</t>
  </si>
  <si>
    <t xml:space="preserve">주식회사대동현대셀프</t>
  </si>
  <si>
    <t xml:space="preserve">대전 동구 계족로 126</t>
  </si>
  <si>
    <t xml:space="preserve">HD현대오일뱅크㈜직영 동원주유소</t>
  </si>
  <si>
    <t xml:space="preserve">대전 동구 옥천로 355-3</t>
  </si>
  <si>
    <t xml:space="preserve">상서현대셀프</t>
  </si>
  <si>
    <t xml:space="preserve">대전 대덕구 신탄진로 519 (상서동)</t>
  </si>
  <si>
    <t xml:space="preserve">지에스칼텍스㈜구봉산셀프주유소</t>
  </si>
  <si>
    <t xml:space="preserve">대전 서구 구봉로 208</t>
  </si>
  <si>
    <t xml:space="preserve">첨단셀프주유소</t>
  </si>
  <si>
    <t xml:space="preserve">대전 유성구 가정로 27</t>
  </si>
  <si>
    <t xml:space="preserve">대양석유㈜ 엑스포주유소</t>
  </si>
  <si>
    <r>
      <rPr>
        <sz val="11"/>
        <color theme="1"/>
        <rFont val="Noto Sans CJK SC"/>
        <family val="0"/>
        <charset val="1"/>
      </rPr>
      <t xml:space="preserve">SK</t>
    </r>
    <r>
      <rPr>
        <sz val="11"/>
        <color theme="1"/>
        <rFont val="맑은 고딕"/>
        <family val="0"/>
        <charset val="1"/>
      </rPr>
      <t xml:space="preserve">에너지</t>
    </r>
  </si>
  <si>
    <t xml:space="preserve">대전 유성구 대덕대로 542</t>
  </si>
  <si>
    <t xml:space="preserve">현대오일뱅크㈜직영 대덕산단주유소</t>
  </si>
  <si>
    <t xml:space="preserve">대전 대덕구 문평동로 2</t>
  </si>
  <si>
    <t xml:space="preserve">㈜연정 농수산주유소</t>
  </si>
  <si>
    <t xml:space="preserve">대전 대덕구 한밭대로 1014</t>
  </si>
  <si>
    <t xml:space="preserve">화암동셀프주유소</t>
  </si>
  <si>
    <t xml:space="preserve">대전 유성구 대덕대로 804 (화암동)</t>
  </si>
  <si>
    <t xml:space="preserve">구도일태전주유소</t>
  </si>
  <si>
    <t xml:space="preserve">S-OIL</t>
  </si>
  <si>
    <t xml:space="preserve">대전 유성구 엑스포로 259 (원촌동)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</si>
  <si>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</si>
  <si>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</si>
  <si>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</si>
  <si>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</si>
  <si>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HD현대오일뱅크㈜직영 충무주유소</t>
  </si>
  <si>
    <t xml:space="preserve">대전 중구 충무로 141 (부사동)</t>
  </si>
  <si>
    <t xml:space="preserve">동부주유소</t>
  </si>
  <si>
    <t xml:space="preserve">충남 보령시 대천방조제로 42</t>
  </si>
  <si>
    <t xml:space="preserve">신관주유소</t>
  </si>
  <si>
    <t xml:space="preserve">충남 공주시 관골1길 34-1</t>
  </si>
  <si>
    <t xml:space="preserve">HD현대오일뱅크㈜직영 세종관문셀프주유소</t>
  </si>
  <si>
    <t xml:space="preserve">대전 유성구 북유성대로 288 (하기동)</t>
  </si>
  <si>
    <t xml:space="preserve">주산주유소</t>
  </si>
  <si>
    <t xml:space="preserve">충남 보령시 주산면 충서로 616</t>
  </si>
  <si>
    <t xml:space="preserve">HD현대오일뱅크㈜직영 송강주유소</t>
  </si>
  <si>
    <t xml:space="preserve">대전 유성구 대덕대로 1131 (송강동)</t>
  </si>
  <si>
    <t xml:space="preserve">HD현대오일뱅크㈜직영 스마트셀프주유소</t>
  </si>
  <si>
    <t xml:space="preserve">대전 유성구 엑스포로 222 (원촌동)</t>
  </si>
  <si>
    <t xml:space="preserve">HD현대오일뱅크㈜직영 럭키셀프주유소</t>
  </si>
  <si>
    <t xml:space="preserve">대전 대덕구 한밭대로 1007 (오정동)</t>
  </si>
  <si>
    <t xml:space="preserve">판암하늘셀프주유소</t>
  </si>
  <si>
    <t xml:space="preserve">대전 동구 옥천로 77</t>
  </si>
  <si>
    <t xml:space="preserve">오월드주유소</t>
  </si>
  <si>
    <t xml:space="preserve">대전 중구 대둔산로 359 (사정동)</t>
  </si>
  <si>
    <t xml:space="preserve">KH에너지㈜직영 둔산주유소</t>
  </si>
  <si>
    <t xml:space="preserve">대전 서구 둔산로 139</t>
  </si>
  <si>
    <t xml:space="preserve">HD현대오일뱅크㈜직영 노은주유소</t>
  </si>
  <si>
    <t xml:space="preserve">대전 유성구 노은동로 79</t>
  </si>
  <si>
    <t xml:space="preserve">㈜진성 가람Self주유소</t>
  </si>
  <si>
    <t xml:space="preserve">세종특별자치시 금송로 589</t>
  </si>
  <si>
    <t xml:space="preserve">(유)용명에너지 신대전셀프주유소</t>
  </si>
  <si>
    <t xml:space="preserve">대전 서구 도산로 213</t>
  </si>
  <si>
    <t xml:space="preserve">㈜서대전 IC self 주유소</t>
  </si>
  <si>
    <t xml:space="preserve">대전 유성구 계백로 476 (방동)</t>
  </si>
  <si>
    <t xml:space="preserve">서원경주유소</t>
  </si>
  <si>
    <t xml:space="preserve">충북 청주시 흥덕구 직지대로 579 (봉명동)</t>
  </si>
  <si>
    <t xml:space="preserve">대양석유㈜ 덕성셀프주유소</t>
  </si>
  <si>
    <t xml:space="preserve">대전 동구 대전로 287</t>
  </si>
  <si>
    <t xml:space="preserve">금빛주유소</t>
  </si>
  <si>
    <t xml:space="preserve">세종특별자치시 조치원읍 새내로 182</t>
  </si>
  <si>
    <t xml:space="preserve">하나로주유소</t>
  </si>
  <si>
    <t xml:space="preserve">대전 중구 대둔산로 211 (안영동)</t>
  </si>
  <si>
    <t xml:space="preserve">햇빛주유소</t>
  </si>
  <si>
    <t xml:space="preserve">대전 유성구 계백로 87 (송정동)</t>
  </si>
  <si>
    <t xml:space="preserve">신일주유소</t>
  </si>
  <si>
    <t xml:space="preserve">대전 대덕구 산업단지로 112</t>
  </si>
  <si>
    <t xml:space="preserve">외암로셀프주유소</t>
  </si>
  <si>
    <t xml:space="preserve">충청남도 아산시 외암로 1279 (장존동)</t>
  </si>
  <si>
    <t xml:space="preserve">그린주유소</t>
  </si>
  <si>
    <t xml:space="preserve">세종 조치원읍 세종로 2706</t>
  </si>
  <si>
    <t xml:space="preserve">아원주유소</t>
  </si>
  <si>
    <t xml:space="preserve">대전 동구 계족로 326</t>
  </si>
  <si>
    <t xml:space="preserve">대전북부새마을금고주유소</t>
  </si>
  <si>
    <t xml:space="preserve">대전 대덕구 신탄진로 792</t>
  </si>
  <si>
    <t xml:space="preserve">㈜상익 유성주유소</t>
  </si>
  <si>
    <t xml:space="preserve">대전 유성구 현충원로 342</t>
  </si>
  <si>
    <t xml:space="preserve">대평주유소</t>
  </si>
  <si>
    <t xml:space="preserve">세종특별자치시 금남면 용포로 109</t>
  </si>
  <si>
    <t xml:space="preserve">(주)문의IC주유소</t>
  </si>
  <si>
    <t xml:space="preserve">충북 청주시 상당구 문의면 미천고은로 63</t>
  </si>
  <si>
    <t xml:space="preserve">동일석유㈜테크노밸리주유소</t>
  </si>
  <si>
    <t xml:space="preserve">대전 유성구 테크노중앙로 139 (용산동)</t>
  </si>
  <si>
    <t xml:space="preserve">㈜서부탑주유소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</si>
  <si>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</si>
  <si>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천안시 서북구 서부대로 596</t>
  </si>
  <si>
    <t xml:space="preserve">스마일오일뱅크</t>
  </si>
  <si>
    <t xml:space="preserve">충남 아산시 외암로 1379</t>
  </si>
  <si>
    <t xml:space="preserve">장모님셀프주유소</t>
  </si>
  <si>
    <t xml:space="preserve">충남 천안시 동남구 서부대로 69</t>
  </si>
  <si>
    <t xml:space="preserve">KK㈜ 천안중앙1주유소</t>
  </si>
  <si>
    <t xml:space="preserve">충남 천안시 서북구 서부대로 422</t>
  </si>
  <si>
    <t xml:space="preserve">KK㈜ 천안중앙2주유소</t>
  </si>
  <si>
    <t xml:space="preserve">충남 천안시 서북구 쌍용대로 215 (성정동)</t>
  </si>
  <si>
    <t xml:space="preserve">서남부주유소</t>
  </si>
  <si>
    <t xml:space="preserve">대전 유성구 유성대로 44 (원내동)</t>
  </si>
  <si>
    <t xml:space="preserve">호원셀프주유소</t>
  </si>
  <si>
    <t xml:space="preserve">대전 동구 한밭대로 1315 (용전동)</t>
  </si>
  <si>
    <t xml:space="preserve">KK㈜ 대전중앙주유소</t>
  </si>
  <si>
    <t xml:space="preserve">대전 유성구 유성대로 1647</t>
  </si>
  <si>
    <t xml:space="preserve">㈜삼성대로주유소</t>
  </si>
  <si>
    <t xml:space="preserve">충남 천안시 서북구 번영로 446</t>
  </si>
  <si>
    <t xml:space="preserve">용전셀프주유소</t>
  </si>
  <si>
    <t xml:space="preserve">대전 동구 동서대로 1627(홍도동)</t>
  </si>
  <si>
    <t xml:space="preserve">신흥주유소</t>
  </si>
  <si>
    <t xml:space="preserve">충북 청주시 청원구 2순환로 96 (율량동)</t>
  </si>
  <si>
    <t xml:space="preserve">(주)에너비즈 명품주유소</t>
  </si>
  <si>
    <t xml:space="preserve">대전 서구 배재로 218 (도마동)</t>
  </si>
  <si>
    <t xml:space="preserve">신가오주유소</t>
  </si>
  <si>
    <t xml:space="preserve">대전 동구 은어송로 38 (가오동)</t>
  </si>
  <si>
    <t xml:space="preserve">진영주유가스충전소</t>
  </si>
  <si>
    <t xml:space="preserve">충북 청주시 상당구 미천고은로 152</t>
  </si>
  <si>
    <t xml:space="preserve">대성셀프주유소</t>
  </si>
  <si>
    <t xml:space="preserve">대전 동구 대전로 292 (대성동)</t>
  </si>
  <si>
    <t xml:space="preserve">㈜남강 중앙로셀프주유소</t>
  </si>
  <si>
    <t xml:space="preserve">대전 중구 중앙로 64</t>
  </si>
  <si>
    <t xml:space="preserve">푸른주유소</t>
  </si>
  <si>
    <t xml:space="preserve">충남 아산시 아산로 82 (온천동)</t>
  </si>
  <si>
    <t xml:space="preserve">㈜학하 목상셀프주유소</t>
  </si>
  <si>
    <t xml:space="preserve">대전 대덕구 대덕대로 1500 (목상동)</t>
  </si>
  <si>
    <t xml:space="preserve">은성주유소</t>
  </si>
  <si>
    <t xml:space="preserve">충남 천안시 서북구 성거읍 망향로 819</t>
  </si>
  <si>
    <t xml:space="preserve">죽림주유소</t>
  </si>
  <si>
    <t xml:space="preserve">충북 청주시 서원구 대림로 451 (죽림동)</t>
  </si>
  <si>
    <t xml:space="preserve">골든벨주유소</t>
  </si>
  <si>
    <t xml:space="preserve">충북 청주시 상당구 용담동 산성로183</t>
  </si>
  <si>
    <t xml:space="preserve">지에스칼텍스(주)21세기주유소</t>
  </si>
  <si>
    <t xml:space="preserve">대전 유성구 유성대로 845</t>
  </si>
  <si>
    <t xml:space="preserve">지에스칼텍스(주)바이오주유소</t>
  </si>
  <si>
    <t xml:space="preserve">충북 청주시 청원구 오창읍 과학산업3로 202-12</t>
  </si>
  <si>
    <t xml:space="preserve">지에스칼텍스㈜ 동양주유소</t>
  </si>
  <si>
    <t xml:space="preserve">충북 청주시 청원구 공항로 156</t>
  </si>
  <si>
    <t xml:space="preserve">지에스칼텍스(주) 대청주유소</t>
  </si>
  <si>
    <t xml:space="preserve">충북 청주시 상당구 단재로196번길 8 (용암동)</t>
  </si>
  <si>
    <t xml:space="preserve">지에스칼텍스㈜ 글로벌주유소</t>
  </si>
  <si>
    <t xml:space="preserve">충북 청주시 청원구 오창읍 양청송대길 4</t>
  </si>
  <si>
    <t xml:space="preserve">㈜비타민셀프주유소</t>
  </si>
  <si>
    <t xml:space="preserve">충남 천안시 동남구 망향로 53</t>
  </si>
  <si>
    <t xml:space="preserve">KK㈜ 청주중앙1주유소</t>
  </si>
  <si>
    <t xml:space="preserve">충북 청주시 상당구 중고개로 295</t>
  </si>
  <si>
    <t xml:space="preserve">신성주유소</t>
  </si>
  <si>
    <t xml:space="preserve">대전 유성구 가정북로 163</t>
  </si>
  <si>
    <t xml:space="preserve">지에스칼텍스㈜ 톨게이트주유소</t>
  </si>
  <si>
    <t xml:space="preserve">대전 대덕구 동서대로 1762</t>
  </si>
  <si>
    <t xml:space="preserve">HD현대오일뱅크㈜직영 대일주유소</t>
  </si>
  <si>
    <t xml:space="preserve">세종특별자치시 연서면 세종로 2137</t>
  </si>
  <si>
    <t xml:space="preserve">HD현대오일뱅크㈜직영 불당현대셀프주유소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</si>
  <si>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</si>
  <si>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불당19로 1</t>
  </si>
  <si>
    <t xml:space="preserve">서천안 ㈜오일컴퍼니</t>
  </si>
  <si>
    <t xml:space="preserve">충남 천안시 동남구 풍세로 689</t>
  </si>
  <si>
    <t xml:space="preserve">HD현대오일뱅크㈜직영 오창산단셀프주유소</t>
  </si>
  <si>
    <t xml:space="preserve">충북 청주시 청원구 오창읍 중부로 1005</t>
  </si>
  <si>
    <t xml:space="preserve">HD현대오일뱅크㈜직영 천안현대셀프주유소</t>
  </si>
  <si>
    <t xml:space="preserve">충남 천안시 서북구 삼성대로 346</t>
  </si>
  <si>
    <t xml:space="preserve">HD현대오일뱅크㈜직영 청사셀프주유소</t>
  </si>
  <si>
    <t xml:space="preserve">세종특별자치시 다솜로 38 (어진동)</t>
  </si>
  <si>
    <t xml:space="preserve">SK에너지(주) 황금주유소</t>
  </si>
  <si>
    <t xml:space="preserve">충북 청주시 청원구 공항로 222 (주중동)</t>
  </si>
  <si>
    <t xml:space="preserve">HD현대오일뱅크㈜직영 보라매주유소</t>
  </si>
  <si>
    <t xml:space="preserve">충북 청주시 상당구 단재로 332 (방서동)</t>
  </si>
  <si>
    <t xml:space="preserve">HD현대오일뱅크㈜직영 직지셀프주유소</t>
  </si>
  <si>
    <t xml:space="preserve">충북 청주시 흥덕구 직지대로 677</t>
  </si>
  <si>
    <t xml:space="preserve">중도석유(주)중도행복주유소</t>
  </si>
  <si>
    <t xml:space="preserve">충남 아산시 배방읍 고속철대로 171</t>
  </si>
  <si>
    <t xml:space="preserve">창현주유소</t>
  </si>
  <si>
    <t xml:space="preserve">충북 청주시 흥덕구 강내면 가로수로 567-9</t>
  </si>
  <si>
    <t xml:space="preserve">복대동 관문주유소</t>
  </si>
  <si>
    <t xml:space="preserve">충북 청주시 흥덕구 가로수로 1353 (복대동)</t>
  </si>
  <si>
    <t xml:space="preserve">중도석유㈜ 꽃마을주유소</t>
  </si>
  <si>
    <t xml:space="preserve">충북 청주시 흥덕구  진재로 85-11 (복대동)</t>
  </si>
  <si>
    <t xml:space="preserve">HD현대오일뱅크㈜직영 청주현대주유소</t>
  </si>
  <si>
    <t xml:space="preserve">충북 청주시 흥덕구 가로수로 1174 (강서동)</t>
  </si>
  <si>
    <t xml:space="preserve">지에스칼텍스㈜ KTX주유소(아산)</t>
  </si>
  <si>
    <t xml:space="preserve">충남 아산시 배방읍 이순신대로 832</t>
  </si>
  <si>
    <t xml:space="preserve">카(Car)놀라유주유소</t>
  </si>
  <si>
    <t xml:space="preserve">충북 청주시 흥덕구 1순환로 615 (봉명동)</t>
  </si>
  <si>
    <t xml:space="preserve">공간에너지주유소/충전소</t>
  </si>
  <si>
    <t xml:space="preserve">충북 청주시 흥덕구 옥산면 중부로 301</t>
  </si>
  <si>
    <t xml:space="preserve">충북석유(주)충북주유소</t>
  </si>
  <si>
    <t xml:space="preserve">충북 청주시 서원구 사직대로 89 (사창동)</t>
  </si>
  <si>
    <t xml:space="preserve">신광명주유소</t>
  </si>
  <si>
    <t xml:space="preserve">충남 천안시 동남구 천안대로 220 (삼룡동)</t>
  </si>
  <si>
    <t xml:space="preserve">SK에너지(주) 소담self주유소</t>
  </si>
  <si>
    <t xml:space="preserve">세종특별자치시 소담로 40</t>
  </si>
  <si>
    <t xml:space="preserve">SK에너지㈜ 유공셀프주유소</t>
  </si>
  <si>
    <t xml:space="preserve">대전 유성구 유성대로 614 (구암동)</t>
  </si>
  <si>
    <t xml:space="preserve">서청주주유소</t>
  </si>
  <si>
    <t xml:space="preserve">충북 청주시 흥덕구 1순환로 572 (봉명동)</t>
  </si>
  <si>
    <t xml:space="preserve">충북석유(주) 방고개주유소</t>
  </si>
  <si>
    <t xml:space="preserve">충북 청주시 청원구 공항로 8 (내덕동)</t>
  </si>
  <si>
    <t xml:space="preserve">주식회사 가수원주유소</t>
  </si>
  <si>
    <t xml:space="preserve">대전 서구 계백로 1176 (가수원동)</t>
  </si>
  <si>
    <t xml:space="preserve">SK에너지㈜직영 불당행복주유소</t>
  </si>
  <si>
    <t xml:space="preserve">충남 천안시 서북구 불당19로 92</t>
  </si>
  <si>
    <t xml:space="preserve">지에스칼텍스㈜직영GS아산스타주유소</t>
  </si>
  <si>
    <t xml:space="preserve">충남 아산시 온천대로 1282</t>
  </si>
  <si>
    <t xml:space="preserve">필(Feel)충만주유소</t>
  </si>
  <si>
    <t xml:space="preserve">충남 천안시 동남구 광풍로 1795 (청당동)</t>
  </si>
  <si>
    <t xml:space="preserve">(주)청주시멘트직영마트주유소</t>
  </si>
  <si>
    <t xml:space="preserve">충북 청주시 서원구 남이면 청남로 1827-4</t>
  </si>
  <si>
    <t xml:space="preserve">명품주유소</t>
  </si>
  <si>
    <t xml:space="preserve">충북 청주시 서원구 산미로 39 (미평동)</t>
  </si>
  <si>
    <t xml:space="preserve">코리아에너지(주)</t>
  </si>
  <si>
    <t xml:space="preserve">충북 청주시 청원구 공항로 235</t>
  </si>
  <si>
    <t xml:space="preserve">(유)그린 주유소</t>
  </si>
  <si>
    <t xml:space="preserve">충북 청주시 서원구 서부로 1409 (개신동)</t>
  </si>
  <si>
    <t xml:space="preserve">(주)동인청사 구도일주유소 세종</t>
  </si>
  <si>
    <t xml:space="preserve">세종 시청대로 669</t>
  </si>
  <si>
    <t xml:space="preserve">㈜바이미 아름셀프주유소</t>
  </si>
  <si>
    <t xml:space="preserve">세종특별자치시 세종로 1328</t>
  </si>
  <si>
    <t xml:space="preserve">고운self주유소</t>
  </si>
  <si>
    <t xml:space="preserve">세종특별자치시 마음안로 136  (고운동)</t>
  </si>
  <si>
    <t xml:space="preserve">대양석유㈜ SK행복주유소</t>
  </si>
  <si>
    <t xml:space="preserve">세종특별자치시 연기면 정안세종로 1573</t>
  </si>
  <si>
    <t xml:space="preserve">대성</t>
  </si>
  <si>
    <t xml:space="preserve">충북 청주시 상당구 용담로 101</t>
  </si>
  <si>
    <t xml:space="preserve">HD현대오일뱅크㈜직영 교대셀프주유소</t>
  </si>
  <si>
    <t xml:space="preserve">충북 청주시 서원구 청남로 2005번길 2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</si>
  <si>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</si>
  <si>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</si>
  <si>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</si>
  <si>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강남셀프주유소</t>
  </si>
  <si>
    <t xml:space="preserve">충남 공주시 우금티로 745 (옥룡동)</t>
  </si>
  <si>
    <t xml:space="preserve">대양셀프주유소</t>
  </si>
  <si>
    <t xml:space="preserve">충남 천안시 서북구 충무로 166 (쌍용동)</t>
  </si>
  <si>
    <t xml:space="preserve">㈜신화에너지 오해피주유소</t>
  </si>
  <si>
    <t xml:space="preserve">충북 청주시 서원구 구룡산로 217</t>
  </si>
  <si>
    <t xml:space="preserve">천안삼거리(서울방향)주유소/충전소 ㈜광동석유</t>
  </si>
  <si>
    <t xml:space="preserve">충남 천안시 동남구 쉼1길 40</t>
  </si>
  <si>
    <t xml:space="preserve">24시 대천주유소</t>
  </si>
  <si>
    <t xml:space="preserve">충남 보령시 중앙로 172 (대천동)</t>
  </si>
  <si>
    <t xml:space="preserve">영보주유소</t>
  </si>
  <si>
    <t xml:space="preserve">충남 보령시 대천로 97,  (대천동)</t>
  </si>
  <si>
    <t xml:space="preserve">SK에너지㈜ 예성주유소</t>
  </si>
  <si>
    <t xml:space="preserve">대전 유성구 도안동로 488</t>
  </si>
  <si>
    <t xml:space="preserve">(주)행복주유소</t>
  </si>
  <si>
    <t xml:space="preserve">충북 청주시 청원구 충청대로 258</t>
  </si>
  <si>
    <t xml:space="preserve">대림석유(주) 신탄진주유소</t>
  </si>
  <si>
    <t xml:space="preserve">대전 대덕구 신탄진로681번길 22</t>
  </si>
  <si>
    <t xml:space="preserve">Sh수협주유소</t>
  </si>
  <si>
    <t xml:space="preserve">충남 보령시 신평로 22 (대천3동)</t>
  </si>
  <si>
    <t xml:space="preserve">SK에너지(주) 글로벌주유소</t>
  </si>
  <si>
    <t xml:space="preserve">충남 천안시 서북구 동서대로 27 (백석동)</t>
  </si>
  <si>
    <t xml:space="preserve">대천서부수협주유소</t>
  </si>
  <si>
    <t xml:space="preserve">충남 보령시 대해로 791 (신흑동)</t>
  </si>
  <si>
    <t xml:space="preserve">장암주유소</t>
  </si>
  <si>
    <t xml:space="preserve">충남 공주시 금벽로 1083</t>
  </si>
  <si>
    <t xml:space="preserve">지에스칼텍스(주)우리네주유소</t>
  </si>
  <si>
    <t xml:space="preserve">충남 천안시 동남구 서부대로 235</t>
  </si>
  <si>
    <t xml:space="preserve">HD현대오일뱅크㈜직영 동부주유소</t>
  </si>
  <si>
    <t xml:space="preserve">충남 아산시 문화로 317 (모종동)</t>
  </si>
  <si>
    <t xml:space="preserve">㈜해우 동세종주유소</t>
  </si>
  <si>
    <t xml:space="preserve">세종 부강면 세종청주로 205</t>
  </si>
  <si>
    <t xml:space="preserve">CJ대한통운㈜ 제스에너지</t>
  </si>
  <si>
    <t xml:space="preserve">충남 아산시 탕정면 새아산로 356</t>
  </si>
  <si>
    <t xml:space="preserve">행복주유소</t>
  </si>
  <si>
    <t xml:space="preserve">충북 청주시 흥덕구 엘지로 11</t>
  </si>
  <si>
    <t xml:space="preserve">강서행복주유소</t>
  </si>
  <si>
    <t xml:space="preserve">충북 청주시 흥덕구 서현로 16 (가경동)</t>
  </si>
  <si>
    <t xml:space="preserve">(합)도원주유소 LPG충전소 수소충전소</t>
  </si>
  <si>
    <t xml:space="preserve">충북 청주시 청원구 내수읍 충청대로 771</t>
  </si>
  <si>
    <t xml:space="preserve">SK에너지㈜ 훼미리주유소</t>
  </si>
  <si>
    <t xml:space="preserve">충남 천안시 서북구 망향로 244</t>
  </si>
  <si>
    <t xml:space="preserve">왕대박셀프주유소</t>
  </si>
  <si>
    <t xml:space="preserve">충남 천안시 서북구 성정9길 23-29 (성정동)</t>
  </si>
  <si>
    <t xml:space="preserve">(주)대운주유소</t>
  </si>
  <si>
    <t xml:space="preserve">충남 천안시 서북구 천안대로 1307 (신당동)</t>
  </si>
  <si>
    <t xml:space="preserve">쌍용셀프주유소</t>
  </si>
  <si>
    <t xml:space="preserve">충남 천안시 서북구 불당대로 294</t>
  </si>
  <si>
    <t xml:space="preserve">두정탑주유소</t>
  </si>
  <si>
    <t xml:space="preserve">충남 천안시 서북구 동서대로 61</t>
  </si>
  <si>
    <t xml:space="preserve">계룡주유소</t>
  </si>
  <si>
    <t xml:space="preserve">대전 유성구 현충원로 177</t>
  </si>
  <si>
    <t xml:space="preserve">(주)청주관문주유소</t>
  </si>
  <si>
    <t xml:space="preserve">충북 청주시 서원구 청남로 1894</t>
  </si>
  <si>
    <t xml:space="preserve">삼미상사㈜ 대원셀프주유소</t>
  </si>
  <si>
    <t xml:space="preserve">대전 대덕구 동서대로 1772 (비래동)</t>
  </si>
  <si>
    <t xml:space="preserve">삼미상사㈜ 진잠셀프주유소</t>
  </si>
  <si>
    <t xml:space="preserve">대전 유성구 계백로 899 (원내동)</t>
  </si>
  <si>
    <t xml:space="preserve">만수르기름창고㈜</t>
  </si>
  <si>
    <t xml:space="preserve">충남 아산시 음봉면 음봉로 315</t>
  </si>
  <si>
    <t xml:space="preserve">드림Self주유소</t>
  </si>
  <si>
    <t xml:space="preserve">충남 공주시 정안면 차령로 3600</t>
  </si>
  <si>
    <t xml:space="preserve">성진주유소</t>
  </si>
  <si>
    <t xml:space="preserve">충북 청주시 서원구 남이면 대림로 325</t>
  </si>
  <si>
    <t xml:space="preserve">동신셀프주유소</t>
  </si>
  <si>
    <t xml:space="preserve">충남 천안시 동남구 풍세로 907 (다가동)</t>
  </si>
  <si>
    <t xml:space="preserve">극동유화(주) 만수르주유소</t>
  </si>
  <si>
    <t xml:space="preserve">충남 아산시 배방읍 이순신대로 817</t>
  </si>
  <si>
    <t xml:space="preserve">양궁장주유소</t>
  </si>
  <si>
    <t xml:space="preserve">충북 청주시 상당구 1순환로 1500 (용정동)</t>
  </si>
  <si>
    <t xml:space="preserve">우리주유소</t>
  </si>
  <si>
    <t xml:space="preserve">충남 아산시 온천대로 1793</t>
  </si>
  <si>
    <t xml:space="preserve">호서대주유소</t>
  </si>
  <si>
    <t xml:space="preserve">충남 아산시 배방읍 온천대로 2236</t>
  </si>
  <si>
    <t xml:space="preserve">HD현대오일뱅크㈜직영 종합운동장셀프주유소</t>
  </si>
  <si>
    <t xml:space="preserve">충남 천안시 서북구 백석로 42 (백석동)</t>
  </si>
  <si>
    <t xml:space="preserve">맘모스주유소</t>
  </si>
  <si>
    <t xml:space="preserve">충남 천안시 동남구 만남로 126 (신부동)</t>
  </si>
  <si>
    <t xml:space="preserve">HD현대오일뱅크㈜직영 공주현대주유소</t>
  </si>
  <si>
    <t xml:space="preserve">충남 공주시 계룡면 차령로 867</t>
  </si>
  <si>
    <t xml:space="preserve">금영주유소</t>
  </si>
  <si>
    <t xml:space="preserve">충남 공주시 소학동길 125</t>
  </si>
  <si>
    <t xml:space="preserve">한옥마을주유소</t>
  </si>
  <si>
    <t xml:space="preserve">충남 공주시 전진배길 283</t>
  </si>
  <si>
    <t xml:space="preserve">천지주유소</t>
  </si>
  <si>
    <t xml:space="preserve">충남 공주시 정안면 차령로 3270</t>
  </si>
  <si>
    <t xml:space="preserve">갑사주유소</t>
  </si>
  <si>
    <t xml:space="preserve">충남 공주시 계룡면 영규대사로 585</t>
  </si>
  <si>
    <t xml:space="preserve">신영주유소</t>
  </si>
  <si>
    <t xml:space="preserve">충남 공주시 유구읍 금계산로 424</t>
  </si>
  <si>
    <t xml:space="preserve">여로주유소</t>
  </si>
  <si>
    <t xml:space="preserve">충남 공주시  전진배길 413 (소학동)</t>
  </si>
  <si>
    <t xml:space="preserve">고마셀프주유소</t>
  </si>
  <si>
    <t xml:space="preserve">충남 공주시 우금티로 327 (주미동)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</si>
  <si>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</si>
  <si>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</si>
  <si>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</si>
  <si>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</si>
  <si>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</si>
  <si>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신풍주유소</t>
  </si>
  <si>
    <t xml:space="preserve">충남 공주시 신풍면 차동로 2144</t>
  </si>
  <si>
    <t xml:space="preserve">동천주유소</t>
  </si>
  <si>
    <t xml:space="preserve">충남 공주시 정안면 차령로 2948</t>
  </si>
  <si>
    <t xml:space="preserve">현대신원주유소</t>
  </si>
  <si>
    <t xml:space="preserve">충남 공주시 계룡면 영규대사로 143</t>
  </si>
  <si>
    <t xml:space="preserve">송선셀프주유소</t>
  </si>
  <si>
    <t xml:space="preserve">충남 공주시 송선농공단지길 6 (송선동)</t>
  </si>
  <si>
    <t xml:space="preserve">이인주유소</t>
  </si>
  <si>
    <t xml:space="preserve">충남 공주시 이인면 검바위로 205</t>
  </si>
  <si>
    <t xml:space="preserve">삼진self주유소</t>
  </si>
  <si>
    <t xml:space="preserve">충남 공주시 의당면 의당로 287</t>
  </si>
  <si>
    <t xml:space="preserve">청기와주유소</t>
  </si>
  <si>
    <t xml:space="preserve">충남 공주시 신기안길 142</t>
  </si>
  <si>
    <t xml:space="preserve">솔티주유소</t>
  </si>
  <si>
    <t xml:space="preserve">충남 공주시 충의로 2092</t>
  </si>
  <si>
    <t xml:space="preserve">차사랑주유소</t>
  </si>
  <si>
    <t xml:space="preserve">충남 공주시 정안면 차령로 3133</t>
  </si>
  <si>
    <t xml:space="preserve">월미공단주유소</t>
  </si>
  <si>
    <t xml:space="preserve">충남 공주시 차동로 239</t>
  </si>
  <si>
    <t xml:space="preserve">학봉주유소</t>
  </si>
  <si>
    <t xml:space="preserve">충남 공주시 반포면 동학사1로 105</t>
  </si>
  <si>
    <t xml:space="preserve">자연주유소</t>
  </si>
  <si>
    <t xml:space="preserve">충남 공주시 계룡면 차령로 1064</t>
  </si>
  <si>
    <t xml:space="preserve">현대에너지</t>
  </si>
  <si>
    <t xml:space="preserve">충남 아산시 음봉면 음봉면로 192</t>
  </si>
  <si>
    <t xml:space="preserve">아리랑주유소</t>
  </si>
  <si>
    <t xml:space="preserve">충남 공주시 우금티로 475 (금학동)</t>
  </si>
  <si>
    <t xml:space="preserve">청송주유소</t>
  </si>
  <si>
    <t xml:space="preserve">충남 공주시 신풍면 충의로 2317</t>
  </si>
  <si>
    <t xml:space="preserve">동건셀프주유소</t>
  </si>
  <si>
    <t xml:space="preserve">충남 공주시 무령로 492</t>
  </si>
  <si>
    <t xml:space="preserve">신사주유소</t>
  </si>
  <si>
    <t xml:space="preserve">충남 공주시 사곡면 차동로 1431</t>
  </si>
  <si>
    <t xml:space="preserve">아산만 오일뱅크</t>
  </si>
  <si>
    <t xml:space="preserve">충남 아산시 영인면 아산호로 772</t>
  </si>
  <si>
    <t xml:space="preserve">중부제3셀프주유소</t>
  </si>
  <si>
    <t xml:space="preserve">충남 공주시 무령로 466 (신관동)</t>
  </si>
  <si>
    <t xml:space="preserve">유구셀프주유소</t>
  </si>
  <si>
    <t xml:space="preserve">충남 공주시 유구읍 중앙1길 66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</si>
  <si>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</si>
  <si>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</si>
  <si>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</si>
  <si>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</si>
  <si>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덕원주유소</t>
  </si>
  <si>
    <t xml:space="preserve">충남 보령시 청소면 충서로 4063</t>
  </si>
  <si>
    <t xml:space="preserve">녹천주유소</t>
  </si>
  <si>
    <t xml:space="preserve">충남 공주시 유구읍 유구외곽로 34</t>
  </si>
  <si>
    <t xml:space="preserve">세종시 부강면 시목부강로 423</t>
  </si>
  <si>
    <t xml:space="preserve">현대오일뱅크㈜직영 4공단주유소</t>
  </si>
  <si>
    <t xml:space="preserve">대전 대덕구 대덕대로 1412</t>
  </si>
  <si>
    <t xml:space="preserve">세일주유소</t>
  </si>
  <si>
    <t xml:space="preserve">충남 천안시 서북구 천안대로 1201</t>
  </si>
  <si>
    <t xml:space="preserve">비타민 스테이션 ㈜제이메시비타민지점</t>
  </si>
  <si>
    <t xml:space="preserve">충남 천안시 서북구  쌍용대로 220</t>
  </si>
  <si>
    <t xml:space="preserve">진우11주유소</t>
  </si>
  <si>
    <t xml:space="preserve">충남 천안시 동남구 쌍용대로 175</t>
  </si>
  <si>
    <t xml:space="preserve">원성깨비셀프</t>
  </si>
  <si>
    <t xml:space="preserve">충남 천안시 동남구 천안대로 653</t>
  </si>
  <si>
    <t xml:space="preserve">SK자운셀프주유소</t>
  </si>
  <si>
    <t xml:space="preserve">대전 유성구 자운로157번길 122</t>
  </si>
  <si>
    <t xml:space="preserve">소망주유소</t>
  </si>
  <si>
    <t xml:space="preserve">대전 중구 보문산로 307 (문화동)</t>
  </si>
  <si>
    <t xml:space="preserve">아성주유소</t>
  </si>
  <si>
    <t xml:space="preserve">충남 공주시 무령로 424 (신관동)</t>
  </si>
  <si>
    <t xml:space="preserve">서공주IC주유소</t>
  </si>
  <si>
    <t xml:space="preserve">충청남도 공주시 우성면 공수원로 251</t>
  </si>
  <si>
    <t xml:space="preserve">현대보령셀프주유소</t>
  </si>
  <si>
    <t xml:space="preserve">충남 보령시 대해로 176 (내항동)</t>
  </si>
  <si>
    <t xml:space="preserve">도서관셀프주유소</t>
  </si>
  <si>
    <t xml:space="preserve">대전 광역시 중구 보문산로 353</t>
  </si>
  <si>
    <t xml:space="preserve">중도석유(주) 도마동주유소</t>
  </si>
  <si>
    <t xml:space="preserve">대전 서구 계백로 1371 (도마동)</t>
  </si>
  <si>
    <t xml:space="preserve">(주)대성주유소</t>
  </si>
  <si>
    <t xml:space="preserve">충남 천안시 서북구 성거읍 망향로 697</t>
  </si>
  <si>
    <t xml:space="preserve">정림주유소</t>
  </si>
  <si>
    <t xml:space="preserve">충북 청주시 청원구 북이면 충청대로 1517</t>
  </si>
  <si>
    <t xml:space="preserve">두바이주유소 도안씨티㈜</t>
  </si>
  <si>
    <t xml:space="preserve">대전 중구 보문로 117</t>
  </si>
  <si>
    <t xml:space="preserve">보령머드주유소</t>
  </si>
  <si>
    <t xml:space="preserve">충남 보령시 대청로 379 (화산동)</t>
  </si>
  <si>
    <t xml:space="preserve">동일석유㈜대전주유소</t>
  </si>
  <si>
    <t xml:space="preserve">대전 동구 계족로 436 (용전동)</t>
  </si>
  <si>
    <t xml:space="preserve">천지인주유소</t>
  </si>
  <si>
    <t xml:space="preserve">대전 중구 대종로 44</t>
  </si>
  <si>
    <t xml:space="preserve">(주)황제주유소</t>
  </si>
  <si>
    <t xml:space="preserve">대전 유성구 대덕대로 934 (화암동)</t>
  </si>
  <si>
    <t xml:space="preserve">대전 대덕구 동서대로 1756</t>
  </si>
  <si>
    <t xml:space="preserve">재하주유소</t>
  </si>
  <si>
    <t xml:space="preserve">대전 동구 동서대로 1664 (성남동)</t>
  </si>
  <si>
    <t xml:space="preserve">신창주유소</t>
  </si>
  <si>
    <t xml:space="preserve">충남 아산시 신창면 온천대로 725</t>
  </si>
  <si>
    <t xml:space="preserve">(주)석교주유소</t>
  </si>
  <si>
    <t xml:space="preserve">대전 중구 대종로 207 (석교동)</t>
  </si>
  <si>
    <t xml:space="preserve">에이스주유소</t>
  </si>
  <si>
    <t xml:space="preserve">대전 동구 동대전로 253</t>
  </si>
  <si>
    <t xml:space="preserve">케이피에스 서대전IC 롯데마트 주유소</t>
  </si>
  <si>
    <t xml:space="preserve">대전 유성구 유성대로 26-37 (원내동)</t>
  </si>
  <si>
    <t xml:space="preserve">중촌셀프주유소</t>
  </si>
  <si>
    <t xml:space="preserve">대전 중구 동서대로 1434 (선화동)</t>
  </si>
  <si>
    <t xml:space="preserve">대림주유소</t>
  </si>
  <si>
    <t xml:space="preserve">대전 서구 계백로 1290 (정림동)</t>
  </si>
  <si>
    <t xml:space="preserve">(주)농협대전유통 하나로주유소</t>
  </si>
  <si>
    <t xml:space="preserve">NH-OIL</t>
  </si>
  <si>
    <t xml:space="preserve">대전 중구 대둔산로199번길 43</t>
  </si>
  <si>
    <t xml:space="preserve">㈜용운주유소</t>
  </si>
  <si>
    <t xml:space="preserve">대전 동구 백룡로 77 (용운동)</t>
  </si>
  <si>
    <t xml:space="preserve">동물원주유소</t>
  </si>
  <si>
    <t xml:space="preserve">대전 중구 대둔산로 270 (사정동)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</si>
  <si>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</si>
  <si>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</si>
  <si>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</si>
  <si>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</si>
  <si>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(주)이선 광장셀프주유소</t>
  </si>
  <si>
    <t xml:space="preserve">대전 동구 계족로 305</t>
  </si>
  <si>
    <t xml:space="preserve">유성IC메가허브점</t>
  </si>
  <si>
    <t xml:space="preserve">대전 유성구 현충원로 545</t>
  </si>
  <si>
    <t xml:space="preserve">서해안주유소</t>
  </si>
  <si>
    <t xml:space="preserve">충남 아산시 도고면 온천대로 102</t>
  </si>
  <si>
    <t xml:space="preserve">두현주유소</t>
  </si>
  <si>
    <t xml:space="preserve">충남 아산시 송악면 외암로 239</t>
  </si>
  <si>
    <t xml:space="preserve">음봉농협주유소</t>
  </si>
  <si>
    <t xml:space="preserve">충남 아산시 음봉면 연암율금로 78</t>
  </si>
  <si>
    <t xml:space="preserve">남동주유소</t>
  </si>
  <si>
    <t xml:space="preserve">충남 아산시 순천향로 1035 (남동)</t>
  </si>
  <si>
    <t xml:space="preserve">지에스칼텍스㈜현암주유소</t>
  </si>
  <si>
    <t xml:space="preserve">대전 동구 동서대로 1494 (삼성동)</t>
  </si>
  <si>
    <t xml:space="preserve">남청주동자주유소</t>
  </si>
  <si>
    <t xml:space="preserve">충북 청주시 서원구 남이면 청남로 1040</t>
  </si>
  <si>
    <t xml:space="preserve">씨앤에스유통㈜ 호수공원주유소</t>
  </si>
  <si>
    <t xml:space="preserve">대전 서구 계백로 1259 (정림동)</t>
  </si>
  <si>
    <t xml:space="preserve">도마진실주유소</t>
  </si>
  <si>
    <t xml:space="preserve">대전 서구 도산로 123</t>
  </si>
  <si>
    <t xml:space="preserve">(주)퍼스트오일</t>
  </si>
  <si>
    <t xml:space="preserve">대전 유성구 현충원로 213 (갑동)</t>
  </si>
  <si>
    <t xml:space="preserve">남선석유㈜ 계백셀프주유소</t>
  </si>
  <si>
    <t xml:space="preserve">대전 서구 계백로 1327</t>
  </si>
  <si>
    <t xml:space="preserve">신탄진(상)주유소/충전소</t>
  </si>
  <si>
    <t xml:space="preserve">대전 대덕구 산업단지로 27</t>
  </si>
  <si>
    <t xml:space="preserve">조이오토주유소</t>
  </si>
  <si>
    <t xml:space="preserve">충남 공주시  우금티로 157 (태봉동)</t>
  </si>
  <si>
    <t xml:space="preserve">대전 서구 동서대로 953</t>
  </si>
  <si>
    <t xml:space="preserve">동아주유소</t>
  </si>
  <si>
    <t xml:space="preserve">대전 동구 동대전로 118 (대동)</t>
  </si>
  <si>
    <t xml:space="preserve">우리하나셀프주유소</t>
  </si>
  <si>
    <t xml:space="preserve">대전 서구 동서대로 1120</t>
  </si>
  <si>
    <t xml:space="preserve">유원주유소</t>
  </si>
  <si>
    <t xml:space="preserve">대전 동구 계족로 513 ``</t>
  </si>
  <si>
    <t xml:space="preserve">우리원셀프주유소</t>
  </si>
  <si>
    <t xml:space="preserve">대전 대덕구 신탄진로 383</t>
  </si>
  <si>
    <t xml:space="preserve">동대주유소</t>
  </si>
  <si>
    <t xml:space="preserve">충남 보령시 대청로 142 (동대동)</t>
  </si>
  <si>
    <t xml:space="preserve">㈜행복가득셀프</t>
  </si>
  <si>
    <t xml:space="preserve">대전 유성구 대덕대로 887  (화암동)</t>
  </si>
  <si>
    <t xml:space="preserve">계림주유소</t>
  </si>
  <si>
    <t xml:space="preserve">대전 유성구 현충원로 201 (갑동)</t>
  </si>
  <si>
    <t xml:space="preserve">탄방주유소</t>
  </si>
  <si>
    <t xml:space="preserve">대전 서구 유등로 659</t>
  </si>
  <si>
    <t xml:space="preserve">현대셀프주유소</t>
  </si>
  <si>
    <t xml:space="preserve">대전 서구 변동로 114 (변동)</t>
  </si>
  <si>
    <t xml:space="preserve">황금주유소</t>
  </si>
  <si>
    <t xml:space="preserve">대전 서구 동서대로 1081</t>
  </si>
  <si>
    <t xml:space="preserve">금정주유소</t>
  </si>
  <si>
    <t xml:space="preserve">충남 보령시 성주면 성주산로 667</t>
  </si>
  <si>
    <t xml:space="preserve">충남 보령시 청소면 청소큰길 22</t>
  </si>
  <si>
    <t xml:space="preserve">소태산주유소</t>
  </si>
  <si>
    <t xml:space="preserve">대전 대덕구 신탄진로 163 (신대동)</t>
  </si>
  <si>
    <t xml:space="preserve">쌍용주유소 선인에너지</t>
  </si>
  <si>
    <t xml:space="preserve">대전 대덕구 신탄진로 83 (연축동)</t>
  </si>
  <si>
    <t xml:space="preserve">으뜸회덕주유소</t>
  </si>
  <si>
    <t xml:space="preserve">대전 대덕구 신탄진로 222</t>
  </si>
  <si>
    <t xml:space="preserve">KH에너지㈜직영 하이웨이주유소</t>
  </si>
  <si>
    <t xml:space="preserve">대전 유성구 현충원로 531</t>
  </si>
  <si>
    <t xml:space="preserve">㈜대성바이오</t>
  </si>
  <si>
    <t xml:space="preserve">대전 대덕구 한밭대로 1180</t>
  </si>
  <si>
    <t xml:space="preserve">세종예운주유소</t>
  </si>
  <si>
    <t xml:space="preserve">세종 부강면 부강외천로 301</t>
  </si>
  <si>
    <t xml:space="preserve">삼흥주유소</t>
  </si>
  <si>
    <t xml:space="preserve">충남 천안시 동남구 충절로 395 (삼룡동)</t>
  </si>
  <si>
    <t xml:space="preserve">(주)혜천셀프주유소</t>
  </si>
  <si>
    <t xml:space="preserve">대전 서구 혜천로 28</t>
  </si>
  <si>
    <t xml:space="preserve">서대전농협주유소</t>
  </si>
  <si>
    <t xml:space="preserve">대전 중구 계백로 1555 (유천동)</t>
  </si>
  <si>
    <t xml:space="preserve">(주)에너비즈 둔산주유소</t>
  </si>
  <si>
    <t xml:space="preserve">대전 서구 유등로 667 (탄방동)</t>
  </si>
  <si>
    <t xml:space="preserve">(주)에스엘 성림주유소</t>
  </si>
  <si>
    <t xml:space="preserve">대전 유성구 유성대로752번길 2 (장대동)</t>
  </si>
  <si>
    <t xml:space="preserve">㈜연정 에스에스주유소</t>
  </si>
  <si>
    <t xml:space="preserve">대전 대덕구 한밭대로 1020</t>
  </si>
  <si>
    <t xml:space="preserve">㈜제트에너지서대전주유소</t>
  </si>
  <si>
    <t xml:space="preserve">대전 유성구 계백로 212(방동)</t>
  </si>
  <si>
    <t xml:space="preserve">신탄진알뜰주유소</t>
  </si>
  <si>
    <t xml:space="preserve">대전 대덕구 대덕대로1527번길 374</t>
  </si>
  <si>
    <t xml:space="preserve">씨앤에스유통(주)회덕아이씨주유소</t>
  </si>
  <si>
    <t xml:space="preserve">대전광역시 대덕구  갑천도시고속도로 1084 (회덕동)</t>
  </si>
  <si>
    <t xml:space="preserve">주홍셀프</t>
  </si>
  <si>
    <t xml:space="preserve">대전 서구 도산로 475 (탄방동)</t>
  </si>
  <si>
    <t xml:space="preserve">중동주유소</t>
  </si>
  <si>
    <t xml:space="preserve">대전 서구 계룡로 344 (갈마동)</t>
  </si>
  <si>
    <t xml:space="preserve">대성주유소</t>
  </si>
  <si>
    <t xml:space="preserve">대전 유성구 아리랑로 12</t>
  </si>
  <si>
    <t xml:space="preserve">두두림주유소</t>
  </si>
  <si>
    <t xml:space="preserve">충남 천안시 서북구 번영로 525</t>
  </si>
  <si>
    <t xml:space="preserve">태성주유소</t>
  </si>
  <si>
    <t xml:space="preserve">충북 청주시 상당구 미원면 구방5길 2</t>
  </si>
  <si>
    <t xml:space="preserve">신탄진농협주유소</t>
  </si>
  <si>
    <t xml:space="preserve">대전 대덕구 덕암로 164</t>
  </si>
  <si>
    <t xml:space="preserve">영광Self주유소</t>
  </si>
  <si>
    <t xml:space="preserve">충남 공주시 정안면 정안중앙길 198</t>
  </si>
  <si>
    <t xml:space="preserve">형제복지주유소</t>
  </si>
  <si>
    <t xml:space="preserve">충청남도 공주시 이인면 백제큰길 1178</t>
  </si>
  <si>
    <t xml:space="preserve">영남문셀프주유소</t>
  </si>
  <si>
    <t xml:space="preserve">충남 천안시 동남구 충절로 488 (청룡동)</t>
  </si>
  <si>
    <t xml:space="preserve">(주)스마트셀프주유소</t>
  </si>
  <si>
    <t xml:space="preserve">충남 천안시 동남구 쌍용대로 142 (봉명동)</t>
  </si>
  <si>
    <t xml:space="preserve">대양석유㈜ 나누리self주유소</t>
  </si>
  <si>
    <t xml:space="preserve">충남 천안시 서북구 번영로 563 (성성동)</t>
  </si>
  <si>
    <t xml:space="preserve">KH에너지㈜직영 태양주유소</t>
  </si>
  <si>
    <t xml:space="preserve">대전 동구 한밭대로 1258 (용전동)</t>
  </si>
  <si>
    <t xml:space="preserve">대덕주유소</t>
  </si>
  <si>
    <t xml:space="preserve">대전 대덕구 동서대로 1811</t>
  </si>
  <si>
    <t xml:space="preserve">대전IC주유소 ㈜동서로</t>
  </si>
  <si>
    <t xml:space="preserve">대전 대덕구 동서대로 1787</t>
  </si>
  <si>
    <t xml:space="preserve">산내제일주유소</t>
  </si>
  <si>
    <t xml:space="preserve">대전 동구 대전로 269 (대성동)</t>
  </si>
  <si>
    <t xml:space="preserve">가양셀프주유소</t>
  </si>
  <si>
    <t xml:space="preserve">대전 동구 우암로 365 (가양동)</t>
  </si>
  <si>
    <t xml:space="preserve">굿모닝주유소</t>
  </si>
  <si>
    <t xml:space="preserve">대전 서구 계백로 1376</t>
  </si>
  <si>
    <t xml:space="preserve">대전알찬주유소</t>
  </si>
  <si>
    <t xml:space="preserve">대전 동구 우암로 316 (가양동)</t>
  </si>
  <si>
    <t xml:space="preserve">선인에너지㈜강변주유소</t>
  </si>
  <si>
    <t xml:space="preserve">대전 유성구 엑스포로 293</t>
  </si>
  <si>
    <t xml:space="preserve">씨앤에스유통㈜도안신도시주유소</t>
  </si>
  <si>
    <t xml:space="preserve">대전 서구 도안동로 277</t>
  </si>
  <si>
    <t xml:space="preserve">원촌주유소</t>
  </si>
  <si>
    <t xml:space="preserve">대전 대덕구 아리랑로 55 (읍내동)</t>
  </si>
  <si>
    <t xml:space="preserve">은빛주유소</t>
  </si>
  <si>
    <t xml:space="preserve">대전 대덕구 아리랑로 70 (읍내동)</t>
  </si>
  <si>
    <t xml:space="preserve">흥진셀프주유소</t>
  </si>
  <si>
    <t xml:space="preserve">세종시 조치원읍 세종로 2563</t>
  </si>
  <si>
    <t xml:space="preserve">마스터셀프주유소</t>
  </si>
  <si>
    <t xml:space="preserve">충남 천안시 서북구 성거읍 망향로 251</t>
  </si>
  <si>
    <t xml:space="preserve">공단주유소</t>
  </si>
  <si>
    <t xml:space="preserve">충북 청주시 흥덕구 가로수로 1315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</si>
  <si>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</si>
  <si>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</si>
  <si>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</si>
  <si>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</si>
  <si>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대전 대덕구 신탄진로 470</t>
  </si>
  <si>
    <t xml:space="preserve">대전 대덕구 덕암로 219</t>
  </si>
  <si>
    <t xml:space="preserve">신탄진IC주유소</t>
  </si>
  <si>
    <t xml:space="preserve">대전 대덕구 신탄진로 665</t>
  </si>
  <si>
    <t xml:space="preserve">영풍에너지 주식회사</t>
  </si>
  <si>
    <t xml:space="preserve">대전 대덕구 신탄진로 584 (상서동)</t>
  </si>
  <si>
    <t xml:space="preserve">용은주유소</t>
  </si>
  <si>
    <t xml:space="preserve">대전 대덕구 신탄진로 559 (상서동)</t>
  </si>
  <si>
    <t xml:space="preserve">GS4공단주유소</t>
  </si>
  <si>
    <t xml:space="preserve">충남 천안시 서북구 직산읍 4산단3로 69</t>
  </si>
  <si>
    <t xml:space="preserve">동일주유소</t>
  </si>
  <si>
    <t xml:space="preserve">충남 보령시 보령남로 100</t>
  </si>
  <si>
    <t xml:space="preserve">강변셀프주유소</t>
  </si>
  <si>
    <t xml:space="preserve">충남 아산시 곡교천로 288</t>
  </si>
  <si>
    <t xml:space="preserve">세종감성셀프주유소</t>
  </si>
  <si>
    <t xml:space="preserve">세종특별자치시 금남면 안금로 581</t>
  </si>
  <si>
    <t xml:space="preserve">(주)제트 동서로주유소</t>
  </si>
  <si>
    <t xml:space="preserve">대전 중구 동서대로 1293</t>
  </si>
  <si>
    <t xml:space="preserve">성찬셀프주유소</t>
  </si>
  <si>
    <t xml:space="preserve">대전 대덕구 신탄진로 764 (신탄진동)</t>
  </si>
  <si>
    <t xml:space="preserve">스마일주유소</t>
  </si>
  <si>
    <t xml:space="preserve">대전 대덕구 신탄진로 622 (상서동)</t>
  </si>
  <si>
    <t xml:space="preserve">sk대동주유소</t>
  </si>
  <si>
    <t xml:space="preserve">대전 동구 계족로140번길 73 (용운동)</t>
  </si>
  <si>
    <t xml:space="preserve">충남주유소</t>
  </si>
  <si>
    <t xml:space="preserve">대전 중구 대흥로 80 (대흥동)</t>
  </si>
  <si>
    <t xml:space="preserve">대명주유소</t>
  </si>
  <si>
    <t xml:space="preserve">충북 청주시 흥덕구 직지대로 674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</si>
  <si>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</si>
  <si>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</si>
  <si>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</si>
  <si>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</si>
  <si>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㈜뉴월드에너지</t>
  </si>
  <si>
    <t xml:space="preserve">대전 서구 배재로 205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</si>
  <si>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</si>
  <si>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</si>
  <si>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</si>
  <si>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</si>
  <si>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거북이주유소</t>
  </si>
  <si>
    <t xml:space="preserve">대전 중구 문화로 35</t>
  </si>
  <si>
    <t xml:space="preserve">금성주유소</t>
  </si>
  <si>
    <t xml:space="preserve">대전 중구 동서대로 1183 (태평동)</t>
  </si>
  <si>
    <t xml:space="preserve">대도주유소</t>
  </si>
  <si>
    <t xml:space="preserve">대전 대덕구 신탄진로756번길 2 (신탄진동)</t>
  </si>
  <si>
    <t xml:space="preserve">동광장주유소</t>
  </si>
  <si>
    <t xml:space="preserve">대전 동구 중앙로 280</t>
  </si>
  <si>
    <t xml:space="preserve">디에스주유소</t>
  </si>
  <si>
    <t xml:space="preserve">대전 서구 배재로 210 (도마동)</t>
  </si>
  <si>
    <t xml:space="preserve">배재주유소</t>
  </si>
  <si>
    <t xml:space="preserve">대전 서구 도솔로 57 (도마동)</t>
  </si>
  <si>
    <t xml:space="preserve">중리셀프주유소</t>
  </si>
  <si>
    <t xml:space="preserve">대전 대덕구 한밭대로 1186</t>
  </si>
  <si>
    <t xml:space="preserve">대원주유소</t>
  </si>
  <si>
    <t xml:space="preserve">충남 천안시 동남구 충절로 261 (구성동)</t>
  </si>
  <si>
    <t xml:space="preserve">충북 청주시 상당구 낭성면 단재로 2079</t>
  </si>
  <si>
    <t xml:space="preserve">탑주유소</t>
  </si>
  <si>
    <t xml:space="preserve">충북 청주시 상당구 대성로 169-1</t>
  </si>
  <si>
    <t xml:space="preserve">행운주유소</t>
  </si>
  <si>
    <t xml:space="preserve">충북 청주시 상당구 낭성면 단재로 1778</t>
  </si>
  <si>
    <t xml:space="preserve">매봉주유소</t>
  </si>
  <si>
    <t xml:space="preserve">대전 동구 우암로 247 (가양동)</t>
  </si>
  <si>
    <t xml:space="preserve">세종Self주유소</t>
  </si>
  <si>
    <t xml:space="preserve">대전 대덕구 대덕대로 1494 (목상동)</t>
  </si>
  <si>
    <t xml:space="preserve">만세보령주유소</t>
  </si>
  <si>
    <t xml:space="preserve">충남 보령시 보령남로 140</t>
  </si>
  <si>
    <t xml:space="preserve">성주주유소</t>
  </si>
  <si>
    <t xml:space="preserve">충남 보령시 성주면 성주산로 420</t>
  </si>
  <si>
    <t xml:space="preserve">위성주유소</t>
  </si>
  <si>
    <t xml:space="preserve">대전 유성구 현충원로 489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</si>
  <si>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</si>
  <si>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</si>
  <si>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</si>
  <si>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</si>
  <si>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이화주유소</t>
  </si>
  <si>
    <t xml:space="preserve">대전 중구 대종로 166</t>
  </si>
  <si>
    <t xml:space="preserve">(주)에너비즈 삼성주유소</t>
  </si>
  <si>
    <t xml:space="preserve">대전 중구 계룡로 778 (오류동)</t>
  </si>
  <si>
    <t xml:space="preserve">(주)하나주유소</t>
  </si>
  <si>
    <t xml:space="preserve">대전 유성구 유성대로 1127 (하기동)</t>
  </si>
  <si>
    <t xml:space="preserve">방동제일주유소</t>
  </si>
  <si>
    <t xml:space="preserve">대전 유성구 계백로 324</t>
  </si>
  <si>
    <t xml:space="preserve">안영셀프주유소</t>
  </si>
  <si>
    <t xml:space="preserve">대전 중구 대둔산로 241 (안영동)</t>
  </si>
  <si>
    <t xml:space="preserve">주식회사 방동주유소</t>
  </si>
  <si>
    <t xml:space="preserve">대전 유성구 계백로 139</t>
  </si>
  <si>
    <t xml:space="preserve">대전 중구 동서대로 1459 (중촌동)</t>
  </si>
  <si>
    <t xml:space="preserve">세종주유소</t>
  </si>
  <si>
    <t xml:space="preserve">세종 소정면 세종로 4313</t>
  </si>
  <si>
    <t xml:space="preserve">서천안IC주유소</t>
  </si>
  <si>
    <t xml:space="preserve">충남 천안시 동남구 광풍로 1687</t>
  </si>
  <si>
    <t xml:space="preserve">송정주유소</t>
  </si>
  <si>
    <t xml:space="preserve">충청남도 천안시 동남구 병천면 매봉로 244</t>
  </si>
  <si>
    <t xml:space="preserve">친절한주유소</t>
  </si>
  <si>
    <t xml:space="preserve">충남 천안시 동남구 중앙로 289</t>
  </si>
  <si>
    <t xml:space="preserve">㈜동림에너지 동명주유소</t>
  </si>
  <si>
    <t xml:space="preserve">충북 청주시 흥덕구 1순환로 514</t>
  </si>
  <si>
    <t xml:space="preserve">등고개주유소</t>
  </si>
  <si>
    <t xml:space="preserve">충북 청주시 상당구 남일면 교육원로 9</t>
  </si>
  <si>
    <t xml:space="preserve">미래주유소</t>
  </si>
  <si>
    <t xml:space="preserve">충북 청주시 서원구 성봉로 234-2</t>
  </si>
  <si>
    <t xml:space="preserve">충북 청주시 서원구 사운로180번길 32</t>
  </si>
  <si>
    <t xml:space="preserve">약수주유소</t>
  </si>
  <si>
    <t xml:space="preserve">충북 청주시 상당구 미원면 단재로 2864</t>
  </si>
  <si>
    <t xml:space="preserve">형제주유소</t>
  </si>
  <si>
    <t xml:space="preserve">충북 청주시 서원구 직지대로 738 (사직동)</t>
  </si>
  <si>
    <t xml:space="preserve">충북 청주시 상당구 대성로 92</t>
  </si>
  <si>
    <t xml:space="preserve">오정동SM셀프주유소</t>
  </si>
  <si>
    <t xml:space="preserve">대전 대덕구 오정로 123 (오정동)</t>
  </si>
  <si>
    <t xml:space="preserve">기령주유소</t>
  </si>
  <si>
    <t xml:space="preserve">충북 청주시 상당구 남일면 단재로 1009</t>
  </si>
  <si>
    <t xml:space="preserve">대전이데아주유소</t>
  </si>
  <si>
    <t xml:space="preserve">대전 대덕구 한밭대로 1145 (중리동)</t>
  </si>
  <si>
    <t xml:space="preserve">베스트주유소</t>
  </si>
  <si>
    <t xml:space="preserve">충남 아산시 선장면 아산만로 582</t>
  </si>
  <si>
    <t xml:space="preserve">홍대셀프주유소</t>
  </si>
  <si>
    <t xml:space="preserve">세종특별자치시 조치원읍 세종로 2654</t>
  </si>
  <si>
    <t xml:space="preserve">(주)소나무 음봉주유소(Self)</t>
  </si>
  <si>
    <t xml:space="preserve">충남 아산시 음봉면 음봉로 655</t>
  </si>
  <si>
    <t xml:space="preserve">㈜광장 대천톨게이트주유소</t>
  </si>
  <si>
    <t xml:space="preserve">충남 보령시 대해로 216 (내항동)</t>
  </si>
  <si>
    <t xml:space="preserve">합동주유소</t>
  </si>
  <si>
    <t xml:space="preserve">충남 보령시 주교면 울개길 490</t>
  </si>
  <si>
    <t xml:space="preserve">우진주유소</t>
  </si>
  <si>
    <t xml:space="preserve">대전 유성구 유성대로654번길 1</t>
  </si>
  <si>
    <t xml:space="preserve">구성주유소</t>
  </si>
  <si>
    <t xml:space="preserve">충남 아산시 영인면 아산호로 496</t>
  </si>
  <si>
    <t xml:space="preserve">송남주유소</t>
  </si>
  <si>
    <t xml:space="preserve">충남 아산시 외암로 641</t>
  </si>
  <si>
    <t xml:space="preserve">장기주유소</t>
  </si>
  <si>
    <t xml:space="preserve">세종특별자치시 장군면 장척로 408-7</t>
  </si>
  <si>
    <t xml:space="preserve">성일주유소</t>
  </si>
  <si>
    <t xml:space="preserve">충북 청주시 서원구 남이면 청남로 871</t>
  </si>
  <si>
    <t xml:space="preserve">괴정주유소</t>
  </si>
  <si>
    <t xml:space="preserve">대전 서구 괴정로 113</t>
  </si>
  <si>
    <t xml:space="preserve">행복가득주유소</t>
  </si>
  <si>
    <t xml:space="preserve">대전광역시 중구 보문산로 86</t>
  </si>
  <si>
    <t xml:space="preserve">삼보주유소</t>
  </si>
  <si>
    <t xml:space="preserve">충북 청주시 청원구 북이면 충청대로 1524</t>
  </si>
  <si>
    <t xml:space="preserve">대월주유소</t>
  </si>
  <si>
    <t xml:space="preserve">충남 보령시 남포면 남포방조제로 677</t>
  </si>
  <si>
    <t xml:space="preserve">좋은차주유소</t>
  </si>
  <si>
    <t xml:space="preserve">충남 아산시 염치읍 현대로 152</t>
  </si>
  <si>
    <t xml:space="preserve">제일주유소</t>
  </si>
  <si>
    <t xml:space="preserve">충남 보령시 흑포1길 4 (신흑동)</t>
  </si>
  <si>
    <t xml:space="preserve">다복주유소</t>
  </si>
  <si>
    <t xml:space="preserve">충북 청주시 서원구 현도면 시목부강로 199</t>
  </si>
  <si>
    <t xml:space="preserve">극동유화(주) 한밭주유소</t>
  </si>
  <si>
    <t xml:space="preserve">대전 서구 문정로 3 (둔산2동)</t>
  </si>
  <si>
    <t xml:space="preserve">코끼리셀프주유소</t>
  </si>
  <si>
    <t xml:space="preserve">대전 서구 도산로 446 (용문동)</t>
  </si>
  <si>
    <t xml:space="preserve">북대전주유소</t>
  </si>
  <si>
    <t xml:space="preserve">대전 유성구 유성대로 1495</t>
  </si>
  <si>
    <t xml:space="preserve">순우리주유소</t>
  </si>
  <si>
    <t xml:space="preserve">대전 대덕구 신탄진로 533 (상서동)</t>
  </si>
  <si>
    <t xml:space="preserve">내판주유소</t>
  </si>
  <si>
    <t xml:space="preserve">세종특별자치시 연동면 청연로 639</t>
  </si>
  <si>
    <t xml:space="preserve">한밭대앞Self주유소</t>
  </si>
  <si>
    <t xml:space="preserve">대전 유성구 학하서로 111 (덕명동)</t>
  </si>
  <si>
    <t xml:space="preserve">보람self주유소</t>
  </si>
  <si>
    <t xml:space="preserve">세종시 금남구즉로 19 (대평동)</t>
  </si>
  <si>
    <t xml:space="preserve">라자로주유소</t>
  </si>
  <si>
    <t xml:space="preserve">대전 대덕구 대전로 1390</t>
  </si>
  <si>
    <t xml:space="preserve">(주)동건에너지 만년교셀프주유소</t>
  </si>
  <si>
    <t xml:space="preserve">대전 서구 계룡로 202</t>
  </si>
  <si>
    <t xml:space="preserve">연일주유소</t>
  </si>
  <si>
    <t xml:space="preserve">충북 청주시 상당구 남일면 단재로 515</t>
  </si>
  <si>
    <t xml:space="preserve">중앙주유소</t>
  </si>
  <si>
    <t xml:space="preserve">세종 조치원읍 새내로 201</t>
  </si>
  <si>
    <t xml:space="preserve">신화주유소</t>
  </si>
  <si>
    <t xml:space="preserve">충북 청주시 청원구 오창읍 호죽성재로 284</t>
  </si>
  <si>
    <t xml:space="preserve">성환셀프주유소</t>
  </si>
  <si>
    <t xml:space="preserve">충남 천안시 서북구 성환읍 천안대로 1781 (성환읍)</t>
  </si>
  <si>
    <t xml:space="preserve">명진주유소</t>
  </si>
  <si>
    <t xml:space="preserve">충남 보령시 미산면 만수로 1124</t>
  </si>
  <si>
    <t xml:space="preserve">인주셀프주유소</t>
  </si>
  <si>
    <t xml:space="preserve">충남 아산시 아산만로 1504</t>
  </si>
  <si>
    <t xml:space="preserve">대지주유소</t>
  </si>
  <si>
    <t xml:space="preserve">충남 아산시 신창면 온천대로 953</t>
  </si>
  <si>
    <t xml:space="preserve">㈜강청셀프주유소</t>
  </si>
  <si>
    <t xml:space="preserve">충남 아산시 염치읍 현대로 340</t>
  </si>
  <si>
    <t xml:space="preserve">충북 청주시 흥덕구 강내면 저산태성로 289-4</t>
  </si>
  <si>
    <t xml:space="preserve">고향주유소</t>
  </si>
  <si>
    <t xml:space="preserve">대전 동구 산내로 562</t>
  </si>
  <si>
    <t xml:space="preserve">내트럭(주)남대전사업소</t>
  </si>
  <si>
    <t xml:space="preserve">대전 동구 대전로 15</t>
  </si>
  <si>
    <t xml:space="preserve">명화제일주유소</t>
  </si>
  <si>
    <t xml:space="preserve">세종특별자치시 전동면 운주산로 224</t>
  </si>
  <si>
    <t xml:space="preserve">영당주유소</t>
  </si>
  <si>
    <t xml:space="preserve">세종 전의면 의당전의로 718</t>
  </si>
  <si>
    <t xml:space="preserve">충북 청주시 서원구 현도면 청남로 193</t>
  </si>
  <si>
    <t xml:space="preserve">대광주유소</t>
  </si>
  <si>
    <t xml:space="preserve">대전 유성구 금남구즉로 1355 (봉산동)</t>
  </si>
  <si>
    <t xml:space="preserve">송학주유소</t>
  </si>
  <si>
    <t xml:space="preserve">세종특별자치시 장군면 의당전의로 677</t>
  </si>
  <si>
    <t xml:space="preserve">은광주유소</t>
  </si>
  <si>
    <t xml:space="preserve">충남 천안시 동남구 풍세면 풍세로 477</t>
  </si>
  <si>
    <t xml:space="preserve">송악주유소</t>
  </si>
  <si>
    <t xml:space="preserve">충남 아산시 송악면 송악로 832</t>
  </si>
  <si>
    <t xml:space="preserve">(주)이아이디 천안대로주유소 지점</t>
  </si>
  <si>
    <t xml:space="preserve">충남 천안시 서북구 성환읍 천안대로 2230</t>
  </si>
  <si>
    <t xml:space="preserve">신계주유소</t>
  </si>
  <si>
    <t xml:space="preserve">충남 천안시 동남구 목천읍 충절로 833</t>
  </si>
  <si>
    <t xml:space="preserve">원에너지주유소</t>
  </si>
  <si>
    <t xml:space="preserve">충남 아산시 둔포면 충무로 1213</t>
  </si>
  <si>
    <t xml:space="preserve">중암주유소</t>
  </si>
  <si>
    <t xml:space="preserve">충남 아산시 둔포면 충무로 1222-1</t>
  </si>
  <si>
    <t xml:space="preserve">대박주유소</t>
  </si>
  <si>
    <t xml:space="preserve">충북 청주시 상당구  쇠내로 133 (금천동)</t>
  </si>
  <si>
    <t xml:space="preserve">충남 천안시 동남구 목천읍 충절로 779</t>
  </si>
  <si>
    <t xml:space="preserve">청솔주유소</t>
  </si>
  <si>
    <t xml:space="preserve">충남 천안시 동남구 성남면 성남로 413</t>
  </si>
  <si>
    <t xml:space="preserve">가산주유소</t>
  </si>
  <si>
    <t xml:space="preserve">충남 아산시 선장면 아산만로 971</t>
  </si>
  <si>
    <t xml:space="preserve">신인주유소</t>
  </si>
  <si>
    <t xml:space="preserve">충남 아산시 순천향로 530</t>
  </si>
  <si>
    <t xml:space="preserve">청정주유소</t>
  </si>
  <si>
    <t xml:space="preserve">대전 중구 오류로 120 (오류동)</t>
  </si>
  <si>
    <t xml:space="preserve">2공단주유소</t>
  </si>
  <si>
    <t xml:space="preserve">충남 천안시 서북구  2공단4로 34</t>
  </si>
  <si>
    <t xml:space="preserve">세원주유소</t>
  </si>
  <si>
    <t xml:space="preserve">충남 아산시 송악면 송악로 243</t>
  </si>
  <si>
    <t xml:space="preserve">(주)구암상사주유소</t>
  </si>
  <si>
    <t xml:space="preserve">대전 유성구 유성대로654번길 32</t>
  </si>
  <si>
    <t xml:space="preserve">삼미상사(주)북천안주유소</t>
  </si>
  <si>
    <t xml:space="preserve">충남 천안 서북구 직산읍 군삼길 81</t>
  </si>
  <si>
    <t xml:space="preserve">세종특별자치시 부강면 청연로 71</t>
  </si>
  <si>
    <t xml:space="preserve">삼육주유소</t>
  </si>
  <si>
    <t xml:space="preserve">대전 중구 대전천서로 757</t>
  </si>
  <si>
    <t xml:space="preserve">조은기름주유소</t>
  </si>
  <si>
    <t xml:space="preserve">충남 천안시 서북구 입장면 망향로 1237</t>
  </si>
  <si>
    <t xml:space="preserve">서해주유소</t>
  </si>
  <si>
    <t xml:space="preserve">충남 보령시 미산면 만수로 957</t>
  </si>
  <si>
    <t xml:space="preserve">광명주유소</t>
  </si>
  <si>
    <t xml:space="preserve">충남 보령시 웅천읍 장터중앙길 164</t>
  </si>
  <si>
    <t xml:space="preserve">대창주유소</t>
  </si>
  <si>
    <t xml:space="preserve">충남 보령시 웅천읍 장터중앙길 69</t>
  </si>
  <si>
    <t xml:space="preserve">천북주유소</t>
  </si>
  <si>
    <t xml:space="preserve">충남 보령시 천북면 홍보로 437</t>
  </si>
  <si>
    <t xml:space="preserve">북천안IC주유소</t>
  </si>
  <si>
    <t xml:space="preserve">충남 천안시 서북구 직산읍 직산로 214</t>
  </si>
  <si>
    <t xml:space="preserve">호반주유소</t>
  </si>
  <si>
    <t xml:space="preserve">충북 청주시 상당구 가덕면 미천고은로 118</t>
  </si>
  <si>
    <t xml:space="preserve">삼성테크노주유소</t>
  </si>
  <si>
    <t xml:space="preserve">충남 아산시 탕정면 삼성로 350</t>
  </si>
  <si>
    <t xml:space="preserve">행복한주유소</t>
  </si>
  <si>
    <t xml:space="preserve">충남 아산시 신창면 서부북로 331</t>
  </si>
  <si>
    <t xml:space="preserve">아름셀프주유소</t>
  </si>
  <si>
    <t xml:space="preserve">충남 아산시 온천대로 1616</t>
  </si>
  <si>
    <t xml:space="preserve">진양주유소</t>
  </si>
  <si>
    <t xml:space="preserve">충남 아산시 온천대로 1735 (모종동)</t>
  </si>
  <si>
    <t xml:space="preserve">화랑주유소</t>
  </si>
  <si>
    <t xml:space="preserve">충남 아산시 외암로 1568 (풍기동)</t>
  </si>
  <si>
    <t xml:space="preserve">5공단셀프주유소</t>
  </si>
  <si>
    <t xml:space="preserve">충남 천안시 동남구 수신면 5산단로 196</t>
  </si>
  <si>
    <t xml:space="preserve">삼정주유소</t>
  </si>
  <si>
    <t xml:space="preserve">세종 조치원읍 충현로 53</t>
  </si>
  <si>
    <t xml:space="preserve">입장주유소</t>
  </si>
  <si>
    <t xml:space="preserve">충남 천안시 서북구 입장면 망향로 1082</t>
  </si>
  <si>
    <t xml:space="preserve">GS목천IC주유소</t>
  </si>
  <si>
    <t xml:space="preserve">충남 천안시 동남구 목천읍 남부대로 983</t>
  </si>
  <si>
    <t xml:space="preserve">전동주유소</t>
  </si>
  <si>
    <t xml:space="preserve">세종특별자치시 전동면 운주산로 355</t>
  </si>
  <si>
    <t xml:space="preserve">옥녀봉주유소</t>
  </si>
  <si>
    <t xml:space="preserve">충북 청주시 청원구 북이면 충청대로 1376</t>
  </si>
  <si>
    <t xml:space="preserve">삼거리주유소</t>
  </si>
  <si>
    <t xml:space="preserve">충남 아산시 음봉면 아산온천로 528-8</t>
  </si>
  <si>
    <t xml:space="preserve">상록주유소</t>
  </si>
  <si>
    <t xml:space="preserve">충남 천안시 동남구 수신면 수신로 642</t>
  </si>
  <si>
    <t xml:space="preserve">매봉셀프주유소</t>
  </si>
  <si>
    <t xml:space="preserve">충남 천안시 동남구 병천면 충절로 1532</t>
  </si>
  <si>
    <t xml:space="preserve">효성주유소</t>
  </si>
  <si>
    <t xml:space="preserve">충남 보령시 오천면 도미항로 375</t>
  </si>
  <si>
    <t xml:space="preserve">신은성주유소</t>
  </si>
  <si>
    <t xml:space="preserve">충남 천안시 동남구 병천면 매봉로 243</t>
  </si>
  <si>
    <t xml:space="preserve">경민주유소</t>
  </si>
  <si>
    <t xml:space="preserve">충남 아산시 선장면 아산만로 697</t>
  </si>
  <si>
    <t xml:space="preserve">기산주유소</t>
  </si>
  <si>
    <t xml:space="preserve">충남 아산시 순천향로 408</t>
  </si>
  <si>
    <t xml:space="preserve">(주)광명주유소</t>
  </si>
  <si>
    <t xml:space="preserve">충남 천안시 동남구 충절로 451</t>
  </si>
  <si>
    <t xml:space="preserve">동유주유소</t>
  </si>
  <si>
    <t xml:space="preserve">세종시 조치원읍 새내로 142</t>
  </si>
  <si>
    <t xml:space="preserve">남일주유소</t>
  </si>
  <si>
    <t xml:space="preserve">충북 청주시 상당구 남일면 단재로 828</t>
  </si>
  <si>
    <t xml:space="preserve">주성주유소</t>
  </si>
  <si>
    <t xml:space="preserve">충북 청주시 청원구 충청대로 295</t>
  </si>
  <si>
    <t xml:space="preserve">백제주유소</t>
  </si>
  <si>
    <t xml:space="preserve">세종 소정면 차령고개로 1087</t>
  </si>
  <si>
    <t xml:space="preserve">평산주유소</t>
  </si>
  <si>
    <t xml:space="preserve">세종특별자치시 조치원읍 허만석로 84</t>
  </si>
  <si>
    <t xml:space="preserve">가덕주유소</t>
  </si>
  <si>
    <t xml:space="preserve">충북 청주시 상당구 가덕면 상장인차로 570</t>
  </si>
  <si>
    <t xml:space="preserve">개나리주유소오일뱅크</t>
  </si>
  <si>
    <t xml:space="preserve">대전 대덕구 오정로 53 (오정동)</t>
  </si>
  <si>
    <t xml:space="preserve">태산주유소</t>
  </si>
  <si>
    <t xml:space="preserve">세종특별자치시 소정면 세종로 4274</t>
  </si>
  <si>
    <t xml:space="preserve">평강주유소</t>
  </si>
  <si>
    <t xml:space="preserve">충북 청주시 서원구 사운로145번길 4 (사직동)</t>
  </si>
  <si>
    <t xml:space="preserve">충북 청주시 청원구 오창읍 두릉유리로 1129</t>
  </si>
  <si>
    <t xml:space="preserve">대전 중구 문화로 97</t>
  </si>
  <si>
    <t xml:space="preserve">충북 청주시 흥덕구 월명로48번길 3</t>
  </si>
  <si>
    <t xml:space="preserve">황용주유소</t>
  </si>
  <si>
    <t xml:space="preserve">세종 금남면 황용1길 40</t>
  </si>
  <si>
    <t xml:space="preserve">충남 천안시 서북구 성거읍 성진로 588</t>
  </si>
  <si>
    <t xml:space="preserve">보성주유소</t>
  </si>
  <si>
    <t xml:space="preserve">충남 천안시 동남구 풍세면 광풍로 1333</t>
  </si>
  <si>
    <t xml:space="preserve">우정주유소</t>
  </si>
  <si>
    <t xml:space="preserve">대전 동구 옥천로 418 (삼정동)</t>
  </si>
  <si>
    <t xml:space="preserve">선명주유소</t>
  </si>
  <si>
    <t xml:space="preserve">충북 청주시 상당구 미원면 단재로 2670</t>
  </si>
  <si>
    <t xml:space="preserve">충남 아산시 인주면 아산만로 1368</t>
  </si>
  <si>
    <t xml:space="preserve">무지개주유소</t>
  </si>
  <si>
    <t xml:space="preserve">충남 아산시 염치읍 충무로 381</t>
  </si>
  <si>
    <t xml:space="preserve">대전 대덕구 대전로 1285 (대화동)</t>
  </si>
  <si>
    <t xml:space="preserve">테크노주유소</t>
  </si>
  <si>
    <t xml:space="preserve">충북 청주시 흥덕구 옥산면 중부로 532</t>
  </si>
  <si>
    <t xml:space="preserve">신촌주유소</t>
  </si>
  <si>
    <t xml:space="preserve">충북 청주시 흥덕구 옥산면 오송가락로 545</t>
  </si>
  <si>
    <t xml:space="preserve">㈜백마주유소</t>
  </si>
  <si>
    <t xml:space="preserve">충남 천안시 동남구 신방남부길 87-1 (신방동)</t>
  </si>
  <si>
    <t xml:space="preserve">석화주유소</t>
  </si>
  <si>
    <t xml:space="preserve">충북 청주시 청원구 내수읍 충청대로 849-5</t>
  </si>
  <si>
    <t xml:space="preserve">아산주유소</t>
  </si>
  <si>
    <t xml:space="preserve">충남 아산시 염치읍 서원길 14</t>
  </si>
  <si>
    <t xml:space="preserve">보산원주유소</t>
  </si>
  <si>
    <t xml:space="preserve">충남 천안시 동남구 광덕면 보산원로 55</t>
  </si>
  <si>
    <t xml:space="preserve">청룡셀프주유소</t>
  </si>
  <si>
    <t xml:space="preserve">충남 천안시 동남구 대흥로 22</t>
  </si>
  <si>
    <t xml:space="preserve">관저주유소</t>
  </si>
  <si>
    <t xml:space="preserve">대전 유성구 계백로 975  (원내동)</t>
  </si>
  <si>
    <t xml:space="preserve">진터벌주유소</t>
  </si>
  <si>
    <t xml:space="preserve">대전 유성구 유성대로654번길 168 (봉명동)</t>
  </si>
  <si>
    <t xml:space="preserve">미평주유소</t>
  </si>
  <si>
    <t xml:space="preserve">충북 청주시 서원구 청남로 1911</t>
  </si>
  <si>
    <t xml:space="preserve">남산주유소</t>
  </si>
  <si>
    <t xml:space="preserve">충남 아산시 시민로221 (용화동)</t>
  </si>
  <si>
    <t xml:space="preserve">태호건설㈜ 천안지점</t>
  </si>
  <si>
    <t xml:space="preserve">충남 천안시 서북구 천안대로 1685</t>
  </si>
  <si>
    <t xml:space="preserve">선진에너지(주) 테크노빌주유소</t>
  </si>
  <si>
    <t xml:space="preserve">충북 청주시 청원구 팔결로 9 (주중동)</t>
  </si>
  <si>
    <t xml:space="preserve">광덕셀프주유소</t>
  </si>
  <si>
    <t xml:space="preserve">충남 천안시 동남구 광덕면 광풍로 240</t>
  </si>
  <si>
    <t xml:space="preserve">성환주유소</t>
  </si>
  <si>
    <t xml:space="preserve">충남 천안시 서북구 성환읍 연암율금로 103</t>
  </si>
  <si>
    <t xml:space="preserve">대전 서구 대덕대로 384 (만년동)</t>
  </si>
  <si>
    <t xml:space="preserve">도림주유소</t>
  </si>
  <si>
    <t xml:space="preserve">충남 천안시 서북구 입장면 성진로 1123</t>
  </si>
  <si>
    <t xml:space="preserve">초정주유소</t>
  </si>
  <si>
    <t xml:space="preserve">충북 청주시 청원구 내수읍 청암로 457</t>
  </si>
  <si>
    <t xml:space="preserve">흥인주유소</t>
  </si>
  <si>
    <t xml:space="preserve">충북 청주시 청원구 오창읍 두릉유리로 755</t>
  </si>
  <si>
    <t xml:space="preserve">미니주유소</t>
  </si>
  <si>
    <t xml:space="preserve">충남 천안시 동남구 다가7길 18 (다가동)</t>
  </si>
  <si>
    <t xml:space="preserve">신나라주유소</t>
  </si>
  <si>
    <t xml:space="preserve">충북 청주시 청원구 새터로 53 (내덕동)</t>
  </si>
  <si>
    <t xml:space="preserve">운암주유소</t>
  </si>
  <si>
    <t xml:space="preserve">충북 청주시 상당구 미원면 남부로 6605</t>
  </si>
  <si>
    <t xml:space="preserve">당산주유소</t>
  </si>
  <si>
    <t xml:space="preserve">대전 대덕구 아리랑로 135 (읍내동)</t>
  </si>
  <si>
    <t xml:space="preserve">승덕주유소</t>
  </si>
  <si>
    <t xml:space="preserve">세종특별자치시 소정면 세종로 4317</t>
  </si>
  <si>
    <t xml:space="preserve">EM톨게이트주유소</t>
  </si>
  <si>
    <t xml:space="preserve">충남 천안시 동남구 목천읍 남부대로 950</t>
  </si>
  <si>
    <t xml:space="preserve">스마트주유소</t>
  </si>
  <si>
    <t xml:space="preserve">충북 청주시 흥덕구 청주역로 563</t>
  </si>
  <si>
    <t xml:space="preserve">태양주유소</t>
  </si>
  <si>
    <t xml:space="preserve">충북 청주시 청원구 오창읍 중부로 1559</t>
  </si>
  <si>
    <t xml:space="preserve">목천톨게이트주유소</t>
  </si>
  <si>
    <t xml:space="preserve">충남 천안시 동남구 목천읍 충절로 952</t>
  </si>
  <si>
    <t xml:space="preserve">충남 천안시 동남구 성황로 93 (원성동)</t>
  </si>
  <si>
    <t xml:space="preserve">동찬주유소</t>
  </si>
  <si>
    <t xml:space="preserve">충북 청주시 흥덕구 오송읍 서평길 22-1</t>
  </si>
  <si>
    <t xml:space="preserve">옻샘주유소</t>
  </si>
  <si>
    <t xml:space="preserve">충북 청주시 상당구 미원면 남부로 6864</t>
  </si>
  <si>
    <t xml:space="preserve">남양주유소</t>
  </si>
  <si>
    <t xml:space="preserve">충남 천안시 동남구 광덕면 광풍로 987</t>
  </si>
  <si>
    <t xml:space="preserve">목천IC주유소</t>
  </si>
  <si>
    <t xml:space="preserve">충청남도 천안시 동남구 목천읍 남부대로 829 (목천읍)</t>
  </si>
  <si>
    <t xml:space="preserve">SK오창주유소</t>
  </si>
  <si>
    <t xml:space="preserve">충북 청주시 청원구 오창읍 팔결로 579</t>
  </si>
  <si>
    <t xml:space="preserve">천안동남주유소</t>
  </si>
  <si>
    <t xml:space="preserve">충남 천안시 동남구 동면 충절로 2720</t>
  </si>
  <si>
    <t xml:space="preserve">삼원주유소</t>
  </si>
  <si>
    <t xml:space="preserve">충남 천안시 서북구 4산단로 217</t>
  </si>
  <si>
    <t xml:space="preserve">유진주유소</t>
  </si>
  <si>
    <t xml:space="preserve">충북 청주시 서원구 남이면 남석로 402</t>
  </si>
  <si>
    <t xml:space="preserve">팔봉주유소</t>
  </si>
  <si>
    <t xml:space="preserve">충북 청주시 서원구 남이면 남석로 239</t>
  </si>
  <si>
    <t xml:space="preserve">대율주유소</t>
  </si>
  <si>
    <t xml:space="preserve">충북 청주시 청원구 북이면 신대석성로 163</t>
  </si>
  <si>
    <t xml:space="preserve">충북 청주시 흥덕구 사운로 392-2 (신봉동)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</si>
  <si>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</si>
  <si>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</si>
  <si>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</si>
  <si>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</si>
  <si>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민들레주유소</t>
  </si>
  <si>
    <t xml:space="preserve">충남 아산시 염치읍 은행나무길 183</t>
  </si>
  <si>
    <t xml:space="preserve">지산주유소</t>
  </si>
  <si>
    <t xml:space="preserve">충북 청주시 상당구 낭성면 산성로 1143</t>
  </si>
  <si>
    <t xml:space="preserve">오천농협원산도지점주유소</t>
  </si>
  <si>
    <t xml:space="preserve">충남 보령시 오천면 원산도3길 66</t>
  </si>
  <si>
    <t xml:space="preserve">아람주유소</t>
  </si>
  <si>
    <t xml:space="preserve">충남 천안시 동남구 풍세면 풍세로 161</t>
  </si>
  <si>
    <t xml:space="preserve">HD현대오일뱅크㈜직영 청주역주유소</t>
  </si>
  <si>
    <t xml:space="preserve">충북 청주시 흥덕구 청주역로 353</t>
  </si>
  <si>
    <t xml:space="preserve">비전운수(주)산업단지주유소</t>
  </si>
  <si>
    <t xml:space="preserve">대전 대덕구 산업단지로 107</t>
  </si>
  <si>
    <t xml:space="preserve">태조산주유소</t>
  </si>
  <si>
    <t xml:space="preserve">충남 천안시 동남구 각원사길 111 (안서동)</t>
  </si>
  <si>
    <t xml:space="preserve">충남 천안시 동남구 천안천공원3길 27-10</t>
  </si>
  <si>
    <t xml:space="preserve">이포에너지㈜ 금강주유소</t>
  </si>
  <si>
    <t xml:space="preserve">충북 청주시 서원구 청남로 2145</t>
  </si>
  <si>
    <t xml:space="preserve">봉암주유소</t>
  </si>
  <si>
    <t xml:space="preserve">세종시 연서면 세종로 1899</t>
  </si>
  <si>
    <t xml:space="preserve">(주)차세대주유소</t>
  </si>
  <si>
    <t xml:space="preserve">대전광역시 대덕구  아리랑로 73</t>
  </si>
  <si>
    <t xml:space="preserve">HD현대오일뱅크㈜직영 학천주유소</t>
  </si>
  <si>
    <t xml:space="preserve">충북 청주시 청원구 오창읍 중부로 1265</t>
  </si>
  <si>
    <t xml:space="preserve">주식회사 월드홀딩스</t>
  </si>
  <si>
    <t xml:space="preserve">충남 천안시 서북구 서부대로 421</t>
  </si>
  <si>
    <t xml:space="preserve">천안대로셀프</t>
  </si>
  <si>
    <t xml:space="preserve">충남 천안시 동남구 천안대로 727</t>
  </si>
  <si>
    <t xml:space="preserve">동성주유소</t>
  </si>
  <si>
    <t xml:space="preserve">충남 천안시 서북구 차돌로 14</t>
  </si>
  <si>
    <t xml:space="preserve">태평양셀프주유소</t>
  </si>
  <si>
    <t xml:space="preserve">충남 천안시 동남구  서부대로 520 (봉명동)</t>
  </si>
  <si>
    <t xml:space="preserve">충북 청주시 청원구 북이면 팔결신대로 517</t>
  </si>
  <si>
    <t xml:space="preserve">지에스칼텍스㈜ 미호주유소</t>
  </si>
  <si>
    <t xml:space="preserve">충북 청주시 흥덕구 강내면 가로수로 516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</si>
  <si>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</si>
  <si>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</si>
  <si>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</si>
  <si>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</si>
  <si>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</si>
  <si>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</si>
  <si>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태양셀프주유소</t>
  </si>
  <si>
    <t xml:space="preserve">충남 공주시 정안면 차령로 3737</t>
  </si>
  <si>
    <t xml:space="preserve">(주)대성제2주유소</t>
  </si>
  <si>
    <t xml:space="preserve">충남 천안시 동남구 가마골1길 10 (신부동)</t>
  </si>
  <si>
    <t xml:space="preserve">아평주유소</t>
  </si>
  <si>
    <t xml:space="preserve">충남 천안시 동남구 천안대로 784</t>
  </si>
  <si>
    <t xml:space="preserve">OK주유소</t>
  </si>
  <si>
    <t xml:space="preserve">대전 대덕구 대전로 1312 (읍내동)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</si>
  <si>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</si>
  <si>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</si>
  <si>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</si>
  <si>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</si>
  <si>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청룡휴게주유소</t>
  </si>
  <si>
    <t xml:space="preserve">충남 공주시 의당면 차령로 2218</t>
  </si>
  <si>
    <t xml:space="preserve">신창에너지㈜직영 천안셀프주유소</t>
  </si>
  <si>
    <t xml:space="preserve">충남 천안시 서북구 성거읍 망향로 485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</si>
  <si>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</si>
  <si>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</si>
  <si>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</si>
  <si>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</si>
  <si>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성거농협클린주유소</t>
  </si>
  <si>
    <t xml:space="preserve">충남 천안시 서북구 성거읍 성거길 88</t>
  </si>
  <si>
    <t xml:space="preserve">신천안스테이션</t>
  </si>
  <si>
    <t xml:space="preserve">충남 천안시 동남구 목천읍 삼성4길 43</t>
  </si>
  <si>
    <t xml:space="preserve">동일석유㈜천안동일주유소</t>
  </si>
  <si>
    <t xml:space="preserve">충남 천안시 동남구 천안대로 536 (구성동)</t>
  </si>
  <si>
    <t xml:space="preserve">명진에너지</t>
  </si>
  <si>
    <t xml:space="preserve">충남 천안시 동남구 망향로 52 (신부동)</t>
  </si>
  <si>
    <t xml:space="preserve">신광주유소</t>
  </si>
  <si>
    <t xml:space="preserve">충남 천안시 동남구 망향로 42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</si>
  <si>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</si>
  <si>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</si>
  <si>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</si>
  <si>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</si>
  <si>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옥계주유소</t>
  </si>
  <si>
    <t xml:space="preserve">대전 중구 대종로 103</t>
  </si>
  <si>
    <t xml:space="preserve">지에스칼텍스㈜ 석곡셀프주유소</t>
  </si>
  <si>
    <t xml:space="preserve">세종 전동면 하석곡길 64-10</t>
  </si>
  <si>
    <t xml:space="preserve">천안IC주유소</t>
  </si>
  <si>
    <t xml:space="preserve">충남 천안시 동남구 만남로 150 (신부동)</t>
  </si>
  <si>
    <t xml:space="preserve">사랑셀프주유소</t>
  </si>
  <si>
    <t xml:space="preserve">충남 아산시 충무로 152</t>
  </si>
  <si>
    <t xml:space="preserve">(유) 대명케이에프 차에너지주유소</t>
  </si>
  <si>
    <t xml:space="preserve">충청남도 공주시 차령로 1856 (동현동)</t>
  </si>
  <si>
    <t xml:space="preserve">동현주유소</t>
  </si>
  <si>
    <t xml:space="preserve">충남 공주시 장기면 차령로 1851</t>
  </si>
  <si>
    <t xml:space="preserve">㈜상일주유소</t>
  </si>
  <si>
    <t xml:space="preserve">충청북도 청주시 서원구 남이면 청남로 1164</t>
  </si>
  <si>
    <t xml:space="preserve">(주)김여사네 대전지점</t>
  </si>
  <si>
    <t xml:space="preserve">대전 중구 대종로 558 (선화동)</t>
  </si>
  <si>
    <t xml:space="preserve">남청주농협주유소</t>
  </si>
  <si>
    <t xml:space="preserve">충북 청주시 서원구 남이면 청남로 1228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</si>
  <si>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</si>
  <si>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</si>
  <si>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</si>
  <si>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</si>
  <si>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</si>
  <si>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</si>
  <si>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지에스칼텍스㈜ 세종청사주유소</t>
  </si>
  <si>
    <t xml:space="preserve">세종특별자치시 보듬5로 6</t>
  </si>
  <si>
    <t xml:space="preserve">창성주유소</t>
  </si>
  <si>
    <t xml:space="preserve">충남 천안시 서북구 성환읍 성환1로 201</t>
  </si>
  <si>
    <t xml:space="preserve">강녕주유소</t>
  </si>
  <si>
    <t xml:space="preserve">충남 공주시 금벽로 1004-49</t>
  </si>
  <si>
    <t xml:space="preserve">엔젤주유소</t>
  </si>
  <si>
    <t xml:space="preserve">충남 공주시 무령로 345  (옥룡동)</t>
  </si>
  <si>
    <t xml:space="preserve">㈜에코위너스 신영셀프주유소</t>
  </si>
  <si>
    <t xml:space="preserve">충북 청주시 서원구 모충로 71</t>
  </si>
  <si>
    <t xml:space="preserve">모충주유소</t>
  </si>
  <si>
    <t xml:space="preserve">충북 청주시 서원구 모충로 112 (모충동)</t>
  </si>
  <si>
    <t xml:space="preserve">장성주유소</t>
  </si>
  <si>
    <t xml:space="preserve">충북 청주시 서원구 남이면 양촌4길 3</t>
  </si>
  <si>
    <t xml:space="preserve">(주)신창에너지 공주대주유소</t>
  </si>
  <si>
    <t xml:space="preserve">충남 공주시 무령로 435 (신관동)</t>
  </si>
  <si>
    <t xml:space="preserve">(주)에스엘 반포주유소</t>
  </si>
  <si>
    <t xml:space="preserve">충남 공주시 반포면 금벽로 1330</t>
  </si>
  <si>
    <t xml:space="preserve">온천주유소</t>
  </si>
  <si>
    <t xml:space="preserve">충남 공주시 반포면 온천사기소길 17</t>
  </si>
  <si>
    <t xml:space="preserve">충남 공주시 반포면 금벽로 1749</t>
  </si>
  <si>
    <t xml:space="preserve">제일셀프주유소</t>
  </si>
  <si>
    <t xml:space="preserve">충남 공주시 미나리1길 18-10 (금성동)</t>
  </si>
  <si>
    <t xml:space="preserve">(주)대연 우리주유소</t>
  </si>
  <si>
    <t xml:space="preserve">충북 청주시 서원구 남이면 청남로 1465</t>
  </si>
  <si>
    <t xml:space="preserve">오창(통영)주유소</t>
  </si>
  <si>
    <t xml:space="preserve">충북 청주시 청원구 오창읍 중부고속도로 19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</si>
  <si>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</si>
  <si>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</si>
  <si>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</si>
  <si>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</si>
  <si>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신창에너지㈜직영 내덕셀프주유소</t>
  </si>
  <si>
    <t xml:space="preserve">충북 청주시 청원구 충청대로 71</t>
  </si>
  <si>
    <t xml:space="preserve">중도석유(주)금성주유소</t>
  </si>
  <si>
    <t xml:space="preserve">충북 청주시 흥덕구 직지대로 650</t>
  </si>
  <si>
    <t xml:space="preserve">자이언트에너지</t>
  </si>
  <si>
    <t xml:space="preserve">충남 천안시 서북구 성거읍 망향로 904</t>
  </si>
  <si>
    <t xml:space="preserve">㈜신화에너지 번개1셀프주유소</t>
  </si>
  <si>
    <t xml:space="preserve">충북 청주시 상당구 제1순환로 1202-2 (방서동)</t>
  </si>
  <si>
    <t xml:space="preserve">자유에너지(주)황제주유소</t>
  </si>
  <si>
    <t xml:space="preserve">충북 청주시 상당구 1순환로 1249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</si>
  <si>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</si>
  <si>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</si>
  <si>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</si>
  <si>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</si>
  <si>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신창에너지㈜직영 청주셀프주유소</t>
  </si>
  <si>
    <t xml:space="preserve">충북 청주시 서원구 청남로 1917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</si>
  <si>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</si>
  <si>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</si>
  <si>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</si>
  <si>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</si>
  <si>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용문주유소</t>
  </si>
  <si>
    <t xml:space="preserve">충북 청주시 서원구 현도면 청남로 457</t>
  </si>
  <si>
    <t xml:space="preserve">다온주유소</t>
  </si>
  <si>
    <t xml:space="preserve">충남 천안시 동남구 풍세로 930</t>
  </si>
  <si>
    <t xml:space="preserve">㈜삼화에너지 차령</t>
  </si>
  <si>
    <t xml:space="preserve">충남 공주시 정안면 차령로 3952-18</t>
  </si>
  <si>
    <t xml:space="preserve">토지주유소</t>
  </si>
  <si>
    <t xml:space="preserve">대전 동구 계족로 249</t>
  </si>
  <si>
    <t xml:space="preserve">이루다셀프주유소</t>
  </si>
  <si>
    <t xml:space="preserve">충남 아산시 온천대로 1291 (방축동)</t>
  </si>
  <si>
    <t xml:space="preserve">아산테크노주유소</t>
  </si>
  <si>
    <t xml:space="preserve">충남 아산시 영인면 아산로 1338</t>
  </si>
  <si>
    <t xml:space="preserve">햇님주유소</t>
  </si>
  <si>
    <t xml:space="preserve">충남 천안시 동남구 충절로 461</t>
  </si>
  <si>
    <t xml:space="preserve">㈜케이알산업 입장(상)주유소/충전소</t>
  </si>
  <si>
    <t xml:space="preserve">충남 천안시 서북구 입장면 연곡길 407</t>
  </si>
  <si>
    <t xml:space="preserve">(주)썬엘 청주(서울)주유소</t>
  </si>
  <si>
    <t xml:space="preserve">충북 청주시 흥덕구 옥산면 경부고속도로 318</t>
  </si>
  <si>
    <t xml:space="preserve">중도석유(주)옥산주유소/충전소</t>
  </si>
  <si>
    <t xml:space="preserve">충북 청주시 흥덕구 옥산면 경부고속도로 309-1</t>
  </si>
  <si>
    <t xml:space="preserve">㈜남영전구 천안(부산)주유소</t>
  </si>
  <si>
    <t xml:space="preserve">충남 천안시 동남구 수신면 성남로 793-40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</si>
  <si>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</si>
  <si>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</si>
  <si>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</si>
  <si>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</si>
  <si>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주식회사 만수르에너지</t>
  </si>
  <si>
    <t xml:space="preserve">충남 아산시 음봉면 음봉로 319</t>
  </si>
  <si>
    <t xml:space="preserve">농협하나로 주유소</t>
  </si>
  <si>
    <t xml:space="preserve">충남 공주시 미나리2길 4 (금성동)</t>
  </si>
  <si>
    <t xml:space="preserve">㈜오일마스터 도안대로주유소 유성지점</t>
  </si>
  <si>
    <t xml:space="preserve">대전 유성구 유성대로 142 (교촌동)</t>
  </si>
  <si>
    <t xml:space="preserve">오창주유소</t>
  </si>
  <si>
    <t xml:space="preserve">충북 청주시 청원구 오창읍 두릉유리로 974</t>
  </si>
  <si>
    <t xml:space="preserve">나인투㈜ 아산지점</t>
  </si>
  <si>
    <t xml:space="preserve">충남 아산시 아산로 146 (온천동)</t>
  </si>
  <si>
    <t xml:space="preserve">기성농협주유소</t>
  </si>
  <si>
    <t xml:space="preserve">대전 서구 세점길 7</t>
  </si>
  <si>
    <t xml:space="preserve">대전 대덕구  동서대로 1750 (비래동)</t>
  </si>
  <si>
    <t xml:space="preserve">㈜에스제이에너지뱅크 오창선녀주유소</t>
  </si>
  <si>
    <t xml:space="preserve">충북 청주시 청원구 오창읍 공항로 1076</t>
  </si>
  <si>
    <t xml:space="preserve">복대동주유소</t>
  </si>
  <si>
    <t xml:space="preserve">충북 청주시 흥덕구 복대로 206</t>
  </si>
  <si>
    <t xml:space="preserve">청주주유소</t>
  </si>
  <si>
    <t xml:space="preserve">충북 청주시 청원구 직지대로 830</t>
  </si>
  <si>
    <t xml:space="preserve">케이피에스 서청주 롯데마트 주유소</t>
  </si>
  <si>
    <t xml:space="preserve">충북 청주시 흥덕구  직지대로240번길 25</t>
  </si>
  <si>
    <t xml:space="preserve">평양주유소</t>
  </si>
  <si>
    <t xml:space="preserve">충북 청주시 서원구  사운로 69 (사직동)</t>
  </si>
  <si>
    <t xml:space="preserve">세종부강농협주유소</t>
  </si>
  <si>
    <t xml:space="preserve">세종특별자치시 부강면 부강외천로 10</t>
  </si>
  <si>
    <t xml:space="preserve">공원주유소</t>
  </si>
  <si>
    <t xml:space="preserve">충남 천안시 동남구 광덕면 광덕로 225</t>
  </si>
  <si>
    <t xml:space="preserve">세종전의농협주유소</t>
  </si>
  <si>
    <t xml:space="preserve">세종 전의면 매실로 6</t>
  </si>
  <si>
    <t xml:space="preserve">강내농협주유소</t>
  </si>
  <si>
    <t xml:space="preserve">충북 청주시 흥덕구 강내면 가로수로 570</t>
  </si>
  <si>
    <t xml:space="preserve">(유)대성주유소</t>
  </si>
  <si>
    <t xml:space="preserve">충남 보령시 대천로 254 (죽정동)</t>
  </si>
  <si>
    <t xml:space="preserve">명해로주유소</t>
  </si>
  <si>
    <t xml:space="preserve">충남 보령시 명해로 111 (궁촌동)</t>
  </si>
  <si>
    <t xml:space="preserve">백두산주유소</t>
  </si>
  <si>
    <t xml:space="preserve">충남 보령시 대해로 498 (요암동)</t>
  </si>
  <si>
    <t xml:space="preserve">오창(하남)주유소</t>
  </si>
  <si>
    <t xml:space="preserve">충북 청주시 청원구 오창읍 중부고속도로 22</t>
  </si>
  <si>
    <t xml:space="preserve">세종특별자치시 조치원읍 세종로 2712</t>
  </si>
  <si>
    <t xml:space="preserve">신안주유소</t>
  </si>
  <si>
    <t xml:space="preserve">세종특별자치시 조치원읍 세종로 2678</t>
  </si>
  <si>
    <t xml:space="preserve">명성self주유소</t>
  </si>
  <si>
    <t xml:space="preserve">세종 조치원읍 세종로 2210</t>
  </si>
  <si>
    <t xml:space="preserve">(주)신진에너지프라임오에스</t>
  </si>
  <si>
    <t xml:space="preserve">충남 천안시 서북구 쌍용대로 269 (성정동)</t>
  </si>
  <si>
    <t xml:space="preserve">프렌즈스테이션㈜제이에이치에스</t>
  </si>
  <si>
    <t xml:space="preserve">대전 서구 계백로 838</t>
  </si>
  <si>
    <t xml:space="preserve">지에스칼텍스(주)직영 삼융만남의주유소</t>
  </si>
  <si>
    <t xml:space="preserve">충남 천안시 서북구 직산읍 군삼길 105</t>
  </si>
  <si>
    <t xml:space="preserve">지에프에너지㈜ 나들목주유소</t>
  </si>
  <si>
    <t xml:space="preserve">충남 천안시 서북구 입장면 삼사로 1880</t>
  </si>
  <si>
    <t xml:space="preserve">(주)하늘셀프주유소</t>
  </si>
  <si>
    <t xml:space="preserve">대전 동구 대전로 549</t>
  </si>
  <si>
    <t xml:space="preserve">충남 천안시 서북구 봉정로 246</t>
  </si>
  <si>
    <t xml:space="preserve">선영셀프주유소</t>
  </si>
  <si>
    <t xml:space="preserve">충남 천안시 서북구 백석로 248</t>
  </si>
  <si>
    <t xml:space="preserve">신원주유소</t>
  </si>
  <si>
    <t xml:space="preserve">충남 천안시 동남구 충무로 60 (신방동)</t>
  </si>
  <si>
    <t xml:space="preserve">남양대영주유소</t>
  </si>
  <si>
    <t xml:space="preserve">세종시 장군면 장기로 842</t>
  </si>
  <si>
    <t xml:space="preserve">CJ대한통운㈜ 대전지사주유소</t>
  </si>
  <si>
    <t xml:space="preserve">대전 대덕구 신탄진로 1 (읍내동)</t>
  </si>
  <si>
    <t xml:space="preserve">순천향셀프주유소</t>
  </si>
  <si>
    <t xml:space="preserve">충남 아산시 신창면 온천대로 846</t>
  </si>
  <si>
    <t xml:space="preserve">대성제5주유소</t>
  </si>
  <si>
    <t xml:space="preserve">충남 천안시 동남구 청수로 135</t>
  </si>
  <si>
    <t xml:space="preserve">와동셀프주유소</t>
  </si>
  <si>
    <t xml:space="preserve">대전 대덕구 신탄진로 386 (와동)</t>
  </si>
  <si>
    <t xml:space="preserve">신원self주유소</t>
  </si>
  <si>
    <t xml:space="preserve">세종특별자치시 조치원읍 세종로 2562</t>
  </si>
  <si>
    <t xml:space="preserve">삼미상사(주)탕정셀프주유소</t>
  </si>
  <si>
    <t xml:space="preserve">충남 아산시 탕정면 이순신대로 612</t>
  </si>
  <si>
    <t xml:space="preserve">CJ대한통운㈜  입장주유소</t>
  </si>
  <si>
    <t xml:space="preserve">충남 천안시 서북구 입장면 시장리1길 3-14</t>
  </si>
  <si>
    <t xml:space="preserve">충남 천안시 동남구 풍세로 895 (다가동)</t>
  </si>
  <si>
    <t xml:space="preserve">선경셀프주유소</t>
  </si>
  <si>
    <t xml:space="preserve">충북 청주시 흥덕구 강내면 서부로 106</t>
  </si>
  <si>
    <t xml:space="preserve">오송신도시주유소</t>
  </si>
  <si>
    <t xml:space="preserve">충북 청주시 흥덕구 오송읍 가로수로 126-5</t>
  </si>
  <si>
    <t xml:space="preserve">충북석유(주)동문주유소</t>
  </si>
  <si>
    <t xml:space="preserve">충북 청주시 상당구 가덕면 단재로 1542</t>
  </si>
  <si>
    <t xml:space="preserve">세종 조치원읍 세종로 2749</t>
  </si>
  <si>
    <t xml:space="preserve">북면주유소</t>
  </si>
  <si>
    <t xml:space="preserve">충청남도 천안시 동남구 북면 위례성로 715</t>
  </si>
  <si>
    <t xml:space="preserve">신고개주유소</t>
  </si>
  <si>
    <t xml:space="preserve">대전 동구 새울로 38 (용운동)</t>
  </si>
  <si>
    <t xml:space="preserve">㈜같이오름</t>
  </si>
  <si>
    <t xml:space="preserve">충북 청주시 서원구 현도면 청남로 502</t>
  </si>
  <si>
    <t xml:space="preserve">(주)대륙주유소</t>
  </si>
  <si>
    <t xml:space="preserve">충남 천안시 동남구 천안대로 782</t>
  </si>
  <si>
    <t xml:space="preserve">세종강남농협주유소</t>
  </si>
  <si>
    <t xml:space="preserve">세종특별자치시 금남면 성덕영곡길 15</t>
  </si>
  <si>
    <t xml:space="preserve">유계주유소</t>
  </si>
  <si>
    <t xml:space="preserve">충남 공주시 의당면 의당전의로 467</t>
  </si>
  <si>
    <t xml:space="preserve">진영주유소</t>
  </si>
  <si>
    <t xml:space="preserve">세종 소정면 세종로 4732</t>
  </si>
  <si>
    <t xml:space="preserve">(주)오일마스터아산지점 송촌주유소</t>
  </si>
  <si>
    <t xml:space="preserve">충남 아산시 음봉면 음봉로 336</t>
  </si>
  <si>
    <t xml:space="preserve">거북선에너지</t>
  </si>
  <si>
    <t xml:space="preserve">충남 아산시 염치읍 이순신대로 210-2</t>
  </si>
  <si>
    <t xml:space="preserve">SK에너지(주) 현진</t>
  </si>
  <si>
    <t xml:space="preserve">충남 천안시 동남구 남부대로 112 (신방동)</t>
  </si>
  <si>
    <t xml:space="preserve">지에스칼텍스㈜ 길목주유소</t>
  </si>
  <si>
    <t xml:space="preserve">충북 청주시 청원구 새터로 248</t>
  </si>
  <si>
    <t xml:space="preserve">SK에너지㈜신세계주유소</t>
  </si>
  <si>
    <t xml:space="preserve">충북 청주시 서원구 청남로 2125 (모충동)</t>
  </si>
  <si>
    <t xml:space="preserve">도고온천주유소</t>
  </si>
  <si>
    <t xml:space="preserve">충남 아산시 도고면 온천대로 342</t>
  </si>
  <si>
    <t xml:space="preserve">학성주유소</t>
  </si>
  <si>
    <t xml:space="preserve">충남 아산시 신창면 온천대로 798</t>
  </si>
  <si>
    <t xml:space="preserve">희망찬주유소</t>
  </si>
  <si>
    <t xml:space="preserve">충남 아산시 도고면 온천대로 476</t>
  </si>
  <si>
    <t xml:space="preserve">직산농협 클린주유소</t>
  </si>
  <si>
    <t xml:space="preserve">충남 천안시 서북구 직산읍 천안밸리로15</t>
  </si>
  <si>
    <t xml:space="preserve">판정주유소</t>
  </si>
  <si>
    <t xml:space="preserve">충남 천안시 서북구 직산읍 성진로 328</t>
  </si>
  <si>
    <t xml:space="preserve">CJ대한통운㈜ 운수대통주유소</t>
  </si>
  <si>
    <t xml:space="preserve">충북 청주시 서원구 남이면 청남로 1309-18</t>
  </si>
  <si>
    <t xml:space="preserve">실광주유소</t>
  </si>
  <si>
    <t xml:space="preserve">세종특별자치시 연기면 당산로 239</t>
  </si>
  <si>
    <t xml:space="preserve">남부주유소</t>
  </si>
  <si>
    <t xml:space="preserve">충남 천안시 동남구 남부대로 84 (신방동)</t>
  </si>
  <si>
    <t xml:space="preserve">부성에너지</t>
  </si>
  <si>
    <t xml:space="preserve">충남 천안시 서북구 업성2길 21 (업성동)</t>
  </si>
  <si>
    <t xml:space="preserve">미원주유소</t>
  </si>
  <si>
    <t xml:space="preserve">충북 청주시 상당구 미원면 단재로 2360</t>
  </si>
  <si>
    <t xml:space="preserve">새청주주유소</t>
  </si>
  <si>
    <t xml:space="preserve">충북 청주시 흥덕구 사운로 302(신봉동)</t>
  </si>
  <si>
    <t xml:space="preserve">오창공단IC주유소</t>
  </si>
  <si>
    <t xml:space="preserve">충북 청주시 청원구 오창읍 농소길 6-3</t>
  </si>
  <si>
    <t xml:space="preserve">옥화대주유소</t>
  </si>
  <si>
    <t xml:space="preserve">충북 청주시 상당구 미원면 남부로 6705</t>
  </si>
  <si>
    <t xml:space="preserve">플러스주유소  ㈜다우피앤지</t>
  </si>
  <si>
    <t xml:space="preserve">충북 청주시 서원구 무심서로 451</t>
  </si>
  <si>
    <t xml:space="preserve">프라이드에너지주식회사</t>
  </si>
  <si>
    <t xml:space="preserve">충청남도 공주시 계룡면 차령로 824 (계룡면)</t>
  </si>
  <si>
    <t xml:space="preserve">㈜굿에너지</t>
  </si>
  <si>
    <t xml:space="preserve">충북 청주시 청원구 오창읍 두릉유리로 18</t>
  </si>
  <si>
    <t xml:space="preserve">청주IC주유소</t>
  </si>
  <si>
    <t xml:space="preserve">충북 청주시 흥덕구 강내면 가로수로 668</t>
  </si>
  <si>
    <t xml:space="preserve">영운동셀프주유소</t>
  </si>
  <si>
    <t xml:space="preserve">충청북도 청주시 상당구  단재로 118-1 (영운동)</t>
  </si>
  <si>
    <t xml:space="preserve">수동셀프주유소 대왕석유무역㈜</t>
  </si>
  <si>
    <t xml:space="preserve">충북 청주시 상당구 상당로 192</t>
  </si>
  <si>
    <t xml:space="preserve">묵방내수셀프주유소</t>
  </si>
  <si>
    <t xml:space="preserve">충북 청주시 청원구 내수읍 충청대로 513</t>
  </si>
  <si>
    <t xml:space="preserve">주식회사 지우스타에너지</t>
  </si>
  <si>
    <t xml:space="preserve">충남 아산시 염치읍 아산로 807</t>
  </si>
  <si>
    <t xml:space="preserve">송곡주유소</t>
  </si>
  <si>
    <t xml:space="preserve">충남 공주시 반포면 송곡로 217</t>
  </si>
  <si>
    <t xml:space="preserve">천안호두 오일러스</t>
  </si>
  <si>
    <t xml:space="preserve">충남 천안시 동남구 천안대로 223 (삼룡동)</t>
  </si>
  <si>
    <t xml:space="preserve">(주)충무공에너지</t>
  </si>
  <si>
    <t xml:space="preserve">충남 아산시 염치읍 이순신대로 206</t>
  </si>
  <si>
    <t xml:space="preserve">남이주유소 제이에너지(주)</t>
  </si>
  <si>
    <t xml:space="preserve">충북 청주시 서원구 남이면 청남로 1625-3</t>
  </si>
  <si>
    <t xml:space="preserve">제이에너지(주) 신봉주유소</t>
  </si>
  <si>
    <t xml:space="preserve">충북 청주시 흥덕구 1순환로 400 (신봉동)</t>
  </si>
  <si>
    <t xml:space="preserve">신달주유소</t>
  </si>
  <si>
    <t xml:space="preserve">충남 공주시 유구읍 금계산로 687</t>
  </si>
  <si>
    <t xml:space="preserve">정안농협주유소</t>
  </si>
  <si>
    <t xml:space="preserve">충남 공주시 정안면 활원길 48-10</t>
  </si>
  <si>
    <t xml:space="preserve">㈜오일마스터 킹콩주유소 대전지점</t>
  </si>
  <si>
    <t xml:space="preserve">대전 대덕구 아리랑로 107 (읍내동)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</si>
  <si>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</si>
  <si>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</si>
  <si>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</si>
  <si>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</si>
  <si>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대양석유㈜ 세종대평주유소</t>
  </si>
  <si>
    <t xml:space="preserve">세종특별자치시 종합운동장로 29</t>
  </si>
  <si>
    <t xml:space="preserve">도담알뜰주유소</t>
  </si>
  <si>
    <t xml:space="preserve">세종 갈매로 596</t>
  </si>
  <si>
    <t xml:space="preserve">동세종농협주유소</t>
  </si>
  <si>
    <t xml:space="preserve">세종특별자치시 연동면 청연로 490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</si>
  <si>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</si>
  <si>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</si>
  <si>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</si>
  <si>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</si>
  <si>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세종중앙농협주유소</t>
  </si>
  <si>
    <t xml:space="preserve">세종특별자치시 연기면 잣띠길 4</t>
  </si>
  <si>
    <t xml:space="preserve">씨앤에스유통(주)세종셀프주유소</t>
  </si>
  <si>
    <t xml:space="preserve">세종시 다정북로 221(다정동)</t>
  </si>
  <si>
    <t xml:space="preserve">아주알뜰주유소 ㈜아주</t>
  </si>
  <si>
    <t xml:space="preserve">세종특별자치시 다정북로 40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</si>
  <si>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</si>
  <si>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</si>
  <si>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</si>
  <si>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</si>
  <si>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㈜아산구도일</t>
  </si>
  <si>
    <t xml:space="preserve">충남 아산시 영인면 장영실로 714</t>
  </si>
  <si>
    <t xml:space="preserve">아산미그린주식회사</t>
  </si>
  <si>
    <t xml:space="preserve">충남 아산시 탕정면 이순신대로 695-5</t>
  </si>
  <si>
    <t xml:space="preserve">염치농협주유소</t>
  </si>
  <si>
    <t xml:space="preserve">충남 아산시 염치읍 아산로 321</t>
  </si>
  <si>
    <t xml:space="preserve">김여사주유소</t>
  </si>
  <si>
    <t xml:space="preserve">충남 천안시 서북구 성거읍 봉주로 202</t>
  </si>
  <si>
    <t xml:space="preserve">(유)주유나라주유소</t>
  </si>
  <si>
    <t xml:space="preserve">충북 청주시 청원구 율천북로 175 (율량동)</t>
  </si>
  <si>
    <t xml:space="preserve">(주)국영에너지 하나주유소</t>
  </si>
  <si>
    <t xml:space="preserve">충북 청주시 흥덕구 직지대로 584</t>
  </si>
  <si>
    <t xml:space="preserve">KH에너지㈜직영 제이주유소</t>
  </si>
  <si>
    <t xml:space="preserve">충북 청주시 흥덕구 1순환로 531</t>
  </si>
  <si>
    <t xml:space="preserve">㈜신화에너지 서울 오창지점 오창관문주유소</t>
  </si>
  <si>
    <t xml:space="preserve">충북 청주시 청원구 오창읍 양청농소길 102</t>
  </si>
  <si>
    <t xml:space="preserve">가경주유소</t>
  </si>
  <si>
    <t xml:space="preserve">충북 청주시 서원구 서부로 1355</t>
  </si>
  <si>
    <t xml:space="preserve">강산주유소</t>
  </si>
  <si>
    <t xml:space="preserve">충북 청주시 상당구 가덕면 단재로 1377</t>
  </si>
  <si>
    <t xml:space="preserve">남청주 양지주유소</t>
  </si>
  <si>
    <t xml:space="preserve">충북 청주시 서원구 현도면 청남로 80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</si>
  <si>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</si>
  <si>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</si>
  <si>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</si>
  <si>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</si>
  <si>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무궁화주유소</t>
  </si>
  <si>
    <t xml:space="preserve">충북 청주시 흥덕구 가로수로 1372 (복대동)</t>
  </si>
  <si>
    <t xml:space="preserve">번개셀프2주유소</t>
  </si>
  <si>
    <t xml:space="preserve">충북 청주시 상당구 단재로 391 (지북동)</t>
  </si>
  <si>
    <t xml:space="preserve">부자주유소</t>
  </si>
  <si>
    <t xml:space="preserve">충북 청주시 흥덕구 1순환로 391</t>
  </si>
  <si>
    <t xml:space="preserve">새빛주유소</t>
  </si>
  <si>
    <t xml:space="preserve">충북 청주시 상당구 남일면 단재로 466-5</t>
  </si>
  <si>
    <t xml:space="preserve">서청주IC주유소</t>
  </si>
  <si>
    <t xml:space="preserve">충북 청주시 흥덕구 직지대로 183</t>
  </si>
  <si>
    <t xml:space="preserve">신정현주유소</t>
  </si>
  <si>
    <t xml:space="preserve">충북 청주시 서원구 사운로 118</t>
  </si>
  <si>
    <t xml:space="preserve">충북 청주시 흥덕구 1순환로 582 (봉명동)</t>
  </si>
  <si>
    <t xml:space="preserve">정현2주유소</t>
  </si>
  <si>
    <t xml:space="preserve">충북 청주시 청원구 1순환로 350</t>
  </si>
  <si>
    <t xml:space="preserve">청주농협북부주유소</t>
  </si>
  <si>
    <t xml:space="preserve">충북 청주시 청원구 공항로 97</t>
  </si>
  <si>
    <t xml:space="preserve">청주농협주유소</t>
  </si>
  <si>
    <t xml:space="preserve">충북 청주시 상당구 월평로184번길 136</t>
  </si>
  <si>
    <t xml:space="preserve">충북석유(주) 새터주유소</t>
  </si>
  <si>
    <t xml:space="preserve">충북 청주시 청원구 새터로 203</t>
  </si>
  <si>
    <t xml:space="preserve">충북석유(주)성화주유소</t>
  </si>
  <si>
    <t xml:space="preserve">충청북도 청주시 서원구 서부로 1354</t>
  </si>
  <si>
    <t xml:space="preserve">흥진주유소</t>
  </si>
  <si>
    <t xml:space="preserve">충북 청주시 청원구 북이면 충청대로 1293</t>
  </si>
  <si>
    <t xml:space="preserve">역전주유소</t>
  </si>
  <si>
    <t xml:space="preserve">충남 보령시 대해로 141 (내항동)</t>
  </si>
  <si>
    <t xml:space="preserve">여천주유소</t>
  </si>
  <si>
    <t xml:space="preserve">충북 청주시 청원구 오창읍 여천3길 257</t>
  </si>
  <si>
    <t xml:space="preserve">충북 청주시 흥덕구 강내면 태성탑연로 68</t>
  </si>
  <si>
    <t xml:space="preserve">이인농협주유소</t>
  </si>
  <si>
    <t xml:space="preserve">충남 공주시 이인면 검바위로 434</t>
  </si>
  <si>
    <t xml:space="preserve">내수농업협동조합</t>
  </si>
  <si>
    <t xml:space="preserve">충북 청주시 청원구 내수읍 내수로 751</t>
  </si>
  <si>
    <t xml:space="preserve">주산농협주유소</t>
  </si>
  <si>
    <t xml:space="preserve">충남 보령시 주산면 충서로 430</t>
  </si>
  <si>
    <t xml:space="preserve">세종연서농협주유소</t>
  </si>
  <si>
    <t xml:space="preserve">세종 연서면 함박로 122</t>
  </si>
  <si>
    <t xml:space="preserve">선녀주유소</t>
  </si>
  <si>
    <t xml:space="preserve">충남 천안시 서북구 천안대로 1394 (신당동)</t>
  </si>
  <si>
    <t xml:space="preserve">스타홀딩스 주식회사</t>
  </si>
  <si>
    <t xml:space="preserve">충남 천안시 서북구 천안대로 1207 (신당동)</t>
  </si>
  <si>
    <t xml:space="preserve">우성주유소</t>
  </si>
  <si>
    <t xml:space="preserve">충남 공주시 우성면 동대리길 93</t>
  </si>
  <si>
    <t xml:space="preserve">구도일주유소 자영에너지㈜</t>
  </si>
  <si>
    <t xml:space="preserve">충북 청주시 서원구 남이면 청남로 926</t>
  </si>
  <si>
    <t xml:space="preserve">HD현대오일뱅크㈜직영 천안푸른주유소</t>
  </si>
  <si>
    <t xml:space="preserve">충남 천안시 동남구 서부대로 555</t>
  </si>
  <si>
    <t xml:space="preserve">의당농협주유소</t>
  </si>
  <si>
    <t xml:space="preserve">충남 공주시 의당면 의당전의로 9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</si>
  <si>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</si>
  <si>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</si>
  <si>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</si>
  <si>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</si>
  <si>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오창농협주유소</t>
  </si>
  <si>
    <t xml:space="preserve">충북 청주시 청원구 오창읍 중부로 1022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</si>
  <si>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</si>
  <si>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</si>
  <si>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</si>
  <si>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</si>
  <si>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백룡주유소</t>
  </si>
  <si>
    <t xml:space="preserve">충남 공주시 신풍면 차동로 1789</t>
  </si>
  <si>
    <t xml:space="preserve">루트40주유소</t>
  </si>
  <si>
    <t xml:space="preserve">충남 공주시 이인면 잣골길 52-11 (이인면)</t>
  </si>
  <si>
    <t xml:space="preserve">씨앤에스유통(주)목천주유소</t>
  </si>
  <si>
    <t xml:space="preserve">충남 천안시 동남구 목천읍 학수소사길 213</t>
  </si>
  <si>
    <t xml:space="preserve">상봉주유소</t>
  </si>
  <si>
    <t xml:space="preserve">충북 청주시 흥덕구 오송읍 세종로 2880</t>
  </si>
  <si>
    <t xml:space="preserve">월선주유소</t>
  </si>
  <si>
    <t xml:space="preserve">충남 아산시 영인면 월선길 82</t>
  </si>
  <si>
    <t xml:space="preserve">(주) 크로스로지텍 남청주주유소</t>
  </si>
  <si>
    <t xml:space="preserve">충북 청주시 서원구 남이면 청남로 991</t>
  </si>
  <si>
    <t xml:space="preserve">극동유화(주) 충청주유소</t>
  </si>
  <si>
    <t xml:space="preserve">충남 천안시 서북구 성거읍 봉주로 279</t>
  </si>
  <si>
    <t xml:space="preserve">극동유화(주) 역전주유소</t>
  </si>
  <si>
    <t xml:space="preserve">충북 청주시 흥덕구 청주역로 314 (정봉동)</t>
  </si>
  <si>
    <t xml:space="preserve">럭키셀프주유소</t>
  </si>
  <si>
    <t xml:space="preserve">충남 천안시 서북구 성환읍 천안대로 1846</t>
  </si>
  <si>
    <t xml:space="preserve">(주)소모 아산둔포주유소</t>
  </si>
  <si>
    <t xml:space="preserve">충남 아산시 둔포면 장영실로 1292</t>
  </si>
  <si>
    <t xml:space="preserve">자유주유소</t>
  </si>
  <si>
    <t xml:space="preserve">충남 아산시 외암로 1380</t>
  </si>
  <si>
    <t xml:space="preserve">대천농협주유소</t>
  </si>
  <si>
    <t xml:space="preserve">충남 보령시 대천방조제로 84  (대천동)</t>
  </si>
  <si>
    <t xml:space="preserve">소양주유소</t>
  </si>
  <si>
    <t xml:space="preserve">충남 보령시 청라면 대청로 1100</t>
  </si>
  <si>
    <t xml:space="preserve">광신2주유소</t>
  </si>
  <si>
    <t xml:space="preserve">충남 보령시 보령북로 250 (대천동)</t>
  </si>
  <si>
    <t xml:space="preserve">영인산주유소</t>
  </si>
  <si>
    <t xml:space="preserve">충남 아산시 영인면 아산로 987</t>
  </si>
  <si>
    <t xml:space="preserve">스타홀딩스㈜ 아산선녀주유소</t>
  </si>
  <si>
    <t xml:space="preserve">충남 아산시 염치읍 아산로 625</t>
  </si>
  <si>
    <t xml:space="preserve">㈜삼화에너지 태우주유소</t>
  </si>
  <si>
    <t xml:space="preserve">충남 천안시 동남구 목천읍 남부대로 1006</t>
  </si>
  <si>
    <t xml:space="preserve">성원에너지</t>
  </si>
  <si>
    <t xml:space="preserve">충북 청주시 서원구 남이면 연청로 1288-7</t>
  </si>
  <si>
    <t xml:space="preserve">해오름셀프주유소</t>
  </si>
  <si>
    <t xml:space="preserve">충남 천안시 동남구 목천읍 남부대로 949</t>
  </si>
  <si>
    <t xml:space="preserve">흑성주유소</t>
  </si>
  <si>
    <t xml:space="preserve">충남 천안시 동남구 목천읍 충절로 1175</t>
  </si>
  <si>
    <t xml:space="preserve">신광셀프주유소</t>
  </si>
  <si>
    <t xml:space="preserve">충북 청주시 청원구 오창읍 두릉유리로 345</t>
  </si>
  <si>
    <t xml:space="preserve">정안(상)주유소</t>
  </si>
  <si>
    <t xml:space="preserve">충남 공주시 정안면 논산천안고속도로 58-1</t>
  </si>
  <si>
    <t xml:space="preserve">그랜드주유소</t>
  </si>
  <si>
    <t xml:space="preserve">충북 청주시 청원구 오창읍 꽃화산1길 126-33</t>
  </si>
  <si>
    <t xml:space="preserve">평온주유소</t>
  </si>
  <si>
    <t xml:space="preserve">충남 천안시 서북구 성환18길 11-124</t>
  </si>
  <si>
    <t xml:space="preserve">워터파크주유소</t>
  </si>
  <si>
    <t xml:space="preserve">충남 천안시 동남구 목천읍 충절로 1140</t>
  </si>
  <si>
    <t xml:space="preserve">메이저주유소</t>
  </si>
  <si>
    <t xml:space="preserve">충북 청주시 청원구 오창읍 두릉유리로 207</t>
  </si>
  <si>
    <t xml:space="preserve">충북 청주시 청원구 오창읍 두릉유리로 204</t>
  </si>
  <si>
    <t xml:space="preserve">홍익주유소</t>
  </si>
  <si>
    <t xml:space="preserve">충남 천안시 서북구 직산읍 상덕로 155</t>
  </si>
  <si>
    <t xml:space="preserve">HD현대오일뱅크㈜직영 번영주유소</t>
  </si>
  <si>
    <t xml:space="preserve">충남 천안시 서북구 2공단1로 10 (성성동)</t>
  </si>
  <si>
    <t xml:space="preserve">HD현대오일뱅크㈜직영 협신주유소</t>
  </si>
  <si>
    <t xml:space="preserve">충남 천안시 동남구 풍세로 583</t>
  </si>
  <si>
    <t xml:space="preserve">계룡농협주유소</t>
  </si>
  <si>
    <t xml:space="preserve">충남 공주시 계룡면 영규대사로 365</t>
  </si>
  <si>
    <t xml:space="preserve">가로수주유소</t>
  </si>
  <si>
    <t xml:space="preserve">충북 청주시 흥덕구 가로수로 797 (석소동)</t>
  </si>
  <si>
    <t xml:space="preserve">유구농협주유소/충전소</t>
  </si>
  <si>
    <t xml:space="preserve">충남 공주시 유구읍 금계산로 477</t>
  </si>
  <si>
    <t xml:space="preserve">신보령주유소</t>
  </si>
  <si>
    <t xml:space="preserve">충남 보령시 청소면 충서로 3610</t>
  </si>
  <si>
    <t xml:space="preserve">현도주유소</t>
  </si>
  <si>
    <t xml:space="preserve">충북 청주시 서원구 현도면 청남로 264</t>
  </si>
  <si>
    <t xml:space="preserve">석곡주유소</t>
  </si>
  <si>
    <t xml:space="preserve">충북 청주시 흥덕구 남석로 615</t>
  </si>
  <si>
    <t xml:space="preserve">장원주유소</t>
  </si>
  <si>
    <t xml:space="preserve">충남 아산시 음봉면 음봉로 195</t>
  </si>
  <si>
    <t xml:space="preserve">청소농협협동조합</t>
  </si>
  <si>
    <t xml:space="preserve">충남 보령시 청소면 청소큰길 192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</si>
  <si>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</si>
  <si>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</si>
  <si>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</si>
  <si>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</si>
  <si>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충남 아산시 영인면 장영실로 687</t>
  </si>
  <si>
    <t xml:space="preserve">동방주유소</t>
  </si>
  <si>
    <t xml:space="preserve">충남 천안시 동남구 성남면 5산단로 236</t>
  </si>
  <si>
    <t xml:space="preserve">행복셀프주유소</t>
  </si>
  <si>
    <t xml:space="preserve">충남 보령시 대청로 209</t>
  </si>
  <si>
    <t xml:space="preserve">청주여객터미널주유소</t>
  </si>
  <si>
    <t xml:space="preserve">충북 청주시 흥덕구 풍산로 6 (가경동)</t>
  </si>
  <si>
    <t xml:space="preserve">충남 아산시 신창면 서부북로 691</t>
  </si>
  <si>
    <t xml:space="preserve">봉명셀프주유소</t>
  </si>
  <si>
    <t xml:space="preserve">충남 천안시 동남구 차돌로 97</t>
  </si>
  <si>
    <t xml:space="preserve">남선석유(주) 백석셀프주유소</t>
  </si>
  <si>
    <t xml:space="preserve">충남 천안시 서북구 백석로 161 (백석동)</t>
  </si>
  <si>
    <t xml:space="preserve">세종 부강면 부강외천로 271</t>
  </si>
  <si>
    <t xml:space="preserve">하나주유소</t>
  </si>
  <si>
    <t xml:space="preserve">충남 천안시 동남구 성남면 성남로 260</t>
  </si>
  <si>
    <t xml:space="preserve">삼원소재㈜대풍주유소</t>
  </si>
  <si>
    <t xml:space="preserve">충남 아산시 도고면 도고면로 2</t>
  </si>
  <si>
    <t xml:space="preserve">입장농협주유소</t>
  </si>
  <si>
    <t xml:space="preserve">충남 천안시 서북구 입장면 입장로 113</t>
  </si>
  <si>
    <t xml:space="preserve">SK에너지(주)직영 공영주유소</t>
  </si>
  <si>
    <t xml:space="preserve">충북 청주시 흥덕구 직지대로 387</t>
  </si>
  <si>
    <t xml:space="preserve">둔포농협주유소</t>
  </si>
  <si>
    <t xml:space="preserve">충남 아산시 둔포면 충무로 1759</t>
  </si>
  <si>
    <t xml:space="preserve">선도농협주유소</t>
  </si>
  <si>
    <t xml:space="preserve">충남 아산시 선장면 아산만로 603</t>
  </si>
  <si>
    <t xml:space="preserve">성환농협북부지점 주유소</t>
  </si>
  <si>
    <t xml:space="preserve">충남 천안시 서북구 성환읍 천안대로 2436</t>
  </si>
  <si>
    <t xml:space="preserve">동광에너지</t>
  </si>
  <si>
    <t xml:space="preserve">충북 청주시 흥덕구 직지대로 52 (지동동)</t>
  </si>
  <si>
    <t xml:space="preserve">이수에너지</t>
  </si>
  <si>
    <t xml:space="preserve">충남 보령시 주교면 보령북로 469</t>
  </si>
  <si>
    <t xml:space="preserve">온양농협주유소</t>
  </si>
  <si>
    <t xml:space="preserve">충남 아산시 신창면 서부북로 906</t>
  </si>
  <si>
    <t xml:space="preserve">동천안농협주유소</t>
  </si>
  <si>
    <t xml:space="preserve">충남 천안시 동남구 목천읍 남부대로 1155</t>
  </si>
  <si>
    <t xml:space="preserve">배방농협주유소</t>
  </si>
  <si>
    <t xml:space="preserve">충남 아산시 배방읍 호서로 429</t>
  </si>
  <si>
    <t xml:space="preserve">오천농협주유소</t>
  </si>
  <si>
    <t xml:space="preserve">충남 보령시 오천면 충청수영로 564-5</t>
  </si>
  <si>
    <t xml:space="preserve">구도일주유소 대해로</t>
  </si>
  <si>
    <t xml:space="preserve">충남 보령시 대해로 297</t>
  </si>
  <si>
    <t xml:space="preserve">초원주유소</t>
  </si>
  <si>
    <t xml:space="preserve">충남 아산시 실옥로 67</t>
  </si>
  <si>
    <t xml:space="preserve">은포주유소</t>
  </si>
  <si>
    <t xml:space="preserve">충남 보령시 주교면 토정로 690</t>
  </si>
  <si>
    <t xml:space="preserve">남포농협주유소</t>
  </si>
  <si>
    <t xml:space="preserve">충남 보령시 남포면 월전로 9</t>
  </si>
  <si>
    <t xml:space="preserve">중부화물터미널주유소</t>
  </si>
  <si>
    <t xml:space="preserve">충남 천안시 동남구 청당산업길 33 (구룡동)</t>
  </si>
  <si>
    <t xml:space="preserve">신방주유소</t>
  </si>
  <si>
    <t xml:space="preserve">충남 천안시 서북구 성환읍 신방로 41</t>
  </si>
  <si>
    <t xml:space="preserve">현대오일뱅크 정원주유소</t>
  </si>
  <si>
    <t xml:space="preserve">충남 천안시 서북구 성환읍 신방로 376</t>
  </si>
  <si>
    <t xml:space="preserve">터미널주유소</t>
  </si>
  <si>
    <t xml:space="preserve">충북 청주시 흥덕구 가로수로1086번길 1</t>
  </si>
  <si>
    <t xml:space="preserve">고룡산주유소</t>
  </si>
  <si>
    <t xml:space="preserve">충남 아산시 영인면 장영실로 619</t>
  </si>
  <si>
    <t xml:space="preserve">가은주유소</t>
  </si>
  <si>
    <t xml:space="preserve">충남 천안시 서북구 성환읍 천안대로 1899</t>
  </si>
  <si>
    <t xml:space="preserve">둔포주유소</t>
  </si>
  <si>
    <t xml:space="preserve">충남 아산시 둔포면 아산호로 1004</t>
  </si>
  <si>
    <t xml:space="preserve">SK에너지(주) 삼성OK주유소</t>
  </si>
  <si>
    <t xml:space="preserve">충남 천안시 서북구 3공단5로 78 (성성동)</t>
  </si>
  <si>
    <t xml:space="preserve">청주관문주유소 화물터미널점</t>
  </si>
  <si>
    <t xml:space="preserve">충북 청주시 흥덕구 직지대로240번길 38</t>
  </si>
  <si>
    <t xml:space="preserve">삼화1주유소</t>
  </si>
  <si>
    <t xml:space="preserve">충남 아산시 둔포면 충무로 1576</t>
  </si>
  <si>
    <t xml:space="preserve">해암주유소</t>
  </si>
  <si>
    <t xml:space="preserve">충남 아산시 인주면 현대로 855</t>
  </si>
  <si>
    <t xml:space="preserve">오송햇살주유소</t>
  </si>
  <si>
    <t xml:space="preserve">충북 청주시 흥덕구 강외면 오송생명로 201</t>
  </si>
  <si>
    <t xml:space="preserve">정안(하)주유소</t>
  </si>
  <si>
    <t xml:space="preserve">충남 공주시 정안면 논산천안고속도로 57-1</t>
  </si>
  <si>
    <t xml:space="preserve">(주)한유에너지 중부주유소</t>
  </si>
  <si>
    <t xml:space="preserve">세종시 조치원읍 세종로 2167</t>
  </si>
  <si>
    <t xml:space="preserve">한마음주유소</t>
  </si>
  <si>
    <t xml:space="preserve">충청남도 아산시 염치읍 아산로 602</t>
  </si>
  <si>
    <t xml:space="preserve">달산주유소</t>
  </si>
  <si>
    <t xml:space="preserve">충남 공주시 이인면 검바위로 71</t>
  </si>
  <si>
    <t xml:space="preserve">백석주유소</t>
  </si>
  <si>
    <t xml:space="preserve">충남 아산시 영인면 아산호로 318</t>
  </si>
  <si>
    <t xml:space="preserve">㈜제스 현대조은주유소</t>
  </si>
  <si>
    <t xml:space="preserve">충남 아산시 인주면 현대로 1088</t>
  </si>
  <si>
    <t xml:space="preserve">대길주유소</t>
  </si>
  <si>
    <t xml:space="preserve">충남 공주시 백제큰길 1384 (검상동)</t>
  </si>
  <si>
    <t xml:space="preserve">탄천농협주유소</t>
  </si>
  <si>
    <t xml:space="preserve">충남 공주시 탄천면 통산로 232</t>
  </si>
  <si>
    <t xml:space="preserve">주식회사 경부에너지</t>
  </si>
  <si>
    <t xml:space="preserve">충남 천안시 서북구 성환읍 연암로 194</t>
  </si>
  <si>
    <t xml:space="preserve">정다운주유소</t>
  </si>
  <si>
    <t xml:space="preserve">충남 아산시 영인면 아산호로 191</t>
  </si>
  <si>
    <t xml:space="preserve">그린이에스</t>
  </si>
  <si>
    <t xml:space="preserve">충북 청주시 흥덕구 청주역로 284 (정봉동)</t>
  </si>
  <si>
    <t xml:space="preserve">대천IC셀프주유소</t>
  </si>
  <si>
    <t xml:space="preserve">충남 보령시 대해로 423</t>
  </si>
  <si>
    <t xml:space="preserve">성남주유소</t>
  </si>
  <si>
    <t xml:space="preserve">충북 청주시 상당구 문의면 미천고은로 153</t>
  </si>
  <si>
    <t xml:space="preserve">오송우리주유소</t>
  </si>
  <si>
    <t xml:space="preserve">충북 청주시 흥덕구 오송읍 가로수로 171-2</t>
  </si>
  <si>
    <t xml:space="preserve">단재 셀프주유소</t>
  </si>
  <si>
    <t xml:space="preserve">충북 청주시 상당구 영운로 71 (영운동)</t>
  </si>
  <si>
    <t xml:space="preserve">CJ대한통운㈜ 중부화물터미널주유소</t>
  </si>
  <si>
    <t xml:space="preserve">세종특별자치시 부강면 연청로 745-46</t>
  </si>
  <si>
    <t xml:space="preserve">대홍주유소</t>
  </si>
  <si>
    <t xml:space="preserve">충남 천안시 서북구 성환읍 천안대로 2356</t>
  </si>
  <si>
    <t xml:space="preserve">㈜구룡에너지</t>
  </si>
  <si>
    <t xml:space="preserve">충북 청주시 청원구 오창읍 오창대로 149</t>
  </si>
  <si>
    <t xml:space="preserve">해양주유소</t>
  </si>
  <si>
    <t xml:space="preserve">충남 보령시 대해로 386</t>
  </si>
  <si>
    <t xml:space="preserve">신화상사(주)성원주유소</t>
  </si>
  <si>
    <t xml:space="preserve">충남 아산시 순천향로 998 (좌부동)</t>
  </si>
  <si>
    <t xml:space="preserve">동인석유 주식회사</t>
  </si>
  <si>
    <t xml:space="preserve">충남 아산시 순천향로 738 (장존동)</t>
  </si>
  <si>
    <t xml:space="preserve">자원주유소</t>
  </si>
  <si>
    <t xml:space="preserve">충남 아산시 둔포면 장영실로 1101</t>
  </si>
  <si>
    <t xml:space="preserve">오창IC만남주유소(SELF)</t>
  </si>
  <si>
    <t xml:space="preserve">충북 청주시 청원구 오창읍 오창대로 415</t>
  </si>
  <si>
    <t xml:space="preserve">삼성GOOD주유소</t>
  </si>
  <si>
    <t xml:space="preserve">충청남도 아산시 탕정면 436-2</t>
  </si>
  <si>
    <t xml:space="preserve">대현주유소</t>
  </si>
  <si>
    <t xml:space="preserve">충북 청주시 청원구 오창읍 농소길 17-1</t>
  </si>
  <si>
    <t xml:space="preserve">통일에너지(주)</t>
  </si>
  <si>
    <t xml:space="preserve">충남 아산시 온천대로 1705 (모종동)</t>
  </si>
  <si>
    <t xml:space="preserve">행복날개주유소</t>
  </si>
  <si>
    <t xml:space="preserve">충남 아산시 배방읍 온천대로 1829</t>
  </si>
  <si>
    <t xml:space="preserve">동학사주유소</t>
  </si>
  <si>
    <t xml:space="preserve">충남 공주시 반포면 금벽로 1963</t>
  </si>
  <si>
    <t xml:space="preserve">연흥2주유소</t>
  </si>
  <si>
    <t xml:space="preserve">충북 청주시 청원구 내수읍 내수로 293</t>
  </si>
  <si>
    <t xml:space="preserve">병천주유소</t>
  </si>
  <si>
    <t xml:space="preserve">충남 천안시 동남구 목천읍 충절로 1758</t>
  </si>
  <si>
    <t xml:space="preserve">현암주유소</t>
  </si>
  <si>
    <t xml:space="preserve">충북 청주시 흥덕구 서부로 767 (현암동)</t>
  </si>
  <si>
    <t xml:space="preserve">충북 청주시 흥덕구 강내면 서부로 344</t>
  </si>
  <si>
    <t xml:space="preserve">영호주유소</t>
  </si>
  <si>
    <t xml:space="preserve">충남 천안시 동남구 풍세로 857 (용곡동)</t>
  </si>
  <si>
    <t xml:space="preserve">대련주유소</t>
  </si>
  <si>
    <t xml:space="preserve">충북 청주시 서원구 남이면 대림로 148</t>
  </si>
  <si>
    <t xml:space="preserve">우리에너지</t>
  </si>
  <si>
    <t xml:space="preserve">충북 청주시 청원구 오창읍 중부로 1642</t>
  </si>
  <si>
    <t xml:space="preserve">아산호서대주유소</t>
  </si>
  <si>
    <t xml:space="preserve">충남 아산시 배방읍 호서로 254</t>
  </si>
  <si>
    <t xml:space="preserve">내수주유소</t>
  </si>
  <si>
    <t xml:space="preserve">충북 청주시 청원구 내수읍 충청대로 934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</si>
  <si>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</si>
  <si>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</si>
  <si>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</si>
  <si>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</si>
  <si>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</si>
  <si>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</si>
  <si>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송절주유소</t>
  </si>
  <si>
    <t xml:space="preserve">충북 청주시 흥덕구 월명로 278</t>
  </si>
  <si>
    <t xml:space="preserve">연기주유소</t>
  </si>
  <si>
    <t xml:space="preserve">세종특별자치시 연기면 당산로 116</t>
  </si>
  <si>
    <t xml:space="preserve">천북농협주유소</t>
  </si>
  <si>
    <t xml:space="preserve">충남 보령시 천북면 홍보로 670</t>
  </si>
  <si>
    <t xml:space="preserve">하이웨이주유소</t>
  </si>
  <si>
    <t xml:space="preserve">충북 청주시 서원구 남이면 청남로 1775</t>
  </si>
  <si>
    <t xml:space="preserve">만남주유소</t>
  </si>
  <si>
    <t xml:space="preserve">충북 청주시 흥덕구 직지대로 126 (지동동)</t>
  </si>
  <si>
    <t xml:space="preserve">아산영인주유소</t>
  </si>
  <si>
    <t xml:space="preserve">충남 아산시 영인면 영인로 160</t>
  </si>
  <si>
    <t xml:space="preserve">우리나라주유소</t>
  </si>
  <si>
    <t xml:space="preserve">충남 천안시 동남구 북면 충절로 1284</t>
  </si>
  <si>
    <t xml:space="preserve">가람주유소</t>
  </si>
  <si>
    <t xml:space="preserve">충남 아산시 인주면 인주산단로 23-2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</si>
  <si>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</si>
  <si>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</si>
  <si>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</si>
  <si>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CJ대한통운㈜ 오창주유소</t>
  </si>
  <si>
    <t xml:space="preserve">충북 청주시 청원구 오창읍 중부로 1365</t>
  </si>
  <si>
    <t xml:space="preserve">충북 청주시 흥덕구 오송읍 오송가락로 422</t>
  </si>
  <si>
    <t xml:space="preserve">오산리주유소</t>
  </si>
  <si>
    <t xml:space="preserve">충북 청주시 흥덕구 옥산면 오송가락로 759</t>
  </si>
  <si>
    <t xml:space="preserve">천북농협클린(신덕점)주유소</t>
  </si>
  <si>
    <t xml:space="preserve">충남 보령시 천북면 천광로 557</t>
  </si>
  <si>
    <t xml:space="preserve">아산신도시주유소</t>
  </si>
  <si>
    <t xml:space="preserve">충남 아산시 배방읍 새아산로 20-2</t>
  </si>
  <si>
    <t xml:space="preserve">쌍암주유소</t>
  </si>
  <si>
    <t xml:space="preserve">충남 아산시 음봉면 연암율금로 555</t>
  </si>
  <si>
    <t xml:space="preserve">충남 아산시 도고면 온천대로 55</t>
  </si>
  <si>
    <t xml:space="preserve">충남 천안시 서북구 성환읍 천안대로 2021</t>
  </si>
  <si>
    <t xml:space="preserve">충남 아산시 곡교천로 151 (온천동)</t>
  </si>
  <si>
    <t xml:space="preserve">수신주유소</t>
  </si>
  <si>
    <t xml:space="preserve">충청남도 천안시 동남구 수신면 수신로 290 (수신면)</t>
  </si>
  <si>
    <t xml:space="preserve">DH천안주유소</t>
  </si>
  <si>
    <t xml:space="preserve">충남 천안시 서북구 천안대로 1166</t>
  </si>
  <si>
    <t xml:space="preserve">다락골주유소</t>
  </si>
  <si>
    <t xml:space="preserve">충북 청주시 상당구 미원면 단재로 2814</t>
  </si>
  <si>
    <t xml:space="preserve">명성주유소</t>
  </si>
  <si>
    <t xml:space="preserve">충남 천안시 서북구 직산읍 상덕로 174</t>
  </si>
  <si>
    <t xml:space="preserve">백산주유소</t>
  </si>
  <si>
    <t xml:space="preserve">대전 서구 동서대로 1068 (변동)</t>
  </si>
  <si>
    <t xml:space="preserve">삼성그린주유소</t>
  </si>
  <si>
    <t xml:space="preserve">충남 아산시 음봉면 음봉로 648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</si>
  <si>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</si>
  <si>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</si>
  <si>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</si>
  <si>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</si>
  <si>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</si>
  <si>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</si>
  <si>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</si>
  <si>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</si>
  <si>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</si>
  <si>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2026-03-19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</si>
  <si>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</si>
  <si>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</si>
  <si>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</si>
  <si>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</si>
  <si>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</si>
  <si>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</si>
  <si>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</si>
  <si>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</si>
  <si>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</si>
  <si>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</si>
  <si>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</si>
  <si>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>현행화 일자: 2026-03-20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</si>
</sst>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_(* #,##0_);_(* \(#,##0\);_(* \-_);_(@_)"/>
    <numFmt numFmtId="171" formatCode="\₩#,##0.00;&quot;-₩&quot;#,##0.00"/>
    <numFmt numFmtId="172" formatCode="\₩#,##0;&quot;-₩&quot;#,##0"/>
    <numFmt numFmtId="173" formatCode="0.00"/>
    <numFmt numFmtId="174" formatCode="#,##0"/>
  </numFmts>
  <fonts count="28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0"/>
      <charset val="1"/>
    </font>
    <font>
      <sz val="11"/>
      <color theme="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맑은 고딕"/>
      <family val="0"/>
      <charset val="1"/>
    </font>
    <font>
      <sz val="11"/>
      <color rgb="FFFF0000"/>
      <name val="Arial"/>
      <family val="0"/>
      <charset val="1"/>
    </font>
    <font>
      <b val="true"/>
      <sz val="11"/>
      <color rgb="FFFA7D00"/>
      <name val="Arial"/>
      <family val="0"/>
      <charset val="1"/>
    </font>
    <font>
      <sz val="11"/>
      <color rgb="FF9C0006"/>
      <name val="Arial"/>
      <family val="0"/>
      <charset val="1"/>
    </font>
    <font>
      <sz val="11"/>
      <color rgb="FF9C6500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C0504D"/>
      <name val="Arial"/>
      <family val="0"/>
      <charset val="1"/>
    </font>
    <font>
      <sz val="11"/>
      <color rgb="FFFA7D00"/>
      <name val="Arial"/>
      <family val="0"/>
      <charset val="1"/>
    </font>
    <font>
      <sz val="11"/>
      <color theme="1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rgb="FF3F3F76"/>
      <name val="Arial"/>
      <family val="0"/>
      <charset val="1"/>
    </font>
    <font>
      <b val="true"/>
      <sz val="15"/>
      <color theme="3"/>
      <name val="Arial"/>
      <family val="0"/>
      <charset val="1"/>
    </font>
    <font>
      <b val="true"/>
      <sz val="13"/>
      <color theme="3"/>
      <name val="Arial"/>
      <family val="0"/>
      <charset val="1"/>
    </font>
    <font>
      <b val="true"/>
      <sz val="11"/>
      <color theme="3"/>
      <name val="Arial"/>
      <family val="0"/>
      <charset val="1"/>
    </font>
    <font>
      <sz val="11"/>
      <color rgb="FF006100"/>
      <name val="Arial"/>
      <family val="0"/>
      <charset val="1"/>
    </font>
    <font>
      <b val="true"/>
      <sz val="11"/>
      <color rgb="FF3F3F3F"/>
      <name val="Arial"/>
      <family val="0"/>
      <charset val="1"/>
    </font>
    <font>
      <b val="true"/>
      <sz val="14"/>
      <color rgb="FF000000"/>
      <name val="맑은 고딕"/>
      <family val="0"/>
      <charset val="1"/>
    </font>
    <font>
      <sz val="11"/>
      <color rgb="FF000000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9"/>
        <bgColor rgb="FFDBEEF4"/>
      </patternFill>
    </fill>
    <fill>
      <patternFill patternType="solid">
        <fgColor theme="5" tint="0.7999"/>
        <bgColor rgb="FFE6E0EC"/>
      </patternFill>
    </fill>
    <fill>
      <patternFill patternType="solid">
        <fgColor theme="6" tint="0.7999"/>
        <bgColor rgb="FFF2F2F2"/>
      </patternFill>
    </fill>
    <fill>
      <patternFill patternType="solid">
        <fgColor theme="7" tint="0.7999"/>
        <bgColor rgb="FFE6E6E6"/>
      </patternFill>
    </fill>
    <fill>
      <patternFill patternType="solid">
        <fgColor theme="8" tint="0.7999"/>
        <bgColor rgb="FFDCE6F2"/>
      </patternFill>
    </fill>
    <fill>
      <patternFill patternType="solid">
        <fgColor theme="9" tint="0.7999"/>
        <bgColor rgb="FFEBF1DE"/>
      </patternFill>
    </fill>
    <fill>
      <patternFill patternType="solid">
        <fgColor theme="4" tint="0.5999"/>
        <bgColor rgb="FFACCCEA"/>
      </patternFill>
    </fill>
    <fill>
      <patternFill patternType="solid">
        <fgColor theme="5" tint="0.5999"/>
        <bgColor rgb="FFFAC090"/>
      </patternFill>
    </fill>
    <fill>
      <patternFill patternType="solid">
        <fgColor theme="6" tint="0.5999"/>
        <bgColor rgb="FFC6EFCE"/>
      </patternFill>
    </fill>
    <fill>
      <patternFill patternType="solid">
        <fgColor theme="7" tint="0.5999"/>
        <bgColor rgb="FFBFBFBF"/>
      </patternFill>
    </fill>
    <fill>
      <patternFill patternType="solid">
        <fgColor theme="8" tint="0.5999"/>
        <bgColor rgb="FFB9CDE5"/>
      </patternFill>
    </fill>
    <fill>
      <patternFill patternType="solid">
        <fgColor theme="9" tint="0.5999"/>
        <bgColor rgb="FFFFC7CE"/>
      </patternFill>
    </fill>
    <fill>
      <patternFill patternType="solid">
        <fgColor theme="4" tint="0.3999"/>
        <bgColor rgb="FFB2B2B2"/>
      </patternFill>
    </fill>
    <fill>
      <patternFill patternType="solid">
        <fgColor theme="5" tint="0.3999"/>
        <bgColor rgb="FFB3A2C7"/>
      </patternFill>
    </fill>
    <fill>
      <patternFill patternType="solid">
        <fgColor theme="6" tint="0.3999"/>
        <bgColor rgb="FFD7E4BD"/>
      </patternFill>
    </fill>
    <fill>
      <patternFill patternType="solid">
        <fgColor theme="7" tint="0.3999"/>
        <bgColor rgb="FFA5A5A5"/>
      </patternFill>
    </fill>
    <fill>
      <patternFill patternType="solid">
        <fgColor theme="8" tint="0.3999"/>
        <bgColor rgb="FFACCCEA"/>
      </patternFill>
    </fill>
    <fill>
      <patternFill patternType="solid">
        <fgColor theme="9" tint="0.3999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9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8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6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1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2" xfId="6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0" borderId="0" xfId="6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4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백분율" xfId="60"/>
    <cellStyle name="보통" xfId="61"/>
    <cellStyle name="설명텍스트" xfId="62"/>
    <cellStyle name="셀 확인" xfId="63"/>
    <cellStyle name="쉼표" xfId="64"/>
    <cellStyle name="쉼표 [0]" xfId="65"/>
    <cellStyle name="쉼표[0]" xfId="66"/>
    <cellStyle name="연결된 셀" xfId="67"/>
    <cellStyle name="열어본 하이퍼링크" xfId="68"/>
    <cellStyle name="요약" xfId="69"/>
    <cellStyle name="입력" xfId="70"/>
    <cellStyle name="제목1" xfId="71"/>
    <cellStyle name="제목2" xfId="72"/>
    <cellStyle name="제목3" xfId="73"/>
    <cellStyle name="제목4" xfId="74"/>
    <cellStyle name="좋음" xfId="75"/>
    <cellStyle name="출력" xfId="76"/>
    <cellStyle name="통화" xfId="77"/>
    <cellStyle name="통화[0]" xfId="78"/>
    <cellStyle name="표준" xfId="79"/>
    <cellStyle name="표준 2" xfId="80"/>
  </cellStyles>
  <dxfs count="5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96"/>
  <sheetViews>
    <sheetView showFormulas="false" showGridLines="true" showRowColHeaders="true" showZeros="true" rightToLeft="false" tabSelected="true" showOutlineSymbols="true" defaultGridColor="true" view="normal" topLeftCell="A13" colorId="64" zoomScale="100" zoomScaleNormal="100" zoomScalePageLayoutView="100" workbookViewId="0">
      <selection pane="topLeft" activeCell="C30" activeCellId="0" sqref="C30"/>
    </sheetView>
  </sheetViews>
  <sheetFormatPr defaultColWidth="13.15234375" defaultRowHeight="13.5" customHeight="false" zeroHeight="false" outlineLevelRow="0" outlineLevelCol="0"/>
  <cols>
    <col collapsed="false" customWidth="true" hidden="false" outlineLevel="0" max="1" min="1" style="1" width="10.45"/>
    <col collapsed="false" customWidth="true" hidden="false" outlineLevel="0" max="2" min="2" style="1" width="9.43"/>
    <col collapsed="false" customWidth="true" hidden="false" outlineLevel="0" max="3" min="3" style="1" width="28.58"/>
    <col collapsed="false" customWidth="true" hidden="false" outlineLevel="0" max="4" min="4" style="1" width="18.43"/>
    <col collapsed="false" customWidth="true" hidden="false" outlineLevel="0" max="5" min="5" style="1" width="7.01"/>
    <col collapsed="false" customWidth="true" hidden="false" outlineLevel="0" max="6" min="6" style="1" width="32.58"/>
    <col collapsed="false" customWidth="true" hidden="false" outlineLevel="0" max="8" min="7" style="1" width="13.72"/>
    <col collapsed="false" customWidth="true" hidden="false" outlineLevel="0" max="9" min="9" style="1" width="9.58"/>
    <col collapsed="false" customWidth="true" hidden="false" outlineLevel="0" max="10" min="10" style="1" width="11.58"/>
    <col collapsed="false" customWidth="true" hidden="false" outlineLevel="0" max="11" min="11" style="1" width="14.01"/>
    <col collapsed="false" customWidth="false" hidden="false" outlineLevel="0" max="12" min="12" style="1" width="13.15"/>
    <col collapsed="false" customWidth="true" hidden="false" outlineLevel="0" max="13" min="13" style="1" width="12.58"/>
    <col collapsed="false" customWidth="true" hidden="false" outlineLevel="0" max="14" min="14" style="1" width="14.86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5"/>
    <col collapsed="false" customWidth="true" hidden="false" outlineLevel="0" max="18" min="18" style="1" width="11.22"/>
    <col collapsed="false" customWidth="true" hidden="false" outlineLevel="0" max="19" min="19" style="1" width="12.37"/>
    <col collapsed="false" customWidth="true" hidden="false" outlineLevel="0" max="20" min="20" style="2" width="11.61"/>
    <col collapsed="false" customWidth="true" hidden="false" outlineLevel="0" max="21" min="21" style="1" width="11.72"/>
    <col collapsed="false" customWidth="true" hidden="false" outlineLevel="0" max="22" min="22" style="1" width="12.58"/>
    <col collapsed="false" customWidth="true" hidden="false" outlineLevel="0" max="23" min="23" style="1" width="10.58"/>
    <col collapsed="false" customWidth="false" hidden="false" outlineLevel="0" max="16381" min="24" style="1" width="13.15"/>
    <col collapsed="false" customWidth="true" hidden="false" outlineLevel="0" max="16383" min="16382" style="3" width="11.58"/>
    <col collapsed="false" customWidth="true" hidden="false" outlineLevel="0" max="16384" min="16384" style="1" width="10.58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14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11.2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/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/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/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 t="n">
        <f aca="false">IF($T15="","",1+COUNTIF($W$15:$W$894,"&lt;"&amp;W15))</f>
        <v/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1782</v>
      </c>
      <c r="H15" s="17">
        <v>2049</v>
      </c>
      <c r="I15" s="17"/>
      <c r="J15" s="17">
        <v>1772</v>
      </c>
      <c r="K15" s="17" t="n">
        <f aca="false">IF(AND(IFERROR(SEARCH("현대오일뱅크",$C15),0)&gt;0,IFERROR(SEARCH("직영",$C15),0)&gt;0),$B$13,0)</f>
        <v/>
      </c>
      <c r="L15" s="17" t="n">
        <f aca="false">IF($G15="","",$G15+$K15)</f>
        <v/>
      </c>
      <c r="M15" s="17" t="n">
        <f aca="false">IF($H15="","",$H15+$K15)</f>
        <v/>
      </c>
      <c r="N15" s="17" t="n">
        <f aca="false">IF($J15="","",$J15+$K15)</f>
        <v/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/>
      </c>
      <c r="P15" s="17" t="n">
        <f aca="false">IF($B$10=0,"",IFERROR(IF($B$4&gt;0,IF($L15="",1/0,$L15*$B$4),0)+IF($B$5&gt;0,IF($M15="",1/0,$M15*$B$5),0)+IF($B$6&gt;0,IF($N15="",1/0,$N15*$B$6),0),""))</f>
        <v/>
      </c>
      <c r="Q15" s="17" t="s">
        <v>47</v>
      </c>
      <c r="R15" s="18" t="n">
        <f aca="false">IF($P15="","",IF($Q15="Y",IFERROR(VLOOKUP($B15,$C$4:$D$13,2,FALSE()),0),0))</f>
        <v/>
      </c>
      <c r="S15" s="17" t="n">
        <f aca="false">IF($P15="","",ROUNDDOWN($P15*$R15,0))</f>
        <v/>
      </c>
      <c r="T15" s="17" t="n">
        <f aca="false">IF($P15="","",$P15-$S15)</f>
        <v/>
      </c>
      <c r="U15" s="17" t="n">
        <f aca="false">IF($T15="","",IF($B$10=0,"",$T15/$B$10))</f>
        <v/>
      </c>
      <c r="V15" s="17" t="n">
        <f aca="false">IF($P15="","",IF($B$10=0,"",$P15/$B$10))</f>
        <v/>
      </c>
      <c r="W15" s="19" t="n">
        <f aca="false">IF($T15="",1000000000000000,$T15)</f>
        <v/>
      </c>
      <c r="XFB15" s="6"/>
      <c r="XFC15" s="3"/>
    </row>
    <row r="16" s="5" collapsed="false" customFormat="true" customHeight="true" hidden="false" ht="28.5" outlineLevel="0">
      <c r="A16" s="16" t="n">
        <f aca="false">IF($T16="","",1+COUNTIF($W$15:$W$894,"&lt;"&amp;W16))</f>
        <v/>
      </c>
      <c r="B16" s="16" t="s">
        <v>14</v>
      </c>
      <c r="C16" s="16" t="s">
        <v>48</v>
      </c>
      <c r="D16" s="16" t="s">
        <v>45</v>
      </c>
      <c r="E16" s="16" t="s">
        <v>26</v>
      </c>
      <c r="F16" s="16" t="s">
        <v>49</v>
      </c>
      <c r="G16" s="17">
        <v>1775</v>
      </c>
      <c r="H16" s="17">
        <v>1989</v>
      </c>
      <c r="I16" s="17"/>
      <c r="J16" s="17">
        <v>1774</v>
      </c>
      <c r="K16" s="17" t="n">
        <f aca="false">IF(AND(IFERROR(SEARCH("현대오일뱅크",$C16),0)&gt;0,IFERROR(SEARCH("직영",$C16),0)&gt;0),$B$13,0)</f>
        <v/>
      </c>
      <c r="L16" s="17" t="n">
        <f aca="false">IF($G16="","",$G16+$K16)</f>
        <v/>
      </c>
      <c r="M16" s="17" t="n">
        <f aca="false">IF($H16="","",$H16+$K16)</f>
        <v/>
      </c>
      <c r="N16" s="17" t="n">
        <f aca="false">IF($J16="","",$J16+$K16)</f>
        <v/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/>
      </c>
      <c r="P16" s="17" t="n">
        <f aca="false">IF($B$10=0,"",IFERROR(IF($B$4&gt;0,IF($L16="",1/0,$L16*$B$4),0)+IF($B$5&gt;0,IF($M16="",1/0,$M16*$B$5),0)+IF($B$6&gt;0,IF($N16="",1/0,$N16*$B$6),0),""))</f>
        <v/>
      </c>
      <c r="Q16" s="17" t="s">
        <v>47</v>
      </c>
      <c r="R16" s="18" t="n">
        <f aca="false">IF($P16="","",IF($Q16="Y",IFERROR(VLOOKUP($B16,$C$4:$D$13,2,FALSE()),0),0))</f>
        <v/>
      </c>
      <c r="S16" s="17" t="n">
        <f aca="false">IF($P16="","",ROUNDDOWN($P16*$R16,0))</f>
        <v/>
      </c>
      <c r="T16" s="17" t="n">
        <f aca="false">IF($P16="","",$P16-$S16)</f>
        <v/>
      </c>
      <c r="U16" s="17" t="n">
        <f aca="false">IF($T16="","",IF($B$10=0,"",$T16/$B$10))</f>
        <v/>
      </c>
      <c r="V16" s="17" t="n">
        <f aca="false">IF($P16="","",IF($B$10=0,"",$P16/$B$10))</f>
        <v/>
      </c>
      <c r="W16" s="19" t="n">
        <f aca="false">IF($T16="",1000000000000000,$T16)</f>
        <v/>
      </c>
      <c r="XFB16" s="6"/>
      <c r="XFC16" s="3"/>
    </row>
    <row r="17" s="5" collapsed="false" customFormat="true" customHeight="true" hidden="false" ht="28.5" outlineLevel="0">
      <c r="A17" s="16" t="n">
        <f aca="false">IF($T17="","",1+COUNTIF($W$15:$W$894,"&lt;"&amp;W17))</f>
        <v/>
      </c>
      <c r="B17" s="16" t="s">
        <v>16</v>
      </c>
      <c r="C17" s="16" t="s">
        <v>55</v>
      </c>
      <c r="D17" s="16" t="s">
        <v>56</v>
      </c>
      <c r="E17" s="16" t="s">
        <v>26</v>
      </c>
      <c r="F17" s="16" t="s">
        <v>57</v>
      </c>
      <c r="G17" s="17">
        <v>1790</v>
      </c>
      <c r="H17" s="17">
        <v>2020</v>
      </c>
      <c r="I17" s="17"/>
      <c r="J17" s="17">
        <v>1790</v>
      </c>
      <c r="K17" s="17" t="n">
        <f aca="false">IF(AND(IFERROR(SEARCH("현대오일뱅크",$C17),0)&gt;0,IFERROR(SEARCH("직영",$C17),0)&gt;0),$B$13,0)</f>
        <v/>
      </c>
      <c r="L17" s="17" t="n">
        <f aca="false">IF($G17="","",$G17+$K17)</f>
        <v/>
      </c>
      <c r="M17" s="17" t="n">
        <f aca="false">IF($H17="","",$H17+$K17)</f>
        <v/>
      </c>
      <c r="N17" s="17" t="n">
        <f aca="false">IF($J17="","",$J17+$K17)</f>
        <v/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/>
      </c>
      <c r="P17" s="17" t="n">
        <f aca="false">IF($B$10=0,"",IFERROR(IF($B$4&gt;0,IF($L17="",1/0,$L17*$B$4),0)+IF($B$5&gt;0,IF($M17="",1/0,$M17*$B$5),0)+IF($B$6&gt;0,IF($N17="",1/0,$N17*$B$6),0),""))</f>
        <v/>
      </c>
      <c r="Q17" s="17" t="s">
        <v>47</v>
      </c>
      <c r="R17" s="18" t="n">
        <f aca="false">IF($P17="","",IF($Q17="Y",IFERROR(VLOOKUP($B17,$C$4:$D$13,2,FALSE()),0),0))</f>
        <v/>
      </c>
      <c r="S17" s="17" t="n">
        <f aca="false">IF($P17="","",ROUNDDOWN($P17*$R17,0))</f>
        <v/>
      </c>
      <c r="T17" s="17" t="n">
        <f aca="false">IF($P17="","",$P17-$S17)</f>
        <v/>
      </c>
      <c r="U17" s="17" t="n">
        <f aca="false">IF($T17="","",IF($B$10=0,"",$T17/$B$10))</f>
        <v/>
      </c>
      <c r="V17" s="17" t="n">
        <f aca="false">IF($P17="","",IF($B$10=0,"",$P17/$B$10))</f>
        <v/>
      </c>
      <c r="W17" s="19" t="n">
        <f aca="false">IF($T17="",1000000000000000,$T17)</f>
        <v/>
      </c>
      <c r="XFB17" s="6"/>
      <c r="XFC17" s="3"/>
    </row>
    <row r="18" s="5" collapsed="false" customFormat="true" customHeight="true" hidden="false" ht="28.5" outlineLevel="0">
      <c r="A18" s="16" t="n">
        <f aca="false">IF($T18="","",1+COUNTIF($W$15:$W$894,"&lt;"&amp;W18))</f>
        <v/>
      </c>
      <c r="B18" s="16" t="s">
        <v>14</v>
      </c>
      <c r="C18" s="16" t="s">
        <v>58</v>
      </c>
      <c r="D18" s="16" t="s">
        <v>45</v>
      </c>
      <c r="E18" s="16" t="s">
        <v>26</v>
      </c>
      <c r="F18" s="16" t="s">
        <v>59</v>
      </c>
      <c r="G18" s="17">
        <v>1785</v>
      </c>
      <c r="H18" s="17">
        <v>1985</v>
      </c>
      <c r="I18" s="17"/>
      <c r="J18" s="17">
        <v>1787</v>
      </c>
      <c r="K18" s="17" t="n">
        <f aca="false">IF(AND(IFERROR(SEARCH("현대오일뱅크",$C18),0)&gt;0,IFERROR(SEARCH("직영",$C18),0)&gt;0),$B$13,0)</f>
        <v/>
      </c>
      <c r="L18" s="17" t="n">
        <f aca="false">IF($G18="","",$G18+$K18)</f>
        <v/>
      </c>
      <c r="M18" s="17" t="n">
        <f aca="false">IF($H18="","",$H18+$K18)</f>
        <v/>
      </c>
      <c r="N18" s="17" t="n">
        <f aca="false">IF($J18="","",$J18+$K18)</f>
        <v/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/>
      </c>
      <c r="P18" s="17" t="n">
        <f aca="false">IF($B$10=0,"",IFERROR(IF($B$4&gt;0,IF($L18="",1/0,$L18*$B$4),0)+IF($B$5&gt;0,IF($M18="",1/0,$M18*$B$5),0)+IF($B$6&gt;0,IF($N18="",1/0,$N18*$B$6),0),""))</f>
        <v/>
      </c>
      <c r="Q18" s="17" t="s">
        <v>47</v>
      </c>
      <c r="R18" s="18" t="n">
        <f aca="false">IF($P18="","",IF($Q18="Y",IFERROR(VLOOKUP($B18,$C$4:$D$13,2,FALSE()),0),0))</f>
        <v/>
      </c>
      <c r="S18" s="17" t="n">
        <f aca="false">IF($P18="","",ROUNDDOWN($P18*$R18,0))</f>
        <v/>
      </c>
      <c r="T18" s="17" t="n">
        <f aca="false">IF($P18="","",$P18-$S18)</f>
        <v/>
      </c>
      <c r="U18" s="17" t="n">
        <f aca="false">IF($T18="","",IF($B$10=0,"",$T18/$B$10))</f>
        <v/>
      </c>
      <c r="V18" s="17" t="n">
        <f aca="false">IF($P18="","",IF($B$10=0,"",$P18/$B$10))</f>
        <v/>
      </c>
      <c r="W18" s="19" t="n">
        <f aca="false">IF($T18="",1000000000000000,$T18)</f>
        <v/>
      </c>
      <c r="XFB18" s="6"/>
      <c r="XFC18" s="3"/>
    </row>
    <row r="19" s="5" collapsed="false" customFormat="true" customHeight="true" hidden="false" ht="28.5" outlineLevel="0">
      <c r="A19" s="16" t="n">
        <f aca="false">IF($T19="","",1+COUNTIF($W$15:$W$894,"&lt;"&amp;W19))</f>
        <v/>
      </c>
      <c r="B19" s="16" t="s">
        <v>6</v>
      </c>
      <c r="C19" s="16" t="s">
        <v>151</v>
      </c>
      <c r="D19" s="16" t="s">
        <v>45</v>
      </c>
      <c r="E19" s="16" t="s">
        <v>26</v>
      </c>
      <c r="F19" s="16" t="s">
        <v>152</v>
      </c>
      <c r="G19" s="17">
        <v>1787</v>
      </c>
      <c r="H19" s="17">
        <v>1974</v>
      </c>
      <c r="I19" s="17"/>
      <c r="J19" s="17">
        <v>1783</v>
      </c>
      <c r="K19" s="17" t="n">
        <f aca="false">IF(AND(IFERROR(SEARCH("현대오일뱅크",$C19),0)&gt;0,IFERROR(SEARCH("직영",$C19),0)&gt;0),$B$13,0)</f>
        <v/>
      </c>
      <c r="L19" s="17" t="n">
        <f aca="false">IF($G19="","",$G19+$K19)</f>
        <v/>
      </c>
      <c r="M19" s="17" t="n">
        <f aca="false">IF($H19="","",$H19+$K19)</f>
        <v/>
      </c>
      <c r="N19" s="17" t="n">
        <f aca="false">IF($J19="","",$J19+$K19)</f>
        <v/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/>
      </c>
      <c r="P19" s="17" t="n">
        <f aca="false">IF($B$10=0,"",IFERROR(IF($B$4&gt;0,IF($L19="",1/0,$L19*$B$4),0)+IF($B$5&gt;0,IF($M19="",1/0,$M19*$B$5),0)+IF($B$6&gt;0,IF($N19="",1/0,$N19*$B$6),0),""))</f>
        <v/>
      </c>
      <c r="Q19" s="17" t="s">
        <v>47</v>
      </c>
      <c r="R19" s="18" t="n">
        <f aca="false">IF($P19="","",IF($Q19="Y",IFERROR(VLOOKUP($B19,$C$4:$D$13,2,FALSE()),0),0))</f>
        <v/>
      </c>
      <c r="S19" s="17" t="n">
        <f aca="false">IF($P19="","",ROUNDDOWN($P19*$R19,0))</f>
        <v/>
      </c>
      <c r="T19" s="17" t="n">
        <f aca="false">IF($P19="","",$P19-$S19)</f>
        <v/>
      </c>
      <c r="U19" s="17" t="n">
        <f aca="false">IF($T19="","",IF($B$10=0,"",$T19/$B$10))</f>
        <v/>
      </c>
      <c r="V19" s="17" t="n">
        <f aca="false">IF($P19="","",IF($B$10=0,"",$P19/$B$10))</f>
        <v/>
      </c>
      <c r="W19" s="19" t="n">
        <f aca="false">IF($T19="",1000000000000000,$T19)</f>
        <v/>
      </c>
      <c r="XFB19" s="6"/>
      <c r="XFC19" s="3"/>
    </row>
    <row r="20" s="5" collapsed="false" customFormat="true" customHeight="true" hidden="false" ht="28.5" outlineLevel="0">
      <c r="A20" s="16" t="n">
        <f aca="false">IF($T20="","",1+COUNTIF($W$15:$W$894,"&lt;"&amp;W20))</f>
        <v/>
      </c>
      <c r="B20" s="16" t="s">
        <v>6</v>
      </c>
      <c r="C20" s="16" t="s">
        <v>71</v>
      </c>
      <c r="D20" s="16" t="s">
        <v>45</v>
      </c>
      <c r="E20" s="16" t="s">
        <v>26</v>
      </c>
      <c r="F20" s="16" t="s">
        <v>72</v>
      </c>
      <c r="G20" s="17">
        <v>1787</v>
      </c>
      <c r="H20" s="17">
        <v>1974</v>
      </c>
      <c r="I20" s="17"/>
      <c r="J20" s="17">
        <v>1783</v>
      </c>
      <c r="K20" s="17" t="n">
        <f aca="false">IF(AND(IFERROR(SEARCH("현대오일뱅크",$C20),0)&gt;0,IFERROR(SEARCH("직영",$C20),0)&gt;0),$B$13,0)</f>
        <v/>
      </c>
      <c r="L20" s="17" t="n">
        <f aca="false">IF($G20="","",$G20+$K20)</f>
        <v/>
      </c>
      <c r="M20" s="17" t="n">
        <f aca="false">IF($H20="","",$H20+$K20)</f>
        <v/>
      </c>
      <c r="N20" s="17" t="n">
        <f aca="false">IF($J20="","",$J20+$K20)</f>
        <v/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/>
      </c>
      <c r="P20" s="17" t="n">
        <f aca="false">IF($B$10=0,"",IFERROR(IF($B$4&gt;0,IF($L20="",1/0,$L20*$B$4),0)+IF($B$5&gt;0,IF($M20="",1/0,$M20*$B$5),0)+IF($B$6&gt;0,IF($N20="",1/0,$N20*$B$6),0),""))</f>
        <v/>
      </c>
      <c r="Q20" s="17" t="s">
        <v>47</v>
      </c>
      <c r="R20" s="18" t="n">
        <f aca="false">IF($P20="","",IF($Q20="Y",IFERROR(VLOOKUP($B20,$C$4:$D$13,2,FALSE()),0),0))</f>
        <v/>
      </c>
      <c r="S20" s="17" t="n">
        <f aca="false">IF($P20="","",ROUNDDOWN($P20*$R20,0))</f>
        <v/>
      </c>
      <c r="T20" s="17" t="n">
        <f aca="false">IF($P20="","",$P20-$S20)</f>
        <v/>
      </c>
      <c r="U20" s="17" t="n">
        <f aca="false">IF($T20="","",IF($B$10=0,"",$T20/$B$10))</f>
        <v/>
      </c>
      <c r="V20" s="17" t="n">
        <f aca="false">IF($P20="","",IF($B$10=0,"",$P20/$B$10))</f>
        <v/>
      </c>
      <c r="W20" s="19" t="n">
        <f aca="false">IF($T20="",1000000000000000,$T20)</f>
        <v/>
      </c>
      <c r="XFB20" s="6"/>
      <c r="XFC20" s="3"/>
    </row>
    <row r="21" s="5" collapsed="false" customFormat="true" customHeight="true" hidden="false" ht="28.5" outlineLevel="0">
      <c r="A21" s="16" t="n">
        <f aca="false">IF($T21="","",1+COUNTIF($W$15:$W$894,"&lt;"&amp;W21))</f>
        <v/>
      </c>
      <c r="B21" s="16" t="s">
        <v>6</v>
      </c>
      <c r="C21" s="16" t="s">
        <v>69</v>
      </c>
      <c r="D21" s="16" t="s">
        <v>45</v>
      </c>
      <c r="E21" s="16" t="s">
        <v>26</v>
      </c>
      <c r="F21" s="16" t="s">
        <v>70</v>
      </c>
      <c r="G21" s="17">
        <v>1770</v>
      </c>
      <c r="H21" s="17">
        <v>2010</v>
      </c>
      <c r="I21" s="17"/>
      <c r="J21" s="17">
        <v>1783</v>
      </c>
      <c r="K21" s="17" t="n">
        <f aca="false">IF(AND(IFERROR(SEARCH("현대오일뱅크",$C21),0)&gt;0,IFERROR(SEARCH("직영",$C21),0)&gt;0),$B$13,0)</f>
        <v/>
      </c>
      <c r="L21" s="17" t="n">
        <f aca="false">IF($G21="","",$G21+$K21)</f>
        <v/>
      </c>
      <c r="M21" s="17" t="n">
        <f aca="false">IF($H21="","",$H21+$K21)</f>
        <v/>
      </c>
      <c r="N21" s="17" t="n">
        <f aca="false">IF($J21="","",$J21+$K21)</f>
        <v/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/>
      </c>
      <c r="P21" s="17" t="n">
        <f aca="false">IF($B$10=0,"",IFERROR(IF($B$4&gt;0,IF($L21="",1/0,$L21*$B$4),0)+IF($B$5&gt;0,IF($M21="",1/0,$M21*$B$5),0)+IF($B$6&gt;0,IF($N21="",1/0,$N21*$B$6),0),""))</f>
        <v/>
      </c>
      <c r="Q21" s="17" t="s">
        <v>47</v>
      </c>
      <c r="R21" s="18" t="n">
        <f aca="false">IF($P21="","",IF($Q21="Y",IFERROR(VLOOKUP($B21,$C$4:$D$13,2,FALSE()),0),0))</f>
        <v/>
      </c>
      <c r="S21" s="17" t="n">
        <f aca="false">IF($P21="","",ROUNDDOWN($P21*$R21,0))</f>
        <v/>
      </c>
      <c r="T21" s="17" t="n">
        <f aca="false">IF($P21="","",$P21-$S21)</f>
        <v/>
      </c>
      <c r="U21" s="17" t="n">
        <f aca="false">IF($T21="","",IF($B$10=0,"",$T21/$B$10))</f>
        <v/>
      </c>
      <c r="V21" s="17" t="n">
        <f aca="false">IF($P21="","",IF($B$10=0,"",$P21/$B$10))</f>
        <v/>
      </c>
      <c r="W21" s="19" t="n">
        <f aca="false">IF($T21="",1000000000000000,$T21)</f>
        <v/>
      </c>
      <c r="XFB21" s="6"/>
      <c r="XFC21" s="3"/>
    </row>
    <row r="22" s="5" collapsed="false" customFormat="true" customHeight="true" hidden="false" ht="28.5" outlineLevel="0">
      <c r="A22" s="16" t="n">
        <f aca="false">IF($T22="","",1+COUNTIF($W$15:$W$894,"&lt;"&amp;W22))</f>
        <v/>
      </c>
      <c r="B22" s="16" t="s">
        <v>6</v>
      </c>
      <c r="C22" s="16" t="s">
        <v>50</v>
      </c>
      <c r="D22" s="16" t="s">
        <v>51</v>
      </c>
      <c r="E22" s="16" t="s">
        <v>26</v>
      </c>
      <c r="F22" s="16" t="s">
        <v>52</v>
      </c>
      <c r="G22" s="17">
        <v>1770</v>
      </c>
      <c r="H22" s="17">
        <v>2010</v>
      </c>
      <c r="I22" s="17"/>
      <c r="J22" s="17">
        <v>1744</v>
      </c>
      <c r="K22" s="17" t="n">
        <f aca="false">IF(AND(IFERROR(SEARCH("현대오일뱅크",$C22),0)&gt;0,IFERROR(SEARCH("직영",$C22),0)&gt;0),$B$13,0)</f>
        <v/>
      </c>
      <c r="L22" s="17" t="n">
        <f aca="false">IF($G22="","",$G22+$K22)</f>
        <v/>
      </c>
      <c r="M22" s="17" t="n">
        <f aca="false">IF($H22="","",$H22+$K22)</f>
        <v/>
      </c>
      <c r="N22" s="17" t="n">
        <f aca="false">IF($J22="","",$J22+$K22)</f>
        <v/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/>
      </c>
      <c r="P22" s="17" t="n">
        <f aca="false">IF($B$10=0,"",IFERROR(IF($B$4&gt;0,IF($L22="",1/0,$L22*$B$4),0)+IF($B$5&gt;0,IF($M22="",1/0,$M22*$B$5),0)+IF($B$6&gt;0,IF($N22="",1/0,$N22*$B$6),0),""))</f>
        <v/>
      </c>
      <c r="Q22" s="17" t="s">
        <v>47</v>
      </c>
      <c r="R22" s="18" t="n">
        <f aca="false">IF($P22="","",IF($Q22="Y",IFERROR(VLOOKUP($B22,$C$4:$D$13,2,FALSE()),0),0))</f>
        <v/>
      </c>
      <c r="S22" s="17" t="n">
        <f aca="false">IF($P22="","",ROUNDDOWN($P22*$R22,0))</f>
        <v/>
      </c>
      <c r="T22" s="17" t="n">
        <f aca="false">IF($P22="","",$P22-$S22)</f>
        <v/>
      </c>
      <c r="U22" s="17" t="n">
        <f aca="false">IF($T22="","",IF($B$10=0,"",$T22/$B$10))</f>
        <v/>
      </c>
      <c r="V22" s="17" t="n">
        <f aca="false">IF($P22="","",IF($B$10=0,"",$P22/$B$10))</f>
        <v/>
      </c>
      <c r="W22" s="19" t="n">
        <f aca="false">IF($T22="",1000000000000000,$T22)</f>
        <v/>
      </c>
      <c r="XFB22" s="6"/>
      <c r="XFC22" s="3"/>
    </row>
    <row r="23" s="5" collapsed="false" customFormat="true" customHeight="true" hidden="false" ht="28.5" outlineLevel="0">
      <c r="A23" s="16" t="n">
        <f aca="false">IF($T23="","",1+COUNTIF($W$15:$W$894,"&lt;"&amp;W23))</f>
        <v/>
      </c>
      <c r="B23" s="16" t="s">
        <v>6</v>
      </c>
      <c r="C23" s="16" t="s">
        <v>53</v>
      </c>
      <c r="D23" s="16" t="s">
        <v>51</v>
      </c>
      <c r="E23" s="16" t="s">
        <v>26</v>
      </c>
      <c r="F23" s="16" t="s">
        <v>54</v>
      </c>
      <c r="G23" s="17">
        <v>1770</v>
      </c>
      <c r="H23" s="17">
        <v>2010</v>
      </c>
      <c r="I23" s="17"/>
      <c r="J23" s="17">
        <v>1733</v>
      </c>
      <c r="K23" s="17" t="n">
        <f aca="false">IF(AND(IFERROR(SEARCH("현대오일뱅크",$C23),0)&gt;0,IFERROR(SEARCH("직영",$C23),0)&gt;0),$B$13,0)</f>
        <v/>
      </c>
      <c r="L23" s="17" t="n">
        <f aca="false">IF($G23="","",$G23+$K23)</f>
        <v/>
      </c>
      <c r="M23" s="17" t="n">
        <f aca="false">IF($H23="","",$H23+$K23)</f>
        <v/>
      </c>
      <c r="N23" s="17" t="n">
        <f aca="false">IF($J23="","",$J23+$K23)</f>
        <v/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/>
      </c>
      <c r="P23" s="17" t="n">
        <f aca="false">IF($B$10=0,"",IFERROR(IF($B$4&gt;0,IF($L23="",1/0,$L23*$B$4),0)+IF($B$5&gt;0,IF($M23="",1/0,$M23*$B$5),0)+IF($B$6&gt;0,IF($N23="",1/0,$N23*$B$6),0),""))</f>
        <v/>
      </c>
      <c r="Q23" s="17" t="s">
        <v>47</v>
      </c>
      <c r="R23" s="18" t="n">
        <f aca="false">IF($P23="","",IF($Q23="Y",IFERROR(VLOOKUP($B23,$C$4:$D$13,2,FALSE()),0),0))</f>
        <v/>
      </c>
      <c r="S23" s="17" t="n">
        <f aca="false">IF($P23="","",ROUNDDOWN($P23*$R23,0))</f>
        <v/>
      </c>
      <c r="T23" s="17" t="n">
        <f aca="false">IF($P23="","",$P23-$S23)</f>
        <v/>
      </c>
      <c r="U23" s="17" t="n">
        <f aca="false">IF($T23="","",IF($B$10=0,"",$T23/$B$10))</f>
        <v/>
      </c>
      <c r="V23" s="17" t="n">
        <f aca="false">IF($P23="","",IF($B$10=0,"",$P23/$B$10))</f>
        <v/>
      </c>
      <c r="W23" s="19" t="n">
        <f aca="false">IF($T23="",1000000000000000,$T23)</f>
        <v/>
      </c>
      <c r="XFB23" s="6"/>
      <c r="XFC23" s="3"/>
    </row>
    <row r="24" s="5" collapsed="false" customFormat="true" customHeight="true" hidden="false" ht="28.5" outlineLevel="0">
      <c r="A24" s="16" t="n">
        <f aca="false">IF($T24="","",1+COUNTIF($W$15:$W$894,"&lt;"&amp;W24))</f>
        <v/>
      </c>
      <c r="B24" s="16" t="s">
        <v>6</v>
      </c>
      <c r="C24" s="16" t="s">
        <v>73</v>
      </c>
      <c r="D24" s="16" t="s">
        <v>51</v>
      </c>
      <c r="E24" s="16" t="s">
        <v>63</v>
      </c>
      <c r="F24" s="16" t="s">
        <v>74</v>
      </c>
      <c r="G24" s="17">
        <v>1783</v>
      </c>
      <c r="H24" s="17">
        <v>1995</v>
      </c>
      <c r="I24" s="17"/>
      <c r="J24" s="17">
        <v>1783</v>
      </c>
      <c r="K24" s="17" t="n">
        <f aca="false">IF(AND(IFERROR(SEARCH("현대오일뱅크",$C24),0)&gt;0,IFERROR(SEARCH("직영",$C24),0)&gt;0),$B$13,0)</f>
        <v/>
      </c>
      <c r="L24" s="17" t="n">
        <f aca="false">IF($G24="","",$G24+$K24)</f>
        <v/>
      </c>
      <c r="M24" s="17" t="n">
        <f aca="false">IF($H24="","",$H24+$K24)</f>
        <v/>
      </c>
      <c r="N24" s="17" t="n">
        <f aca="false">IF($J24="","",$J24+$K24)</f>
        <v/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/>
      </c>
      <c r="P24" s="17" t="n">
        <f aca="false">IF($B$10=0,"",IFERROR(IF($B$4&gt;0,IF($L24="",1/0,$L24*$B$4),0)+IF($B$5&gt;0,IF($M24="",1/0,$M24*$B$5),0)+IF($B$6&gt;0,IF($N24="",1/0,$N24*$B$6),0),""))</f>
        <v/>
      </c>
      <c r="Q24" s="17" t="s">
        <v>47</v>
      </c>
      <c r="R24" s="18" t="n">
        <f aca="false">IF($P24="","",IF($Q24="Y",IFERROR(VLOOKUP($B24,$C$4:$D$13,2,FALSE()),0),0))</f>
        <v/>
      </c>
      <c r="S24" s="17" t="n">
        <f aca="false">IF($P24="","",ROUNDDOWN($P24*$R24,0))</f>
        <v/>
      </c>
      <c r="T24" s="17" t="n">
        <f aca="false">IF($P24="","",$P24-$S24)</f>
        <v/>
      </c>
      <c r="U24" s="17" t="n">
        <f aca="false">IF($T24="","",IF($B$10=0,"",$T24/$B$10))</f>
        <v/>
      </c>
      <c r="V24" s="17" t="n">
        <f aca="false">IF($P24="","",IF($B$10=0,"",$P24/$B$10))</f>
        <v/>
      </c>
      <c r="W24" s="19" t="n">
        <f aca="false">IF($T24="",1000000000000000,$T24)</f>
        <v/>
      </c>
      <c r="XFB24" s="6"/>
      <c r="XFC24" s="3"/>
    </row>
    <row r="25" s="5" collapsed="false" customFormat="true" customHeight="true" hidden="false" ht="28.5" outlineLevel="0">
      <c r="A25" s="16" t="n">
        <f aca="false">IF($T25="","",1+COUNTIF($W$15:$W$894,"&lt;"&amp;W25))</f>
        <v/>
      </c>
      <c r="B25" s="16" t="s">
        <v>6</v>
      </c>
      <c r="C25" s="16" t="s">
        <v>75</v>
      </c>
      <c r="D25" s="16" t="s">
        <v>45</v>
      </c>
      <c r="E25" s="16" t="s">
        <v>26</v>
      </c>
      <c r="F25" s="16" t="s">
        <v>76</v>
      </c>
      <c r="G25" s="17">
        <v>1772</v>
      </c>
      <c r="H25" s="17">
        <v>2010</v>
      </c>
      <c r="I25" s="17"/>
      <c r="J25" s="17">
        <v>1782</v>
      </c>
      <c r="K25" s="17" t="n">
        <f aca="false">IF(AND(IFERROR(SEARCH("현대오일뱅크",$C25),0)&gt;0,IFERROR(SEARCH("직영",$C25),0)&gt;0),$B$13,0)</f>
        <v/>
      </c>
      <c r="L25" s="17" t="n">
        <f aca="false">IF($G25="","",$G25+$K25)</f>
        <v/>
      </c>
      <c r="M25" s="17" t="n">
        <f aca="false">IF($H25="","",$H25+$K25)</f>
        <v/>
      </c>
      <c r="N25" s="17" t="n">
        <f aca="false">IF($J25="","",$J25+$K25)</f>
        <v/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/>
      </c>
      <c r="P25" s="17" t="n">
        <f aca="false">IF($B$10=0,"",IFERROR(IF($B$4&gt;0,IF($L25="",1/0,$L25*$B$4),0)+IF($B$5&gt;0,IF($M25="",1/0,$M25*$B$5),0)+IF($B$6&gt;0,IF($N25="",1/0,$N25*$B$6),0),""))</f>
        <v/>
      </c>
      <c r="Q25" s="17" t="s">
        <v>47</v>
      </c>
      <c r="R25" s="18" t="n">
        <f aca="false">IF($P25="","",IF($Q25="Y",IFERROR(VLOOKUP($B25,$C$4:$D$13,2,FALSE()),0),0))</f>
        <v/>
      </c>
      <c r="S25" s="17" t="n">
        <f aca="false">IF($P25="","",ROUNDDOWN($P25*$R25,0))</f>
        <v/>
      </c>
      <c r="T25" s="17" t="n">
        <f aca="false">IF($P25="","",$P25-$S25)</f>
        <v/>
      </c>
      <c r="U25" s="17" t="n">
        <f aca="false">IF($T25="","",IF($B$10=0,"",$T25/$B$10))</f>
        <v/>
      </c>
      <c r="V25" s="17" t="n">
        <f aca="false">IF($P25="","",IF($B$10=0,"",$P25/$B$10))</f>
        <v/>
      </c>
      <c r="W25" s="19" t="n">
        <f aca="false">IF($T25="",1000000000000000,$T25)</f>
        <v/>
      </c>
      <c r="XFB25" s="6"/>
      <c r="XFC25" s="3"/>
    </row>
    <row r="26" s="5" collapsed="false" customFormat="true" customHeight="true" hidden="false" ht="28.5" outlineLevel="0">
      <c r="A26" s="16" t="n">
        <f aca="false">IF($T26="","",1+COUNTIF($W$15:$W$894,"&lt;"&amp;W26))</f>
        <v/>
      </c>
      <c r="B26" s="16" t="s">
        <v>6</v>
      </c>
      <c r="C26" s="16" t="s">
        <v>77</v>
      </c>
      <c r="D26" s="16" t="s">
        <v>45</v>
      </c>
      <c r="E26" s="16" t="s">
        <v>63</v>
      </c>
      <c r="F26" s="16" t="s">
        <v>78</v>
      </c>
      <c r="G26" s="17">
        <v>1764</v>
      </c>
      <c r="H26" s="17">
        <v>2044</v>
      </c>
      <c r="I26" s="17"/>
      <c r="J26" s="17">
        <v>1740</v>
      </c>
      <c r="K26" s="17" t="n">
        <f aca="false">IF(AND(IFERROR(SEARCH("현대오일뱅크",$C26),0)&gt;0,IFERROR(SEARCH("직영",$C26),0)&gt;0),$B$13,0)</f>
        <v/>
      </c>
      <c r="L26" s="17" t="n">
        <f aca="false">IF($G26="","",$G26+$K26)</f>
        <v/>
      </c>
      <c r="M26" s="17" t="n">
        <f aca="false">IF($H26="","",$H26+$K26)</f>
        <v/>
      </c>
      <c r="N26" s="17" t="n">
        <f aca="false">IF($J26="","",$J26+$K26)</f>
        <v/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/>
      </c>
      <c r="P26" s="17" t="n">
        <f aca="false">IF($B$10=0,"",IFERROR(IF($B$4&gt;0,IF($L26="",1/0,$L26*$B$4),0)+IF($B$5&gt;0,IF($M26="",1/0,$M26*$B$5),0)+IF($B$6&gt;0,IF($N26="",1/0,$N26*$B$6),0),""))</f>
        <v/>
      </c>
      <c r="Q26" s="17" t="s">
        <v>47</v>
      </c>
      <c r="R26" s="18" t="n">
        <f aca="false">IF($P26="","",IF($Q26="Y",IFERROR(VLOOKUP($B26,$C$4:$D$13,2,FALSE()),0),0))</f>
        <v/>
      </c>
      <c r="S26" s="17" t="n">
        <f aca="false">IF($P26="","",ROUNDDOWN($P26*$R26,0))</f>
        <v/>
      </c>
      <c r="T26" s="17" t="n">
        <f aca="false">IF($P26="","",$P26-$S26)</f>
        <v/>
      </c>
      <c r="U26" s="17" t="n">
        <f aca="false">IF($T26="","",IF($B$10=0,"",$T26/$B$10))</f>
        <v/>
      </c>
      <c r="V26" s="17" t="n">
        <f aca="false">IF($P26="","",IF($B$10=0,"",$P26/$B$10))</f>
        <v/>
      </c>
      <c r="W26" s="19" t="n">
        <f aca="false">IF($T26="",1000000000000000,$T26)</f>
        <v/>
      </c>
      <c r="XFB26" s="6"/>
      <c r="XFC26" s="3"/>
    </row>
    <row r="27" s="5" collapsed="false" customFormat="true" customHeight="true" hidden="false" ht="28.5" outlineLevel="0">
      <c r="A27" s="16" t="n">
        <f aca="false">IF($T27="","",1+COUNTIF($W$15:$W$894,"&lt;"&amp;W27))</f>
        <v/>
      </c>
      <c r="B27" s="16" t="s">
        <v>6</v>
      </c>
      <c r="C27" s="16" t="s">
        <v>79</v>
      </c>
      <c r="D27" s="16" t="s">
        <v>45</v>
      </c>
      <c r="E27" s="16" t="s">
        <v>63</v>
      </c>
      <c r="F27" s="16" t="s">
        <v>80</v>
      </c>
      <c r="G27" s="17">
        <v>1787</v>
      </c>
      <c r="H27" s="17">
        <v>1995</v>
      </c>
      <c r="I27" s="17"/>
      <c r="J27" s="17">
        <v>1783</v>
      </c>
      <c r="K27" s="17" t="n">
        <f aca="false">IF(AND(IFERROR(SEARCH("현대오일뱅크",$C27),0)&gt;0,IFERROR(SEARCH("직영",$C27),0)&gt;0),$B$13,0)</f>
        <v/>
      </c>
      <c r="L27" s="17" t="n">
        <f aca="false">IF($G27="","",$G27+$K27)</f>
        <v/>
      </c>
      <c r="M27" s="17" t="n">
        <f aca="false">IF($H27="","",$H27+$K27)</f>
        <v/>
      </c>
      <c r="N27" s="17" t="n">
        <f aca="false">IF($J27="","",$J27+$K27)</f>
        <v/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/>
      </c>
      <c r="P27" s="17" t="n">
        <f aca="false">IF($B$10=0,"",IFERROR(IF($B$4&gt;0,IF($L27="",1/0,$L27*$B$4),0)+IF($B$5&gt;0,IF($M27="",1/0,$M27*$B$5),0)+IF($B$6&gt;0,IF($N27="",1/0,$N27*$B$6),0),""))</f>
        <v/>
      </c>
      <c r="Q27" s="17" t="s">
        <v>47</v>
      </c>
      <c r="R27" s="18" t="n">
        <f aca="false">IF($P27="","",IF($Q27="Y",IFERROR(VLOOKUP($B27,$C$4:$D$13,2,FALSE()),0),0))</f>
        <v/>
      </c>
      <c r="S27" s="17" t="n">
        <f aca="false">IF($P27="","",ROUNDDOWN($P27*$R27,0))</f>
        <v/>
      </c>
      <c r="T27" s="17" t="n">
        <f aca="false">IF($P27="","",$P27-$S27)</f>
        <v/>
      </c>
      <c r="U27" s="17" t="n">
        <f aca="false">IF($T27="","",IF($B$10=0,"",$T27/$B$10))</f>
        <v/>
      </c>
      <c r="V27" s="17" t="n">
        <f aca="false">IF($P27="","",IF($B$10=0,"",$P27/$B$10))</f>
        <v/>
      </c>
      <c r="W27" s="19" t="n">
        <f aca="false">IF($T27="",1000000000000000,$T27)</f>
        <v/>
      </c>
      <c r="XFB27" s="6"/>
      <c r="XFC27" s="3"/>
    </row>
    <row r="28" s="5" collapsed="false" customFormat="true" customHeight="true" hidden="false" ht="28.5" outlineLevel="0">
      <c r="A28" s="16" t="n">
        <f aca="false">IF($T28="","",1+COUNTIF($W$15:$W$894,"&lt;"&amp;W28))</f>
        <v/>
      </c>
      <c r="B28" s="16" t="s">
        <v>6</v>
      </c>
      <c r="C28" s="16" t="s">
        <v>83</v>
      </c>
      <c r="D28" s="16" t="s">
        <v>45</v>
      </c>
      <c r="E28" s="16" t="s">
        <v>26</v>
      </c>
      <c r="F28" s="16" t="s">
        <v>84</v>
      </c>
      <c r="G28" s="17">
        <v>1787</v>
      </c>
      <c r="H28" s="17">
        <v>1999</v>
      </c>
      <c r="I28" s="17"/>
      <c r="J28" s="17">
        <v>1783</v>
      </c>
      <c r="K28" s="17" t="n">
        <f aca="false">IF(AND(IFERROR(SEARCH("현대오일뱅크",$C28),0)&gt;0,IFERROR(SEARCH("직영",$C28),0)&gt;0),$B$13,0)</f>
        <v/>
      </c>
      <c r="L28" s="17" t="n">
        <f aca="false">IF($G28="","",$G28+$K28)</f>
        <v/>
      </c>
      <c r="M28" s="17" t="n">
        <f aca="false">IF($H28="","",$H28+$K28)</f>
        <v/>
      </c>
      <c r="N28" s="17" t="n">
        <f aca="false">IF($J28="","",$J28+$K28)</f>
        <v/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/>
      </c>
      <c r="P28" s="17" t="n">
        <f aca="false">IF($B$10=0,"",IFERROR(IF($B$4&gt;0,IF($L28="",1/0,$L28*$B$4),0)+IF($B$5&gt;0,IF($M28="",1/0,$M28*$B$5),0)+IF($B$6&gt;0,IF($N28="",1/0,$N28*$B$6),0),""))</f>
        <v/>
      </c>
      <c r="Q28" s="17" t="s">
        <v>47</v>
      </c>
      <c r="R28" s="18" t="n">
        <f aca="false">IF($P28="","",IF($Q28="Y",IFERROR(VLOOKUP($B28,$C$4:$D$13,2,FALSE()),0),0))</f>
        <v/>
      </c>
      <c r="S28" s="17" t="n">
        <f aca="false">IF($P28="","",ROUNDDOWN($P28*$R28,0))</f>
        <v/>
      </c>
      <c r="T28" s="17" t="n">
        <f aca="false">IF($P28="","",$P28-$S28)</f>
        <v/>
      </c>
      <c r="U28" s="17" t="n">
        <f aca="false">IF($T28="","",IF($B$10=0,"",$T28/$B$10))</f>
        <v/>
      </c>
      <c r="V28" s="17" t="n">
        <f aca="false">IF($P28="","",IF($B$10=0,"",$P28/$B$10))</f>
        <v/>
      </c>
      <c r="W28" s="19" t="n">
        <f aca="false">IF($T28="",1000000000000000,$T28)</f>
        <v/>
      </c>
      <c r="XFB28" s="6"/>
      <c r="XFC28" s="3"/>
    </row>
    <row r="29" s="5" collapsed="false" customFormat="true" customHeight="true" hidden="false" ht="28.5" outlineLevel="0">
      <c r="A29" s="16" t="n">
        <f aca="false">IF($T29="","",1+COUNTIF($W$15:$W$894,"&lt;"&amp;W29))</f>
        <v/>
      </c>
      <c r="B29" s="16" t="s">
        <v>6</v>
      </c>
      <c r="C29" s="16" t="s">
        <v>88</v>
      </c>
      <c r="D29" s="16" t="s">
        <v>45</v>
      </c>
      <c r="E29" s="16" t="s">
        <v>63</v>
      </c>
      <c r="F29" s="16" t="s">
        <v>89</v>
      </c>
      <c r="G29" s="17">
        <v>1774</v>
      </c>
      <c r="H29" s="17">
        <v>2040</v>
      </c>
      <c r="I29" s="17"/>
      <c r="J29" s="17">
        <v>1754</v>
      </c>
      <c r="K29" s="17" t="n">
        <f aca="false">IF(AND(IFERROR(SEARCH("현대오일뱅크",$C29),0)&gt;0,IFERROR(SEARCH("직영",$C29),0)&gt;0),$B$13,0)</f>
        <v/>
      </c>
      <c r="L29" s="17" t="n">
        <f aca="false">IF($G29="","",$G29+$K29)</f>
        <v/>
      </c>
      <c r="M29" s="17" t="n">
        <f aca="false">IF($H29="","",$H29+$K29)</f>
        <v/>
      </c>
      <c r="N29" s="17" t="n">
        <f aca="false">IF($J29="","",$J29+$K29)</f>
        <v/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/>
      </c>
      <c r="P29" s="17" t="n">
        <f aca="false">IF($B$10=0,"",IFERROR(IF($B$4&gt;0,IF($L29="",1/0,$L29*$B$4),0)+IF($B$5&gt;0,IF($M29="",1/0,$M29*$B$5),0)+IF($B$6&gt;0,IF($N29="",1/0,$N29*$B$6),0),""))</f>
        <v/>
      </c>
      <c r="Q29" s="17" t="s">
        <v>47</v>
      </c>
      <c r="R29" s="18" t="n">
        <f aca="false">IF($P29="","",IF($Q29="Y",IFERROR(VLOOKUP($B29,$C$4:$D$13,2,FALSE()),0),0))</f>
        <v/>
      </c>
      <c r="S29" s="17" t="n">
        <f aca="false">IF($P29="","",ROUNDDOWN($P29*$R29,0))</f>
        <v/>
      </c>
      <c r="T29" s="17" t="n">
        <f aca="false">IF($P29="","",$P29-$S29)</f>
        <v/>
      </c>
      <c r="U29" s="17" t="n">
        <f aca="false">IF($T29="","",IF($B$10=0,"",$T29/$B$10))</f>
        <v/>
      </c>
      <c r="V29" s="17" t="n">
        <f aca="false">IF($P29="","",IF($B$10=0,"",$P29/$B$10))</f>
        <v/>
      </c>
      <c r="W29" s="19" t="n">
        <f aca="false">IF($T29="",1000000000000000,$T29)</f>
        <v/>
      </c>
      <c r="XFB29" s="6"/>
      <c r="XFC29" s="3"/>
    </row>
    <row r="30" s="5" collapsed="false" customFormat="true" customHeight="true" hidden="false" ht="28.5" outlineLevel="0">
      <c r="A30" s="16" t="n">
        <f aca="false">IF($T30="","",1+COUNTIF($W$15:$W$894,"&lt;"&amp;W30))</f>
        <v/>
      </c>
      <c r="B30" s="16" t="s">
        <v>16</v>
      </c>
      <c r="C30" s="16" t="s">
        <v>103</v>
      </c>
      <c r="D30" s="16" t="s">
        <v>95</v>
      </c>
      <c r="E30" s="16" t="s">
        <v>26</v>
      </c>
      <c r="F30" s="16" t="s">
        <v>104</v>
      </c>
      <c r="G30" s="17">
        <v>1810</v>
      </c>
      <c r="H30" s="17">
        <v>2070</v>
      </c>
      <c r="I30" s="17"/>
      <c r="J30" s="17">
        <v>1820</v>
      </c>
      <c r="K30" s="17" t="n">
        <f aca="false">IF(AND(IFERROR(SEARCH("현대오일뱅크",$C30),0)&gt;0,IFERROR(SEARCH("직영",$C30),0)&gt;0),$B$13,0)</f>
        <v/>
      </c>
      <c r="L30" s="17" t="n">
        <f aca="false">IF($G30="","",$G30+$K30)</f>
        <v/>
      </c>
      <c r="M30" s="17" t="n">
        <f aca="false">IF($H30="","",$H30+$K30)</f>
        <v/>
      </c>
      <c r="N30" s="17" t="n">
        <f aca="false">IF($J30="","",$J30+$K30)</f>
        <v/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/>
      </c>
      <c r="P30" s="17" t="n">
        <f aca="false">IF($B$10=0,"",IFERROR(IF($B$4&gt;0,IF($L30="",1/0,$L30*$B$4),0)+IF($B$5&gt;0,IF($M30="",1/0,$M30*$B$5),0)+IF($B$6&gt;0,IF($N30="",1/0,$N30*$B$6),0),""))</f>
        <v/>
      </c>
      <c r="Q30" s="17" t="s">
        <v>47</v>
      </c>
      <c r="R30" s="18" t="n">
        <f aca="false">IF($P30="","",IF($Q30="Y",IFERROR(VLOOKUP($B30,$C$4:$D$13,2,FALSE()),0),0))</f>
        <v/>
      </c>
      <c r="S30" s="17" t="n">
        <f aca="false">IF($P30="","",ROUNDDOWN($P30*$R30,0))</f>
        <v/>
      </c>
      <c r="T30" s="17" t="n">
        <f aca="false">IF($P30="","",$P30-$S30)</f>
        <v/>
      </c>
      <c r="U30" s="17" t="n">
        <f aca="false">IF($T30="","",IF($B$10=0,"",$T30/$B$10))</f>
        <v/>
      </c>
      <c r="V30" s="17" t="n">
        <f aca="false">IF($P30="","",IF($B$10=0,"",$P30/$B$10))</f>
        <v/>
      </c>
      <c r="W30" s="19" t="n">
        <f aca="false">IF($T30="",1000000000000000,$T30)</f>
        <v/>
      </c>
      <c r="XFB30" s="6"/>
      <c r="XFC30" s="3"/>
    </row>
    <row r="31" s="5" collapsed="false" customFormat="true" customHeight="true" hidden="false" ht="28.5" outlineLevel="0">
      <c r="A31" s="16" t="n">
        <f aca="false">IF($T31="","",1+COUNTIF($W$15:$W$894,"&lt;"&amp;W31))</f>
        <v/>
      </c>
      <c r="B31" s="16" t="s">
        <v>6</v>
      </c>
      <c r="C31" s="16" t="s">
        <v>92</v>
      </c>
      <c r="D31" s="16" t="s">
        <v>45</v>
      </c>
      <c r="E31" s="16" t="s">
        <v>26</v>
      </c>
      <c r="F31" s="16" t="s">
        <v>93</v>
      </c>
      <c r="G31" s="17">
        <v>1794</v>
      </c>
      <c r="H31" s="17">
        <v>1994</v>
      </c>
      <c r="I31" s="17"/>
      <c r="J31" s="17">
        <v>1784</v>
      </c>
      <c r="K31" s="17" t="n">
        <f aca="false">IF(AND(IFERROR(SEARCH("현대오일뱅크",$C31),0)&gt;0,IFERROR(SEARCH("직영",$C31),0)&gt;0),$B$13,0)</f>
        <v/>
      </c>
      <c r="L31" s="17" t="n">
        <f aca="false">IF($G31="","",$G31+$K31)</f>
        <v/>
      </c>
      <c r="M31" s="17" t="n">
        <f aca="false">IF($H31="","",$H31+$K31)</f>
        <v/>
      </c>
      <c r="N31" s="17" t="n">
        <f aca="false">IF($J31="","",$J31+$K31)</f>
        <v/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/>
      </c>
      <c r="P31" s="17" t="n">
        <f aca="false">IF($B$10=0,"",IFERROR(IF($B$4&gt;0,IF($L31="",1/0,$L31*$B$4),0)+IF($B$5&gt;0,IF($M31="",1/0,$M31*$B$5),0)+IF($B$6&gt;0,IF($N31="",1/0,$N31*$B$6),0),""))</f>
        <v/>
      </c>
      <c r="Q31" s="17" t="s">
        <v>47</v>
      </c>
      <c r="R31" s="18" t="n">
        <f aca="false">IF($P31="","",IF($Q31="Y",IFERROR(VLOOKUP($B31,$C$4:$D$13,2,FALSE()),0),0))</f>
        <v/>
      </c>
      <c r="S31" s="17" t="n">
        <f aca="false">IF($P31="","",ROUNDDOWN($P31*$R31,0))</f>
        <v/>
      </c>
      <c r="T31" s="17" t="n">
        <f aca="false">IF($P31="","",$P31-$S31)</f>
        <v/>
      </c>
      <c r="U31" s="17" t="n">
        <f aca="false">IF($T31="","",IF($B$10=0,"",$T31/$B$10))</f>
        <v/>
      </c>
      <c r="V31" s="17" t="n">
        <f aca="false">IF($P31="","",IF($B$10=0,"",$P31/$B$10))</f>
        <v/>
      </c>
      <c r="W31" s="19" t="n">
        <f aca="false">IF($T31="",1000000000000000,$T31)</f>
        <v/>
      </c>
      <c r="XFB31" s="6"/>
      <c r="XFC31" s="3"/>
    </row>
    <row r="32" s="5" collapsed="false" customFormat="true" customHeight="true" hidden="false" ht="28.5" outlineLevel="0">
      <c r="A32" s="16" t="n">
        <f aca="false">IF($T32="","",1+COUNTIF($W$15:$W$894,"&lt;"&amp;W32))</f>
        <v/>
      </c>
      <c r="B32" s="16" t="s">
        <v>6</v>
      </c>
      <c r="C32" s="16" t="s">
        <v>60</v>
      </c>
      <c r="D32" s="16" t="s">
        <v>51</v>
      </c>
      <c r="E32" s="16" t="s">
        <v>26</v>
      </c>
      <c r="F32" s="16" t="s">
        <v>61</v>
      </c>
      <c r="G32" s="17">
        <v>1773</v>
      </c>
      <c r="H32" s="17">
        <v>2023</v>
      </c>
      <c r="I32" s="17"/>
      <c r="J32" s="17">
        <v>1749</v>
      </c>
      <c r="K32" s="17" t="n">
        <f aca="false">IF(AND(IFERROR(SEARCH("현대오일뱅크",$C32),0)&gt;0,IFERROR(SEARCH("직영",$C32),0)&gt;0),$B$13,0)</f>
        <v/>
      </c>
      <c r="L32" s="17" t="n">
        <f aca="false">IF($G32="","",$G32+$K32)</f>
        <v/>
      </c>
      <c r="M32" s="17" t="n">
        <f aca="false">IF($H32="","",$H32+$K32)</f>
        <v/>
      </c>
      <c r="N32" s="17" t="n">
        <f aca="false">IF($J32="","",$J32+$K32)</f>
        <v/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/>
      </c>
      <c r="P32" s="17" t="n">
        <f aca="false">IF($B$10=0,"",IFERROR(IF($B$4&gt;0,IF($L32="",1/0,$L32*$B$4),0)+IF($B$5&gt;0,IF($M32="",1/0,$M32*$B$5),0)+IF($B$6&gt;0,IF($N32="",1/0,$N32*$B$6),0),""))</f>
        <v/>
      </c>
      <c r="Q32" s="17" t="s">
        <v>47</v>
      </c>
      <c r="R32" s="18" t="n">
        <f aca="false">IF($P32="","",IF($Q32="Y",IFERROR(VLOOKUP($B32,$C$4:$D$13,2,FALSE()),0),0))</f>
        <v/>
      </c>
      <c r="S32" s="17" t="n">
        <f aca="false">IF($P32="","",ROUNDDOWN($P32*$R32,0))</f>
        <v/>
      </c>
      <c r="T32" s="17" t="n">
        <f aca="false">IF($P32="","",$P32-$S32)</f>
        <v/>
      </c>
      <c r="U32" s="17" t="n">
        <f aca="false">IF($T32="","",IF($B$10=0,"",$T32/$B$10))</f>
        <v/>
      </c>
      <c r="V32" s="17" t="n">
        <f aca="false">IF($P32="","",IF($B$10=0,"",$P32/$B$10))</f>
        <v/>
      </c>
      <c r="W32" s="19" t="n">
        <f aca="false">IF($T32="",1000000000000000,$T32)</f>
        <v/>
      </c>
      <c r="XFB32" s="6"/>
      <c r="XFC32" s="3"/>
    </row>
    <row r="33" s="5" collapsed="false" customFormat="true" customHeight="true" hidden="false" ht="28.5" outlineLevel="0">
      <c r="A33" s="16" t="n">
        <f aca="false">IF($T33="","",1+COUNTIF($W$15:$W$894,"&lt;"&amp;W33))</f>
        <v/>
      </c>
      <c r="B33" s="16" t="s">
        <v>6</v>
      </c>
      <c r="C33" s="16" t="s">
        <v>62</v>
      </c>
      <c r="D33" s="16" t="s">
        <v>51</v>
      </c>
      <c r="E33" s="16" t="s">
        <v>63</v>
      </c>
      <c r="F33" s="16" t="s">
        <v>64</v>
      </c>
      <c r="G33" s="17">
        <v>1778</v>
      </c>
      <c r="H33" s="17">
        <v>2018</v>
      </c>
      <c r="I33" s="17"/>
      <c r="J33" s="17">
        <v>1785</v>
      </c>
      <c r="K33" s="17" t="n">
        <f aca="false">IF(AND(IFERROR(SEARCH("현대오일뱅크",$C33),0)&gt;0,IFERROR(SEARCH("직영",$C33),0)&gt;0),$B$13,0)</f>
        <v/>
      </c>
      <c r="L33" s="17" t="n">
        <f aca="false">IF($G33="","",$G33+$K33)</f>
        <v/>
      </c>
      <c r="M33" s="17" t="n">
        <f aca="false">IF($H33="","",$H33+$K33)</f>
        <v/>
      </c>
      <c r="N33" s="17" t="n">
        <f aca="false">IF($J33="","",$J33+$K33)</f>
        <v/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/>
      </c>
      <c r="P33" s="17" t="n">
        <f aca="false">IF($B$10=0,"",IFERROR(IF($B$4&gt;0,IF($L33="",1/0,$L33*$B$4),0)+IF($B$5&gt;0,IF($M33="",1/0,$M33*$B$5),0)+IF($B$6&gt;0,IF($N33="",1/0,$N33*$B$6),0),""))</f>
        <v/>
      </c>
      <c r="Q33" s="17" t="s">
        <v>47</v>
      </c>
      <c r="R33" s="18" t="n">
        <f aca="false">IF($P33="","",IF($Q33="Y",IFERROR(VLOOKUP($B33,$C$4:$D$13,2,FALSE()),0),0))</f>
        <v/>
      </c>
      <c r="S33" s="17" t="n">
        <f aca="false">IF($P33="","",ROUNDDOWN($P33*$R33,0))</f>
        <v/>
      </c>
      <c r="T33" s="17" t="n">
        <f aca="false">IF($P33="","",$P33-$S33)</f>
        <v/>
      </c>
      <c r="U33" s="17" t="n">
        <f aca="false">IF($T33="","",IF($B$10=0,"",$T33/$B$10))</f>
        <v/>
      </c>
      <c r="V33" s="17" t="n">
        <f aca="false">IF($P33="","",IF($B$10=0,"",$P33/$B$10))</f>
        <v/>
      </c>
      <c r="W33" s="19" t="n">
        <f aca="false">IF($T33="",1000000000000000,$T33)</f>
        <v/>
      </c>
      <c r="XFB33" s="6"/>
      <c r="XFC33" s="3"/>
    </row>
    <row r="34" s="5" collapsed="false" customFormat="true" customHeight="true" hidden="false" ht="28.5" outlineLevel="0">
      <c r="A34" s="16" t="n">
        <f aca="false">IF($T34="","",1+COUNTIF($W$15:$W$894,"&lt;"&amp;W34))</f>
        <v/>
      </c>
      <c r="B34" s="16" t="s">
        <v>6</v>
      </c>
      <c r="C34" s="16" t="s">
        <v>65</v>
      </c>
      <c r="D34" s="16" t="s">
        <v>51</v>
      </c>
      <c r="E34" s="16" t="s">
        <v>26</v>
      </c>
      <c r="F34" s="16" t="s">
        <v>66</v>
      </c>
      <c r="G34" s="17">
        <v>1770</v>
      </c>
      <c r="H34" s="17">
        <v>2030</v>
      </c>
      <c r="I34" s="17"/>
      <c r="J34" s="17">
        <v>1760</v>
      </c>
      <c r="K34" s="17" t="n">
        <f aca="false">IF(AND(IFERROR(SEARCH("현대오일뱅크",$C34),0)&gt;0,IFERROR(SEARCH("직영",$C34),0)&gt;0),$B$13,0)</f>
        <v/>
      </c>
      <c r="L34" s="17" t="n">
        <f aca="false">IF($G34="","",$G34+$K34)</f>
        <v/>
      </c>
      <c r="M34" s="17" t="n">
        <f aca="false">IF($H34="","",$H34+$K34)</f>
        <v/>
      </c>
      <c r="N34" s="17" t="n">
        <f aca="false">IF($J34="","",$J34+$K34)</f>
        <v/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/>
      </c>
      <c r="P34" s="17" t="n">
        <f aca="false">IF($B$10=0,"",IFERROR(IF($B$4&gt;0,IF($L34="",1/0,$L34*$B$4),0)+IF($B$5&gt;0,IF($M34="",1/0,$M34*$B$5),0)+IF($B$6&gt;0,IF($N34="",1/0,$N34*$B$6),0),""))</f>
        <v/>
      </c>
      <c r="Q34" s="17" t="s">
        <v>47</v>
      </c>
      <c r="R34" s="18" t="n">
        <f aca="false">IF($P34="","",IF($Q34="Y",IFERROR(VLOOKUP($B34,$C$4:$D$13,2,FALSE()),0),0))</f>
        <v/>
      </c>
      <c r="S34" s="17" t="n">
        <f aca="false">IF($P34="","",ROUNDDOWN($P34*$R34,0))</f>
        <v/>
      </c>
      <c r="T34" s="17" t="n">
        <f aca="false">IF($P34="","",$P34-$S34)</f>
        <v/>
      </c>
      <c r="U34" s="17" t="n">
        <f aca="false">IF($T34="","",IF($B$10=0,"",$T34/$B$10))</f>
        <v/>
      </c>
      <c r="V34" s="17" t="n">
        <f aca="false">IF($P34="","",IF($B$10=0,"",$P34/$B$10))</f>
        <v/>
      </c>
      <c r="W34" s="19" t="n">
        <f aca="false">IF($T34="",1000000000000000,$T34)</f>
        <v/>
      </c>
      <c r="XFB34" s="6"/>
      <c r="XFC34" s="3"/>
    </row>
    <row r="35" s="5" collapsed="false" customFormat="true" customHeight="true" hidden="false" ht="28.5" outlineLevel="0">
      <c r="A35" s="16" t="n">
        <f aca="false">IF($T35="","",1+COUNTIF($W$15:$W$894,"&lt;"&amp;W35))</f>
        <v/>
      </c>
      <c r="B35" s="16" t="s">
        <v>6</v>
      </c>
      <c r="C35" s="16" t="s">
        <v>94</v>
      </c>
      <c r="D35" s="16" t="s">
        <v>95</v>
      </c>
      <c r="E35" s="16" t="s">
        <v>26</v>
      </c>
      <c r="F35" s="16" t="s">
        <v>96</v>
      </c>
      <c r="G35" s="17">
        <v>1797</v>
      </c>
      <c r="H35" s="17">
        <v>1997</v>
      </c>
      <c r="I35" s="17"/>
      <c r="J35" s="17">
        <v>1796</v>
      </c>
      <c r="K35" s="17" t="n">
        <f aca="false">IF(AND(IFERROR(SEARCH("현대오일뱅크",$C35),0)&gt;0,IFERROR(SEARCH("직영",$C35),0)&gt;0),$B$13,0)</f>
        <v/>
      </c>
      <c r="L35" s="17" t="n">
        <f aca="false">IF($G35="","",$G35+$K35)</f>
        <v/>
      </c>
      <c r="M35" s="17" t="n">
        <f aca="false">IF($H35="","",$H35+$K35)</f>
        <v/>
      </c>
      <c r="N35" s="17" t="n">
        <f aca="false">IF($J35="","",$J35+$K35)</f>
        <v/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/>
      </c>
      <c r="P35" s="17" t="n">
        <f aca="false">IF($B$10=0,"",IFERROR(IF($B$4&gt;0,IF($L35="",1/0,$L35*$B$4),0)+IF($B$5&gt;0,IF($M35="",1/0,$M35*$B$5),0)+IF($B$6&gt;0,IF($N35="",1/0,$N35*$B$6),0),""))</f>
        <v/>
      </c>
      <c r="Q35" s="17" t="s">
        <v>47</v>
      </c>
      <c r="R35" s="18" t="n">
        <f aca="false">IF($P35="","",IF($Q35="Y",IFERROR(VLOOKUP($B35,$C$4:$D$13,2,FALSE()),0),0))</f>
        <v/>
      </c>
      <c r="S35" s="17" t="n">
        <f aca="false">IF($P35="","",ROUNDDOWN($P35*$R35,0))</f>
        <v/>
      </c>
      <c r="T35" s="17" t="n">
        <f aca="false">IF($P35="","",$P35-$S35)</f>
        <v/>
      </c>
      <c r="U35" s="17" t="n">
        <f aca="false">IF($T35="","",IF($B$10=0,"",$T35/$B$10))</f>
        <v/>
      </c>
      <c r="V35" s="17" t="n">
        <f aca="false">IF($P35="","",IF($B$10=0,"",$P35/$B$10))</f>
        <v/>
      </c>
      <c r="W35" s="19" t="n">
        <f aca="false">IF($T35="",1000000000000000,$T35)</f>
        <v/>
      </c>
      <c r="XFB35" s="6"/>
      <c r="XFC35" s="3"/>
    </row>
    <row r="36" s="5" collapsed="false" customFormat="true" customHeight="true" hidden="false" ht="28.5" outlineLevel="0">
      <c r="A36" s="16" t="n">
        <f aca="false">IF($T36="","",1+COUNTIF($W$15:$W$894,"&lt;"&amp;W36))</f>
        <v/>
      </c>
      <c r="B36" s="16" t="s">
        <v>6</v>
      </c>
      <c r="C36" s="16" t="s">
        <v>97</v>
      </c>
      <c r="D36" s="16" t="s">
        <v>51</v>
      </c>
      <c r="E36" s="16" t="s">
        <v>26</v>
      </c>
      <c r="F36" s="16" t="s">
        <v>98</v>
      </c>
      <c r="G36" s="17">
        <v>1785</v>
      </c>
      <c r="H36" s="17">
        <v>2015</v>
      </c>
      <c r="I36" s="17"/>
      <c r="J36" s="17">
        <v>1785</v>
      </c>
      <c r="K36" s="17" t="n">
        <f aca="false">IF(AND(IFERROR(SEARCH("현대오일뱅크",$C36),0)&gt;0,IFERROR(SEARCH("직영",$C36),0)&gt;0),$B$13,0)</f>
        <v/>
      </c>
      <c r="L36" s="17" t="n">
        <f aca="false">IF($G36="","",$G36+$K36)</f>
        <v/>
      </c>
      <c r="M36" s="17" t="n">
        <f aca="false">IF($H36="","",$H36+$K36)</f>
        <v/>
      </c>
      <c r="N36" s="17" t="n">
        <f aca="false">IF($J36="","",$J36+$K36)</f>
        <v/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/>
      </c>
      <c r="P36" s="17" t="n">
        <f aca="false">IF($B$10=0,"",IFERROR(IF($B$4&gt;0,IF($L36="",1/0,$L36*$B$4),0)+IF($B$5&gt;0,IF($M36="",1/0,$M36*$B$5),0)+IF($B$6&gt;0,IF($N36="",1/0,$N36*$B$6),0),""))</f>
        <v/>
      </c>
      <c r="Q36" s="17" t="s">
        <v>47</v>
      </c>
      <c r="R36" s="18" t="n">
        <f aca="false">IF($P36="","",IF($Q36="Y",IFERROR(VLOOKUP($B36,$C$4:$D$13,2,FALSE()),0),0))</f>
        <v/>
      </c>
      <c r="S36" s="17" t="n">
        <f aca="false">IF($P36="","",ROUNDDOWN($P36*$R36,0))</f>
        <v/>
      </c>
      <c r="T36" s="17" t="n">
        <f aca="false">IF($P36="","",$P36-$S36)</f>
        <v/>
      </c>
      <c r="U36" s="17" t="n">
        <f aca="false">IF($T36="","",IF($B$10=0,"",$T36/$B$10))</f>
        <v/>
      </c>
      <c r="V36" s="17" t="n">
        <f aca="false">IF($P36="","",IF($B$10=0,"",$P36/$B$10))</f>
        <v/>
      </c>
      <c r="W36" s="19" t="n">
        <f aca="false">IF($T36="",1000000000000000,$T36)</f>
        <v/>
      </c>
      <c r="XFB36" s="6"/>
      <c r="XFC36" s="3"/>
    </row>
    <row r="37" s="5" collapsed="false" customFormat="true" customHeight="true" hidden="false" ht="28.5" outlineLevel="0">
      <c r="A37" s="16" t="n">
        <f aca="false">IF($T37="","",1+COUNTIF($W$15:$W$894,"&lt;"&amp;W37))</f>
        <v/>
      </c>
      <c r="B37" s="16" t="s">
        <v>6</v>
      </c>
      <c r="C37" s="16" t="s">
        <v>99</v>
      </c>
      <c r="D37" s="16" t="s">
        <v>51</v>
      </c>
      <c r="E37" s="16" t="s">
        <v>26</v>
      </c>
      <c r="F37" s="16" t="s">
        <v>100</v>
      </c>
      <c r="G37" s="17">
        <v>1785</v>
      </c>
      <c r="H37" s="17">
        <v>2015</v>
      </c>
      <c r="I37" s="17"/>
      <c r="J37" s="17">
        <v>1785</v>
      </c>
      <c r="K37" s="17" t="n">
        <f aca="false">IF(AND(IFERROR(SEARCH("현대오일뱅크",$C37),0)&gt;0,IFERROR(SEARCH("직영",$C37),0)&gt;0),$B$13,0)</f>
        <v/>
      </c>
      <c r="L37" s="17" t="n">
        <f aca="false">IF($G37="","",$G37+$K37)</f>
        <v/>
      </c>
      <c r="M37" s="17" t="n">
        <f aca="false">IF($H37="","",$H37+$K37)</f>
        <v/>
      </c>
      <c r="N37" s="17" t="n">
        <f aca="false">IF($J37="","",$J37+$K37)</f>
        <v/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/>
      </c>
      <c r="P37" s="17" t="n">
        <f aca="false">IF($B$10=0,"",IFERROR(IF($B$4&gt;0,IF($L37="",1/0,$L37*$B$4),0)+IF($B$5&gt;0,IF($M37="",1/0,$M37*$B$5),0)+IF($B$6&gt;0,IF($N37="",1/0,$N37*$B$6),0),""))</f>
        <v/>
      </c>
      <c r="Q37" s="17" t="s">
        <v>47</v>
      </c>
      <c r="R37" s="18" t="n">
        <f aca="false">IF($P37="","",IF($Q37="Y",IFERROR(VLOOKUP($B37,$C$4:$D$13,2,FALSE()),0),0))</f>
        <v/>
      </c>
      <c r="S37" s="17" t="n">
        <f aca="false">IF($P37="","",ROUNDDOWN($P37*$R37,0))</f>
        <v/>
      </c>
      <c r="T37" s="17" t="n">
        <f aca="false">IF($P37="","",$P37-$S37)</f>
        <v/>
      </c>
      <c r="U37" s="17" t="n">
        <f aca="false">IF($T37="","",IF($B$10=0,"",$T37/$B$10))</f>
        <v/>
      </c>
      <c r="V37" s="17" t="n">
        <f aca="false">IF($P37="","",IF($B$10=0,"",$P37/$B$10))</f>
        <v/>
      </c>
      <c r="W37" s="19" t="n">
        <f aca="false">IF($T37="",1000000000000000,$T37)</f>
        <v/>
      </c>
      <c r="XFB37" s="6"/>
      <c r="XFC37" s="3"/>
    </row>
    <row r="38" s="5" collapsed="false" customFormat="true" customHeight="true" hidden="false" ht="28.5" outlineLevel="0">
      <c r="A38" s="16" t="n">
        <f aca="false">IF($T38="","",1+COUNTIF($W$15:$W$894,"&lt;"&amp;W38))</f>
        <v/>
      </c>
      <c r="B38" s="16" t="s">
        <v>6</v>
      </c>
      <c r="C38" s="16" t="s">
        <v>101</v>
      </c>
      <c r="D38" s="16" t="s">
        <v>45</v>
      </c>
      <c r="E38" s="16" t="s">
        <v>63</v>
      </c>
      <c r="F38" s="16" t="s">
        <v>102</v>
      </c>
      <c r="G38" s="17">
        <v>1780</v>
      </c>
      <c r="H38" s="17">
        <v>2044</v>
      </c>
      <c r="I38" s="17"/>
      <c r="J38" s="17">
        <v>1764</v>
      </c>
      <c r="K38" s="17" t="n">
        <f aca="false">IF(AND(IFERROR(SEARCH("현대오일뱅크",$C38),0)&gt;0,IFERROR(SEARCH("직영",$C38),0)&gt;0),$B$13,0)</f>
        <v/>
      </c>
      <c r="L38" s="17" t="n">
        <f aca="false">IF($G38="","",$G38+$K38)</f>
        <v/>
      </c>
      <c r="M38" s="17" t="n">
        <f aca="false">IF($H38="","",$H38+$K38)</f>
        <v/>
      </c>
      <c r="N38" s="17" t="n">
        <f aca="false">IF($J38="","",$J38+$K38)</f>
        <v/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/>
      </c>
      <c r="P38" s="17" t="n">
        <f aca="false">IF($B$10=0,"",IFERROR(IF($B$4&gt;0,IF($L38="",1/0,$L38*$B$4),0)+IF($B$5&gt;0,IF($M38="",1/0,$M38*$B$5),0)+IF($B$6&gt;0,IF($N38="",1/0,$N38*$B$6),0),""))</f>
        <v/>
      </c>
      <c r="Q38" s="17" t="s">
        <v>47</v>
      </c>
      <c r="R38" s="18" t="n">
        <f aca="false">IF($P38="","",IF($Q38="Y",IFERROR(VLOOKUP($B38,$C$4:$D$13,2,FALSE()),0),0))</f>
        <v/>
      </c>
      <c r="S38" s="17" t="n">
        <f aca="false">IF($P38="","",ROUNDDOWN($P38*$R38,0))</f>
        <v/>
      </c>
      <c r="T38" s="17" t="n">
        <f aca="false">IF($P38="","",$P38-$S38)</f>
        <v/>
      </c>
      <c r="U38" s="17" t="n">
        <f aca="false">IF($T38="","",IF($B$10=0,"",$T38/$B$10))</f>
        <v/>
      </c>
      <c r="V38" s="17" t="n">
        <f aca="false">IF($P38="","",IF($B$10=0,"",$P38/$B$10))</f>
        <v/>
      </c>
      <c r="W38" s="19" t="n">
        <f aca="false">IF($T38="",1000000000000000,$T38)</f>
        <v/>
      </c>
      <c r="XFB38" s="6"/>
      <c r="XFC38" s="3"/>
    </row>
    <row r="39" s="5" collapsed="false" customFormat="true" customHeight="true" hidden="false" ht="28.5" outlineLevel="0">
      <c r="A39" s="16" t="n">
        <f aca="false">IF($T39="","",1+COUNTIF($W$15:$W$894,"&lt;"&amp;W39))</f>
        <v/>
      </c>
      <c r="B39" s="16" t="s">
        <v>6</v>
      </c>
      <c r="C39" s="16" t="s">
        <v>67</v>
      </c>
      <c r="D39" s="16" t="s">
        <v>51</v>
      </c>
      <c r="E39" s="16" t="s">
        <v>26</v>
      </c>
      <c r="F39" s="16" t="s">
        <v>68</v>
      </c>
      <c r="G39" s="17">
        <v>1770</v>
      </c>
      <c r="H39" s="17">
        <v>2037</v>
      </c>
      <c r="I39" s="17"/>
      <c r="J39" s="17">
        <v>1750</v>
      </c>
      <c r="K39" s="17" t="n">
        <f aca="false">IF(AND(IFERROR(SEARCH("현대오일뱅크",$C39),0)&gt;0,IFERROR(SEARCH("직영",$C39),0)&gt;0),$B$13,0)</f>
        <v/>
      </c>
      <c r="L39" s="17" t="n">
        <f aca="false">IF($G39="","",$G39+$K39)</f>
        <v/>
      </c>
      <c r="M39" s="17" t="n">
        <f aca="false">IF($H39="","",$H39+$K39)</f>
        <v/>
      </c>
      <c r="N39" s="17" t="n">
        <f aca="false">IF($J39="","",$J39+$K39)</f>
        <v/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/>
      </c>
      <c r="P39" s="17" t="n">
        <f aca="false">IF($B$10=0,"",IFERROR(IF($B$4&gt;0,IF($L39="",1/0,$L39*$B$4),0)+IF($B$5&gt;0,IF($M39="",1/0,$M39*$B$5),0)+IF($B$6&gt;0,IF($N39="",1/0,$N39*$B$6),0),""))</f>
        <v/>
      </c>
      <c r="Q39" s="17" t="s">
        <v>47</v>
      </c>
      <c r="R39" s="18" t="n">
        <f aca="false">IF($P39="","",IF($Q39="Y",IFERROR(VLOOKUP($B39,$C$4:$D$13,2,FALSE()),0),0))</f>
        <v/>
      </c>
      <c r="S39" s="17" t="n">
        <f aca="false">IF($P39="","",ROUNDDOWN($P39*$R39,0))</f>
        <v/>
      </c>
      <c r="T39" s="17" t="n">
        <f aca="false">IF($P39="","",$P39-$S39)</f>
        <v/>
      </c>
      <c r="U39" s="17" t="n">
        <f aca="false">IF($T39="","",IF($B$10=0,"",$T39/$B$10))</f>
        <v/>
      </c>
      <c r="V39" s="17" t="n">
        <f aca="false">IF($P39="","",IF($B$10=0,"",$P39/$B$10))</f>
        <v/>
      </c>
      <c r="W39" s="19" t="n">
        <f aca="false">IF($T39="",1000000000000000,$T39)</f>
        <v/>
      </c>
      <c r="XFB39" s="6"/>
      <c r="XFC39" s="3"/>
    </row>
    <row r="40" s="5" collapsed="false" customFormat="true" customHeight="true" hidden="false" ht="28.5" outlineLevel="0">
      <c r="A40" s="16" t="n">
        <f aca="false">IF($T40="","",1+COUNTIF($W$15:$W$894,"&lt;"&amp;W40))</f>
        <v/>
      </c>
      <c r="B40" s="16" t="s">
        <v>18</v>
      </c>
      <c r="C40" s="16" t="s">
        <v>105</v>
      </c>
      <c r="D40" s="16" t="s">
        <v>51</v>
      </c>
      <c r="E40" s="16" t="s">
        <v>26</v>
      </c>
      <c r="F40" s="16" t="s">
        <v>106</v>
      </c>
      <c r="G40" s="17">
        <v>1845</v>
      </c>
      <c r="H40" s="17">
        <v>2195</v>
      </c>
      <c r="I40" s="17"/>
      <c r="J40" s="17">
        <v>1845</v>
      </c>
      <c r="K40" s="17" t="n">
        <f aca="false">IF(AND(IFERROR(SEARCH("현대오일뱅크",$C40),0)&gt;0,IFERROR(SEARCH("직영",$C40),0)&gt;0),$B$13,0)</f>
        <v/>
      </c>
      <c r="L40" s="17" t="n">
        <f aca="false">IF($G40="","",$G40+$K40)</f>
        <v/>
      </c>
      <c r="M40" s="17" t="n">
        <f aca="false">IF($H40="","",$H40+$K40)</f>
        <v/>
      </c>
      <c r="N40" s="17" t="n">
        <f aca="false">IF($J40="","",$J40+$K40)</f>
        <v/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/>
      </c>
      <c r="P40" s="17" t="n">
        <f aca="false">IF($B$10=0,"",IFERROR(IF($B$4&gt;0,IF($L40="",1/0,$L40*$B$4),0)+IF($B$5&gt;0,IF($M40="",1/0,$M40*$B$5),0)+IF($B$6&gt;0,IF($N40="",1/0,$N40*$B$6),0),""))</f>
        <v/>
      </c>
      <c r="Q40" s="17" t="s">
        <v>47</v>
      </c>
      <c r="R40" s="18" t="n">
        <f aca="false">IF($P40="","",IF($Q40="Y",IFERROR(VLOOKUP($B40,$C$4:$D$13,2,FALSE()),0),0))</f>
        <v/>
      </c>
      <c r="S40" s="17" t="n">
        <f aca="false">IF($P40="","",ROUNDDOWN($P40*$R40,0))</f>
        <v/>
      </c>
      <c r="T40" s="17" t="n">
        <f aca="false">IF($P40="","",$P40-$S40)</f>
        <v/>
      </c>
      <c r="U40" s="17" t="n">
        <f aca="false">IF($T40="","",IF($B$10=0,"",$T40/$B$10))</f>
        <v/>
      </c>
      <c r="V40" s="17" t="n">
        <f aca="false">IF($P40="","",IF($B$10=0,"",$P40/$B$10))</f>
        <v/>
      </c>
      <c r="W40" s="19" t="n">
        <f aca="false">IF($T40="",1000000000000000,$T40)</f>
        <v/>
      </c>
      <c r="XFB40" s="6"/>
      <c r="XFC40" s="3"/>
    </row>
    <row r="41" s="5" collapsed="false" customFormat="true" customHeight="true" hidden="false" ht="28.5" outlineLevel="0">
      <c r="A41" s="16" t="n">
        <f aca="false">IF($T41="","",1+COUNTIF($W$15:$W$894,"&lt;"&amp;W41))</f>
        <v/>
      </c>
      <c r="B41" s="16" t="s">
        <v>6</v>
      </c>
      <c r="C41" s="16" t="s">
        <v>85</v>
      </c>
      <c r="D41" s="20" t="s">
        <v>86</v>
      </c>
      <c r="E41" s="16" t="s">
        <v>63</v>
      </c>
      <c r="F41" s="16" t="s">
        <v>87</v>
      </c>
      <c r="G41" s="17">
        <v>1799</v>
      </c>
      <c r="H41" s="17">
        <v>2009</v>
      </c>
      <c r="I41" s="17"/>
      <c r="J41" s="17">
        <v>1799</v>
      </c>
      <c r="K41" s="17" t="n">
        <f aca="false">IF(AND(IFERROR(SEARCH("현대오일뱅크",$C41),0)&gt;0,IFERROR(SEARCH("직영",$C41),0)&gt;0),$B$13,0)</f>
        <v/>
      </c>
      <c r="L41" s="17" t="n">
        <f aca="false">IF($G41="","",$G41+$K41)</f>
        <v/>
      </c>
      <c r="M41" s="17" t="n">
        <f aca="false">IF($H41="","",$H41+$K41)</f>
        <v/>
      </c>
      <c r="N41" s="17" t="n">
        <f aca="false">IF($J41="","",$J41+$K41)</f>
        <v/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/>
      </c>
      <c r="P41" s="17" t="n">
        <f aca="false">IF($B$10=0,"",IFERROR(IF($B$4&gt;0,IF($L41="",1/0,$L41*$B$4),0)+IF($B$5&gt;0,IF($M41="",1/0,$M41*$B$5),0)+IF($B$6&gt;0,IF($N41="",1/0,$N41*$B$6),0),""))</f>
        <v/>
      </c>
      <c r="Q41" s="17" t="s">
        <v>47</v>
      </c>
      <c r="R41" s="18" t="n">
        <f aca="false">IF($P41="","",IF($Q41="Y",IFERROR(VLOOKUP($B41,$C$4:$D$13,2,FALSE()),0),0))</f>
        <v/>
      </c>
      <c r="S41" s="17" t="n">
        <f aca="false">IF($P41="","",ROUNDDOWN($P41*$R41,0))</f>
        <v/>
      </c>
      <c r="T41" s="17" t="n">
        <f aca="false">IF($P41="","",$P41-$S41)</f>
        <v/>
      </c>
      <c r="U41" s="17" t="n">
        <f aca="false">IF($T41="","",IF($B$10=0,"",$T41/$B$10))</f>
        <v/>
      </c>
      <c r="V41" s="17" t="n">
        <f aca="false">IF($P41="","",IF($B$10=0,"",$P41/$B$10))</f>
        <v/>
      </c>
      <c r="W41" s="19" t="n">
        <f aca="false">IF($T41="",1000000000000000,$T41)</f>
        <v/>
      </c>
      <c r="XFB41" s="6"/>
      <c r="XFC41" s="3"/>
    </row>
    <row r="42" s="5" collapsed="false" customFormat="true" customHeight="true" hidden="false" ht="28.5" outlineLevel="0">
      <c r="A42" s="16" t="n">
        <f aca="false">IF($T42="","",1+COUNTIF($W$15:$W$894,"&lt;"&amp;W42))</f>
        <v/>
      </c>
      <c r="B42" s="16" t="s">
        <v>6</v>
      </c>
      <c r="C42" s="16" t="s">
        <v>107</v>
      </c>
      <c r="D42" s="16" t="s">
        <v>45</v>
      </c>
      <c r="E42" s="16" t="s">
        <v>26</v>
      </c>
      <c r="F42" s="16" t="s">
        <v>108</v>
      </c>
      <c r="G42" s="17">
        <v>1780</v>
      </c>
      <c r="H42" s="17">
        <v>2058</v>
      </c>
      <c r="I42" s="17" t="s">
        <v>47</v>
      </c>
      <c r="J42" s="17">
        <v>1755</v>
      </c>
      <c r="K42" s="17" t="n">
        <f aca="false">IF(AND(IFERROR(SEARCH("현대오일뱅크",$C42),0)&gt;0,IFERROR(SEARCH("직영",$C42),0)&gt;0),$B$13,0)</f>
        <v/>
      </c>
      <c r="L42" s="17" t="n">
        <f aca="false">IF($G42="","",$G42+$K42)</f>
        <v/>
      </c>
      <c r="M42" s="17" t="n">
        <f aca="false">IF($H42="","",$H42+$K42)</f>
        <v/>
      </c>
      <c r="N42" s="17" t="n">
        <f aca="false">IF($J42="","",$J42+$K42)</f>
        <v/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/>
      </c>
      <c r="P42" s="17" t="n">
        <f aca="false">IF($B$10=0,"",IFERROR(IF($B$4&gt;0,IF($L42="",1/0,$L42*$B$4),0)+IF($B$5&gt;0,IF($M42="",1/0,$M42*$B$5),0)+IF($B$6&gt;0,IF($N42="",1/0,$N42*$B$6),0),""))</f>
        <v/>
      </c>
      <c r="Q42" s="17" t="s">
        <v>47</v>
      </c>
      <c r="R42" s="18" t="n">
        <f aca="false">IF($P42="","",IF($Q42="Y",IFERROR(VLOOKUP($B42,$C$4:$D$13,2,FALSE()),0),0))</f>
        <v/>
      </c>
      <c r="S42" s="17" t="n">
        <f aca="false">IF($P42="","",ROUNDDOWN($P42*$R42,0))</f>
        <v/>
      </c>
      <c r="T42" s="17" t="n">
        <f aca="false">IF($P42="","",$P42-$S42)</f>
        <v/>
      </c>
      <c r="U42" s="17" t="n">
        <f aca="false">IF($T42="","",IF($B$10=0,"",$T42/$B$10))</f>
        <v/>
      </c>
      <c r="V42" s="17" t="n">
        <f aca="false">IF($P42="","",IF($B$10=0,"",$P42/$B$10))</f>
        <v/>
      </c>
      <c r="W42" s="19" t="n">
        <f aca="false">IF($T42="",1000000000000000,$T42)</f>
        <v/>
      </c>
      <c r="XFB42" s="6"/>
      <c r="XFC42" s="3"/>
    </row>
    <row r="43" s="5" collapsed="false" customFormat="true" customHeight="true" hidden="false" ht="28.5" outlineLevel="0">
      <c r="A43" s="16" t="n">
        <f aca="false">IF($T43="","",1+COUNTIF($W$15:$W$894,"&lt;"&amp;W43))</f>
        <v/>
      </c>
      <c r="B43" s="16" t="s">
        <v>16</v>
      </c>
      <c r="C43" s="16" t="s">
        <v>109</v>
      </c>
      <c r="D43" s="16" t="s">
        <v>51</v>
      </c>
      <c r="E43" s="16" t="s">
        <v>26</v>
      </c>
      <c r="F43" s="16" t="s">
        <v>110</v>
      </c>
      <c r="G43" s="17">
        <v>1830</v>
      </c>
      <c r="H43" s="17">
        <v>2070</v>
      </c>
      <c r="I43" s="17"/>
      <c r="J43" s="17">
        <v>1820</v>
      </c>
      <c r="K43" s="17" t="n">
        <f aca="false">IF(AND(IFERROR(SEARCH("현대오일뱅크",$C43),0)&gt;0,IFERROR(SEARCH("직영",$C43),0)&gt;0),$B$13,0)</f>
        <v/>
      </c>
      <c r="L43" s="17" t="n">
        <f aca="false">IF($G43="","",$G43+$K43)</f>
        <v/>
      </c>
      <c r="M43" s="17" t="n">
        <f aca="false">IF($H43="","",$H43+$K43)</f>
        <v/>
      </c>
      <c r="N43" s="17" t="n">
        <f aca="false">IF($J43="","",$J43+$K43)</f>
        <v/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/>
      </c>
      <c r="P43" s="17" t="n">
        <f aca="false">IF($B$10=0,"",IFERROR(IF($B$4&gt;0,IF($L43="",1/0,$L43*$B$4),0)+IF($B$5&gt;0,IF($M43="",1/0,$M43*$B$5),0)+IF($B$6&gt;0,IF($N43="",1/0,$N43*$B$6),0),""))</f>
        <v/>
      </c>
      <c r="Q43" s="17" t="s">
        <v>47</v>
      </c>
      <c r="R43" s="18" t="n">
        <f aca="false">IF($P43="","",IF($Q43="Y",IFERROR(VLOOKUP($B43,$C$4:$D$13,2,FALSE()),0),0))</f>
        <v/>
      </c>
      <c r="S43" s="17" t="n">
        <f aca="false">IF($P43="","",ROUNDDOWN($P43*$R43,0))</f>
        <v/>
      </c>
      <c r="T43" s="17" t="n">
        <f aca="false">IF($P43="","",$P43-$S43)</f>
        <v/>
      </c>
      <c r="U43" s="17" t="n">
        <f aca="false">IF($T43="","",IF($B$10=0,"",$T43/$B$10))</f>
        <v/>
      </c>
      <c r="V43" s="17" t="n">
        <f aca="false">IF($P43="","",IF($B$10=0,"",$P43/$B$10))</f>
        <v/>
      </c>
      <c r="W43" s="19" t="n">
        <f aca="false">IF($T43="",1000000000000000,$T43)</f>
        <v/>
      </c>
      <c r="XFB43" s="6"/>
      <c r="XFC43" s="3"/>
    </row>
    <row r="44" s="5" collapsed="false" customFormat="true" customHeight="true" hidden="false" ht="28.5" outlineLevel="0">
      <c r="A44" s="16" t="n">
        <f aca="false">IF($T44="","",1+COUNTIF($W$15:$W$894,"&lt;"&amp;W44))</f>
        <v/>
      </c>
      <c r="B44" s="16" t="s">
        <v>6</v>
      </c>
      <c r="C44" s="16" t="s">
        <v>111</v>
      </c>
      <c r="D44" s="16" t="s">
        <v>45</v>
      </c>
      <c r="E44" s="16" t="s">
        <v>63</v>
      </c>
      <c r="F44" s="16" t="s">
        <v>112</v>
      </c>
      <c r="G44" s="17">
        <v>1784</v>
      </c>
      <c r="H44" s="17">
        <v>2058</v>
      </c>
      <c r="I44" s="17" t="s">
        <v>47</v>
      </c>
      <c r="J44" s="17">
        <v>1767</v>
      </c>
      <c r="K44" s="17" t="n">
        <f aca="false">IF(AND(IFERROR(SEARCH("현대오일뱅크",$C44),0)&gt;0,IFERROR(SEARCH("직영",$C44),0)&gt;0),$B$13,0)</f>
        <v/>
      </c>
      <c r="L44" s="17" t="n">
        <f aca="false">IF($G44="","",$G44+$K44)</f>
        <v/>
      </c>
      <c r="M44" s="17" t="n">
        <f aca="false">IF($H44="","",$H44+$K44)</f>
        <v/>
      </c>
      <c r="N44" s="17" t="n">
        <f aca="false">IF($J44="","",$J44+$K44)</f>
        <v/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/>
      </c>
      <c r="P44" s="17" t="n">
        <f aca="false">IF($B$10=0,"",IFERROR(IF($B$4&gt;0,IF($L44="",1/0,$L44*$B$4),0)+IF($B$5&gt;0,IF($M44="",1/0,$M44*$B$5),0)+IF($B$6&gt;0,IF($N44="",1/0,$N44*$B$6),0),""))</f>
        <v/>
      </c>
      <c r="Q44" s="17" t="s">
        <v>47</v>
      </c>
      <c r="R44" s="18" t="n">
        <f aca="false">IF($P44="","",IF($Q44="Y",IFERROR(VLOOKUP($B44,$C$4:$D$13,2,FALSE()),0),0))</f>
        <v/>
      </c>
      <c r="S44" s="17" t="n">
        <f aca="false">IF($P44="","",ROUNDDOWN($P44*$R44,0))</f>
        <v/>
      </c>
      <c r="T44" s="17" t="n">
        <f aca="false">IF($P44="","",$P44-$S44)</f>
        <v/>
      </c>
      <c r="U44" s="17" t="n">
        <f aca="false">IF($T44="","",IF($B$10=0,"",$T44/$B$10))</f>
        <v/>
      </c>
      <c r="V44" s="17" t="n">
        <f aca="false">IF($P44="","",IF($B$10=0,"",$P44/$B$10))</f>
        <v/>
      </c>
      <c r="W44" s="19" t="n">
        <f aca="false">IF($T44="",1000000000000000,$T44)</f>
        <v/>
      </c>
      <c r="XFB44" s="6"/>
      <c r="XFC44" s="3"/>
    </row>
    <row r="45" s="5" collapsed="false" customFormat="true" customHeight="true" hidden="false" ht="28.5" outlineLevel="0">
      <c r="A45" s="16" t="n">
        <f aca="false">IF($T45="","",1+COUNTIF($W$15:$W$894,"&lt;"&amp;W45))</f>
        <v/>
      </c>
      <c r="B45" s="16" t="s">
        <v>6</v>
      </c>
      <c r="C45" s="16" t="s">
        <v>113</v>
      </c>
      <c r="D45" s="16" t="s">
        <v>45</v>
      </c>
      <c r="E45" s="16" t="s">
        <v>26</v>
      </c>
      <c r="F45" s="16" t="s">
        <v>114</v>
      </c>
      <c r="G45" s="17">
        <v>1784</v>
      </c>
      <c r="H45" s="17">
        <v>2058</v>
      </c>
      <c r="I45" s="17" t="s">
        <v>47</v>
      </c>
      <c r="J45" s="17">
        <v>1754</v>
      </c>
      <c r="K45" s="17" t="n">
        <f aca="false">IF(AND(IFERROR(SEARCH("현대오일뱅크",$C45),0)&gt;0,IFERROR(SEARCH("직영",$C45),0)&gt;0),$B$13,0)</f>
        <v/>
      </c>
      <c r="L45" s="17" t="n">
        <f aca="false">IF($G45="","",$G45+$K45)</f>
        <v/>
      </c>
      <c r="M45" s="17" t="n">
        <f aca="false">IF($H45="","",$H45+$K45)</f>
        <v/>
      </c>
      <c r="N45" s="17" t="n">
        <f aca="false">IF($J45="","",$J45+$K45)</f>
        <v/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/>
      </c>
      <c r="P45" s="17" t="n">
        <f aca="false">IF($B$10=0,"",IFERROR(IF($B$4&gt;0,IF($L45="",1/0,$L45*$B$4),0)+IF($B$5&gt;0,IF($M45="",1/0,$M45*$B$5),0)+IF($B$6&gt;0,IF($N45="",1/0,$N45*$B$6),0),""))</f>
        <v/>
      </c>
      <c r="Q45" s="17" t="s">
        <v>47</v>
      </c>
      <c r="R45" s="18" t="n">
        <f aca="false">IF($P45="","",IF($Q45="Y",IFERROR(VLOOKUP($B45,$C$4:$D$13,2,FALSE()),0),0))</f>
        <v/>
      </c>
      <c r="S45" s="17" t="n">
        <f aca="false">IF($P45="","",ROUNDDOWN($P45*$R45,0))</f>
        <v/>
      </c>
      <c r="T45" s="17" t="n">
        <f aca="false">IF($P45="","",$P45-$S45)</f>
        <v/>
      </c>
      <c r="U45" s="17" t="n">
        <f aca="false">IF($T45="","",IF($B$10=0,"",$T45/$B$10))</f>
        <v/>
      </c>
      <c r="V45" s="17" t="n">
        <f aca="false">IF($P45="","",IF($B$10=0,"",$P45/$B$10))</f>
        <v/>
      </c>
      <c r="W45" s="19" t="n">
        <f aca="false">IF($T45="",1000000000000000,$T45)</f>
        <v/>
      </c>
      <c r="XFB45" s="6"/>
      <c r="XFC45" s="3"/>
    </row>
    <row r="46" s="5" collapsed="false" customFormat="true" customHeight="true" hidden="false" ht="28.5" outlineLevel="0">
      <c r="A46" s="16" t="n">
        <f aca="false">IF($T46="","",1+COUNTIF($W$15:$W$894,"&lt;"&amp;W46))</f>
        <v/>
      </c>
      <c r="B46" s="16" t="s">
        <v>6</v>
      </c>
      <c r="C46" s="16" t="s">
        <v>115</v>
      </c>
      <c r="D46" s="16" t="s">
        <v>45</v>
      </c>
      <c r="E46" s="16" t="s">
        <v>26</v>
      </c>
      <c r="F46" s="16" t="s">
        <v>116</v>
      </c>
      <c r="G46" s="17">
        <v>1784</v>
      </c>
      <c r="H46" s="17">
        <v>2059</v>
      </c>
      <c r="I46" s="17" t="s">
        <v>47</v>
      </c>
      <c r="J46" s="17">
        <v>1767</v>
      </c>
      <c r="K46" s="17" t="n">
        <f aca="false">IF(AND(IFERROR(SEARCH("현대오일뱅크",$C46),0)&gt;0,IFERROR(SEARCH("직영",$C46),0)&gt;0),$B$13,0)</f>
        <v/>
      </c>
      <c r="L46" s="17" t="n">
        <f aca="false">IF($G46="","",$G46+$K46)</f>
        <v/>
      </c>
      <c r="M46" s="17" t="n">
        <f aca="false">IF($H46="","",$H46+$K46)</f>
        <v/>
      </c>
      <c r="N46" s="17" t="n">
        <f aca="false">IF($J46="","",$J46+$K46)</f>
        <v/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/>
      </c>
      <c r="P46" s="17" t="n">
        <f aca="false">IF($B$10=0,"",IFERROR(IF($B$4&gt;0,IF($L46="",1/0,$L46*$B$4),0)+IF($B$5&gt;0,IF($M46="",1/0,$M46*$B$5),0)+IF($B$6&gt;0,IF($N46="",1/0,$N46*$B$6),0),""))</f>
        <v/>
      </c>
      <c r="Q46" s="17" t="s">
        <v>47</v>
      </c>
      <c r="R46" s="18" t="n">
        <f aca="false">IF($P46="","",IF($Q46="Y",IFERROR(VLOOKUP($B46,$C$4:$D$13,2,FALSE()),0),0))</f>
        <v/>
      </c>
      <c r="S46" s="17" t="n">
        <f aca="false">IF($P46="","",ROUNDDOWN($P46*$R46,0))</f>
        <v/>
      </c>
      <c r="T46" s="17" t="n">
        <f aca="false">IF($P46="","",$P46-$S46)</f>
        <v/>
      </c>
      <c r="U46" s="17" t="n">
        <f aca="false">IF($T46="","",IF($B$10=0,"",$T46/$B$10))</f>
        <v/>
      </c>
      <c r="V46" s="17" t="n">
        <f aca="false">IF($P46="","",IF($B$10=0,"",$P46/$B$10))</f>
        <v/>
      </c>
      <c r="W46" s="19" t="n">
        <f aca="false">IF($T46="",1000000000000000,$T46)</f>
        <v/>
      </c>
      <c r="XFB46" s="6"/>
      <c r="XFC46" s="3"/>
    </row>
    <row r="47" s="5" collapsed="false" customFormat="true" customHeight="true" hidden="false" ht="28.5" outlineLevel="0">
      <c r="A47" s="16" t="n">
        <f aca="false">IF($T47="","",1+COUNTIF($W$15:$W$894,"&lt;"&amp;W47))</f>
        <v/>
      </c>
      <c r="B47" s="16" t="s">
        <v>6</v>
      </c>
      <c r="C47" s="16" t="s">
        <v>117</v>
      </c>
      <c r="D47" s="20" t="s">
        <v>86</v>
      </c>
      <c r="E47" s="16" t="s">
        <v>26</v>
      </c>
      <c r="F47" s="16" t="s">
        <v>118</v>
      </c>
      <c r="G47" s="17">
        <v>1782</v>
      </c>
      <c r="H47" s="17">
        <v>2042</v>
      </c>
      <c r="I47" s="17"/>
      <c r="J47" s="17">
        <v>1782</v>
      </c>
      <c r="K47" s="17" t="n">
        <f aca="false">IF(AND(IFERROR(SEARCH("현대오일뱅크",$C47),0)&gt;0,IFERROR(SEARCH("직영",$C47),0)&gt;0),$B$13,0)</f>
        <v/>
      </c>
      <c r="L47" s="17" t="n">
        <f aca="false">IF($G47="","",$G47+$K47)</f>
        <v/>
      </c>
      <c r="M47" s="17" t="n">
        <f aca="false">IF($H47="","",$H47+$K47)</f>
        <v/>
      </c>
      <c r="N47" s="17" t="n">
        <f aca="false">IF($J47="","",$J47+$K47)</f>
        <v/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/>
      </c>
      <c r="P47" s="17" t="n">
        <f aca="false">IF($B$10=0,"",IFERROR(IF($B$4&gt;0,IF($L47="",1/0,$L47*$B$4),0)+IF($B$5&gt;0,IF($M47="",1/0,$M47*$B$5),0)+IF($B$6&gt;0,IF($N47="",1/0,$N47*$B$6),0),""))</f>
        <v/>
      </c>
      <c r="Q47" s="17" t="s">
        <v>47</v>
      </c>
      <c r="R47" s="18" t="n">
        <f aca="false">IF($P47="","",IF($Q47="Y",IFERROR(VLOOKUP($B47,$C$4:$D$13,2,FALSE()),0),0))</f>
        <v/>
      </c>
      <c r="S47" s="17" t="n">
        <f aca="false">IF($P47="","",ROUNDDOWN($P47*$R47,0))</f>
        <v/>
      </c>
      <c r="T47" s="17" t="n">
        <f aca="false">IF($P47="","",$P47-$S47)</f>
        <v/>
      </c>
      <c r="U47" s="17" t="n">
        <f aca="false">IF($T47="","",IF($B$10=0,"",$T47/$B$10))</f>
        <v/>
      </c>
      <c r="V47" s="17" t="n">
        <f aca="false">IF($P47="","",IF($B$10=0,"",$P47/$B$10))</f>
        <v/>
      </c>
      <c r="W47" s="19" t="n">
        <f aca="false">IF($T47="",1000000000000000,$T47)</f>
        <v/>
      </c>
      <c r="XFB47" s="6"/>
      <c r="XFC47" s="3"/>
    </row>
    <row r="48" s="5" collapsed="false" customFormat="true" customHeight="true" hidden="false" ht="28.5" outlineLevel="0">
      <c r="A48" s="16" t="n">
        <f aca="false">IF($T48="","",1+COUNTIF($W$15:$W$894,"&lt;"&amp;W48))</f>
        <v/>
      </c>
      <c r="B48" s="16" t="s">
        <v>6</v>
      </c>
      <c r="C48" s="16" t="s">
        <v>119</v>
      </c>
      <c r="D48" s="16" t="s">
        <v>45</v>
      </c>
      <c r="E48" s="16" t="s">
        <v>26</v>
      </c>
      <c r="F48" s="16" t="s">
        <v>120</v>
      </c>
      <c r="G48" s="17">
        <v>1779</v>
      </c>
      <c r="H48" s="17">
        <v>2048</v>
      </c>
      <c r="I48" s="17"/>
      <c r="J48" s="17">
        <v>1779</v>
      </c>
      <c r="K48" s="17" t="n">
        <f aca="false">IF(AND(IFERROR(SEARCH("현대오일뱅크",$C48),0)&gt;0,IFERROR(SEARCH("직영",$C48),0)&gt;0),$B$13,0)</f>
        <v/>
      </c>
      <c r="L48" s="17" t="n">
        <f aca="false">IF($G48="","",$G48+$K48)</f>
        <v/>
      </c>
      <c r="M48" s="17" t="n">
        <f aca="false">IF($H48="","",$H48+$K48)</f>
        <v/>
      </c>
      <c r="N48" s="17" t="n">
        <f aca="false">IF($J48="","",$J48+$K48)</f>
        <v/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/>
      </c>
      <c r="P48" s="17" t="n">
        <f aca="false">IF($B$10=0,"",IFERROR(IF($B$4&gt;0,IF($L48="",1/0,$L48*$B$4),0)+IF($B$5&gt;0,IF($M48="",1/0,$M48*$B$5),0)+IF($B$6&gt;0,IF($N48="",1/0,$N48*$B$6),0),""))</f>
        <v/>
      </c>
      <c r="Q48" s="17" t="s">
        <v>47</v>
      </c>
      <c r="R48" s="18" t="n">
        <f aca="false">IF($P48="","",IF($Q48="Y",IFERROR(VLOOKUP($B48,$C$4:$D$13,2,FALSE()),0),0))</f>
        <v/>
      </c>
      <c r="S48" s="17" t="n">
        <f aca="false">IF($P48="","",ROUNDDOWN($P48*$R48,0))</f>
        <v/>
      </c>
      <c r="T48" s="17" t="n">
        <f aca="false">IF($P48="","",$P48-$S48)</f>
        <v/>
      </c>
      <c r="U48" s="17" t="n">
        <f aca="false">IF($T48="","",IF($B$10=0,"",$T48/$B$10))</f>
        <v/>
      </c>
      <c r="V48" s="17" t="n">
        <f aca="false">IF($P48="","",IF($B$10=0,"",$P48/$B$10))</f>
        <v/>
      </c>
      <c r="W48" s="19" t="n">
        <f aca="false">IF($T48="",1000000000000000,$T48)</f>
        <v/>
      </c>
      <c r="XFB48" s="6"/>
      <c r="XFC48" s="3"/>
    </row>
    <row r="49" s="5" collapsed="false" customFormat="true" customHeight="true" hidden="false" ht="28.5" outlineLevel="0">
      <c r="A49" s="16" t="n">
        <f aca="false">IF($T49="","",1+COUNTIF($W$15:$W$894,"&lt;"&amp;W49))</f>
        <v/>
      </c>
      <c r="B49" s="16" t="s">
        <v>6</v>
      </c>
      <c r="C49" s="16" t="s">
        <v>121</v>
      </c>
      <c r="D49" s="20" t="s">
        <v>86</v>
      </c>
      <c r="E49" s="16" t="s">
        <v>26</v>
      </c>
      <c r="F49" s="16" t="s">
        <v>122</v>
      </c>
      <c r="G49" s="17">
        <v>1808</v>
      </c>
      <c r="H49" s="17">
        <v>2015</v>
      </c>
      <c r="I49" s="17"/>
      <c r="J49" s="17">
        <v>1805</v>
      </c>
      <c r="K49" s="17" t="n">
        <f aca="false">IF(AND(IFERROR(SEARCH("현대오일뱅크",$C49),0)&gt;0,IFERROR(SEARCH("직영",$C49),0)&gt;0),$B$13,0)</f>
        <v/>
      </c>
      <c r="L49" s="17" t="n">
        <f aca="false">IF($G49="","",$G49+$K49)</f>
        <v/>
      </c>
      <c r="M49" s="17" t="n">
        <f aca="false">IF($H49="","",$H49+$K49)</f>
        <v/>
      </c>
      <c r="N49" s="17" t="n">
        <f aca="false">IF($J49="","",$J49+$K49)</f>
        <v/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/>
      </c>
      <c r="P49" s="17" t="n">
        <f aca="false">IF($B$10=0,"",IFERROR(IF($B$4&gt;0,IF($L49="",1/0,$L49*$B$4),0)+IF($B$5&gt;0,IF($M49="",1/0,$M49*$B$5),0)+IF($B$6&gt;0,IF($N49="",1/0,$N49*$B$6),0),""))</f>
        <v/>
      </c>
      <c r="Q49" s="17" t="s">
        <v>47</v>
      </c>
      <c r="R49" s="18" t="n">
        <f aca="false">IF($P49="","",IF($Q49="Y",IFERROR(VLOOKUP($B49,$C$4:$D$13,2,FALSE()),0),0))</f>
        <v/>
      </c>
      <c r="S49" s="17" t="n">
        <f aca="false">IF($P49="","",ROUNDDOWN($P49*$R49,0))</f>
        <v/>
      </c>
      <c r="T49" s="17" t="n">
        <f aca="false">IF($P49="","",$P49-$S49)</f>
        <v/>
      </c>
      <c r="U49" s="17" t="n">
        <f aca="false">IF($T49="","",IF($B$10=0,"",$T49/$B$10))</f>
        <v/>
      </c>
      <c r="V49" s="17" t="n">
        <f aca="false">IF($P49="","",IF($B$10=0,"",$P49/$B$10))</f>
        <v/>
      </c>
      <c r="W49" s="19" t="n">
        <f aca="false">IF($T49="",1000000000000000,$T49)</f>
        <v/>
      </c>
      <c r="XFB49" s="6"/>
      <c r="XFC49" s="3"/>
    </row>
    <row r="50" s="5" collapsed="false" customFormat="true" customHeight="true" hidden="false" ht="28.5" outlineLevel="0">
      <c r="A50" s="16" t="n">
        <f aca="false">IF($T50="","",1+COUNTIF($W$15:$W$894,"&lt;"&amp;W50))</f>
        <v/>
      </c>
      <c r="B50" s="16" t="s">
        <v>6</v>
      </c>
      <c r="C50" s="16" t="s">
        <v>123</v>
      </c>
      <c r="D50" s="16" t="s">
        <v>45</v>
      </c>
      <c r="E50" s="16" t="s">
        <v>63</v>
      </c>
      <c r="F50" s="16" t="s">
        <v>124</v>
      </c>
      <c r="G50" s="17">
        <v>1784</v>
      </c>
      <c r="H50" s="17">
        <v>2068</v>
      </c>
      <c r="I50" s="17" t="s">
        <v>47</v>
      </c>
      <c r="J50" s="17">
        <v>1754</v>
      </c>
      <c r="K50" s="17" t="n">
        <f aca="false">IF(AND(IFERROR(SEARCH("현대오일뱅크",$C50),0)&gt;0,IFERROR(SEARCH("직영",$C50),0)&gt;0),$B$13,0)</f>
        <v/>
      </c>
      <c r="L50" s="17" t="n">
        <f aca="false">IF($G50="","",$G50+$K50)</f>
        <v/>
      </c>
      <c r="M50" s="17" t="n">
        <f aca="false">IF($H50="","",$H50+$K50)</f>
        <v/>
      </c>
      <c r="N50" s="17" t="n">
        <f aca="false">IF($J50="","",$J50+$K50)</f>
        <v/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/>
      </c>
      <c r="P50" s="17" t="n">
        <f aca="false">IF($B$10=0,"",IFERROR(IF($B$4&gt;0,IF($L50="",1/0,$L50*$B$4),0)+IF($B$5&gt;0,IF($M50="",1/0,$M50*$B$5),0)+IF($B$6&gt;0,IF($N50="",1/0,$N50*$B$6),0),""))</f>
        <v/>
      </c>
      <c r="Q50" s="17" t="s">
        <v>47</v>
      </c>
      <c r="R50" s="18" t="n">
        <f aca="false">IF($P50="","",IF($Q50="Y",IFERROR(VLOOKUP($B50,$C$4:$D$13,2,FALSE()),0),0))</f>
        <v/>
      </c>
      <c r="S50" s="17" t="n">
        <f aca="false">IF($P50="","",ROUNDDOWN($P50*$R50,0))</f>
        <v/>
      </c>
      <c r="T50" s="17" t="n">
        <f aca="false">IF($P50="","",$P50-$S50)</f>
        <v/>
      </c>
      <c r="U50" s="17" t="n">
        <f aca="false">IF($T50="","",IF($B$10=0,"",$T50/$B$10))</f>
        <v/>
      </c>
      <c r="V50" s="17" t="n">
        <f aca="false">IF($P50="","",IF($B$10=0,"",$P50/$B$10))</f>
        <v/>
      </c>
      <c r="W50" s="19" t="n">
        <f aca="false">IF($T50="",1000000000000000,$T50)</f>
        <v/>
      </c>
      <c r="XFB50" s="6"/>
      <c r="XFC50" s="3"/>
    </row>
    <row r="51" s="5" collapsed="false" customFormat="true" customHeight="true" hidden="false" ht="28.5" outlineLevel="0">
      <c r="A51" s="16" t="n">
        <f aca="false">IF($T51="","",1+COUNTIF($W$15:$W$894,"&lt;"&amp;W51))</f>
        <v/>
      </c>
      <c r="B51" s="16" t="s">
        <v>8</v>
      </c>
      <c r="C51" s="16" t="s">
        <v>125</v>
      </c>
      <c r="D51" s="20" t="s">
        <v>86</v>
      </c>
      <c r="E51" s="16" t="s">
        <v>26</v>
      </c>
      <c r="F51" s="16" t="s">
        <v>126</v>
      </c>
      <c r="G51" s="17">
        <v>1782</v>
      </c>
      <c r="H51" s="17">
        <v>2049</v>
      </c>
      <c r="I51" s="17"/>
      <c r="J51" s="17">
        <v>1782</v>
      </c>
      <c r="K51" s="17" t="n">
        <f aca="false">IF(AND(IFERROR(SEARCH("현대오일뱅크",$C51),0)&gt;0,IFERROR(SEARCH("직영",$C51),0)&gt;0),$B$13,0)</f>
        <v/>
      </c>
      <c r="L51" s="17" t="n">
        <f aca="false">IF($G51="","",$G51+$K51)</f>
        <v/>
      </c>
      <c r="M51" s="17" t="n">
        <f aca="false">IF($H51="","",$H51+$K51)</f>
        <v/>
      </c>
      <c r="N51" s="17" t="n">
        <f aca="false">IF($J51="","",$J51+$K51)</f>
        <v/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/>
      </c>
      <c r="P51" s="17" t="n">
        <f aca="false">IF($B$10=0,"",IFERROR(IF($B$4&gt;0,IF($L51="",1/0,$L51*$B$4),0)+IF($B$5&gt;0,IF($M51="",1/0,$M51*$B$5),0)+IF($B$6&gt;0,IF($N51="",1/0,$N51*$B$6),0),""))</f>
        <v/>
      </c>
      <c r="Q51" s="17" t="s">
        <v>47</v>
      </c>
      <c r="R51" s="18" t="n">
        <f aca="false">IF($P51="","",IF($Q51="Y",IFERROR(VLOOKUP($B51,$C$4:$D$13,2,FALSE()),0),0))</f>
        <v/>
      </c>
      <c r="S51" s="17" t="n">
        <f aca="false">IF($P51="","",ROUNDDOWN($P51*$R51,0))</f>
        <v/>
      </c>
      <c r="T51" s="17" t="n">
        <f aca="false">IF($P51="","",$P51-$S51)</f>
        <v/>
      </c>
      <c r="U51" s="17" t="n">
        <f aca="false">IF($T51="","",IF($B$10=0,"",$T51/$B$10))</f>
        <v/>
      </c>
      <c r="V51" s="17" t="n">
        <f aca="false">IF($P51="","",IF($B$10=0,"",$P51/$B$10))</f>
        <v/>
      </c>
      <c r="W51" s="19" t="n">
        <f aca="false">IF($T51="",1000000000000000,$T51)</f>
        <v/>
      </c>
      <c r="XFB51" s="6"/>
      <c r="XFC51" s="3"/>
    </row>
    <row r="52" s="5" collapsed="false" customFormat="true" customHeight="true" hidden="false" ht="28.5" outlineLevel="0">
      <c r="A52" s="16" t="n">
        <f aca="false">IF($T52="","",1+COUNTIF($W$15:$W$894,"&lt;"&amp;W52))</f>
        <v/>
      </c>
      <c r="B52" s="16" t="s">
        <v>6</v>
      </c>
      <c r="C52" s="16" t="s">
        <v>127</v>
      </c>
      <c r="D52" s="16" t="s">
        <v>45</v>
      </c>
      <c r="E52" s="16" t="s">
        <v>26</v>
      </c>
      <c r="F52" s="16" t="s">
        <v>128</v>
      </c>
      <c r="G52" s="17">
        <v>1780</v>
      </c>
      <c r="H52" s="17">
        <v>2054</v>
      </c>
      <c r="I52" s="17"/>
      <c r="J52" s="17">
        <v>1780</v>
      </c>
      <c r="K52" s="17" t="n">
        <f aca="false">IF(AND(IFERROR(SEARCH("현대오일뱅크",$C52),0)&gt;0,IFERROR(SEARCH("직영",$C52),0)&gt;0),$B$13,0)</f>
        <v/>
      </c>
      <c r="L52" s="17" t="n">
        <f aca="false">IF($G52="","",$G52+$K52)</f>
        <v/>
      </c>
      <c r="M52" s="17" t="n">
        <f aca="false">IF($H52="","",$H52+$K52)</f>
        <v/>
      </c>
      <c r="N52" s="17" t="n">
        <f aca="false">IF($J52="","",$J52+$K52)</f>
        <v/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/>
      </c>
      <c r="P52" s="17" t="n">
        <f aca="false">IF($B$10=0,"",IFERROR(IF($B$4&gt;0,IF($L52="",1/0,$L52*$B$4),0)+IF($B$5&gt;0,IF($M52="",1/0,$M52*$B$5),0)+IF($B$6&gt;0,IF($N52="",1/0,$N52*$B$6),0),""))</f>
        <v/>
      </c>
      <c r="Q52" s="17" t="s">
        <v>47</v>
      </c>
      <c r="R52" s="18" t="n">
        <f aca="false">IF($P52="","",IF($Q52="Y",IFERROR(VLOOKUP($B52,$C$4:$D$13,2,FALSE()),0),0))</f>
        <v/>
      </c>
      <c r="S52" s="17" t="n">
        <f aca="false">IF($P52="","",ROUNDDOWN($P52*$R52,0))</f>
        <v/>
      </c>
      <c r="T52" s="17" t="n">
        <f aca="false">IF($P52="","",$P52-$S52)</f>
        <v/>
      </c>
      <c r="U52" s="17" t="n">
        <f aca="false">IF($T52="","",IF($B$10=0,"",$T52/$B$10))</f>
        <v/>
      </c>
      <c r="V52" s="17" t="n">
        <f aca="false">IF($P52="","",IF($B$10=0,"",$P52/$B$10))</f>
        <v/>
      </c>
      <c r="W52" s="19" t="n">
        <f aca="false">IF($T52="",1000000000000000,$T52)</f>
        <v/>
      </c>
      <c r="XFB52" s="6"/>
      <c r="XFC52" s="3"/>
    </row>
    <row r="53" s="5" collapsed="false" customFormat="true" customHeight="true" hidden="false" ht="28.5" outlineLevel="0">
      <c r="A53" s="16" t="n">
        <f aca="false">IF($T53="","",1+COUNTIF($W$15:$W$894,"&lt;"&amp;W53))</f>
        <v/>
      </c>
      <c r="B53" s="16" t="s">
        <v>6</v>
      </c>
      <c r="C53" s="16" t="s">
        <v>81</v>
      </c>
      <c r="D53" s="16" t="s">
        <v>51</v>
      </c>
      <c r="E53" s="16" t="s">
        <v>26</v>
      </c>
      <c r="F53" s="16" t="s">
        <v>82</v>
      </c>
      <c r="G53" s="17">
        <v>1798</v>
      </c>
      <c r="H53" s="17">
        <v>2034</v>
      </c>
      <c r="I53" s="17"/>
      <c r="J53" s="17">
        <v>1774</v>
      </c>
      <c r="K53" s="17" t="n">
        <f aca="false">IF(AND(IFERROR(SEARCH("현대오일뱅크",$C53),0)&gt;0,IFERROR(SEARCH("직영",$C53),0)&gt;0),$B$13,0)</f>
        <v/>
      </c>
      <c r="L53" s="17" t="n">
        <f aca="false">IF($G53="","",$G53+$K53)</f>
        <v/>
      </c>
      <c r="M53" s="17" t="n">
        <f aca="false">IF($H53="","",$H53+$K53)</f>
        <v/>
      </c>
      <c r="N53" s="17" t="n">
        <f aca="false">IF($J53="","",$J53+$K53)</f>
        <v/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/>
      </c>
      <c r="P53" s="17" t="n">
        <f aca="false">IF($B$10=0,"",IFERROR(IF($B$4&gt;0,IF($L53="",1/0,$L53*$B$4),0)+IF($B$5&gt;0,IF($M53="",1/0,$M53*$B$5),0)+IF($B$6&gt;0,IF($N53="",1/0,$N53*$B$6),0),""))</f>
        <v/>
      </c>
      <c r="Q53" s="17" t="s">
        <v>47</v>
      </c>
      <c r="R53" s="18" t="n">
        <f aca="false">IF($P53="","",IF($Q53="Y",IFERROR(VLOOKUP($B53,$C$4:$D$13,2,FALSE()),0),0))</f>
        <v/>
      </c>
      <c r="S53" s="17" t="n">
        <f aca="false">IF($P53="","",ROUNDDOWN($P53*$R53,0))</f>
        <v/>
      </c>
      <c r="T53" s="17" t="n">
        <f aca="false">IF($P53="","",$P53-$S53)</f>
        <v/>
      </c>
      <c r="U53" s="17" t="n">
        <f aca="false">IF($T53="","",IF($B$10=0,"",$T53/$B$10))</f>
        <v/>
      </c>
      <c r="V53" s="17" t="n">
        <f aca="false">IF($P53="","",IF($B$10=0,"",$P53/$B$10))</f>
        <v/>
      </c>
      <c r="W53" s="19" t="n">
        <f aca="false">IF($T53="",1000000000000000,$T53)</f>
        <v/>
      </c>
      <c r="XFB53" s="6"/>
      <c r="XFC53" s="3"/>
    </row>
    <row r="54" s="5" collapsed="false" customFormat="true" customHeight="true" hidden="false" ht="28.5" outlineLevel="0">
      <c r="A54" s="16" t="n">
        <f aca="false">IF($T54="","",1+COUNTIF($W$15:$W$894,"&lt;"&amp;W54))</f>
        <v/>
      </c>
      <c r="B54" s="16" t="s">
        <v>6</v>
      </c>
      <c r="C54" s="16" t="s">
        <v>129</v>
      </c>
      <c r="D54" s="16" t="s">
        <v>51</v>
      </c>
      <c r="E54" s="16" t="s">
        <v>26</v>
      </c>
      <c r="F54" s="16" t="s">
        <v>130</v>
      </c>
      <c r="G54" s="17">
        <v>1789</v>
      </c>
      <c r="H54" s="17">
        <v>2049</v>
      </c>
      <c r="I54" s="17"/>
      <c r="J54" s="17">
        <v>1789</v>
      </c>
      <c r="K54" s="17" t="n">
        <f aca="false">IF(AND(IFERROR(SEARCH("현대오일뱅크",$C54),0)&gt;0,IFERROR(SEARCH("직영",$C54),0)&gt;0),$B$13,0)</f>
        <v/>
      </c>
      <c r="L54" s="17" t="n">
        <f aca="false">IF($G54="","",$G54+$K54)</f>
        <v/>
      </c>
      <c r="M54" s="17" t="n">
        <f aca="false">IF($H54="","",$H54+$K54)</f>
        <v/>
      </c>
      <c r="N54" s="17" t="n">
        <f aca="false">IF($J54="","",$J54+$K54)</f>
        <v/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/>
      </c>
      <c r="P54" s="17" t="n">
        <f aca="false">IF($B$10=0,"",IFERROR(IF($B$4&gt;0,IF($L54="",1/0,$L54*$B$4),0)+IF($B$5&gt;0,IF($M54="",1/0,$M54*$B$5),0)+IF($B$6&gt;0,IF($N54="",1/0,$N54*$B$6),0),""))</f>
        <v/>
      </c>
      <c r="Q54" s="17" t="s">
        <v>47</v>
      </c>
      <c r="R54" s="18" t="n">
        <f aca="false">IF($P54="","",IF($Q54="Y",IFERROR(VLOOKUP($B54,$C$4:$D$13,2,FALSE()),0),0))</f>
        <v/>
      </c>
      <c r="S54" s="17" t="n">
        <f aca="false">IF($P54="","",ROUNDDOWN($P54*$R54,0))</f>
        <v/>
      </c>
      <c r="T54" s="17" t="n">
        <f aca="false">IF($P54="","",$P54-$S54)</f>
        <v/>
      </c>
      <c r="U54" s="17" t="n">
        <f aca="false">IF($T54="","",IF($B$10=0,"",$T54/$B$10))</f>
        <v/>
      </c>
      <c r="V54" s="17" t="n">
        <f aca="false">IF($P54="","",IF($B$10=0,"",$P54/$B$10))</f>
        <v/>
      </c>
      <c r="W54" s="19" t="n">
        <f aca="false">IF($T54="",1000000000000000,$T54)</f>
        <v/>
      </c>
      <c r="XFB54" s="6"/>
      <c r="XFC54" s="3"/>
    </row>
    <row r="55" s="5" collapsed="false" customFormat="true" customHeight="true" hidden="false" ht="28.5" outlineLevel="0">
      <c r="A55" s="16" t="n">
        <f aca="false">IF($T55="","",1+COUNTIF($W$15:$W$894,"&lt;"&amp;W55))</f>
        <v/>
      </c>
      <c r="B55" s="16" t="s">
        <v>6</v>
      </c>
      <c r="C55" s="16" t="s">
        <v>133</v>
      </c>
      <c r="D55" s="20" t="s">
        <v>86</v>
      </c>
      <c r="E55" s="16" t="s">
        <v>26</v>
      </c>
      <c r="F55" s="16" t="s">
        <v>134</v>
      </c>
      <c r="G55" s="17">
        <v>1795</v>
      </c>
      <c r="H55" s="17">
        <v>2049</v>
      </c>
      <c r="I55" s="17"/>
      <c r="J55" s="17">
        <v>1785</v>
      </c>
      <c r="K55" s="17" t="n">
        <f aca="false">IF(AND(IFERROR(SEARCH("현대오일뱅크",$C55),0)&gt;0,IFERROR(SEARCH("직영",$C55),0)&gt;0),$B$13,0)</f>
        <v/>
      </c>
      <c r="L55" s="17" t="n">
        <f aca="false">IF($G55="","",$G55+$K55)</f>
        <v/>
      </c>
      <c r="M55" s="17" t="n">
        <f aca="false">IF($H55="","",$H55+$K55)</f>
        <v/>
      </c>
      <c r="N55" s="17" t="n">
        <f aca="false">IF($J55="","",$J55+$K55)</f>
        <v/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/>
      </c>
      <c r="P55" s="17" t="n">
        <f aca="false">IF($B$10=0,"",IFERROR(IF($B$4&gt;0,IF($L55="",1/0,$L55*$B$4),0)+IF($B$5&gt;0,IF($M55="",1/0,$M55*$B$5),0)+IF($B$6&gt;0,IF($N55="",1/0,$N55*$B$6),0),""))</f>
        <v/>
      </c>
      <c r="Q55" s="17" t="s">
        <v>47</v>
      </c>
      <c r="R55" s="18" t="n">
        <f aca="false">IF($P55="","",IF($Q55="Y",IFERROR(VLOOKUP($B55,$C$4:$D$13,2,FALSE()),0),0))</f>
        <v/>
      </c>
      <c r="S55" s="17" t="n">
        <f aca="false">IF($P55="","",ROUNDDOWN($P55*$R55,0))</f>
        <v/>
      </c>
      <c r="T55" s="17" t="n">
        <f aca="false">IF($P55="","",$P55-$S55)</f>
        <v/>
      </c>
      <c r="U55" s="17" t="n">
        <f aca="false">IF($T55="","",IF($B$10=0,"",$T55/$B$10))</f>
        <v/>
      </c>
      <c r="V55" s="17" t="n">
        <f aca="false">IF($P55="","",IF($B$10=0,"",$P55/$B$10))</f>
        <v/>
      </c>
      <c r="W55" s="19" t="n">
        <f aca="false">IF($T55="",1000000000000000,$T55)</f>
        <v/>
      </c>
      <c r="XFB55" s="6"/>
      <c r="XFC55" s="3"/>
    </row>
    <row r="56" s="5" collapsed="false" customFormat="true" customHeight="true" hidden="false" ht="28.5" outlineLevel="0">
      <c r="A56" s="16" t="n">
        <f aca="false">IF($T56="","",1+COUNTIF($W$15:$W$894,"&lt;"&amp;W56))</f>
        <v/>
      </c>
      <c r="B56" s="16" t="s">
        <v>8</v>
      </c>
      <c r="C56" s="16" t="s">
        <v>135</v>
      </c>
      <c r="D56" s="20" t="s">
        <v>86</v>
      </c>
      <c r="E56" s="16" t="s">
        <v>26</v>
      </c>
      <c r="F56" s="16" t="s">
        <v>136</v>
      </c>
      <c r="G56" s="17">
        <v>1790</v>
      </c>
      <c r="H56" s="17">
        <v>2060</v>
      </c>
      <c r="I56" s="17"/>
      <c r="J56" s="17">
        <v>1790</v>
      </c>
      <c r="K56" s="17" t="n">
        <f aca="false">IF(AND(IFERROR(SEARCH("현대오일뱅크",$C56),0)&gt;0,IFERROR(SEARCH("직영",$C56),0)&gt;0),$B$13,0)</f>
        <v/>
      </c>
      <c r="L56" s="17" t="n">
        <f aca="false">IF($G56="","",$G56+$K56)</f>
        <v/>
      </c>
      <c r="M56" s="17" t="n">
        <f aca="false">IF($H56="","",$H56+$K56)</f>
        <v/>
      </c>
      <c r="N56" s="17" t="n">
        <f aca="false">IF($J56="","",$J56+$K56)</f>
        <v/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/>
      </c>
      <c r="P56" s="17" t="n">
        <f aca="false">IF($B$10=0,"",IFERROR(IF($B$4&gt;0,IF($L56="",1/0,$L56*$B$4),0)+IF($B$5&gt;0,IF($M56="",1/0,$M56*$B$5),0)+IF($B$6&gt;0,IF($N56="",1/0,$N56*$B$6),0),""))</f>
        <v/>
      </c>
      <c r="Q56" s="17" t="s">
        <v>47</v>
      </c>
      <c r="R56" s="18" t="n">
        <f aca="false">IF($P56="","",IF($Q56="Y",IFERROR(VLOOKUP($B56,$C$4:$D$13,2,FALSE()),0),0))</f>
        <v/>
      </c>
      <c r="S56" s="17" t="n">
        <f aca="false">IF($P56="","",ROUNDDOWN($P56*$R56,0))</f>
        <v/>
      </c>
      <c r="T56" s="17" t="n">
        <f aca="false">IF($P56="","",$P56-$S56)</f>
        <v/>
      </c>
      <c r="U56" s="17" t="n">
        <f aca="false">IF($T56="","",IF($B$10=0,"",$T56/$B$10))</f>
        <v/>
      </c>
      <c r="V56" s="17" t="n">
        <f aca="false">IF($P56="","",IF($B$10=0,"",$P56/$B$10))</f>
        <v/>
      </c>
      <c r="W56" s="19" t="n">
        <f aca="false">IF($T56="",1000000000000000,$T56)</f>
        <v/>
      </c>
      <c r="XFB56" s="6"/>
      <c r="XFC56" s="3"/>
    </row>
    <row r="57" s="5" collapsed="false" customFormat="true" customHeight="true" hidden="false" ht="28.5" outlineLevel="0">
      <c r="A57" s="16" t="n">
        <f aca="false">IF($T57="","",1+COUNTIF($W$15:$W$894,"&lt;"&amp;W57))</f>
        <v/>
      </c>
      <c r="B57" s="16" t="s">
        <v>6</v>
      </c>
      <c r="C57" s="16" t="s">
        <v>137</v>
      </c>
      <c r="D57" s="20" t="s">
        <v>86</v>
      </c>
      <c r="E57" s="16" t="s">
        <v>26</v>
      </c>
      <c r="F57" s="16" t="s">
        <v>138</v>
      </c>
      <c r="G57" s="17">
        <v>1799</v>
      </c>
      <c r="H57" s="17">
        <v>2049</v>
      </c>
      <c r="I57" s="17"/>
      <c r="J57" s="17">
        <v>1799</v>
      </c>
      <c r="K57" s="17" t="n">
        <f aca="false">IF(AND(IFERROR(SEARCH("현대오일뱅크",$C57),0)&gt;0,IFERROR(SEARCH("직영",$C57),0)&gt;0),$B$13,0)</f>
        <v/>
      </c>
      <c r="L57" s="17" t="n">
        <f aca="false">IF($G57="","",$G57+$K57)</f>
        <v/>
      </c>
      <c r="M57" s="17" t="n">
        <f aca="false">IF($H57="","",$H57+$K57)</f>
        <v/>
      </c>
      <c r="N57" s="17" t="n">
        <f aca="false">IF($J57="","",$J57+$K57)</f>
        <v/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/>
      </c>
      <c r="P57" s="17" t="n">
        <f aca="false">IF($B$10=0,"",IFERROR(IF($B$4&gt;0,IF($L57="",1/0,$L57*$B$4),0)+IF($B$5&gt;0,IF($M57="",1/0,$M57*$B$5),0)+IF($B$6&gt;0,IF($N57="",1/0,$N57*$B$6),0),""))</f>
        <v/>
      </c>
      <c r="Q57" s="17" t="s">
        <v>47</v>
      </c>
      <c r="R57" s="18" t="n">
        <f aca="false">IF($P57="","",IF($Q57="Y",IFERROR(VLOOKUP($B57,$C$4:$D$13,2,FALSE()),0),0))</f>
        <v/>
      </c>
      <c r="S57" s="17" t="n">
        <f aca="false">IF($P57="","",ROUNDDOWN($P57*$R57,0))</f>
        <v/>
      </c>
      <c r="T57" s="17" t="n">
        <f aca="false">IF($P57="","",$P57-$S57)</f>
        <v/>
      </c>
      <c r="U57" s="17" t="n">
        <f aca="false">IF($T57="","",IF($B$10=0,"",$T57/$B$10))</f>
        <v/>
      </c>
      <c r="V57" s="17" t="n">
        <f aca="false">IF($P57="","",IF($B$10=0,"",$P57/$B$10))</f>
        <v/>
      </c>
      <c r="W57" s="19" t="n">
        <f aca="false">IF($T57="",1000000000000000,$T57)</f>
        <v/>
      </c>
      <c r="XFB57" s="6"/>
      <c r="XFC57" s="3"/>
    </row>
    <row r="58" s="5" collapsed="false" customFormat="true" customHeight="true" hidden="false" ht="28.5" outlineLevel="0">
      <c r="A58" s="16" t="n">
        <f aca="false">IF($T58="","",1+COUNTIF($W$15:$W$894,"&lt;"&amp;W58))</f>
        <v/>
      </c>
      <c r="B58" s="16" t="s">
        <v>6</v>
      </c>
      <c r="C58" s="16" t="s">
        <v>139</v>
      </c>
      <c r="D58" s="20" t="s">
        <v>86</v>
      </c>
      <c r="E58" s="16" t="s">
        <v>26</v>
      </c>
      <c r="F58" s="16" t="s">
        <v>140</v>
      </c>
      <c r="G58" s="17">
        <v>1799</v>
      </c>
      <c r="H58" s="17">
        <v>2049</v>
      </c>
      <c r="I58" s="17"/>
      <c r="J58" s="17">
        <v>1799</v>
      </c>
      <c r="K58" s="17" t="n">
        <f aca="false">IF(AND(IFERROR(SEARCH("현대오일뱅크",$C58),0)&gt;0,IFERROR(SEARCH("직영",$C58),0)&gt;0),$B$13,0)</f>
        <v/>
      </c>
      <c r="L58" s="17" t="n">
        <f aca="false">IF($G58="","",$G58+$K58)</f>
        <v/>
      </c>
      <c r="M58" s="17" t="n">
        <f aca="false">IF($H58="","",$H58+$K58)</f>
        <v/>
      </c>
      <c r="N58" s="17" t="n">
        <f aca="false">IF($J58="","",$J58+$K58)</f>
        <v/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/>
      </c>
      <c r="P58" s="17" t="n">
        <f aca="false">IF($B$10=0,"",IFERROR(IF($B$4&gt;0,IF($L58="",1/0,$L58*$B$4),0)+IF($B$5&gt;0,IF($M58="",1/0,$M58*$B$5),0)+IF($B$6&gt;0,IF($N58="",1/0,$N58*$B$6),0),""))</f>
        <v/>
      </c>
      <c r="Q58" s="17" t="s">
        <v>47</v>
      </c>
      <c r="R58" s="18" t="n">
        <f aca="false">IF($P58="","",IF($Q58="Y",IFERROR(VLOOKUP($B58,$C$4:$D$13,2,FALSE()),0),0))</f>
        <v/>
      </c>
      <c r="S58" s="17" t="n">
        <f aca="false">IF($P58="","",ROUNDDOWN($P58*$R58,0))</f>
        <v/>
      </c>
      <c r="T58" s="17" t="n">
        <f aca="false">IF($P58="","",$P58-$S58)</f>
        <v/>
      </c>
      <c r="U58" s="17" t="n">
        <f aca="false">IF($T58="","",IF($B$10=0,"",$T58/$B$10))</f>
        <v/>
      </c>
      <c r="V58" s="17" t="n">
        <f aca="false">IF($P58="","",IF($B$10=0,"",$P58/$B$10))</f>
        <v/>
      </c>
      <c r="W58" s="19" t="n">
        <f aca="false">IF($T58="",1000000000000000,$T58)</f>
        <v/>
      </c>
      <c r="XFB58" s="6"/>
      <c r="XFC58" s="3"/>
    </row>
    <row r="59" s="5" collapsed="false" customFormat="true" customHeight="true" hidden="false" ht="28.5" outlineLevel="0">
      <c r="A59" s="16" t="n">
        <f aca="false">IF($T59="","",1+COUNTIF($W$15:$W$894,"&lt;"&amp;W59))</f>
        <v/>
      </c>
      <c r="B59" s="16" t="s">
        <v>6</v>
      </c>
      <c r="C59" s="16" t="s">
        <v>141</v>
      </c>
      <c r="D59" s="16" t="s">
        <v>45</v>
      </c>
      <c r="E59" s="16" t="s">
        <v>26</v>
      </c>
      <c r="F59" s="16" t="s">
        <v>142</v>
      </c>
      <c r="G59" s="17">
        <v>1825</v>
      </c>
      <c r="H59" s="17">
        <v>2019</v>
      </c>
      <c r="I59" s="17"/>
      <c r="J59" s="17">
        <v>1835</v>
      </c>
      <c r="K59" s="17" t="n">
        <f aca="false">IF(AND(IFERROR(SEARCH("현대오일뱅크",$C59),0)&gt;0,IFERROR(SEARCH("직영",$C59),0)&gt;0),$B$13,0)</f>
        <v/>
      </c>
      <c r="L59" s="17" t="n">
        <f aca="false">IF($G59="","",$G59+$K59)</f>
        <v/>
      </c>
      <c r="M59" s="17" t="n">
        <f aca="false">IF($H59="","",$H59+$K59)</f>
        <v/>
      </c>
      <c r="N59" s="17" t="n">
        <f aca="false">IF($J59="","",$J59+$K59)</f>
        <v/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/>
      </c>
      <c r="P59" s="17" t="n">
        <f aca="false">IF($B$10=0,"",IFERROR(IF($B$4&gt;0,IF($L59="",1/0,$L59*$B$4),0)+IF($B$5&gt;0,IF($M59="",1/0,$M59*$B$5),0)+IF($B$6&gt;0,IF($N59="",1/0,$N59*$B$6),0),""))</f>
        <v/>
      </c>
      <c r="Q59" s="17" t="s">
        <v>47</v>
      </c>
      <c r="R59" s="18" t="n">
        <f aca="false">IF($P59="","",IF($Q59="Y",IFERROR(VLOOKUP($B59,$C$4:$D$13,2,FALSE()),0),0))</f>
        <v/>
      </c>
      <c r="S59" s="17" t="n">
        <f aca="false">IF($P59="","",ROUNDDOWN($P59*$R59,0))</f>
        <v/>
      </c>
      <c r="T59" s="17" t="n">
        <f aca="false">IF($P59="","",$P59-$S59)</f>
        <v/>
      </c>
      <c r="U59" s="17" t="n">
        <f aca="false">IF($T59="","",IF($B$10=0,"",$T59/$B$10))</f>
        <v/>
      </c>
      <c r="V59" s="17" t="n">
        <f aca="false">IF($P59="","",IF($B$10=0,"",$P59/$B$10))</f>
        <v/>
      </c>
      <c r="W59" s="19" t="n">
        <f aca="false">IF($T59="",1000000000000000,$T59)</f>
        <v/>
      </c>
      <c r="XFB59" s="6"/>
      <c r="XFC59" s="3"/>
    </row>
    <row r="60" s="5" collapsed="false" customFormat="true" customHeight="true" hidden="false" ht="28.5" outlineLevel="0">
      <c r="A60" s="16" t="n">
        <f aca="false">IF($T60="","",1+COUNTIF($W$15:$W$894,"&lt;"&amp;W60))</f>
        <v/>
      </c>
      <c r="B60" s="16" t="s">
        <v>10</v>
      </c>
      <c r="C60" s="16" t="s">
        <v>131</v>
      </c>
      <c r="D60" s="16" t="s">
        <v>45</v>
      </c>
      <c r="E60" s="16" t="s">
        <v>26</v>
      </c>
      <c r="F60" s="16" t="s">
        <v>132</v>
      </c>
      <c r="G60" s="17">
        <v>1799</v>
      </c>
      <c r="H60" s="17">
        <v>2059</v>
      </c>
      <c r="I60" s="17"/>
      <c r="J60" s="17">
        <v>1799</v>
      </c>
      <c r="K60" s="17" t="n">
        <f aca="false">IF(AND(IFERROR(SEARCH("현대오일뱅크",$C60),0)&gt;0,IFERROR(SEARCH("직영",$C60),0)&gt;0),$B$13,0)</f>
        <v/>
      </c>
      <c r="L60" s="17" t="n">
        <f aca="false">IF($G60="","",$G60+$K60)</f>
        <v/>
      </c>
      <c r="M60" s="17" t="n">
        <f aca="false">IF($H60="","",$H60+$K60)</f>
        <v/>
      </c>
      <c r="N60" s="17" t="n">
        <f aca="false">IF($J60="","",$J60+$K60)</f>
        <v/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/>
      </c>
      <c r="P60" s="17" t="n">
        <f aca="false">IF($B$10=0,"",IFERROR(IF($B$4&gt;0,IF($L60="",1/0,$L60*$B$4),0)+IF($B$5&gt;0,IF($M60="",1/0,$M60*$B$5),0)+IF($B$6&gt;0,IF($N60="",1/0,$N60*$B$6),0),""))</f>
        <v/>
      </c>
      <c r="Q60" s="17" t="s">
        <v>47</v>
      </c>
      <c r="R60" s="18" t="n">
        <f aca="false">IF($P60="","",IF($Q60="Y",IFERROR(VLOOKUP($B60,$C$4:$D$13,2,FALSE()),0),0))</f>
        <v/>
      </c>
      <c r="S60" s="17" t="n">
        <f aca="false">IF($P60="","",ROUNDDOWN($P60*$R60,0))</f>
        <v/>
      </c>
      <c r="T60" s="17" t="n">
        <f aca="false">IF($P60="","",$P60-$S60)</f>
        <v/>
      </c>
      <c r="U60" s="17" t="n">
        <f aca="false">IF($T60="","",IF($B$10=0,"",$T60/$B$10))</f>
        <v/>
      </c>
      <c r="V60" s="17" t="n">
        <f aca="false">IF($P60="","",IF($B$10=0,"",$P60/$B$10))</f>
        <v/>
      </c>
      <c r="W60" s="19" t="n">
        <f aca="false">IF($T60="",1000000000000000,$T60)</f>
        <v/>
      </c>
      <c r="XFB60" s="6"/>
      <c r="XFC60" s="3"/>
    </row>
    <row r="61" s="5" collapsed="false" customFormat="true" customHeight="true" hidden="false" ht="28.5" outlineLevel="0">
      <c r="A61" s="16" t="n">
        <f aca="false">IF($T61="","",1+COUNTIF($W$15:$W$894,"&lt;"&amp;W61))</f>
        <v/>
      </c>
      <c r="B61" s="16" t="s">
        <v>14</v>
      </c>
      <c r="C61" s="16" t="s">
        <v>143</v>
      </c>
      <c r="D61" s="16" t="s">
        <v>51</v>
      </c>
      <c r="E61" s="16" t="s">
        <v>26</v>
      </c>
      <c r="F61" s="16" t="s">
        <v>144</v>
      </c>
      <c r="G61" s="17">
        <v>1819</v>
      </c>
      <c r="H61" s="17">
        <v>2085</v>
      </c>
      <c r="I61" s="17"/>
      <c r="J61" s="17">
        <v>1839</v>
      </c>
      <c r="K61" s="17" t="n">
        <f aca="false">IF(AND(IFERROR(SEARCH("현대오일뱅크",$C61),0)&gt;0,IFERROR(SEARCH("직영",$C61),0)&gt;0),$B$13,0)</f>
        <v/>
      </c>
      <c r="L61" s="17" t="n">
        <f aca="false">IF($G61="","",$G61+$K61)</f>
        <v/>
      </c>
      <c r="M61" s="17" t="n">
        <f aca="false">IF($H61="","",$H61+$K61)</f>
        <v/>
      </c>
      <c r="N61" s="17" t="n">
        <f aca="false">IF($J61="","",$J61+$K61)</f>
        <v/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/>
      </c>
      <c r="P61" s="17" t="n">
        <f aca="false">IF($B$10=0,"",IFERROR(IF($B$4&gt;0,IF($L61="",1/0,$L61*$B$4),0)+IF($B$5&gt;0,IF($M61="",1/0,$M61*$B$5),0)+IF($B$6&gt;0,IF($N61="",1/0,$N61*$B$6),0),""))</f>
        <v/>
      </c>
      <c r="Q61" s="17" t="s">
        <v>47</v>
      </c>
      <c r="R61" s="18" t="n">
        <f aca="false">IF($P61="","",IF($Q61="Y",IFERROR(VLOOKUP($B61,$C$4:$D$13,2,FALSE()),0),0))</f>
        <v/>
      </c>
      <c r="S61" s="17" t="n">
        <f aca="false">IF($P61="","",ROUNDDOWN($P61*$R61,0))</f>
        <v/>
      </c>
      <c r="T61" s="17" t="n">
        <f aca="false">IF($P61="","",$P61-$S61)</f>
        <v/>
      </c>
      <c r="U61" s="17" t="n">
        <f aca="false">IF($T61="","",IF($B$10=0,"",$T61/$B$10))</f>
        <v/>
      </c>
      <c r="V61" s="17" t="n">
        <f aca="false">IF($P61="","",IF($B$10=0,"",$P61/$B$10))</f>
        <v/>
      </c>
      <c r="W61" s="19" t="n">
        <f aca="false">IF($T61="",1000000000000000,$T61)</f>
        <v/>
      </c>
      <c r="XFB61" s="6"/>
      <c r="XFC61" s="3"/>
    </row>
    <row r="62" s="5" collapsed="false" customFormat="true" customHeight="true" hidden="false" ht="28.5" outlineLevel="0">
      <c r="A62" s="16" t="n">
        <f aca="false">IF($T62="","",1+COUNTIF($W$15:$W$894,"&lt;"&amp;W62))</f>
        <v/>
      </c>
      <c r="B62" s="16" t="s">
        <v>8</v>
      </c>
      <c r="C62" s="16" t="s">
        <v>145</v>
      </c>
      <c r="D62" s="16" t="s">
        <v>45</v>
      </c>
      <c r="E62" s="16" t="s">
        <v>26</v>
      </c>
      <c r="F62" s="16" t="s">
        <v>146</v>
      </c>
      <c r="G62" s="17">
        <v>1793</v>
      </c>
      <c r="H62" s="17">
        <v>2070</v>
      </c>
      <c r="I62" s="17"/>
      <c r="J62" s="17">
        <v>1793</v>
      </c>
      <c r="K62" s="17" t="n">
        <f aca="false">IF(AND(IFERROR(SEARCH("현대오일뱅크",$C62),0)&gt;0,IFERROR(SEARCH("직영",$C62),0)&gt;0),$B$13,0)</f>
        <v/>
      </c>
      <c r="L62" s="17" t="n">
        <f aca="false">IF($G62="","",$G62+$K62)</f>
        <v/>
      </c>
      <c r="M62" s="17" t="n">
        <f aca="false">IF($H62="","",$H62+$K62)</f>
        <v/>
      </c>
      <c r="N62" s="17" t="n">
        <f aca="false">IF($J62="","",$J62+$K62)</f>
        <v/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/>
      </c>
      <c r="P62" s="17" t="n">
        <f aca="false">IF($B$10=0,"",IFERROR(IF($B$4&gt;0,IF($L62="",1/0,$L62*$B$4),0)+IF($B$5&gt;0,IF($M62="",1/0,$M62*$B$5),0)+IF($B$6&gt;0,IF($N62="",1/0,$N62*$B$6),0),""))</f>
        <v/>
      </c>
      <c r="Q62" s="17" t="s">
        <v>47</v>
      </c>
      <c r="R62" s="18" t="n">
        <f aca="false">IF($P62="","",IF($Q62="Y",IFERROR(VLOOKUP($B62,$C$4:$D$13,2,FALSE()),0),0))</f>
        <v/>
      </c>
      <c r="S62" s="17" t="n">
        <f aca="false">IF($P62="","",ROUNDDOWN($P62*$R62,0))</f>
        <v/>
      </c>
      <c r="T62" s="17" t="n">
        <f aca="false">IF($P62="","",$P62-$S62)</f>
        <v/>
      </c>
      <c r="U62" s="17" t="n">
        <f aca="false">IF($T62="","",IF($B$10=0,"",$T62/$B$10))</f>
        <v/>
      </c>
      <c r="V62" s="17" t="n">
        <f aca="false">IF($P62="","",IF($B$10=0,"",$P62/$B$10))</f>
        <v/>
      </c>
      <c r="W62" s="19" t="n">
        <f aca="false">IF($T62="",1000000000000000,$T62)</f>
        <v/>
      </c>
      <c r="XFB62" s="6"/>
      <c r="XFC62" s="3"/>
    </row>
    <row r="63" s="5" collapsed="false" customFormat="true" customHeight="true" hidden="false" ht="28.5" outlineLevel="0">
      <c r="A63" s="16" t="n">
        <f aca="false">IF($T63="","",1+COUNTIF($W$15:$W$894,"&lt;"&amp;W63))</f>
        <v/>
      </c>
      <c r="B63" s="16" t="s">
        <v>6</v>
      </c>
      <c r="C63" s="16" t="s">
        <v>90</v>
      </c>
      <c r="D63" s="16" t="s">
        <v>51</v>
      </c>
      <c r="E63" s="16" t="s">
        <v>26</v>
      </c>
      <c r="F63" s="16" t="s">
        <v>91</v>
      </c>
      <c r="G63" s="17">
        <v>1789</v>
      </c>
      <c r="H63" s="17">
        <v>2089</v>
      </c>
      <c r="I63" s="17"/>
      <c r="J63" s="17">
        <v>1789</v>
      </c>
      <c r="K63" s="17" t="n">
        <f aca="false">IF(AND(IFERROR(SEARCH("현대오일뱅크",$C63),0)&gt;0,IFERROR(SEARCH("직영",$C63),0)&gt;0),$B$13,0)</f>
        <v/>
      </c>
      <c r="L63" s="17" t="n">
        <f aca="false">IF($G63="","",$G63+$K63)</f>
        <v/>
      </c>
      <c r="M63" s="17" t="n">
        <f aca="false">IF($H63="","",$H63+$K63)</f>
        <v/>
      </c>
      <c r="N63" s="17" t="n">
        <f aca="false">IF($J63="","",$J63+$K63)</f>
        <v/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/>
      </c>
      <c r="P63" s="17" t="n">
        <f aca="false">IF($B$10=0,"",IFERROR(IF($B$4&gt;0,IF($L63="",1/0,$L63*$B$4),0)+IF($B$5&gt;0,IF($M63="",1/0,$M63*$B$5),0)+IF($B$6&gt;0,IF($N63="",1/0,$N63*$B$6),0),""))</f>
        <v/>
      </c>
      <c r="Q63" s="17" t="s">
        <v>47</v>
      </c>
      <c r="R63" s="18" t="n">
        <f aca="false">IF($P63="","",IF($Q63="Y",IFERROR(VLOOKUP($B63,$C$4:$D$13,2,FALSE()),0),0))</f>
        <v/>
      </c>
      <c r="S63" s="17" t="n">
        <f aca="false">IF($P63="","",ROUNDDOWN($P63*$R63,0))</f>
        <v/>
      </c>
      <c r="T63" s="17" t="n">
        <f aca="false">IF($P63="","",$P63-$S63)</f>
        <v/>
      </c>
      <c r="U63" s="17" t="n">
        <f aca="false">IF($T63="","",IF($B$10=0,"",$T63/$B$10))</f>
        <v/>
      </c>
      <c r="V63" s="17" t="n">
        <f aca="false">IF($P63="","",IF($B$10=0,"",$P63/$B$10))</f>
        <v/>
      </c>
      <c r="W63" s="19" t="n">
        <f aca="false">IF($T63="",1000000000000000,$T63)</f>
        <v/>
      </c>
      <c r="XFB63" s="6"/>
      <c r="XFC63" s="3"/>
    </row>
    <row r="64" s="5" collapsed="false" customFormat="true" customHeight="true" hidden="false" ht="28.5" outlineLevel="0">
      <c r="A64" s="16" t="n">
        <f aca="false">IF($T64="","",1+COUNTIF($W$15:$W$894,"&lt;"&amp;W64))</f>
        <v/>
      </c>
      <c r="B64" s="16" t="s">
        <v>6</v>
      </c>
      <c r="C64" s="16" t="s">
        <v>149</v>
      </c>
      <c r="D64" s="20" t="s">
        <v>86</v>
      </c>
      <c r="E64" s="16" t="s">
        <v>26</v>
      </c>
      <c r="F64" s="16" t="s">
        <v>150</v>
      </c>
      <c r="G64" s="17">
        <v>1789</v>
      </c>
      <c r="H64" s="17">
        <v>2089</v>
      </c>
      <c r="I64" s="17"/>
      <c r="J64" s="17">
        <v>1789</v>
      </c>
      <c r="K64" s="17" t="n">
        <f aca="false">IF(AND(IFERROR(SEARCH("현대오일뱅크",$C64),0)&gt;0,IFERROR(SEARCH("직영",$C64),0)&gt;0),$B$13,0)</f>
        <v/>
      </c>
      <c r="L64" s="17" t="n">
        <f aca="false">IF($G64="","",$G64+$K64)</f>
        <v/>
      </c>
      <c r="M64" s="17" t="n">
        <f aca="false">IF($H64="","",$H64+$K64)</f>
        <v/>
      </c>
      <c r="N64" s="17" t="n">
        <f aca="false">IF($J64="","",$J64+$K64)</f>
        <v/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/>
      </c>
      <c r="P64" s="17" t="n">
        <f aca="false">IF($B$10=0,"",IFERROR(IF($B$4&gt;0,IF($L64="",1/0,$L64*$B$4),0)+IF($B$5&gt;0,IF($M64="",1/0,$M64*$B$5),0)+IF($B$6&gt;0,IF($N64="",1/0,$N64*$B$6),0),""))</f>
        <v/>
      </c>
      <c r="Q64" s="17" t="s">
        <v>47</v>
      </c>
      <c r="R64" s="18" t="n">
        <f aca="false">IF($P64="","",IF($Q64="Y",IFERROR(VLOOKUP($B64,$C$4:$D$13,2,FALSE()),0),0))</f>
        <v/>
      </c>
      <c r="S64" s="17" t="n">
        <f aca="false">IF($P64="","",ROUNDDOWN($P64*$R64,0))</f>
        <v/>
      </c>
      <c r="T64" s="17" t="n">
        <f aca="false">IF($P64="","",$P64-$S64)</f>
        <v/>
      </c>
      <c r="U64" s="17" t="n">
        <f aca="false">IF($T64="","",IF($B$10=0,"",$T64/$B$10))</f>
        <v/>
      </c>
      <c r="V64" s="17" t="n">
        <f aca="false">IF($P64="","",IF($B$10=0,"",$P64/$B$10))</f>
        <v/>
      </c>
      <c r="W64" s="19" t="n">
        <f aca="false">IF($T64="",1000000000000000,$T64)</f>
        <v/>
      </c>
      <c r="XFB64" s="6"/>
      <c r="XFC64" s="3"/>
    </row>
    <row r="65" s="5" collapsed="false" customFormat="true" customHeight="true" hidden="false" ht="28.5" outlineLevel="0">
      <c r="A65" s="16" t="n">
        <f aca="false">IF($T65="","",1+COUNTIF($W$15:$W$894,"&lt;"&amp;W65))</f>
        <v/>
      </c>
      <c r="B65" s="16" t="s">
        <v>8</v>
      </c>
      <c r="C65" s="16" t="s">
        <v>153</v>
      </c>
      <c r="D65" s="16" t="s">
        <v>45</v>
      </c>
      <c r="E65" s="16" t="s">
        <v>26</v>
      </c>
      <c r="F65" s="16" t="s">
        <v>154</v>
      </c>
      <c r="G65" s="17">
        <v>1823</v>
      </c>
      <c r="H65" s="17">
        <v>2070</v>
      </c>
      <c r="I65" s="17"/>
      <c r="J65" s="17">
        <v>1825</v>
      </c>
      <c r="K65" s="17" t="n">
        <f aca="false">IF(AND(IFERROR(SEARCH("현대오일뱅크",$C65),0)&gt;0,IFERROR(SEARCH("직영",$C65),0)&gt;0),$B$13,0)</f>
        <v/>
      </c>
      <c r="L65" s="17" t="n">
        <f aca="false">IF($G65="","",$G65+$K65)</f>
        <v/>
      </c>
      <c r="M65" s="17" t="n">
        <f aca="false">IF($H65="","",$H65+$K65)</f>
        <v/>
      </c>
      <c r="N65" s="17" t="n">
        <f aca="false">IF($J65="","",$J65+$K65)</f>
        <v/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/>
      </c>
      <c r="P65" s="17" t="n">
        <f aca="false">IF($B$10=0,"",IFERROR(IF($B$4&gt;0,IF($L65="",1/0,$L65*$B$4),0)+IF($B$5&gt;0,IF($M65="",1/0,$M65*$B$5),0)+IF($B$6&gt;0,IF($N65="",1/0,$N65*$B$6),0),""))</f>
        <v/>
      </c>
      <c r="Q65" s="17" t="s">
        <v>47</v>
      </c>
      <c r="R65" s="18" t="n">
        <f aca="false">IF($P65="","",IF($Q65="Y",IFERROR(VLOOKUP($B65,$C$4:$D$13,2,FALSE()),0),0))</f>
        <v/>
      </c>
      <c r="S65" s="17" t="n">
        <f aca="false">IF($P65="","",ROUNDDOWN($P65*$R65,0))</f>
        <v/>
      </c>
      <c r="T65" s="17" t="n">
        <f aca="false">IF($P65="","",$P65-$S65)</f>
        <v/>
      </c>
      <c r="U65" s="17" t="n">
        <f aca="false">IF($T65="","",IF($B$10=0,"",$T65/$B$10))</f>
        <v/>
      </c>
      <c r="V65" s="17" t="n">
        <f aca="false">IF($P65="","",IF($B$10=0,"",$P65/$B$10))</f>
        <v/>
      </c>
      <c r="W65" s="19" t="n">
        <f aca="false">IF($T65="",1000000000000000,$T65)</f>
        <v/>
      </c>
      <c r="XFB65" s="6"/>
      <c r="XFC65" s="3"/>
    </row>
    <row r="66" s="5" collapsed="false" customFormat="true" customHeight="true" hidden="false" ht="28.5" outlineLevel="0">
      <c r="A66" s="16" t="n">
        <f aca="false">IF($T66="","",1+COUNTIF($W$15:$W$894,"&lt;"&amp;W66))</f>
        <v/>
      </c>
      <c r="B66" s="16" t="s">
        <v>10</v>
      </c>
      <c r="C66" s="16" t="s">
        <v>155</v>
      </c>
      <c r="D66" s="16" t="s">
        <v>95</v>
      </c>
      <c r="E66" s="16" t="s">
        <v>26</v>
      </c>
      <c r="F66" s="16" t="s">
        <v>156</v>
      </c>
      <c r="G66" s="17">
        <v>1845</v>
      </c>
      <c r="H66" s="17">
        <v>2045</v>
      </c>
      <c r="I66" s="17"/>
      <c r="J66" s="17">
        <v>1845</v>
      </c>
      <c r="K66" s="17" t="n">
        <f aca="false">IF(AND(IFERROR(SEARCH("현대오일뱅크",$C66),0)&gt;0,IFERROR(SEARCH("직영",$C66),0)&gt;0),$B$13,0)</f>
        <v/>
      </c>
      <c r="L66" s="17" t="n">
        <f aca="false">IF($G66="","",$G66+$K66)</f>
        <v/>
      </c>
      <c r="M66" s="17" t="n">
        <f aca="false">IF($H66="","",$H66+$K66)</f>
        <v/>
      </c>
      <c r="N66" s="17" t="n">
        <f aca="false">IF($J66="","",$J66+$K66)</f>
        <v/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/>
      </c>
      <c r="P66" s="17" t="n">
        <f aca="false">IF($B$10=0,"",IFERROR(IF($B$4&gt;0,IF($L66="",1/0,$L66*$B$4),0)+IF($B$5&gt;0,IF($M66="",1/0,$M66*$B$5),0)+IF($B$6&gt;0,IF($N66="",1/0,$N66*$B$6),0),""))</f>
        <v/>
      </c>
      <c r="Q66" s="17" t="s">
        <v>47</v>
      </c>
      <c r="R66" s="18" t="n">
        <f aca="false">IF($P66="","",IF($Q66="Y",IFERROR(VLOOKUP($B66,$C$4:$D$13,2,FALSE()),0),0))</f>
        <v/>
      </c>
      <c r="S66" s="17" t="n">
        <f aca="false">IF($P66="","",ROUNDDOWN($P66*$R66,0))</f>
        <v/>
      </c>
      <c r="T66" s="17" t="n">
        <f aca="false">IF($P66="","",$P66-$S66)</f>
        <v/>
      </c>
      <c r="U66" s="17" t="n">
        <f aca="false">IF($T66="","",IF($B$10=0,"",$T66/$B$10))</f>
        <v/>
      </c>
      <c r="V66" s="17" t="n">
        <f aca="false">IF($P66="","",IF($B$10=0,"",$P66/$B$10))</f>
        <v/>
      </c>
      <c r="W66" s="19" t="n">
        <f aca="false">IF($T66="",1000000000000000,$T66)</f>
        <v/>
      </c>
      <c r="XFB66" s="6"/>
      <c r="XFC66" s="3"/>
    </row>
    <row r="67" s="5" collapsed="false" customFormat="true" customHeight="true" hidden="false" ht="28.5" outlineLevel="0">
      <c r="A67" s="16" t="n">
        <f aca="false">IF($T67="","",1+COUNTIF($W$15:$W$894,"&lt;"&amp;W67))</f>
        <v/>
      </c>
      <c r="B67" s="16" t="s">
        <v>6</v>
      </c>
      <c r="C67" s="16" t="s">
        <v>157</v>
      </c>
      <c r="D67" s="20" t="s">
        <v>86</v>
      </c>
      <c r="E67" s="16" t="s">
        <v>26</v>
      </c>
      <c r="F67" s="16" t="s">
        <v>158</v>
      </c>
      <c r="G67" s="17">
        <v>1837</v>
      </c>
      <c r="H67" s="17">
        <v>2058</v>
      </c>
      <c r="I67" s="17"/>
      <c r="J67" s="17">
        <v>1837</v>
      </c>
      <c r="K67" s="17" t="n">
        <f aca="false">IF(AND(IFERROR(SEARCH("현대오일뱅크",$C67),0)&gt;0,IFERROR(SEARCH("직영",$C67),0)&gt;0),$B$13,0)</f>
        <v/>
      </c>
      <c r="L67" s="17" t="n">
        <f aca="false">IF($G67="","",$G67+$K67)</f>
        <v/>
      </c>
      <c r="M67" s="17" t="n">
        <f aca="false">IF($H67="","",$H67+$K67)</f>
        <v/>
      </c>
      <c r="N67" s="17" t="n">
        <f aca="false">IF($J67="","",$J67+$K67)</f>
        <v/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/>
      </c>
      <c r="P67" s="17" t="n">
        <f aca="false">IF($B$10=0,"",IFERROR(IF($B$4&gt;0,IF($L67="",1/0,$L67*$B$4),0)+IF($B$5&gt;0,IF($M67="",1/0,$M67*$B$5),0)+IF($B$6&gt;0,IF($N67="",1/0,$N67*$B$6),0),""))</f>
        <v/>
      </c>
      <c r="Q67" s="17" t="s">
        <v>47</v>
      </c>
      <c r="R67" s="18" t="n">
        <f aca="false">IF($P67="","",IF($Q67="Y",IFERROR(VLOOKUP($B67,$C$4:$D$13,2,FALSE()),0),0))</f>
        <v/>
      </c>
      <c r="S67" s="17" t="n">
        <f aca="false">IF($P67="","",ROUNDDOWN($P67*$R67,0))</f>
        <v/>
      </c>
      <c r="T67" s="17" t="n">
        <f aca="false">IF($P67="","",$P67-$S67)</f>
        <v/>
      </c>
      <c r="U67" s="17" t="n">
        <f aca="false">IF($T67="","",IF($B$10=0,"",$T67/$B$10))</f>
        <v/>
      </c>
      <c r="V67" s="17" t="n">
        <f aca="false">IF($P67="","",IF($B$10=0,"",$P67/$B$10))</f>
        <v/>
      </c>
      <c r="W67" s="19" t="n">
        <f aca="false">IF($T67="",1000000000000000,$T67)</f>
        <v/>
      </c>
      <c r="XFB67" s="6"/>
      <c r="XFC67" s="3"/>
    </row>
    <row r="68" s="5" collapsed="false" customFormat="true" customHeight="true" hidden="false" ht="28.5" outlineLevel="0">
      <c r="A68" s="16" t="n">
        <f aca="false">IF($T68="","",1+COUNTIF($W$15:$W$894,"&lt;"&amp;W68))</f>
        <v/>
      </c>
      <c r="B68" s="16" t="s">
        <v>12</v>
      </c>
      <c r="C68" s="16" t="s">
        <v>159</v>
      </c>
      <c r="D68" s="20" t="s">
        <v>51</v>
      </c>
      <c r="E68" s="16" t="s">
        <v>26</v>
      </c>
      <c r="F68" s="16" t="s">
        <v>161</v>
      </c>
      <c r="G68" s="17">
        <v>1765</v>
      </c>
      <c r="H68" s="17">
        <v>2149</v>
      </c>
      <c r="I68" s="17"/>
      <c r="J68" s="17">
        <v>1775</v>
      </c>
      <c r="K68" s="17" t="n">
        <f aca="false">IF(AND(IFERROR(SEARCH("현대오일뱅크",$C68),0)&gt;0,IFERROR(SEARCH("직영",$C68),0)&gt;0),$B$13,0)</f>
        <v/>
      </c>
      <c r="L68" s="17" t="n">
        <f aca="false">IF($G68="","",$G68+$K68)</f>
        <v/>
      </c>
      <c r="M68" s="17" t="n">
        <f aca="false">IF($H68="","",$H68+$K68)</f>
        <v/>
      </c>
      <c r="N68" s="17" t="n">
        <f aca="false">IF($J68="","",$J68+$K68)</f>
        <v/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/>
      </c>
      <c r="P68" s="17" t="n">
        <f aca="false">IF($B$10=0,"",IFERROR(IF($B$4&gt;0,IF($L68="",1/0,$L68*$B$4),0)+IF($B$5&gt;0,IF($M68="",1/0,$M68*$B$5),0)+IF($B$6&gt;0,IF($N68="",1/0,$N68*$B$6),0),""))</f>
        <v/>
      </c>
      <c r="Q68" s="17" t="s">
        <v>47</v>
      </c>
      <c r="R68" s="18" t="n">
        <f aca="false">IF($P68="","",IF($Q68="Y",IFERROR(VLOOKUP($B68,$C$4:$D$13,2,FALSE()),0),0))</f>
        <v/>
      </c>
      <c r="S68" s="17" t="n">
        <f aca="false">IF($P68="","",ROUNDDOWN($P68*$R68,0))</f>
        <v/>
      </c>
      <c r="T68" s="17" t="n">
        <f aca="false">IF($P68="","",$P68-$S68)</f>
        <v/>
      </c>
      <c r="U68" s="17" t="n">
        <f aca="false">IF($T68="","",IF($B$10=0,"",$T68/$B$10))</f>
        <v/>
      </c>
      <c r="V68" s="17" t="n">
        <f aca="false">IF($P68="","",IF($B$10=0,"",$P68/$B$10))</f>
        <v/>
      </c>
      <c r="W68" s="19" t="n">
        <f aca="false">IF($T68="",1000000000000000,$T68)</f>
        <v/>
      </c>
      <c r="XFB68" s="6"/>
      <c r="XFC68" s="3"/>
    </row>
    <row r="69" s="5" collapsed="false" customFormat="true" customHeight="true" hidden="false" ht="28.5" outlineLevel="0">
      <c r="A69" s="16" t="n">
        <f aca="false">IF($T69="","",1+COUNTIF($W$15:$W$894,"&lt;"&amp;W69))</f>
        <v/>
      </c>
      <c r="B69" s="16" t="s">
        <v>14</v>
      </c>
      <c r="C69" s="16" t="s">
        <v>162</v>
      </c>
      <c r="D69" s="16" t="s">
        <v>45</v>
      </c>
      <c r="E69" s="16" t="s">
        <v>26</v>
      </c>
      <c r="F69" s="16" t="s">
        <v>163</v>
      </c>
      <c r="G69" s="17">
        <v>1819</v>
      </c>
      <c r="H69" s="17">
        <v>2135</v>
      </c>
      <c r="I69" s="17"/>
      <c r="J69" s="17">
        <v>1839</v>
      </c>
      <c r="K69" s="17" t="n">
        <f aca="false">IF(AND(IFERROR(SEARCH("현대오일뱅크",$C69),0)&gt;0,IFERROR(SEARCH("직영",$C69),0)&gt;0),$B$13,0)</f>
        <v/>
      </c>
      <c r="L69" s="17" t="n">
        <f aca="false">IF($G69="","",$G69+$K69)</f>
        <v/>
      </c>
      <c r="M69" s="17" t="n">
        <f aca="false">IF($H69="","",$H69+$K69)</f>
        <v/>
      </c>
      <c r="N69" s="17" t="n">
        <f aca="false">IF($J69="","",$J69+$K69)</f>
        <v/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/>
      </c>
      <c r="P69" s="17" t="n">
        <f aca="false">IF($B$10=0,"",IFERROR(IF($B$4&gt;0,IF($L69="",1/0,$L69*$B$4),0)+IF($B$5&gt;0,IF($M69="",1/0,$M69*$B$5),0)+IF($B$6&gt;0,IF($N69="",1/0,$N69*$B$6),0),""))</f>
        <v/>
      </c>
      <c r="Q69" s="17" t="s">
        <v>47</v>
      </c>
      <c r="R69" s="18" t="n">
        <f aca="false">IF($P69="","",IF($Q69="Y",IFERROR(VLOOKUP($B69,$C$4:$D$13,2,FALSE()),0),0))</f>
        <v/>
      </c>
      <c r="S69" s="17" t="n">
        <f aca="false">IF($P69="","",ROUNDDOWN($P69*$R69,0))</f>
        <v/>
      </c>
      <c r="T69" s="17" t="n">
        <f aca="false">IF($P69="","",$P69-$S69)</f>
        <v/>
      </c>
      <c r="U69" s="17" t="n">
        <f aca="false">IF($T69="","",IF($B$10=0,"",$T69/$B$10))</f>
        <v/>
      </c>
      <c r="V69" s="17" t="n">
        <f aca="false">IF($P69="","",IF($B$10=0,"",$P69/$B$10))</f>
        <v/>
      </c>
      <c r="W69" s="19" t="n">
        <f aca="false">IF($T69="",1000000000000000,$T69)</f>
        <v/>
      </c>
      <c r="XFB69" s="6"/>
      <c r="XFC69" s="3"/>
    </row>
    <row r="70" s="5" collapsed="false" customFormat="true" customHeight="true" hidden="false" ht="28.5" outlineLevel="0">
      <c r="A70" s="16" t="n">
        <f aca="false">IF($T70="","",1+COUNTIF($W$15:$W$894,"&lt;"&amp;W70))</f>
        <v/>
      </c>
      <c r="B70" s="16" t="s">
        <v>12</v>
      </c>
      <c r="C70" s="16" t="s">
        <v>164</v>
      </c>
      <c r="D70" s="20" t="s">
        <v>86</v>
      </c>
      <c r="E70" s="16" t="s">
        <v>26</v>
      </c>
      <c r="F70" s="16" t="s">
        <v>165</v>
      </c>
      <c r="G70" s="17">
        <v>1833</v>
      </c>
      <c r="H70" s="17">
        <v>2074</v>
      </c>
      <c r="I70" s="17"/>
      <c r="J70" s="17">
        <v>1833</v>
      </c>
      <c r="K70" s="17" t="n">
        <f aca="false">IF(AND(IFERROR(SEARCH("현대오일뱅크",$C70),0)&gt;0,IFERROR(SEARCH("직영",$C70),0)&gt;0),$B$13,0)</f>
        <v/>
      </c>
      <c r="L70" s="17" t="n">
        <f aca="false">IF($G70="","",$G70+$K70)</f>
        <v/>
      </c>
      <c r="M70" s="17" t="n">
        <f aca="false">IF($H70="","",$H70+$K70)</f>
        <v/>
      </c>
      <c r="N70" s="17" t="n">
        <f aca="false">IF($J70="","",$J70+$K70)</f>
        <v/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/>
      </c>
      <c r="P70" s="17" t="n">
        <f aca="false">IF($B$10=0,"",IFERROR(IF($B$4&gt;0,IF($L70="",1/0,$L70*$B$4),0)+IF($B$5&gt;0,IF($M70="",1/0,$M70*$B$5),0)+IF($B$6&gt;0,IF($N70="",1/0,$N70*$B$6),0),""))</f>
        <v/>
      </c>
      <c r="Q70" s="17" t="s">
        <v>47</v>
      </c>
      <c r="R70" s="18" t="n">
        <f aca="false">IF($P70="","",IF($Q70="Y",IFERROR(VLOOKUP($B70,$C$4:$D$13,2,FALSE()),0),0))</f>
        <v/>
      </c>
      <c r="S70" s="17" t="n">
        <f aca="false">IF($P70="","",ROUNDDOWN($P70*$R70,0))</f>
        <v/>
      </c>
      <c r="T70" s="17" t="n">
        <f aca="false">IF($P70="","",$P70-$S70)</f>
        <v/>
      </c>
      <c r="U70" s="17" t="n">
        <f aca="false">IF($T70="","",IF($B$10=0,"",$T70/$B$10))</f>
        <v/>
      </c>
      <c r="V70" s="17" t="n">
        <f aca="false">IF($P70="","",IF($B$10=0,"",$P70/$B$10))</f>
        <v/>
      </c>
      <c r="W70" s="19" t="n">
        <f aca="false">IF($T70="",1000000000000000,$T70)</f>
        <v/>
      </c>
      <c r="XFB70" s="6"/>
      <c r="XFC70" s="3"/>
    </row>
    <row r="71" s="5" collapsed="false" customFormat="true" customHeight="true" hidden="false" ht="28.5" outlineLevel="0">
      <c r="A71" s="16" t="n">
        <f aca="false">IF($T71="","",1+COUNTIF($W$15:$W$894,"&lt;"&amp;W71))</f>
        <v/>
      </c>
      <c r="B71" s="16" t="s">
        <v>6</v>
      </c>
      <c r="C71" s="16" t="s">
        <v>147</v>
      </c>
      <c r="D71" s="16" t="s">
        <v>45</v>
      </c>
      <c r="E71" s="16" t="s">
        <v>26</v>
      </c>
      <c r="F71" s="16" t="s">
        <v>148</v>
      </c>
      <c r="G71" s="17">
        <v>1782</v>
      </c>
      <c r="H71" s="17">
        <v>2140</v>
      </c>
      <c r="I71" s="17"/>
      <c r="J71" s="17">
        <v>1776</v>
      </c>
      <c r="K71" s="17" t="n">
        <f aca="false">IF(AND(IFERROR(SEARCH("현대오일뱅크",$C71),0)&gt;0,IFERROR(SEARCH("직영",$C71),0)&gt;0),$B$13,0)</f>
        <v/>
      </c>
      <c r="L71" s="17" t="n">
        <f aca="false">IF($G71="","",$G71+$K71)</f>
        <v/>
      </c>
      <c r="M71" s="17" t="n">
        <f aca="false">IF($H71="","",$H71+$K71)</f>
        <v/>
      </c>
      <c r="N71" s="17" t="n">
        <f aca="false">IF($J71="","",$J71+$K71)</f>
        <v/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/>
      </c>
      <c r="P71" s="17" t="n">
        <f aca="false">IF($B$10=0,"",IFERROR(IF($B$4&gt;0,IF($L71="",1/0,$L71*$B$4),0)+IF($B$5&gt;0,IF($M71="",1/0,$M71*$B$5),0)+IF($B$6&gt;0,IF($N71="",1/0,$N71*$B$6),0),""))</f>
        <v/>
      </c>
      <c r="Q71" s="17" t="s">
        <v>47</v>
      </c>
      <c r="R71" s="18" t="n">
        <f aca="false">IF($P71="","",IF($Q71="Y",IFERROR(VLOOKUP($B71,$C$4:$D$13,2,FALSE()),0),0))</f>
        <v/>
      </c>
      <c r="S71" s="17" t="n">
        <f aca="false">IF($P71="","",ROUNDDOWN($P71*$R71,0))</f>
        <v/>
      </c>
      <c r="T71" s="17" t="n">
        <f aca="false">IF($P71="","",$P71-$S71)</f>
        <v/>
      </c>
      <c r="U71" s="17" t="n">
        <f aca="false">IF($T71="","",IF($B$10=0,"",$T71/$B$10))</f>
        <v/>
      </c>
      <c r="V71" s="17" t="n">
        <f aca="false">IF($P71="","",IF($B$10=0,"",$P71/$B$10))</f>
        <v/>
      </c>
      <c r="W71" s="19" t="n">
        <f aca="false">IF($T71="",1000000000000000,$T71)</f>
        <v/>
      </c>
      <c r="XFB71" s="6"/>
      <c r="XFC71" s="3"/>
    </row>
    <row r="72" s="5" collapsed="false" customFormat="true" customHeight="true" hidden="false" ht="28.5" outlineLevel="0">
      <c r="A72" s="16" t="n">
        <f aca="false">IF($T72="","",1+COUNTIF($W$15:$W$894,"&lt;"&amp;W72))</f>
        <v/>
      </c>
      <c r="B72" s="16" t="s">
        <v>12</v>
      </c>
      <c r="C72" s="16" t="s">
        <v>166</v>
      </c>
      <c r="D72" s="20" t="s">
        <v>86</v>
      </c>
      <c r="E72" s="16" t="s">
        <v>26</v>
      </c>
      <c r="F72" s="16" t="s">
        <v>167</v>
      </c>
      <c r="G72" s="17">
        <v>1775</v>
      </c>
      <c r="H72" s="17">
        <v>2150</v>
      </c>
      <c r="I72" s="17"/>
      <c r="J72" s="17">
        <v>1765</v>
      </c>
      <c r="K72" s="17" t="n">
        <f aca="false">IF(AND(IFERROR(SEARCH("현대오일뱅크",$C72),0)&gt;0,IFERROR(SEARCH("직영",$C72),0)&gt;0),$B$13,0)</f>
        <v/>
      </c>
      <c r="L72" s="17" t="n">
        <f aca="false">IF($G72="","",$G72+$K72)</f>
        <v/>
      </c>
      <c r="M72" s="17" t="n">
        <f aca="false">IF($H72="","",$H72+$K72)</f>
        <v/>
      </c>
      <c r="N72" s="17" t="n">
        <f aca="false">IF($J72="","",$J72+$K72)</f>
        <v/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/>
      </c>
      <c r="P72" s="17" t="n">
        <f aca="false">IF($B$10=0,"",IFERROR(IF($B$4&gt;0,IF($L72="",1/0,$L72*$B$4),0)+IF($B$5&gt;0,IF($M72="",1/0,$M72*$B$5),0)+IF($B$6&gt;0,IF($N72="",1/0,$N72*$B$6),0),""))</f>
        <v/>
      </c>
      <c r="Q72" s="17" t="s">
        <v>47</v>
      </c>
      <c r="R72" s="18" t="n">
        <f aca="false">IF($P72="","",IF($Q72="Y",IFERROR(VLOOKUP($B72,$C$4:$D$13,2,FALSE()),0),0))</f>
        <v/>
      </c>
      <c r="S72" s="17" t="n">
        <f aca="false">IF($P72="","",ROUNDDOWN($P72*$R72,0))</f>
        <v/>
      </c>
      <c r="T72" s="17" t="n">
        <f aca="false">IF($P72="","",$P72-$S72)</f>
        <v/>
      </c>
      <c r="U72" s="17" t="n">
        <f aca="false">IF($T72="","",IF($B$10=0,"",$T72/$B$10))</f>
        <v/>
      </c>
      <c r="V72" s="17" t="n">
        <f aca="false">IF($P72="","",IF($B$10=0,"",$P72/$B$10))</f>
        <v/>
      </c>
      <c r="W72" s="19" t="n">
        <f aca="false">IF($T72="",1000000000000000,$T72)</f>
        <v/>
      </c>
      <c r="XFB72" s="6"/>
      <c r="XFC72" s="3"/>
    </row>
    <row r="73" s="5" collapsed="false" customFormat="true" customHeight="true" hidden="false" ht="28.5" outlineLevel="0">
      <c r="A73" s="16" t="n">
        <f aca="false">IF($T73="","",1+COUNTIF($W$15:$W$894,"&lt;"&amp;W73))</f>
        <v/>
      </c>
      <c r="B73" s="16" t="s">
        <v>12</v>
      </c>
      <c r="C73" s="16" t="s">
        <v>168</v>
      </c>
      <c r="D73" s="20" t="s">
        <v>86</v>
      </c>
      <c r="E73" s="16" t="s">
        <v>26</v>
      </c>
      <c r="F73" s="16" t="s">
        <v>169</v>
      </c>
      <c r="G73" s="17">
        <v>1775</v>
      </c>
      <c r="H73" s="17">
        <v>2150</v>
      </c>
      <c r="I73" s="17"/>
      <c r="J73" s="17">
        <v>1765</v>
      </c>
      <c r="K73" s="17" t="n">
        <f aca="false">IF(AND(IFERROR(SEARCH("현대오일뱅크",$C73),0)&gt;0,IFERROR(SEARCH("직영",$C73),0)&gt;0),$B$13,0)</f>
        <v/>
      </c>
      <c r="L73" s="17" t="n">
        <f aca="false">IF($G73="","",$G73+$K73)</f>
        <v/>
      </c>
      <c r="M73" s="17" t="n">
        <f aca="false">IF($H73="","",$H73+$K73)</f>
        <v/>
      </c>
      <c r="N73" s="17" t="n">
        <f aca="false">IF($J73="","",$J73+$K73)</f>
        <v/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/>
      </c>
      <c r="P73" s="17" t="n">
        <f aca="false">IF($B$10=0,"",IFERROR(IF($B$4&gt;0,IF($L73="",1/0,$L73*$B$4),0)+IF($B$5&gt;0,IF($M73="",1/0,$M73*$B$5),0)+IF($B$6&gt;0,IF($N73="",1/0,$N73*$B$6),0),""))</f>
        <v/>
      </c>
      <c r="Q73" s="17" t="s">
        <v>47</v>
      </c>
      <c r="R73" s="18" t="n">
        <f aca="false">IF($P73="","",IF($Q73="Y",IFERROR(VLOOKUP($B73,$C$4:$D$13,2,FALSE()),0),0))</f>
        <v/>
      </c>
      <c r="S73" s="17" t="n">
        <f aca="false">IF($P73="","",ROUNDDOWN($P73*$R73,0))</f>
        <v/>
      </c>
      <c r="T73" s="17" t="n">
        <f aca="false">IF($P73="","",$P73-$S73)</f>
        <v/>
      </c>
      <c r="U73" s="17" t="n">
        <f aca="false">IF($T73="","",IF($B$10=0,"",$T73/$B$10))</f>
        <v/>
      </c>
      <c r="V73" s="17" t="n">
        <f aca="false">IF($P73="","",IF($B$10=0,"",$P73/$B$10))</f>
        <v/>
      </c>
      <c r="W73" s="19" t="n">
        <f aca="false">IF($T73="",1000000000000000,$T73)</f>
        <v/>
      </c>
      <c r="XFB73" s="6"/>
      <c r="XFC73" s="3"/>
    </row>
    <row r="74" s="5" collapsed="false" customFormat="true" customHeight="true" hidden="false" ht="28.5" outlineLevel="0">
      <c r="A74" s="16" t="n">
        <f aca="false">IF($T74="","",1+COUNTIF($W$15:$W$894,"&lt;"&amp;W74))</f>
        <v/>
      </c>
      <c r="B74" s="16" t="s">
        <v>6</v>
      </c>
      <c r="C74" s="16" t="s">
        <v>170</v>
      </c>
      <c r="D74" s="16" t="s">
        <v>51</v>
      </c>
      <c r="E74" s="16" t="s">
        <v>26</v>
      </c>
      <c r="F74" s="16" t="s">
        <v>171</v>
      </c>
      <c r="G74" s="17">
        <v>1789</v>
      </c>
      <c r="H74" s="17">
        <v>2150</v>
      </c>
      <c r="I74" s="17"/>
      <c r="J74" s="17">
        <v>1779</v>
      </c>
      <c r="K74" s="17" t="n">
        <f aca="false">IF(AND(IFERROR(SEARCH("현대오일뱅크",$C74),0)&gt;0,IFERROR(SEARCH("직영",$C74),0)&gt;0),$B$13,0)</f>
        <v/>
      </c>
      <c r="L74" s="17" t="n">
        <f aca="false">IF($G74="","",$G74+$K74)</f>
        <v/>
      </c>
      <c r="M74" s="17" t="n">
        <f aca="false">IF($H74="","",$H74+$K74)</f>
        <v/>
      </c>
      <c r="N74" s="17" t="n">
        <f aca="false">IF($J74="","",$J74+$K74)</f>
        <v/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/>
      </c>
      <c r="P74" s="17" t="n">
        <f aca="false">IF($B$10=0,"",IFERROR(IF($B$4&gt;0,IF($L74="",1/0,$L74*$B$4),0)+IF($B$5&gt;0,IF($M74="",1/0,$M74*$B$5),0)+IF($B$6&gt;0,IF($N74="",1/0,$N74*$B$6),0),""))</f>
        <v/>
      </c>
      <c r="Q74" s="17" t="s">
        <v>47</v>
      </c>
      <c r="R74" s="18" t="n">
        <f aca="false">IF($P74="","",IF($Q74="Y",IFERROR(VLOOKUP($B74,$C$4:$D$13,2,FALSE()),0),0))</f>
        <v/>
      </c>
      <c r="S74" s="17" t="n">
        <f aca="false">IF($P74="","",ROUNDDOWN($P74*$R74,0))</f>
        <v/>
      </c>
      <c r="T74" s="17" t="n">
        <f aca="false">IF($P74="","",$P74-$S74)</f>
        <v/>
      </c>
      <c r="U74" s="17" t="n">
        <f aca="false">IF($T74="","",IF($B$10=0,"",$T74/$B$10))</f>
        <v/>
      </c>
      <c r="V74" s="17" t="n">
        <f aca="false">IF($P74="","",IF($B$10=0,"",$P74/$B$10))</f>
        <v/>
      </c>
      <c r="W74" s="19" t="n">
        <f aca="false">IF($T74="",1000000000000000,$T74)</f>
        <v/>
      </c>
      <c r="XFB74" s="6"/>
      <c r="XFC74" s="3"/>
    </row>
    <row r="75" s="5" collapsed="false" customFormat="true" customHeight="true" hidden="false" ht="28.5" outlineLevel="0">
      <c r="A75" s="16" t="n">
        <f aca="false">IF($T75="","",1+COUNTIF($W$15:$W$894,"&lt;"&amp;W75))</f>
        <v/>
      </c>
      <c r="B75" s="16" t="s">
        <v>6</v>
      </c>
      <c r="C75" s="16" t="s">
        <v>172</v>
      </c>
      <c r="D75" s="16" t="s">
        <v>45</v>
      </c>
      <c r="E75" s="16" t="s">
        <v>26</v>
      </c>
      <c r="F75" s="16" t="s">
        <v>173</v>
      </c>
      <c r="G75" s="17">
        <v>1795</v>
      </c>
      <c r="H75" s="17">
        <v>2149</v>
      </c>
      <c r="I75" s="17"/>
      <c r="J75" s="17">
        <v>1785</v>
      </c>
      <c r="K75" s="17" t="n">
        <f aca="false">IF(AND(IFERROR(SEARCH("현대오일뱅크",$C75),0)&gt;0,IFERROR(SEARCH("직영",$C75),0)&gt;0),$B$13,0)</f>
        <v/>
      </c>
      <c r="L75" s="17" t="n">
        <f aca="false">IF($G75="","",$G75+$K75)</f>
        <v/>
      </c>
      <c r="M75" s="17" t="n">
        <f aca="false">IF($H75="","",$H75+$K75)</f>
        <v/>
      </c>
      <c r="N75" s="17" t="n">
        <f aca="false">IF($J75="","",$J75+$K75)</f>
        <v/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/>
      </c>
      <c r="P75" s="17" t="n">
        <f aca="false">IF($B$10=0,"",IFERROR(IF($B$4&gt;0,IF($L75="",1/0,$L75*$B$4),0)+IF($B$5&gt;0,IF($M75="",1/0,$M75*$B$5),0)+IF($B$6&gt;0,IF($N75="",1/0,$N75*$B$6),0),""))</f>
        <v/>
      </c>
      <c r="Q75" s="17" t="s">
        <v>47</v>
      </c>
      <c r="R75" s="18" t="n">
        <f aca="false">IF($P75="","",IF($Q75="Y",IFERROR(VLOOKUP($B75,$C$4:$D$13,2,FALSE()),0),0))</f>
        <v/>
      </c>
      <c r="S75" s="17" t="n">
        <f aca="false">IF($P75="","",ROUNDDOWN($P75*$R75,0))</f>
        <v/>
      </c>
      <c r="T75" s="17" t="n">
        <f aca="false">IF($P75="","",$P75-$S75)</f>
        <v/>
      </c>
      <c r="U75" s="17" t="n">
        <f aca="false">IF($T75="","",IF($B$10=0,"",$T75/$B$10))</f>
        <v/>
      </c>
      <c r="V75" s="17" t="n">
        <f aca="false">IF($P75="","",IF($B$10=0,"",$P75/$B$10))</f>
        <v/>
      </c>
      <c r="W75" s="19" t="n">
        <f aca="false">IF($T75="",1000000000000000,$T75)</f>
        <v/>
      </c>
      <c r="XFB75" s="6"/>
      <c r="XFC75" s="3"/>
    </row>
    <row r="76" s="5" collapsed="false" customFormat="true" customHeight="true" hidden="false" ht="28.5" outlineLevel="0">
      <c r="A76" s="16" t="n">
        <f aca="false">IF($T76="","",1+COUNTIF($W$15:$W$894,"&lt;"&amp;W76))</f>
        <v/>
      </c>
      <c r="B76" s="16" t="s">
        <v>6</v>
      </c>
      <c r="C76" s="16" t="s">
        <v>174</v>
      </c>
      <c r="D76" s="20" t="s">
        <v>86</v>
      </c>
      <c r="E76" s="16" t="s">
        <v>26</v>
      </c>
      <c r="F76" s="16" t="s">
        <v>175</v>
      </c>
      <c r="G76" s="17">
        <v>1795</v>
      </c>
      <c r="H76" s="17">
        <v>2150</v>
      </c>
      <c r="I76" s="17"/>
      <c r="J76" s="17">
        <v>1775</v>
      </c>
      <c r="K76" s="17" t="n">
        <f aca="false">IF(AND(IFERROR(SEARCH("현대오일뱅크",$C76),0)&gt;0,IFERROR(SEARCH("직영",$C76),0)&gt;0),$B$13,0)</f>
        <v/>
      </c>
      <c r="L76" s="17" t="n">
        <f aca="false">IF($G76="","",$G76+$K76)</f>
        <v/>
      </c>
      <c r="M76" s="17" t="n">
        <f aca="false">IF($H76="","",$H76+$K76)</f>
        <v/>
      </c>
      <c r="N76" s="17" t="n">
        <f aca="false">IF($J76="","",$J76+$K76)</f>
        <v/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/>
      </c>
      <c r="P76" s="17" t="n">
        <f aca="false">IF($B$10=0,"",IFERROR(IF($B$4&gt;0,IF($L76="",1/0,$L76*$B$4),0)+IF($B$5&gt;0,IF($M76="",1/0,$M76*$B$5),0)+IF($B$6&gt;0,IF($N76="",1/0,$N76*$B$6),0),""))</f>
        <v/>
      </c>
      <c r="Q76" s="17" t="s">
        <v>47</v>
      </c>
      <c r="R76" s="18" t="n">
        <f aca="false">IF($P76="","",IF($Q76="Y",IFERROR(VLOOKUP($B76,$C$4:$D$13,2,FALSE()),0),0))</f>
        <v/>
      </c>
      <c r="S76" s="17" t="n">
        <f aca="false">IF($P76="","",ROUNDDOWN($P76*$R76,0))</f>
        <v/>
      </c>
      <c r="T76" s="17" t="n">
        <f aca="false">IF($P76="","",$P76-$S76)</f>
        <v/>
      </c>
      <c r="U76" s="17" t="n">
        <f aca="false">IF($T76="","",IF($B$10=0,"",$T76/$B$10))</f>
        <v/>
      </c>
      <c r="V76" s="17" t="n">
        <f aca="false">IF($P76="","",IF($B$10=0,"",$P76/$B$10))</f>
        <v/>
      </c>
      <c r="W76" s="19" t="n">
        <f aca="false">IF($T76="",1000000000000000,$T76)</f>
        <v/>
      </c>
      <c r="XFB76" s="6"/>
      <c r="XFC76" s="3"/>
    </row>
    <row r="77" s="5" collapsed="false" customFormat="true" customHeight="true" hidden="false" ht="28.5" outlineLevel="0">
      <c r="A77" s="16" t="n">
        <f aca="false">IF($T77="","",1+COUNTIF($W$15:$W$894,"&lt;"&amp;W77))</f>
        <v/>
      </c>
      <c r="B77" s="16" t="s">
        <v>12</v>
      </c>
      <c r="C77" s="16" t="s">
        <v>176</v>
      </c>
      <c r="D77" s="20" t="s">
        <v>51</v>
      </c>
      <c r="E77" s="16" t="s">
        <v>26</v>
      </c>
      <c r="F77" s="16" t="s">
        <v>177</v>
      </c>
      <c r="G77" s="17">
        <v>1798</v>
      </c>
      <c r="H77" s="17">
        <v>2149</v>
      </c>
      <c r="I77" s="17"/>
      <c r="J77" s="17">
        <v>1798</v>
      </c>
      <c r="K77" s="17" t="n">
        <f aca="false">IF(AND(IFERROR(SEARCH("현대오일뱅크",$C77),0)&gt;0,IFERROR(SEARCH("직영",$C77),0)&gt;0),$B$13,0)</f>
        <v/>
      </c>
      <c r="L77" s="17" t="n">
        <f aca="false">IF($G77="","",$G77+$K77)</f>
        <v/>
      </c>
      <c r="M77" s="17" t="n">
        <f aca="false">IF($H77="","",$H77+$K77)</f>
        <v/>
      </c>
      <c r="N77" s="17" t="n">
        <f aca="false">IF($J77="","",$J77+$K77)</f>
        <v/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/>
      </c>
      <c r="P77" s="17" t="n">
        <f aca="false">IF($B$10=0,"",IFERROR(IF($B$4&gt;0,IF($L77="",1/0,$L77*$B$4),0)+IF($B$5&gt;0,IF($M77="",1/0,$M77*$B$5),0)+IF($B$6&gt;0,IF($N77="",1/0,$N77*$B$6),0),""))</f>
        <v/>
      </c>
      <c r="Q77" s="17" t="s">
        <v>47</v>
      </c>
      <c r="R77" s="18" t="n">
        <f aca="false">IF($P77="","",IF($Q77="Y",IFERROR(VLOOKUP($B77,$C$4:$D$13,2,FALSE()),0),0))</f>
        <v/>
      </c>
      <c r="S77" s="17" t="n">
        <f aca="false">IF($P77="","",ROUNDDOWN($P77*$R77,0))</f>
        <v/>
      </c>
      <c r="T77" s="17" t="n">
        <f aca="false">IF($P77="","",$P77-$S77)</f>
        <v/>
      </c>
      <c r="U77" s="17" t="n">
        <f aca="false">IF($T77="","",IF($B$10=0,"",$T77/$B$10))</f>
        <v/>
      </c>
      <c r="V77" s="17" t="n">
        <f aca="false">IF($P77="","",IF($B$10=0,"",$P77/$B$10))</f>
        <v/>
      </c>
      <c r="W77" s="19" t="n">
        <f aca="false">IF($T77="",1000000000000000,$T77)</f>
        <v/>
      </c>
      <c r="XFB77" s="6"/>
      <c r="XFC77" s="3"/>
    </row>
    <row r="78" s="5" collapsed="false" customFormat="true" customHeight="true" hidden="false" ht="28.5" outlineLevel="0">
      <c r="A78" s="16" t="n">
        <f aca="false">IF($T78="","",1+COUNTIF($W$15:$W$894,"&lt;"&amp;W78))</f>
        <v/>
      </c>
      <c r="B78" s="16" t="s">
        <v>6</v>
      </c>
      <c r="C78" s="16" t="s">
        <v>178</v>
      </c>
      <c r="D78" s="16" t="s">
        <v>45</v>
      </c>
      <c r="E78" s="16" t="s">
        <v>26</v>
      </c>
      <c r="F78" s="16" t="s">
        <v>179</v>
      </c>
      <c r="G78" s="17">
        <v>1798</v>
      </c>
      <c r="H78" s="17">
        <v>2158</v>
      </c>
      <c r="I78" s="17"/>
      <c r="J78" s="17">
        <v>1798</v>
      </c>
      <c r="K78" s="17" t="n">
        <f aca="false">IF(AND(IFERROR(SEARCH("현대오일뱅크",$C78),0)&gt;0,IFERROR(SEARCH("직영",$C78),0)&gt;0),$B$13,0)</f>
        <v/>
      </c>
      <c r="L78" s="17" t="n">
        <f aca="false">IF($G78="","",$G78+$K78)</f>
        <v/>
      </c>
      <c r="M78" s="17" t="n">
        <f aca="false">IF($H78="","",$H78+$K78)</f>
        <v/>
      </c>
      <c r="N78" s="17" t="n">
        <f aca="false">IF($J78="","",$J78+$K78)</f>
        <v/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/>
      </c>
      <c r="P78" s="17" t="n">
        <f aca="false">IF($B$10=0,"",IFERROR(IF($B$4&gt;0,IF($L78="",1/0,$L78*$B$4),0)+IF($B$5&gt;0,IF($M78="",1/0,$M78*$B$5),0)+IF($B$6&gt;0,IF($N78="",1/0,$N78*$B$6),0),""))</f>
        <v/>
      </c>
      <c r="Q78" s="17" t="s">
        <v>47</v>
      </c>
      <c r="R78" s="18" t="n">
        <f aca="false">IF($P78="","",IF($Q78="Y",IFERROR(VLOOKUP($B78,$C$4:$D$13,2,FALSE()),0),0))</f>
        <v/>
      </c>
      <c r="S78" s="17" t="n">
        <f aca="false">IF($P78="","",ROUNDDOWN($P78*$R78,0))</f>
        <v/>
      </c>
      <c r="T78" s="17" t="n">
        <f aca="false">IF($P78="","",$P78-$S78)</f>
        <v/>
      </c>
      <c r="U78" s="17" t="n">
        <f aca="false">IF($T78="","",IF($B$10=0,"",$T78/$B$10))</f>
        <v/>
      </c>
      <c r="V78" s="17" t="n">
        <f aca="false">IF($P78="","",IF($B$10=0,"",$P78/$B$10))</f>
        <v/>
      </c>
      <c r="W78" s="19" t="n">
        <f aca="false">IF($T78="",1000000000000000,$T78)</f>
        <v/>
      </c>
      <c r="XFB78" s="6"/>
      <c r="XFC78" s="3"/>
    </row>
    <row r="79" s="5" collapsed="false" customFormat="true" customHeight="true" hidden="false" ht="28.5" outlineLevel="0">
      <c r="A79" s="16" t="n">
        <f aca="false">IF($T79="","",1+COUNTIF($W$15:$W$894,"&lt;"&amp;W79))</f>
        <v/>
      </c>
      <c r="B79" s="16" t="s">
        <v>10</v>
      </c>
      <c r="C79" s="16" t="s">
        <v>180</v>
      </c>
      <c r="D79" s="16" t="s">
        <v>51</v>
      </c>
      <c r="E79" s="16" t="s">
        <v>26</v>
      </c>
      <c r="F79" s="16" t="s">
        <v>181</v>
      </c>
      <c r="G79" s="17">
        <v>1849</v>
      </c>
      <c r="H79" s="17">
        <v>2095</v>
      </c>
      <c r="I79" s="17"/>
      <c r="J79" s="17">
        <v>1849</v>
      </c>
      <c r="K79" s="17" t="n">
        <f aca="false">IF(AND(IFERROR(SEARCH("현대오일뱅크",$C79),0)&gt;0,IFERROR(SEARCH("직영",$C79),0)&gt;0),$B$13,0)</f>
        <v/>
      </c>
      <c r="L79" s="17" t="n">
        <f aca="false">IF($G79="","",$G79+$K79)</f>
        <v/>
      </c>
      <c r="M79" s="17" t="n">
        <f aca="false">IF($H79="","",$H79+$K79)</f>
        <v/>
      </c>
      <c r="N79" s="17" t="n">
        <f aca="false">IF($J79="","",$J79+$K79)</f>
        <v/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/>
      </c>
      <c r="P79" s="17" t="n">
        <f aca="false">IF($B$10=0,"",IFERROR(IF($B$4&gt;0,IF($L79="",1/0,$L79*$B$4),0)+IF($B$5&gt;0,IF($M79="",1/0,$M79*$B$5),0)+IF($B$6&gt;0,IF($N79="",1/0,$N79*$B$6),0),""))</f>
        <v/>
      </c>
      <c r="Q79" s="17" t="s">
        <v>47</v>
      </c>
      <c r="R79" s="18" t="n">
        <f aca="false">IF($P79="","",IF($Q79="Y",IFERROR(VLOOKUP($B79,$C$4:$D$13,2,FALSE()),0),0))</f>
        <v/>
      </c>
      <c r="S79" s="17" t="n">
        <f aca="false">IF($P79="","",ROUNDDOWN($P79*$R79,0))</f>
        <v/>
      </c>
      <c r="T79" s="17" t="n">
        <f aca="false">IF($P79="","",$P79-$S79)</f>
        <v/>
      </c>
      <c r="U79" s="17" t="n">
        <f aca="false">IF($T79="","",IF($B$10=0,"",$T79/$B$10))</f>
        <v/>
      </c>
      <c r="V79" s="17" t="n">
        <f aca="false">IF($P79="","",IF($B$10=0,"",$P79/$B$10))</f>
        <v/>
      </c>
      <c r="W79" s="19" t="n">
        <f aca="false">IF($T79="",1000000000000000,$T79)</f>
        <v/>
      </c>
      <c r="XFB79" s="6"/>
      <c r="XFC79" s="3"/>
    </row>
    <row r="80" s="5" collapsed="false" customFormat="true" customHeight="true" hidden="false" ht="28.5" outlineLevel="0">
      <c r="A80" s="16" t="n">
        <f aca="false">IF($T80="","",1+COUNTIF($W$15:$W$894,"&lt;"&amp;W80))</f>
        <v/>
      </c>
      <c r="B80" s="16" t="s">
        <v>6</v>
      </c>
      <c r="C80" s="16" t="s">
        <v>182</v>
      </c>
      <c r="D80" s="16" t="s">
        <v>95</v>
      </c>
      <c r="E80" s="16" t="s">
        <v>26</v>
      </c>
      <c r="F80" s="16" t="s">
        <v>183</v>
      </c>
      <c r="G80" s="17">
        <v>1798</v>
      </c>
      <c r="H80" s="17">
        <v>2159</v>
      </c>
      <c r="I80" s="17"/>
      <c r="J80" s="17">
        <v>1798</v>
      </c>
      <c r="K80" s="17" t="n">
        <f aca="false">IF(AND(IFERROR(SEARCH("현대오일뱅크",$C80),0)&gt;0,IFERROR(SEARCH("직영",$C80),0)&gt;0),$B$13,0)</f>
        <v/>
      </c>
      <c r="L80" s="17" t="n">
        <f aca="false">IF($G80="","",$G80+$K80)</f>
        <v/>
      </c>
      <c r="M80" s="17" t="n">
        <f aca="false">IF($H80="","",$H80+$K80)</f>
        <v/>
      </c>
      <c r="N80" s="17" t="n">
        <f aca="false">IF($J80="","",$J80+$K80)</f>
        <v/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/>
      </c>
      <c r="P80" s="17" t="n">
        <f aca="false">IF($B$10=0,"",IFERROR(IF($B$4&gt;0,IF($L80="",1/0,$L80*$B$4),0)+IF($B$5&gt;0,IF($M80="",1/0,$M80*$B$5),0)+IF($B$6&gt;0,IF($N80="",1/0,$N80*$B$6),0),""))</f>
        <v/>
      </c>
      <c r="Q80" s="17" t="s">
        <v>47</v>
      </c>
      <c r="R80" s="18" t="n">
        <f aca="false">IF($P80="","",IF($Q80="Y",IFERROR(VLOOKUP($B80,$C$4:$D$13,2,FALSE()),0),0))</f>
        <v/>
      </c>
      <c r="S80" s="17" t="n">
        <f aca="false">IF($P80="","",ROUNDDOWN($P80*$R80,0))</f>
        <v/>
      </c>
      <c r="T80" s="17" t="n">
        <f aca="false">IF($P80="","",$P80-$S80)</f>
        <v/>
      </c>
      <c r="U80" s="17" t="n">
        <f aca="false">IF($T80="","",IF($B$10=0,"",$T80/$B$10))</f>
        <v/>
      </c>
      <c r="V80" s="17" t="n">
        <f aca="false">IF($P80="","",IF($B$10=0,"",$P80/$B$10))</f>
        <v/>
      </c>
      <c r="W80" s="19" t="n">
        <f aca="false">IF($T80="",1000000000000000,$T80)</f>
        <v/>
      </c>
      <c r="XFB80" s="6"/>
      <c r="XFC80" s="3"/>
    </row>
    <row r="81" s="5" collapsed="false" customFormat="true" customHeight="true" hidden="false" ht="28.5" outlineLevel="0">
      <c r="A81" s="16" t="n">
        <f aca="false">IF($T81="","",1+COUNTIF($W$15:$W$894,"&lt;"&amp;W81))</f>
        <v/>
      </c>
      <c r="B81" s="16" t="s">
        <v>6</v>
      </c>
      <c r="C81" s="16" t="s">
        <v>184</v>
      </c>
      <c r="D81" s="20" t="s">
        <v>86</v>
      </c>
      <c r="E81" s="16" t="s">
        <v>26</v>
      </c>
      <c r="F81" s="16" t="s">
        <v>185</v>
      </c>
      <c r="G81" s="17">
        <v>1798</v>
      </c>
      <c r="H81" s="17">
        <v>2167</v>
      </c>
      <c r="I81" s="17"/>
      <c r="J81" s="17">
        <v>1798</v>
      </c>
      <c r="K81" s="17" t="n">
        <f aca="false">IF(AND(IFERROR(SEARCH("현대오일뱅크",$C81),0)&gt;0,IFERROR(SEARCH("직영",$C81),0)&gt;0),$B$13,0)</f>
        <v/>
      </c>
      <c r="L81" s="17" t="n">
        <f aca="false">IF($G81="","",$G81+$K81)</f>
        <v/>
      </c>
      <c r="M81" s="17" t="n">
        <f aca="false">IF($H81="","",$H81+$K81)</f>
        <v/>
      </c>
      <c r="N81" s="17" t="n">
        <f aca="false">IF($J81="","",$J81+$K81)</f>
        <v/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/>
      </c>
      <c r="P81" s="17" t="n">
        <f aca="false">IF($B$10=0,"",IFERROR(IF($B$4&gt;0,IF($L81="",1/0,$L81*$B$4),0)+IF($B$5&gt;0,IF($M81="",1/0,$M81*$B$5),0)+IF($B$6&gt;0,IF($N81="",1/0,$N81*$B$6),0),""))</f>
        <v/>
      </c>
      <c r="Q81" s="17" t="s">
        <v>47</v>
      </c>
      <c r="R81" s="18" t="n">
        <f aca="false">IF($P81="","",IF($Q81="Y",IFERROR(VLOOKUP($B81,$C$4:$D$13,2,FALSE()),0),0))</f>
        <v/>
      </c>
      <c r="S81" s="17" t="n">
        <f aca="false">IF($P81="","",ROUNDDOWN($P81*$R81,0))</f>
        <v/>
      </c>
      <c r="T81" s="17" t="n">
        <f aca="false">IF($P81="","",$P81-$S81)</f>
        <v/>
      </c>
      <c r="U81" s="17" t="n">
        <f aca="false">IF($T81="","",IF($B$10=0,"",$T81/$B$10))</f>
        <v/>
      </c>
      <c r="V81" s="17" t="n">
        <f aca="false">IF($P81="","",IF($B$10=0,"",$P81/$B$10))</f>
        <v/>
      </c>
      <c r="W81" s="19" t="n">
        <f aca="false">IF($T81="",1000000000000000,$T81)</f>
        <v/>
      </c>
      <c r="XFB81" s="6"/>
      <c r="XFC81" s="3"/>
    </row>
    <row r="82" s="5" collapsed="false" customFormat="true" customHeight="true" hidden="false" ht="28.5" outlineLevel="0">
      <c r="A82" s="16" t="n">
        <f aca="false">IF($T82="","",1+COUNTIF($W$15:$W$894,"&lt;"&amp;W82))</f>
        <v/>
      </c>
      <c r="B82" s="16" t="s">
        <v>10</v>
      </c>
      <c r="C82" s="16" t="s">
        <v>186</v>
      </c>
      <c r="D82" s="16" t="s">
        <v>51</v>
      </c>
      <c r="E82" s="16" t="s">
        <v>26</v>
      </c>
      <c r="F82" s="16" t="s">
        <v>187</v>
      </c>
      <c r="G82" s="17">
        <v>1858</v>
      </c>
      <c r="H82" s="17">
        <v>2098</v>
      </c>
      <c r="I82" s="17"/>
      <c r="J82" s="17">
        <v>1878</v>
      </c>
      <c r="K82" s="17" t="n">
        <f aca="false">IF(AND(IFERROR(SEARCH("현대오일뱅크",$C82),0)&gt;0,IFERROR(SEARCH("직영",$C82),0)&gt;0),$B$13,0)</f>
        <v/>
      </c>
      <c r="L82" s="17" t="n">
        <f aca="false">IF($G82="","",$G82+$K82)</f>
        <v/>
      </c>
      <c r="M82" s="17" t="n">
        <f aca="false">IF($H82="","",$H82+$K82)</f>
        <v/>
      </c>
      <c r="N82" s="17" t="n">
        <f aca="false">IF($J82="","",$J82+$K82)</f>
        <v/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/>
      </c>
      <c r="P82" s="17" t="n">
        <f aca="false">IF($B$10=0,"",IFERROR(IF($B$4&gt;0,IF($L82="",1/0,$L82*$B$4),0)+IF($B$5&gt;0,IF($M82="",1/0,$M82*$B$5),0)+IF($B$6&gt;0,IF($N82="",1/0,$N82*$B$6),0),""))</f>
        <v/>
      </c>
      <c r="Q82" s="17" t="s">
        <v>47</v>
      </c>
      <c r="R82" s="18" t="n">
        <f aca="false">IF($P82="","",IF($Q82="Y",IFERROR(VLOOKUP($B82,$C$4:$D$13,2,FALSE()),0),0))</f>
        <v/>
      </c>
      <c r="S82" s="17" t="n">
        <f aca="false">IF($P82="","",ROUNDDOWN($P82*$R82,0))</f>
        <v/>
      </c>
      <c r="T82" s="17" t="n">
        <f aca="false">IF($P82="","",$P82-$S82)</f>
        <v/>
      </c>
      <c r="U82" s="17" t="n">
        <f aca="false">IF($T82="","",IF($B$10=0,"",$T82/$B$10))</f>
        <v/>
      </c>
      <c r="V82" s="17" t="n">
        <f aca="false">IF($P82="","",IF($B$10=0,"",$P82/$B$10))</f>
        <v/>
      </c>
      <c r="W82" s="19" t="n">
        <f aca="false">IF($T82="",1000000000000000,$T82)</f>
        <v/>
      </c>
      <c r="XFB82" s="6"/>
      <c r="XFC82" s="3"/>
    </row>
    <row r="83" s="5" collapsed="false" customFormat="true" customHeight="true" hidden="false" ht="28.5" outlineLevel="0">
      <c r="A83" s="16" t="n">
        <f aca="false">IF($T83="","",1+COUNTIF($W$15:$W$894,"&lt;"&amp;W83))</f>
        <v/>
      </c>
      <c r="B83" s="16" t="s">
        <v>6</v>
      </c>
      <c r="C83" s="16" t="s">
        <v>188</v>
      </c>
      <c r="D83" s="16" t="s">
        <v>45</v>
      </c>
      <c r="E83" s="16" t="s">
        <v>26</v>
      </c>
      <c r="F83" s="16" t="s">
        <v>189</v>
      </c>
      <c r="G83" s="17">
        <v>1819</v>
      </c>
      <c r="H83" s="17">
        <v>2150</v>
      </c>
      <c r="I83" s="17"/>
      <c r="J83" s="17">
        <v>1799</v>
      </c>
      <c r="K83" s="17" t="n">
        <f aca="false">IF(AND(IFERROR(SEARCH("현대오일뱅크",$C83),0)&gt;0,IFERROR(SEARCH("직영",$C83),0)&gt;0),$B$13,0)</f>
        <v/>
      </c>
      <c r="L83" s="17" t="n">
        <f aca="false">IF($G83="","",$G83+$K83)</f>
        <v/>
      </c>
      <c r="M83" s="17" t="n">
        <f aca="false">IF($H83="","",$H83+$K83)</f>
        <v/>
      </c>
      <c r="N83" s="17" t="n">
        <f aca="false">IF($J83="","",$J83+$K83)</f>
        <v/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/>
      </c>
      <c r="P83" s="17" t="n">
        <f aca="false">IF($B$10=0,"",IFERROR(IF($B$4&gt;0,IF($L83="",1/0,$L83*$B$4),0)+IF($B$5&gt;0,IF($M83="",1/0,$M83*$B$5),0)+IF($B$6&gt;0,IF($N83="",1/0,$N83*$B$6),0),""))</f>
        <v/>
      </c>
      <c r="Q83" s="17" t="s">
        <v>47</v>
      </c>
      <c r="R83" s="18" t="n">
        <f aca="false">IF($P83="","",IF($Q83="Y",IFERROR(VLOOKUP($B83,$C$4:$D$13,2,FALSE()),0),0))</f>
        <v/>
      </c>
      <c r="S83" s="17" t="n">
        <f aca="false">IF($P83="","",ROUNDDOWN($P83*$R83,0))</f>
        <v/>
      </c>
      <c r="T83" s="17" t="n">
        <f aca="false">IF($P83="","",$P83-$S83)</f>
        <v/>
      </c>
      <c r="U83" s="17" t="n">
        <f aca="false">IF($T83="","",IF($B$10=0,"",$T83/$B$10))</f>
        <v/>
      </c>
      <c r="V83" s="17" t="n">
        <f aca="false">IF($P83="","",IF($B$10=0,"",$P83/$B$10))</f>
        <v/>
      </c>
      <c r="W83" s="19" t="n">
        <f aca="false">IF($T83="",1000000000000000,$T83)</f>
        <v/>
      </c>
      <c r="XFB83" s="6"/>
      <c r="XFC83" s="3"/>
    </row>
    <row r="84" s="5" collapsed="false" customFormat="true" customHeight="true" hidden="false" ht="28.5" outlineLevel="0">
      <c r="A84" s="16" t="n">
        <f aca="false">IF($T84="","",1+COUNTIF($W$15:$W$894,"&lt;"&amp;W84))</f>
        <v/>
      </c>
      <c r="B84" s="16" t="s">
        <v>6</v>
      </c>
      <c r="C84" s="16" t="s">
        <v>190</v>
      </c>
      <c r="D84" s="16" t="s">
        <v>45</v>
      </c>
      <c r="E84" s="16" t="s">
        <v>26</v>
      </c>
      <c r="F84" s="16" t="s">
        <v>191</v>
      </c>
      <c r="G84" s="17">
        <v>1779</v>
      </c>
      <c r="H84" s="17">
        <v>2210</v>
      </c>
      <c r="I84" s="17"/>
      <c r="J84" s="17">
        <v>1780</v>
      </c>
      <c r="K84" s="17" t="n">
        <f aca="false">IF(AND(IFERROR(SEARCH("현대오일뱅크",$C84),0)&gt;0,IFERROR(SEARCH("직영",$C84),0)&gt;0),$B$13,0)</f>
        <v/>
      </c>
      <c r="L84" s="17" t="n">
        <f aca="false">IF($G84="","",$G84+$K84)</f>
        <v/>
      </c>
      <c r="M84" s="17" t="n">
        <f aca="false">IF($H84="","",$H84+$K84)</f>
        <v/>
      </c>
      <c r="N84" s="17" t="n">
        <f aca="false">IF($J84="","",$J84+$K84)</f>
        <v/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/>
      </c>
      <c r="P84" s="17" t="n">
        <f aca="false">IF($B$10=0,"",IFERROR(IF($B$4&gt;0,IF($L84="",1/0,$L84*$B$4),0)+IF($B$5&gt;0,IF($M84="",1/0,$M84*$B$5),0)+IF($B$6&gt;0,IF($N84="",1/0,$N84*$B$6),0),""))</f>
        <v/>
      </c>
      <c r="Q84" s="17" t="s">
        <v>47</v>
      </c>
      <c r="R84" s="18" t="n">
        <f aca="false">IF($P84="","",IF($Q84="Y",IFERROR(VLOOKUP($B84,$C$4:$D$13,2,FALSE()),0),0))</f>
        <v/>
      </c>
      <c r="S84" s="17" t="n">
        <f aca="false">IF($P84="","",ROUNDDOWN($P84*$R84,0))</f>
        <v/>
      </c>
      <c r="T84" s="17" t="n">
        <f aca="false">IF($P84="","",$P84-$S84)</f>
        <v/>
      </c>
      <c r="U84" s="17" t="n">
        <f aca="false">IF($T84="","",IF($B$10=0,"",$T84/$B$10))</f>
        <v/>
      </c>
      <c r="V84" s="17" t="n">
        <f aca="false">IF($P84="","",IF($B$10=0,"",$P84/$B$10))</f>
        <v/>
      </c>
      <c r="W84" s="19" t="n">
        <f aca="false">IF($T84="",1000000000000000,$T84)</f>
        <v/>
      </c>
      <c r="XFB84" s="6"/>
      <c r="XFC84" s="3"/>
    </row>
    <row r="85" s="5" collapsed="false" customFormat="true" customHeight="true" hidden="false" ht="28.5" outlineLevel="0">
      <c r="A85" s="16" t="n">
        <f aca="false">IF($T85="","",1+COUNTIF($W$15:$W$894,"&lt;"&amp;W85))</f>
        <v/>
      </c>
      <c r="B85" s="16" t="s">
        <v>14</v>
      </c>
      <c r="C85" s="16" t="s">
        <v>192</v>
      </c>
      <c r="D85" s="16" t="s">
        <v>51</v>
      </c>
      <c r="E85" s="16" t="s">
        <v>26</v>
      </c>
      <c r="F85" s="16" t="s">
        <v>193</v>
      </c>
      <c r="G85" s="17">
        <v>1875</v>
      </c>
      <c r="H85" s="17">
        <v>2149</v>
      </c>
      <c r="I85" s="17"/>
      <c r="J85" s="17">
        <v>1869</v>
      </c>
      <c r="K85" s="17" t="n">
        <f aca="false">IF(AND(IFERROR(SEARCH("현대오일뱅크",$C85),0)&gt;0,IFERROR(SEARCH("직영",$C85),0)&gt;0),$B$13,0)</f>
        <v/>
      </c>
      <c r="L85" s="17" t="n">
        <f aca="false">IF($G85="","",$G85+$K85)</f>
        <v/>
      </c>
      <c r="M85" s="17" t="n">
        <f aca="false">IF($H85="","",$H85+$K85)</f>
        <v/>
      </c>
      <c r="N85" s="17" t="n">
        <f aca="false">IF($J85="","",$J85+$K85)</f>
        <v/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/>
      </c>
      <c r="P85" s="17" t="n">
        <f aca="false">IF($B$10=0,"",IFERROR(IF($B$4&gt;0,IF($L85="",1/0,$L85*$B$4),0)+IF($B$5&gt;0,IF($M85="",1/0,$M85*$B$5),0)+IF($B$6&gt;0,IF($N85="",1/0,$N85*$B$6),0),""))</f>
        <v/>
      </c>
      <c r="Q85" s="17" t="s">
        <v>47</v>
      </c>
      <c r="R85" s="18" t="n">
        <f aca="false">IF($P85="","",IF($Q85="Y",IFERROR(VLOOKUP($B85,$C$4:$D$13,2,FALSE()),0),0))</f>
        <v/>
      </c>
      <c r="S85" s="17" t="n">
        <f aca="false">IF($P85="","",ROUNDDOWN($P85*$R85,0))</f>
        <v/>
      </c>
      <c r="T85" s="17" t="n">
        <f aca="false">IF($P85="","",$P85-$S85)</f>
        <v/>
      </c>
      <c r="U85" s="17" t="n">
        <f aca="false">IF($T85="","",IF($B$10=0,"",$T85/$B$10))</f>
        <v/>
      </c>
      <c r="V85" s="17" t="n">
        <f aca="false">IF($P85="","",IF($B$10=0,"",$P85/$B$10))</f>
        <v/>
      </c>
      <c r="W85" s="19" t="n">
        <f aca="false">IF($T85="",1000000000000000,$T85)</f>
        <v/>
      </c>
      <c r="XFB85" s="6"/>
      <c r="XFC85" s="3"/>
    </row>
    <row r="86" s="5" collapsed="false" customFormat="true" customHeight="true" hidden="false" ht="28.5" outlineLevel="0">
      <c r="A86" s="16" t="n">
        <f aca="false">IF($T86="","",1+COUNTIF($W$15:$W$894,"&lt;"&amp;W86))</f>
        <v/>
      </c>
      <c r="B86" s="16" t="s">
        <v>6</v>
      </c>
      <c r="C86" s="16" t="s">
        <v>194</v>
      </c>
      <c r="D86" s="16" t="s">
        <v>45</v>
      </c>
      <c r="E86" s="16" t="s">
        <v>26</v>
      </c>
      <c r="F86" s="16" t="s">
        <v>195</v>
      </c>
      <c r="G86" s="17">
        <v>1798</v>
      </c>
      <c r="H86" s="17">
        <v>2197</v>
      </c>
      <c r="I86" s="17"/>
      <c r="J86" s="17">
        <v>1815</v>
      </c>
      <c r="K86" s="17" t="n">
        <f aca="false">IF(AND(IFERROR(SEARCH("현대오일뱅크",$C86),0)&gt;0,IFERROR(SEARCH("직영",$C86),0)&gt;0),$B$13,0)</f>
        <v/>
      </c>
      <c r="L86" s="17" t="n">
        <f aca="false">IF($G86="","",$G86+$K86)</f>
        <v/>
      </c>
      <c r="M86" s="17" t="n">
        <f aca="false">IF($H86="","",$H86+$K86)</f>
        <v/>
      </c>
      <c r="N86" s="17" t="n">
        <f aca="false">IF($J86="","",$J86+$K86)</f>
        <v/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/>
      </c>
      <c r="P86" s="17" t="n">
        <f aca="false">IF($B$10=0,"",IFERROR(IF($B$4&gt;0,IF($L86="",1/0,$L86*$B$4),0)+IF($B$5&gt;0,IF($M86="",1/0,$M86*$B$5),0)+IF($B$6&gt;0,IF($N86="",1/0,$N86*$B$6),0),""))</f>
        <v/>
      </c>
      <c r="Q86" s="17" t="s">
        <v>47</v>
      </c>
      <c r="R86" s="18" t="n">
        <f aca="false">IF($P86="","",IF($Q86="Y",IFERROR(VLOOKUP($B86,$C$4:$D$13,2,FALSE()),0),0))</f>
        <v/>
      </c>
      <c r="S86" s="17" t="n">
        <f aca="false">IF($P86="","",ROUNDDOWN($P86*$R86,0))</f>
        <v/>
      </c>
      <c r="T86" s="17" t="n">
        <f aca="false">IF($P86="","",$P86-$S86)</f>
        <v/>
      </c>
      <c r="U86" s="17" t="n">
        <f aca="false">IF($T86="","",IF($B$10=0,"",$T86/$B$10))</f>
        <v/>
      </c>
      <c r="V86" s="17" t="n">
        <f aca="false">IF($P86="","",IF($B$10=0,"",$P86/$B$10))</f>
        <v/>
      </c>
      <c r="W86" s="19" t="n">
        <f aca="false">IF($T86="",1000000000000000,$T86)</f>
        <v/>
      </c>
      <c r="XFB86" s="6"/>
      <c r="XFC86" s="3"/>
    </row>
    <row r="87" s="5" collapsed="false" customFormat="true" customHeight="true" hidden="false" ht="28.5" outlineLevel="0">
      <c r="A87" s="16" t="n">
        <f aca="false">IF($T87="","",1+COUNTIF($W$15:$W$894,"&lt;"&amp;W87))</f>
        <v/>
      </c>
      <c r="B87" s="16" t="s">
        <v>12</v>
      </c>
      <c r="C87" s="16" t="s">
        <v>196</v>
      </c>
      <c r="D87" s="20" t="s">
        <v>86</v>
      </c>
      <c r="E87" s="16" t="s">
        <v>26</v>
      </c>
      <c r="F87" s="16" t="s">
        <v>197</v>
      </c>
      <c r="G87" s="17">
        <v>1849</v>
      </c>
      <c r="H87" s="17">
        <v>2159</v>
      </c>
      <c r="I87" s="17"/>
      <c r="J87" s="17">
        <v>1849</v>
      </c>
      <c r="K87" s="17" t="n">
        <f aca="false">IF(AND(IFERROR(SEARCH("현대오일뱅크",$C87),0)&gt;0,IFERROR(SEARCH("직영",$C87),0)&gt;0),$B$13,0)</f>
        <v/>
      </c>
      <c r="L87" s="17" t="n">
        <f aca="false">IF($G87="","",$G87+$K87)</f>
        <v/>
      </c>
      <c r="M87" s="17" t="n">
        <f aca="false">IF($H87="","",$H87+$K87)</f>
        <v/>
      </c>
      <c r="N87" s="17" t="n">
        <f aca="false">IF($J87="","",$J87+$K87)</f>
        <v/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/>
      </c>
      <c r="P87" s="17" t="n">
        <f aca="false">IF($B$10=0,"",IFERROR(IF($B$4&gt;0,IF($L87="",1/0,$L87*$B$4),0)+IF($B$5&gt;0,IF($M87="",1/0,$M87*$B$5),0)+IF($B$6&gt;0,IF($N87="",1/0,$N87*$B$6),0),""))</f>
        <v/>
      </c>
      <c r="Q87" s="17" t="s">
        <v>47</v>
      </c>
      <c r="R87" s="18" t="n">
        <f aca="false">IF($P87="","",IF($Q87="Y",IFERROR(VLOOKUP($B87,$C$4:$D$13,2,FALSE()),0),0))</f>
        <v/>
      </c>
      <c r="S87" s="17" t="n">
        <f aca="false">IF($P87="","",ROUNDDOWN($P87*$R87,0))</f>
        <v/>
      </c>
      <c r="T87" s="17" t="n">
        <f aca="false">IF($P87="","",$P87-$S87)</f>
        <v/>
      </c>
      <c r="U87" s="17" t="n">
        <f aca="false">IF($T87="","",IF($B$10=0,"",$T87/$B$10))</f>
        <v/>
      </c>
      <c r="V87" s="17" t="n">
        <f aca="false">IF($P87="","",IF($B$10=0,"",$P87/$B$10))</f>
        <v/>
      </c>
      <c r="W87" s="19" t="n">
        <f aca="false">IF($T87="",1000000000000000,$T87)</f>
        <v/>
      </c>
      <c r="XFB87" s="6"/>
      <c r="XFC87" s="3"/>
    </row>
    <row r="88" s="5" collapsed="false" customFormat="true" customHeight="true" hidden="false" ht="28.5" outlineLevel="0">
      <c r="A88" s="16" t="n">
        <f aca="false">IF($T88="","",1+COUNTIF($W$15:$W$894,"&lt;"&amp;W88))</f>
        <v/>
      </c>
      <c r="B88" s="16" t="s">
        <v>10</v>
      </c>
      <c r="C88" s="16" t="s">
        <v>198</v>
      </c>
      <c r="D88" s="16" t="s">
        <v>51</v>
      </c>
      <c r="E88" s="16" t="s">
        <v>63</v>
      </c>
      <c r="F88" s="16" t="s">
        <v>199</v>
      </c>
      <c r="G88" s="17">
        <v>1858</v>
      </c>
      <c r="H88" s="17">
        <v>2158</v>
      </c>
      <c r="I88" s="17"/>
      <c r="J88" s="17">
        <v>1848</v>
      </c>
      <c r="K88" s="17" t="n">
        <f aca="false">IF(AND(IFERROR(SEARCH("현대오일뱅크",$C88),0)&gt;0,IFERROR(SEARCH("직영",$C88),0)&gt;0),$B$13,0)</f>
        <v/>
      </c>
      <c r="L88" s="17" t="n">
        <f aca="false">IF($G88="","",$G88+$K88)</f>
        <v/>
      </c>
      <c r="M88" s="17" t="n">
        <f aca="false">IF($H88="","",$H88+$K88)</f>
        <v/>
      </c>
      <c r="N88" s="17" t="n">
        <f aca="false">IF($J88="","",$J88+$K88)</f>
        <v/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/>
      </c>
      <c r="P88" s="17" t="n">
        <f aca="false">IF($B$10=0,"",IFERROR(IF($B$4&gt;0,IF($L88="",1/0,$L88*$B$4),0)+IF($B$5&gt;0,IF($M88="",1/0,$M88*$B$5),0)+IF($B$6&gt;0,IF($N88="",1/0,$N88*$B$6),0),""))</f>
        <v/>
      </c>
      <c r="Q88" s="17" t="s">
        <v>47</v>
      </c>
      <c r="R88" s="18" t="n">
        <f aca="false">IF($P88="","",IF($Q88="Y",IFERROR(VLOOKUP($B88,$C$4:$D$13,2,FALSE()),0),0))</f>
        <v/>
      </c>
      <c r="S88" s="17" t="n">
        <f aca="false">IF($P88="","",ROUNDDOWN($P88*$R88,0))</f>
        <v/>
      </c>
      <c r="T88" s="17" t="n">
        <f aca="false">IF($P88="","",$P88-$S88)</f>
        <v/>
      </c>
      <c r="U88" s="17" t="n">
        <f aca="false">IF($T88="","",IF($B$10=0,"",$T88/$B$10))</f>
        <v/>
      </c>
      <c r="V88" s="17" t="n">
        <f aca="false">IF($P88="","",IF($B$10=0,"",$P88/$B$10))</f>
        <v/>
      </c>
      <c r="W88" s="19" t="n">
        <f aca="false">IF($T88="",1000000000000000,$T88)</f>
        <v/>
      </c>
      <c r="XFB88" s="6"/>
      <c r="XFC88" s="3"/>
    </row>
    <row r="89" s="5" collapsed="false" customFormat="true" customHeight="true" hidden="false" ht="28.5" outlineLevel="0">
      <c r="A89" s="16" t="n">
        <f aca="false">IF($T89="","",1+COUNTIF($W$15:$W$894,"&lt;"&amp;W89))</f>
        <v/>
      </c>
      <c r="B89" s="16" t="s">
        <v>10</v>
      </c>
      <c r="C89" s="16" t="s">
        <v>200</v>
      </c>
      <c r="D89" s="20" t="s">
        <v>86</v>
      </c>
      <c r="E89" s="16" t="s">
        <v>26</v>
      </c>
      <c r="F89" s="16" t="s">
        <v>201</v>
      </c>
      <c r="G89" s="17">
        <v>1937</v>
      </c>
      <c r="H89" s="17">
        <v>2097</v>
      </c>
      <c r="I89" s="17"/>
      <c r="J89" s="17">
        <v>1967</v>
      </c>
      <c r="K89" s="17" t="n">
        <f aca="false">IF(AND(IFERROR(SEARCH("현대오일뱅크",$C89),0)&gt;0,IFERROR(SEARCH("직영",$C89),0)&gt;0),$B$13,0)</f>
        <v/>
      </c>
      <c r="L89" s="17" t="n">
        <f aca="false">IF($G89="","",$G89+$K89)</f>
        <v/>
      </c>
      <c r="M89" s="17" t="n">
        <f aca="false">IF($H89="","",$H89+$K89)</f>
        <v/>
      </c>
      <c r="N89" s="17" t="n">
        <f aca="false">IF($J89="","",$J89+$K89)</f>
        <v/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/>
      </c>
      <c r="P89" s="17" t="n">
        <f aca="false">IF($B$10=0,"",IFERROR(IF($B$4&gt;0,IF($L89="",1/0,$L89*$B$4),0)+IF($B$5&gt;0,IF($M89="",1/0,$M89*$B$5),0)+IF($B$6&gt;0,IF($N89="",1/0,$N89*$B$6),0),""))</f>
        <v/>
      </c>
      <c r="Q89" s="17" t="s">
        <v>47</v>
      </c>
      <c r="R89" s="18" t="n">
        <f aca="false">IF($P89="","",IF($Q89="Y",IFERROR(VLOOKUP($B89,$C$4:$D$13,2,FALSE()),0),0))</f>
        <v/>
      </c>
      <c r="S89" s="17" t="n">
        <f aca="false">IF($P89="","",ROUNDDOWN($P89*$R89,0))</f>
        <v/>
      </c>
      <c r="T89" s="17" t="n">
        <f aca="false">IF($P89="","",$P89-$S89)</f>
        <v/>
      </c>
      <c r="U89" s="17" t="n">
        <f aca="false">IF($T89="","",IF($B$10=0,"",$T89/$B$10))</f>
        <v/>
      </c>
      <c r="V89" s="17" t="n">
        <f aca="false">IF($P89="","",IF($B$10=0,"",$P89/$B$10))</f>
        <v/>
      </c>
      <c r="W89" s="19" t="n">
        <f aca="false">IF($T89="",1000000000000000,$T89)</f>
        <v/>
      </c>
      <c r="XFB89" s="6"/>
      <c r="XFC89" s="3"/>
    </row>
    <row r="90" s="6" collapsed="false" customFormat="true" customHeight="true" hidden="false" ht="28.6" outlineLevel="0">
      <c r="A90" s="16" t="n">
        <f aca="false">IF($T90="","",1+COUNTIF($W$15:$W$894,"&lt;"&amp;W90))</f>
        <v/>
      </c>
      <c r="B90" s="16" t="s">
        <v>12</v>
      </c>
      <c r="C90" s="16" t="s">
        <v>212</v>
      </c>
      <c r="D90" s="16" t="s">
        <v>45</v>
      </c>
      <c r="E90" s="16" t="s">
        <v>26</v>
      </c>
      <c r="F90" s="16" t="s">
        <v>213</v>
      </c>
      <c r="G90" s="17">
        <v>1765</v>
      </c>
      <c r="H90" s="17">
        <v>2000</v>
      </c>
      <c r="I90" s="17"/>
      <c r="J90" s="17">
        <v>1764</v>
      </c>
      <c r="K90" s="17" t="n">
        <f aca="false">IF(AND(IFERROR(SEARCH("현대오일뱅크",$C90),0)&gt;0,IFERROR(SEARCH("직영",$C90),0)&gt;0),$B$13,0)</f>
        <v/>
      </c>
      <c r="L90" s="17" t="n">
        <f aca="false">IF($G90="","",$G90+$K90)</f>
        <v/>
      </c>
      <c r="M90" s="17" t="n">
        <f aca="false">IF($H90="","",$H90+$K90)</f>
        <v/>
      </c>
      <c r="N90" s="17" t="n">
        <f aca="false">IF($J90="","",$J90+$K90)</f>
        <v/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/>
      </c>
      <c r="P90" s="17" t="n">
        <f aca="false">IF($B$10=0,"",IFERROR(IF($B$4&gt;0,IF($L90="",1/0,$L90*$B$4),0)+IF($B$5&gt;0,IF($M90="",1/0,$M90*$B$5),0)+IF($B$6&gt;0,IF($N90="",1/0,$N90*$B$6),0),""))</f>
        <v/>
      </c>
      <c r="Q90" s="17"/>
      <c r="R90" s="18" t="n">
        <f aca="false">IF($P90="","",IF($Q90="Y",IFERROR(VLOOKUP($B90,$C$4:$D$13,2,FALSE()),0),0))</f>
        <v/>
      </c>
      <c r="S90" s="17" t="n">
        <f aca="false">IF($P90="","",ROUNDDOWN($P90*$R90,0))</f>
        <v/>
      </c>
      <c r="T90" s="17" t="n">
        <f aca="false">IF($P90="","",$P90-$S90)</f>
        <v/>
      </c>
      <c r="U90" s="17" t="n">
        <f aca="false">IF($T90="","",IF($B$10=0,"",$T90/$B$10))</f>
        <v/>
      </c>
      <c r="V90" s="17" t="n">
        <f aca="false">IF($P90="","",IF($B$10=0,"",$P90/$B$10))</f>
        <v/>
      </c>
      <c r="W90" s="19" t="n">
        <f aca="false">IF($T90="",1000000000000000,$T90)</f>
        <v/>
      </c>
      <c r="XFC90" s="3"/>
    </row>
    <row r="91" s="5" collapsed="false" customFormat="true" customHeight="true" hidden="false" ht="28.5" outlineLevel="0">
      <c r="A91" s="16" t="n">
        <f aca="false">IF($T91="","",1+COUNTIF($W$15:$W$894,"&lt;"&amp;W91))</f>
        <v/>
      </c>
      <c r="B91" s="16" t="s">
        <v>8</v>
      </c>
      <c r="C91" s="16" t="s">
        <v>220</v>
      </c>
      <c r="D91" s="16" t="s">
        <v>45</v>
      </c>
      <c r="E91" s="16" t="s">
        <v>26</v>
      </c>
      <c r="F91" s="16" t="s">
        <v>221</v>
      </c>
      <c r="G91" s="17">
        <v>1768</v>
      </c>
      <c r="H91" s="17">
        <v>2025</v>
      </c>
      <c r="I91" s="17"/>
      <c r="J91" s="17">
        <v>1764</v>
      </c>
      <c r="K91" s="17" t="n">
        <f aca="false">IF(AND(IFERROR(SEARCH("현대오일뱅크",$C91),0)&gt;0,IFERROR(SEARCH("직영",$C91),0)&gt;0),$B$13,0)</f>
        <v/>
      </c>
      <c r="L91" s="17" t="n">
        <f aca="false">IF($G91="","",$G91+$K91)</f>
        <v/>
      </c>
      <c r="M91" s="17" t="n">
        <f aca="false">IF($H91="","",$H91+$K91)</f>
        <v/>
      </c>
      <c r="N91" s="17" t="n">
        <f aca="false">IF($J91="","",$J91+$K91)</f>
        <v/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/>
      </c>
      <c r="P91" s="17" t="n">
        <f aca="false">IF($B$10=0,"",IFERROR(IF($B$4&gt;0,IF($L91="",1/0,$L91*$B$4),0)+IF($B$5&gt;0,IF($M91="",1/0,$M91*$B$5),0)+IF($B$6&gt;0,IF($N91="",1/0,$N91*$B$6),0),""))</f>
        <v/>
      </c>
      <c r="Q91" s="17"/>
      <c r="R91" s="18" t="n">
        <f aca="false">IF($P91="","",IF($Q91="Y",IFERROR(VLOOKUP($B91,$C$4:$D$13,2,FALSE()),0),0))</f>
        <v/>
      </c>
      <c r="S91" s="17" t="n">
        <f aca="false">IF($P91="","",ROUNDDOWN($P91*$R91,0))</f>
        <v/>
      </c>
      <c r="T91" s="17" t="n">
        <f aca="false">IF($P91="","",$P91-$S91)</f>
        <v/>
      </c>
      <c r="U91" s="17" t="n">
        <f aca="false">IF($T91="","",IF($B$10=0,"",$T91/$B$10))</f>
        <v/>
      </c>
      <c r="V91" s="17" t="n">
        <f aca="false">IF($P91="","",IF($B$10=0,"",$P91/$B$10))</f>
        <v/>
      </c>
      <c r="W91" s="19" t="n">
        <f aca="false">IF($T91="",1000000000000000,$T91)</f>
        <v/>
      </c>
      <c r="XFB91" s="6"/>
      <c r="XFC91" s="3"/>
    </row>
    <row r="92" s="5" collapsed="false" customFormat="true" customHeight="true" hidden="false" ht="28.5" outlineLevel="0">
      <c r="A92" s="16" t="n">
        <f aca="false">IF($T92="","",1+COUNTIF($W$15:$W$894,"&lt;"&amp;W92))</f>
        <v/>
      </c>
      <c r="B92" s="16" t="s">
        <v>6</v>
      </c>
      <c r="C92" s="16" t="s">
        <v>202</v>
      </c>
      <c r="D92" s="16" t="s">
        <v>51</v>
      </c>
      <c r="E92" s="16" t="s">
        <v>26</v>
      </c>
      <c r="F92" s="16" t="s">
        <v>203</v>
      </c>
      <c r="G92" s="17">
        <v>1770</v>
      </c>
      <c r="H92" s="17">
        <v>2010</v>
      </c>
      <c r="I92" s="17"/>
      <c r="J92" s="17">
        <v>1748</v>
      </c>
      <c r="K92" s="17" t="n">
        <f aca="false">IF(AND(IFERROR(SEARCH("현대오일뱅크",$C92),0)&gt;0,IFERROR(SEARCH("직영",$C92),0)&gt;0),$B$13,0)</f>
        <v/>
      </c>
      <c r="L92" s="17" t="n">
        <f aca="false">IF($G92="","",$G92+$K92)</f>
        <v/>
      </c>
      <c r="M92" s="17" t="n">
        <f aca="false">IF($H92="","",$H92+$K92)</f>
        <v/>
      </c>
      <c r="N92" s="17" t="n">
        <f aca="false">IF($J92="","",$J92+$K92)</f>
        <v/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/>
      </c>
      <c r="P92" s="17" t="n">
        <f aca="false">IF($B$10=0,"",IFERROR(IF($B$4&gt;0,IF($L92="",1/0,$L92*$B$4),0)+IF($B$5&gt;0,IF($M92="",1/0,$M92*$B$5),0)+IF($B$6&gt;0,IF($N92="",1/0,$N92*$B$6),0),""))</f>
        <v/>
      </c>
      <c r="Q92" s="17"/>
      <c r="R92" s="18" t="n">
        <f aca="false">IF($P92="","",IF($Q92="Y",IFERROR(VLOOKUP($B92,$C$4:$D$13,2,FALSE()),0),0))</f>
        <v/>
      </c>
      <c r="S92" s="17" t="n">
        <f aca="false">IF($P92="","",ROUNDDOWN($P92*$R92,0))</f>
        <v/>
      </c>
      <c r="T92" s="17" t="n">
        <f aca="false">IF($P92="","",$P92-$S92)</f>
        <v/>
      </c>
      <c r="U92" s="17" t="n">
        <f aca="false">IF($T92="","",IF($B$10=0,"",$T92/$B$10))</f>
        <v/>
      </c>
      <c r="V92" s="17" t="n">
        <f aca="false">IF($P92="","",IF($B$10=0,"",$P92/$B$10))</f>
        <v/>
      </c>
      <c r="W92" s="19" t="n">
        <f aca="false">IF($T92="",1000000000000000,$T92)</f>
        <v/>
      </c>
      <c r="XFB92" s="6"/>
      <c r="XFC92" s="3"/>
    </row>
    <row r="93" s="5" collapsed="false" customFormat="true" customHeight="true" hidden="false" ht="28.5" outlineLevel="0">
      <c r="A93" s="16" t="n">
        <f aca="false">IF($T93="","",1+COUNTIF($W$15:$W$894,"&lt;"&amp;W93))</f>
        <v/>
      </c>
      <c r="B93" s="16" t="s">
        <v>10</v>
      </c>
      <c r="C93" s="16" t="s">
        <v>214</v>
      </c>
      <c r="D93" s="20" t="s">
        <v>86</v>
      </c>
      <c r="E93" s="16" t="s">
        <v>26</v>
      </c>
      <c r="F93" s="16" t="s">
        <v>215</v>
      </c>
      <c r="G93" s="17">
        <v>1779</v>
      </c>
      <c r="H93" s="17">
        <v>1999</v>
      </c>
      <c r="I93" s="17"/>
      <c r="J93" s="17">
        <v>1819</v>
      </c>
      <c r="K93" s="17" t="n">
        <f aca="false">IF(AND(IFERROR(SEARCH("현대오일뱅크",$C93),0)&gt;0,IFERROR(SEARCH("직영",$C93),0)&gt;0),$B$13,0)</f>
        <v/>
      </c>
      <c r="L93" s="17" t="n">
        <f aca="false">IF($G93="","",$G93+$K93)</f>
        <v/>
      </c>
      <c r="M93" s="17" t="n">
        <f aca="false">IF($H93="","",$H93+$K93)</f>
        <v/>
      </c>
      <c r="N93" s="17" t="n">
        <f aca="false">IF($J93="","",$J93+$K93)</f>
        <v/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/>
      </c>
      <c r="P93" s="17" t="n">
        <f aca="false">IF($B$10=0,"",IFERROR(IF($B$4&gt;0,IF($L93="",1/0,$L93*$B$4),0)+IF($B$5&gt;0,IF($M93="",1/0,$M93*$B$5),0)+IF($B$6&gt;0,IF($N93="",1/0,$N93*$B$6),0),""))</f>
        <v/>
      </c>
      <c r="Q93" s="17"/>
      <c r="R93" s="18" t="n">
        <f aca="false">IF($P93="","",IF($Q93="Y",IFERROR(VLOOKUP($B93,$C$4:$D$13,2,FALSE()),0),0))</f>
        <v/>
      </c>
      <c r="S93" s="17" t="n">
        <f aca="false">IF($P93="","",ROUNDDOWN($P93*$R93,0))</f>
        <v/>
      </c>
      <c r="T93" s="17" t="n">
        <f aca="false">IF($P93="","",$P93-$S93)</f>
        <v/>
      </c>
      <c r="U93" s="17" t="n">
        <f aca="false">IF($T93="","",IF($B$10=0,"",$T93/$B$10))</f>
        <v/>
      </c>
      <c r="V93" s="17" t="n">
        <f aca="false">IF($P93="","",IF($B$10=0,"",$P93/$B$10))</f>
        <v/>
      </c>
      <c r="W93" s="19" t="n">
        <f aca="false">IF($T93="",1000000000000000,$T93)</f>
        <v/>
      </c>
      <c r="XFB93" s="6"/>
      <c r="XFC93" s="3"/>
    </row>
    <row r="94" s="5" collapsed="false" customFormat="true" customHeight="true" hidden="false" ht="28.5" outlineLevel="0">
      <c r="A94" s="16" t="n">
        <f aca="false">IF($T94="","",1+COUNTIF($W$15:$W$894,"&lt;"&amp;W94))</f>
        <v/>
      </c>
      <c r="B94" s="16" t="s">
        <v>6</v>
      </c>
      <c r="C94" s="16" t="s">
        <v>216</v>
      </c>
      <c r="D94" s="16" t="s">
        <v>95</v>
      </c>
      <c r="E94" s="16" t="s">
        <v>26</v>
      </c>
      <c r="F94" s="16" t="s">
        <v>217</v>
      </c>
      <c r="G94" s="17">
        <v>1789</v>
      </c>
      <c r="H94" s="17">
        <v>1987</v>
      </c>
      <c r="I94" s="17"/>
      <c r="J94" s="17">
        <v>1783</v>
      </c>
      <c r="K94" s="17" t="n">
        <f aca="false">IF(AND(IFERROR(SEARCH("현대오일뱅크",$C94),0)&gt;0,IFERROR(SEARCH("직영",$C94),0)&gt;0),$B$13,0)</f>
        <v/>
      </c>
      <c r="L94" s="17" t="n">
        <f aca="false">IF($G94="","",$G94+$K94)</f>
        <v/>
      </c>
      <c r="M94" s="17" t="n">
        <f aca="false">IF($H94="","",$H94+$K94)</f>
        <v/>
      </c>
      <c r="N94" s="17" t="n">
        <f aca="false">IF($J94="","",$J94+$K94)</f>
        <v/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/>
      </c>
      <c r="P94" s="17" t="n">
        <f aca="false">IF($B$10=0,"",IFERROR(IF($B$4&gt;0,IF($L94="",1/0,$L94*$B$4),0)+IF($B$5&gt;0,IF($M94="",1/0,$M94*$B$5),0)+IF($B$6&gt;0,IF($N94="",1/0,$N94*$B$6),0),""))</f>
        <v/>
      </c>
      <c r="Q94" s="17"/>
      <c r="R94" s="18" t="n">
        <f aca="false">IF($P94="","",IF($Q94="Y",IFERROR(VLOOKUP($B94,$C$4:$D$13,2,FALSE()),0),0))</f>
        <v/>
      </c>
      <c r="S94" s="17" t="n">
        <f aca="false">IF($P94="","",ROUNDDOWN($P94*$R94,0))</f>
        <v/>
      </c>
      <c r="T94" s="17" t="n">
        <f aca="false">IF($P94="","",$P94-$S94)</f>
        <v/>
      </c>
      <c r="U94" s="17" t="n">
        <f aca="false">IF($T94="","",IF($B$10=0,"",$T94/$B$10))</f>
        <v/>
      </c>
      <c r="V94" s="17" t="n">
        <f aca="false">IF($P94="","",IF($B$10=0,"",$P94/$B$10))</f>
        <v/>
      </c>
      <c r="W94" s="19" t="n">
        <f aca="false">IF($T94="",1000000000000000,$T94)</f>
        <v/>
      </c>
      <c r="XFB94" s="6"/>
      <c r="XFC94" s="3"/>
    </row>
    <row r="95" s="5" collapsed="false" customFormat="true" customHeight="true" hidden="false" ht="28.5" outlineLevel="0">
      <c r="A95" s="16" t="n">
        <f aca="false">IF($T95="","",1+COUNTIF($W$15:$W$894,"&lt;"&amp;W95))</f>
        <v/>
      </c>
      <c r="B95" s="16" t="s">
        <v>12</v>
      </c>
      <c r="C95" s="16" t="s">
        <v>222</v>
      </c>
      <c r="D95" s="20" t="s">
        <v>45</v>
      </c>
      <c r="E95" s="16" t="s">
        <v>26</v>
      </c>
      <c r="F95" s="16" t="s">
        <v>224</v>
      </c>
      <c r="G95" s="17">
        <v>1768</v>
      </c>
      <c r="H95" s="17">
        <v>2049</v>
      </c>
      <c r="I95" s="17"/>
      <c r="J95" s="17">
        <v>1733</v>
      </c>
      <c r="K95" s="17" t="n">
        <f aca="false">IF(AND(IFERROR(SEARCH("현대오일뱅크",$C95),0)&gt;0,IFERROR(SEARCH("직영",$C95),0)&gt;0),$B$13,0)</f>
        <v/>
      </c>
      <c r="L95" s="17" t="n">
        <f aca="false">IF($G95="","",$G95+$K95)</f>
        <v/>
      </c>
      <c r="M95" s="17" t="n">
        <f aca="false">IF($H95="","",$H95+$K95)</f>
        <v/>
      </c>
      <c r="N95" s="17" t="n">
        <f aca="false">IF($J95="","",$J95+$K95)</f>
        <v/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/>
      </c>
      <c r="P95" s="17" t="n">
        <f aca="false">IF($B$10=0,"",IFERROR(IF($B$4&gt;0,IF($L95="",1/0,$L95*$B$4),0)+IF($B$5&gt;0,IF($M95="",1/0,$M95*$B$5),0)+IF($B$6&gt;0,IF($N95="",1/0,$N95*$B$6),0),""))</f>
        <v/>
      </c>
      <c r="Q95" s="17"/>
      <c r="R95" s="18" t="n">
        <f aca="false">IF($P95="","",IF($Q95="Y",IFERROR(VLOOKUP($B95,$C$4:$D$13,2,FALSE()),0),0))</f>
        <v/>
      </c>
      <c r="S95" s="17" t="n">
        <f aca="false">IF($P95="","",ROUNDDOWN($P95*$R95,0))</f>
        <v/>
      </c>
      <c r="T95" s="17" t="n">
        <f aca="false">IF($P95="","",$P95-$S95)</f>
        <v/>
      </c>
      <c r="U95" s="17" t="n">
        <f aca="false">IF($T95="","",IF($B$10=0,"",$T95/$B$10))</f>
        <v/>
      </c>
      <c r="V95" s="17" t="n">
        <f aca="false">IF($P95="","",IF($B$10=0,"",$P95/$B$10))</f>
        <v/>
      </c>
      <c r="W95" s="19" t="n">
        <f aca="false">IF($T95="",1000000000000000,$T95)</f>
        <v/>
      </c>
      <c r="XFB95" s="6"/>
      <c r="XFC95" s="3"/>
    </row>
    <row r="96" s="5" collapsed="false" customFormat="true" customHeight="true" hidden="false" ht="28.5" outlineLevel="0">
      <c r="A96" s="16" t="n">
        <f aca="false">IF($T96="","",1+COUNTIF($W$15:$W$894,"&lt;"&amp;W96))</f>
        <v/>
      </c>
      <c r="B96" s="16" t="s">
        <v>12</v>
      </c>
      <c r="C96" s="16" t="s">
        <v>225</v>
      </c>
      <c r="D96" s="20" t="s">
        <v>45</v>
      </c>
      <c r="E96" s="16" t="s">
        <v>26</v>
      </c>
      <c r="F96" s="16" t="s">
        <v>226</v>
      </c>
      <c r="G96" s="17">
        <v>1798</v>
      </c>
      <c r="H96" s="17">
        <v>1996</v>
      </c>
      <c r="I96" s="17"/>
      <c r="J96" s="17">
        <v>1798</v>
      </c>
      <c r="K96" s="17" t="n">
        <f aca="false">IF(AND(IFERROR(SEARCH("현대오일뱅크",$C96),0)&gt;0,IFERROR(SEARCH("직영",$C96),0)&gt;0),$B$13,0)</f>
        <v/>
      </c>
      <c r="L96" s="17" t="n">
        <f aca="false">IF($G96="","",$G96+$K96)</f>
        <v/>
      </c>
      <c r="M96" s="17" t="n">
        <f aca="false">IF($H96="","",$H96+$K96)</f>
        <v/>
      </c>
      <c r="N96" s="17" t="n">
        <f aca="false">IF($J96="","",$J96+$K96)</f>
        <v/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/>
      </c>
      <c r="P96" s="17" t="n">
        <f aca="false">IF($B$10=0,"",IFERROR(IF($B$4&gt;0,IF($L96="",1/0,$L96*$B$4),0)+IF($B$5&gt;0,IF($M96="",1/0,$M96*$B$5),0)+IF($B$6&gt;0,IF($N96="",1/0,$N96*$B$6),0),""))</f>
        <v/>
      </c>
      <c r="Q96" s="17"/>
      <c r="R96" s="18" t="n">
        <f aca="false">IF($P96="","",IF($Q96="Y",IFERROR(VLOOKUP($B96,$C$4:$D$13,2,FALSE()),0),0))</f>
        <v/>
      </c>
      <c r="S96" s="17" t="n">
        <f aca="false">IF($P96="","",ROUNDDOWN($P96*$R96,0))</f>
        <v/>
      </c>
      <c r="T96" s="17" t="n">
        <f aca="false">IF($P96="","",$P96-$S96)</f>
        <v/>
      </c>
      <c r="U96" s="17" t="n">
        <f aca="false">IF($T96="","",IF($B$10=0,"",$T96/$B$10))</f>
        <v/>
      </c>
      <c r="V96" s="17" t="n">
        <f aca="false">IF($P96="","",IF($B$10=0,"",$P96/$B$10))</f>
        <v/>
      </c>
      <c r="W96" s="19" t="n">
        <f aca="false">IF($T96="",1000000000000000,$T96)</f>
        <v/>
      </c>
      <c r="XFB96" s="6"/>
      <c r="XFC96" s="3"/>
    </row>
    <row r="97" s="5" collapsed="false" customFormat="true" customHeight="true" hidden="false" ht="28.5" outlineLevel="0">
      <c r="A97" s="16" t="n">
        <f aca="false">IF($T97="","",1+COUNTIF($W$15:$W$894,"&lt;"&amp;W97))</f>
        <v/>
      </c>
      <c r="B97" s="16" t="s">
        <v>10</v>
      </c>
      <c r="C97" s="16" t="s">
        <v>227</v>
      </c>
      <c r="D97" s="16" t="s">
        <v>45</v>
      </c>
      <c r="E97" s="16" t="s">
        <v>26</v>
      </c>
      <c r="F97" s="16" t="s">
        <v>228</v>
      </c>
      <c r="G97" s="17">
        <v>1780</v>
      </c>
      <c r="H97" s="17">
        <v>2043</v>
      </c>
      <c r="I97" s="17"/>
      <c r="J97" s="17">
        <v>1764</v>
      </c>
      <c r="K97" s="17" t="n">
        <f aca="false">IF(AND(IFERROR(SEARCH("현대오일뱅크",$C97),0)&gt;0,IFERROR(SEARCH("직영",$C97),0)&gt;0),$B$13,0)</f>
        <v/>
      </c>
      <c r="L97" s="17" t="n">
        <f aca="false">IF($G97="","",$G97+$K97)</f>
        <v/>
      </c>
      <c r="M97" s="17" t="n">
        <f aca="false">IF($H97="","",$H97+$K97)</f>
        <v/>
      </c>
      <c r="N97" s="17" t="n">
        <f aca="false">IF($J97="","",$J97+$K97)</f>
        <v/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/>
      </c>
      <c r="P97" s="17" t="n">
        <f aca="false">IF($B$10=0,"",IFERROR(IF($B$4&gt;0,IF($L97="",1/0,$L97*$B$4),0)+IF($B$5&gt;0,IF($M97="",1/0,$M97*$B$5),0)+IF($B$6&gt;0,IF($N97="",1/0,$N97*$B$6),0),""))</f>
        <v/>
      </c>
      <c r="Q97" s="17"/>
      <c r="R97" s="18" t="n">
        <f aca="false">IF($P97="","",IF($Q97="Y",IFERROR(VLOOKUP($B97,$C$4:$D$13,2,FALSE()),0),0))</f>
        <v/>
      </c>
      <c r="S97" s="17" t="n">
        <f aca="false">IF($P97="","",ROUNDDOWN($P97*$R97,0))</f>
        <v/>
      </c>
      <c r="T97" s="17" t="n">
        <f aca="false">IF($P97="","",$P97-$S97)</f>
        <v/>
      </c>
      <c r="U97" s="17" t="n">
        <f aca="false">IF($T97="","",IF($B$10=0,"",$T97/$B$10))</f>
        <v/>
      </c>
      <c r="V97" s="17" t="n">
        <f aca="false">IF($P97="","",IF($B$10=0,"",$P97/$B$10))</f>
        <v/>
      </c>
      <c r="W97" s="19" t="n">
        <f aca="false">IF($T97="",1000000000000000,$T97)</f>
        <v/>
      </c>
      <c r="XFB97" s="6"/>
      <c r="XFC97" s="3"/>
    </row>
    <row r="98" s="5" collapsed="false" customFormat="true" customHeight="true" hidden="false" ht="28.5" outlineLevel="0">
      <c r="A98" s="16" t="n">
        <f aca="false">IF($T98="","",1+COUNTIF($W$15:$W$894,"&lt;"&amp;W98))</f>
        <v/>
      </c>
      <c r="B98" s="16" t="s">
        <v>12</v>
      </c>
      <c r="C98" s="16" t="s">
        <v>229</v>
      </c>
      <c r="D98" s="20" t="s">
        <v>45</v>
      </c>
      <c r="E98" s="16" t="s">
        <v>26</v>
      </c>
      <c r="F98" s="16" t="s">
        <v>230</v>
      </c>
      <c r="G98" s="17">
        <v>1768</v>
      </c>
      <c r="H98" s="17">
        <v>2059</v>
      </c>
      <c r="I98" s="17"/>
      <c r="J98" s="17">
        <v>1753</v>
      </c>
      <c r="K98" s="17" t="n">
        <f aca="false">IF(AND(IFERROR(SEARCH("현대오일뱅크",$C98),0)&gt;0,IFERROR(SEARCH("직영",$C98),0)&gt;0),$B$13,0)</f>
        <v/>
      </c>
      <c r="L98" s="17" t="n">
        <f aca="false">IF($G98="","",$G98+$K98)</f>
        <v/>
      </c>
      <c r="M98" s="17" t="n">
        <f aca="false">IF($H98="","",$H98+$K98)</f>
        <v/>
      </c>
      <c r="N98" s="17" t="n">
        <f aca="false">IF($J98="","",$J98+$K98)</f>
        <v/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/>
      </c>
      <c r="P98" s="17" t="n">
        <f aca="false">IF($B$10=0,"",IFERROR(IF($B$4&gt;0,IF($L98="",1/0,$L98*$B$4),0)+IF($B$5&gt;0,IF($M98="",1/0,$M98*$B$5),0)+IF($B$6&gt;0,IF($N98="",1/0,$N98*$B$6),0),""))</f>
        <v/>
      </c>
      <c r="Q98" s="17"/>
      <c r="R98" s="18" t="n">
        <f aca="false">IF($P98="","",IF($Q98="Y",IFERROR(VLOOKUP($B98,$C$4:$D$13,2,FALSE()),0),0))</f>
        <v/>
      </c>
      <c r="S98" s="17" t="n">
        <f aca="false">IF($P98="","",ROUNDDOWN($P98*$R98,0))</f>
        <v/>
      </c>
      <c r="T98" s="17" t="n">
        <f aca="false">IF($P98="","",$P98-$S98)</f>
        <v/>
      </c>
      <c r="U98" s="17" t="n">
        <f aca="false">IF($T98="","",IF($B$10=0,"",$T98/$B$10))</f>
        <v/>
      </c>
      <c r="V98" s="17" t="n">
        <f aca="false">IF($P98="","",IF($B$10=0,"",$P98/$B$10))</f>
        <v/>
      </c>
      <c r="W98" s="19" t="n">
        <f aca="false">IF($T98="",1000000000000000,$T98)</f>
        <v/>
      </c>
      <c r="XFB98" s="6"/>
      <c r="XFC98" s="3"/>
    </row>
    <row r="99" s="5" collapsed="false" customFormat="true" customHeight="true" hidden="false" ht="28.5" outlineLevel="0">
      <c r="A99" s="16" t="n">
        <f aca="false">IF($T99="","",1+COUNTIF($W$15:$W$894,"&lt;"&amp;W99))</f>
        <v/>
      </c>
      <c r="B99" s="16" t="s">
        <v>8</v>
      </c>
      <c r="C99" s="16" t="s">
        <v>231</v>
      </c>
      <c r="D99" s="16" t="s">
        <v>45</v>
      </c>
      <c r="E99" s="16" t="s">
        <v>26</v>
      </c>
      <c r="F99" s="16" t="s">
        <v>232</v>
      </c>
      <c r="G99" s="17">
        <v>1782</v>
      </c>
      <c r="H99" s="17">
        <v>2044</v>
      </c>
      <c r="I99" s="17"/>
      <c r="J99" s="17">
        <v>1763</v>
      </c>
      <c r="K99" s="17" t="n">
        <f aca="false">IF(AND(IFERROR(SEARCH("현대오일뱅크",$C99),0)&gt;0,IFERROR(SEARCH("직영",$C99),0)&gt;0),$B$13,0)</f>
        <v/>
      </c>
      <c r="L99" s="17" t="n">
        <f aca="false">IF($G99="","",$G99+$K99)</f>
        <v/>
      </c>
      <c r="M99" s="17" t="n">
        <f aca="false">IF($H99="","",$H99+$K99)</f>
        <v/>
      </c>
      <c r="N99" s="17" t="n">
        <f aca="false">IF($J99="","",$J99+$K99)</f>
        <v/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/>
      </c>
      <c r="P99" s="17" t="n">
        <f aca="false">IF($B$10=0,"",IFERROR(IF($B$4&gt;0,IF($L99="",1/0,$L99*$B$4),0)+IF($B$5&gt;0,IF($M99="",1/0,$M99*$B$5),0)+IF($B$6&gt;0,IF($N99="",1/0,$N99*$B$6),0),""))</f>
        <v/>
      </c>
      <c r="Q99" s="17"/>
      <c r="R99" s="18" t="n">
        <f aca="false">IF($P99="","",IF($Q99="Y",IFERROR(VLOOKUP($B99,$C$4:$D$13,2,FALSE()),0),0))</f>
        <v/>
      </c>
      <c r="S99" s="17" t="n">
        <f aca="false">IF($P99="","",ROUNDDOWN($P99*$R99,0))</f>
        <v/>
      </c>
      <c r="T99" s="17" t="n">
        <f aca="false">IF($P99="","",$P99-$S99)</f>
        <v/>
      </c>
      <c r="U99" s="17" t="n">
        <f aca="false">IF($T99="","",IF($B$10=0,"",$T99/$B$10))</f>
        <v/>
      </c>
      <c r="V99" s="17" t="n">
        <f aca="false">IF($P99="","",IF($B$10=0,"",$P99/$B$10))</f>
        <v/>
      </c>
      <c r="W99" s="19" t="n">
        <f aca="false">IF($T99="",1000000000000000,$T99)</f>
        <v/>
      </c>
      <c r="XFB99" s="6"/>
      <c r="XFC99" s="3"/>
    </row>
    <row r="100" s="5" collapsed="false" customFormat="true" customHeight="true" hidden="false" ht="28.5" outlineLevel="0">
      <c r="A100" s="16" t="n">
        <f aca="false">IF($T100="","",1+COUNTIF($W$15:$W$894,"&lt;"&amp;W100))</f>
        <v/>
      </c>
      <c r="B100" s="16" t="s">
        <v>10</v>
      </c>
      <c r="C100" s="16" t="s">
        <v>204</v>
      </c>
      <c r="D100" s="16" t="s">
        <v>51</v>
      </c>
      <c r="E100" s="16" t="s">
        <v>26</v>
      </c>
      <c r="F100" s="16" t="s">
        <v>205</v>
      </c>
      <c r="G100" s="17">
        <v>1773</v>
      </c>
      <c r="H100" s="17">
        <v>2033</v>
      </c>
      <c r="I100" s="17"/>
      <c r="J100" s="17">
        <v>1750</v>
      </c>
      <c r="K100" s="17" t="n">
        <f aca="false">IF(AND(IFERROR(SEARCH("현대오일뱅크",$C100),0)&gt;0,IFERROR(SEARCH("직영",$C100),0)&gt;0),$B$13,0)</f>
        <v/>
      </c>
      <c r="L100" s="17" t="n">
        <f aca="false">IF($G100="","",$G100+$K100)</f>
        <v/>
      </c>
      <c r="M100" s="17" t="n">
        <f aca="false">IF($H100="","",$H100+$K100)</f>
        <v/>
      </c>
      <c r="N100" s="17" t="n">
        <f aca="false">IF($J100="","",$J100+$K100)</f>
        <v/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/>
      </c>
      <c r="P100" s="17" t="n">
        <f aca="false">IF($B$10=0,"",IFERROR(IF($B$4&gt;0,IF($L100="",1/0,$L100*$B$4),0)+IF($B$5&gt;0,IF($M100="",1/0,$M100*$B$5),0)+IF($B$6&gt;0,IF($N100="",1/0,$N100*$B$6),0),""))</f>
        <v/>
      </c>
      <c r="Q100" s="17"/>
      <c r="R100" s="18" t="n">
        <f aca="false">IF($P100="","",IF($Q100="Y",IFERROR(VLOOKUP($B100,$C$4:$D$13,2,FALSE()),0),0))</f>
        <v/>
      </c>
      <c r="S100" s="17" t="n">
        <f aca="false">IF($P100="","",ROUNDDOWN($P100*$R100,0))</f>
        <v/>
      </c>
      <c r="T100" s="17" t="n">
        <f aca="false">IF($P100="","",$P100-$S100)</f>
        <v/>
      </c>
      <c r="U100" s="17" t="n">
        <f aca="false">IF($T100="","",IF($B$10=0,"",$T100/$B$10))</f>
        <v/>
      </c>
      <c r="V100" s="17" t="n">
        <f aca="false">IF($P100="","",IF($B$10=0,"",$P100/$B$10))</f>
        <v/>
      </c>
      <c r="W100" s="19" t="n">
        <f aca="false">IF($T100="",1000000000000000,$T100)</f>
        <v/>
      </c>
      <c r="XFB100" s="6"/>
      <c r="XFC100" s="3"/>
    </row>
    <row r="101" s="5" collapsed="false" customFormat="true" customHeight="true" hidden="false" ht="28.5" outlineLevel="0">
      <c r="A101" s="16" t="n">
        <f aca="false">IF($T101="","",1+COUNTIF($W$15:$W$894,"&lt;"&amp;W101))</f>
        <v/>
      </c>
      <c r="B101" s="16" t="s">
        <v>14</v>
      </c>
      <c r="C101" s="16" t="s">
        <v>249</v>
      </c>
      <c r="D101" s="16" t="s">
        <v>51</v>
      </c>
      <c r="E101" s="16" t="s">
        <v>26</v>
      </c>
      <c r="F101" s="16" t="s">
        <v>250</v>
      </c>
      <c r="G101" s="17">
        <v>1776</v>
      </c>
      <c r="H101" s="17">
        <v>2030</v>
      </c>
      <c r="I101" s="17"/>
      <c r="J101" s="17">
        <v>1746</v>
      </c>
      <c r="K101" s="17" t="n">
        <f aca="false">IF(AND(IFERROR(SEARCH("현대오일뱅크",$C101),0)&gt;0,IFERROR(SEARCH("직영",$C101),0)&gt;0),$B$13,0)</f>
        <v/>
      </c>
      <c r="L101" s="17" t="n">
        <f aca="false">IF($G101="","",$G101+$K101)</f>
        <v/>
      </c>
      <c r="M101" s="17" t="n">
        <f aca="false">IF($H101="","",$H101+$K101)</f>
        <v/>
      </c>
      <c r="N101" s="17" t="n">
        <f aca="false">IF($J101="","",$J101+$K101)</f>
        <v/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/>
      </c>
      <c r="P101" s="17" t="n">
        <f aca="false">IF($B$10=0,"",IFERROR(IF($B$4&gt;0,IF($L101="",1/0,$L101*$B$4),0)+IF($B$5&gt;0,IF($M101="",1/0,$M101*$B$5),0)+IF($B$6&gt;0,IF($N101="",1/0,$N101*$B$6),0),""))</f>
        <v/>
      </c>
      <c r="Q101" s="17"/>
      <c r="R101" s="18" t="n">
        <f aca="false">IF($P101="","",IF($Q101="Y",IFERROR(VLOOKUP($B101,$C$4:$D$13,2,FALSE()),0),0))</f>
        <v/>
      </c>
      <c r="S101" s="17" t="n">
        <f aca="false">IF($P101="","",ROUNDDOWN($P101*$R101,0))</f>
        <v/>
      </c>
      <c r="T101" s="17" t="n">
        <f aca="false">IF($P101="","",$P101-$S101)</f>
        <v/>
      </c>
      <c r="U101" s="17" t="n">
        <f aca="false">IF($T101="","",IF($B$10=0,"",$T101/$B$10))</f>
        <v/>
      </c>
      <c r="V101" s="17" t="n">
        <f aca="false">IF($P101="","",IF($B$10=0,"",$P101/$B$10))</f>
        <v/>
      </c>
      <c r="W101" s="19" t="n">
        <f aca="false">IF($T101="",1000000000000000,$T101)</f>
        <v/>
      </c>
      <c r="XFB101" s="6"/>
      <c r="XFC101" s="3"/>
    </row>
    <row r="102" s="5" collapsed="false" customFormat="true" customHeight="true" hidden="false" ht="28.5" outlineLevel="0">
      <c r="A102" s="16" t="n">
        <f aca="false">IF($T102="","",1+COUNTIF($W$15:$W$894,"&lt;"&amp;W102))</f>
        <v/>
      </c>
      <c r="B102" s="16" t="s">
        <v>10</v>
      </c>
      <c r="C102" s="16" t="s">
        <v>233</v>
      </c>
      <c r="D102" s="20" t="s">
        <v>86</v>
      </c>
      <c r="E102" s="16" t="s">
        <v>26</v>
      </c>
      <c r="F102" s="16" t="s">
        <v>234</v>
      </c>
      <c r="G102" s="17">
        <v>1769</v>
      </c>
      <c r="H102" s="17">
        <v>2039</v>
      </c>
      <c r="I102" s="17"/>
      <c r="J102" s="17">
        <v>1748</v>
      </c>
      <c r="K102" s="17" t="n">
        <f aca="false">IF(AND(IFERROR(SEARCH("현대오일뱅크",$C102),0)&gt;0,IFERROR(SEARCH("직영",$C102),0)&gt;0),$B$13,0)</f>
        <v/>
      </c>
      <c r="L102" s="17" t="n">
        <f aca="false">IF($G102="","",$G102+$K102)</f>
        <v/>
      </c>
      <c r="M102" s="17" t="n">
        <f aca="false">IF($H102="","",$H102+$K102)</f>
        <v/>
      </c>
      <c r="N102" s="17" t="n">
        <f aca="false">IF($J102="","",$J102+$K102)</f>
        <v/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/>
      </c>
      <c r="P102" s="17" t="n">
        <f aca="false">IF($B$10=0,"",IFERROR(IF($B$4&gt;0,IF($L102="",1/0,$L102*$B$4),0)+IF($B$5&gt;0,IF($M102="",1/0,$M102*$B$5),0)+IF($B$6&gt;0,IF($N102="",1/0,$N102*$B$6),0),""))</f>
        <v/>
      </c>
      <c r="Q102" s="17"/>
      <c r="R102" s="18" t="n">
        <f aca="false">IF($P102="","",IF($Q102="Y",IFERROR(VLOOKUP($B102,$C$4:$D$13,2,FALSE()),0),0))</f>
        <v/>
      </c>
      <c r="S102" s="17" t="n">
        <f aca="false">IF($P102="","",ROUNDDOWN($P102*$R102,0))</f>
        <v/>
      </c>
      <c r="T102" s="17" t="n">
        <f aca="false">IF($P102="","",$P102-$S102)</f>
        <v/>
      </c>
      <c r="U102" s="17" t="n">
        <f aca="false">IF($T102="","",IF($B$10=0,"",$T102/$B$10))</f>
        <v/>
      </c>
      <c r="V102" s="17" t="n">
        <f aca="false">IF($P102="","",IF($B$10=0,"",$P102/$B$10))</f>
        <v/>
      </c>
      <c r="W102" s="19" t="n">
        <f aca="false">IF($T102="",1000000000000000,$T102)</f>
        <v/>
      </c>
      <c r="XFB102" s="6"/>
      <c r="XFC102" s="3"/>
    </row>
    <row r="103" s="5" collapsed="false" customFormat="true" customHeight="true" hidden="false" ht="28.5" outlineLevel="0">
      <c r="A103" s="16" t="n">
        <f aca="false">IF($T103="","",1+COUNTIF($W$15:$W$894,"&lt;"&amp;W103))</f>
        <v/>
      </c>
      <c r="B103" s="16" t="s">
        <v>10</v>
      </c>
      <c r="C103" s="16" t="s">
        <v>208</v>
      </c>
      <c r="D103" s="16" t="s">
        <v>51</v>
      </c>
      <c r="E103" s="16" t="s">
        <v>26</v>
      </c>
      <c r="F103" s="16" t="s">
        <v>209</v>
      </c>
      <c r="G103" s="17">
        <v>1777</v>
      </c>
      <c r="H103" s="17">
        <v>2029</v>
      </c>
      <c r="I103" s="17"/>
      <c r="J103" s="17">
        <v>1746</v>
      </c>
      <c r="K103" s="17" t="n">
        <f aca="false">IF(AND(IFERROR(SEARCH("현대오일뱅크",$C103),0)&gt;0,IFERROR(SEARCH("직영",$C103),0)&gt;0),$B$13,0)</f>
        <v/>
      </c>
      <c r="L103" s="17" t="n">
        <f aca="false">IF($G103="","",$G103+$K103)</f>
        <v/>
      </c>
      <c r="M103" s="17" t="n">
        <f aca="false">IF($H103="","",$H103+$K103)</f>
        <v/>
      </c>
      <c r="N103" s="17" t="n">
        <f aca="false">IF($J103="","",$J103+$K103)</f>
        <v/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/>
      </c>
      <c r="P103" s="17" t="n">
        <f aca="false">IF($B$10=0,"",IFERROR(IF($B$4&gt;0,IF($L103="",1/0,$L103*$B$4),0)+IF($B$5&gt;0,IF($M103="",1/0,$M103*$B$5),0)+IF($B$6&gt;0,IF($N103="",1/0,$N103*$B$6),0),""))</f>
        <v/>
      </c>
      <c r="Q103" s="17"/>
      <c r="R103" s="18" t="n">
        <f aca="false">IF($P103="","",IF($Q103="Y",IFERROR(VLOOKUP($B103,$C$4:$D$13,2,FALSE()),0),0))</f>
        <v/>
      </c>
      <c r="S103" s="17" t="n">
        <f aca="false">IF($P103="","",ROUNDDOWN($P103*$R103,0))</f>
        <v/>
      </c>
      <c r="T103" s="17" t="n">
        <f aca="false">IF($P103="","",$P103-$S103)</f>
        <v/>
      </c>
      <c r="U103" s="17" t="n">
        <f aca="false">IF($T103="","",IF($B$10=0,"",$T103/$B$10))</f>
        <v/>
      </c>
      <c r="V103" s="17" t="n">
        <f aca="false">IF($P103="","",IF($B$10=0,"",$P103/$B$10))</f>
        <v/>
      </c>
      <c r="W103" s="19" t="n">
        <f aca="false">IF($T103="",1000000000000000,$T103)</f>
        <v/>
      </c>
      <c r="XFB103" s="6"/>
      <c r="XFC103" s="3"/>
    </row>
    <row r="104" s="5" collapsed="false" customFormat="true" customHeight="true" hidden="false" ht="28.5" outlineLevel="0">
      <c r="A104" s="16" t="n">
        <f aca="false">IF($T104="","",1+COUNTIF($W$15:$W$894,"&lt;"&amp;W104))</f>
        <v/>
      </c>
      <c r="B104" s="16" t="s">
        <v>10</v>
      </c>
      <c r="C104" s="16" t="s">
        <v>235</v>
      </c>
      <c r="D104" s="16" t="s">
        <v>45</v>
      </c>
      <c r="E104" s="16" t="s">
        <v>63</v>
      </c>
      <c r="F104" s="16" t="s">
        <v>236</v>
      </c>
      <c r="G104" s="17">
        <v>1784</v>
      </c>
      <c r="H104" s="17">
        <v>2044</v>
      </c>
      <c r="I104" s="17"/>
      <c r="J104" s="17">
        <v>1754</v>
      </c>
      <c r="K104" s="17" t="n">
        <f aca="false">IF(AND(IFERROR(SEARCH("현대오일뱅크",$C104),0)&gt;0,IFERROR(SEARCH("직영",$C104),0)&gt;0),$B$13,0)</f>
        <v/>
      </c>
      <c r="L104" s="17" t="n">
        <f aca="false">IF($G104="","",$G104+$K104)</f>
        <v/>
      </c>
      <c r="M104" s="17" t="n">
        <f aca="false">IF($H104="","",$H104+$K104)</f>
        <v/>
      </c>
      <c r="N104" s="17" t="n">
        <f aca="false">IF($J104="","",$J104+$K104)</f>
        <v/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/>
      </c>
      <c r="P104" s="17" t="n">
        <f aca="false">IF($B$10=0,"",IFERROR(IF($B$4&gt;0,IF($L104="",1/0,$L104*$B$4),0)+IF($B$5&gt;0,IF($M104="",1/0,$M104*$B$5),0)+IF($B$6&gt;0,IF($N104="",1/0,$N104*$B$6),0),""))</f>
        <v/>
      </c>
      <c r="Q104" s="17"/>
      <c r="R104" s="18" t="n">
        <f aca="false">IF($P104="","",IF($Q104="Y",IFERROR(VLOOKUP($B104,$C$4:$D$13,2,FALSE()),0),0))</f>
        <v/>
      </c>
      <c r="S104" s="17" t="n">
        <f aca="false">IF($P104="","",ROUNDDOWN($P104*$R104,0))</f>
        <v/>
      </c>
      <c r="T104" s="17" t="n">
        <f aca="false">IF($P104="","",$P104-$S104)</f>
        <v/>
      </c>
      <c r="U104" s="17" t="n">
        <f aca="false">IF($T104="","",IF($B$10=0,"",$T104/$B$10))</f>
        <v/>
      </c>
      <c r="V104" s="17" t="n">
        <f aca="false">IF($P104="","",IF($B$10=0,"",$P104/$B$10))</f>
        <v/>
      </c>
      <c r="W104" s="19" t="n">
        <f aca="false">IF($T104="",1000000000000000,$T104)</f>
        <v/>
      </c>
      <c r="XFB104" s="6"/>
      <c r="XFC104" s="3"/>
    </row>
    <row r="105" s="5" collapsed="false" customFormat="true" customHeight="true" hidden="false" ht="28.5" outlineLevel="0">
      <c r="A105" s="16" t="n">
        <f aca="false">IF($T105="","",1+COUNTIF($W$15:$W$894,"&lt;"&amp;W105))</f>
        <v/>
      </c>
      <c r="B105" s="16" t="s">
        <v>10</v>
      </c>
      <c r="C105" s="16" t="s">
        <v>237</v>
      </c>
      <c r="D105" s="16" t="s">
        <v>45</v>
      </c>
      <c r="E105" s="16" t="s">
        <v>26</v>
      </c>
      <c r="F105" s="16" t="s">
        <v>238</v>
      </c>
      <c r="G105" s="17">
        <v>1784</v>
      </c>
      <c r="H105" s="17">
        <v>2044</v>
      </c>
      <c r="I105" s="17"/>
      <c r="J105" s="17">
        <v>1760</v>
      </c>
      <c r="K105" s="17" t="n">
        <f aca="false">IF(AND(IFERROR(SEARCH("현대오일뱅크",$C105),0)&gt;0,IFERROR(SEARCH("직영",$C105),0)&gt;0),$B$13,0)</f>
        <v/>
      </c>
      <c r="L105" s="17" t="n">
        <f aca="false">IF($G105="","",$G105+$K105)</f>
        <v/>
      </c>
      <c r="M105" s="17" t="n">
        <f aca="false">IF($H105="","",$H105+$K105)</f>
        <v/>
      </c>
      <c r="N105" s="17" t="n">
        <f aca="false">IF($J105="","",$J105+$K105)</f>
        <v/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/>
      </c>
      <c r="P105" s="17" t="n">
        <f aca="false">IF($B$10=0,"",IFERROR(IF($B$4&gt;0,IF($L105="",1/0,$L105*$B$4),0)+IF($B$5&gt;0,IF($M105="",1/0,$M105*$B$5),0)+IF($B$6&gt;0,IF($N105="",1/0,$N105*$B$6),0),""))</f>
        <v/>
      </c>
      <c r="Q105" s="17"/>
      <c r="R105" s="18" t="n">
        <f aca="false">IF($P105="","",IF($Q105="Y",IFERROR(VLOOKUP($B105,$C$4:$D$13,2,FALSE()),0),0))</f>
        <v/>
      </c>
      <c r="S105" s="17" t="n">
        <f aca="false">IF($P105="","",ROUNDDOWN($P105*$R105,0))</f>
        <v/>
      </c>
      <c r="T105" s="17" t="n">
        <f aca="false">IF($P105="","",$P105-$S105)</f>
        <v/>
      </c>
      <c r="U105" s="17" t="n">
        <f aca="false">IF($T105="","",IF($B$10=0,"",$T105/$B$10))</f>
        <v/>
      </c>
      <c r="V105" s="17" t="n">
        <f aca="false">IF($P105="","",IF($B$10=0,"",$P105/$B$10))</f>
        <v/>
      </c>
      <c r="W105" s="19" t="n">
        <f aca="false">IF($T105="",1000000000000000,$T105)</f>
        <v/>
      </c>
      <c r="XFB105" s="6"/>
      <c r="XFC105" s="3"/>
    </row>
    <row r="106" s="5" collapsed="false" customFormat="true" customHeight="true" hidden="false" ht="28.5" outlineLevel="0">
      <c r="A106" s="16" t="n">
        <f aca="false">IF($T106="","",1+COUNTIF($W$15:$W$894,"&lt;"&amp;W106))</f>
        <v/>
      </c>
      <c r="B106" s="16" t="s">
        <v>14</v>
      </c>
      <c r="C106" s="16" t="s">
        <v>239</v>
      </c>
      <c r="D106" s="16" t="s">
        <v>51</v>
      </c>
      <c r="E106" s="16" t="s">
        <v>26</v>
      </c>
      <c r="F106" s="16" t="s">
        <v>240</v>
      </c>
      <c r="G106" s="17">
        <v>1785</v>
      </c>
      <c r="H106" s="17">
        <v>2025</v>
      </c>
      <c r="I106" s="17"/>
      <c r="J106" s="17">
        <v>1785</v>
      </c>
      <c r="K106" s="17" t="n">
        <f aca="false">IF(AND(IFERROR(SEARCH("현대오일뱅크",$C106),0)&gt;0,IFERROR(SEARCH("직영",$C106),0)&gt;0),$B$13,0)</f>
        <v/>
      </c>
      <c r="L106" s="17" t="n">
        <f aca="false">IF($G106="","",$G106+$K106)</f>
        <v/>
      </c>
      <c r="M106" s="17" t="n">
        <f aca="false">IF($H106="","",$H106+$K106)</f>
        <v/>
      </c>
      <c r="N106" s="17" t="n">
        <f aca="false">IF($J106="","",$J106+$K106)</f>
        <v/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/>
      </c>
      <c r="P106" s="17" t="n">
        <f aca="false">IF($B$10=0,"",IFERROR(IF($B$4&gt;0,IF($L106="",1/0,$L106*$B$4),0)+IF($B$5&gt;0,IF($M106="",1/0,$M106*$B$5),0)+IF($B$6&gt;0,IF($N106="",1/0,$N106*$B$6),0),""))</f>
        <v/>
      </c>
      <c r="Q106" s="17"/>
      <c r="R106" s="18" t="n">
        <f aca="false">IF($P106="","",IF($Q106="Y",IFERROR(VLOOKUP($B106,$C$4:$D$13,2,FALSE()),0),0))</f>
        <v/>
      </c>
      <c r="S106" s="17" t="n">
        <f aca="false">IF($P106="","",ROUNDDOWN($P106*$R106,0))</f>
        <v/>
      </c>
      <c r="T106" s="17" t="n">
        <f aca="false">IF($P106="","",$P106-$S106)</f>
        <v/>
      </c>
      <c r="U106" s="17" t="n">
        <f aca="false">IF($T106="","",IF($B$10=0,"",$T106/$B$10))</f>
        <v/>
      </c>
      <c r="V106" s="17" t="n">
        <f aca="false">IF($P106="","",IF($B$10=0,"",$P106/$B$10))</f>
        <v/>
      </c>
      <c r="W106" s="19" t="n">
        <f aca="false">IF($T106="",1000000000000000,$T106)</f>
        <v/>
      </c>
      <c r="XFB106" s="6"/>
      <c r="XFC106" s="3"/>
    </row>
    <row r="107" s="5" collapsed="false" customFormat="true" customHeight="true" hidden="false" ht="28.5" outlineLevel="0">
      <c r="A107" s="16" t="n">
        <f aca="false">IF($T107="","",1+COUNTIF($W$15:$W$894,"&lt;"&amp;W107))</f>
        <v/>
      </c>
      <c r="B107" s="16" t="s">
        <v>10</v>
      </c>
      <c r="C107" s="16" t="s">
        <v>206</v>
      </c>
      <c r="D107" s="16" t="s">
        <v>51</v>
      </c>
      <c r="E107" s="16" t="s">
        <v>26</v>
      </c>
      <c r="F107" s="16" t="s">
        <v>207</v>
      </c>
      <c r="G107" s="17">
        <v>1794</v>
      </c>
      <c r="H107" s="17">
        <v>2014</v>
      </c>
      <c r="I107" s="17"/>
      <c r="J107" s="17">
        <v>1749</v>
      </c>
      <c r="K107" s="17" t="n">
        <f aca="false">IF(AND(IFERROR(SEARCH("현대오일뱅크",$C107),0)&gt;0,IFERROR(SEARCH("직영",$C107),0)&gt;0),$B$13,0)</f>
        <v/>
      </c>
      <c r="L107" s="17" t="n">
        <f aca="false">IF($G107="","",$G107+$K107)</f>
        <v/>
      </c>
      <c r="M107" s="17" t="n">
        <f aca="false">IF($H107="","",$H107+$K107)</f>
        <v/>
      </c>
      <c r="N107" s="17" t="n">
        <f aca="false">IF($J107="","",$J107+$K107)</f>
        <v/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/>
      </c>
      <c r="P107" s="17" t="n">
        <f aca="false">IF($B$10=0,"",IFERROR(IF($B$4&gt;0,IF($L107="",1/0,$L107*$B$4),0)+IF($B$5&gt;0,IF($M107="",1/0,$M107*$B$5),0)+IF($B$6&gt;0,IF($N107="",1/0,$N107*$B$6),0),""))</f>
        <v/>
      </c>
      <c r="Q107" s="17"/>
      <c r="R107" s="18" t="n">
        <f aca="false">IF($P107="","",IF($Q107="Y",IFERROR(VLOOKUP($B107,$C$4:$D$13,2,FALSE()),0),0))</f>
        <v/>
      </c>
      <c r="S107" s="17" t="n">
        <f aca="false">IF($P107="","",ROUNDDOWN($P107*$R107,0))</f>
        <v/>
      </c>
      <c r="T107" s="17" t="n">
        <f aca="false">IF($P107="","",$P107-$S107)</f>
        <v/>
      </c>
      <c r="U107" s="17" t="n">
        <f aca="false">IF($T107="","",IF($B$10=0,"",$T107/$B$10))</f>
        <v/>
      </c>
      <c r="V107" s="17" t="n">
        <f aca="false">IF($P107="","",IF($B$10=0,"",$P107/$B$10))</f>
        <v/>
      </c>
      <c r="W107" s="19" t="n">
        <f aca="false">IF($T107="",1000000000000000,$T107)</f>
        <v/>
      </c>
      <c r="XFB107" s="6"/>
      <c r="XFC107" s="3"/>
    </row>
    <row r="108" s="5" collapsed="false" customFormat="true" customHeight="true" hidden="false" ht="28.5" outlineLevel="0">
      <c r="A108" s="16" t="n">
        <f aca="false">IF($T108="","",1+COUNTIF($W$15:$W$894,"&lt;"&amp;W108))</f>
        <v/>
      </c>
      <c r="B108" s="16" t="s">
        <v>10</v>
      </c>
      <c r="C108" s="16" t="s">
        <v>210</v>
      </c>
      <c r="D108" s="16" t="s">
        <v>51</v>
      </c>
      <c r="E108" s="16" t="s">
        <v>26</v>
      </c>
      <c r="F108" s="16" t="s">
        <v>211</v>
      </c>
      <c r="G108" s="17">
        <v>1778</v>
      </c>
      <c r="H108" s="17">
        <v>2038</v>
      </c>
      <c r="I108" s="17"/>
      <c r="J108" s="17">
        <v>1737</v>
      </c>
      <c r="K108" s="17" t="n">
        <f aca="false">IF(AND(IFERROR(SEARCH("현대오일뱅크",$C108),0)&gt;0,IFERROR(SEARCH("직영",$C108),0)&gt;0),$B$13,0)</f>
        <v/>
      </c>
      <c r="L108" s="17" t="n">
        <f aca="false">IF($G108="","",$G108+$K108)</f>
        <v/>
      </c>
      <c r="M108" s="17" t="n">
        <f aca="false">IF($H108="","",$H108+$K108)</f>
        <v/>
      </c>
      <c r="N108" s="17" t="n">
        <f aca="false">IF($J108="","",$J108+$K108)</f>
        <v/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/>
      </c>
      <c r="P108" s="17" t="n">
        <f aca="false">IF($B$10=0,"",IFERROR(IF($B$4&gt;0,IF($L108="",1/0,$L108*$B$4),0)+IF($B$5&gt;0,IF($M108="",1/0,$M108*$B$5),0)+IF($B$6&gt;0,IF($N108="",1/0,$N108*$B$6),0),""))</f>
        <v/>
      </c>
      <c r="Q108" s="17"/>
      <c r="R108" s="18" t="n">
        <f aca="false">IF($P108="","",IF($Q108="Y",IFERROR(VLOOKUP($B108,$C$4:$D$13,2,FALSE()),0),0))</f>
        <v/>
      </c>
      <c r="S108" s="17" t="n">
        <f aca="false">IF($P108="","",ROUNDDOWN($P108*$R108,0))</f>
        <v/>
      </c>
      <c r="T108" s="17" t="n">
        <f aca="false">IF($P108="","",$P108-$S108)</f>
        <v/>
      </c>
      <c r="U108" s="17" t="n">
        <f aca="false">IF($T108="","",IF($B$10=0,"",$T108/$B$10))</f>
        <v/>
      </c>
      <c r="V108" s="17" t="n">
        <f aca="false">IF($P108="","",IF($B$10=0,"",$P108/$B$10))</f>
        <v/>
      </c>
      <c r="W108" s="19" t="n">
        <f aca="false">IF($T108="",1000000000000000,$T108)</f>
        <v/>
      </c>
      <c r="XFB108" s="6"/>
      <c r="XFC108" s="3"/>
    </row>
    <row r="109" s="5" collapsed="false" customFormat="true" customHeight="true" hidden="false" ht="28.5" outlineLevel="0">
      <c r="A109" s="16" t="n">
        <f aca="false">IF($T109="","",1+COUNTIF($W$15:$W$894,"&lt;"&amp;W109))</f>
        <v/>
      </c>
      <c r="B109" s="16" t="s">
        <v>10</v>
      </c>
      <c r="C109" s="16" t="s">
        <v>241</v>
      </c>
      <c r="D109" s="16" t="s">
        <v>56</v>
      </c>
      <c r="E109" s="16" t="s">
        <v>26</v>
      </c>
      <c r="F109" s="16" t="s">
        <v>242</v>
      </c>
      <c r="G109" s="17">
        <v>1770</v>
      </c>
      <c r="H109" s="17">
        <v>2049</v>
      </c>
      <c r="I109" s="17"/>
      <c r="J109" s="17">
        <v>1750</v>
      </c>
      <c r="K109" s="17" t="n">
        <f aca="false">IF(AND(IFERROR(SEARCH("현대오일뱅크",$C109),0)&gt;0,IFERROR(SEARCH("직영",$C109),0)&gt;0),$B$13,0)</f>
        <v/>
      </c>
      <c r="L109" s="17" t="n">
        <f aca="false">IF($G109="","",$G109+$K109)</f>
        <v/>
      </c>
      <c r="M109" s="17" t="n">
        <f aca="false">IF($H109="","",$H109+$K109)</f>
        <v/>
      </c>
      <c r="N109" s="17" t="n">
        <f aca="false">IF($J109="","",$J109+$K109)</f>
        <v/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/>
      </c>
      <c r="P109" s="17" t="n">
        <f aca="false">IF($B$10=0,"",IFERROR(IF($B$4&gt;0,IF($L109="",1/0,$L109*$B$4),0)+IF($B$5&gt;0,IF($M109="",1/0,$M109*$B$5),0)+IF($B$6&gt;0,IF($N109="",1/0,$N109*$B$6),0),""))</f>
        <v/>
      </c>
      <c r="Q109" s="17"/>
      <c r="R109" s="18" t="n">
        <f aca="false">IF($P109="","",IF($Q109="Y",IFERROR(VLOOKUP($B109,$C$4:$D$13,2,FALSE()),0),0))</f>
        <v/>
      </c>
      <c r="S109" s="17" t="n">
        <f aca="false">IF($P109="","",ROUNDDOWN($P109*$R109,0))</f>
        <v/>
      </c>
      <c r="T109" s="17" t="n">
        <f aca="false">IF($P109="","",$P109-$S109)</f>
        <v/>
      </c>
      <c r="U109" s="17" t="n">
        <f aca="false">IF($T109="","",IF($B$10=0,"",$T109/$B$10))</f>
        <v/>
      </c>
      <c r="V109" s="17" t="n">
        <f aca="false">IF($P109="","",IF($B$10=0,"",$P109/$B$10))</f>
        <v/>
      </c>
      <c r="W109" s="19" t="n">
        <f aca="false">IF($T109="",1000000000000000,$T109)</f>
        <v/>
      </c>
      <c r="XFB109" s="6"/>
      <c r="XFC109" s="3"/>
    </row>
    <row r="110" s="5" collapsed="false" customFormat="true" customHeight="true" hidden="false" ht="28.5" outlineLevel="0">
      <c r="A110" s="16" t="n">
        <f aca="false">IF($T110="","",1+COUNTIF($W$15:$W$894,"&lt;"&amp;W110))</f>
        <v/>
      </c>
      <c r="B110" s="16" t="s">
        <v>10</v>
      </c>
      <c r="C110" s="16" t="s">
        <v>243</v>
      </c>
      <c r="D110" s="16" t="s">
        <v>51</v>
      </c>
      <c r="E110" s="16" t="s">
        <v>26</v>
      </c>
      <c r="F110" s="16" t="s">
        <v>244</v>
      </c>
      <c r="G110" s="17">
        <v>1790</v>
      </c>
      <c r="H110" s="17">
        <v>2025</v>
      </c>
      <c r="I110" s="17"/>
      <c r="J110" s="17">
        <v>1783</v>
      </c>
      <c r="K110" s="17" t="n">
        <f aca="false">IF(AND(IFERROR(SEARCH("현대오일뱅크",$C110),0)&gt;0,IFERROR(SEARCH("직영",$C110),0)&gt;0),$B$13,0)</f>
        <v/>
      </c>
      <c r="L110" s="17" t="n">
        <f aca="false">IF($G110="","",$G110+$K110)</f>
        <v/>
      </c>
      <c r="M110" s="17" t="n">
        <f aca="false">IF($H110="","",$H110+$K110)</f>
        <v/>
      </c>
      <c r="N110" s="17" t="n">
        <f aca="false">IF($J110="","",$J110+$K110)</f>
        <v/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/>
      </c>
      <c r="P110" s="17" t="n">
        <f aca="false">IF($B$10=0,"",IFERROR(IF($B$4&gt;0,IF($L110="",1/0,$L110*$B$4),0)+IF($B$5&gt;0,IF($M110="",1/0,$M110*$B$5),0)+IF($B$6&gt;0,IF($N110="",1/0,$N110*$B$6),0),""))</f>
        <v/>
      </c>
      <c r="Q110" s="17"/>
      <c r="R110" s="18" t="n">
        <f aca="false">IF($P110="","",IF($Q110="Y",IFERROR(VLOOKUP($B110,$C$4:$D$13,2,FALSE()),0),0))</f>
        <v/>
      </c>
      <c r="S110" s="17" t="n">
        <f aca="false">IF($P110="","",ROUNDDOWN($P110*$R110,0))</f>
        <v/>
      </c>
      <c r="T110" s="17" t="n">
        <f aca="false">IF($P110="","",$P110-$S110)</f>
        <v/>
      </c>
      <c r="U110" s="17" t="n">
        <f aca="false">IF($T110="","",IF($B$10=0,"",$T110/$B$10))</f>
        <v/>
      </c>
      <c r="V110" s="17" t="n">
        <f aca="false">IF($P110="","",IF($B$10=0,"",$P110/$B$10))</f>
        <v/>
      </c>
      <c r="W110" s="19" t="n">
        <f aca="false">IF($T110="",1000000000000000,$T110)</f>
        <v/>
      </c>
      <c r="XFB110" s="6"/>
      <c r="XFC110" s="3"/>
    </row>
    <row r="111" s="5" collapsed="false" customFormat="true" customHeight="true" hidden="false" ht="28.5" outlineLevel="0">
      <c r="A111" s="16" t="n">
        <f aca="false">IF($T111="","",1+COUNTIF($W$15:$W$894,"&lt;"&amp;W111))</f>
        <v/>
      </c>
      <c r="B111" s="16" t="s">
        <v>10</v>
      </c>
      <c r="C111" s="16" t="s">
        <v>245</v>
      </c>
      <c r="D111" s="16" t="s">
        <v>51</v>
      </c>
      <c r="E111" s="16" t="s">
        <v>26</v>
      </c>
      <c r="F111" s="16" t="s">
        <v>246</v>
      </c>
      <c r="G111" s="17">
        <v>1790</v>
      </c>
      <c r="H111" s="17">
        <v>2025</v>
      </c>
      <c r="I111" s="17"/>
      <c r="J111" s="17">
        <v>1790</v>
      </c>
      <c r="K111" s="17" t="n">
        <f aca="false">IF(AND(IFERROR(SEARCH("현대오일뱅크",$C111),0)&gt;0,IFERROR(SEARCH("직영",$C111),0)&gt;0),$B$13,0)</f>
        <v/>
      </c>
      <c r="L111" s="17" t="n">
        <f aca="false">IF($G111="","",$G111+$K111)</f>
        <v/>
      </c>
      <c r="M111" s="17" t="n">
        <f aca="false">IF($H111="","",$H111+$K111)</f>
        <v/>
      </c>
      <c r="N111" s="17" t="n">
        <f aca="false">IF($J111="","",$J111+$K111)</f>
        <v/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/>
      </c>
      <c r="P111" s="17" t="n">
        <f aca="false">IF($B$10=0,"",IFERROR(IF($B$4&gt;0,IF($L111="",1/0,$L111*$B$4),0)+IF($B$5&gt;0,IF($M111="",1/0,$M111*$B$5),0)+IF($B$6&gt;0,IF($N111="",1/0,$N111*$B$6),0),""))</f>
        <v/>
      </c>
      <c r="Q111" s="17"/>
      <c r="R111" s="18" t="n">
        <f aca="false">IF($P111="","",IF($Q111="Y",IFERROR(VLOOKUP($B111,$C$4:$D$13,2,FALSE()),0),0))</f>
        <v/>
      </c>
      <c r="S111" s="17" t="n">
        <f aca="false">IF($P111="","",ROUNDDOWN($P111*$R111,0))</f>
        <v/>
      </c>
      <c r="T111" s="17" t="n">
        <f aca="false">IF($P111="","",$P111-$S111)</f>
        <v/>
      </c>
      <c r="U111" s="17" t="n">
        <f aca="false">IF($T111="","",IF($B$10=0,"",$T111/$B$10))</f>
        <v/>
      </c>
      <c r="V111" s="17" t="n">
        <f aca="false">IF($P111="","",IF($B$10=0,"",$P111/$B$10))</f>
        <v/>
      </c>
      <c r="W111" s="19" t="n">
        <f aca="false">IF($T111="",1000000000000000,$T111)</f>
        <v/>
      </c>
      <c r="XFB111" s="6"/>
      <c r="XFC111" s="3"/>
    </row>
    <row r="112" s="5" collapsed="false" customFormat="true" customHeight="true" hidden="false" ht="28.5" outlineLevel="0">
      <c r="A112" s="16" t="n">
        <f aca="false">IF($T112="","",1+COUNTIF($W$15:$W$894,"&lt;"&amp;W112))</f>
        <v/>
      </c>
      <c r="B112" s="16" t="s">
        <v>10</v>
      </c>
      <c r="C112" s="16" t="s">
        <v>247</v>
      </c>
      <c r="D112" s="16" t="s">
        <v>45</v>
      </c>
      <c r="E112" s="16" t="s">
        <v>26</v>
      </c>
      <c r="F112" s="16" t="s">
        <v>248</v>
      </c>
      <c r="G112" s="17">
        <v>1794</v>
      </c>
      <c r="H112" s="17">
        <v>2044</v>
      </c>
      <c r="I112" s="17"/>
      <c r="J112" s="17">
        <v>1769</v>
      </c>
      <c r="K112" s="17" t="n">
        <f aca="false">IF(AND(IFERROR(SEARCH("현대오일뱅크",$C112),0)&gt;0,IFERROR(SEARCH("직영",$C112),0)&gt;0),$B$13,0)</f>
        <v/>
      </c>
      <c r="L112" s="17" t="n">
        <f aca="false">IF($G112="","",$G112+$K112)</f>
        <v/>
      </c>
      <c r="M112" s="17" t="n">
        <f aca="false">IF($H112="","",$H112+$K112)</f>
        <v/>
      </c>
      <c r="N112" s="17" t="n">
        <f aca="false">IF($J112="","",$J112+$K112)</f>
        <v/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/>
      </c>
      <c r="P112" s="17" t="n">
        <f aca="false">IF($B$10=0,"",IFERROR(IF($B$4&gt;0,IF($L112="",1/0,$L112*$B$4),0)+IF($B$5&gt;0,IF($M112="",1/0,$M112*$B$5),0)+IF($B$6&gt;0,IF($N112="",1/0,$N112*$B$6),0),""))</f>
        <v/>
      </c>
      <c r="Q112" s="17"/>
      <c r="R112" s="18" t="n">
        <f aca="false">IF($P112="","",IF($Q112="Y",IFERROR(VLOOKUP($B112,$C$4:$D$13,2,FALSE()),0),0))</f>
        <v/>
      </c>
      <c r="S112" s="17" t="n">
        <f aca="false">IF($P112="","",ROUNDDOWN($P112*$R112,0))</f>
        <v/>
      </c>
      <c r="T112" s="17" t="n">
        <f aca="false">IF($P112="","",$P112-$S112)</f>
        <v/>
      </c>
      <c r="U112" s="17" t="n">
        <f aca="false">IF($T112="","",IF($B$10=0,"",$T112/$B$10))</f>
        <v/>
      </c>
      <c r="V112" s="17" t="n">
        <f aca="false">IF($P112="","",IF($B$10=0,"",$P112/$B$10))</f>
        <v/>
      </c>
      <c r="W112" s="19" t="n">
        <f aca="false">IF($T112="",1000000000000000,$T112)</f>
        <v/>
      </c>
      <c r="XFB112" s="6"/>
      <c r="XFC112" s="3"/>
    </row>
    <row r="113" s="5" collapsed="false" customFormat="true" customHeight="true" hidden="false" ht="28.5" outlineLevel="0">
      <c r="A113" s="16" t="n">
        <f aca="false">IF($T113="","",1+COUNTIF($W$15:$W$894,"&lt;"&amp;W113))</f>
        <v/>
      </c>
      <c r="B113" s="16" t="s">
        <v>10</v>
      </c>
      <c r="C113" s="16" t="s">
        <v>251</v>
      </c>
      <c r="D113" s="16" t="s">
        <v>51</v>
      </c>
      <c r="E113" s="16" t="s">
        <v>26</v>
      </c>
      <c r="F113" s="16" t="s">
        <v>252</v>
      </c>
      <c r="G113" s="17">
        <v>1795</v>
      </c>
      <c r="H113" s="17">
        <v>2026</v>
      </c>
      <c r="I113" s="17"/>
      <c r="J113" s="17">
        <v>1785</v>
      </c>
      <c r="K113" s="17" t="n">
        <f aca="false">IF(AND(IFERROR(SEARCH("현대오일뱅크",$C113),0)&gt;0,IFERROR(SEARCH("직영",$C113),0)&gt;0),$B$13,0)</f>
        <v/>
      </c>
      <c r="L113" s="17" t="n">
        <f aca="false">IF($G113="","",$G113+$K113)</f>
        <v/>
      </c>
      <c r="M113" s="17" t="n">
        <f aca="false">IF($H113="","",$H113+$K113)</f>
        <v/>
      </c>
      <c r="N113" s="17" t="n">
        <f aca="false">IF($J113="","",$J113+$K113)</f>
        <v/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/>
      </c>
      <c r="P113" s="17" t="n">
        <f aca="false">IF($B$10=0,"",IFERROR(IF($B$4&gt;0,IF($L113="",1/0,$L113*$B$4),0)+IF($B$5&gt;0,IF($M113="",1/0,$M113*$B$5),0)+IF($B$6&gt;0,IF($N113="",1/0,$N113*$B$6),0),""))</f>
        <v/>
      </c>
      <c r="Q113" s="17"/>
      <c r="R113" s="18" t="n">
        <f aca="false">IF($P113="","",IF($Q113="Y",IFERROR(VLOOKUP($B113,$C$4:$D$13,2,FALSE()),0),0))</f>
        <v/>
      </c>
      <c r="S113" s="17" t="n">
        <f aca="false">IF($P113="","",ROUNDDOWN($P113*$R113,0))</f>
        <v/>
      </c>
      <c r="T113" s="17" t="n">
        <f aca="false">IF($P113="","",$P113-$S113)</f>
        <v/>
      </c>
      <c r="U113" s="17" t="n">
        <f aca="false">IF($T113="","",IF($B$10=0,"",$T113/$B$10))</f>
        <v/>
      </c>
      <c r="V113" s="17" t="n">
        <f aca="false">IF($P113="","",IF($B$10=0,"",$P113/$B$10))</f>
        <v/>
      </c>
      <c r="W113" s="19" t="n">
        <f aca="false">IF($T113="",1000000000000000,$T113)</f>
        <v/>
      </c>
      <c r="XFB113" s="6"/>
      <c r="XFC113" s="3"/>
    </row>
    <row r="114" s="5" collapsed="false" customFormat="true" customHeight="true" hidden="false" ht="28.5" outlineLevel="0">
      <c r="A114" s="16" t="n">
        <f aca="false">IF($T114="","",1+COUNTIF($W$15:$W$894,"&lt;"&amp;W114))</f>
        <v/>
      </c>
      <c r="B114" s="16" t="s">
        <v>14</v>
      </c>
      <c r="C114" s="16" t="s">
        <v>271</v>
      </c>
      <c r="D114" s="16" t="s">
        <v>51</v>
      </c>
      <c r="E114" s="16" t="s">
        <v>26</v>
      </c>
      <c r="F114" s="16" t="s">
        <v>272</v>
      </c>
      <c r="G114" s="17">
        <v>1776</v>
      </c>
      <c r="H114" s="17">
        <v>2050</v>
      </c>
      <c r="I114" s="17"/>
      <c r="J114" s="17">
        <v>1746</v>
      </c>
      <c r="K114" s="17" t="n">
        <f aca="false">IF(AND(IFERROR(SEARCH("현대오일뱅크",$C114),0)&gt;0,IFERROR(SEARCH("직영",$C114),0)&gt;0),$B$13,0)</f>
        <v/>
      </c>
      <c r="L114" s="17" t="n">
        <f aca="false">IF($G114="","",$G114+$K114)</f>
        <v/>
      </c>
      <c r="M114" s="17" t="n">
        <f aca="false">IF($H114="","",$H114+$K114)</f>
        <v/>
      </c>
      <c r="N114" s="17" t="n">
        <f aca="false">IF($J114="","",$J114+$K114)</f>
        <v/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/>
      </c>
      <c r="P114" s="17" t="n">
        <f aca="false">IF($B$10=0,"",IFERROR(IF($B$4&gt;0,IF($L114="",1/0,$L114*$B$4),0)+IF($B$5&gt;0,IF($M114="",1/0,$M114*$B$5),0)+IF($B$6&gt;0,IF($N114="",1/0,$N114*$B$6),0),""))</f>
        <v/>
      </c>
      <c r="Q114" s="17"/>
      <c r="R114" s="18" t="n">
        <f aca="false">IF($P114="","",IF($Q114="Y",IFERROR(VLOOKUP($B114,$C$4:$D$13,2,FALSE()),0),0))</f>
        <v/>
      </c>
      <c r="S114" s="17" t="n">
        <f aca="false">IF($P114="","",ROUNDDOWN($P114*$R114,0))</f>
        <v/>
      </c>
      <c r="T114" s="17" t="n">
        <f aca="false">IF($P114="","",$P114-$S114)</f>
        <v/>
      </c>
      <c r="U114" s="17" t="n">
        <f aca="false">IF($T114="","",IF($B$10=0,"",$T114/$B$10))</f>
        <v/>
      </c>
      <c r="V114" s="17" t="n">
        <f aca="false">IF($P114="","",IF($B$10=0,"",$P114/$B$10))</f>
        <v/>
      </c>
      <c r="W114" s="19" t="n">
        <f aca="false">IF($T114="",1000000000000000,$T114)</f>
        <v/>
      </c>
      <c r="XFB114" s="6"/>
      <c r="XFC114" s="3"/>
    </row>
    <row r="115" s="5" collapsed="false" customFormat="true" customHeight="true" hidden="false" ht="28.5" outlineLevel="0">
      <c r="A115" s="16" t="n">
        <f aca="false">IF($T115="","",1+COUNTIF($W$15:$W$894,"&lt;"&amp;W115))</f>
        <v/>
      </c>
      <c r="B115" s="16" t="s">
        <v>10</v>
      </c>
      <c r="C115" s="16" t="s">
        <v>253</v>
      </c>
      <c r="D115" s="16" t="s">
        <v>45</v>
      </c>
      <c r="E115" s="16" t="s">
        <v>26</v>
      </c>
      <c r="F115" s="16" t="s">
        <v>254</v>
      </c>
      <c r="G115" s="17">
        <v>1799</v>
      </c>
      <c r="H115" s="17">
        <v>2023</v>
      </c>
      <c r="I115" s="17"/>
      <c r="J115" s="17">
        <v>1829</v>
      </c>
      <c r="K115" s="17" t="n">
        <f aca="false">IF(AND(IFERROR(SEARCH("현대오일뱅크",$C115),0)&gt;0,IFERROR(SEARCH("직영",$C115),0)&gt;0),$B$13,0)</f>
        <v/>
      </c>
      <c r="L115" s="17" t="n">
        <f aca="false">IF($G115="","",$G115+$K115)</f>
        <v/>
      </c>
      <c r="M115" s="17" t="n">
        <f aca="false">IF($H115="","",$H115+$K115)</f>
        <v/>
      </c>
      <c r="N115" s="17" t="n">
        <f aca="false">IF($J115="","",$J115+$K115)</f>
        <v/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/>
      </c>
      <c r="P115" s="17" t="n">
        <f aca="false">IF($B$10=0,"",IFERROR(IF($B$4&gt;0,IF($L115="",1/0,$L115*$B$4),0)+IF($B$5&gt;0,IF($M115="",1/0,$M115*$B$5),0)+IF($B$6&gt;0,IF($N115="",1/0,$N115*$B$6),0),""))</f>
        <v/>
      </c>
      <c r="Q115" s="17"/>
      <c r="R115" s="18" t="n">
        <f aca="false">IF($P115="","",IF($Q115="Y",IFERROR(VLOOKUP($B115,$C$4:$D$13,2,FALSE()),0),0))</f>
        <v/>
      </c>
      <c r="S115" s="17" t="n">
        <f aca="false">IF($P115="","",ROUNDDOWN($P115*$R115,0))</f>
        <v/>
      </c>
      <c r="T115" s="17" t="n">
        <f aca="false">IF($P115="","",$P115-$S115)</f>
        <v/>
      </c>
      <c r="U115" s="17" t="n">
        <f aca="false">IF($T115="","",IF($B$10=0,"",$T115/$B$10))</f>
        <v/>
      </c>
      <c r="V115" s="17" t="n">
        <f aca="false">IF($P115="","",IF($B$10=0,"",$P115/$B$10))</f>
        <v/>
      </c>
      <c r="W115" s="19" t="n">
        <f aca="false">IF($T115="",1000000000000000,$T115)</f>
        <v/>
      </c>
      <c r="XFB115" s="6"/>
      <c r="XFC115" s="3"/>
    </row>
    <row r="116" s="5" collapsed="false" customFormat="true" customHeight="true" hidden="false" ht="28.5" outlineLevel="0">
      <c r="A116" s="16" t="n">
        <f aca="false">IF($T116="","",1+COUNTIF($W$15:$W$894,"&lt;"&amp;W116))</f>
        <v/>
      </c>
      <c r="B116" s="16" t="s">
        <v>10</v>
      </c>
      <c r="C116" s="16" t="s">
        <v>255</v>
      </c>
      <c r="D116" s="20" t="s">
        <v>86</v>
      </c>
      <c r="E116" s="16" t="s">
        <v>26</v>
      </c>
      <c r="F116" s="16" t="s">
        <v>256</v>
      </c>
      <c r="G116" s="17">
        <v>1795</v>
      </c>
      <c r="H116" s="17">
        <v>2029</v>
      </c>
      <c r="I116" s="17"/>
      <c r="J116" s="17">
        <v>1795</v>
      </c>
      <c r="K116" s="17" t="n">
        <f aca="false">IF(AND(IFERROR(SEARCH("현대오일뱅크",$C116),0)&gt;0,IFERROR(SEARCH("직영",$C116),0)&gt;0),$B$13,0)</f>
        <v/>
      </c>
      <c r="L116" s="17" t="n">
        <f aca="false">IF($G116="","",$G116+$K116)</f>
        <v/>
      </c>
      <c r="M116" s="17" t="n">
        <f aca="false">IF($H116="","",$H116+$K116)</f>
        <v/>
      </c>
      <c r="N116" s="17" t="n">
        <f aca="false">IF($J116="","",$J116+$K116)</f>
        <v/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/>
      </c>
      <c r="P116" s="17" t="n">
        <f aca="false">IF($B$10=0,"",IFERROR(IF($B$4&gt;0,IF($L116="",1/0,$L116*$B$4),0)+IF($B$5&gt;0,IF($M116="",1/0,$M116*$B$5),0)+IF($B$6&gt;0,IF($N116="",1/0,$N116*$B$6),0),""))</f>
        <v/>
      </c>
      <c r="Q116" s="17"/>
      <c r="R116" s="18" t="n">
        <f aca="false">IF($P116="","",IF($Q116="Y",IFERROR(VLOOKUP($B116,$C$4:$D$13,2,FALSE()),0),0))</f>
        <v/>
      </c>
      <c r="S116" s="17" t="n">
        <f aca="false">IF($P116="","",ROUNDDOWN($P116*$R116,0))</f>
        <v/>
      </c>
      <c r="T116" s="17" t="n">
        <f aca="false">IF($P116="","",$P116-$S116)</f>
        <v/>
      </c>
      <c r="U116" s="17" t="n">
        <f aca="false">IF($T116="","",IF($B$10=0,"",$T116/$B$10))</f>
        <v/>
      </c>
      <c r="V116" s="17" t="n">
        <f aca="false">IF($P116="","",IF($B$10=0,"",$P116/$B$10))</f>
        <v/>
      </c>
      <c r="W116" s="19" t="n">
        <f aca="false">IF($T116="",1000000000000000,$T116)</f>
        <v/>
      </c>
      <c r="XFB116" s="6"/>
      <c r="XFC116" s="3"/>
    </row>
    <row r="117" s="5" collapsed="false" customFormat="true" customHeight="true" hidden="false" ht="28.5" outlineLevel="0">
      <c r="A117" s="16" t="n">
        <f aca="false">IF($T117="","",1+COUNTIF($W$15:$W$894,"&lt;"&amp;W117))</f>
        <v/>
      </c>
      <c r="B117" s="16" t="s">
        <v>12</v>
      </c>
      <c r="C117" s="16" t="s">
        <v>257</v>
      </c>
      <c r="D117" s="20" t="s">
        <v>51</v>
      </c>
      <c r="E117" s="16" t="s">
        <v>26</v>
      </c>
      <c r="F117" s="16" t="s">
        <v>258</v>
      </c>
      <c r="G117" s="17">
        <v>1775</v>
      </c>
      <c r="H117" s="17">
        <v>2055</v>
      </c>
      <c r="I117" s="17"/>
      <c r="J117" s="17">
        <v>1775</v>
      </c>
      <c r="K117" s="17" t="n">
        <f aca="false">IF(AND(IFERROR(SEARCH("현대오일뱅크",$C117),0)&gt;0,IFERROR(SEARCH("직영",$C117),0)&gt;0),$B$13,0)</f>
        <v/>
      </c>
      <c r="L117" s="17" t="n">
        <f aca="false">IF($G117="","",$G117+$K117)</f>
        <v/>
      </c>
      <c r="M117" s="17" t="n">
        <f aca="false">IF($H117="","",$H117+$K117)</f>
        <v/>
      </c>
      <c r="N117" s="17" t="n">
        <f aca="false">IF($J117="","",$J117+$K117)</f>
        <v/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/>
      </c>
      <c r="P117" s="17" t="n">
        <f aca="false">IF($B$10=0,"",IFERROR(IF($B$4&gt;0,IF($L117="",1/0,$L117*$B$4),0)+IF($B$5&gt;0,IF($M117="",1/0,$M117*$B$5),0)+IF($B$6&gt;0,IF($N117="",1/0,$N117*$B$6),0),""))</f>
        <v/>
      </c>
      <c r="Q117" s="17"/>
      <c r="R117" s="18" t="n">
        <f aca="false">IF($P117="","",IF($Q117="Y",IFERROR(VLOOKUP($B117,$C$4:$D$13,2,FALSE()),0),0))</f>
        <v/>
      </c>
      <c r="S117" s="17" t="n">
        <f aca="false">IF($P117="","",ROUNDDOWN($P117*$R117,0))</f>
        <v/>
      </c>
      <c r="T117" s="17" t="n">
        <f aca="false">IF($P117="","",$P117-$S117)</f>
        <v/>
      </c>
      <c r="U117" s="17" t="n">
        <f aca="false">IF($T117="","",IF($B$10=0,"",$T117/$B$10))</f>
        <v/>
      </c>
      <c r="V117" s="17" t="n">
        <f aca="false">IF($P117="","",IF($B$10=0,"",$P117/$B$10))</f>
        <v/>
      </c>
      <c r="W117" s="19" t="n">
        <f aca="false">IF($T117="",1000000000000000,$T117)</f>
        <v/>
      </c>
      <c r="XFB117" s="6"/>
      <c r="XFC117" s="3"/>
    </row>
    <row r="118" s="5" collapsed="false" customFormat="true" customHeight="true" hidden="false" ht="28.5" outlineLevel="0">
      <c r="A118" s="16" t="n">
        <f aca="false">IF($T118="","",1+COUNTIF($W$15:$W$894,"&lt;"&amp;W118))</f>
        <v/>
      </c>
      <c r="B118" s="16" t="s">
        <v>8</v>
      </c>
      <c r="C118" s="16" t="s">
        <v>259</v>
      </c>
      <c r="D118" s="20" t="s">
        <v>86</v>
      </c>
      <c r="E118" s="16" t="s">
        <v>26</v>
      </c>
      <c r="F118" s="16" t="s">
        <v>260</v>
      </c>
      <c r="G118" s="17">
        <v>1788</v>
      </c>
      <c r="H118" s="17">
        <v>2039</v>
      </c>
      <c r="I118" s="17"/>
      <c r="J118" s="17">
        <v>1758</v>
      </c>
      <c r="K118" s="17" t="n">
        <f aca="false">IF(AND(IFERROR(SEARCH("현대오일뱅크",$C118),0)&gt;0,IFERROR(SEARCH("직영",$C118),0)&gt;0),$B$13,0)</f>
        <v/>
      </c>
      <c r="L118" s="17" t="n">
        <f aca="false">IF($G118="","",$G118+$K118)</f>
        <v/>
      </c>
      <c r="M118" s="17" t="n">
        <f aca="false">IF($H118="","",$H118+$K118)</f>
        <v/>
      </c>
      <c r="N118" s="17" t="n">
        <f aca="false">IF($J118="","",$J118+$K118)</f>
        <v/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/>
      </c>
      <c r="P118" s="17" t="n">
        <f aca="false">IF($B$10=0,"",IFERROR(IF($B$4&gt;0,IF($L118="",1/0,$L118*$B$4),0)+IF($B$5&gt;0,IF($M118="",1/0,$M118*$B$5),0)+IF($B$6&gt;0,IF($N118="",1/0,$N118*$B$6),0),""))</f>
        <v/>
      </c>
      <c r="Q118" s="17"/>
      <c r="R118" s="18" t="n">
        <f aca="false">IF($P118="","",IF($Q118="Y",IFERROR(VLOOKUP($B118,$C$4:$D$13,2,FALSE()),0),0))</f>
        <v/>
      </c>
      <c r="S118" s="17" t="n">
        <f aca="false">IF($P118="","",ROUNDDOWN($P118*$R118,0))</f>
        <v/>
      </c>
      <c r="T118" s="17" t="n">
        <f aca="false">IF($P118="","",$P118-$S118)</f>
        <v/>
      </c>
      <c r="U118" s="17" t="n">
        <f aca="false">IF($T118="","",IF($B$10=0,"",$T118/$B$10))</f>
        <v/>
      </c>
      <c r="V118" s="17" t="n">
        <f aca="false">IF($P118="","",IF($B$10=0,"",$P118/$B$10))</f>
        <v/>
      </c>
      <c r="W118" s="19" t="n">
        <f aca="false">IF($T118="",1000000000000000,$T118)</f>
        <v/>
      </c>
      <c r="XFB118" s="6"/>
      <c r="XFC118" s="3"/>
    </row>
    <row r="119" s="5" collapsed="false" customFormat="true" customHeight="true" hidden="false" ht="28.5" outlineLevel="0">
      <c r="A119" s="16" t="n">
        <f aca="false">IF($T119="","",1+COUNTIF($W$15:$W$894,"&lt;"&amp;W119))</f>
        <v/>
      </c>
      <c r="B119" s="16" t="s">
        <v>6</v>
      </c>
      <c r="C119" s="16" t="s">
        <v>261</v>
      </c>
      <c r="D119" s="20" t="s">
        <v>86</v>
      </c>
      <c r="E119" s="16" t="s">
        <v>26</v>
      </c>
      <c r="F119" s="16" t="s">
        <v>262</v>
      </c>
      <c r="G119" s="17">
        <v>1798</v>
      </c>
      <c r="H119" s="17">
        <v>2029</v>
      </c>
      <c r="I119" s="17"/>
      <c r="J119" s="17">
        <v>1779</v>
      </c>
      <c r="K119" s="17" t="n">
        <f aca="false">IF(AND(IFERROR(SEARCH("현대오일뱅크",$C119),0)&gt;0,IFERROR(SEARCH("직영",$C119),0)&gt;0),$B$13,0)</f>
        <v/>
      </c>
      <c r="L119" s="17" t="n">
        <f aca="false">IF($G119="","",$G119+$K119)</f>
        <v/>
      </c>
      <c r="M119" s="17" t="n">
        <f aca="false">IF($H119="","",$H119+$K119)</f>
        <v/>
      </c>
      <c r="N119" s="17" t="n">
        <f aca="false">IF($J119="","",$J119+$K119)</f>
        <v/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/>
      </c>
      <c r="P119" s="17" t="n">
        <f aca="false">IF($B$10=0,"",IFERROR(IF($B$4&gt;0,IF($L119="",1/0,$L119*$B$4),0)+IF($B$5&gt;0,IF($M119="",1/0,$M119*$B$5),0)+IF($B$6&gt;0,IF($N119="",1/0,$N119*$B$6),0),""))</f>
        <v/>
      </c>
      <c r="Q119" s="17"/>
      <c r="R119" s="18" t="n">
        <f aca="false">IF($P119="","",IF($Q119="Y",IFERROR(VLOOKUP($B119,$C$4:$D$13,2,FALSE()),0),0))</f>
        <v/>
      </c>
      <c r="S119" s="17" t="n">
        <f aca="false">IF($P119="","",ROUNDDOWN($P119*$R119,0))</f>
        <v/>
      </c>
      <c r="T119" s="17" t="n">
        <f aca="false">IF($P119="","",$P119-$S119)</f>
        <v/>
      </c>
      <c r="U119" s="17" t="n">
        <f aca="false">IF($T119="","",IF($B$10=0,"",$T119/$B$10))</f>
        <v/>
      </c>
      <c r="V119" s="17" t="n">
        <f aca="false">IF($P119="","",IF($B$10=0,"",$P119/$B$10))</f>
        <v/>
      </c>
      <c r="W119" s="19" t="n">
        <f aca="false">IF($T119="",1000000000000000,$T119)</f>
        <v/>
      </c>
      <c r="XFB119" s="6"/>
      <c r="XFC119" s="3"/>
    </row>
    <row r="120" s="5" collapsed="false" customFormat="true" customHeight="true" hidden="false" ht="28.5" outlineLevel="0">
      <c r="A120" s="16" t="n">
        <f aca="false">IF($T120="","",1+COUNTIF($W$15:$W$894,"&lt;"&amp;W120))</f>
        <v/>
      </c>
      <c r="B120" s="16" t="s">
        <v>10</v>
      </c>
      <c r="C120" s="16" t="s">
        <v>263</v>
      </c>
      <c r="D120" s="16" t="s">
        <v>95</v>
      </c>
      <c r="E120" s="16" t="s">
        <v>26</v>
      </c>
      <c r="F120" s="16" t="s">
        <v>264</v>
      </c>
      <c r="G120" s="17">
        <v>1799</v>
      </c>
      <c r="H120" s="17">
        <v>2029</v>
      </c>
      <c r="I120" s="17"/>
      <c r="J120" s="17">
        <v>1829</v>
      </c>
      <c r="K120" s="17" t="n">
        <f aca="false">IF(AND(IFERROR(SEARCH("현대오일뱅크",$C120),0)&gt;0,IFERROR(SEARCH("직영",$C120),0)&gt;0),$B$13,0)</f>
        <v/>
      </c>
      <c r="L120" s="17" t="n">
        <f aca="false">IF($G120="","",$G120+$K120)</f>
        <v/>
      </c>
      <c r="M120" s="17" t="n">
        <f aca="false">IF($H120="","",$H120+$K120)</f>
        <v/>
      </c>
      <c r="N120" s="17" t="n">
        <f aca="false">IF($J120="","",$J120+$K120)</f>
        <v/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/>
      </c>
      <c r="P120" s="17" t="n">
        <f aca="false">IF($B$10=0,"",IFERROR(IF($B$4&gt;0,IF($L120="",1/0,$L120*$B$4),0)+IF($B$5&gt;0,IF($M120="",1/0,$M120*$B$5),0)+IF($B$6&gt;0,IF($N120="",1/0,$N120*$B$6),0),""))</f>
        <v/>
      </c>
      <c r="Q120" s="17"/>
      <c r="R120" s="18" t="n">
        <f aca="false">IF($P120="","",IF($Q120="Y",IFERROR(VLOOKUP($B120,$C$4:$D$13,2,FALSE()),0),0))</f>
        <v/>
      </c>
      <c r="S120" s="17" t="n">
        <f aca="false">IF($P120="","",ROUNDDOWN($P120*$R120,0))</f>
        <v/>
      </c>
      <c r="T120" s="17" t="n">
        <f aca="false">IF($P120="","",$P120-$S120)</f>
        <v/>
      </c>
      <c r="U120" s="17" t="n">
        <f aca="false">IF($T120="","",IF($B$10=0,"",$T120/$B$10))</f>
        <v/>
      </c>
      <c r="V120" s="17" t="n">
        <f aca="false">IF($P120="","",IF($B$10=0,"",$P120/$B$10))</f>
        <v/>
      </c>
      <c r="W120" s="19" t="n">
        <f aca="false">IF($T120="",1000000000000000,$T120)</f>
        <v/>
      </c>
      <c r="XFB120" s="6"/>
      <c r="XFC120" s="3"/>
    </row>
    <row r="121" s="5" collapsed="false" customFormat="true" customHeight="true" hidden="false" ht="28.5" outlineLevel="0">
      <c r="A121" s="16" t="n">
        <f aca="false">IF($T121="","",1+COUNTIF($W$15:$W$894,"&lt;"&amp;W121))</f>
        <v/>
      </c>
      <c r="B121" s="16" t="s">
        <v>10</v>
      </c>
      <c r="C121" s="16" t="s">
        <v>265</v>
      </c>
      <c r="D121" s="20" t="s">
        <v>86</v>
      </c>
      <c r="E121" s="16" t="s">
        <v>26</v>
      </c>
      <c r="F121" s="16" t="s">
        <v>266</v>
      </c>
      <c r="G121" s="17">
        <v>1799</v>
      </c>
      <c r="H121" s="17">
        <v>2029</v>
      </c>
      <c r="I121" s="17"/>
      <c r="J121" s="17">
        <v>1799</v>
      </c>
      <c r="K121" s="17" t="n">
        <f aca="false">IF(AND(IFERROR(SEARCH("현대오일뱅크",$C121),0)&gt;0,IFERROR(SEARCH("직영",$C121),0)&gt;0),$B$13,0)</f>
        <v/>
      </c>
      <c r="L121" s="17" t="n">
        <f aca="false">IF($G121="","",$G121+$K121)</f>
        <v/>
      </c>
      <c r="M121" s="17" t="n">
        <f aca="false">IF($H121="","",$H121+$K121)</f>
        <v/>
      </c>
      <c r="N121" s="17" t="n">
        <f aca="false">IF($J121="","",$J121+$K121)</f>
        <v/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/>
      </c>
      <c r="P121" s="17" t="n">
        <f aca="false">IF($B$10=0,"",IFERROR(IF($B$4&gt;0,IF($L121="",1/0,$L121*$B$4),0)+IF($B$5&gt;0,IF($M121="",1/0,$M121*$B$5),0)+IF($B$6&gt;0,IF($N121="",1/0,$N121*$B$6),0),""))</f>
        <v/>
      </c>
      <c r="Q121" s="17"/>
      <c r="R121" s="18" t="n">
        <f aca="false">IF($P121="","",IF($Q121="Y",IFERROR(VLOOKUP($B121,$C$4:$D$13,2,FALSE()),0),0))</f>
        <v/>
      </c>
      <c r="S121" s="17" t="n">
        <f aca="false">IF($P121="","",ROUNDDOWN($P121*$R121,0))</f>
        <v/>
      </c>
      <c r="T121" s="17" t="n">
        <f aca="false">IF($P121="","",$P121-$S121)</f>
        <v/>
      </c>
      <c r="U121" s="17" t="n">
        <f aca="false">IF($T121="","",IF($B$10=0,"",$T121/$B$10))</f>
        <v/>
      </c>
      <c r="V121" s="17" t="n">
        <f aca="false">IF($P121="","",IF($B$10=0,"",$P121/$B$10))</f>
        <v/>
      </c>
      <c r="W121" s="19" t="n">
        <f aca="false">IF($T121="",1000000000000000,$T121)</f>
        <v/>
      </c>
      <c r="XFB121" s="6"/>
      <c r="XFC121" s="3"/>
    </row>
    <row r="122" s="5" collapsed="false" customFormat="true" customHeight="true" hidden="false" ht="28.5" outlineLevel="0">
      <c r="A122" s="16" t="n">
        <f aca="false">IF($T122="","",1+COUNTIF($W$15:$W$894,"&lt;"&amp;W122))</f>
        <v/>
      </c>
      <c r="B122" s="16" t="s">
        <v>6</v>
      </c>
      <c r="C122" s="16" t="s">
        <v>218</v>
      </c>
      <c r="D122" s="16" t="s">
        <v>51</v>
      </c>
      <c r="E122" s="16" t="s">
        <v>26</v>
      </c>
      <c r="F122" s="16" t="s">
        <v>219</v>
      </c>
      <c r="G122" s="17">
        <v>1780</v>
      </c>
      <c r="H122" s="17">
        <v>2056</v>
      </c>
      <c r="I122" s="17"/>
      <c r="J122" s="17">
        <v>1760</v>
      </c>
      <c r="K122" s="17" t="n">
        <f aca="false">IF(AND(IFERROR(SEARCH("현대오일뱅크",$C122),0)&gt;0,IFERROR(SEARCH("직영",$C122),0)&gt;0),$B$13,0)</f>
        <v/>
      </c>
      <c r="L122" s="17" t="n">
        <f aca="false">IF($G122="","",$G122+$K122)</f>
        <v/>
      </c>
      <c r="M122" s="17" t="n">
        <f aca="false">IF($H122="","",$H122+$K122)</f>
        <v/>
      </c>
      <c r="N122" s="17" t="n">
        <f aca="false">IF($J122="","",$J122+$K122)</f>
        <v/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/>
      </c>
      <c r="P122" s="17" t="n">
        <f aca="false">IF($B$10=0,"",IFERROR(IF($B$4&gt;0,IF($L122="",1/0,$L122*$B$4),0)+IF($B$5&gt;0,IF($M122="",1/0,$M122*$B$5),0)+IF($B$6&gt;0,IF($N122="",1/0,$N122*$B$6),0),""))</f>
        <v/>
      </c>
      <c r="Q122" s="17"/>
      <c r="R122" s="18" t="n">
        <f aca="false">IF($P122="","",IF($Q122="Y",IFERROR(VLOOKUP($B122,$C$4:$D$13,2,FALSE()),0),0))</f>
        <v/>
      </c>
      <c r="S122" s="17" t="n">
        <f aca="false">IF($P122="","",ROUNDDOWN($P122*$R122,0))</f>
        <v/>
      </c>
      <c r="T122" s="17" t="n">
        <f aca="false">IF($P122="","",$P122-$S122)</f>
        <v/>
      </c>
      <c r="U122" s="17" t="n">
        <f aca="false">IF($T122="","",IF($B$10=0,"",$T122/$B$10))</f>
        <v/>
      </c>
      <c r="V122" s="17" t="n">
        <f aca="false">IF($P122="","",IF($B$10=0,"",$P122/$B$10))</f>
        <v/>
      </c>
      <c r="W122" s="19" t="n">
        <f aca="false">IF($T122="",1000000000000000,$T122)</f>
        <v/>
      </c>
      <c r="XFB122" s="6"/>
      <c r="XFC122" s="3"/>
    </row>
    <row r="123" s="5" collapsed="false" customFormat="true" customHeight="true" hidden="false" ht="28.5" outlineLevel="0">
      <c r="A123" s="16" t="n">
        <f aca="false">IF($T123="","",1+COUNTIF($W$15:$W$894,"&lt;"&amp;W123))</f>
        <v/>
      </c>
      <c r="B123" s="16" t="s">
        <v>18</v>
      </c>
      <c r="C123" s="16" t="s">
        <v>267</v>
      </c>
      <c r="D123" s="20" t="s">
        <v>86</v>
      </c>
      <c r="E123" s="16" t="s">
        <v>26</v>
      </c>
      <c r="F123" s="16" t="s">
        <v>268</v>
      </c>
      <c r="G123" s="17">
        <v>1784</v>
      </c>
      <c r="H123" s="17">
        <v>2055</v>
      </c>
      <c r="I123" s="17"/>
      <c r="J123" s="17">
        <v>1774</v>
      </c>
      <c r="K123" s="17" t="n">
        <f aca="false">IF(AND(IFERROR(SEARCH("현대오일뱅크",$C123),0)&gt;0,IFERROR(SEARCH("직영",$C123),0)&gt;0),$B$13,0)</f>
        <v/>
      </c>
      <c r="L123" s="17" t="n">
        <f aca="false">IF($G123="","",$G123+$K123)</f>
        <v/>
      </c>
      <c r="M123" s="17" t="n">
        <f aca="false">IF($H123="","",$H123+$K123)</f>
        <v/>
      </c>
      <c r="N123" s="17" t="n">
        <f aca="false">IF($J123="","",$J123+$K123)</f>
        <v/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/>
      </c>
      <c r="P123" s="17" t="n">
        <f aca="false">IF($B$10=0,"",IFERROR(IF($B$4&gt;0,IF($L123="",1/0,$L123*$B$4),0)+IF($B$5&gt;0,IF($M123="",1/0,$M123*$B$5),0)+IF($B$6&gt;0,IF($N123="",1/0,$N123*$B$6),0),""))</f>
        <v/>
      </c>
      <c r="Q123" s="17"/>
      <c r="R123" s="18" t="n">
        <f aca="false">IF($P123="","",IF($Q123="Y",IFERROR(VLOOKUP($B123,$C$4:$D$13,2,FALSE()),0),0))</f>
        <v/>
      </c>
      <c r="S123" s="17" t="n">
        <f aca="false">IF($P123="","",ROUNDDOWN($P123*$R123,0))</f>
        <v/>
      </c>
      <c r="T123" s="17" t="n">
        <f aca="false">IF($P123="","",$P123-$S123)</f>
        <v/>
      </c>
      <c r="U123" s="17" t="n">
        <f aca="false">IF($T123="","",IF($B$10=0,"",$T123/$B$10))</f>
        <v/>
      </c>
      <c r="V123" s="17" t="n">
        <f aca="false">IF($P123="","",IF($B$10=0,"",$P123/$B$10))</f>
        <v/>
      </c>
      <c r="W123" s="19" t="n">
        <f aca="false">IF($T123="",1000000000000000,$T123)</f>
        <v/>
      </c>
      <c r="XFB123" s="6"/>
      <c r="XFC123" s="3"/>
    </row>
    <row r="124" s="5" collapsed="false" customFormat="true" customHeight="true" hidden="false" ht="28.5" outlineLevel="0">
      <c r="A124" s="16" t="n">
        <f aca="false">IF($T124="","",1+COUNTIF($W$15:$W$894,"&lt;"&amp;W124))</f>
        <v/>
      </c>
      <c r="B124" s="16" t="s">
        <v>12</v>
      </c>
      <c r="C124" s="16" t="s">
        <v>269</v>
      </c>
      <c r="D124" s="20" t="s">
        <v>86</v>
      </c>
      <c r="E124" s="16" t="s">
        <v>26</v>
      </c>
      <c r="F124" s="16" t="s">
        <v>270</v>
      </c>
      <c r="G124" s="17">
        <v>1798</v>
      </c>
      <c r="H124" s="17">
        <v>2039</v>
      </c>
      <c r="I124" s="17"/>
      <c r="J124" s="17">
        <v>1768</v>
      </c>
      <c r="K124" s="17" t="n">
        <f aca="false">IF(AND(IFERROR(SEARCH("현대오일뱅크",$C124),0)&gt;0,IFERROR(SEARCH("직영",$C124),0)&gt;0),$B$13,0)</f>
        <v/>
      </c>
      <c r="L124" s="17" t="n">
        <f aca="false">IF($G124="","",$G124+$K124)</f>
        <v/>
      </c>
      <c r="M124" s="17" t="n">
        <f aca="false">IF($H124="","",$H124+$K124)</f>
        <v/>
      </c>
      <c r="N124" s="17" t="n">
        <f aca="false">IF($J124="","",$J124+$K124)</f>
        <v/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/>
      </c>
      <c r="P124" s="17" t="n">
        <f aca="false">IF($B$10=0,"",IFERROR(IF($B$4&gt;0,IF($L124="",1/0,$L124*$B$4),0)+IF($B$5&gt;0,IF($M124="",1/0,$M124*$B$5),0)+IF($B$6&gt;0,IF($N124="",1/0,$N124*$B$6),0),""))</f>
        <v/>
      </c>
      <c r="Q124" s="17"/>
      <c r="R124" s="18" t="n">
        <f aca="false">IF($P124="","",IF($Q124="Y",IFERROR(VLOOKUP($B124,$C$4:$D$13,2,FALSE()),0),0))</f>
        <v/>
      </c>
      <c r="S124" s="17" t="n">
        <f aca="false">IF($P124="","",ROUNDDOWN($P124*$R124,0))</f>
        <v/>
      </c>
      <c r="T124" s="17" t="n">
        <f aca="false">IF($P124="","",$P124-$S124)</f>
        <v/>
      </c>
      <c r="U124" s="17" t="n">
        <f aca="false">IF($T124="","",IF($B$10=0,"",$T124/$B$10))</f>
        <v/>
      </c>
      <c r="V124" s="17" t="n">
        <f aca="false">IF($P124="","",IF($B$10=0,"",$P124/$B$10))</f>
        <v/>
      </c>
      <c r="W124" s="19" t="n">
        <f aca="false">IF($T124="",1000000000000000,$T124)</f>
        <v/>
      </c>
      <c r="XFB124" s="6"/>
      <c r="XFC124" s="3"/>
    </row>
    <row r="125" s="5" collapsed="false" customFormat="true" customHeight="true" hidden="false" ht="28.5" outlineLevel="0">
      <c r="A125" s="16" t="n">
        <f aca="false">IF($T125="","",1+COUNTIF($W$15:$W$894,"&lt;"&amp;W125))</f>
        <v/>
      </c>
      <c r="B125" s="16" t="s">
        <v>12</v>
      </c>
      <c r="C125" s="16" t="s">
        <v>273</v>
      </c>
      <c r="D125" s="20" t="s">
        <v>51</v>
      </c>
      <c r="E125" s="16" t="s">
        <v>26</v>
      </c>
      <c r="F125" s="16" t="s">
        <v>274</v>
      </c>
      <c r="G125" s="17">
        <v>1794</v>
      </c>
      <c r="H125" s="17">
        <v>2045</v>
      </c>
      <c r="I125" s="17"/>
      <c r="J125" s="17">
        <v>1794</v>
      </c>
      <c r="K125" s="17" t="n">
        <f aca="false">IF(AND(IFERROR(SEARCH("현대오일뱅크",$C125),0)&gt;0,IFERROR(SEARCH("직영",$C125),0)&gt;0),$B$13,0)</f>
        <v/>
      </c>
      <c r="L125" s="17" t="n">
        <f aca="false">IF($G125="","",$G125+$K125)</f>
        <v/>
      </c>
      <c r="M125" s="17" t="n">
        <f aca="false">IF($H125="","",$H125+$K125)</f>
        <v/>
      </c>
      <c r="N125" s="17" t="n">
        <f aca="false">IF($J125="","",$J125+$K125)</f>
        <v/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/>
      </c>
      <c r="P125" s="17" t="n">
        <f aca="false">IF($B$10=0,"",IFERROR(IF($B$4&gt;0,IF($L125="",1/0,$L125*$B$4),0)+IF($B$5&gt;0,IF($M125="",1/0,$M125*$B$5),0)+IF($B$6&gt;0,IF($N125="",1/0,$N125*$B$6),0),""))</f>
        <v/>
      </c>
      <c r="Q125" s="17"/>
      <c r="R125" s="18" t="n">
        <f aca="false">IF($P125="","",IF($Q125="Y",IFERROR(VLOOKUP($B125,$C$4:$D$13,2,FALSE()),0),0))</f>
        <v/>
      </c>
      <c r="S125" s="17" t="n">
        <f aca="false">IF($P125="","",ROUNDDOWN($P125*$R125,0))</f>
        <v/>
      </c>
      <c r="T125" s="17" t="n">
        <f aca="false">IF($P125="","",$P125-$S125)</f>
        <v/>
      </c>
      <c r="U125" s="17" t="n">
        <f aca="false">IF($T125="","",IF($B$10=0,"",$T125/$B$10))</f>
        <v/>
      </c>
      <c r="V125" s="17" t="n">
        <f aca="false">IF($P125="","",IF($B$10=0,"",$P125/$B$10))</f>
        <v/>
      </c>
      <c r="W125" s="19" t="n">
        <f aca="false">IF($T125="",1000000000000000,$T125)</f>
        <v/>
      </c>
      <c r="XFB125" s="6"/>
      <c r="XFC125" s="3"/>
    </row>
    <row r="126" s="5" collapsed="false" customFormat="true" customHeight="true" hidden="false" ht="28.5" outlineLevel="0">
      <c r="A126" s="16" t="n">
        <f aca="false">IF($T126="","",1+COUNTIF($W$15:$W$894,"&lt;"&amp;W126))</f>
        <v/>
      </c>
      <c r="B126" s="16" t="s">
        <v>10</v>
      </c>
      <c r="C126" s="16" t="s">
        <v>275</v>
      </c>
      <c r="D126" s="16" t="s">
        <v>51</v>
      </c>
      <c r="E126" s="16" t="s">
        <v>63</v>
      </c>
      <c r="F126" s="16" t="s">
        <v>276</v>
      </c>
      <c r="G126" s="17">
        <v>1799</v>
      </c>
      <c r="H126" s="17">
        <v>2039</v>
      </c>
      <c r="I126" s="17"/>
      <c r="J126" s="17">
        <v>1799</v>
      </c>
      <c r="K126" s="17" t="n">
        <f aca="false">IF(AND(IFERROR(SEARCH("현대오일뱅크",$C126),0)&gt;0,IFERROR(SEARCH("직영",$C126),0)&gt;0),$B$13,0)</f>
        <v/>
      </c>
      <c r="L126" s="17" t="n">
        <f aca="false">IF($G126="","",$G126+$K126)</f>
        <v/>
      </c>
      <c r="M126" s="17" t="n">
        <f aca="false">IF($H126="","",$H126+$K126)</f>
        <v/>
      </c>
      <c r="N126" s="17" t="n">
        <f aca="false">IF($J126="","",$J126+$K126)</f>
        <v/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/>
      </c>
      <c r="P126" s="17" t="n">
        <f aca="false">IF($B$10=0,"",IFERROR(IF($B$4&gt;0,IF($L126="",1/0,$L126*$B$4),0)+IF($B$5&gt;0,IF($M126="",1/0,$M126*$B$5),0)+IF($B$6&gt;0,IF($N126="",1/0,$N126*$B$6),0),""))</f>
        <v/>
      </c>
      <c r="Q126" s="17"/>
      <c r="R126" s="18" t="n">
        <f aca="false">IF($P126="","",IF($Q126="Y",IFERROR(VLOOKUP($B126,$C$4:$D$13,2,FALSE()),0),0))</f>
        <v/>
      </c>
      <c r="S126" s="17" t="n">
        <f aca="false">IF($P126="","",ROUNDDOWN($P126*$R126,0))</f>
        <v/>
      </c>
      <c r="T126" s="17" t="n">
        <f aca="false">IF($P126="","",$P126-$S126)</f>
        <v/>
      </c>
      <c r="U126" s="17" t="n">
        <f aca="false">IF($T126="","",IF($B$10=0,"",$T126/$B$10))</f>
        <v/>
      </c>
      <c r="V126" s="17" t="n">
        <f aca="false">IF($P126="","",IF($B$10=0,"",$P126/$B$10))</f>
        <v/>
      </c>
      <c r="W126" s="19" t="n">
        <f aca="false">IF($T126="",1000000000000000,$T126)</f>
        <v/>
      </c>
      <c r="XFB126" s="6"/>
      <c r="XFC126" s="3"/>
    </row>
    <row r="127" s="5" collapsed="false" customFormat="true" customHeight="true" hidden="false" ht="28.5" outlineLevel="0">
      <c r="A127" s="16" t="n">
        <f aca="false">IF($T127="","",1+COUNTIF($W$15:$W$894,"&lt;"&amp;W127))</f>
        <v/>
      </c>
      <c r="B127" s="16" t="s">
        <v>10</v>
      </c>
      <c r="C127" s="16" t="s">
        <v>277</v>
      </c>
      <c r="D127" s="16" t="s">
        <v>95</v>
      </c>
      <c r="E127" s="16" t="s">
        <v>26</v>
      </c>
      <c r="F127" s="16" t="s">
        <v>278</v>
      </c>
      <c r="G127" s="17">
        <v>1799</v>
      </c>
      <c r="H127" s="17">
        <v>2039</v>
      </c>
      <c r="I127" s="17"/>
      <c r="J127" s="17">
        <v>1799</v>
      </c>
      <c r="K127" s="17" t="n">
        <f aca="false">IF(AND(IFERROR(SEARCH("현대오일뱅크",$C127),0)&gt;0,IFERROR(SEARCH("직영",$C127),0)&gt;0),$B$13,0)</f>
        <v/>
      </c>
      <c r="L127" s="17" t="n">
        <f aca="false">IF($G127="","",$G127+$K127)</f>
        <v/>
      </c>
      <c r="M127" s="17" t="n">
        <f aca="false">IF($H127="","",$H127+$K127)</f>
        <v/>
      </c>
      <c r="N127" s="17" t="n">
        <f aca="false">IF($J127="","",$J127+$K127)</f>
        <v/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/>
      </c>
      <c r="P127" s="17" t="n">
        <f aca="false">IF($B$10=0,"",IFERROR(IF($B$4&gt;0,IF($L127="",1/0,$L127*$B$4),0)+IF($B$5&gt;0,IF($M127="",1/0,$M127*$B$5),0)+IF($B$6&gt;0,IF($N127="",1/0,$N127*$B$6),0),""))</f>
        <v/>
      </c>
      <c r="Q127" s="17"/>
      <c r="R127" s="18" t="n">
        <f aca="false">IF($P127="","",IF($Q127="Y",IFERROR(VLOOKUP($B127,$C$4:$D$13,2,FALSE()),0),0))</f>
        <v/>
      </c>
      <c r="S127" s="17" t="n">
        <f aca="false">IF($P127="","",ROUNDDOWN($P127*$R127,0))</f>
        <v/>
      </c>
      <c r="T127" s="17" t="n">
        <f aca="false">IF($P127="","",$P127-$S127)</f>
        <v/>
      </c>
      <c r="U127" s="17" t="n">
        <f aca="false">IF($T127="","",IF($B$10=0,"",$T127/$B$10))</f>
        <v/>
      </c>
      <c r="V127" s="17" t="n">
        <f aca="false">IF($P127="","",IF($B$10=0,"",$P127/$B$10))</f>
        <v/>
      </c>
      <c r="W127" s="19" t="n">
        <f aca="false">IF($T127="",1000000000000000,$T127)</f>
        <v/>
      </c>
      <c r="XFB127" s="6"/>
      <c r="XFC127" s="3"/>
    </row>
    <row r="128" s="5" collapsed="false" customFormat="true" customHeight="true" hidden="false" ht="28.5" outlineLevel="0">
      <c r="A128" s="16" t="n">
        <f aca="false">IF($T128="","",1+COUNTIF($W$15:$W$894,"&lt;"&amp;W128))</f>
        <v/>
      </c>
      <c r="B128" s="16" t="s">
        <v>10</v>
      </c>
      <c r="C128" s="16" t="s">
        <v>279</v>
      </c>
      <c r="D128" s="16" t="s">
        <v>95</v>
      </c>
      <c r="E128" s="16" t="s">
        <v>26</v>
      </c>
      <c r="F128" s="16" t="s">
        <v>280</v>
      </c>
      <c r="G128" s="17">
        <v>1799</v>
      </c>
      <c r="H128" s="17">
        <v>2039</v>
      </c>
      <c r="I128" s="17"/>
      <c r="J128" s="17">
        <v>1799</v>
      </c>
      <c r="K128" s="17" t="n">
        <f aca="false">IF(AND(IFERROR(SEARCH("현대오일뱅크",$C128),0)&gt;0,IFERROR(SEARCH("직영",$C128),0)&gt;0),$B$13,0)</f>
        <v/>
      </c>
      <c r="L128" s="17" t="n">
        <f aca="false">IF($G128="","",$G128+$K128)</f>
        <v/>
      </c>
      <c r="M128" s="17" t="n">
        <f aca="false">IF($H128="","",$H128+$K128)</f>
        <v/>
      </c>
      <c r="N128" s="17" t="n">
        <f aca="false">IF($J128="","",$J128+$K128)</f>
        <v/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/>
      </c>
      <c r="P128" s="17" t="n">
        <f aca="false">IF($B$10=0,"",IFERROR(IF($B$4&gt;0,IF($L128="",1/0,$L128*$B$4),0)+IF($B$5&gt;0,IF($M128="",1/0,$M128*$B$5),0)+IF($B$6&gt;0,IF($N128="",1/0,$N128*$B$6),0),""))</f>
        <v/>
      </c>
      <c r="Q128" s="17"/>
      <c r="R128" s="18" t="n">
        <f aca="false">IF($P128="","",IF($Q128="Y",IFERROR(VLOOKUP($B128,$C$4:$D$13,2,FALSE()),0),0))</f>
        <v/>
      </c>
      <c r="S128" s="17" t="n">
        <f aca="false">IF($P128="","",ROUNDDOWN($P128*$R128,0))</f>
        <v/>
      </c>
      <c r="T128" s="17" t="n">
        <f aca="false">IF($P128="","",$P128-$S128)</f>
        <v/>
      </c>
      <c r="U128" s="17" t="n">
        <f aca="false">IF($T128="","",IF($B$10=0,"",$T128/$B$10))</f>
        <v/>
      </c>
      <c r="V128" s="17" t="n">
        <f aca="false">IF($P128="","",IF($B$10=0,"",$P128/$B$10))</f>
        <v/>
      </c>
      <c r="W128" s="19" t="n">
        <f aca="false">IF($T128="",1000000000000000,$T128)</f>
        <v/>
      </c>
      <c r="XFB128" s="6"/>
      <c r="XFC128" s="3"/>
    </row>
    <row r="129" s="5" collapsed="false" customFormat="true" customHeight="true" hidden="false" ht="28.5" outlineLevel="0">
      <c r="A129" s="16" t="n">
        <f aca="false">IF($T129="","",1+COUNTIF($W$15:$W$894,"&lt;"&amp;W129))</f>
        <v/>
      </c>
      <c r="B129" s="16" t="s">
        <v>10</v>
      </c>
      <c r="C129" s="16" t="s">
        <v>281</v>
      </c>
      <c r="D129" s="16" t="s">
        <v>56</v>
      </c>
      <c r="E129" s="16" t="s">
        <v>26</v>
      </c>
      <c r="F129" s="16" t="s">
        <v>282</v>
      </c>
      <c r="G129" s="17">
        <v>1779</v>
      </c>
      <c r="H129" s="17">
        <v>2069</v>
      </c>
      <c r="I129" s="17"/>
      <c r="J129" s="17">
        <v>1775</v>
      </c>
      <c r="K129" s="17" t="n">
        <f aca="false">IF(AND(IFERROR(SEARCH("현대오일뱅크",$C129),0)&gt;0,IFERROR(SEARCH("직영",$C129),0)&gt;0),$B$13,0)</f>
        <v/>
      </c>
      <c r="L129" s="17" t="n">
        <f aca="false">IF($G129="","",$G129+$K129)</f>
        <v/>
      </c>
      <c r="M129" s="17" t="n">
        <f aca="false">IF($H129="","",$H129+$K129)</f>
        <v/>
      </c>
      <c r="N129" s="17" t="n">
        <f aca="false">IF($J129="","",$J129+$K129)</f>
        <v/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/>
      </c>
      <c r="P129" s="17" t="n">
        <f aca="false">IF($B$10=0,"",IFERROR(IF($B$4&gt;0,IF($L129="",1/0,$L129*$B$4),0)+IF($B$5&gt;0,IF($M129="",1/0,$M129*$B$5),0)+IF($B$6&gt;0,IF($N129="",1/0,$N129*$B$6),0),""))</f>
        <v/>
      </c>
      <c r="Q129" s="17"/>
      <c r="R129" s="18" t="n">
        <f aca="false">IF($P129="","",IF($Q129="Y",IFERROR(VLOOKUP($B129,$C$4:$D$13,2,FALSE()),0),0))</f>
        <v/>
      </c>
      <c r="S129" s="17" t="n">
        <f aca="false">IF($P129="","",ROUNDDOWN($P129*$R129,0))</f>
        <v/>
      </c>
      <c r="T129" s="17" t="n">
        <f aca="false">IF($P129="","",$P129-$S129)</f>
        <v/>
      </c>
      <c r="U129" s="17" t="n">
        <f aca="false">IF($T129="","",IF($B$10=0,"",$T129/$B$10))</f>
        <v/>
      </c>
      <c r="V129" s="17" t="n">
        <f aca="false">IF($P129="","",IF($B$10=0,"",$P129/$B$10))</f>
        <v/>
      </c>
      <c r="W129" s="19" t="n">
        <f aca="false">IF($T129="",1000000000000000,$T129)</f>
        <v/>
      </c>
      <c r="XFB129" s="6"/>
      <c r="XFC129" s="3"/>
    </row>
    <row r="130" s="5" collapsed="false" customFormat="true" customHeight="true" hidden="false" ht="28.5" outlineLevel="0">
      <c r="A130" s="16" t="n">
        <f aca="false">IF($T130="","",1+COUNTIF($W$15:$W$894,"&lt;"&amp;W130))</f>
        <v/>
      </c>
      <c r="B130" s="16" t="s">
        <v>8</v>
      </c>
      <c r="C130" s="16" t="s">
        <v>283</v>
      </c>
      <c r="D130" s="16" t="s">
        <v>95</v>
      </c>
      <c r="E130" s="16" t="s">
        <v>26</v>
      </c>
      <c r="F130" s="16" t="s">
        <v>284</v>
      </c>
      <c r="G130" s="17">
        <v>1799</v>
      </c>
      <c r="H130" s="17">
        <v>2049</v>
      </c>
      <c r="I130" s="17"/>
      <c r="J130" s="17">
        <v>1799</v>
      </c>
      <c r="K130" s="17" t="n">
        <f aca="false">IF(AND(IFERROR(SEARCH("현대오일뱅크",$C130),0)&gt;0,IFERROR(SEARCH("직영",$C130),0)&gt;0),$B$13,0)</f>
        <v/>
      </c>
      <c r="L130" s="17" t="n">
        <f aca="false">IF($G130="","",$G130+$K130)</f>
        <v/>
      </c>
      <c r="M130" s="17" t="n">
        <f aca="false">IF($H130="","",$H130+$K130)</f>
        <v/>
      </c>
      <c r="N130" s="17" t="n">
        <f aca="false">IF($J130="","",$J130+$K130)</f>
        <v/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/>
      </c>
      <c r="P130" s="17" t="n">
        <f aca="false">IF($B$10=0,"",IFERROR(IF($B$4&gt;0,IF($L130="",1/0,$L130*$B$4),0)+IF($B$5&gt;0,IF($M130="",1/0,$M130*$B$5),0)+IF($B$6&gt;0,IF($N130="",1/0,$N130*$B$6),0),""))</f>
        <v/>
      </c>
      <c r="Q130" s="17"/>
      <c r="R130" s="18" t="n">
        <f aca="false">IF($P130="","",IF($Q130="Y",IFERROR(VLOOKUP($B130,$C$4:$D$13,2,FALSE()),0),0))</f>
        <v/>
      </c>
      <c r="S130" s="17" t="n">
        <f aca="false">IF($P130="","",ROUNDDOWN($P130*$R130,0))</f>
        <v/>
      </c>
      <c r="T130" s="17" t="n">
        <f aca="false">IF($P130="","",$P130-$S130)</f>
        <v/>
      </c>
      <c r="U130" s="17" t="n">
        <f aca="false">IF($T130="","",IF($B$10=0,"",$T130/$B$10))</f>
        <v/>
      </c>
      <c r="V130" s="17" t="n">
        <f aca="false">IF($P130="","",IF($B$10=0,"",$P130/$B$10))</f>
        <v/>
      </c>
      <c r="W130" s="19" t="n">
        <f aca="false">IF($T130="",1000000000000000,$T130)</f>
        <v/>
      </c>
      <c r="XFB130" s="6"/>
      <c r="XFC130" s="3"/>
    </row>
    <row r="131" s="5" collapsed="false" customFormat="true" customHeight="true" hidden="false" ht="28.5" outlineLevel="0">
      <c r="A131" s="16" t="n">
        <f aca="false">IF($T131="","",1+COUNTIF($W$15:$W$894,"&lt;"&amp;W131))</f>
        <v/>
      </c>
      <c r="B131" s="16" t="s">
        <v>8</v>
      </c>
      <c r="C131" s="16" t="s">
        <v>285</v>
      </c>
      <c r="D131" s="16" t="s">
        <v>95</v>
      </c>
      <c r="E131" s="16" t="s">
        <v>26</v>
      </c>
      <c r="F131" s="16" t="s">
        <v>286</v>
      </c>
      <c r="G131" s="17">
        <v>1799</v>
      </c>
      <c r="H131" s="17">
        <v>2049</v>
      </c>
      <c r="I131" s="17"/>
      <c r="J131" s="17">
        <v>1799</v>
      </c>
      <c r="K131" s="17" t="n">
        <f aca="false">IF(AND(IFERROR(SEARCH("현대오일뱅크",$C131),0)&gt;0,IFERROR(SEARCH("직영",$C131),0)&gt;0),$B$13,0)</f>
        <v/>
      </c>
      <c r="L131" s="17" t="n">
        <f aca="false">IF($G131="","",$G131+$K131)</f>
        <v/>
      </c>
      <c r="M131" s="17" t="n">
        <f aca="false">IF($H131="","",$H131+$K131)</f>
        <v/>
      </c>
      <c r="N131" s="17" t="n">
        <f aca="false">IF($J131="","",$J131+$K131)</f>
        <v/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/>
      </c>
      <c r="P131" s="17" t="n">
        <f aca="false">IF($B$10=0,"",IFERROR(IF($B$4&gt;0,IF($L131="",1/0,$L131*$B$4),0)+IF($B$5&gt;0,IF($M131="",1/0,$M131*$B$5),0)+IF($B$6&gt;0,IF($N131="",1/0,$N131*$B$6),0),""))</f>
        <v/>
      </c>
      <c r="Q131" s="17"/>
      <c r="R131" s="18" t="n">
        <f aca="false">IF($P131="","",IF($Q131="Y",IFERROR(VLOOKUP($B131,$C$4:$D$13,2,FALSE()),0),0))</f>
        <v/>
      </c>
      <c r="S131" s="17" t="n">
        <f aca="false">IF($P131="","",ROUNDDOWN($P131*$R131,0))</f>
        <v/>
      </c>
      <c r="T131" s="17" t="n">
        <f aca="false">IF($P131="","",$P131-$S131)</f>
        <v/>
      </c>
      <c r="U131" s="17" t="n">
        <f aca="false">IF($T131="","",IF($B$10=0,"",$T131/$B$10))</f>
        <v/>
      </c>
      <c r="V131" s="17" t="n">
        <f aca="false">IF($P131="","",IF($B$10=0,"",$P131/$B$10))</f>
        <v/>
      </c>
      <c r="W131" s="19" t="n">
        <f aca="false">IF($T131="",1000000000000000,$T131)</f>
        <v/>
      </c>
      <c r="XFB131" s="6"/>
      <c r="XFC131" s="3"/>
    </row>
    <row r="132" s="5" collapsed="false" customFormat="true" customHeight="true" hidden="false" ht="28.5" outlineLevel="0">
      <c r="A132" s="16" t="n">
        <f aca="false">IF($T132="","",1+COUNTIF($W$15:$W$894,"&lt;"&amp;W132))</f>
        <v/>
      </c>
      <c r="B132" s="16" t="s">
        <v>8</v>
      </c>
      <c r="C132" s="16" t="s">
        <v>287</v>
      </c>
      <c r="D132" s="20" t="s">
        <v>86</v>
      </c>
      <c r="E132" s="16" t="s">
        <v>26</v>
      </c>
      <c r="F132" s="16" t="s">
        <v>288</v>
      </c>
      <c r="G132" s="17">
        <v>1799</v>
      </c>
      <c r="H132" s="17">
        <v>2049</v>
      </c>
      <c r="I132" s="17"/>
      <c r="J132" s="17">
        <v>1799</v>
      </c>
      <c r="K132" s="17" t="n">
        <f aca="false">IF(AND(IFERROR(SEARCH("현대오일뱅크",$C132),0)&gt;0,IFERROR(SEARCH("직영",$C132),0)&gt;0),$B$13,0)</f>
        <v/>
      </c>
      <c r="L132" s="17" t="n">
        <f aca="false">IF($G132="","",$G132+$K132)</f>
        <v/>
      </c>
      <c r="M132" s="17" t="n">
        <f aca="false">IF($H132="","",$H132+$K132)</f>
        <v/>
      </c>
      <c r="N132" s="17" t="n">
        <f aca="false">IF($J132="","",$J132+$K132)</f>
        <v/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/>
      </c>
      <c r="P132" s="17" t="n">
        <f aca="false">IF($B$10=0,"",IFERROR(IF($B$4&gt;0,IF($L132="",1/0,$L132*$B$4),0)+IF($B$5&gt;0,IF($M132="",1/0,$M132*$B$5),0)+IF($B$6&gt;0,IF($N132="",1/0,$N132*$B$6),0),""))</f>
        <v/>
      </c>
      <c r="Q132" s="17"/>
      <c r="R132" s="18" t="n">
        <f aca="false">IF($P132="","",IF($Q132="Y",IFERROR(VLOOKUP($B132,$C$4:$D$13,2,FALSE()),0),0))</f>
        <v/>
      </c>
      <c r="S132" s="17" t="n">
        <f aca="false">IF($P132="","",ROUNDDOWN($P132*$R132,0))</f>
        <v/>
      </c>
      <c r="T132" s="17" t="n">
        <f aca="false">IF($P132="","",$P132-$S132)</f>
        <v/>
      </c>
      <c r="U132" s="17" t="n">
        <f aca="false">IF($T132="","",IF($B$10=0,"",$T132/$B$10))</f>
        <v/>
      </c>
      <c r="V132" s="17" t="n">
        <f aca="false">IF($P132="","",IF($B$10=0,"",$P132/$B$10))</f>
        <v/>
      </c>
      <c r="W132" s="19" t="n">
        <f aca="false">IF($T132="",1000000000000000,$T132)</f>
        <v/>
      </c>
      <c r="XFB132" s="6"/>
      <c r="XFC132" s="3"/>
    </row>
    <row r="133" s="5" collapsed="false" customFormat="true" customHeight="true" hidden="false" ht="28.5" outlineLevel="0">
      <c r="A133" s="16" t="n">
        <f aca="false">IF($T133="","",1+COUNTIF($W$15:$W$894,"&lt;"&amp;W133))</f>
        <v/>
      </c>
      <c r="B133" s="16" t="s">
        <v>8</v>
      </c>
      <c r="C133" s="16" t="s">
        <v>289</v>
      </c>
      <c r="D133" s="20" t="s">
        <v>86</v>
      </c>
      <c r="E133" s="16" t="s">
        <v>26</v>
      </c>
      <c r="F133" s="16" t="s">
        <v>290</v>
      </c>
      <c r="G133" s="17">
        <v>1799</v>
      </c>
      <c r="H133" s="17">
        <v>2049</v>
      </c>
      <c r="I133" s="17"/>
      <c r="J133" s="17">
        <v>1799</v>
      </c>
      <c r="K133" s="17" t="n">
        <f aca="false">IF(AND(IFERROR(SEARCH("현대오일뱅크",$C133),0)&gt;0,IFERROR(SEARCH("직영",$C133),0)&gt;0),$B$13,0)</f>
        <v/>
      </c>
      <c r="L133" s="17" t="n">
        <f aca="false">IF($G133="","",$G133+$K133)</f>
        <v/>
      </c>
      <c r="M133" s="17" t="n">
        <f aca="false">IF($H133="","",$H133+$K133)</f>
        <v/>
      </c>
      <c r="N133" s="17" t="n">
        <f aca="false">IF($J133="","",$J133+$K133)</f>
        <v/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/>
      </c>
      <c r="P133" s="17" t="n">
        <f aca="false">IF($B$10=0,"",IFERROR(IF($B$4&gt;0,IF($L133="",1/0,$L133*$B$4),0)+IF($B$5&gt;0,IF($M133="",1/0,$M133*$B$5),0)+IF($B$6&gt;0,IF($N133="",1/0,$N133*$B$6),0),""))</f>
        <v/>
      </c>
      <c r="Q133" s="17"/>
      <c r="R133" s="18" t="n">
        <f aca="false">IF($P133="","",IF($Q133="Y",IFERROR(VLOOKUP($B133,$C$4:$D$13,2,FALSE()),0),0))</f>
        <v/>
      </c>
      <c r="S133" s="17" t="n">
        <f aca="false">IF($P133="","",ROUNDDOWN($P133*$R133,0))</f>
        <v/>
      </c>
      <c r="T133" s="17" t="n">
        <f aca="false">IF($P133="","",$P133-$S133)</f>
        <v/>
      </c>
      <c r="U133" s="17" t="n">
        <f aca="false">IF($T133="","",IF($B$10=0,"",$T133/$B$10))</f>
        <v/>
      </c>
      <c r="V133" s="17" t="n">
        <f aca="false">IF($P133="","",IF($B$10=0,"",$P133/$B$10))</f>
        <v/>
      </c>
      <c r="W133" s="19" t="n">
        <f aca="false">IF($T133="",1000000000000000,$T133)</f>
        <v/>
      </c>
      <c r="XFB133" s="6"/>
      <c r="XFC133" s="3"/>
    </row>
    <row r="134" s="5" collapsed="false" customFormat="true" customHeight="true" hidden="false" ht="28.5" outlineLevel="0">
      <c r="A134" s="16" t="n">
        <f aca="false">IF($T134="","",1+COUNTIF($W$15:$W$894,"&lt;"&amp;W134))</f>
        <v/>
      </c>
      <c r="B134" s="16" t="s">
        <v>10</v>
      </c>
      <c r="C134" s="16" t="s">
        <v>291</v>
      </c>
      <c r="D134" s="16" t="s">
        <v>45</v>
      </c>
      <c r="E134" s="16" t="s">
        <v>26</v>
      </c>
      <c r="F134" s="16" t="s">
        <v>292</v>
      </c>
      <c r="G134" s="17">
        <v>1799</v>
      </c>
      <c r="H134" s="17">
        <v>2050</v>
      </c>
      <c r="I134" s="17"/>
      <c r="J134" s="17">
        <v>1798</v>
      </c>
      <c r="K134" s="17" t="n">
        <f aca="false">IF(AND(IFERROR(SEARCH("현대오일뱅크",$C134),0)&gt;0,IFERROR(SEARCH("직영",$C134),0)&gt;0),$B$13,0)</f>
        <v/>
      </c>
      <c r="L134" s="17" t="n">
        <f aca="false">IF($G134="","",$G134+$K134)</f>
        <v/>
      </c>
      <c r="M134" s="17" t="n">
        <f aca="false">IF($H134="","",$H134+$K134)</f>
        <v/>
      </c>
      <c r="N134" s="17" t="n">
        <f aca="false">IF($J134="","",$J134+$K134)</f>
        <v/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/>
      </c>
      <c r="P134" s="17" t="n">
        <f aca="false">IF($B$10=0,"",IFERROR(IF($B$4&gt;0,IF($L134="",1/0,$L134*$B$4),0)+IF($B$5&gt;0,IF($M134="",1/0,$M134*$B$5),0)+IF($B$6&gt;0,IF($N134="",1/0,$N134*$B$6),0),""))</f>
        <v/>
      </c>
      <c r="Q134" s="17"/>
      <c r="R134" s="18" t="n">
        <f aca="false">IF($P134="","",IF($Q134="Y",IFERROR(VLOOKUP($B134,$C$4:$D$13,2,FALSE()),0),0))</f>
        <v/>
      </c>
      <c r="S134" s="17" t="n">
        <f aca="false">IF($P134="","",ROUNDDOWN($P134*$R134,0))</f>
        <v/>
      </c>
      <c r="T134" s="17" t="n">
        <f aca="false">IF($P134="","",$P134-$S134)</f>
        <v/>
      </c>
      <c r="U134" s="17" t="n">
        <f aca="false">IF($T134="","",IF($B$10=0,"",$T134/$B$10))</f>
        <v/>
      </c>
      <c r="V134" s="17" t="n">
        <f aca="false">IF($P134="","",IF($B$10=0,"",$P134/$B$10))</f>
        <v/>
      </c>
      <c r="W134" s="19" t="n">
        <f aca="false">IF($T134="",1000000000000000,$T134)</f>
        <v/>
      </c>
      <c r="XFB134" s="6"/>
      <c r="XFC134" s="3"/>
    </row>
    <row r="135" s="5" collapsed="false" customFormat="true" customHeight="true" hidden="false" ht="28.5" outlineLevel="0">
      <c r="A135" s="16" t="n">
        <f aca="false">IF($T135="","",1+COUNTIF($W$15:$W$894,"&lt;"&amp;W135))</f>
        <v/>
      </c>
      <c r="B135" s="16" t="s">
        <v>10</v>
      </c>
      <c r="C135" s="16" t="s">
        <v>293</v>
      </c>
      <c r="D135" s="16" t="s">
        <v>45</v>
      </c>
      <c r="E135" s="16" t="s">
        <v>26</v>
      </c>
      <c r="F135" s="16" t="s">
        <v>294</v>
      </c>
      <c r="G135" s="17">
        <v>1784</v>
      </c>
      <c r="H135" s="17">
        <v>2099</v>
      </c>
      <c r="I135" s="17" t="s">
        <v>47</v>
      </c>
      <c r="J135" s="17">
        <v>1770</v>
      </c>
      <c r="K135" s="17" t="n">
        <f aca="false">IF(AND(IFERROR(SEARCH("현대오일뱅크",$C135),0)&gt;0,IFERROR(SEARCH("직영",$C135),0)&gt;0),$B$13,0)</f>
        <v/>
      </c>
      <c r="L135" s="17" t="n">
        <f aca="false">IF($G135="","",$G135+$K135)</f>
        <v/>
      </c>
      <c r="M135" s="17" t="n">
        <f aca="false">IF($H135="","",$H135+$K135)</f>
        <v/>
      </c>
      <c r="N135" s="17" t="n">
        <f aca="false">IF($J135="","",$J135+$K135)</f>
        <v/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/>
      </c>
      <c r="P135" s="17" t="n">
        <f aca="false">IF($B$10=0,"",IFERROR(IF($B$4&gt;0,IF($L135="",1/0,$L135*$B$4),0)+IF($B$5&gt;0,IF($M135="",1/0,$M135*$B$5),0)+IF($B$6&gt;0,IF($N135="",1/0,$N135*$B$6),0),""))</f>
        <v/>
      </c>
      <c r="Q135" s="17"/>
      <c r="R135" s="18" t="n">
        <f aca="false">IF($P135="","",IF($Q135="Y",IFERROR(VLOOKUP($B135,$C$4:$D$13,2,FALSE()),0),0))</f>
        <v/>
      </c>
      <c r="S135" s="17" t="n">
        <f aca="false">IF($P135="","",ROUNDDOWN($P135*$R135,0))</f>
        <v/>
      </c>
      <c r="T135" s="17" t="n">
        <f aca="false">IF($P135="","",$P135-$S135)</f>
        <v/>
      </c>
      <c r="U135" s="17" t="n">
        <f aca="false">IF($T135="","",IF($B$10=0,"",$T135/$B$10))</f>
        <v/>
      </c>
      <c r="V135" s="17" t="n">
        <f aca="false">IF($P135="","",IF($B$10=0,"",$P135/$B$10))</f>
        <v/>
      </c>
      <c r="W135" s="19" t="n">
        <f aca="false">IF($T135="",1000000000000000,$T135)</f>
        <v/>
      </c>
      <c r="XFB135" s="6"/>
      <c r="XFC135" s="3"/>
    </row>
    <row r="136" s="5" collapsed="false" customFormat="true" customHeight="true" hidden="false" ht="28.5" outlineLevel="0">
      <c r="A136" s="16" t="n">
        <f aca="false">IF($T136="","",1+COUNTIF($W$15:$W$894,"&lt;"&amp;W136))</f>
        <v/>
      </c>
      <c r="B136" s="16" t="s">
        <v>12</v>
      </c>
      <c r="C136" s="16" t="s">
        <v>295</v>
      </c>
      <c r="D136" s="16" t="s">
        <v>296</v>
      </c>
      <c r="E136" s="16" t="s">
        <v>26</v>
      </c>
      <c r="F136" s="16" t="s">
        <v>297</v>
      </c>
      <c r="G136" s="17">
        <v>1778</v>
      </c>
      <c r="H136" s="17">
        <v>2088</v>
      </c>
      <c r="I136" s="17"/>
      <c r="J136" s="17">
        <v>1768</v>
      </c>
      <c r="K136" s="17" t="n">
        <f aca="false">IF(AND(IFERROR(SEARCH("현대오일뱅크",$C136),0)&gt;0,IFERROR(SEARCH("직영",$C136),0)&gt;0),$B$13,0)</f>
        <v/>
      </c>
      <c r="L136" s="17" t="n">
        <f aca="false">IF($G136="","",$G136+$K136)</f>
        <v/>
      </c>
      <c r="M136" s="17" t="n">
        <f aca="false">IF($H136="","",$H136+$K136)</f>
        <v/>
      </c>
      <c r="N136" s="17" t="n">
        <f aca="false">IF($J136="","",$J136+$K136)</f>
        <v/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/>
      </c>
      <c r="P136" s="17" t="n">
        <f aca="false">IF($B$10=0,"",IFERROR(IF($B$4&gt;0,IF($L136="",1/0,$L136*$B$4),0)+IF($B$5&gt;0,IF($M136="",1/0,$M136*$B$5),0)+IF($B$6&gt;0,IF($N136="",1/0,$N136*$B$6),0),""))</f>
        <v/>
      </c>
      <c r="Q136" s="17"/>
      <c r="R136" s="18" t="n">
        <f aca="false">IF($P136="","",IF($Q136="Y",IFERROR(VLOOKUP($B136,$C$4:$D$13,2,FALSE()),0),0))</f>
        <v/>
      </c>
      <c r="S136" s="17" t="n">
        <f aca="false">IF($P136="","",ROUNDDOWN($P136*$R136,0))</f>
        <v/>
      </c>
      <c r="T136" s="17" t="n">
        <f aca="false">IF($P136="","",$P136-$S136)</f>
        <v/>
      </c>
      <c r="U136" s="17" t="n">
        <f aca="false">IF($T136="","",IF($B$10=0,"",$T136/$B$10))</f>
        <v/>
      </c>
      <c r="V136" s="17" t="n">
        <f aca="false">IF($P136="","",IF($B$10=0,"",$P136/$B$10))</f>
        <v/>
      </c>
      <c r="W136" s="19" t="n">
        <f aca="false">IF($T136="",1000000000000000,$T136)</f>
        <v/>
      </c>
      <c r="XFB136" s="6"/>
      <c r="XFC136" s="3"/>
    </row>
    <row r="137" s="5" collapsed="false" customFormat="true" customHeight="true" hidden="false" ht="28.5" outlineLevel="0">
      <c r="A137" s="16" t="n">
        <f aca="false">IF($T137="","",1+COUNTIF($W$15:$W$894,"&lt;"&amp;W137))</f>
        <v/>
      </c>
      <c r="B137" s="16" t="s">
        <v>12</v>
      </c>
      <c r="C137" s="16" t="s">
        <v>304</v>
      </c>
      <c r="D137" s="16" t="s">
        <v>296</v>
      </c>
      <c r="E137" s="16" t="s">
        <v>26</v>
      </c>
      <c r="F137" s="16" t="s">
        <v>305</v>
      </c>
      <c r="G137" s="17">
        <v>1782</v>
      </c>
      <c r="H137" s="17">
        <v>2088</v>
      </c>
      <c r="I137" s="17"/>
      <c r="J137" s="17">
        <v>1780</v>
      </c>
      <c r="K137" s="17" t="n">
        <f aca="false">IF(AND(IFERROR(SEARCH("현대오일뱅크",$C137),0)&gt;0,IFERROR(SEARCH("직영",$C137),0)&gt;0),$B$13,0)</f>
        <v/>
      </c>
      <c r="L137" s="17" t="n">
        <f aca="false">IF($G137="","",$G137+$K137)</f>
        <v/>
      </c>
      <c r="M137" s="17" t="n">
        <f aca="false">IF($H137="","",$H137+$K137)</f>
        <v/>
      </c>
      <c r="N137" s="17" t="n">
        <f aca="false">IF($J137="","",$J137+$K137)</f>
        <v/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/>
      </c>
      <c r="P137" s="17" t="n">
        <f aca="false">IF($B$10=0,"",IFERROR(IF($B$4&gt;0,IF($L137="",1/0,$L137*$B$4),0)+IF($B$5&gt;0,IF($M137="",1/0,$M137*$B$5),0)+IF($B$6&gt;0,IF($N137="",1/0,$N137*$B$6),0),""))</f>
        <v/>
      </c>
      <c r="Q137" s="17"/>
      <c r="R137" s="18" t="n">
        <f aca="false">IF($P137="","",IF($Q137="Y",IFERROR(VLOOKUP($B137,$C$4:$D$13,2,FALSE()),0),0))</f>
        <v/>
      </c>
      <c r="S137" s="17" t="n">
        <f aca="false">IF($P137="","",ROUNDDOWN($P137*$R137,0))</f>
        <v/>
      </c>
      <c r="T137" s="17" t="n">
        <f aca="false">IF($P137="","",$P137-$S137)</f>
        <v/>
      </c>
      <c r="U137" s="17" t="n">
        <f aca="false">IF($T137="","",IF($B$10=0,"",$T137/$B$10))</f>
        <v/>
      </c>
      <c r="V137" s="17" t="n">
        <f aca="false">IF($P137="","",IF($B$10=0,"",$P137/$B$10))</f>
        <v/>
      </c>
      <c r="W137" s="19" t="n">
        <f aca="false">IF($T137="",1000000000000000,$T137)</f>
        <v/>
      </c>
      <c r="XFB137" s="6"/>
      <c r="XFC137" s="3"/>
    </row>
    <row r="138" s="5" collapsed="false" customFormat="true" customHeight="true" hidden="false" ht="28.5" outlineLevel="0">
      <c r="A138" s="16" t="n">
        <f aca="false">IF($T138="","",1+COUNTIF($W$15:$W$894,"&lt;"&amp;W138))</f>
        <v/>
      </c>
      <c r="B138" s="16" t="s">
        <v>18</v>
      </c>
      <c r="C138" s="16" t="s">
        <v>298</v>
      </c>
      <c r="D138" s="16" t="s">
        <v>51</v>
      </c>
      <c r="E138" s="16" t="s">
        <v>26</v>
      </c>
      <c r="F138" s="16" t="s">
        <v>299</v>
      </c>
      <c r="G138" s="17">
        <v>1782</v>
      </c>
      <c r="H138" s="17">
        <v>2089</v>
      </c>
      <c r="I138" s="17"/>
      <c r="J138" s="17">
        <v>1792</v>
      </c>
      <c r="K138" s="17" t="n">
        <f aca="false">IF(AND(IFERROR(SEARCH("현대오일뱅크",$C138),0)&gt;0,IFERROR(SEARCH("직영",$C138),0)&gt;0),$B$13,0)</f>
        <v/>
      </c>
      <c r="L138" s="17" t="n">
        <f aca="false">IF($G138="","",$G138+$K138)</f>
        <v/>
      </c>
      <c r="M138" s="17" t="n">
        <f aca="false">IF($H138="","",$H138+$K138)</f>
        <v/>
      </c>
      <c r="N138" s="17" t="n">
        <f aca="false">IF($J138="","",$J138+$K138)</f>
        <v/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/>
      </c>
      <c r="P138" s="17" t="n">
        <f aca="false">IF($B$10=0,"",IFERROR(IF($B$4&gt;0,IF($L138="",1/0,$L138*$B$4),0)+IF($B$5&gt;0,IF($M138="",1/0,$M138*$B$5),0)+IF($B$6&gt;0,IF($N138="",1/0,$N138*$B$6),0),""))</f>
        <v/>
      </c>
      <c r="Q138" s="17"/>
      <c r="R138" s="18" t="n">
        <f aca="false">IF($P138="","",IF($Q138="Y",IFERROR(VLOOKUP($B138,$C$4:$D$13,2,FALSE()),0),0))</f>
        <v/>
      </c>
      <c r="S138" s="17" t="n">
        <f aca="false">IF($P138="","",ROUNDDOWN($P138*$R138,0))</f>
        <v/>
      </c>
      <c r="T138" s="17" t="n">
        <f aca="false">IF($P138="","",$P138-$S138)</f>
        <v/>
      </c>
      <c r="U138" s="17" t="n">
        <f aca="false">IF($T138="","",IF($B$10=0,"",$T138/$B$10))</f>
        <v/>
      </c>
      <c r="V138" s="17" t="n">
        <f aca="false">IF($P138="","",IF($B$10=0,"",$P138/$B$10))</f>
        <v/>
      </c>
      <c r="W138" s="19" t="n">
        <f aca="false">IF($T138="",1000000000000000,$T138)</f>
        <v/>
      </c>
      <c r="XFB138" s="6"/>
      <c r="XFC138" s="3"/>
    </row>
    <row r="139" s="5" collapsed="false" customFormat="true" customHeight="true" hidden="false" ht="28.5" outlineLevel="0">
      <c r="A139" s="16" t="n">
        <f aca="false">IF($T139="","",1+COUNTIF($W$15:$W$894,"&lt;"&amp;W139))</f>
        <v/>
      </c>
      <c r="B139" s="16" t="s">
        <v>12</v>
      </c>
      <c r="C139" s="16" t="s">
        <v>300</v>
      </c>
      <c r="D139" s="20" t="s">
        <v>45</v>
      </c>
      <c r="E139" s="16" t="s">
        <v>26</v>
      </c>
      <c r="F139" s="16" t="s">
        <v>301</v>
      </c>
      <c r="G139" s="17">
        <v>1794</v>
      </c>
      <c r="H139" s="17">
        <v>2074</v>
      </c>
      <c r="I139" s="17"/>
      <c r="J139" s="17">
        <v>1794</v>
      </c>
      <c r="K139" s="17" t="n">
        <f aca="false">IF(AND(IFERROR(SEARCH("현대오일뱅크",$C139),0)&gt;0,IFERROR(SEARCH("직영",$C139),0)&gt;0),$B$13,0)</f>
        <v/>
      </c>
      <c r="L139" s="17" t="n">
        <f aca="false">IF($G139="","",$G139+$K139)</f>
        <v/>
      </c>
      <c r="M139" s="17" t="n">
        <f aca="false">IF($H139="","",$H139+$K139)</f>
        <v/>
      </c>
      <c r="N139" s="17" t="n">
        <f aca="false">IF($J139="","",$J139+$K139)</f>
        <v/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/>
      </c>
      <c r="P139" s="17" t="n">
        <f aca="false">IF($B$10=0,"",IFERROR(IF($B$4&gt;0,IF($L139="",1/0,$L139*$B$4),0)+IF($B$5&gt;0,IF($M139="",1/0,$M139*$B$5),0)+IF($B$6&gt;0,IF($N139="",1/0,$N139*$B$6),0),""))</f>
        <v/>
      </c>
      <c r="Q139" s="17"/>
      <c r="R139" s="18" t="n">
        <f aca="false">IF($P139="","",IF($Q139="Y",IFERROR(VLOOKUP($B139,$C$4:$D$13,2,FALSE()),0),0))</f>
        <v/>
      </c>
      <c r="S139" s="17" t="n">
        <f aca="false">IF($P139="","",ROUNDDOWN($P139*$R139,0))</f>
        <v/>
      </c>
      <c r="T139" s="17" t="n">
        <f aca="false">IF($P139="","",$P139-$S139)</f>
        <v/>
      </c>
      <c r="U139" s="17" t="n">
        <f aca="false">IF($T139="","",IF($B$10=0,"",$T139/$B$10))</f>
        <v/>
      </c>
      <c r="V139" s="17" t="n">
        <f aca="false">IF($P139="","",IF($B$10=0,"",$P139/$B$10))</f>
        <v/>
      </c>
      <c r="W139" s="19" t="n">
        <f aca="false">IF($T139="",1000000000000000,$T139)</f>
        <v/>
      </c>
      <c r="XFB139" s="6"/>
      <c r="XFC139" s="3"/>
    </row>
    <row r="140" s="5" collapsed="false" customFormat="true" customHeight="true" hidden="false" ht="28.5" outlineLevel="0">
      <c r="A140" s="16" t="n">
        <f aca="false">IF($T140="","",1+COUNTIF($W$15:$W$894,"&lt;"&amp;W140))</f>
        <v/>
      </c>
      <c r="B140" s="16" t="s">
        <v>10</v>
      </c>
      <c r="C140" s="16" t="s">
        <v>302</v>
      </c>
      <c r="D140" s="20" t="s">
        <v>86</v>
      </c>
      <c r="E140" s="16" t="s">
        <v>26</v>
      </c>
      <c r="F140" s="16" t="s">
        <v>303</v>
      </c>
      <c r="G140" s="17">
        <v>1799</v>
      </c>
      <c r="H140" s="17">
        <v>2069</v>
      </c>
      <c r="I140" s="17"/>
      <c r="J140" s="17">
        <v>1799</v>
      </c>
      <c r="K140" s="17" t="n">
        <f aca="false">IF(AND(IFERROR(SEARCH("현대오일뱅크",$C140),0)&gt;0,IFERROR(SEARCH("직영",$C140),0)&gt;0),$B$13,0)</f>
        <v/>
      </c>
      <c r="L140" s="17" t="n">
        <f aca="false">IF($G140="","",$G140+$K140)</f>
        <v/>
      </c>
      <c r="M140" s="17" t="n">
        <f aca="false">IF($H140="","",$H140+$K140)</f>
        <v/>
      </c>
      <c r="N140" s="17" t="n">
        <f aca="false">IF($J140="","",$J140+$K140)</f>
        <v/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/>
      </c>
      <c r="P140" s="17" t="n">
        <f aca="false">IF($B$10=0,"",IFERROR(IF($B$4&gt;0,IF($L140="",1/0,$L140*$B$4),0)+IF($B$5&gt;0,IF($M140="",1/0,$M140*$B$5),0)+IF($B$6&gt;0,IF($N140="",1/0,$N140*$B$6),0),""))</f>
        <v/>
      </c>
      <c r="Q140" s="17"/>
      <c r="R140" s="18" t="n">
        <f aca="false">IF($P140="","",IF($Q140="Y",IFERROR(VLOOKUP($B140,$C$4:$D$13,2,FALSE()),0),0))</f>
        <v/>
      </c>
      <c r="S140" s="17" t="n">
        <f aca="false">IF($P140="","",ROUNDDOWN($P140*$R140,0))</f>
        <v/>
      </c>
      <c r="T140" s="17" t="n">
        <f aca="false">IF($P140="","",$P140-$S140)</f>
        <v/>
      </c>
      <c r="U140" s="17" t="n">
        <f aca="false">IF($T140="","",IF($B$10=0,"",$T140/$B$10))</f>
        <v/>
      </c>
      <c r="V140" s="17" t="n">
        <f aca="false">IF($P140="","",IF($B$10=0,"",$P140/$B$10))</f>
        <v/>
      </c>
      <c r="W140" s="19" t="n">
        <f aca="false">IF($T140="",1000000000000000,$T140)</f>
        <v/>
      </c>
      <c r="XFB140" s="6"/>
      <c r="XFC140" s="3"/>
    </row>
    <row r="141" s="5" collapsed="false" customFormat="true" customHeight="true" hidden="false" ht="28.5" outlineLevel="0">
      <c r="A141" s="16" t="n">
        <f aca="false">IF($T141="","",1+COUNTIF($W$15:$W$894,"&lt;"&amp;W141))</f>
        <v/>
      </c>
      <c r="B141" s="16" t="s">
        <v>16</v>
      </c>
      <c r="C141" s="16" t="s">
        <v>306</v>
      </c>
      <c r="D141" s="16" t="s">
        <v>56</v>
      </c>
      <c r="E141" s="16" t="s">
        <v>26</v>
      </c>
      <c r="F141" s="16" t="s">
        <v>307</v>
      </c>
      <c r="G141" s="17">
        <v>1810</v>
      </c>
      <c r="H141" s="17">
        <v>2060</v>
      </c>
      <c r="I141" s="17"/>
      <c r="J141" s="17">
        <v>1820</v>
      </c>
      <c r="K141" s="17" t="n">
        <f aca="false">IF(AND(IFERROR(SEARCH("현대오일뱅크",$C141),0)&gt;0,IFERROR(SEARCH("직영",$C141),0)&gt;0),$B$13,0)</f>
        <v/>
      </c>
      <c r="L141" s="17" t="n">
        <f aca="false">IF($G141="","",$G141+$K141)</f>
        <v/>
      </c>
      <c r="M141" s="17" t="n">
        <f aca="false">IF($H141="","",$H141+$K141)</f>
        <v/>
      </c>
      <c r="N141" s="17" t="n">
        <f aca="false">IF($J141="","",$J141+$K141)</f>
        <v/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/>
      </c>
      <c r="P141" s="17" t="n">
        <f aca="false">IF($B$10=0,"",IFERROR(IF($B$4&gt;0,IF($L141="",1/0,$L141*$B$4),0)+IF($B$5&gt;0,IF($M141="",1/0,$M141*$B$5),0)+IF($B$6&gt;0,IF($N141="",1/0,$N141*$B$6),0),""))</f>
        <v/>
      </c>
      <c r="Q141" s="17"/>
      <c r="R141" s="18" t="n">
        <f aca="false">IF($P141="","",IF($Q141="Y",IFERROR(VLOOKUP($B141,$C$4:$D$13,2,FALSE()),0),0))</f>
        <v/>
      </c>
      <c r="S141" s="17" t="n">
        <f aca="false">IF($P141="","",ROUNDDOWN($P141*$R141,0))</f>
        <v/>
      </c>
      <c r="T141" s="17" t="n">
        <f aca="false">IF($P141="","",$P141-$S141)</f>
        <v/>
      </c>
      <c r="U141" s="17" t="n">
        <f aca="false">IF($T141="","",IF($B$10=0,"",$T141/$B$10))</f>
        <v/>
      </c>
      <c r="V141" s="17" t="n">
        <f aca="false">IF($P141="","",IF($B$10=0,"",$P141/$B$10))</f>
        <v/>
      </c>
      <c r="W141" s="19" t="n">
        <f aca="false">IF($T141="",1000000000000000,$T141)</f>
        <v/>
      </c>
      <c r="XFB141" s="6"/>
      <c r="XFC141" s="3"/>
    </row>
    <row r="142" s="5" collapsed="false" customFormat="true" customHeight="true" hidden="false" ht="28.5" outlineLevel="0">
      <c r="A142" s="16" t="n">
        <f aca="false">IF($T142="","",1+COUNTIF($W$15:$W$894,"&lt;"&amp;W142))</f>
        <v/>
      </c>
      <c r="B142" s="16" t="s">
        <v>16</v>
      </c>
      <c r="C142" s="16" t="s">
        <v>308</v>
      </c>
      <c r="D142" s="16" t="s">
        <v>51</v>
      </c>
      <c r="E142" s="16" t="s">
        <v>26</v>
      </c>
      <c r="F142" s="16" t="s">
        <v>309</v>
      </c>
      <c r="G142" s="17">
        <v>1820</v>
      </c>
      <c r="H142" s="17">
        <v>2050</v>
      </c>
      <c r="I142" s="17"/>
      <c r="J142" s="17">
        <v>1820</v>
      </c>
      <c r="K142" s="17" t="n">
        <f aca="false">IF(AND(IFERROR(SEARCH("현대오일뱅크",$C142),0)&gt;0,IFERROR(SEARCH("직영",$C142),0)&gt;0),$B$13,0)</f>
        <v/>
      </c>
      <c r="L142" s="17" t="n">
        <f aca="false">IF($G142="","",$G142+$K142)</f>
        <v/>
      </c>
      <c r="M142" s="17" t="n">
        <f aca="false">IF($H142="","",$H142+$K142)</f>
        <v/>
      </c>
      <c r="N142" s="17" t="n">
        <f aca="false">IF($J142="","",$J142+$K142)</f>
        <v/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/>
      </c>
      <c r="P142" s="17" t="n">
        <f aca="false">IF($B$10=0,"",IFERROR(IF($B$4&gt;0,IF($L142="",1/0,$L142*$B$4),0)+IF($B$5&gt;0,IF($M142="",1/0,$M142*$B$5),0)+IF($B$6&gt;0,IF($N142="",1/0,$N142*$B$6),0),""))</f>
        <v/>
      </c>
      <c r="Q142" s="17"/>
      <c r="R142" s="18" t="n">
        <f aca="false">IF($P142="","",IF($Q142="Y",IFERROR(VLOOKUP($B142,$C$4:$D$13,2,FALSE()),0),0))</f>
        <v/>
      </c>
      <c r="S142" s="17" t="n">
        <f aca="false">IF($P142="","",ROUNDDOWN($P142*$R142,0))</f>
        <v/>
      </c>
      <c r="T142" s="17" t="n">
        <f aca="false">IF($P142="","",$P142-$S142)</f>
        <v/>
      </c>
      <c r="U142" s="17" t="n">
        <f aca="false">IF($T142="","",IF($B$10=0,"",$T142/$B$10))</f>
        <v/>
      </c>
      <c r="V142" s="17" t="n">
        <f aca="false">IF($P142="","",IF($B$10=0,"",$P142/$B$10))</f>
        <v/>
      </c>
      <c r="W142" s="19" t="n">
        <f aca="false">IF($T142="",1000000000000000,$T142)</f>
        <v/>
      </c>
      <c r="XFB142" s="6"/>
      <c r="XFC142" s="3"/>
    </row>
    <row r="143" s="5" collapsed="false" customFormat="true" customHeight="true" hidden="false" ht="28.5" outlineLevel="0">
      <c r="A143" s="16" t="n">
        <f aca="false">IF($T143="","",1+COUNTIF($W$15:$W$894,"&lt;"&amp;W143))</f>
        <v/>
      </c>
      <c r="B143" s="16" t="s">
        <v>6</v>
      </c>
      <c r="C143" s="16" t="s">
        <v>310</v>
      </c>
      <c r="D143" s="20" t="s">
        <v>86</v>
      </c>
      <c r="E143" s="16" t="s">
        <v>26</v>
      </c>
      <c r="F143" s="16" t="s">
        <v>311</v>
      </c>
      <c r="G143" s="17">
        <v>1839</v>
      </c>
      <c r="H143" s="17">
        <v>2029</v>
      </c>
      <c r="I143" s="17"/>
      <c r="J143" s="17">
        <v>1798</v>
      </c>
      <c r="K143" s="17" t="n">
        <f aca="false">IF(AND(IFERROR(SEARCH("현대오일뱅크",$C143),0)&gt;0,IFERROR(SEARCH("직영",$C143),0)&gt;0),$B$13,0)</f>
        <v/>
      </c>
      <c r="L143" s="17" t="n">
        <f aca="false">IF($G143="","",$G143+$K143)</f>
        <v/>
      </c>
      <c r="M143" s="17" t="n">
        <f aca="false">IF($H143="","",$H143+$K143)</f>
        <v/>
      </c>
      <c r="N143" s="17" t="n">
        <f aca="false">IF($J143="","",$J143+$K143)</f>
        <v/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/>
      </c>
      <c r="P143" s="17" t="n">
        <f aca="false">IF($B$10=0,"",IFERROR(IF($B$4&gt;0,IF($L143="",1/0,$L143*$B$4),0)+IF($B$5&gt;0,IF($M143="",1/0,$M143*$B$5),0)+IF($B$6&gt;0,IF($N143="",1/0,$N143*$B$6),0),""))</f>
        <v/>
      </c>
      <c r="Q143" s="17"/>
      <c r="R143" s="18" t="n">
        <f aca="false">IF($P143="","",IF($Q143="Y",IFERROR(VLOOKUP($B143,$C$4:$D$13,2,FALSE()),0),0))</f>
        <v/>
      </c>
      <c r="S143" s="17" t="n">
        <f aca="false">IF($P143="","",ROUNDDOWN($P143*$R143,0))</f>
        <v/>
      </c>
      <c r="T143" s="17" t="n">
        <f aca="false">IF($P143="","",$P143-$S143)</f>
        <v/>
      </c>
      <c r="U143" s="17" t="n">
        <f aca="false">IF($T143="","",IF($B$10=0,"",$T143/$B$10))</f>
        <v/>
      </c>
      <c r="V143" s="17" t="n">
        <f aca="false">IF($P143="","",IF($B$10=0,"",$P143/$B$10))</f>
        <v/>
      </c>
      <c r="W143" s="19" t="n">
        <f aca="false">IF($T143="",1000000000000000,$T143)</f>
        <v/>
      </c>
      <c r="XFB143" s="6"/>
      <c r="XFC143" s="3"/>
    </row>
    <row r="144" s="5" collapsed="false" customFormat="true" customHeight="true" hidden="false" ht="28.5" outlineLevel="0">
      <c r="A144" s="16" t="n">
        <f aca="false">IF($T144="","",1+COUNTIF($W$15:$W$894,"&lt;"&amp;W144))</f>
        <v/>
      </c>
      <c r="B144" s="16" t="s">
        <v>10</v>
      </c>
      <c r="C144" s="16" t="s">
        <v>312</v>
      </c>
      <c r="D144" s="16" t="s">
        <v>45</v>
      </c>
      <c r="E144" s="16" t="s">
        <v>26</v>
      </c>
      <c r="F144" s="16" t="s">
        <v>313</v>
      </c>
      <c r="G144" s="17">
        <v>1849</v>
      </c>
      <c r="H144" s="17">
        <v>2019</v>
      </c>
      <c r="I144" s="17"/>
      <c r="J144" s="17">
        <v>1839</v>
      </c>
      <c r="K144" s="17" t="n">
        <f aca="false">IF(AND(IFERROR(SEARCH("현대오일뱅크",$C144),0)&gt;0,IFERROR(SEARCH("직영",$C144),0)&gt;0),$B$13,0)</f>
        <v/>
      </c>
      <c r="L144" s="17" t="n">
        <f aca="false">IF($G144="","",$G144+$K144)</f>
        <v/>
      </c>
      <c r="M144" s="17" t="n">
        <f aca="false">IF($H144="","",$H144+$K144)</f>
        <v/>
      </c>
      <c r="N144" s="17" t="n">
        <f aca="false">IF($J144="","",$J144+$K144)</f>
        <v/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/>
      </c>
      <c r="P144" s="17" t="n">
        <f aca="false">IF($B$10=0,"",IFERROR(IF($B$4&gt;0,IF($L144="",1/0,$L144*$B$4),0)+IF($B$5&gt;0,IF($M144="",1/0,$M144*$B$5),0)+IF($B$6&gt;0,IF($N144="",1/0,$N144*$B$6),0),""))</f>
        <v/>
      </c>
      <c r="Q144" s="17"/>
      <c r="R144" s="18" t="n">
        <f aca="false">IF($P144="","",IF($Q144="Y",IFERROR(VLOOKUP($B144,$C$4:$D$13,2,FALSE()),0),0))</f>
        <v/>
      </c>
      <c r="S144" s="17" t="n">
        <f aca="false">IF($P144="","",ROUNDDOWN($P144*$R144,0))</f>
        <v/>
      </c>
      <c r="T144" s="17" t="n">
        <f aca="false">IF($P144="","",$P144-$S144)</f>
        <v/>
      </c>
      <c r="U144" s="17" t="n">
        <f aca="false">IF($T144="","",IF($B$10=0,"",$T144/$B$10))</f>
        <v/>
      </c>
      <c r="V144" s="17" t="n">
        <f aca="false">IF($P144="","",IF($B$10=0,"",$P144/$B$10))</f>
        <v/>
      </c>
      <c r="W144" s="19" t="n">
        <f aca="false">IF($T144="",1000000000000000,$T144)</f>
        <v/>
      </c>
      <c r="XFB144" s="6"/>
      <c r="XFC144" s="3"/>
    </row>
    <row r="145" s="5" collapsed="false" customFormat="true" customHeight="true" hidden="false" ht="28.5" outlineLevel="0">
      <c r="A145" s="16" t="n">
        <f aca="false">IF($T145="","",1+COUNTIF($W$15:$W$894,"&lt;"&amp;W145))</f>
        <v/>
      </c>
      <c r="B145" s="16" t="s">
        <v>6</v>
      </c>
      <c r="C145" s="16" t="s">
        <v>314</v>
      </c>
      <c r="D145" s="16" t="s">
        <v>45</v>
      </c>
      <c r="E145" s="16" t="s">
        <v>26</v>
      </c>
      <c r="F145" s="16" t="s">
        <v>315</v>
      </c>
      <c r="G145" s="17">
        <v>1795</v>
      </c>
      <c r="H145" s="17">
        <v>2089</v>
      </c>
      <c r="I145" s="17"/>
      <c r="J145" s="17">
        <v>1798</v>
      </c>
      <c r="K145" s="17" t="n">
        <f aca="false">IF(AND(IFERROR(SEARCH("현대오일뱅크",$C145),0)&gt;0,IFERROR(SEARCH("직영",$C145),0)&gt;0),$B$13,0)</f>
        <v/>
      </c>
      <c r="L145" s="17" t="n">
        <f aca="false">IF($G145="","",$G145+$K145)</f>
        <v/>
      </c>
      <c r="M145" s="17" t="n">
        <f aca="false">IF($H145="","",$H145+$K145)</f>
        <v/>
      </c>
      <c r="N145" s="17" t="n">
        <f aca="false">IF($J145="","",$J145+$K145)</f>
        <v/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/>
      </c>
      <c r="P145" s="17" t="n">
        <f aca="false">IF($B$10=0,"",IFERROR(IF($B$4&gt;0,IF($L145="",1/0,$L145*$B$4),0)+IF($B$5&gt;0,IF($M145="",1/0,$M145*$B$5),0)+IF($B$6&gt;0,IF($N145="",1/0,$N145*$B$6),0),""))</f>
        <v/>
      </c>
      <c r="Q145" s="17"/>
      <c r="R145" s="18" t="n">
        <f aca="false">IF($P145="","",IF($Q145="Y",IFERROR(VLOOKUP($B145,$C$4:$D$13,2,FALSE()),0),0))</f>
        <v/>
      </c>
      <c r="S145" s="17" t="n">
        <f aca="false">IF($P145="","",ROUNDDOWN($P145*$R145,0))</f>
        <v/>
      </c>
      <c r="T145" s="17" t="n">
        <f aca="false">IF($P145="","",$P145-$S145)</f>
        <v/>
      </c>
      <c r="U145" s="17" t="n">
        <f aca="false">IF($T145="","",IF($B$10=0,"",$T145/$B$10))</f>
        <v/>
      </c>
      <c r="V145" s="17" t="n">
        <f aca="false">IF($P145="","",IF($B$10=0,"",$P145/$B$10))</f>
        <v/>
      </c>
      <c r="W145" s="19" t="n">
        <f aca="false">IF($T145="",1000000000000000,$T145)</f>
        <v/>
      </c>
      <c r="XFB145" s="6"/>
      <c r="XFC145" s="3"/>
    </row>
    <row r="146" s="5" collapsed="false" customFormat="true" customHeight="true" hidden="false" ht="28.5" outlineLevel="0">
      <c r="A146" s="16" t="n">
        <f aca="false">IF($T146="","",1+COUNTIF($W$15:$W$894,"&lt;"&amp;W146))</f>
        <v/>
      </c>
      <c r="B146" s="16" t="s">
        <v>16</v>
      </c>
      <c r="C146" s="16" t="s">
        <v>316</v>
      </c>
      <c r="D146" s="16" t="s">
        <v>51</v>
      </c>
      <c r="E146" s="16" t="s">
        <v>26</v>
      </c>
      <c r="F146" s="16" t="s">
        <v>317</v>
      </c>
      <c r="G146" s="17">
        <v>1820</v>
      </c>
      <c r="H146" s="17">
        <v>2060</v>
      </c>
      <c r="I146" s="17"/>
      <c r="J146" s="17">
        <v>1820</v>
      </c>
      <c r="K146" s="17" t="n">
        <f aca="false">IF(AND(IFERROR(SEARCH("현대오일뱅크",$C146),0)&gt;0,IFERROR(SEARCH("직영",$C146),0)&gt;0),$B$13,0)</f>
        <v/>
      </c>
      <c r="L146" s="17" t="n">
        <f aca="false">IF($G146="","",$G146+$K146)</f>
        <v/>
      </c>
      <c r="M146" s="17" t="n">
        <f aca="false">IF($H146="","",$H146+$K146)</f>
        <v/>
      </c>
      <c r="N146" s="17" t="n">
        <f aca="false">IF($J146="","",$J146+$K146)</f>
        <v/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/>
      </c>
      <c r="P146" s="17" t="n">
        <f aca="false">IF($B$10=0,"",IFERROR(IF($B$4&gt;0,IF($L146="",1/0,$L146*$B$4),0)+IF($B$5&gt;0,IF($M146="",1/0,$M146*$B$5),0)+IF($B$6&gt;0,IF($N146="",1/0,$N146*$B$6),0),""))</f>
        <v/>
      </c>
      <c r="Q146" s="17"/>
      <c r="R146" s="18" t="n">
        <f aca="false">IF($P146="","",IF($Q146="Y",IFERROR(VLOOKUP($B146,$C$4:$D$13,2,FALSE()),0),0))</f>
        <v/>
      </c>
      <c r="S146" s="17" t="n">
        <f aca="false">IF($P146="","",ROUNDDOWN($P146*$R146,0))</f>
        <v/>
      </c>
      <c r="T146" s="17" t="n">
        <f aca="false">IF($P146="","",$P146-$S146)</f>
        <v/>
      </c>
      <c r="U146" s="17" t="n">
        <f aca="false">IF($T146="","",IF($B$10=0,"",$T146/$B$10))</f>
        <v/>
      </c>
      <c r="V146" s="17" t="n">
        <f aca="false">IF($P146="","",IF($B$10=0,"",$P146/$B$10))</f>
        <v/>
      </c>
      <c r="W146" s="19" t="n">
        <f aca="false">IF($T146="",1000000000000000,$T146)</f>
        <v/>
      </c>
      <c r="XFB146" s="6"/>
      <c r="XFC146" s="3"/>
    </row>
    <row r="147" s="5" collapsed="false" customFormat="true" customHeight="true" hidden="false" ht="28.5" outlineLevel="0">
      <c r="A147" s="16" t="n">
        <f aca="false">IF($T147="","",1+COUNTIF($W$15:$W$894,"&lt;"&amp;W147))</f>
        <v/>
      </c>
      <c r="B147" s="16" t="s">
        <v>12</v>
      </c>
      <c r="C147" s="16" t="s">
        <v>318</v>
      </c>
      <c r="D147" s="20" t="s">
        <v>86</v>
      </c>
      <c r="E147" s="16" t="s">
        <v>26</v>
      </c>
      <c r="F147" s="16" t="s">
        <v>319</v>
      </c>
      <c r="G147" s="17">
        <v>1838</v>
      </c>
      <c r="H147" s="17">
        <v>2039</v>
      </c>
      <c r="I147" s="17"/>
      <c r="J147" s="17">
        <v>1778</v>
      </c>
      <c r="K147" s="17" t="n">
        <f aca="false">IF(AND(IFERROR(SEARCH("현대오일뱅크",$C147),0)&gt;0,IFERROR(SEARCH("직영",$C147),0)&gt;0),$B$13,0)</f>
        <v/>
      </c>
      <c r="L147" s="17" t="n">
        <f aca="false">IF($G147="","",$G147+$K147)</f>
        <v/>
      </c>
      <c r="M147" s="17" t="n">
        <f aca="false">IF($H147="","",$H147+$K147)</f>
        <v/>
      </c>
      <c r="N147" s="17" t="n">
        <f aca="false">IF($J147="","",$J147+$K147)</f>
        <v/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/>
      </c>
      <c r="P147" s="17" t="n">
        <f aca="false">IF($B$10=0,"",IFERROR(IF($B$4&gt;0,IF($L147="",1/0,$L147*$B$4),0)+IF($B$5&gt;0,IF($M147="",1/0,$M147*$B$5),0)+IF($B$6&gt;0,IF($N147="",1/0,$N147*$B$6),0),""))</f>
        <v/>
      </c>
      <c r="Q147" s="17"/>
      <c r="R147" s="18" t="n">
        <f aca="false">IF($P147="","",IF($Q147="Y",IFERROR(VLOOKUP($B147,$C$4:$D$13,2,FALSE()),0),0))</f>
        <v/>
      </c>
      <c r="S147" s="17" t="n">
        <f aca="false">IF($P147="","",ROUNDDOWN($P147*$R147,0))</f>
        <v/>
      </c>
      <c r="T147" s="17" t="n">
        <f aca="false">IF($P147="","",$P147-$S147)</f>
        <v/>
      </c>
      <c r="U147" s="17" t="n">
        <f aca="false">IF($T147="","",IF($B$10=0,"",$T147/$B$10))</f>
        <v/>
      </c>
      <c r="V147" s="17" t="n">
        <f aca="false">IF($P147="","",IF($B$10=0,"",$P147/$B$10))</f>
        <v/>
      </c>
      <c r="W147" s="19" t="n">
        <f aca="false">IF($T147="",1000000000000000,$T147)</f>
        <v/>
      </c>
      <c r="XFB147" s="6"/>
      <c r="XFC147" s="3"/>
    </row>
    <row r="148" s="5" collapsed="false" customFormat="true" customHeight="true" hidden="false" ht="28.5" outlineLevel="0">
      <c r="A148" s="16" t="n">
        <f aca="false">IF($T148="","",1+COUNTIF($W$15:$W$894,"&lt;"&amp;W148))</f>
        <v/>
      </c>
      <c r="B148" s="16" t="s">
        <v>16</v>
      </c>
      <c r="C148" s="16" t="s">
        <v>320</v>
      </c>
      <c r="D148" s="16" t="s">
        <v>45</v>
      </c>
      <c r="E148" s="16" t="s">
        <v>26</v>
      </c>
      <c r="F148" s="16" t="s">
        <v>321</v>
      </c>
      <c r="G148" s="17">
        <v>1799</v>
      </c>
      <c r="H148" s="17">
        <v>2090</v>
      </c>
      <c r="I148" s="17"/>
      <c r="J148" s="17">
        <v>1799</v>
      </c>
      <c r="K148" s="17" t="n">
        <f aca="false">IF(AND(IFERROR(SEARCH("현대오일뱅크",$C148),0)&gt;0,IFERROR(SEARCH("직영",$C148),0)&gt;0),$B$13,0)</f>
        <v/>
      </c>
      <c r="L148" s="17" t="n">
        <f aca="false">IF($G148="","",$G148+$K148)</f>
        <v/>
      </c>
      <c r="M148" s="17" t="n">
        <f aca="false">IF($H148="","",$H148+$K148)</f>
        <v/>
      </c>
      <c r="N148" s="17" t="n">
        <f aca="false">IF($J148="","",$J148+$K148)</f>
        <v/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/>
      </c>
      <c r="P148" s="17" t="n">
        <f aca="false">IF($B$10=0,"",IFERROR(IF($B$4&gt;0,IF($L148="",1/0,$L148*$B$4),0)+IF($B$5&gt;0,IF($M148="",1/0,$M148*$B$5),0)+IF($B$6&gt;0,IF($N148="",1/0,$N148*$B$6),0),""))</f>
        <v/>
      </c>
      <c r="Q148" s="17"/>
      <c r="R148" s="18" t="n">
        <f aca="false">IF($P148="","",IF($Q148="Y",IFERROR(VLOOKUP($B148,$C$4:$D$13,2,FALSE()),0),0))</f>
        <v/>
      </c>
      <c r="S148" s="17" t="n">
        <f aca="false">IF($P148="","",ROUNDDOWN($P148*$R148,0))</f>
        <v/>
      </c>
      <c r="T148" s="17" t="n">
        <f aca="false">IF($P148="","",$P148-$S148)</f>
        <v/>
      </c>
      <c r="U148" s="17" t="n">
        <f aca="false">IF($T148="","",IF($B$10=0,"",$T148/$B$10))</f>
        <v/>
      </c>
      <c r="V148" s="17" t="n">
        <f aca="false">IF($P148="","",IF($B$10=0,"",$P148/$B$10))</f>
        <v/>
      </c>
      <c r="W148" s="19" t="n">
        <f aca="false">IF($T148="",1000000000000000,$T148)</f>
        <v/>
      </c>
      <c r="XFB148" s="6"/>
      <c r="XFC148" s="3"/>
    </row>
    <row r="149" s="5" collapsed="false" customFormat="true" customHeight="true" hidden="false" ht="28.5" outlineLevel="0">
      <c r="A149" s="16" t="n">
        <f aca="false">IF($T149="","",1+COUNTIF($W$15:$W$894,"&lt;"&amp;W149))</f>
        <v/>
      </c>
      <c r="B149" s="16" t="s">
        <v>18</v>
      </c>
      <c r="C149" s="16" t="s">
        <v>322</v>
      </c>
      <c r="D149" s="20" t="s">
        <v>86</v>
      </c>
      <c r="E149" s="16" t="s">
        <v>26</v>
      </c>
      <c r="F149" s="16" t="s">
        <v>323</v>
      </c>
      <c r="G149" s="17">
        <v>1792</v>
      </c>
      <c r="H149" s="17">
        <v>2099</v>
      </c>
      <c r="I149" s="17"/>
      <c r="J149" s="17">
        <v>1792</v>
      </c>
      <c r="K149" s="17" t="n">
        <f aca="false">IF(AND(IFERROR(SEARCH("현대오일뱅크",$C149),0)&gt;0,IFERROR(SEARCH("직영",$C149),0)&gt;0),$B$13,0)</f>
        <v/>
      </c>
      <c r="L149" s="17" t="n">
        <f aca="false">IF($G149="","",$G149+$K149)</f>
        <v/>
      </c>
      <c r="M149" s="17" t="n">
        <f aca="false">IF($H149="","",$H149+$K149)</f>
        <v/>
      </c>
      <c r="N149" s="17" t="n">
        <f aca="false">IF($J149="","",$J149+$K149)</f>
        <v/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/>
      </c>
      <c r="P149" s="17" t="n">
        <f aca="false">IF($B$10=0,"",IFERROR(IF($B$4&gt;0,IF($L149="",1/0,$L149*$B$4),0)+IF($B$5&gt;0,IF($M149="",1/0,$M149*$B$5),0)+IF($B$6&gt;0,IF($N149="",1/0,$N149*$B$6),0),""))</f>
        <v/>
      </c>
      <c r="Q149" s="17"/>
      <c r="R149" s="18" t="n">
        <f aca="false">IF($P149="","",IF($Q149="Y",IFERROR(VLOOKUP($B149,$C$4:$D$13,2,FALSE()),0),0))</f>
        <v/>
      </c>
      <c r="S149" s="17" t="n">
        <f aca="false">IF($P149="","",ROUNDDOWN($P149*$R149,0))</f>
        <v/>
      </c>
      <c r="T149" s="17" t="n">
        <f aca="false">IF($P149="","",$P149-$S149)</f>
        <v/>
      </c>
      <c r="U149" s="17" t="n">
        <f aca="false">IF($T149="","",IF($B$10=0,"",$T149/$B$10))</f>
        <v/>
      </c>
      <c r="V149" s="17" t="n">
        <f aca="false">IF($P149="","",IF($B$10=0,"",$P149/$B$10))</f>
        <v/>
      </c>
      <c r="W149" s="19" t="n">
        <f aca="false">IF($T149="",1000000000000000,$T149)</f>
        <v/>
      </c>
      <c r="XFB149" s="6"/>
      <c r="XFC149" s="3"/>
    </row>
    <row r="150" s="5" collapsed="false" customFormat="true" customHeight="true" hidden="false" ht="28.5" outlineLevel="0">
      <c r="A150" s="16" t="n">
        <f aca="false">IF($T150="","",1+COUNTIF($W$15:$W$894,"&lt;"&amp;W150))</f>
        <v/>
      </c>
      <c r="B150" s="16" t="s">
        <v>12</v>
      </c>
      <c r="C150" s="16" t="s">
        <v>324</v>
      </c>
      <c r="D150" s="20" t="s">
        <v>51</v>
      </c>
      <c r="E150" s="16" t="s">
        <v>26</v>
      </c>
      <c r="F150" s="16" t="s">
        <v>325</v>
      </c>
      <c r="G150" s="17">
        <v>1805</v>
      </c>
      <c r="H150" s="17">
        <v>2088</v>
      </c>
      <c r="I150" s="17"/>
      <c r="J150" s="17">
        <v>1770</v>
      </c>
      <c r="K150" s="17" t="n">
        <f aca="false">IF(AND(IFERROR(SEARCH("현대오일뱅크",$C150),0)&gt;0,IFERROR(SEARCH("직영",$C150),0)&gt;0),$B$13,0)</f>
        <v/>
      </c>
      <c r="L150" s="17" t="n">
        <f aca="false">IF($G150="","",$G150+$K150)</f>
        <v/>
      </c>
      <c r="M150" s="17" t="n">
        <f aca="false">IF($H150="","",$H150+$K150)</f>
        <v/>
      </c>
      <c r="N150" s="17" t="n">
        <f aca="false">IF($J150="","",$J150+$K150)</f>
        <v/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/>
      </c>
      <c r="P150" s="17" t="n">
        <f aca="false">IF($B$10=0,"",IFERROR(IF($B$4&gt;0,IF($L150="",1/0,$L150*$B$4),0)+IF($B$5&gt;0,IF($M150="",1/0,$M150*$B$5),0)+IF($B$6&gt;0,IF($N150="",1/0,$N150*$B$6),0),""))</f>
        <v/>
      </c>
      <c r="Q150" s="17"/>
      <c r="R150" s="18" t="n">
        <f aca="false">IF($P150="","",IF($Q150="Y",IFERROR(VLOOKUP($B150,$C$4:$D$13,2,FALSE()),0),0))</f>
        <v/>
      </c>
      <c r="S150" s="17" t="n">
        <f aca="false">IF($P150="","",ROUNDDOWN($P150*$R150,0))</f>
        <v/>
      </c>
      <c r="T150" s="17" t="n">
        <f aca="false">IF($P150="","",$P150-$S150)</f>
        <v/>
      </c>
      <c r="U150" s="17" t="n">
        <f aca="false">IF($T150="","",IF($B$10=0,"",$T150/$B$10))</f>
        <v/>
      </c>
      <c r="V150" s="17" t="n">
        <f aca="false">IF($P150="","",IF($B$10=0,"",$P150/$B$10))</f>
        <v/>
      </c>
      <c r="W150" s="19" t="n">
        <f aca="false">IF($T150="",1000000000000000,$T150)</f>
        <v/>
      </c>
      <c r="XFB150" s="6"/>
      <c r="XFC150" s="3"/>
    </row>
    <row r="151" s="5" collapsed="false" customFormat="true" customHeight="true" hidden="false" ht="28.5" outlineLevel="0">
      <c r="A151" s="16" t="n">
        <f aca="false">IF($T151="","",1+COUNTIF($W$15:$W$894,"&lt;"&amp;W151))</f>
        <v/>
      </c>
      <c r="B151" s="16" t="s">
        <v>14</v>
      </c>
      <c r="C151" s="16" t="s">
        <v>326</v>
      </c>
      <c r="D151" s="16" t="s">
        <v>45</v>
      </c>
      <c r="E151" s="16" t="s">
        <v>63</v>
      </c>
      <c r="F151" s="16" t="s">
        <v>327</v>
      </c>
      <c r="G151" s="17">
        <v>1816</v>
      </c>
      <c r="H151" s="17">
        <v>2100</v>
      </c>
      <c r="I151" s="17"/>
      <c r="J151" s="17">
        <v>1809</v>
      </c>
      <c r="K151" s="17" t="n">
        <f aca="false">IF(AND(IFERROR(SEARCH("현대오일뱅크",$C151),0)&gt;0,IFERROR(SEARCH("직영",$C151),0)&gt;0),$B$13,0)</f>
        <v/>
      </c>
      <c r="L151" s="17" t="n">
        <f aca="false">IF($G151="","",$G151+$K151)</f>
        <v/>
      </c>
      <c r="M151" s="17" t="n">
        <f aca="false">IF($H151="","",$H151+$K151)</f>
        <v/>
      </c>
      <c r="N151" s="17" t="n">
        <f aca="false">IF($J151="","",$J151+$K151)</f>
        <v/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/>
      </c>
      <c r="P151" s="17" t="n">
        <f aca="false">IF($B$10=0,"",IFERROR(IF($B$4&gt;0,IF($L151="",1/0,$L151*$B$4),0)+IF($B$5&gt;0,IF($M151="",1/0,$M151*$B$5),0)+IF($B$6&gt;0,IF($N151="",1/0,$N151*$B$6),0),""))</f>
        <v/>
      </c>
      <c r="Q151" s="17"/>
      <c r="R151" s="18" t="n">
        <f aca="false">IF($P151="","",IF($Q151="Y",IFERROR(VLOOKUP($B151,$C$4:$D$13,2,FALSE()),0),0))</f>
        <v/>
      </c>
      <c r="S151" s="17" t="n">
        <f aca="false">IF($P151="","",ROUNDDOWN($P151*$R151,0))</f>
        <v/>
      </c>
      <c r="T151" s="17" t="n">
        <f aca="false">IF($P151="","",$P151-$S151)</f>
        <v/>
      </c>
      <c r="U151" s="17" t="n">
        <f aca="false">IF($T151="","",IF($B$10=0,"",$T151/$B$10))</f>
        <v/>
      </c>
      <c r="V151" s="17" t="n">
        <f aca="false">IF($P151="","",IF($B$10=0,"",$P151/$B$10))</f>
        <v/>
      </c>
      <c r="W151" s="19" t="n">
        <f aca="false">IF($T151="",1000000000000000,$T151)</f>
        <v/>
      </c>
      <c r="XFB151" s="6"/>
      <c r="XFC151" s="3"/>
    </row>
    <row r="152" s="5" collapsed="false" customFormat="true" customHeight="true" hidden="false" ht="28.5" outlineLevel="0">
      <c r="A152" s="16" t="n">
        <f aca="false">IF($T152="","",1+COUNTIF($W$15:$W$894,"&lt;"&amp;W152))</f>
        <v/>
      </c>
      <c r="B152" s="16" t="s">
        <v>8</v>
      </c>
      <c r="C152" s="16" t="s">
        <v>328</v>
      </c>
      <c r="D152" s="16" t="s">
        <v>95</v>
      </c>
      <c r="E152" s="16" t="s">
        <v>26</v>
      </c>
      <c r="F152" s="16" t="s">
        <v>329</v>
      </c>
      <c r="G152" s="17">
        <v>1799</v>
      </c>
      <c r="H152" s="17">
        <v>2099</v>
      </c>
      <c r="I152" s="17"/>
      <c r="J152" s="17">
        <v>1809</v>
      </c>
      <c r="K152" s="17" t="n">
        <f aca="false">IF(AND(IFERROR(SEARCH("현대오일뱅크",$C152),0)&gt;0,IFERROR(SEARCH("직영",$C152),0)&gt;0),$B$13,0)</f>
        <v/>
      </c>
      <c r="L152" s="17" t="n">
        <f aca="false">IF($G152="","",$G152+$K152)</f>
        <v/>
      </c>
      <c r="M152" s="17" t="n">
        <f aca="false">IF($H152="","",$H152+$K152)</f>
        <v/>
      </c>
      <c r="N152" s="17" t="n">
        <f aca="false">IF($J152="","",$J152+$K152)</f>
        <v/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/>
      </c>
      <c r="P152" s="17" t="n">
        <f aca="false">IF($B$10=0,"",IFERROR(IF($B$4&gt;0,IF($L152="",1/0,$L152*$B$4),0)+IF($B$5&gt;0,IF($M152="",1/0,$M152*$B$5),0)+IF($B$6&gt;0,IF($N152="",1/0,$N152*$B$6),0),""))</f>
        <v/>
      </c>
      <c r="Q152" s="17"/>
      <c r="R152" s="18" t="n">
        <f aca="false">IF($P152="","",IF($Q152="Y",IFERROR(VLOOKUP($B152,$C$4:$D$13,2,FALSE()),0),0))</f>
        <v/>
      </c>
      <c r="S152" s="17" t="n">
        <f aca="false">IF($P152="","",ROUNDDOWN($P152*$R152,0))</f>
        <v/>
      </c>
      <c r="T152" s="17" t="n">
        <f aca="false">IF($P152="","",$P152-$S152)</f>
        <v/>
      </c>
      <c r="U152" s="17" t="n">
        <f aca="false">IF($T152="","",IF($B$10=0,"",$T152/$B$10))</f>
        <v/>
      </c>
      <c r="V152" s="17" t="n">
        <f aca="false">IF($P152="","",IF($B$10=0,"",$P152/$B$10))</f>
        <v/>
      </c>
      <c r="W152" s="19" t="n">
        <f aca="false">IF($T152="",1000000000000000,$T152)</f>
        <v/>
      </c>
      <c r="XFB152" s="6"/>
      <c r="XFC152" s="3"/>
    </row>
    <row r="153" s="5" collapsed="false" customFormat="true" customHeight="true" hidden="false" ht="28.5" outlineLevel="0">
      <c r="A153" s="16" t="n">
        <f aca="false">IF($T153="","",1+COUNTIF($W$15:$W$894,"&lt;"&amp;W153))</f>
        <v/>
      </c>
      <c r="B153" s="16" t="s">
        <v>14</v>
      </c>
      <c r="C153" s="16" t="s">
        <v>330</v>
      </c>
      <c r="D153" s="16" t="s">
        <v>95</v>
      </c>
      <c r="E153" s="16" t="s">
        <v>26</v>
      </c>
      <c r="F153" s="16" t="s">
        <v>331</v>
      </c>
      <c r="G153" s="17">
        <v>1799</v>
      </c>
      <c r="H153" s="17">
        <v>2099</v>
      </c>
      <c r="I153" s="17"/>
      <c r="J153" s="17">
        <v>1799</v>
      </c>
      <c r="K153" s="17" t="n">
        <f aca="false">IF(AND(IFERROR(SEARCH("현대오일뱅크",$C153),0)&gt;0,IFERROR(SEARCH("직영",$C153),0)&gt;0),$B$13,0)</f>
        <v/>
      </c>
      <c r="L153" s="17" t="n">
        <f aca="false">IF($G153="","",$G153+$K153)</f>
        <v/>
      </c>
      <c r="M153" s="17" t="n">
        <f aca="false">IF($H153="","",$H153+$K153)</f>
        <v/>
      </c>
      <c r="N153" s="17" t="n">
        <f aca="false">IF($J153="","",$J153+$K153)</f>
        <v/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/>
      </c>
      <c r="P153" s="17" t="n">
        <f aca="false">IF($B$10=0,"",IFERROR(IF($B$4&gt;0,IF($L153="",1/0,$L153*$B$4),0)+IF($B$5&gt;0,IF($M153="",1/0,$M153*$B$5),0)+IF($B$6&gt;0,IF($N153="",1/0,$N153*$B$6),0),""))</f>
        <v/>
      </c>
      <c r="Q153" s="17"/>
      <c r="R153" s="18" t="n">
        <f aca="false">IF($P153="","",IF($Q153="Y",IFERROR(VLOOKUP($B153,$C$4:$D$13,2,FALSE()),0),0))</f>
        <v/>
      </c>
      <c r="S153" s="17" t="n">
        <f aca="false">IF($P153="","",ROUNDDOWN($P153*$R153,0))</f>
        <v/>
      </c>
      <c r="T153" s="17" t="n">
        <f aca="false">IF($P153="","",$P153-$S153)</f>
        <v/>
      </c>
      <c r="U153" s="17" t="n">
        <f aca="false">IF($T153="","",IF($B$10=0,"",$T153/$B$10))</f>
        <v/>
      </c>
      <c r="V153" s="17" t="n">
        <f aca="false">IF($P153="","",IF($B$10=0,"",$P153/$B$10))</f>
        <v/>
      </c>
      <c r="W153" s="19" t="n">
        <f aca="false">IF($T153="",1000000000000000,$T153)</f>
        <v/>
      </c>
      <c r="XFB153" s="6"/>
      <c r="XFC153" s="3"/>
    </row>
    <row r="154" s="5" collapsed="false" customFormat="true" customHeight="true" hidden="false" ht="28.5" outlineLevel="0">
      <c r="A154" s="16" t="n">
        <f aca="false">IF($T154="","",1+COUNTIF($W$15:$W$894,"&lt;"&amp;W154))</f>
        <v/>
      </c>
      <c r="B154" s="16" t="s">
        <v>10</v>
      </c>
      <c r="C154" s="16" t="s">
        <v>332</v>
      </c>
      <c r="D154" s="20" t="s">
        <v>86</v>
      </c>
      <c r="E154" s="16" t="s">
        <v>26</v>
      </c>
      <c r="F154" s="16" t="s">
        <v>333</v>
      </c>
      <c r="G154" s="17">
        <v>1799</v>
      </c>
      <c r="H154" s="17">
        <v>2099</v>
      </c>
      <c r="I154" s="17"/>
      <c r="J154" s="17">
        <v>1799</v>
      </c>
      <c r="K154" s="17" t="n">
        <f aca="false">IF(AND(IFERROR(SEARCH("현대오일뱅크",$C154),0)&gt;0,IFERROR(SEARCH("직영",$C154),0)&gt;0),$B$13,0)</f>
        <v/>
      </c>
      <c r="L154" s="17" t="n">
        <f aca="false">IF($G154="","",$G154+$K154)</f>
        <v/>
      </c>
      <c r="M154" s="17" t="n">
        <f aca="false">IF($H154="","",$H154+$K154)</f>
        <v/>
      </c>
      <c r="N154" s="17" t="n">
        <f aca="false">IF($J154="","",$J154+$K154)</f>
        <v/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/>
      </c>
      <c r="P154" s="17" t="n">
        <f aca="false">IF($B$10=0,"",IFERROR(IF($B$4&gt;0,IF($L154="",1/0,$L154*$B$4),0)+IF($B$5&gt;0,IF($M154="",1/0,$M154*$B$5),0)+IF($B$6&gt;0,IF($N154="",1/0,$N154*$B$6),0),""))</f>
        <v/>
      </c>
      <c r="Q154" s="17"/>
      <c r="R154" s="18" t="n">
        <f aca="false">IF($P154="","",IF($Q154="Y",IFERROR(VLOOKUP($B154,$C$4:$D$13,2,FALSE()),0),0))</f>
        <v/>
      </c>
      <c r="S154" s="17" t="n">
        <f aca="false">IF($P154="","",ROUNDDOWN($P154*$R154,0))</f>
        <v/>
      </c>
      <c r="T154" s="17" t="n">
        <f aca="false">IF($P154="","",$P154-$S154)</f>
        <v/>
      </c>
      <c r="U154" s="17" t="n">
        <f aca="false">IF($T154="","",IF($B$10=0,"",$T154/$B$10))</f>
        <v/>
      </c>
      <c r="V154" s="17" t="n">
        <f aca="false">IF($P154="","",IF($B$10=0,"",$P154/$B$10))</f>
        <v/>
      </c>
      <c r="W154" s="19" t="n">
        <f aca="false">IF($T154="",1000000000000000,$T154)</f>
        <v/>
      </c>
      <c r="XFB154" s="6"/>
      <c r="XFC154" s="3"/>
    </row>
    <row r="155" s="5" collapsed="false" customFormat="true" customHeight="true" hidden="false" ht="28.5" outlineLevel="0">
      <c r="A155" s="16" t="n">
        <f aca="false">IF($T155="","",1+COUNTIF($W$15:$W$894,"&lt;"&amp;W155))</f>
        <v/>
      </c>
      <c r="B155" s="16" t="s">
        <v>12</v>
      </c>
      <c r="C155" s="16" t="s">
        <v>338</v>
      </c>
      <c r="D155" s="20" t="s">
        <v>86</v>
      </c>
      <c r="E155" s="16" t="s">
        <v>63</v>
      </c>
      <c r="F155" s="16" t="s">
        <v>339</v>
      </c>
      <c r="G155" s="17">
        <v>1849</v>
      </c>
      <c r="H155" s="17">
        <v>2039</v>
      </c>
      <c r="I155" s="17"/>
      <c r="J155" s="17">
        <v>1798</v>
      </c>
      <c r="K155" s="17" t="n">
        <f aca="false">IF(AND(IFERROR(SEARCH("현대오일뱅크",$C155),0)&gt;0,IFERROR(SEARCH("직영",$C155),0)&gt;0),$B$13,0)</f>
        <v/>
      </c>
      <c r="L155" s="17" t="n">
        <f aca="false">IF($G155="","",$G155+$K155)</f>
        <v/>
      </c>
      <c r="M155" s="17" t="n">
        <f aca="false">IF($H155="","",$H155+$K155)</f>
        <v/>
      </c>
      <c r="N155" s="17" t="n">
        <f aca="false">IF($J155="","",$J155+$K155)</f>
        <v/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/>
      </c>
      <c r="P155" s="17" t="n">
        <f aca="false">IF($B$10=0,"",IFERROR(IF($B$4&gt;0,IF($L155="",1/0,$L155*$B$4),0)+IF($B$5&gt;0,IF($M155="",1/0,$M155*$B$5),0)+IF($B$6&gt;0,IF($N155="",1/0,$N155*$B$6),0),""))</f>
        <v/>
      </c>
      <c r="Q155" s="17"/>
      <c r="R155" s="18" t="n">
        <f aca="false">IF($P155="","",IF($Q155="Y",IFERROR(VLOOKUP($B155,$C$4:$D$13,2,FALSE()),0),0))</f>
        <v/>
      </c>
      <c r="S155" s="17" t="n">
        <f aca="false">IF($P155="","",ROUNDDOWN($P155*$R155,0))</f>
        <v/>
      </c>
      <c r="T155" s="17" t="n">
        <f aca="false">IF($P155="","",$P155-$S155)</f>
        <v/>
      </c>
      <c r="U155" s="17" t="n">
        <f aca="false">IF($T155="","",IF($B$10=0,"",$T155/$B$10))</f>
        <v/>
      </c>
      <c r="V155" s="17" t="n">
        <f aca="false">IF($P155="","",IF($B$10=0,"",$P155/$B$10))</f>
        <v/>
      </c>
      <c r="W155" s="19" t="n">
        <f aca="false">IF($T155="",1000000000000000,$T155)</f>
        <v/>
      </c>
      <c r="XFB155" s="6"/>
      <c r="XFC155" s="3"/>
    </row>
    <row r="156" s="5" collapsed="false" customFormat="true" customHeight="true" hidden="false" ht="28.5" outlineLevel="0">
      <c r="A156" s="16" t="n">
        <f aca="false">IF($T156="","",1+COUNTIF($W$15:$W$894,"&lt;"&amp;W156))</f>
        <v/>
      </c>
      <c r="B156" s="16" t="s">
        <v>10</v>
      </c>
      <c r="C156" s="16" t="s">
        <v>336</v>
      </c>
      <c r="D156" s="20" t="s">
        <v>86</v>
      </c>
      <c r="E156" s="16" t="s">
        <v>26</v>
      </c>
      <c r="F156" s="16" t="s">
        <v>337</v>
      </c>
      <c r="G156" s="17">
        <v>1825</v>
      </c>
      <c r="H156" s="17">
        <v>2069</v>
      </c>
      <c r="I156" s="17"/>
      <c r="J156" s="17">
        <v>1819</v>
      </c>
      <c r="K156" s="17" t="n">
        <f aca="false">IF(AND(IFERROR(SEARCH("현대오일뱅크",$C156),0)&gt;0,IFERROR(SEARCH("직영",$C156),0)&gt;0),$B$13,0)</f>
        <v/>
      </c>
      <c r="L156" s="17" t="n">
        <f aca="false">IF($G156="","",$G156+$K156)</f>
        <v/>
      </c>
      <c r="M156" s="17" t="n">
        <f aca="false">IF($H156="","",$H156+$K156)</f>
        <v/>
      </c>
      <c r="N156" s="17" t="n">
        <f aca="false">IF($J156="","",$J156+$K156)</f>
        <v/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/>
      </c>
      <c r="P156" s="17" t="n">
        <f aca="false">IF($B$10=0,"",IFERROR(IF($B$4&gt;0,IF($L156="",1/0,$L156*$B$4),0)+IF($B$5&gt;0,IF($M156="",1/0,$M156*$B$5),0)+IF($B$6&gt;0,IF($N156="",1/0,$N156*$B$6),0),""))</f>
        <v/>
      </c>
      <c r="Q156" s="17"/>
      <c r="R156" s="18" t="n">
        <f aca="false">IF($P156="","",IF($Q156="Y",IFERROR(VLOOKUP($B156,$C$4:$D$13,2,FALSE()),0),0))</f>
        <v/>
      </c>
      <c r="S156" s="17" t="n">
        <f aca="false">IF($P156="","",ROUNDDOWN($P156*$R156,0))</f>
        <v/>
      </c>
      <c r="T156" s="17" t="n">
        <f aca="false">IF($P156="","",$P156-$S156)</f>
        <v/>
      </c>
      <c r="U156" s="17" t="n">
        <f aca="false">IF($T156="","",IF($B$10=0,"",$T156/$B$10))</f>
        <v/>
      </c>
      <c r="V156" s="17" t="n">
        <f aca="false">IF($P156="","",IF($B$10=0,"",$P156/$B$10))</f>
        <v/>
      </c>
      <c r="W156" s="19" t="n">
        <f aca="false">IF($T156="",1000000000000000,$T156)</f>
        <v/>
      </c>
      <c r="XFB156" s="6"/>
      <c r="XFC156" s="3"/>
    </row>
    <row r="157" s="5" collapsed="false" customFormat="true" customHeight="true" hidden="false" ht="28.5" outlineLevel="0">
      <c r="A157" s="16" t="n">
        <f aca="false">IF($T157="","",1+COUNTIF($W$15:$W$894,"&lt;"&amp;W157))</f>
        <v/>
      </c>
      <c r="B157" s="16" t="s">
        <v>12</v>
      </c>
      <c r="C157" s="16" t="s">
        <v>340</v>
      </c>
      <c r="D157" s="20" t="s">
        <v>45</v>
      </c>
      <c r="E157" s="16" t="s">
        <v>26</v>
      </c>
      <c r="F157" s="16" t="s">
        <v>341</v>
      </c>
      <c r="G157" s="17">
        <v>1765</v>
      </c>
      <c r="H157" s="17">
        <v>2148</v>
      </c>
      <c r="I157" s="17"/>
      <c r="J157" s="17">
        <v>1799</v>
      </c>
      <c r="K157" s="17" t="n">
        <f aca="false">IF(AND(IFERROR(SEARCH("현대오일뱅크",$C157),0)&gt;0,IFERROR(SEARCH("직영",$C157),0)&gt;0),$B$13,0)</f>
        <v/>
      </c>
      <c r="L157" s="17" t="n">
        <f aca="false">IF($G157="","",$G157+$K157)</f>
        <v/>
      </c>
      <c r="M157" s="17" t="n">
        <f aca="false">IF($H157="","",$H157+$K157)</f>
        <v/>
      </c>
      <c r="N157" s="17" t="n">
        <f aca="false">IF($J157="","",$J157+$K157)</f>
        <v/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/>
      </c>
      <c r="P157" s="17" t="n">
        <f aca="false">IF($B$10=0,"",IFERROR(IF($B$4&gt;0,IF($L157="",1/0,$L157*$B$4),0)+IF($B$5&gt;0,IF($M157="",1/0,$M157*$B$5),0)+IF($B$6&gt;0,IF($N157="",1/0,$N157*$B$6),0),""))</f>
        <v/>
      </c>
      <c r="Q157" s="17"/>
      <c r="R157" s="18" t="n">
        <f aca="false">IF($P157="","",IF($Q157="Y",IFERROR(VLOOKUP($B157,$C$4:$D$13,2,FALSE()),0),0))</f>
        <v/>
      </c>
      <c r="S157" s="17" t="n">
        <f aca="false">IF($P157="","",ROUNDDOWN($P157*$R157,0))</f>
        <v/>
      </c>
      <c r="T157" s="17" t="n">
        <f aca="false">IF($P157="","",$P157-$S157)</f>
        <v/>
      </c>
      <c r="U157" s="17" t="n">
        <f aca="false">IF($T157="","",IF($B$10=0,"",$T157/$B$10))</f>
        <v/>
      </c>
      <c r="V157" s="17" t="n">
        <f aca="false">IF($P157="","",IF($B$10=0,"",$P157/$B$10))</f>
        <v/>
      </c>
      <c r="W157" s="19" t="n">
        <f aca="false">IF($T157="",1000000000000000,$T157)</f>
        <v/>
      </c>
      <c r="XFB157" s="6"/>
      <c r="XFC157" s="3"/>
    </row>
    <row r="158" s="5" collapsed="false" customFormat="true" customHeight="true" hidden="false" ht="28.5" outlineLevel="0">
      <c r="A158" s="16" t="n">
        <f aca="false">IF($T158="","",1+COUNTIF($W$15:$W$894,"&lt;"&amp;W158))</f>
        <v/>
      </c>
      <c r="B158" s="16" t="s">
        <v>12</v>
      </c>
      <c r="C158" s="16" t="s">
        <v>342</v>
      </c>
      <c r="D158" s="20" t="s">
        <v>51</v>
      </c>
      <c r="E158" s="16" t="s">
        <v>26</v>
      </c>
      <c r="F158" s="16" t="s">
        <v>343</v>
      </c>
      <c r="G158" s="17">
        <v>1765</v>
      </c>
      <c r="H158" s="17">
        <v>2149</v>
      </c>
      <c r="I158" s="17"/>
      <c r="J158" s="17">
        <v>1765</v>
      </c>
      <c r="K158" s="17" t="n">
        <f aca="false">IF(AND(IFERROR(SEARCH("현대오일뱅크",$C158),0)&gt;0,IFERROR(SEARCH("직영",$C158),0)&gt;0),$B$13,0)</f>
        <v/>
      </c>
      <c r="L158" s="17" t="n">
        <f aca="false">IF($G158="","",$G158+$K158)</f>
        <v/>
      </c>
      <c r="M158" s="17" t="n">
        <f aca="false">IF($H158="","",$H158+$K158)</f>
        <v/>
      </c>
      <c r="N158" s="17" t="n">
        <f aca="false">IF($J158="","",$J158+$K158)</f>
        <v/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/>
      </c>
      <c r="P158" s="17" t="n">
        <f aca="false">IF($B$10=0,"",IFERROR(IF($B$4&gt;0,IF($L158="",1/0,$L158*$B$4),0)+IF($B$5&gt;0,IF($M158="",1/0,$M158*$B$5),0)+IF($B$6&gt;0,IF($N158="",1/0,$N158*$B$6),0),""))</f>
        <v/>
      </c>
      <c r="Q158" s="17"/>
      <c r="R158" s="18" t="n">
        <f aca="false">IF($P158="","",IF($Q158="Y",IFERROR(VLOOKUP($B158,$C$4:$D$13,2,FALSE()),0),0))</f>
        <v/>
      </c>
      <c r="S158" s="17" t="n">
        <f aca="false">IF($P158="","",ROUNDDOWN($P158*$R158,0))</f>
        <v/>
      </c>
      <c r="T158" s="17" t="n">
        <f aca="false">IF($P158="","",$P158-$S158)</f>
        <v/>
      </c>
      <c r="U158" s="17" t="n">
        <f aca="false">IF($T158="","",IF($B$10=0,"",$T158/$B$10))</f>
        <v/>
      </c>
      <c r="V158" s="17" t="n">
        <f aca="false">IF($P158="","",IF($B$10=0,"",$P158/$B$10))</f>
        <v/>
      </c>
      <c r="W158" s="19" t="n">
        <f aca="false">IF($T158="",1000000000000000,$T158)</f>
        <v/>
      </c>
      <c r="XFB158" s="6"/>
      <c r="XFC158" s="3"/>
    </row>
    <row r="159" s="5" collapsed="false" customFormat="true" customHeight="true" hidden="false" ht="28.5" outlineLevel="0">
      <c r="A159" s="16" t="n">
        <f aca="false">IF($T159="","",1+COUNTIF($W$15:$W$894,"&lt;"&amp;W159))</f>
        <v/>
      </c>
      <c r="B159" s="16" t="s">
        <v>12</v>
      </c>
      <c r="C159" s="16" t="s">
        <v>344</v>
      </c>
      <c r="D159" s="20" t="s">
        <v>51</v>
      </c>
      <c r="E159" s="16" t="s">
        <v>26</v>
      </c>
      <c r="F159" s="16" t="s">
        <v>345</v>
      </c>
      <c r="G159" s="17">
        <v>1765</v>
      </c>
      <c r="H159" s="17">
        <v>2149</v>
      </c>
      <c r="I159" s="17"/>
      <c r="J159" s="17">
        <v>1765</v>
      </c>
      <c r="K159" s="17" t="n">
        <f aca="false">IF(AND(IFERROR(SEARCH("현대오일뱅크",$C159),0)&gt;0,IFERROR(SEARCH("직영",$C159),0)&gt;0),$B$13,0)</f>
        <v/>
      </c>
      <c r="L159" s="17" t="n">
        <f aca="false">IF($G159="","",$G159+$K159)</f>
        <v/>
      </c>
      <c r="M159" s="17" t="n">
        <f aca="false">IF($H159="","",$H159+$K159)</f>
        <v/>
      </c>
      <c r="N159" s="17" t="n">
        <f aca="false">IF($J159="","",$J159+$K159)</f>
        <v/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/>
      </c>
      <c r="P159" s="17" t="n">
        <f aca="false">IF($B$10=0,"",IFERROR(IF($B$4&gt;0,IF($L159="",1/0,$L159*$B$4),0)+IF($B$5&gt;0,IF($M159="",1/0,$M159*$B$5),0)+IF($B$6&gt;0,IF($N159="",1/0,$N159*$B$6),0),""))</f>
        <v/>
      </c>
      <c r="Q159" s="17"/>
      <c r="R159" s="18" t="n">
        <f aca="false">IF($P159="","",IF($Q159="Y",IFERROR(VLOOKUP($B159,$C$4:$D$13,2,FALSE()),0),0))</f>
        <v/>
      </c>
      <c r="S159" s="17" t="n">
        <f aca="false">IF($P159="","",ROUNDDOWN($P159*$R159,0))</f>
        <v/>
      </c>
      <c r="T159" s="17" t="n">
        <f aca="false">IF($P159="","",$P159-$S159)</f>
        <v/>
      </c>
      <c r="U159" s="17" t="n">
        <f aca="false">IF($T159="","",IF($B$10=0,"",$T159/$B$10))</f>
        <v/>
      </c>
      <c r="V159" s="17" t="n">
        <f aca="false">IF($P159="","",IF($B$10=0,"",$P159/$B$10))</f>
        <v/>
      </c>
      <c r="W159" s="19" t="n">
        <f aca="false">IF($T159="",1000000000000000,$T159)</f>
        <v/>
      </c>
      <c r="XFB159" s="6"/>
      <c r="XFC159" s="3"/>
    </row>
    <row r="160" s="5" collapsed="false" customFormat="true" customHeight="true" hidden="false" ht="28.5" outlineLevel="0">
      <c r="A160" s="16" t="n">
        <f aca="false">IF($T160="","",1+COUNTIF($W$15:$W$894,"&lt;"&amp;W160))</f>
        <v/>
      </c>
      <c r="B160" s="16" t="s">
        <v>12</v>
      </c>
      <c r="C160" s="16" t="s">
        <v>372</v>
      </c>
      <c r="D160" s="20" t="s">
        <v>45</v>
      </c>
      <c r="E160" s="16" t="s">
        <v>26</v>
      </c>
      <c r="F160" s="16" t="s">
        <v>373</v>
      </c>
      <c r="G160" s="17">
        <v>1768</v>
      </c>
      <c r="H160" s="17">
        <v>2178</v>
      </c>
      <c r="I160" s="17" t="s">
        <v>47</v>
      </c>
      <c r="J160" s="17">
        <v>1733</v>
      </c>
      <c r="K160" s="17" t="n">
        <f aca="false">IF(AND(IFERROR(SEARCH("현대오일뱅크",$C160),0)&gt;0,IFERROR(SEARCH("직영",$C160),0)&gt;0),$B$13,0)</f>
        <v/>
      </c>
      <c r="L160" s="17" t="n">
        <f aca="false">IF($G160="","",$G160+$K160)</f>
        <v/>
      </c>
      <c r="M160" s="17" t="n">
        <f aca="false">IF($H160="","",$H160+$K160)</f>
        <v/>
      </c>
      <c r="N160" s="17" t="n">
        <f aca="false">IF($J160="","",$J160+$K160)</f>
        <v/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/>
      </c>
      <c r="P160" s="17" t="n">
        <f aca="false">IF($B$10=0,"",IFERROR(IF($B$4&gt;0,IF($L160="",1/0,$L160*$B$4),0)+IF($B$5&gt;0,IF($M160="",1/0,$M160*$B$5),0)+IF($B$6&gt;0,IF($N160="",1/0,$N160*$B$6),0),""))</f>
        <v/>
      </c>
      <c r="Q160" s="17"/>
      <c r="R160" s="18" t="n">
        <f aca="false">IF($P160="","",IF($Q160="Y",IFERROR(VLOOKUP($B160,$C$4:$D$13,2,FALSE()),0),0))</f>
        <v/>
      </c>
      <c r="S160" s="17" t="n">
        <f aca="false">IF($P160="","",ROUNDDOWN($P160*$R160,0))</f>
        <v/>
      </c>
      <c r="T160" s="17" t="n">
        <f aca="false">IF($P160="","",$P160-$S160)</f>
        <v/>
      </c>
      <c r="U160" s="17" t="n">
        <f aca="false">IF($T160="","",IF($B$10=0,"",$T160/$B$10))</f>
        <v/>
      </c>
      <c r="V160" s="17" t="n">
        <f aca="false">IF($P160="","",IF($B$10=0,"",$P160/$B$10))</f>
        <v/>
      </c>
      <c r="W160" s="19" t="n">
        <f aca="false">IF($T160="",1000000000000000,$T160)</f>
        <v/>
      </c>
      <c r="XFB160" s="6"/>
      <c r="XFC160" s="3"/>
    </row>
    <row r="161" s="5" collapsed="false" customFormat="true" customHeight="true" hidden="false" ht="28.5" outlineLevel="0">
      <c r="A161" s="16" t="n">
        <f aca="false">IF($T161="","",1+COUNTIF($W$15:$W$894,"&lt;"&amp;W161))</f>
        <v/>
      </c>
      <c r="B161" s="16" t="s">
        <v>12</v>
      </c>
      <c r="C161" s="16" t="s">
        <v>346</v>
      </c>
      <c r="D161" s="20" t="s">
        <v>51</v>
      </c>
      <c r="E161" s="16" t="s">
        <v>26</v>
      </c>
      <c r="F161" s="16" t="s">
        <v>347</v>
      </c>
      <c r="G161" s="17">
        <v>1775</v>
      </c>
      <c r="H161" s="17">
        <v>2149</v>
      </c>
      <c r="I161" s="17"/>
      <c r="J161" s="17">
        <v>1795</v>
      </c>
      <c r="K161" s="17" t="n">
        <f aca="false">IF(AND(IFERROR(SEARCH("현대오일뱅크",$C161),0)&gt;0,IFERROR(SEARCH("직영",$C161),0)&gt;0),$B$13,0)</f>
        <v/>
      </c>
      <c r="L161" s="17" t="n">
        <f aca="false">IF($G161="","",$G161+$K161)</f>
        <v/>
      </c>
      <c r="M161" s="17" t="n">
        <f aca="false">IF($H161="","",$H161+$K161)</f>
        <v/>
      </c>
      <c r="N161" s="17" t="n">
        <f aca="false">IF($J161="","",$J161+$K161)</f>
        <v/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/>
      </c>
      <c r="P161" s="17" t="n">
        <f aca="false">IF($B$10=0,"",IFERROR(IF($B$4&gt;0,IF($L161="",1/0,$L161*$B$4),0)+IF($B$5&gt;0,IF($M161="",1/0,$M161*$B$5),0)+IF($B$6&gt;0,IF($N161="",1/0,$N161*$B$6),0),""))</f>
        <v/>
      </c>
      <c r="Q161" s="17"/>
      <c r="R161" s="18" t="n">
        <f aca="false">IF($P161="","",IF($Q161="Y",IFERROR(VLOOKUP($B161,$C$4:$D$13,2,FALSE()),0),0))</f>
        <v/>
      </c>
      <c r="S161" s="17" t="n">
        <f aca="false">IF($P161="","",ROUNDDOWN($P161*$R161,0))</f>
        <v/>
      </c>
      <c r="T161" s="17" t="n">
        <f aca="false">IF($P161="","",$P161-$S161)</f>
        <v/>
      </c>
      <c r="U161" s="17" t="n">
        <f aca="false">IF($T161="","",IF($B$10=0,"",$T161/$B$10))</f>
        <v/>
      </c>
      <c r="V161" s="17" t="n">
        <f aca="false">IF($P161="","",IF($B$10=0,"",$P161/$B$10))</f>
        <v/>
      </c>
      <c r="W161" s="19" t="n">
        <f aca="false">IF($T161="",1000000000000000,$T161)</f>
        <v/>
      </c>
      <c r="XFB161" s="6"/>
      <c r="XFC161" s="3"/>
    </row>
    <row r="162" s="5" collapsed="false" customFormat="true" customHeight="true" hidden="false" ht="28.5" outlineLevel="0">
      <c r="A162" s="16" t="n">
        <f aca="false">IF($T162="","",1+COUNTIF($W$15:$W$894,"&lt;"&amp;W162))</f>
        <v/>
      </c>
      <c r="B162" s="16" t="s">
        <v>6</v>
      </c>
      <c r="C162" s="16" t="s">
        <v>348</v>
      </c>
      <c r="D162" s="16" t="s">
        <v>95</v>
      </c>
      <c r="E162" s="16" t="s">
        <v>63</v>
      </c>
      <c r="F162" s="16" t="s">
        <v>349</v>
      </c>
      <c r="G162" s="17">
        <v>1898</v>
      </c>
      <c r="H162" s="17">
        <v>2489</v>
      </c>
      <c r="I162" s="17"/>
      <c r="J162" s="17">
        <v>1879</v>
      </c>
      <c r="K162" s="17" t="n">
        <f aca="false">IF(AND(IFERROR(SEARCH("현대오일뱅크",$C162),0)&gt;0,IFERROR(SEARCH("직영",$C162),0)&gt;0),$B$13,0)</f>
        <v/>
      </c>
      <c r="L162" s="17" t="n">
        <f aca="false">IF($G162="","",$G162+$K162)</f>
        <v/>
      </c>
      <c r="M162" s="17" t="n">
        <f aca="false">IF($H162="","",$H162+$K162)</f>
        <v/>
      </c>
      <c r="N162" s="17" t="n">
        <f aca="false">IF($J162="","",$J162+$K162)</f>
        <v/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/>
      </c>
      <c r="P162" s="17" t="n">
        <f aca="false">IF($B$10=0,"",IFERROR(IF($B$4&gt;0,IF($L162="",1/0,$L162*$B$4),0)+IF($B$5&gt;0,IF($M162="",1/0,$M162*$B$5),0)+IF($B$6&gt;0,IF($N162="",1/0,$N162*$B$6),0),""))</f>
        <v/>
      </c>
      <c r="Q162" s="17" t="s">
        <v>47</v>
      </c>
      <c r="R162" s="18" t="n">
        <f aca="false">IF($P162="","",IF($Q162="Y",IFERROR(VLOOKUP($B162,$C$4:$D$13,2,FALSE()),0),0))</f>
        <v/>
      </c>
      <c r="S162" s="17" t="n">
        <f aca="false">IF($P162="","",ROUNDDOWN($P162*$R162,0))</f>
        <v/>
      </c>
      <c r="T162" s="17" t="n">
        <f aca="false">IF($P162="","",$P162-$S162)</f>
        <v/>
      </c>
      <c r="U162" s="17" t="n">
        <f aca="false">IF($T162="","",IF($B$10=0,"",$T162/$B$10))</f>
        <v/>
      </c>
      <c r="V162" s="17" t="n">
        <f aca="false">IF($P162="","",IF($B$10=0,"",$P162/$B$10))</f>
        <v/>
      </c>
      <c r="W162" s="19" t="n">
        <f aca="false">IF($T162="",1000000000000000,$T162)</f>
        <v/>
      </c>
      <c r="XFB162" s="6"/>
      <c r="XFC162" s="3"/>
    </row>
    <row r="163" s="5" collapsed="false" customFormat="true" customHeight="true" hidden="false" ht="28.5" outlineLevel="0">
      <c r="A163" s="16" t="n">
        <f aca="false">IF($T163="","",1+COUNTIF($W$15:$W$894,"&lt;"&amp;W163))</f>
        <v/>
      </c>
      <c r="B163" s="16" t="s">
        <v>10</v>
      </c>
      <c r="C163" s="16" t="s">
        <v>350</v>
      </c>
      <c r="D163" s="16" t="s">
        <v>56</v>
      </c>
      <c r="E163" s="16" t="s">
        <v>26</v>
      </c>
      <c r="F163" s="16" t="s">
        <v>351</v>
      </c>
      <c r="G163" s="17">
        <v>1784</v>
      </c>
      <c r="H163" s="17">
        <v>2148</v>
      </c>
      <c r="I163" s="17"/>
      <c r="J163" s="17">
        <v>1782</v>
      </c>
      <c r="K163" s="17" t="n">
        <f aca="false">IF(AND(IFERROR(SEARCH("현대오일뱅크",$C163),0)&gt;0,IFERROR(SEARCH("직영",$C163),0)&gt;0),$B$13,0)</f>
        <v/>
      </c>
      <c r="L163" s="17" t="n">
        <f aca="false">IF($G163="","",$G163+$K163)</f>
        <v/>
      </c>
      <c r="M163" s="17" t="n">
        <f aca="false">IF($H163="","",$H163+$K163)</f>
        <v/>
      </c>
      <c r="N163" s="17" t="n">
        <f aca="false">IF($J163="","",$J163+$K163)</f>
        <v/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/>
      </c>
      <c r="P163" s="17" t="n">
        <f aca="false">IF($B$10=0,"",IFERROR(IF($B$4&gt;0,IF($L163="",1/0,$L163*$B$4),0)+IF($B$5&gt;0,IF($M163="",1/0,$M163*$B$5),0)+IF($B$6&gt;0,IF($N163="",1/0,$N163*$B$6),0),""))</f>
        <v/>
      </c>
      <c r="Q163" s="17"/>
      <c r="R163" s="18" t="n">
        <f aca="false">IF($P163="","",IF($Q163="Y",IFERROR(VLOOKUP($B163,$C$4:$D$13,2,FALSE()),0),0))</f>
        <v/>
      </c>
      <c r="S163" s="17" t="n">
        <f aca="false">IF($P163="","",ROUNDDOWN($P163*$R163,0))</f>
        <v/>
      </c>
      <c r="T163" s="17" t="n">
        <f aca="false">IF($P163="","",$P163-$S163)</f>
        <v/>
      </c>
      <c r="U163" s="17" t="n">
        <f aca="false">IF($T163="","",IF($B$10=0,"",$T163/$B$10))</f>
        <v/>
      </c>
      <c r="V163" s="17" t="n">
        <f aca="false">IF($P163="","",IF($B$10=0,"",$P163/$B$10))</f>
        <v/>
      </c>
      <c r="W163" s="19" t="n">
        <f aca="false">IF($T163="",1000000000000000,$T163)</f>
        <v/>
      </c>
      <c r="XFB163" s="6"/>
      <c r="XFC163" s="3"/>
    </row>
    <row r="164" s="5" collapsed="false" customFormat="true" customHeight="true" hidden="false" ht="28.5" outlineLevel="0">
      <c r="A164" s="16" t="n">
        <f aca="false">IF($T164="","",1+COUNTIF($W$15:$W$894,"&lt;"&amp;W164))</f>
        <v/>
      </c>
      <c r="B164" s="16" t="s">
        <v>10</v>
      </c>
      <c r="C164" s="16" t="s">
        <v>334</v>
      </c>
      <c r="D164" s="20" t="s">
        <v>86</v>
      </c>
      <c r="E164" s="16" t="s">
        <v>26</v>
      </c>
      <c r="F164" s="16" t="s">
        <v>335</v>
      </c>
      <c r="G164" s="17">
        <v>1824</v>
      </c>
      <c r="H164" s="17">
        <v>2099</v>
      </c>
      <c r="I164" s="17"/>
      <c r="J164" s="17">
        <v>1813</v>
      </c>
      <c r="K164" s="17" t="n">
        <f aca="false">IF(AND(IFERROR(SEARCH("현대오일뱅크",$C164),0)&gt;0,IFERROR(SEARCH("직영",$C164),0)&gt;0),$B$13,0)</f>
        <v/>
      </c>
      <c r="L164" s="17" t="n">
        <f aca="false">IF($G164="","",$G164+$K164)</f>
        <v/>
      </c>
      <c r="M164" s="17" t="n">
        <f aca="false">IF($H164="","",$H164+$K164)</f>
        <v/>
      </c>
      <c r="N164" s="17" t="n">
        <f aca="false">IF($J164="","",$J164+$K164)</f>
        <v/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/>
      </c>
      <c r="P164" s="17" t="n">
        <f aca="false">IF($B$10=0,"",IFERROR(IF($B$4&gt;0,IF($L164="",1/0,$L164*$B$4),0)+IF($B$5&gt;0,IF($M164="",1/0,$M164*$B$5),0)+IF($B$6&gt;0,IF($N164="",1/0,$N164*$B$6),0),""))</f>
        <v/>
      </c>
      <c r="Q164" s="17"/>
      <c r="R164" s="18" t="n">
        <f aca="false">IF($P164="","",IF($Q164="Y",IFERROR(VLOOKUP($B164,$C$4:$D$13,2,FALSE()),0),0))</f>
        <v/>
      </c>
      <c r="S164" s="17" t="n">
        <f aca="false">IF($P164="","",ROUNDDOWN($P164*$R164,0))</f>
        <v/>
      </c>
      <c r="T164" s="17" t="n">
        <f aca="false">IF($P164="","",$P164-$S164)</f>
        <v/>
      </c>
      <c r="U164" s="17" t="n">
        <f aca="false">IF($T164="","",IF($B$10=0,"",$T164/$B$10))</f>
        <v/>
      </c>
      <c r="V164" s="17" t="n">
        <f aca="false">IF($P164="","",IF($B$10=0,"",$P164/$B$10))</f>
        <v/>
      </c>
      <c r="W164" s="19" t="n">
        <f aca="false">IF($T164="",1000000000000000,$T164)</f>
        <v/>
      </c>
      <c r="XFB164" s="6"/>
      <c r="XFC164" s="3"/>
    </row>
    <row r="165" s="5" collapsed="false" customFormat="true" customHeight="true" hidden="false" ht="28.5" outlineLevel="0">
      <c r="A165" s="16" t="n">
        <f aca="false">IF($T165="","",1+COUNTIF($W$15:$W$894,"&lt;"&amp;W165))</f>
        <v/>
      </c>
      <c r="B165" s="16" t="s">
        <v>6</v>
      </c>
      <c r="C165" s="16" t="s">
        <v>352</v>
      </c>
      <c r="D165" s="20" t="s">
        <v>86</v>
      </c>
      <c r="E165" s="16" t="s">
        <v>26</v>
      </c>
      <c r="F165" s="16" t="s">
        <v>353</v>
      </c>
      <c r="G165" s="17">
        <v>1789</v>
      </c>
      <c r="H165" s="17">
        <v>2150</v>
      </c>
      <c r="I165" s="17"/>
      <c r="J165" s="17">
        <v>1789</v>
      </c>
      <c r="K165" s="17" t="n">
        <f aca="false">IF(AND(IFERROR(SEARCH("현대오일뱅크",$C165),0)&gt;0,IFERROR(SEARCH("직영",$C165),0)&gt;0),$B$13,0)</f>
        <v/>
      </c>
      <c r="L165" s="17" t="n">
        <f aca="false">IF($G165="","",$G165+$K165)</f>
        <v/>
      </c>
      <c r="M165" s="17" t="n">
        <f aca="false">IF($H165="","",$H165+$K165)</f>
        <v/>
      </c>
      <c r="N165" s="17" t="n">
        <f aca="false">IF($J165="","",$J165+$K165)</f>
        <v/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/>
      </c>
      <c r="P165" s="17" t="n">
        <f aca="false">IF($B$10=0,"",IFERROR(IF($B$4&gt;0,IF($L165="",1/0,$L165*$B$4),0)+IF($B$5&gt;0,IF($M165="",1/0,$M165*$B$5),0)+IF($B$6&gt;0,IF($N165="",1/0,$N165*$B$6),0),""))</f>
        <v/>
      </c>
      <c r="Q165" s="17"/>
      <c r="R165" s="18" t="n">
        <f aca="false">IF($P165="","",IF($Q165="Y",IFERROR(VLOOKUP($B165,$C$4:$D$13,2,FALSE()),0),0))</f>
        <v/>
      </c>
      <c r="S165" s="17" t="n">
        <f aca="false">IF($P165="","",ROUNDDOWN($P165*$R165,0))</f>
        <v/>
      </c>
      <c r="T165" s="17" t="n">
        <f aca="false">IF($P165="","",$P165-$S165)</f>
        <v/>
      </c>
      <c r="U165" s="17" t="n">
        <f aca="false">IF($T165="","",IF($B$10=0,"",$T165/$B$10))</f>
        <v/>
      </c>
      <c r="V165" s="17" t="n">
        <f aca="false">IF($P165="","",IF($B$10=0,"",$P165/$B$10))</f>
        <v/>
      </c>
      <c r="W165" s="19" t="n">
        <f aca="false">IF($T165="",1000000000000000,$T165)</f>
        <v/>
      </c>
      <c r="XFB165" s="6"/>
      <c r="XFC165" s="3"/>
    </row>
    <row r="166" s="5" collapsed="false" customFormat="true" customHeight="true" hidden="false" ht="28.5" outlineLevel="0">
      <c r="A166" s="16" t="n">
        <f aca="false">IF($T166="","",1+COUNTIF($W$15:$W$894,"&lt;"&amp;W166))</f>
        <v/>
      </c>
      <c r="B166" s="16" t="s">
        <v>6</v>
      </c>
      <c r="C166" s="16" t="s">
        <v>354</v>
      </c>
      <c r="D166" s="20" t="s">
        <v>86</v>
      </c>
      <c r="E166" s="16" t="s">
        <v>26</v>
      </c>
      <c r="F166" s="16" t="s">
        <v>355</v>
      </c>
      <c r="G166" s="17">
        <v>1789</v>
      </c>
      <c r="H166" s="17">
        <v>2150</v>
      </c>
      <c r="I166" s="17"/>
      <c r="J166" s="17">
        <v>1779</v>
      </c>
      <c r="K166" s="17" t="n">
        <f aca="false">IF(AND(IFERROR(SEARCH("현대오일뱅크",$C166),0)&gt;0,IFERROR(SEARCH("직영",$C166),0)&gt;0),$B$13,0)</f>
        <v/>
      </c>
      <c r="L166" s="17" t="n">
        <f aca="false">IF($G166="","",$G166+$K166)</f>
        <v/>
      </c>
      <c r="M166" s="17" t="n">
        <f aca="false">IF($H166="","",$H166+$K166)</f>
        <v/>
      </c>
      <c r="N166" s="17" t="n">
        <f aca="false">IF($J166="","",$J166+$K166)</f>
        <v/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/>
      </c>
      <c r="P166" s="17" t="n">
        <f aca="false">IF($B$10=0,"",IFERROR(IF($B$4&gt;0,IF($L166="",1/0,$L166*$B$4),0)+IF($B$5&gt;0,IF($M166="",1/0,$M166*$B$5),0)+IF($B$6&gt;0,IF($N166="",1/0,$N166*$B$6),0),""))</f>
        <v/>
      </c>
      <c r="Q166" s="17"/>
      <c r="R166" s="18" t="n">
        <f aca="false">IF($P166="","",IF($Q166="Y",IFERROR(VLOOKUP($B166,$C$4:$D$13,2,FALSE()),0),0))</f>
        <v/>
      </c>
      <c r="S166" s="17" t="n">
        <f aca="false">IF($P166="","",ROUNDDOWN($P166*$R166,0))</f>
        <v/>
      </c>
      <c r="T166" s="17" t="n">
        <f aca="false">IF($P166="","",$P166-$S166)</f>
        <v/>
      </c>
      <c r="U166" s="17" t="n">
        <f aca="false">IF($T166="","",IF($B$10=0,"",$T166/$B$10))</f>
        <v/>
      </c>
      <c r="V166" s="17" t="n">
        <f aca="false">IF($P166="","",IF($B$10=0,"",$P166/$B$10))</f>
        <v/>
      </c>
      <c r="W166" s="19" t="n">
        <f aca="false">IF($T166="",1000000000000000,$T166)</f>
        <v/>
      </c>
      <c r="XFB166" s="6"/>
      <c r="XFC166" s="3"/>
    </row>
    <row r="167" s="5" collapsed="false" customFormat="true" customHeight="true" hidden="false" ht="28.5" outlineLevel="0">
      <c r="A167" s="16" t="n">
        <f aca="false">IF($T167="","",1+COUNTIF($W$15:$W$894,"&lt;"&amp;W167))</f>
        <v/>
      </c>
      <c r="B167" s="16" t="s">
        <v>14</v>
      </c>
      <c r="C167" s="16" t="s">
        <v>356</v>
      </c>
      <c r="D167" s="20" t="s">
        <v>86</v>
      </c>
      <c r="E167" s="16" t="s">
        <v>26</v>
      </c>
      <c r="F167" s="16" t="s">
        <v>357</v>
      </c>
      <c r="G167" s="17">
        <v>1787</v>
      </c>
      <c r="H167" s="17">
        <v>2153</v>
      </c>
      <c r="I167" s="17"/>
      <c r="J167" s="17">
        <v>1788</v>
      </c>
      <c r="K167" s="17" t="n">
        <f aca="false">IF(AND(IFERROR(SEARCH("현대오일뱅크",$C167),0)&gt;0,IFERROR(SEARCH("직영",$C167),0)&gt;0),$B$13,0)</f>
        <v/>
      </c>
      <c r="L167" s="17" t="n">
        <f aca="false">IF($G167="","",$G167+$K167)</f>
        <v/>
      </c>
      <c r="M167" s="17" t="n">
        <f aca="false">IF($H167="","",$H167+$K167)</f>
        <v/>
      </c>
      <c r="N167" s="17" t="n">
        <f aca="false">IF($J167="","",$J167+$K167)</f>
        <v/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/>
      </c>
      <c r="P167" s="17" t="n">
        <f aca="false">IF($B$10=0,"",IFERROR(IF($B$4&gt;0,IF($L167="",1/0,$L167*$B$4),0)+IF($B$5&gt;0,IF($M167="",1/0,$M167*$B$5),0)+IF($B$6&gt;0,IF($N167="",1/0,$N167*$B$6),0),""))</f>
        <v/>
      </c>
      <c r="Q167" s="17"/>
      <c r="R167" s="18" t="n">
        <f aca="false">IF($P167="","",IF($Q167="Y",IFERROR(VLOOKUP($B167,$C$4:$D$13,2,FALSE()),0),0))</f>
        <v/>
      </c>
      <c r="S167" s="17" t="n">
        <f aca="false">IF($P167="","",ROUNDDOWN($P167*$R167,0))</f>
        <v/>
      </c>
      <c r="T167" s="17" t="n">
        <f aca="false">IF($P167="","",$P167-$S167)</f>
        <v/>
      </c>
      <c r="U167" s="17" t="n">
        <f aca="false">IF($T167="","",IF($B$10=0,"",$T167/$B$10))</f>
        <v/>
      </c>
      <c r="V167" s="17" t="n">
        <f aca="false">IF($P167="","",IF($B$10=0,"",$P167/$B$10))</f>
        <v/>
      </c>
      <c r="W167" s="19" t="n">
        <f aca="false">IF($T167="",1000000000000000,$T167)</f>
        <v/>
      </c>
      <c r="XFB167" s="6"/>
      <c r="XFC167" s="3"/>
    </row>
    <row r="168" s="5" collapsed="false" customFormat="true" customHeight="true" hidden="false" ht="28.5" outlineLevel="0">
      <c r="A168" s="16" t="n">
        <f aca="false">IF($T168="","",1+COUNTIF($W$15:$W$894,"&lt;"&amp;W168))</f>
        <v/>
      </c>
      <c r="B168" s="16" t="s">
        <v>18</v>
      </c>
      <c r="C168" s="16" t="s">
        <v>358</v>
      </c>
      <c r="D168" s="16" t="s">
        <v>95</v>
      </c>
      <c r="E168" s="16" t="s">
        <v>26</v>
      </c>
      <c r="F168" s="16" t="s">
        <v>359</v>
      </c>
      <c r="G168" s="17">
        <v>1799</v>
      </c>
      <c r="H168" s="17">
        <v>2149</v>
      </c>
      <c r="I168" s="17"/>
      <c r="J168" s="17">
        <v>1799</v>
      </c>
      <c r="K168" s="17" t="n">
        <f aca="false">IF(AND(IFERROR(SEARCH("현대오일뱅크",$C168),0)&gt;0,IFERROR(SEARCH("직영",$C168),0)&gt;0),$B$13,0)</f>
        <v/>
      </c>
      <c r="L168" s="17" t="n">
        <f aca="false">IF($G168="","",$G168+$K168)</f>
        <v/>
      </c>
      <c r="M168" s="17" t="n">
        <f aca="false">IF($H168="","",$H168+$K168)</f>
        <v/>
      </c>
      <c r="N168" s="17" t="n">
        <f aca="false">IF($J168="","",$J168+$K168)</f>
        <v/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/>
      </c>
      <c r="P168" s="17" t="n">
        <f aca="false">IF($B$10=0,"",IFERROR(IF($B$4&gt;0,IF($L168="",1/0,$L168*$B$4),0)+IF($B$5&gt;0,IF($M168="",1/0,$M168*$B$5),0)+IF($B$6&gt;0,IF($N168="",1/0,$N168*$B$6),0),""))</f>
        <v/>
      </c>
      <c r="Q168" s="17"/>
      <c r="R168" s="18" t="n">
        <f aca="false">IF($P168="","",IF($Q168="Y",IFERROR(VLOOKUP($B168,$C$4:$D$13,2,FALSE()),0),0))</f>
        <v/>
      </c>
      <c r="S168" s="17" t="n">
        <f aca="false">IF($P168="","",ROUNDDOWN($P168*$R168,0))</f>
        <v/>
      </c>
      <c r="T168" s="17" t="n">
        <f aca="false">IF($P168="","",$P168-$S168)</f>
        <v/>
      </c>
      <c r="U168" s="17" t="n">
        <f aca="false">IF($T168="","",IF($B$10=0,"",$T168/$B$10))</f>
        <v/>
      </c>
      <c r="V168" s="17" t="n">
        <f aca="false">IF($P168="","",IF($B$10=0,"",$P168/$B$10))</f>
        <v/>
      </c>
      <c r="W168" s="19" t="n">
        <f aca="false">IF($T168="",1000000000000000,$T168)</f>
        <v/>
      </c>
      <c r="XFB168" s="6"/>
      <c r="XFC168" s="3"/>
    </row>
    <row r="169" s="5" collapsed="false" customFormat="true" customHeight="true" hidden="false" ht="28.5" outlineLevel="0">
      <c r="A169" s="16" t="n">
        <f aca="false">IF($T169="","",1+COUNTIF($W$15:$W$894,"&lt;"&amp;W169))</f>
        <v/>
      </c>
      <c r="B169" s="16" t="s">
        <v>10</v>
      </c>
      <c r="C169" s="16" t="s">
        <v>360</v>
      </c>
      <c r="D169" s="16" t="s">
        <v>95</v>
      </c>
      <c r="E169" s="16" t="s">
        <v>26</v>
      </c>
      <c r="F169" s="16" t="s">
        <v>361</v>
      </c>
      <c r="G169" s="17">
        <v>1830</v>
      </c>
      <c r="H169" s="17">
        <v>2138</v>
      </c>
      <c r="I169" s="17"/>
      <c r="J169" s="17">
        <v>1830</v>
      </c>
      <c r="K169" s="17" t="n">
        <f aca="false">IF(AND(IFERROR(SEARCH("현대오일뱅크",$C169),0)&gt;0,IFERROR(SEARCH("직영",$C169),0)&gt;0),$B$13,0)</f>
        <v/>
      </c>
      <c r="L169" s="17" t="n">
        <f aca="false">IF($G169="","",$G169+$K169)</f>
        <v/>
      </c>
      <c r="M169" s="17" t="n">
        <f aca="false">IF($H169="","",$H169+$K169)</f>
        <v/>
      </c>
      <c r="N169" s="17" t="n">
        <f aca="false">IF($J169="","",$J169+$K169)</f>
        <v/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/>
      </c>
      <c r="P169" s="17" t="n">
        <f aca="false">IF($B$10=0,"",IFERROR(IF($B$4&gt;0,IF($L169="",1/0,$L169*$B$4),0)+IF($B$5&gt;0,IF($M169="",1/0,$M169*$B$5),0)+IF($B$6&gt;0,IF($N169="",1/0,$N169*$B$6),0),""))</f>
        <v/>
      </c>
      <c r="Q169" s="17"/>
      <c r="R169" s="18" t="n">
        <f aca="false">IF($P169="","",IF($Q169="Y",IFERROR(VLOOKUP($B169,$C$4:$D$13,2,FALSE()),0),0))</f>
        <v/>
      </c>
      <c r="S169" s="17" t="n">
        <f aca="false">IF($P169="","",ROUNDDOWN($P169*$R169,0))</f>
        <v/>
      </c>
      <c r="T169" s="17" t="n">
        <f aca="false">IF($P169="","",$P169-$S169)</f>
        <v/>
      </c>
      <c r="U169" s="17" t="n">
        <f aca="false">IF($T169="","",IF($B$10=0,"",$T169/$B$10))</f>
        <v/>
      </c>
      <c r="V169" s="17" t="n">
        <f aca="false">IF($P169="","",IF($B$10=0,"",$P169/$B$10))</f>
        <v/>
      </c>
      <c r="W169" s="19" t="n">
        <f aca="false">IF($T169="",1000000000000000,$T169)</f>
        <v/>
      </c>
      <c r="XFB169" s="6"/>
      <c r="XFC169" s="3"/>
    </row>
    <row r="170" s="5" collapsed="false" customFormat="true" customHeight="true" hidden="false" ht="28.5" outlineLevel="0">
      <c r="A170" s="16" t="n">
        <f aca="false">IF($T170="","",1+COUNTIF($W$15:$W$894,"&lt;"&amp;W170))</f>
        <v/>
      </c>
      <c r="B170" s="16" t="s">
        <v>12</v>
      </c>
      <c r="C170" s="16" t="s">
        <v>362</v>
      </c>
      <c r="D170" s="20" t="s">
        <v>95</v>
      </c>
      <c r="E170" s="16" t="s">
        <v>26</v>
      </c>
      <c r="F170" s="16" t="s">
        <v>363</v>
      </c>
      <c r="G170" s="17">
        <v>1795</v>
      </c>
      <c r="H170" s="17">
        <v>2195</v>
      </c>
      <c r="I170" s="17"/>
      <c r="J170" s="17">
        <v>1795</v>
      </c>
      <c r="K170" s="17" t="n">
        <f aca="false">IF(AND(IFERROR(SEARCH("현대오일뱅크",$C170),0)&gt;0,IFERROR(SEARCH("직영",$C170),0)&gt;0),$B$13,0)</f>
        <v/>
      </c>
      <c r="L170" s="17" t="n">
        <f aca="false">IF($G170="","",$G170+$K170)</f>
        <v/>
      </c>
      <c r="M170" s="17" t="n">
        <f aca="false">IF($H170="","",$H170+$K170)</f>
        <v/>
      </c>
      <c r="N170" s="17" t="n">
        <f aca="false">IF($J170="","",$J170+$K170)</f>
        <v/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/>
      </c>
      <c r="P170" s="17" t="n">
        <f aca="false">IF($B$10=0,"",IFERROR(IF($B$4&gt;0,IF($L170="",1/0,$L170*$B$4),0)+IF($B$5&gt;0,IF($M170="",1/0,$M170*$B$5),0)+IF($B$6&gt;0,IF($N170="",1/0,$N170*$B$6),0),""))</f>
        <v/>
      </c>
      <c r="Q170" s="17"/>
      <c r="R170" s="18" t="n">
        <f aca="false">IF($P170="","",IF($Q170="Y",IFERROR(VLOOKUP($B170,$C$4:$D$13,2,FALSE()),0),0))</f>
        <v/>
      </c>
      <c r="S170" s="17" t="n">
        <f aca="false">IF($P170="","",ROUNDDOWN($P170*$R170,0))</f>
        <v/>
      </c>
      <c r="T170" s="17" t="n">
        <f aca="false">IF($P170="","",$P170-$S170)</f>
        <v/>
      </c>
      <c r="U170" s="17" t="n">
        <f aca="false">IF($T170="","",IF($B$10=0,"",$T170/$B$10))</f>
        <v/>
      </c>
      <c r="V170" s="17" t="n">
        <f aca="false">IF($P170="","",IF($B$10=0,"",$P170/$B$10))</f>
        <v/>
      </c>
      <c r="W170" s="19" t="n">
        <f aca="false">IF($T170="",1000000000000000,$T170)</f>
        <v/>
      </c>
      <c r="XFB170" s="6"/>
      <c r="XFC170" s="3"/>
    </row>
    <row r="171" s="5" collapsed="false" customFormat="true" customHeight="true" hidden="false" ht="28.5" outlineLevel="0">
      <c r="A171" s="16" t="n">
        <f aca="false">IF($T171="","",1+COUNTIF($W$15:$W$894,"&lt;"&amp;W171))</f>
        <v/>
      </c>
      <c r="B171" s="16" t="s">
        <v>14</v>
      </c>
      <c r="C171" s="16" t="s">
        <v>364</v>
      </c>
      <c r="D171" s="16" t="s">
        <v>95</v>
      </c>
      <c r="E171" s="16" t="s">
        <v>26</v>
      </c>
      <c r="F171" s="16" t="s">
        <v>365</v>
      </c>
      <c r="G171" s="17">
        <v>1799</v>
      </c>
      <c r="H171" s="17">
        <v>2200</v>
      </c>
      <c r="I171" s="17"/>
      <c r="J171" s="17">
        <v>1779</v>
      </c>
      <c r="K171" s="17" t="n">
        <f aca="false">IF(AND(IFERROR(SEARCH("현대오일뱅크",$C171),0)&gt;0,IFERROR(SEARCH("직영",$C171),0)&gt;0),$B$13,0)</f>
        <v/>
      </c>
      <c r="L171" s="17" t="n">
        <f aca="false">IF($G171="","",$G171+$K171)</f>
        <v/>
      </c>
      <c r="M171" s="17" t="n">
        <f aca="false">IF($H171="","",$H171+$K171)</f>
        <v/>
      </c>
      <c r="N171" s="17" t="n">
        <f aca="false">IF($J171="","",$J171+$K171)</f>
        <v/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/>
      </c>
      <c r="P171" s="17" t="n">
        <f aca="false">IF($B$10=0,"",IFERROR(IF($B$4&gt;0,IF($L171="",1/0,$L171*$B$4),0)+IF($B$5&gt;0,IF($M171="",1/0,$M171*$B$5),0)+IF($B$6&gt;0,IF($N171="",1/0,$N171*$B$6),0),""))</f>
        <v/>
      </c>
      <c r="Q171" s="17"/>
      <c r="R171" s="18" t="n">
        <f aca="false">IF($P171="","",IF($Q171="Y",IFERROR(VLOOKUP($B171,$C$4:$D$13,2,FALSE()),0),0))</f>
        <v/>
      </c>
      <c r="S171" s="17" t="n">
        <f aca="false">IF($P171="","",ROUNDDOWN($P171*$R171,0))</f>
        <v/>
      </c>
      <c r="T171" s="17" t="n">
        <f aca="false">IF($P171="","",$P171-$S171)</f>
        <v/>
      </c>
      <c r="U171" s="17" t="n">
        <f aca="false">IF($T171="","",IF($B$10=0,"",$T171/$B$10))</f>
        <v/>
      </c>
      <c r="V171" s="17" t="n">
        <f aca="false">IF($P171="","",IF($B$10=0,"",$P171/$B$10))</f>
        <v/>
      </c>
      <c r="W171" s="19" t="n">
        <f aca="false">IF($T171="",1000000000000000,$T171)</f>
        <v/>
      </c>
      <c r="XFB171" s="6"/>
      <c r="XFC171" s="3"/>
    </row>
    <row r="172" s="5" collapsed="false" customFormat="true" customHeight="true" hidden="false" ht="28.5" outlineLevel="0">
      <c r="A172" s="16" t="n">
        <f aca="false">IF($T172="","",1+COUNTIF($W$15:$W$894,"&lt;"&amp;W172))</f>
        <v/>
      </c>
      <c r="B172" s="16" t="s">
        <v>10</v>
      </c>
      <c r="C172" s="16" t="s">
        <v>366</v>
      </c>
      <c r="D172" s="20" t="s">
        <v>86</v>
      </c>
      <c r="E172" s="16" t="s">
        <v>26</v>
      </c>
      <c r="F172" s="16" t="s">
        <v>367</v>
      </c>
      <c r="G172" s="17">
        <v>1899</v>
      </c>
      <c r="H172" s="17">
        <v>2095</v>
      </c>
      <c r="I172" s="17"/>
      <c r="J172" s="17">
        <v>1949</v>
      </c>
      <c r="K172" s="17" t="n">
        <f aca="false">IF(AND(IFERROR(SEARCH("현대오일뱅크",$C172),0)&gt;0,IFERROR(SEARCH("직영",$C172),0)&gt;0),$B$13,0)</f>
        <v/>
      </c>
      <c r="L172" s="17" t="n">
        <f aca="false">IF($G172="","",$G172+$K172)</f>
        <v/>
      </c>
      <c r="M172" s="17" t="n">
        <f aca="false">IF($H172="","",$H172+$K172)</f>
        <v/>
      </c>
      <c r="N172" s="17" t="n">
        <f aca="false">IF($J172="","",$J172+$K172)</f>
        <v/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/>
      </c>
      <c r="P172" s="17" t="n">
        <f aca="false">IF($B$10=0,"",IFERROR(IF($B$4&gt;0,IF($L172="",1/0,$L172*$B$4),0)+IF($B$5&gt;0,IF($M172="",1/0,$M172*$B$5),0)+IF($B$6&gt;0,IF($N172="",1/0,$N172*$B$6),0),""))</f>
        <v/>
      </c>
      <c r="Q172" s="17"/>
      <c r="R172" s="18" t="n">
        <f aca="false">IF($P172="","",IF($Q172="Y",IFERROR(VLOOKUP($B172,$C$4:$D$13,2,FALSE()),0),0))</f>
        <v/>
      </c>
      <c r="S172" s="17" t="n">
        <f aca="false">IF($P172="","",ROUNDDOWN($P172*$R172,0))</f>
        <v/>
      </c>
      <c r="T172" s="17" t="n">
        <f aca="false">IF($P172="","",$P172-$S172)</f>
        <v/>
      </c>
      <c r="U172" s="17" t="n">
        <f aca="false">IF($T172="","",IF($B$10=0,"",$T172/$B$10))</f>
        <v/>
      </c>
      <c r="V172" s="17" t="n">
        <f aca="false">IF($P172="","",IF($B$10=0,"",$P172/$B$10))</f>
        <v/>
      </c>
      <c r="W172" s="19" t="n">
        <f aca="false">IF($T172="",1000000000000000,$T172)</f>
        <v/>
      </c>
      <c r="XFB172" s="6"/>
      <c r="XFC172" s="3"/>
    </row>
    <row r="173" s="5" collapsed="false" customFormat="true" customHeight="true" hidden="false" ht="28.5" outlineLevel="0">
      <c r="A173" s="16" t="n">
        <f aca="false">IF($T173="","",1+COUNTIF($W$15:$W$894,"&lt;"&amp;W173))</f>
        <v/>
      </c>
      <c r="B173" s="16" t="s">
        <v>14</v>
      </c>
      <c r="C173" s="16" t="s">
        <v>368</v>
      </c>
      <c r="D173" s="16" t="s">
        <v>95</v>
      </c>
      <c r="E173" s="16" t="s">
        <v>26</v>
      </c>
      <c r="F173" s="16" t="s">
        <v>369</v>
      </c>
      <c r="G173" s="17">
        <v>1869</v>
      </c>
      <c r="H173" s="17">
        <v>2159</v>
      </c>
      <c r="I173" s="17"/>
      <c r="J173" s="17">
        <v>1879</v>
      </c>
      <c r="K173" s="17" t="n">
        <f aca="false">IF(AND(IFERROR(SEARCH("현대오일뱅크",$C173),0)&gt;0,IFERROR(SEARCH("직영",$C173),0)&gt;0),$B$13,0)</f>
        <v/>
      </c>
      <c r="L173" s="17" t="n">
        <f aca="false">IF($G173="","",$G173+$K173)</f>
        <v/>
      </c>
      <c r="M173" s="17" t="n">
        <f aca="false">IF($H173="","",$H173+$K173)</f>
        <v/>
      </c>
      <c r="N173" s="17" t="n">
        <f aca="false">IF($J173="","",$J173+$K173)</f>
        <v/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/>
      </c>
      <c r="P173" s="17" t="n">
        <f aca="false">IF($B$10=0,"",IFERROR(IF($B$4&gt;0,IF($L173="",1/0,$L173*$B$4),0)+IF($B$5&gt;0,IF($M173="",1/0,$M173*$B$5),0)+IF($B$6&gt;0,IF($N173="",1/0,$N173*$B$6),0),""))</f>
        <v/>
      </c>
      <c r="Q173" s="17"/>
      <c r="R173" s="18" t="n">
        <f aca="false">IF($P173="","",IF($Q173="Y",IFERROR(VLOOKUP($B173,$C$4:$D$13,2,FALSE()),0),0))</f>
        <v/>
      </c>
      <c r="S173" s="17" t="n">
        <f aca="false">IF($P173="","",ROUNDDOWN($P173*$R173,0))</f>
        <v/>
      </c>
      <c r="T173" s="17" t="n">
        <f aca="false">IF($P173="","",$P173-$S173)</f>
        <v/>
      </c>
      <c r="U173" s="17" t="n">
        <f aca="false">IF($T173="","",IF($B$10=0,"",$T173/$B$10))</f>
        <v/>
      </c>
      <c r="V173" s="17" t="n">
        <f aca="false">IF($P173="","",IF($B$10=0,"",$P173/$B$10))</f>
        <v/>
      </c>
      <c r="W173" s="19" t="n">
        <f aca="false">IF($T173="",1000000000000000,$T173)</f>
        <v/>
      </c>
      <c r="XFB173" s="6"/>
      <c r="XFC173" s="3"/>
    </row>
    <row r="174" s="5" collapsed="false" customFormat="true" customHeight="true" hidden="false" ht="28.5" outlineLevel="0">
      <c r="A174" s="16" t="n">
        <f aca="false">IF($T174="","",1+COUNTIF($W$15:$W$894,"&lt;"&amp;W174))</f>
        <v/>
      </c>
      <c r="B174" s="16" t="s">
        <v>14</v>
      </c>
      <c r="C174" s="16" t="s">
        <v>370</v>
      </c>
      <c r="D174" s="20" t="s">
        <v>86</v>
      </c>
      <c r="E174" s="16" t="s">
        <v>26</v>
      </c>
      <c r="F174" s="16" t="s">
        <v>371</v>
      </c>
      <c r="G174" s="17">
        <v>1869</v>
      </c>
      <c r="H174" s="17">
        <v>2159</v>
      </c>
      <c r="I174" s="17"/>
      <c r="J174" s="17">
        <v>1879</v>
      </c>
      <c r="K174" s="17" t="n">
        <f aca="false">IF(AND(IFERROR(SEARCH("현대오일뱅크",$C174),0)&gt;0,IFERROR(SEARCH("직영",$C174),0)&gt;0),$B$13,0)</f>
        <v/>
      </c>
      <c r="L174" s="17" t="n">
        <f aca="false">IF($G174="","",$G174+$K174)</f>
        <v/>
      </c>
      <c r="M174" s="17" t="n">
        <f aca="false">IF($H174="","",$H174+$K174)</f>
        <v/>
      </c>
      <c r="N174" s="17" t="n">
        <f aca="false">IF($J174="","",$J174+$K174)</f>
        <v/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/>
      </c>
      <c r="P174" s="17" t="n">
        <f aca="false">IF($B$10=0,"",IFERROR(IF($B$4&gt;0,IF($L174="",1/0,$L174*$B$4),0)+IF($B$5&gt;0,IF($M174="",1/0,$M174*$B$5),0)+IF($B$6&gt;0,IF($N174="",1/0,$N174*$B$6),0),""))</f>
        <v/>
      </c>
      <c r="Q174" s="17"/>
      <c r="R174" s="18" t="n">
        <f aca="false">IF($P174="","",IF($Q174="Y",IFERROR(VLOOKUP($B174,$C$4:$D$13,2,FALSE()),0),0))</f>
        <v/>
      </c>
      <c r="S174" s="17" t="n">
        <f aca="false">IF($P174="","",ROUNDDOWN($P174*$R174,0))</f>
        <v/>
      </c>
      <c r="T174" s="17" t="n">
        <f aca="false">IF($P174="","",$P174-$S174)</f>
        <v/>
      </c>
      <c r="U174" s="17" t="n">
        <f aca="false">IF($T174="","",IF($B$10=0,"",$T174/$B$10))</f>
        <v/>
      </c>
      <c r="V174" s="17" t="n">
        <f aca="false">IF($P174="","",IF($B$10=0,"",$P174/$B$10))</f>
        <v/>
      </c>
      <c r="W174" s="19" t="n">
        <f aca="false">IF($T174="",1000000000000000,$T174)</f>
        <v/>
      </c>
      <c r="XFB174" s="6"/>
      <c r="XFC174" s="3"/>
    </row>
    <row r="175" s="5" collapsed="false" customFormat="true" customHeight="true" hidden="false" ht="28.5" outlineLevel="0">
      <c r="A175" s="16" t="n">
        <f aca="false">IF($T175="","",1+COUNTIF($W$15:$W$894,"&lt;"&amp;W175))</f>
        <v/>
      </c>
      <c r="B175" s="16" t="s">
        <v>12</v>
      </c>
      <c r="C175" s="16" t="s">
        <v>374</v>
      </c>
      <c r="D175" s="20" t="s">
        <v>86</v>
      </c>
      <c r="E175" s="16" t="s">
        <v>63</v>
      </c>
      <c r="F175" s="16" t="s">
        <v>375</v>
      </c>
      <c r="G175" s="17">
        <v>1979</v>
      </c>
      <c r="H175" s="17">
        <v>2199</v>
      </c>
      <c r="I175" s="17"/>
      <c r="J175" s="17">
        <v>1978</v>
      </c>
      <c r="K175" s="17" t="n">
        <f aca="false">IF(AND(IFERROR(SEARCH("현대오일뱅크",$C175),0)&gt;0,IFERROR(SEARCH("직영",$C175),0)&gt;0),$B$13,0)</f>
        <v/>
      </c>
      <c r="L175" s="17" t="n">
        <f aca="false">IF($G175="","",$G175+$K175)</f>
        <v/>
      </c>
      <c r="M175" s="17" t="n">
        <f aca="false">IF($H175="","",$H175+$K175)</f>
        <v/>
      </c>
      <c r="N175" s="17" t="n">
        <f aca="false">IF($J175="","",$J175+$K175)</f>
        <v/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7" t="n">
        <f aca="false">IF($B$10=0,"",IFERROR(IF($B$4&gt;0,IF($L175="",1/0,$L175*$B$4),0)+IF($B$5&gt;0,IF($M175="",1/0,$M175*$B$5),0)+IF($B$6&gt;0,IF($N175="",1/0,$N175*$B$6),0),""))</f>
        <v/>
      </c>
      <c r="Q175" s="17"/>
      <c r="R175" s="18" t="n">
        <f aca="false">IF($P175="","",IF($Q175="Y",IFERROR(VLOOKUP($B175,$C$4:$D$13,2,FALSE()),0),0))</f>
        <v/>
      </c>
      <c r="S175" s="17" t="n">
        <f aca="false">IF($P175="","",ROUNDDOWN($P175*$R175,0))</f>
        <v/>
      </c>
      <c r="T175" s="17" t="n">
        <f aca="false">IF($P175="","",$P175-$S175)</f>
        <v/>
      </c>
      <c r="U175" s="17" t="n">
        <f aca="false">IF($T175="","",IF($B$10=0,"",$T175/$B$10))</f>
        <v/>
      </c>
      <c r="V175" s="17" t="n">
        <f aca="false">IF($P175="","",IF($B$10=0,"",$P175/$B$10))</f>
        <v/>
      </c>
      <c r="W175" s="19" t="n">
        <f aca="false">IF($T175="",1000000000000000,$T175)</f>
        <v/>
      </c>
      <c r="XFB175" s="6"/>
      <c r="XFC175" s="3"/>
    </row>
    <row r="176" s="5" collapsed="false" customFormat="true" customHeight="true" hidden="false" ht="28.5" outlineLevel="0">
      <c r="A176" s="16" t="str">
        <f aca="false">IF($T176="","",1+COUNTIF($W$15:$W$894,"&lt;"&amp;W176))</f>
        <v/>
      </c>
      <c r="B176" s="16" t="s">
        <v>18</v>
      </c>
      <c r="C176" s="16" t="s">
        <v>376</v>
      </c>
      <c r="D176" s="16" t="s">
        <v>45</v>
      </c>
      <c r="E176" s="16" t="s">
        <v>63</v>
      </c>
      <c r="F176" s="16" t="s">
        <v>377</v>
      </c>
      <c r="G176" s="17">
        <v>1762</v>
      </c>
      <c r="H176" s="17"/>
      <c r="I176" s="17"/>
      <c r="J176" s="17">
        <v>1760</v>
      </c>
      <c r="K176" s="17" t="n">
        <v>0</v>
      </c>
      <c r="L176" s="17" t="n">
        <f aca="false">IF($G176="","",$G176+$K176)</f>
        <v/>
      </c>
      <c r="M176" s="17" t="str">
        <f aca="false">IF($H176="","",$H176+$K176)</f>
        <v/>
      </c>
      <c r="N176" s="17" t="n">
        <f aca="false">IF($J176="","",$J176+$K176)</f>
        <v/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7" t="str">
        <f aca="false">IF($B$10=0,"",IFERROR(IF($B$4&gt;0,IF($L176="",1/0,$L176*$B$4),0)+IF($B$5&gt;0,IF($M176="",1/0,$M176*$B$5),0)+IF($B$6&gt;0,IF($N176="",1/0,$N176*$B$6),0),""))</f>
        <v/>
      </c>
      <c r="Q176" s="17" t="s">
        <v>47</v>
      </c>
      <c r="R176" s="18" t="str">
        <f aca="false">IF($P176="","",IF($Q176="Y",IFERROR(VLOOKUP($B176,$C$4:$D$13,2,FALSE()),0),0))</f>
        <v/>
      </c>
      <c r="S176" s="17" t="str">
        <f aca="false">IF($P176="","",ROUNDDOWN($P176*$R176,0))</f>
        <v/>
      </c>
      <c r="T176" s="17" t="str">
        <f aca="false">IF($P176="","",$P176-$S176)</f>
        <v/>
      </c>
      <c r="U176" s="17" t="str">
        <f aca="false">IF($T176="","",IF($B$10=0,"",$T176/$B$10))</f>
        <v/>
      </c>
      <c r="V176" s="17" t="str">
        <f aca="false">IF($P176="","",IF($B$10=0,"",$P176/$B$10))</f>
        <v/>
      </c>
      <c r="W176" s="19" t="n">
        <f aca="false">IF($T176="",1000000000000000,$T176)</f>
        <v/>
      </c>
      <c r="XFB176" s="6"/>
      <c r="XFC176" s="3"/>
    </row>
    <row r="177" s="5" collapsed="false" customFormat="true" customHeight="true" hidden="false" ht="28.5" outlineLevel="0">
      <c r="A177" s="16" t="str">
        <f aca="false">IF($T177="","",1+COUNTIF($W$15:$W$894,"&lt;"&amp;W177))</f>
        <v/>
      </c>
      <c r="B177" s="16" t="s">
        <v>18</v>
      </c>
      <c r="C177" s="16" t="s">
        <v>378</v>
      </c>
      <c r="D177" s="16" t="s">
        <v>45</v>
      </c>
      <c r="E177" s="16" t="s">
        <v>26</v>
      </c>
      <c r="F177" s="16" t="s">
        <v>379</v>
      </c>
      <c r="G177" s="17">
        <v>1780</v>
      </c>
      <c r="H177" s="17"/>
      <c r="I177" s="17"/>
      <c r="J177" s="17">
        <v>1780</v>
      </c>
      <c r="K177" s="17" t="n">
        <f aca="false">IF(AND(IFERROR(SEARCH("현대오일뱅크",$C177),0)&gt;0,IFERROR(SEARCH("직영",$C177),0)&gt;0),$B$13,0)</f>
        <v/>
      </c>
      <c r="L177" s="17" t="n">
        <f aca="false">IF($G177="","",$G177+$K177)</f>
        <v/>
      </c>
      <c r="M177" s="17" t="str">
        <f aca="false">IF($H177="","",$H177+$K177)</f>
        <v/>
      </c>
      <c r="N177" s="17" t="n">
        <f aca="false">IF($J177="","",$J177+$K177)</f>
        <v/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7" t="str">
        <f aca="false">IF($B$10=0,"",IFERROR(IF($B$4&gt;0,IF($L177="",1/0,$L177*$B$4),0)+IF($B$5&gt;0,IF($M177="",1/0,$M177*$B$5),0)+IF($B$6&gt;0,IF($N177="",1/0,$N177*$B$6),0),""))</f>
        <v/>
      </c>
      <c r="Q177" s="16" t="s">
        <v>47</v>
      </c>
      <c r="R177" s="18" t="str">
        <f aca="false">IF($P177="","",IF($Q177="Y",IFERROR(VLOOKUP($B177,$C$4:$D$13,2,FALSE()),0),0))</f>
        <v/>
      </c>
      <c r="S177" s="17" t="str">
        <f aca="false">IF($P177="","",ROUNDDOWN($P177*$R177,0))</f>
        <v/>
      </c>
      <c r="T177" s="17" t="str">
        <f aca="false">IF($P177="","",$P177-$S177)</f>
        <v/>
      </c>
      <c r="U177" s="17" t="str">
        <f aca="false">IF($T177="","",IF($B$10=0,"",$T177/$B$10))</f>
        <v/>
      </c>
      <c r="V177" s="17" t="str">
        <f aca="false">IF($P177="","",IF($B$10=0,"",$P177/$B$10))</f>
        <v/>
      </c>
      <c r="W177" s="19" t="n">
        <f aca="false">IF($T177="",1000000000000000,$T177)</f>
        <v/>
      </c>
      <c r="XFB177" s="6"/>
      <c r="XFC177" s="3"/>
    </row>
    <row r="178" s="5" collapsed="false" customFormat="true" customHeight="true" hidden="false" ht="28.5" outlineLevel="0">
      <c r="A178" s="16" t="str">
        <f aca="false">IF($T178="","",1+COUNTIF($W$15:$W$894,"&lt;"&amp;W178))</f>
        <v/>
      </c>
      <c r="B178" s="16" t="s">
        <v>18</v>
      </c>
      <c r="C178" s="16" t="s">
        <v>380</v>
      </c>
      <c r="D178" s="16" t="s">
        <v>45</v>
      </c>
      <c r="E178" s="16" t="s">
        <v>26</v>
      </c>
      <c r="F178" s="16" t="s">
        <v>381</v>
      </c>
      <c r="G178" s="17">
        <v>1782</v>
      </c>
      <c r="H178" s="17"/>
      <c r="I178" s="17"/>
      <c r="J178" s="17">
        <v>1782</v>
      </c>
      <c r="K178" s="17" t="n">
        <f aca="false">IF(AND(IFERROR(SEARCH("현대오일뱅크",$C178),0)&gt;0,IFERROR(SEARCH("직영",$C178),0)&gt;0),$B$13,0)</f>
        <v/>
      </c>
      <c r="L178" s="17" t="n">
        <f aca="false">IF($G178="","",$G178+$K178)</f>
        <v/>
      </c>
      <c r="M178" s="17" t="str">
        <f aca="false">IF($H178="","",$H178+$K178)</f>
        <v/>
      </c>
      <c r="N178" s="17" t="n">
        <f aca="false">IF($J178="","",$J178+$K178)</f>
        <v/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 t="str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 t="str">
        <f aca="false">IF($P178="","",IF($Q178="Y",IFERROR(VLOOKUP($B178,$C$4:$D$13,2,FALSE()),0),0))</f>
        <v/>
      </c>
      <c r="S178" s="17" t="str">
        <f aca="false">IF($P178="","",ROUNDDOWN($P178*$R178,0))</f>
        <v/>
      </c>
      <c r="T178" s="17" t="str">
        <f aca="false">IF($P178="","",$P178-$S178)</f>
        <v/>
      </c>
      <c r="U178" s="17" t="str">
        <f aca="false">IF($T178="","",IF($B$10=0,"",$T178/$B$10))</f>
        <v/>
      </c>
      <c r="V178" s="17" t="str">
        <f aca="false">IF($P178="","",IF($B$10=0,"",$P178/$B$10))</f>
        <v/>
      </c>
      <c r="W178" s="19" t="n">
        <f aca="false">IF($T178="",1000000000000000,$T178)</f>
        <v/>
      </c>
      <c r="XFB178" s="6"/>
      <c r="XFC178" s="3"/>
    </row>
    <row r="179" s="5" collapsed="false" customFormat="true" customHeight="true" hidden="false" ht="28.5" outlineLevel="0">
      <c r="A179" s="16" t="str">
        <f aca="false">IF($T179="","",1+COUNTIF($W$15:$W$894,"&lt;"&amp;W179))</f>
        <v/>
      </c>
      <c r="B179" s="16" t="s">
        <v>18</v>
      </c>
      <c r="C179" s="16" t="s">
        <v>403</v>
      </c>
      <c r="D179" s="16" t="s">
        <v>95</v>
      </c>
      <c r="E179" s="16" t="s">
        <v>26</v>
      </c>
      <c r="F179" s="16" t="s">
        <v>404</v>
      </c>
      <c r="G179" s="17">
        <v>1792</v>
      </c>
      <c r="H179" s="17"/>
      <c r="I179" s="17"/>
      <c r="J179" s="17">
        <v>1792</v>
      </c>
      <c r="K179" s="17" t="n">
        <f aca="false">IF(AND(IFERROR(SEARCH("현대오일뱅크",$C179),0)&gt;0,IFERROR(SEARCH("직영",$C179),0)&gt;0),$B$13,0)</f>
        <v/>
      </c>
      <c r="L179" s="17" t="n">
        <f aca="false">IF($G179="","",$G179+$K179)</f>
        <v/>
      </c>
      <c r="M179" s="17" t="str">
        <f aca="false">IF($H179="","",$H179+$K179)</f>
        <v/>
      </c>
      <c r="N179" s="17" t="n">
        <f aca="false">IF($J179="","",$J179+$K179)</f>
        <v/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 t="str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 t="str">
        <f aca="false">IF($P179="","",IF($Q179="Y",IFERROR(VLOOKUP($B179,$C$4:$D$13,2,FALSE()),0),0))</f>
        <v/>
      </c>
      <c r="S179" s="17" t="str">
        <f aca="false">IF($P179="","",ROUNDDOWN($P179*$R179,0))</f>
        <v/>
      </c>
      <c r="T179" s="17" t="str">
        <f aca="false">IF($P179="","",$P179-$S179)</f>
        <v/>
      </c>
      <c r="U179" s="17" t="str">
        <f aca="false">IF($T179="","",IF($B$10=0,"",$T179/$B$10))</f>
        <v/>
      </c>
      <c r="V179" s="17" t="str">
        <f aca="false">IF($P179="","",IF($B$10=0,"",$P179/$B$10))</f>
        <v/>
      </c>
      <c r="W179" s="19" t="n">
        <f aca="false">IF($T179="",1000000000000000,$T179)</f>
        <v/>
      </c>
      <c r="XFB179" s="6"/>
      <c r="XFC179" s="3"/>
    </row>
    <row r="180" s="5" collapsed="false" customFormat="true" customHeight="true" hidden="false" ht="28.5" outlineLevel="0">
      <c r="A180" s="16" t="str">
        <f aca="false">IF($T180="","",1+COUNTIF($W$15:$W$894,"&lt;"&amp;W180))</f>
        <v/>
      </c>
      <c r="B180" s="16" t="s">
        <v>18</v>
      </c>
      <c r="C180" s="16" t="s">
        <v>382</v>
      </c>
      <c r="D180" s="16" t="s">
        <v>51</v>
      </c>
      <c r="E180" s="16" t="s">
        <v>63</v>
      </c>
      <c r="F180" s="16" t="s">
        <v>383</v>
      </c>
      <c r="G180" s="17">
        <v>1797</v>
      </c>
      <c r="H180" s="17"/>
      <c r="I180" s="17"/>
      <c r="J180" s="17">
        <v>1797</v>
      </c>
      <c r="K180" s="17" t="n">
        <f aca="false">IF(AND(IFERROR(SEARCH("현대오일뱅크",$C180),0)&gt;0,IFERROR(SEARCH("직영",$C180),0)&gt;0),$B$13,0)</f>
        <v/>
      </c>
      <c r="L180" s="17" t="n">
        <f aca="false">IF($G180="","",$G180+$K180)</f>
        <v/>
      </c>
      <c r="M180" s="17" t="str">
        <f aca="false">IF($H180="","",$H180+$K180)</f>
        <v/>
      </c>
      <c r="N180" s="17" t="n">
        <f aca="false">IF($J180="","",$J180+$K180)</f>
        <v/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 t="str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 t="str">
        <f aca="false">IF($P180="","",IF($Q180="Y",IFERROR(VLOOKUP($B180,$C$4:$D$13,2,FALSE()),0),0))</f>
        <v/>
      </c>
      <c r="S180" s="17" t="str">
        <f aca="false">IF($P180="","",ROUNDDOWN($P180*$R180,0))</f>
        <v/>
      </c>
      <c r="T180" s="17" t="str">
        <f aca="false">IF($P180="","",$P180-$S180)</f>
        <v/>
      </c>
      <c r="U180" s="17" t="str">
        <f aca="false">IF($T180="","",IF($B$10=0,"",$T180/$B$10))</f>
        <v/>
      </c>
      <c r="V180" s="17" t="str">
        <f aca="false">IF($P180="","",IF($B$10=0,"",$P180/$B$10))</f>
        <v/>
      </c>
      <c r="W180" s="19" t="n">
        <f aca="false">IF($T180="",1000000000000000,$T180)</f>
        <v/>
      </c>
      <c r="XFB180" s="6"/>
      <c r="XFC180" s="3"/>
    </row>
    <row r="181" s="5" collapsed="false" customFormat="true" customHeight="true" hidden="false" ht="28.5" outlineLevel="0">
      <c r="A181" s="16" t="str">
        <f aca="false">IF($T181="","",1+COUNTIF($W$15:$W$894,"&lt;"&amp;W181))</f>
        <v/>
      </c>
      <c r="B181" s="16" t="s">
        <v>18</v>
      </c>
      <c r="C181" s="16" t="s">
        <v>384</v>
      </c>
      <c r="D181" s="16" t="s">
        <v>95</v>
      </c>
      <c r="E181" s="16" t="s">
        <v>26</v>
      </c>
      <c r="F181" s="16" t="s">
        <v>385</v>
      </c>
      <c r="G181" s="17">
        <v>1799</v>
      </c>
      <c r="H181" s="17"/>
      <c r="I181" s="17"/>
      <c r="J181" s="17">
        <v>1799</v>
      </c>
      <c r="K181" s="17" t="n">
        <f aca="false">IF(AND(IFERROR(SEARCH("현대오일뱅크",$C181),0)&gt;0,IFERROR(SEARCH("직영",$C181),0)&gt;0),$B$13,0)</f>
        <v/>
      </c>
      <c r="L181" s="17" t="n">
        <f aca="false">IF($G181="","",$G181+$K181)</f>
        <v/>
      </c>
      <c r="M181" s="17" t="str">
        <f aca="false">IF($H181="","",$H181+$K181)</f>
        <v/>
      </c>
      <c r="N181" s="17" t="n">
        <f aca="false">IF($J181="","",$J181+$K181)</f>
        <v/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 t="str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 t="str">
        <f aca="false">IF($P181="","",IF($Q181="Y",IFERROR(VLOOKUP($B181,$C$4:$D$13,2,FALSE()),0),0))</f>
        <v/>
      </c>
      <c r="S181" s="17" t="str">
        <f aca="false">IF($P181="","",ROUNDDOWN($P181*$R181,0))</f>
        <v/>
      </c>
      <c r="T181" s="17" t="str">
        <f aca="false">IF($P181="","",$P181-$S181)</f>
        <v/>
      </c>
      <c r="U181" s="17" t="str">
        <f aca="false">IF($T181="","",IF($B$10=0,"",$T181/$B$10))</f>
        <v/>
      </c>
      <c r="V181" s="17" t="str">
        <f aca="false">IF($P181="","",IF($B$10=0,"",$P181/$B$10))</f>
        <v/>
      </c>
      <c r="W181" s="19" t="n">
        <f aca="false">IF($T181="",1000000000000000,$T181)</f>
        <v/>
      </c>
      <c r="XFB181" s="6"/>
      <c r="XFC181" s="3"/>
    </row>
    <row r="182" s="5" collapsed="false" customFormat="true" customHeight="true" hidden="false" ht="28.5" outlineLevel="0">
      <c r="A182" s="16" t="str">
        <f aca="false">IF($T182="","",1+COUNTIF($W$15:$W$894,"&lt;"&amp;W182))</f>
        <v/>
      </c>
      <c r="B182" s="16" t="s">
        <v>18</v>
      </c>
      <c r="C182" s="16" t="s">
        <v>386</v>
      </c>
      <c r="D182" s="16" t="s">
        <v>45</v>
      </c>
      <c r="E182" s="16" t="s">
        <v>63</v>
      </c>
      <c r="F182" s="16" t="s">
        <v>387</v>
      </c>
      <c r="G182" s="17">
        <v>1799</v>
      </c>
      <c r="H182" s="17"/>
      <c r="I182" s="17"/>
      <c r="J182" s="17">
        <v>1799</v>
      </c>
      <c r="K182" s="17" t="n">
        <f aca="false">IF(AND(IFERROR(SEARCH("현대오일뱅크",$C182),0)&gt;0,IFERROR(SEARCH("직영",$C182),0)&gt;0),$B$13,0)</f>
        <v/>
      </c>
      <c r="L182" s="17" t="n">
        <f aca="false">IF($G182="","",$G182+$K182)</f>
        <v/>
      </c>
      <c r="M182" s="17" t="str">
        <f aca="false">IF($H182="","",$H182+$K182)</f>
        <v/>
      </c>
      <c r="N182" s="17" t="n">
        <f aca="false">IF($J182="","",$J182+$K182)</f>
        <v/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 t="str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 t="str">
        <f aca="false">IF($P182="","",IF($Q182="Y",IFERROR(VLOOKUP($B182,$C$4:$D$13,2,FALSE()),0),0))</f>
        <v/>
      </c>
      <c r="S182" s="17" t="str">
        <f aca="false">IF($P182="","",ROUNDDOWN($P182*$R182,0))</f>
        <v/>
      </c>
      <c r="T182" s="17" t="str">
        <f aca="false">IF($P182="","",$P182-$S182)</f>
        <v/>
      </c>
      <c r="U182" s="17" t="str">
        <f aca="false">IF($T182="","",IF($B$10=0,"",$T182/$B$10))</f>
        <v/>
      </c>
      <c r="V182" s="17" t="str">
        <f aca="false">IF($P182="","",IF($b$1f150=0,"",$P182/$B$10))</f>
        <v/>
      </c>
      <c r="W182" s="19" t="n">
        <f aca="false">IF($T182="",1000000000000000,$T182)</f>
        <v/>
      </c>
      <c r="XFB182" s="6"/>
      <c r="XFC182" s="3"/>
    </row>
    <row r="183" s="5" collapsed="false" customFormat="true" customHeight="true" hidden="false" ht="28.5" outlineLevel="0">
      <c r="A183" s="16" t="str">
        <f aca="false">IF($T183="","",1+COUNTIF($W$15:$W$894,"&lt;"&amp;W183))</f>
        <v/>
      </c>
      <c r="B183" s="16" t="s">
        <v>18</v>
      </c>
      <c r="C183" s="16" t="s">
        <v>388</v>
      </c>
      <c r="D183" s="16" t="s">
        <v>95</v>
      </c>
      <c r="E183" s="16" t="s">
        <v>63</v>
      </c>
      <c r="F183" s="16" t="s">
        <v>389</v>
      </c>
      <c r="G183" s="17">
        <v>1799</v>
      </c>
      <c r="H183" s="17"/>
      <c r="I183" s="17"/>
      <c r="J183" s="17">
        <v>1799</v>
      </c>
      <c r="K183" s="17" t="n">
        <f aca="false">IF(AND(IFERROR(SEARCH("현대오일뱅크",$C183),0)&gt;0,IFERROR(SEARCH("직영",$C183),0)&gt;0),$B$13,0)</f>
        <v/>
      </c>
      <c r="L183" s="17" t="n">
        <f aca="false">IF($G183="","",$G183+$K183)</f>
        <v/>
      </c>
      <c r="M183" s="17" t="str">
        <f aca="false">IF($H183="","",$H183+$K183)</f>
        <v/>
      </c>
      <c r="N183" s="17" t="n">
        <f aca="false">IF($J183="","",$J183+$K183)</f>
        <v/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 t="str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 t="str">
        <f aca="false">IF($P183="","",IF($Q183="Y",IFERROR(VLOOKUP($B183,$C$4:$D$13,2,FALSE()),0),0))</f>
        <v/>
      </c>
      <c r="S183" s="17" t="str">
        <f aca="false">IF($P183="","",ROUNDDOWN($P183*$R183,0))</f>
        <v/>
      </c>
      <c r="T183" s="17" t="str">
        <f aca="false">IF($P183="","",$P183-$S183)</f>
        <v/>
      </c>
      <c r="U183" s="17" t="str">
        <f aca="false">IF($T183="","",IF($B$10=0,"",$T183/$B$10))</f>
        <v/>
      </c>
      <c r="V183" s="17" t="str">
        <f aca="false">IF($P183="","",IF($B$10=0,"",$P183/$B$10))</f>
        <v/>
      </c>
      <c r="W183" s="19" t="n">
        <f aca="false">IF($T183="",1000000000000000,$T183)</f>
        <v/>
      </c>
      <c r="XFB183" s="6"/>
      <c r="XFC183" s="3"/>
    </row>
    <row r="184" s="5" collapsed="false" customFormat="true" customHeight="true" hidden="false" ht="28.5" outlineLevel="0">
      <c r="A184" s="16" t="str">
        <f aca="false">IF($T184="","",1+COUNTIF($W$15:$W$894,"&lt;"&amp;W184))</f>
        <v/>
      </c>
      <c r="B184" s="16" t="s">
        <v>18</v>
      </c>
      <c r="C184" s="16" t="s">
        <v>390</v>
      </c>
      <c r="D184" s="16" t="s">
        <v>51</v>
      </c>
      <c r="E184" s="16" t="s">
        <v>26</v>
      </c>
      <c r="F184" s="16" t="s">
        <v>391</v>
      </c>
      <c r="G184" s="17">
        <v>1802</v>
      </c>
      <c r="H184" s="17"/>
      <c r="I184" s="17"/>
      <c r="J184" s="17">
        <v>1792</v>
      </c>
      <c r="K184" s="17" t="n">
        <f aca="false">IF(AND(IFERROR(SEARCH("현대오일뱅크",$C184),0)&gt;0,IFERROR(SEARCH("직영",$C184),0)&gt;0),$B$13,0)</f>
        <v/>
      </c>
      <c r="L184" s="17" t="n">
        <f aca="false">IF($G184="","",$G184+$K184)</f>
        <v/>
      </c>
      <c r="M184" s="17" t="str">
        <f aca="false">IF($H184="","",$H184+$K184)</f>
        <v/>
      </c>
      <c r="N184" s="17" t="n">
        <f aca="false">IF($J184="","",$J184+$K184)</f>
        <v/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 t="str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 t="str">
        <f aca="false">IF($P184="","",IF($Q184="Y",IFERROR(VLOOKUP($B184,$C$4:$D$13,2,FALSE()),0),0))</f>
        <v/>
      </c>
      <c r="S184" s="17" t="str">
        <f aca="false">IF($P184="","",ROUNDDOWN($P184*$R184,0))</f>
        <v/>
      </c>
      <c r="T184" s="17" t="str">
        <f aca="false">IF($P184="","",$P184-$S184)</f>
        <v/>
      </c>
      <c r="U184" s="17" t="str">
        <f aca="false">IF($T184="","",IF($B$10=0,"",$T184/$B$10))</f>
        <v/>
      </c>
      <c r="V184" s="17" t="str">
        <f aca="false">IF($P184="","",IF($B$10=0,"",$P184/$B$10))</f>
        <v/>
      </c>
      <c r="W184" s="19" t="n">
        <f aca="false">IF($T184="",1000000000000000,$T184)</f>
        <v/>
      </c>
      <c r="XFB184" s="6"/>
      <c r="XFC184" s="3"/>
    </row>
    <row r="185" s="5" collapsed="false" customFormat="true" customHeight="true" hidden="false" ht="28.5" outlineLevel="0">
      <c r="A185" s="16" t="str">
        <f aca="false">IF($T185="","",1+COUNTIF($W$15:$W$894,"&lt;"&amp;W185))</f>
        <v/>
      </c>
      <c r="B185" s="16" t="s">
        <v>18</v>
      </c>
      <c r="C185" s="16" t="s">
        <v>392</v>
      </c>
      <c r="D185" s="16" t="s">
        <v>393</v>
      </c>
      <c r="E185" s="16" t="s">
        <v>26</v>
      </c>
      <c r="F185" s="16" t="s">
        <v>394</v>
      </c>
      <c r="G185" s="17">
        <v>1815</v>
      </c>
      <c r="H185" s="17"/>
      <c r="I185" s="17"/>
      <c r="J185" s="17">
        <v>1795</v>
      </c>
      <c r="K185" s="17" t="n">
        <f aca="false">IF(AND(IFERROR(SEARCH("현대오일뱅크",$C185),0)&gt;0,IFERROR(SEARCH("직영",$C185),0)&gt;0),$B$13,0)</f>
        <v/>
      </c>
      <c r="L185" s="17" t="n">
        <f aca="false">IF($G185="","",$G185+$K185)</f>
        <v/>
      </c>
      <c r="M185" s="17" t="str">
        <f aca="false">IF($H185="","",$H185+$K185)</f>
        <v/>
      </c>
      <c r="N185" s="17" t="n">
        <f aca="false">IF($J185="","",$J185+$K185)</f>
        <v/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 t="str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 t="str">
        <f aca="false">IF($P185="","",IF($Q185="Y",IFERROR(VLOOKUP($B185,$C$4:$D$13,2,FALSE()),0),0))</f>
        <v/>
      </c>
      <c r="S185" s="17" t="str">
        <f aca="false">IF($P185="","",ROUNDDOWN($P185*$R185,0))</f>
        <v/>
      </c>
      <c r="T185" s="17" t="str">
        <f aca="false">IF($P185="","",$P185-$S185)</f>
        <v/>
      </c>
      <c r="U185" s="17" t="str">
        <f aca="false">IF($T185="","",IF($B$10=0,"",$T185/$B$10))</f>
        <v/>
      </c>
      <c r="V185" s="17" t="str">
        <f aca="false">IF($P185="","",IF($B$10=0,"",$P185/$B$10))</f>
        <v/>
      </c>
      <c r="W185" s="19" t="n">
        <f aca="false">IF($T185="",1000000000000000,$T185)</f>
        <v/>
      </c>
      <c r="XFB185" s="6"/>
      <c r="XFC185" s="3"/>
    </row>
    <row r="186" s="5" collapsed="false" customFormat="true" customHeight="true" hidden="false" ht="28.5" outlineLevel="0">
      <c r="A186" s="16" t="str">
        <f aca="false">IF($T186="","",1+COUNTIF($W$15:$W$894,"&lt;"&amp;W186))</f>
        <v/>
      </c>
      <c r="B186" s="16" t="s">
        <v>18</v>
      </c>
      <c r="C186" s="16" t="s">
        <v>395</v>
      </c>
      <c r="D186" s="16" t="s">
        <v>95</v>
      </c>
      <c r="E186" s="16" t="s">
        <v>63</v>
      </c>
      <c r="F186" s="16" t="s">
        <v>396</v>
      </c>
      <c r="G186" s="17">
        <v>1815</v>
      </c>
      <c r="H186" s="17"/>
      <c r="I186" s="17"/>
      <c r="J186" s="17">
        <v>1805</v>
      </c>
      <c r="K186" s="17" t="n">
        <f aca="false">IF(AND(IFERROR(SEARCH("현대오일뱅크",$C186),0)&gt;0,IFERROR(SEARCH("직영",$C186),0)&gt;0),$B$13,0)</f>
        <v/>
      </c>
      <c r="L186" s="17" t="n">
        <f aca="false">IF($G186="","",$G186+$K186)</f>
        <v/>
      </c>
      <c r="M186" s="17" t="str">
        <f aca="false">IF($H186="","",$H186+$K186)</f>
        <v/>
      </c>
      <c r="N186" s="17" t="n">
        <f aca="false">IF($J186="","",$J186+$K186)</f>
        <v/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 t="str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 t="str">
        <f aca="false">IF($P186="","",IF($Q186="Y",IFERROR(VLOOKUP($B186,$C$4:$D$13,2,FALSE()),0),0))</f>
        <v/>
      </c>
      <c r="S186" s="17" t="str">
        <f aca="false">IF($P186="","",ROUNDDOWN($P186*$R186,0))</f>
        <v/>
      </c>
      <c r="T186" s="17" t="str">
        <f aca="false">IF($P186="","",$P186-$S186)</f>
        <v/>
      </c>
      <c r="U186" s="17" t="str">
        <f aca="false">IF($T186="","",IF($B$10=0,"",$T186/$B$10))</f>
        <v/>
      </c>
      <c r="V186" s="17" t="str">
        <f aca="false">IF($P186="","",IF($B$10=0,"",$P186/$B$10))</f>
        <v/>
      </c>
      <c r="W186" s="19" t="n">
        <f aca="false">IF($T186="",1000000000000000,$T186)</f>
        <v/>
      </c>
      <c r="XFB186" s="6"/>
      <c r="XFC186" s="3"/>
    </row>
    <row r="187" s="5" collapsed="false" customFormat="true" customHeight="true" hidden="false" ht="28.5" outlineLevel="0">
      <c r="A187" s="16" t="str">
        <f aca="false">IF($T187="","",1+COUNTIF($W$15:$W$894,"&lt;"&amp;W187))</f>
        <v/>
      </c>
      <c r="B187" s="16" t="s">
        <v>18</v>
      </c>
      <c r="C187" s="16" t="s">
        <v>397</v>
      </c>
      <c r="D187" s="16" t="s">
        <v>45</v>
      </c>
      <c r="E187" s="16" t="s">
        <v>63</v>
      </c>
      <c r="F187" s="16" t="s">
        <v>398</v>
      </c>
      <c r="G187" s="17">
        <v>1817</v>
      </c>
      <c r="H187" s="17"/>
      <c r="I187" s="17"/>
      <c r="J187" s="17">
        <v>1797</v>
      </c>
      <c r="K187" s="17" t="n">
        <f aca="false">IF(AND(IFERROR(SEARCH("현대오일뱅크",$C187),0)&gt;0,IFERROR(SEARCH("직영",$C187),0)&gt;0),$B$13,0)</f>
        <v/>
      </c>
      <c r="L187" s="17" t="n">
        <f aca="false">IF($G187="","",$G187+$K187)</f>
        <v/>
      </c>
      <c r="M187" s="17" t="str">
        <f aca="false">IF($H187="","",$H187+$K187)</f>
        <v/>
      </c>
      <c r="N187" s="17" t="n">
        <f aca="false">IF($J187="","",$J187+$K187)</f>
        <v/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 t="str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 t="str">
        <f aca="false">IF($P187="","",IF($Q187="Y",IFERROR(VLOOKUP($B187,$C$4:$D$13,2,FALSE()),0),0))</f>
        <v/>
      </c>
      <c r="S187" s="17" t="str">
        <f aca="false">IF($P187="","",ROUNDDOWN($P187*$R187,0))</f>
        <v/>
      </c>
      <c r="T187" s="17" t="str">
        <f aca="false">IF($P187="","",$P187-$S187)</f>
        <v/>
      </c>
      <c r="U187" s="17" t="str">
        <f aca="false">IF($T187="","",IF($B$10=0,"",$T187/$B$10))</f>
        <v/>
      </c>
      <c r="V187" s="17" t="str">
        <f aca="false">IF($P187="","",IF($B$10=0,"",$P187/$B$10))</f>
        <v/>
      </c>
      <c r="W187" s="19" t="n">
        <f aca="false">IF($T187="",1000000000000000,$T187)</f>
        <v/>
      </c>
      <c r="XFB187" s="6"/>
      <c r="XFC187" s="3"/>
    </row>
    <row r="188" s="5" collapsed="false" customFormat="true" customHeight="true" hidden="false" ht="28.5" outlineLevel="0">
      <c r="A188" s="16" t="str">
        <f aca="false">IF($T188="","",1+COUNTIF($W$15:$W$894,"&lt;"&amp;W188))</f>
        <v/>
      </c>
      <c r="B188" s="16" t="s">
        <v>18</v>
      </c>
      <c r="C188" s="16" t="s">
        <v>399</v>
      </c>
      <c r="D188" s="16" t="s">
        <v>45</v>
      </c>
      <c r="E188" s="16" t="s">
        <v>63</v>
      </c>
      <c r="F188" s="16" t="s">
        <v>400</v>
      </c>
      <c r="G188" s="17">
        <v>1818</v>
      </c>
      <c r="H188" s="17"/>
      <c r="I188" s="17"/>
      <c r="J188" s="17">
        <v>1828</v>
      </c>
      <c r="K188" s="17" t="n">
        <f aca="false">IF(AND(IFERROR(SEARCH("현대오일뱅크",$C188),0)&gt;0,IFERROR(SEARCH("직영",$C188),0)&gt;0),$B$13,0)</f>
        <v/>
      </c>
      <c r="L188" s="17" t="n">
        <f aca="false">IF($G188="","",$G188+$K188)</f>
        <v/>
      </c>
      <c r="M188" s="17" t="str">
        <f aca="false">IF($H188="","",$H188+$K188)</f>
        <v/>
      </c>
      <c r="N188" s="17" t="n">
        <f aca="false">IF($J188="","",$J188+$K188)</f>
        <v/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 t="str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 t="str">
        <f aca="false">IF($P188="","",IF($Q188="Y",IFERROR(VLOOKUP($B188,$C$4:$D$13,2,FALSE()),0),0))</f>
        <v/>
      </c>
      <c r="S188" s="17" t="str">
        <f aca="false">IF($P188="","",ROUNDDOWN($P188*$R188,0))</f>
        <v/>
      </c>
      <c r="T188" s="17" t="str">
        <f aca="false">IF($P188="","",$P188-$S188)</f>
        <v/>
      </c>
      <c r="U188" s="17" t="str">
        <f aca="false">IF($T188="","",IF($B$10=0,"",$T188/$B$10))</f>
        <v/>
      </c>
      <c r="V188" s="17" t="str">
        <f aca="false">IF($P188="","",IF($B$10=0,"",$P188/$B$10))</f>
        <v/>
      </c>
      <c r="W188" s="19" t="n">
        <f aca="false">IF($T188="",1000000000000000,$T188)</f>
        <v/>
      </c>
      <c r="XFB188" s="6"/>
      <c r="XFC188" s="3"/>
    </row>
    <row r="189" s="5" collapsed="false" customFormat="true" customHeight="true" hidden="false" ht="28.5" outlineLevel="0">
      <c r="A189" s="16" t="str">
        <f aca="false">IF($T189="","",1+COUNTIF($W$15:$W$894,"&lt;"&amp;W189))</f>
        <v/>
      </c>
      <c r="B189" s="16" t="s">
        <v>18</v>
      </c>
      <c r="C189" s="16" t="s">
        <v>401</v>
      </c>
      <c r="D189" s="16" t="s">
        <v>45</v>
      </c>
      <c r="E189" s="16" t="s">
        <v>63</v>
      </c>
      <c r="F189" s="16" t="s">
        <v>402</v>
      </c>
      <c r="G189" s="17">
        <v>1820</v>
      </c>
      <c r="H189" s="17"/>
      <c r="I189" s="17"/>
      <c r="J189" s="17">
        <v>1810</v>
      </c>
      <c r="K189" s="17" t="n">
        <f aca="false">IF(AND(IFERROR(SEARCH("현대오일뱅크",$C189),0)&gt;0,IFERROR(SEARCH("직영",$C189),0)&gt;0),$B$13,0)</f>
        <v/>
      </c>
      <c r="L189" s="17" t="n">
        <f aca="false">IF($G189="","",$G189+$K189)</f>
        <v/>
      </c>
      <c r="M189" s="17" t="str">
        <f aca="false">IF($H189="","",$H189+$K189)</f>
        <v/>
      </c>
      <c r="N189" s="17" t="n">
        <f aca="false">IF($J189="","",$J189+$K189)</f>
        <v/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 t="str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 t="str">
        <f aca="false">IF($P189="","",IF($Q189="Y",IFERROR(VLOOKUP($B189,$C$4:$D$13,2,FALSE()),0),0))</f>
        <v/>
      </c>
      <c r="S189" s="17" t="str">
        <f aca="false">IF($P189="","",ROUNDDOWN($P189*$R189,0))</f>
        <v/>
      </c>
      <c r="T189" s="17" t="str">
        <f aca="false">IF($P189="","",$P189-$S189)</f>
        <v/>
      </c>
      <c r="U189" s="17" t="str">
        <f aca="false">IF($T189="","",IF($B$10=0,"",$T189/$B$10))</f>
        <v/>
      </c>
      <c r="V189" s="17" t="str">
        <f aca="false">IF($P189="","",IF($B$10=0,"",$P189/$B$10))</f>
        <v/>
      </c>
      <c r="W189" s="19" t="n">
        <f aca="false">IF($T189="",1000000000000000,$T189)</f>
        <v/>
      </c>
      <c r="XFB189" s="6"/>
      <c r="XFC189" s="3"/>
    </row>
    <row r="190" s="5" collapsed="false" customFormat="true" customHeight="true" hidden="false" ht="28.5" outlineLevel="0">
      <c r="A190" s="16" t="str">
        <f aca="false">IF($T190="","",1+COUNTIF($W$15:$W$894,"&lt;"&amp;W190))</f>
        <v/>
      </c>
      <c r="B190" s="16" t="s">
        <v>18</v>
      </c>
      <c r="C190" s="16" t="s">
        <v>405</v>
      </c>
      <c r="D190" s="16" t="s">
        <v>95</v>
      </c>
      <c r="E190" s="16" t="s">
        <v>63</v>
      </c>
      <c r="F190" s="16" t="s">
        <v>406</v>
      </c>
      <c r="G190" s="17">
        <v>1825</v>
      </c>
      <c r="H190" s="17"/>
      <c r="I190" s="17"/>
      <c r="J190" s="17">
        <v>1825</v>
      </c>
      <c r="K190" s="17" t="n">
        <f aca="false">IF(AND(IFERROR(SEARCH("현대오일뱅크",$C190),0)&gt;0,IFERROR(SEARCH("직영",$C190),0)&gt;0),$B$13,0)</f>
        <v/>
      </c>
      <c r="L190" s="17" t="n">
        <f aca="false">IF($G190="","",$G190+$K190)</f>
        <v/>
      </c>
      <c r="M190" s="17" t="str">
        <f aca="false">IF($H190="","",$H190+$K190)</f>
        <v/>
      </c>
      <c r="N190" s="17" t="n">
        <f aca="false">IF($J190="","",$J190+$K190)</f>
        <v/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 t="str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 t="str">
        <f aca="false">IF($P190="","",IF($Q190="Y",IFERROR(VLOOKUP($B190,$C$4:$D$13,2,FALSE()),0),0))</f>
        <v/>
      </c>
      <c r="S190" s="17" t="str">
        <f aca="false">IF($P190="","",ROUNDDOWN($P190*$R190,0))</f>
        <v/>
      </c>
      <c r="T190" s="17" t="str">
        <f aca="false">IF($P190="","",$P190-$S190)</f>
        <v/>
      </c>
      <c r="U190" s="17" t="str">
        <f aca="false">IF($T190="","",IF($B$10=0,"",$T190/$B$10))</f>
        <v/>
      </c>
      <c r="V190" s="17" t="str">
        <f aca="false">IF($P190="","",IF($B$10=0,"",$P190/$B$10))</f>
        <v/>
      </c>
      <c r="W190" s="19" t="n">
        <f aca="false">IF($T190="",1000000000000000,$T190)</f>
        <v/>
      </c>
      <c r="XFB190" s="6"/>
      <c r="XFC190" s="3"/>
    </row>
    <row r="191" s="5" collapsed="false" customFormat="true" customHeight="true" hidden="false" ht="28.5" outlineLevel="0">
      <c r="A191" s="16" t="str">
        <f aca="false">IF($T191="","",1+COUNTIF($W$15:$W$894,"&lt;"&amp;W191))</f>
        <v/>
      </c>
      <c r="B191" s="16" t="s">
        <v>18</v>
      </c>
      <c r="C191" s="16" t="s">
        <v>409</v>
      </c>
      <c r="D191" s="16" t="s">
        <v>51</v>
      </c>
      <c r="E191" s="16" t="s">
        <v>63</v>
      </c>
      <c r="F191" s="16" t="s">
        <v>410</v>
      </c>
      <c r="G191" s="17">
        <v>1829</v>
      </c>
      <c r="H191" s="17"/>
      <c r="I191" s="17"/>
      <c r="J191" s="17">
        <v>1819</v>
      </c>
      <c r="K191" s="17" t="n">
        <f aca="false">IF(AND(IFERROR(SEARCH("현대오일뱅크",$C191),0)&gt;0,IFERROR(SEARCH("직영",$C191),0)&gt;0),$B$13,0)</f>
        <v/>
      </c>
      <c r="L191" s="17" t="n">
        <f aca="false">IF($G191="","",$G191+$K191)</f>
        <v/>
      </c>
      <c r="M191" s="17" t="str">
        <f aca="false">IF($H191="","",$H191+$K191)</f>
        <v/>
      </c>
      <c r="N191" s="17" t="n">
        <f aca="false">IF($J191="","",$J191+$K191)</f>
        <v/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 t="str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 t="str">
        <f aca="false">IF($P191="","",IF($Q191="Y",IFERROR(VLOOKUP($B191,$C$4:$D$13,2,FALSE()),0),0))</f>
        <v/>
      </c>
      <c r="S191" s="17" t="str">
        <f aca="false">IF($P191="","",ROUNDDOWN($P191*$R191,0))</f>
        <v/>
      </c>
      <c r="T191" s="17" t="str">
        <f aca="false">IF($P191="","",$P191-$S191)</f>
        <v/>
      </c>
      <c r="U191" s="17" t="str">
        <f aca="false">IF($T191="","",IF($B$10=0,"",$T191/$B$10))</f>
        <v/>
      </c>
      <c r="V191" s="17" t="str">
        <f aca="false">IF($P191="","",IF($B$10=0,"",$P191/$B$10))</f>
        <v/>
      </c>
      <c r="W191" s="19" t="n">
        <f aca="false">IF($T191="",1000000000000000,$T191)</f>
        <v/>
      </c>
      <c r="XFB191" s="6"/>
      <c r="XFC191" s="3"/>
    </row>
    <row r="192" s="5" collapsed="false" customFormat="true" customHeight="true" hidden="false" ht="28.5" outlineLevel="0">
      <c r="A192" s="16" t="str">
        <f aca="false">IF($T192="","",1+COUNTIF($W$15:$W$894,"&lt;"&amp;W192))</f>
        <v/>
      </c>
      <c r="B192" s="16" t="s">
        <v>18</v>
      </c>
      <c r="C192" s="16" t="s">
        <v>407</v>
      </c>
      <c r="D192" s="20" t="s">
        <v>86</v>
      </c>
      <c r="E192" s="16" t="s">
        <v>26</v>
      </c>
      <c r="F192" s="16" t="s">
        <v>408</v>
      </c>
      <c r="G192" s="17">
        <v>1829</v>
      </c>
      <c r="H192" s="17"/>
      <c r="I192" s="17"/>
      <c r="J192" s="17">
        <v>1825</v>
      </c>
      <c r="K192" s="17" t="n">
        <f aca="false">IF(AND(IFERROR(SEARCH("현대오일뱅크",$C192),0)&gt;0,IFERROR(SEARCH("직영",$C192),0)&gt;0),$B$13,0)</f>
        <v/>
      </c>
      <c r="L192" s="17" t="n">
        <f aca="false">IF($G192="","",$G192+$K192)</f>
        <v/>
      </c>
      <c r="M192" s="17" t="str">
        <f aca="false">IF($H192="","",$H192+$K192)</f>
        <v/>
      </c>
      <c r="N192" s="17" t="n">
        <f aca="false">IF($J192="","",$J192+$K192)</f>
        <v/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 t="str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 t="str">
        <f aca="false">IF($P192="","",IF($Q192="Y",IFERROR(VLOOKUP($B192,$C$4:$D$13,2,FALSE()),0),0))</f>
        <v/>
      </c>
      <c r="S192" s="17" t="str">
        <f aca="false">IF($P192="","",ROUNDDOWN($P192*$R192,0))</f>
        <v/>
      </c>
      <c r="T192" s="17" t="str">
        <f aca="false">IF($P192="","",$P192-$S192)</f>
        <v/>
      </c>
      <c r="U192" s="17" t="str">
        <f aca="false">IF($T192="","",IF($B$10=0,"",$T192/$B$10))</f>
        <v/>
      </c>
      <c r="V192" s="17" t="str">
        <f aca="false">IF($P192="","",IF($B$10=0,"",$P192/$B$10))</f>
        <v/>
      </c>
      <c r="W192" s="19" t="n">
        <f aca="false">IF($T192="",1000000000000000,$T192)</f>
        <v/>
      </c>
      <c r="XFB192" s="6"/>
      <c r="XFC192" s="3"/>
    </row>
    <row r="193" s="5" collapsed="false" customFormat="true" customHeight="true" hidden="false" ht="28.5" outlineLevel="0">
      <c r="A193" s="16" t="str">
        <f aca="false">IF($T193="","",1+COUNTIF($W$15:$W$894,"&lt;"&amp;W193))</f>
        <v/>
      </c>
      <c r="B193" s="16" t="s">
        <v>18</v>
      </c>
      <c r="C193" s="16" t="s">
        <v>411</v>
      </c>
      <c r="D193" s="20" t="s">
        <v>86</v>
      </c>
      <c r="E193" s="16" t="s">
        <v>63</v>
      </c>
      <c r="F193" s="16" t="s">
        <v>412</v>
      </c>
      <c r="G193" s="17">
        <v>1829</v>
      </c>
      <c r="H193" s="17"/>
      <c r="I193" s="17"/>
      <c r="J193" s="17">
        <v>1829</v>
      </c>
      <c r="K193" s="17" t="n">
        <f aca="false">IF(AND(IFERROR(SEARCH("현대오일뱅크",$C193),0)&gt;0,IFERROR(SEARCH("직영",$C193),0)&gt;0),$B$13,0)</f>
        <v/>
      </c>
      <c r="L193" s="17" t="n">
        <f aca="false">IF($G193="","",$G193+$K193)</f>
        <v/>
      </c>
      <c r="M193" s="17" t="str">
        <f aca="false">IF($H193="","",$H193+$K193)</f>
        <v/>
      </c>
      <c r="N193" s="17" t="n">
        <f aca="false">IF($J193="","",$J193+$K193)</f>
        <v/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 t="str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 t="str">
        <f aca="false">IF($P193="","",IF($Q193="Y",IFERROR(VLOOKUP($B193,$C$4:$D$13,2,FALSE()),0),0))</f>
        <v/>
      </c>
      <c r="S193" s="17" t="str">
        <f aca="false">IF($P193="","",ROUNDDOWN($P193*$R193,0))</f>
        <v/>
      </c>
      <c r="T193" s="17" t="str">
        <f aca="false">IF($P193="","",$P193-$S193)</f>
        <v/>
      </c>
      <c r="U193" s="17" t="str">
        <f aca="false">IF($T193="","",IF($B$10=0,"",$T193/$B$10))</f>
        <v/>
      </c>
      <c r="V193" s="17" t="str">
        <f aca="false">IF($P193="","",IF($B$10=0,"",$P193/$B$10))</f>
        <v/>
      </c>
      <c r="W193" s="19" t="n">
        <f aca="false">IF($T193="",1000000000000000,$T193)</f>
        <v/>
      </c>
      <c r="XFB193" s="6"/>
      <c r="XFC193" s="3"/>
    </row>
    <row r="194" s="5" collapsed="false" customFormat="true" customHeight="true" hidden="false" ht="28.5" outlineLevel="0">
      <c r="A194" s="16" t="str">
        <f aca="false">IF($T194="","",1+COUNTIF($W$15:$W$894,"&lt;"&amp;W194))</f>
        <v/>
      </c>
      <c r="B194" s="16" t="s">
        <v>18</v>
      </c>
      <c r="C194" s="16" t="s">
        <v>413</v>
      </c>
      <c r="D194" s="20" t="s">
        <v>86</v>
      </c>
      <c r="E194" s="16" t="s">
        <v>63</v>
      </c>
      <c r="F194" s="16" t="s">
        <v>414</v>
      </c>
      <c r="G194" s="17">
        <v>1835</v>
      </c>
      <c r="H194" s="17"/>
      <c r="I194" s="17"/>
      <c r="J194" s="17">
        <v>1795</v>
      </c>
      <c r="K194" s="17" t="n">
        <f aca="false">IF(AND(IFERROR(SEARCH("현대오일뱅크",$C194),0)&gt;0,IFERROR(SEARCH("직영",$C194),0)&gt;0),$B$13,0)</f>
        <v/>
      </c>
      <c r="L194" s="17" t="n">
        <f aca="false">IF($G194="","",$G194+$K194)</f>
        <v/>
      </c>
      <c r="M194" s="17" t="str">
        <f aca="false">IF($H194="","",$H194+$K194)</f>
        <v/>
      </c>
      <c r="N194" s="17" t="n">
        <f aca="false">IF($J194="","",$J194+$K194)</f>
        <v/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 t="str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 t="str">
        <f aca="false">IF($P194="","",IF($Q194="Y",IFERROR(VLOOKUP($B194,$C$4:$D$13,2,FALSE()),0),0))</f>
        <v/>
      </c>
      <c r="S194" s="17" t="str">
        <f aca="false">IF($P194="","",ROUNDDOWN($P194*$R194,0))</f>
        <v/>
      </c>
      <c r="T194" s="17" t="str">
        <f aca="false">IF($P194="","",$P194-$S194)</f>
        <v/>
      </c>
      <c r="U194" s="17" t="str">
        <f aca="false">IF($T194="","",IF($B$10=0,"",$T194/$B$10))</f>
        <v/>
      </c>
      <c r="V194" s="17" t="str">
        <f aca="false">IF($P194="","",IF($B$10=0,"",$P194/$B$10))</f>
        <v/>
      </c>
      <c r="W194" s="19" t="n">
        <f aca="false">IF($T194="",1000000000000000,$T194)</f>
        <v/>
      </c>
      <c r="XFB194" s="6"/>
      <c r="XFC194" s="3"/>
    </row>
    <row r="195" s="5" collapsed="false" customFormat="true" customHeight="true" hidden="false" ht="28.5" outlineLevel="0">
      <c r="A195" s="16" t="str">
        <f aca="false">IF($T195="","",1+COUNTIF($W$15:$W$894,"&lt;"&amp;W195))</f>
        <v/>
      </c>
      <c r="B195" s="16" t="s">
        <v>18</v>
      </c>
      <c r="C195" s="16" t="s">
        <v>415</v>
      </c>
      <c r="D195" s="16" t="s">
        <v>51</v>
      </c>
      <c r="E195" s="16" t="s">
        <v>26</v>
      </c>
      <c r="F195" s="16" t="s">
        <v>416</v>
      </c>
      <c r="G195" s="17">
        <v>1835</v>
      </c>
      <c r="H195" s="17"/>
      <c r="I195" s="17"/>
      <c r="J195" s="17">
        <v>1835</v>
      </c>
      <c r="K195" s="17" t="n">
        <f aca="false">IF(AND(IFERROR(SEARCH("현대오일뱅크",$C195),0)&gt;0,IFERROR(SEARCH("직영",$C195),0)&gt;0),$B$13,0)</f>
        <v/>
      </c>
      <c r="L195" s="17" t="n">
        <f aca="false">IF($G195="","",$G195+$K195)</f>
        <v/>
      </c>
      <c r="M195" s="17" t="str">
        <f aca="false">IF($H195="","",$H195+$K195)</f>
        <v/>
      </c>
      <c r="N195" s="17" t="n">
        <f aca="false">IF($J195="","",$J195+$K195)</f>
        <v/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 t="str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 t="str">
        <f aca="false">IF($P195="","",IF($Q195="Y",IFERROR(VLOOKUP($B195,$C$4:$D$13,2,FALSE()),0),0))</f>
        <v/>
      </c>
      <c r="S195" s="17" t="str">
        <f aca="false">IF($P195="","",ROUNDDOWN($P195*$R195,0))</f>
        <v/>
      </c>
      <c r="T195" s="17" t="str">
        <f aca="false">IF($P195="","",$P195-$S195)</f>
        <v/>
      </c>
      <c r="U195" s="17" t="str">
        <f aca="false">IF($T195="","",IF($B$10=0,"",$T195/$B$10))</f>
        <v/>
      </c>
      <c r="V195" s="17" t="str">
        <f aca="false">IF($P195="","",IF($B$10=0,"",$P195/$B$10))</f>
        <v/>
      </c>
      <c r="W195" s="19" t="n">
        <f aca="false">IF($T195="",1000000000000000,$T195)</f>
        <v/>
      </c>
      <c r="XFB195" s="6"/>
      <c r="XFC195" s="3"/>
    </row>
    <row r="196" s="5" collapsed="false" customFormat="true" customHeight="true" hidden="false" ht="28.5" outlineLevel="0">
      <c r="A196" s="16" t="str">
        <f aca="false">IF($T196="","",1+COUNTIF($W$15:$W$894,"&lt;"&amp;W196))</f>
        <v/>
      </c>
      <c r="B196" s="16" t="s">
        <v>18</v>
      </c>
      <c r="C196" s="16" t="s">
        <v>417</v>
      </c>
      <c r="D196" s="16" t="s">
        <v>51</v>
      </c>
      <c r="E196" s="16" t="s">
        <v>63</v>
      </c>
      <c r="F196" s="16" t="s">
        <v>418</v>
      </c>
      <c r="G196" s="17">
        <v>1835</v>
      </c>
      <c r="H196" s="17"/>
      <c r="I196" s="17"/>
      <c r="J196" s="17">
        <v>1835</v>
      </c>
      <c r="K196" s="17" t="n">
        <f aca="false">IF(AND(IFERROR(SEARCH("현대오일뱅크",$C196),0)&gt;0,IFERROR(SEARCH("직영",$C196),0)&gt;0),$B$13,0)</f>
        <v/>
      </c>
      <c r="L196" s="17" t="n">
        <f aca="false">IF($G196="","",$G196+$K196)</f>
        <v/>
      </c>
      <c r="M196" s="17" t="str">
        <f aca="false">IF($H196="","",$H196+$K196)</f>
        <v/>
      </c>
      <c r="N196" s="17" t="n">
        <f aca="false">IF($J196="","",$J196+$K196)</f>
        <v/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 t="str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 t="str">
        <f aca="false">IF($P196="","",IF($Q196="Y",IFERROR(VLOOKUP($B196,$C$4:$D$13,2,FALSE()),0),0))</f>
        <v/>
      </c>
      <c r="S196" s="17" t="str">
        <f aca="false">IF($P196="","",ROUNDDOWN($P196*$R196,0))</f>
        <v/>
      </c>
      <c r="T196" s="17" t="str">
        <f aca="false">IF($P196="","",$P196-$S196)</f>
        <v/>
      </c>
      <c r="U196" s="17" t="str">
        <f aca="false">IF($T196="","",IF($B$10=0,"",$T196/$B$10))</f>
        <v/>
      </c>
      <c r="V196" s="17" t="str">
        <f aca="false">IF($P196="","",IF($B$10=0,"",$P196/$B$10))</f>
        <v/>
      </c>
      <c r="W196" s="19" t="n">
        <f aca="false">IF($T196="",1000000000000000,$T196)</f>
        <v/>
      </c>
      <c r="XFB196" s="6"/>
      <c r="XFC196" s="3"/>
    </row>
    <row r="197" s="5" collapsed="false" customFormat="true" customHeight="true" hidden="false" ht="28.5" outlineLevel="0">
      <c r="A197" s="16" t="str">
        <f aca="false">IF($T197="","",1+COUNTIF($W$15:$W$894,"&lt;"&amp;W197))</f>
        <v/>
      </c>
      <c r="B197" s="16" t="s">
        <v>18</v>
      </c>
      <c r="C197" s="16" t="s">
        <v>419</v>
      </c>
      <c r="D197" s="20" t="s">
        <v>86</v>
      </c>
      <c r="E197" s="16" t="s">
        <v>63</v>
      </c>
      <c r="F197" s="16" t="s">
        <v>420</v>
      </c>
      <c r="G197" s="17">
        <v>1835</v>
      </c>
      <c r="H197" s="17"/>
      <c r="I197" s="17"/>
      <c r="J197" s="17">
        <v>1838</v>
      </c>
      <c r="K197" s="17" t="n">
        <f aca="false">IF(AND(IFERROR(SEARCH("현대오일뱅크",$C197),0)&gt;0,IFERROR(SEARCH("직영",$C197),0)&gt;0),$B$13,0)</f>
        <v/>
      </c>
      <c r="L197" s="17" t="n">
        <f aca="false">IF($G197="","",$G197+$K197)</f>
        <v/>
      </c>
      <c r="M197" s="17" t="str">
        <f aca="false">IF($H197="","",$H197+$K197)</f>
        <v/>
      </c>
      <c r="N197" s="17" t="n">
        <f aca="false">IF($J197="","",$J197+$K197)</f>
        <v/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 t="str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 t="str">
        <f aca="false">IF($P197="","",IF($Q197="Y",IFERROR(VLOOKUP($B197,$C$4:$D$13,2,FALSE()),0),0))</f>
        <v/>
      </c>
      <c r="S197" s="17" t="str">
        <f aca="false">IF($P197="","",ROUNDDOWN($P197*$R197,0))</f>
        <v/>
      </c>
      <c r="T197" s="17" t="str">
        <f aca="false">IF($P197="","",$P197-$S197)</f>
        <v/>
      </c>
      <c r="U197" s="17" t="str">
        <f aca="false">IF($T197="","",IF($B$10=0,"",$T197/$B$10))</f>
        <v/>
      </c>
      <c r="V197" s="17" t="str">
        <f aca="false">IF($P197="","",IF($B$10=0,"",$P197/$B$10))</f>
        <v/>
      </c>
      <c r="W197" s="19" t="n">
        <f aca="false">IF($T197="",1000000000000000,$T197)</f>
        <v/>
      </c>
      <c r="XFB197" s="6"/>
      <c r="XFC197" s="3"/>
    </row>
    <row r="198" s="21" collapsed="false" customFormat="true" customHeight="true" hidden="false" ht="28.5" outlineLevel="0">
      <c r="A198" s="16" t="str">
        <f aca="false">IF($T198="","",1+COUNTIF($W$15:$W$894,"&lt;"&amp;W198))</f>
        <v/>
      </c>
      <c r="B198" s="16" t="s">
        <v>14</v>
      </c>
      <c r="C198" s="16" t="s">
        <v>421</v>
      </c>
      <c r="D198" s="16" t="s">
        <v>95</v>
      </c>
      <c r="E198" s="16" t="s">
        <v>63</v>
      </c>
      <c r="F198" s="16" t="s">
        <v>422</v>
      </c>
      <c r="G198" s="17">
        <v>1754</v>
      </c>
      <c r="H198" s="17"/>
      <c r="I198" s="17"/>
      <c r="J198" s="17">
        <v>1864</v>
      </c>
      <c r="K198" s="17" t="n">
        <f aca="false">IF(AND(IFERROR(SEARCH("현대오일뱅크",$C198),0)&gt;0,IFERROR(SEARCH("직영",$C198),0)&gt;0),$B$13,0)</f>
        <v/>
      </c>
      <c r="L198" s="17" t="n">
        <f aca="false">IF($G198="","",$G198+$K198)</f>
        <v/>
      </c>
      <c r="M198" s="17" t="str">
        <f aca="false">IF($H198="","",$H198+$K198)</f>
        <v/>
      </c>
      <c r="N198" s="17" t="n">
        <f aca="false">IF($J198="","",$J198+$K198)</f>
        <v/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 t="str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 t="str">
        <f aca="false">IF($P198="","",IF($Q198="Y",IFERROR(VLOOKUP($B198,$C$4:$D$13,2,FALSE()),0),0))</f>
        <v/>
      </c>
      <c r="S198" s="17" t="str">
        <f aca="false">IF($P198="","",ROUNDDOWN($P198*$R198,0))</f>
        <v/>
      </c>
      <c r="T198" s="17" t="str">
        <f aca="false">IF($P198="","",$P198-$S198)</f>
        <v/>
      </c>
      <c r="U198" s="17" t="str">
        <f aca="false">IF($T198="","",IF($B$10=0,"",$T198/$B$10))</f>
        <v/>
      </c>
      <c r="V198" s="17" t="str">
        <f aca="false">IF($P198="","",IF($B$10=0,"",$P198/$B$10))</f>
        <v/>
      </c>
      <c r="W198" s="19" t="n">
        <f aca="false">IF($T198="",1000000000000000,$T198)</f>
        <v/>
      </c>
      <c r="XFB198" s="6"/>
      <c r="XFC198" s="3"/>
    </row>
    <row r="199" s="5" collapsed="false" customFormat="true" customHeight="true" hidden="false" ht="28.5" outlineLevel="0">
      <c r="A199" s="16" t="str">
        <f aca="false">IF($T199="","",1+COUNTIF($W$15:$W$894,"&lt;"&amp;W199))</f>
        <v/>
      </c>
      <c r="B199" s="16" t="s">
        <v>18</v>
      </c>
      <c r="C199" s="16" t="s">
        <v>423</v>
      </c>
      <c r="D199" s="20" t="s">
        <v>86</v>
      </c>
      <c r="E199" s="16" t="s">
        <v>63</v>
      </c>
      <c r="F199" s="16" t="s">
        <v>424</v>
      </c>
      <c r="G199" s="17">
        <v>1838</v>
      </c>
      <c r="H199" s="17"/>
      <c r="I199" s="17"/>
      <c r="J199" s="17">
        <v>1858</v>
      </c>
      <c r="K199" s="17" t="n">
        <f aca="false">IF(AND(IFERROR(SEARCH("현대오일뱅크",$C199),0)&gt;0,IFERROR(SEARCH("직영",$C199),0)&gt;0),$B$13,0)</f>
        <v/>
      </c>
      <c r="L199" s="17" t="n">
        <f aca="false">IF($G199="","",$G199+$K199)</f>
        <v/>
      </c>
      <c r="M199" s="17" t="str">
        <f aca="false">IF($H199="","",$H199+$K199)</f>
        <v/>
      </c>
      <c r="N199" s="17" t="n">
        <f aca="false">IF($J199="","",$J199+$K199)</f>
        <v/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 t="str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 t="str">
        <f aca="false">IF($P199="","",IF($Q199="Y",IFERROR(VLOOKUP($B199,$C$4:$D$13,2,FALSE()),0),0))</f>
        <v/>
      </c>
      <c r="S199" s="17" t="str">
        <f aca="false">IF($P199="","",ROUNDDOWN($P199*$R199,0))</f>
        <v/>
      </c>
      <c r="T199" s="17" t="str">
        <f aca="false">IF($P199="","",$P199-$S199)</f>
        <v/>
      </c>
      <c r="U199" s="17" t="str">
        <f aca="false">IF($T199="","",IF($B$10=0,"",$T199/$B$10))</f>
        <v/>
      </c>
      <c r="V199" s="17" t="str">
        <f aca="false">IF($P199="","",IF($B$10=0,"",$P199/$B$10))</f>
        <v/>
      </c>
      <c r="W199" s="19" t="n">
        <f aca="false">IF($T199="",1000000000000000,$T199)</f>
        <v/>
      </c>
      <c r="XFB199" s="6"/>
      <c r="XFC199" s="3"/>
    </row>
    <row r="200" s="5" collapsed="false" customFormat="true" customHeight="true" hidden="false" ht="28.5" outlineLevel="0">
      <c r="A200" s="16" t="str">
        <f aca="false">IF($T200="","",1+COUNTIF($W$15:$W$894,"&lt;"&amp;W200))</f>
        <v/>
      </c>
      <c r="B200" s="16" t="s">
        <v>18</v>
      </c>
      <c r="C200" s="16" t="s">
        <v>425</v>
      </c>
      <c r="D200" s="16" t="s">
        <v>51</v>
      </c>
      <c r="E200" s="16" t="s">
        <v>63</v>
      </c>
      <c r="F200" s="16" t="s">
        <v>426</v>
      </c>
      <c r="G200" s="17">
        <v>1840</v>
      </c>
      <c r="H200" s="17"/>
      <c r="I200" s="17"/>
      <c r="J200" s="17">
        <v>1850</v>
      </c>
      <c r="K200" s="17" t="n">
        <f aca="false">IF(AND(IFERROR(SEARCH("현대오일뱅크",$C200),0)&gt;0,IFERROR(SEARCH("직영",$C200),0)&gt;0),$B$13,0)</f>
        <v/>
      </c>
      <c r="L200" s="17" t="n">
        <f aca="false">IF($G200="","",$G200+$K200)</f>
        <v/>
      </c>
      <c r="M200" s="17" t="str">
        <f aca="false">IF($H200="","",$H200+$K200)</f>
        <v/>
      </c>
      <c r="N200" s="17" t="n">
        <f aca="false">IF($J200="","",$J200+$K200)</f>
        <v/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 t="str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 t="str">
        <f aca="false">IF($P200="","",IF($Q200="Y",IFERROR(VLOOKUP($B200,$C$4:$D$13,2,FALSE()),0),0))</f>
        <v/>
      </c>
      <c r="S200" s="17" t="str">
        <f aca="false">IF($P200="","",ROUNDDOWN($P200*$R200,0))</f>
        <v/>
      </c>
      <c r="T200" s="17" t="str">
        <f aca="false">IF($P200="","",$P200-$S200)</f>
        <v/>
      </c>
      <c r="U200" s="17" t="str">
        <f aca="false">IF($T200="","",IF($B$10=0,"",$T200/$B$10))</f>
        <v/>
      </c>
      <c r="V200" s="17" t="str">
        <f aca="false">IF($P200="","",IF($B$10=0,"",$P200/$B$10))</f>
        <v/>
      </c>
      <c r="W200" s="19" t="n">
        <f aca="false">IF($T200="",1000000000000000,$T200)</f>
        <v/>
      </c>
      <c r="XFB200" s="6"/>
      <c r="XFC200" s="3"/>
    </row>
    <row r="201" s="5" collapsed="false" customFormat="true" customHeight="true" hidden="false" ht="28.5" outlineLevel="0">
      <c r="A201" s="16" t="str">
        <f aca="false">IF($T201="","",1+COUNTIF($W$15:$W$894,"&lt;"&amp;W201))</f>
        <v/>
      </c>
      <c r="B201" s="16" t="s">
        <v>18</v>
      </c>
      <c r="C201" s="16" t="s">
        <v>427</v>
      </c>
      <c r="D201" s="16" t="s">
        <v>45</v>
      </c>
      <c r="E201" s="16" t="s">
        <v>26</v>
      </c>
      <c r="F201" s="16" t="s">
        <v>428</v>
      </c>
      <c r="G201" s="17">
        <v>1842</v>
      </c>
      <c r="H201" s="17"/>
      <c r="I201" s="17"/>
      <c r="J201" s="17">
        <v>1812</v>
      </c>
      <c r="K201" s="17" t="n">
        <f aca="false">IF(AND(IFERROR(SEARCH("현대오일뱅크",$C201),0)&gt;0,IFERROR(SEARCH("직영",$C201),0)&gt;0),$B$13,0)</f>
        <v/>
      </c>
      <c r="L201" s="17" t="n">
        <f aca="false">IF($G201="","",$G201+$K201)</f>
        <v/>
      </c>
      <c r="M201" s="17" t="str">
        <f aca="false">IF($H201="","",$H201+$K201)</f>
        <v/>
      </c>
      <c r="N201" s="17" t="n">
        <f aca="false">IF($J201="","",$J201+$K201)</f>
        <v/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 t="str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 t="str">
        <f aca="false">IF($P201="","",IF($Q201="Y",IFERROR(VLOOKUP($B201,$C$4:$D$13,2,FALSE()),0),0))</f>
        <v/>
      </c>
      <c r="S201" s="17" t="str">
        <f aca="false">IF($P201="","",ROUNDDOWN($P201*$R201,0))</f>
        <v/>
      </c>
      <c r="T201" s="17" t="str">
        <f aca="false">IF($P201="","",$P201-$S201)</f>
        <v/>
      </c>
      <c r="U201" s="17" t="str">
        <f aca="false">IF($T201="","",IF($B$10=0,"",$T201/$B$10))</f>
        <v/>
      </c>
      <c r="V201" s="17" t="str">
        <f aca="false">IF($P201="","",IF($B$10=0,"",$P201/$B$10))</f>
        <v/>
      </c>
      <c r="W201" s="19" t="n">
        <f aca="false">IF($T201="",1000000000000000,$T201)</f>
        <v/>
      </c>
      <c r="XFB201" s="6"/>
      <c r="XFC201" s="3"/>
    </row>
    <row r="202" s="5" collapsed="false" customFormat="true" customHeight="true" hidden="false" ht="28.5" outlineLevel="0">
      <c r="A202" s="16" t="str">
        <f aca="false">IF($T202="","",1+COUNTIF($W$15:$W$894,"&lt;"&amp;W202))</f>
        <v/>
      </c>
      <c r="B202" s="16" t="s">
        <v>18</v>
      </c>
      <c r="C202" s="16" t="s">
        <v>429</v>
      </c>
      <c r="D202" s="20" t="s">
        <v>86</v>
      </c>
      <c r="E202" s="16" t="s">
        <v>63</v>
      </c>
      <c r="F202" s="16" t="s">
        <v>430</v>
      </c>
      <c r="G202" s="17">
        <v>1845</v>
      </c>
      <c r="H202" s="17"/>
      <c r="I202" s="17"/>
      <c r="J202" s="17">
        <v>1835</v>
      </c>
      <c r="K202" s="17" t="n">
        <f aca="false">IF(AND(IFERROR(SEARCH("현대오일뱅크",$C202),0)&gt;0,IFERROR(SEARCH("직영",$C202),0)&gt;0),$B$13,0)</f>
        <v/>
      </c>
      <c r="L202" s="17" t="n">
        <f aca="false">IF($G202="","",$G202+$K202)</f>
        <v/>
      </c>
      <c r="M202" s="17" t="str">
        <f aca="false">IF($H202="","",$H202+$K202)</f>
        <v/>
      </c>
      <c r="N202" s="17" t="n">
        <f aca="false">IF($J202="","",$J202+$K202)</f>
        <v/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 t="str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 t="str">
        <f aca="false">IF($P202="","",IF($Q202="Y",IFERROR(VLOOKUP($B202,$C$4:$D$13,2,FALSE()),0),0))</f>
        <v/>
      </c>
      <c r="S202" s="17" t="str">
        <f aca="false">IF($P202="","",ROUNDDOWN($P202*$R202,0))</f>
        <v/>
      </c>
      <c r="T202" s="17" t="str">
        <f aca="false">IF($P202="","",$P202-$S202)</f>
        <v/>
      </c>
      <c r="U202" s="17" t="str">
        <f aca="false">IF($T202="","",IF($B$10=0,"",$T202/$B$10))</f>
        <v/>
      </c>
      <c r="V202" s="17" t="str">
        <f aca="false">IF($P202="","",IF($B$10=0,"",$P202/$B$10))</f>
        <v/>
      </c>
      <c r="W202" s="19" t="n">
        <f aca="false">IF($T202="",1000000000000000,$T202)</f>
        <v/>
      </c>
      <c r="XFB202" s="6"/>
      <c r="XFC202" s="3"/>
    </row>
    <row r="203" s="5" collapsed="false" customFormat="true" customHeight="true" hidden="false" ht="28.5" outlineLevel="0">
      <c r="A203" s="16" t="str">
        <f aca="false">IF($T203="","",1+COUNTIF($W$15:$W$894,"&lt;"&amp;W203))</f>
        <v/>
      </c>
      <c r="B203" s="16" t="s">
        <v>14</v>
      </c>
      <c r="C203" s="16" t="s">
        <v>431</v>
      </c>
      <c r="D203" s="16" t="s">
        <v>45</v>
      </c>
      <c r="E203" s="16" t="s">
        <v>26</v>
      </c>
      <c r="F203" s="16" t="s">
        <v>432</v>
      </c>
      <c r="G203" s="17">
        <v>1765</v>
      </c>
      <c r="H203" s="17"/>
      <c r="I203" s="17"/>
      <c r="J203" s="17">
        <v>1775</v>
      </c>
      <c r="K203" s="17" t="n">
        <f aca="false">IF(AND(IFERROR(SEARCH("현대오일뱅크",$C203),0)&gt;0,IFERROR(SEARCH("직영",$C203),0)&gt;0),$B$13,0)</f>
        <v/>
      </c>
      <c r="L203" s="17" t="n">
        <f aca="false">IF($G203="","",$G203+$K203)</f>
        <v/>
      </c>
      <c r="M203" s="17" t="str">
        <f aca="false">IF($H203="","",$H203+$K203)</f>
        <v/>
      </c>
      <c r="N203" s="17" t="n">
        <f aca="false">IF($J203="","",$J203+$K203)</f>
        <v/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 t="str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 t="str">
        <f aca="false">IF($P203="","",IF($Q203="Y",IFERROR(VLOOKUP($B203,$C$4:$D$13,2,FALSE()),0),0))</f>
        <v/>
      </c>
      <c r="S203" s="17" t="str">
        <f aca="false">IF($P203="","",ROUNDDOWN($P203*$R203,0))</f>
        <v/>
      </c>
      <c r="T203" s="17" t="str">
        <f aca="false">IF($P203="","",$P203-$S203)</f>
        <v/>
      </c>
      <c r="U203" s="17" t="str">
        <f aca="false">IF($T203="","",IF($B$10=0,"",$T203/$B$10))</f>
        <v/>
      </c>
      <c r="V203" s="17" t="str">
        <f aca="false">IF($P203="","",IF($B$10=0,"",$P203/$B$10))</f>
        <v/>
      </c>
      <c r="W203" s="19" t="n">
        <f aca="false">IF($T203="",1000000000000000,$T203)</f>
        <v/>
      </c>
      <c r="XFB203" s="6"/>
      <c r="XFC203" s="3"/>
    </row>
    <row r="204" s="5" collapsed="false" customFormat="true" customHeight="true" hidden="false" ht="28.5" outlineLevel="0">
      <c r="A204" s="16" t="str">
        <f aca="false">IF($T204="","",1+COUNTIF($W$15:$W$894,"&lt;"&amp;W204))</f>
        <v/>
      </c>
      <c r="B204" s="16" t="s">
        <v>18</v>
      </c>
      <c r="C204" s="16" t="s">
        <v>433</v>
      </c>
      <c r="D204" s="20" t="s">
        <v>86</v>
      </c>
      <c r="E204" s="16" t="s">
        <v>26</v>
      </c>
      <c r="F204" s="16" t="s">
        <v>434</v>
      </c>
      <c r="G204" s="17">
        <v>1849</v>
      </c>
      <c r="H204" s="17"/>
      <c r="I204" s="17"/>
      <c r="J204" s="17">
        <v>1819</v>
      </c>
      <c r="K204" s="17" t="n">
        <f aca="false">IF(AND(IFERROR(SEARCH("현대오일뱅크",$C204),0)&gt;0,IFERROR(SEARCH("직영",$C204),0)&gt;0),$B$13,0)</f>
        <v/>
      </c>
      <c r="L204" s="17" t="n">
        <f aca="false">IF($G204="","",$G204+$K204)</f>
        <v/>
      </c>
      <c r="M204" s="17" t="str">
        <f aca="false">IF($H204="","",$H204+$K204)</f>
        <v/>
      </c>
      <c r="N204" s="17" t="n">
        <f aca="false">IF($J204="","",$J204+$K204)</f>
        <v/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 t="str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 t="str">
        <f aca="false">IF($P204="","",IF($Q204="Y",IFERROR(VLOOKUP($B204,$C$4:$D$13,2,FALSE()),0),0))</f>
        <v/>
      </c>
      <c r="S204" s="17" t="str">
        <f aca="false">IF($P204="","",ROUNDDOWN($P204*$R204,0))</f>
        <v/>
      </c>
      <c r="T204" s="17" t="str">
        <f aca="false">IF($P204="","",$P204-$S204)</f>
        <v/>
      </c>
      <c r="U204" s="17" t="str">
        <f aca="false">IF($T204="","",IF($B$10=0,"",$T204/$B$10))</f>
        <v/>
      </c>
      <c r="V204" s="17" t="str">
        <f aca="false">IF($P204="","",IF($B$10=0,"",$P204/$B$10))</f>
        <v/>
      </c>
      <c r="W204" s="19" t="n">
        <f aca="false">IF($T204="",1000000000000000,$T204)</f>
        <v/>
      </c>
      <c r="XFB204" s="6"/>
      <c r="XFC204" s="3"/>
    </row>
    <row r="205" s="5" collapsed="false" customFormat="true" customHeight="true" hidden="false" ht="28.5" outlineLevel="0">
      <c r="A205" s="16" t="str">
        <f aca="false">IF($T205="","",1+COUNTIF($W$15:$W$894,"&lt;"&amp;W205))</f>
        <v/>
      </c>
      <c r="B205" s="16" t="s">
        <v>18</v>
      </c>
      <c r="C205" s="16" t="s">
        <v>435</v>
      </c>
      <c r="D205" s="20" t="s">
        <v>86</v>
      </c>
      <c r="E205" s="16" t="s">
        <v>26</v>
      </c>
      <c r="F205" s="16" t="s">
        <v>436</v>
      </c>
      <c r="G205" s="17">
        <v>1849</v>
      </c>
      <c r="H205" s="17"/>
      <c r="I205" s="17"/>
      <c r="J205" s="17">
        <v>1849</v>
      </c>
      <c r="K205" s="17" t="n">
        <f aca="false">IF(AND(IFERROR(SEARCH("현대오일뱅크",$C205),0)&gt;0,IFERROR(SEARCH("직영",$C205),0)&gt;0),$B$13,0)</f>
        <v/>
      </c>
      <c r="L205" s="17" t="n">
        <f aca="false">IF($G205="","",$G205+$K205)</f>
        <v/>
      </c>
      <c r="M205" s="17" t="str">
        <f aca="false">IF($H205="","",$H205+$K205)</f>
        <v/>
      </c>
      <c r="N205" s="17" t="n">
        <f aca="false">IF($J205="","",$J205+$K205)</f>
        <v/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 t="str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 t="str">
        <f aca="false">IF($P205="","",IF($Q205="Y",IFERROR(VLOOKUP($B205,$C$4:$D$13,2,FALSE()),0),0))</f>
        <v/>
      </c>
      <c r="S205" s="17" t="str">
        <f aca="false">IF($P205="","",ROUNDDOWN($P205*$R205,0))</f>
        <v/>
      </c>
      <c r="T205" s="17" t="str">
        <f aca="false">IF($P205="","",$P205-$S205)</f>
        <v/>
      </c>
      <c r="U205" s="17" t="str">
        <f aca="false">IF($T205="","",IF($B$10=0,"",$T205/$B$10))</f>
        <v/>
      </c>
      <c r="V205" s="17" t="str">
        <f aca="false">IF($P205="","",IF($B$10=0,"",$P205/$B$10))</f>
        <v/>
      </c>
      <c r="W205" s="19" t="n">
        <f aca="false">IF($T205="",1000000000000000,$T205)</f>
        <v/>
      </c>
      <c r="XFB205" s="6"/>
      <c r="XFC205" s="3"/>
    </row>
    <row r="206" s="5" collapsed="false" customFormat="true" customHeight="true" hidden="false" ht="28.5" outlineLevel="0">
      <c r="A206" s="16" t="str">
        <f aca="false">IF($T206="","",1+COUNTIF($W$15:$W$894,"&lt;"&amp;W206))</f>
        <v/>
      </c>
      <c r="B206" s="16" t="s">
        <v>18</v>
      </c>
      <c r="C206" s="16" t="s">
        <v>437</v>
      </c>
      <c r="D206" s="20" t="s">
        <v>86</v>
      </c>
      <c r="E206" s="16" t="s">
        <v>63</v>
      </c>
      <c r="F206" s="16" t="s">
        <v>438</v>
      </c>
      <c r="G206" s="17">
        <v>1850</v>
      </c>
      <c r="H206" s="17"/>
      <c r="I206" s="17"/>
      <c r="J206" s="17">
        <v>1850</v>
      </c>
      <c r="K206" s="17" t="n">
        <f aca="false">IF(AND(IFERROR(SEARCH("현대오일뱅크",$C206),0)&gt;0,IFERROR(SEARCH("직영",$C206),0)&gt;0),$B$13,0)</f>
        <v/>
      </c>
      <c r="L206" s="17" t="n">
        <f aca="false">IF($G206="","",$G206+$K206)</f>
        <v/>
      </c>
      <c r="M206" s="17" t="str">
        <f aca="false">IF($H206="","",$H206+$K206)</f>
        <v/>
      </c>
      <c r="N206" s="17" t="n">
        <f aca="false">IF($J206="","",$J206+$K206)</f>
        <v/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 t="str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 t="str">
        <f aca="false">IF($P206="","",IF($Q206="Y",IFERROR(VLOOKUP($B206,$C$4:$D$13,2,FALSE()),0),0))</f>
        <v/>
      </c>
      <c r="S206" s="17" t="str">
        <f aca="false">IF($P206="","",ROUNDDOWN($P206*$R206,0))</f>
        <v/>
      </c>
      <c r="T206" s="17" t="str">
        <f aca="false">IF($P206="","",$P206-$S206)</f>
        <v/>
      </c>
      <c r="U206" s="17" t="str">
        <f aca="false">IF($T206="","",IF($B$10=0,"",$T206/$B$10))</f>
        <v/>
      </c>
      <c r="V206" s="17" t="str">
        <f aca="false">IF($P206="","",IF($B$10=0,"",$P206/$B$10))</f>
        <v/>
      </c>
      <c r="W206" s="19" t="n">
        <f aca="false">IF($T206="",1000000000000000,$T206)</f>
        <v/>
      </c>
      <c r="XFB206" s="6"/>
      <c r="XFC206" s="3"/>
    </row>
    <row r="207" s="5" collapsed="false" customFormat="true" customHeight="true" hidden="false" ht="28.5" outlineLevel="0">
      <c r="A207" s="16" t="str">
        <f aca="false">IF($T207="","",1+COUNTIF($W$15:$W$894,"&lt;"&amp;W207))</f>
        <v/>
      </c>
      <c r="B207" s="16" t="s">
        <v>18</v>
      </c>
      <c r="C207" s="16" t="s">
        <v>439</v>
      </c>
      <c r="D207" s="16" t="s">
        <v>95</v>
      </c>
      <c r="E207" s="16" t="s">
        <v>63</v>
      </c>
      <c r="F207" s="16" t="s">
        <v>440</v>
      </c>
      <c r="G207" s="17">
        <v>1850</v>
      </c>
      <c r="H207" s="17"/>
      <c r="I207" s="17"/>
      <c r="J207" s="17">
        <v>1850</v>
      </c>
      <c r="K207" s="17" t="n">
        <f aca="false">IF(AND(IFERROR(SEARCH("현대오일뱅크",$C207),0)&gt;0,IFERROR(SEARCH("직영",$C207),0)&gt;0),$B$13,0)</f>
        <v/>
      </c>
      <c r="L207" s="17" t="n">
        <f aca="false">IF($G207="","",$G207+$K207)</f>
        <v/>
      </c>
      <c r="M207" s="17" t="str">
        <f aca="false">IF($H207="","",$H207+$K207)</f>
        <v/>
      </c>
      <c r="N207" s="17" t="n">
        <f aca="false">IF($J207="","",$J207+$K207)</f>
        <v/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 t="str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 t="str">
        <f aca="false">IF($P207="","",IF($Q207="Y",IFERROR(VLOOKUP($B207,$C$4:$D$13,2,FALSE()),0),0))</f>
        <v/>
      </c>
      <c r="S207" s="17" t="str">
        <f aca="false">IF($P207="","",ROUNDDOWN($P207*$R207,0))</f>
        <v/>
      </c>
      <c r="T207" s="17" t="str">
        <f aca="false">IF($P207="","",$P207-$S207)</f>
        <v/>
      </c>
      <c r="U207" s="17" t="str">
        <f aca="false">IF($T207="","",IF($B$10=0,"",$T207/$B$10))</f>
        <v/>
      </c>
      <c r="V207" s="17" t="str">
        <f aca="false">IF($P207="","",IF($B$10=0,"",$P207/$B$10))</f>
        <v/>
      </c>
      <c r="W207" s="19" t="n">
        <f aca="false">IF($T207="",1000000000000000,$T207)</f>
        <v/>
      </c>
      <c r="XFB207" s="6"/>
      <c r="XFC207" s="3"/>
    </row>
    <row r="208" s="5" collapsed="false" customFormat="true" customHeight="true" hidden="false" ht="28.5" outlineLevel="0">
      <c r="A208" s="16" t="str">
        <f aca="false">IF($T208="","",1+COUNTIF($W$15:$W$894,"&lt;"&amp;W208))</f>
        <v/>
      </c>
      <c r="B208" s="16" t="s">
        <v>16</v>
      </c>
      <c r="C208" s="16" t="s">
        <v>441</v>
      </c>
      <c r="D208" s="16" t="s">
        <v>95</v>
      </c>
      <c r="E208" s="16" t="s">
        <v>26</v>
      </c>
      <c r="F208" s="16" t="s">
        <v>442</v>
      </c>
      <c r="G208" s="17">
        <v>1795</v>
      </c>
      <c r="H208" s="17"/>
      <c r="I208" s="17"/>
      <c r="J208" s="17">
        <v>1795</v>
      </c>
      <c r="K208" s="17" t="n">
        <f aca="false">IF(AND(IFERROR(SEARCH("현대오일뱅크",$C208),0)&gt;0,IFERROR(SEARCH("직영",$C208),0)&gt;0),$B$13,0)</f>
        <v/>
      </c>
      <c r="L208" s="17" t="n">
        <f aca="false">IF($G208="","",$G208+$K208)</f>
        <v/>
      </c>
      <c r="M208" s="17" t="str">
        <f aca="false">IF($H208="","",$H208+$K208)</f>
        <v/>
      </c>
      <c r="N208" s="17" t="n">
        <f aca="false">IF($J208="","",$J208+$K208)</f>
        <v/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 t="str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 t="str">
        <f aca="false">IF($P208="","",IF($Q208="Y",IFERROR(VLOOKUP($B208,$C$4:$D$13,2,FALSE()),0),0))</f>
        <v/>
      </c>
      <c r="S208" s="17" t="str">
        <f aca="false">IF($P208="","",ROUNDDOWN($P208*$R208,0))</f>
        <v/>
      </c>
      <c r="T208" s="17" t="str">
        <f aca="false">IF($P208="","",$P208-$S208)</f>
        <v/>
      </c>
      <c r="U208" s="17" t="str">
        <f aca="false">IF($T208="","",IF($B$10=0,"",$T208/$B$10))</f>
        <v/>
      </c>
      <c r="V208" s="17" t="str">
        <f aca="false">IF($P208="","",IF($B$10=0,"",$P208/$B$10))</f>
        <v/>
      </c>
      <c r="W208" s="19" t="n">
        <f aca="false">IF($T208="",1000000000000000,$T208)</f>
        <v/>
      </c>
      <c r="XFB208" s="6"/>
      <c r="XFC208" s="3"/>
    </row>
    <row r="209" s="5" collapsed="false" customFormat="true" customHeight="true" hidden="false" ht="28.5" outlineLevel="0">
      <c r="A209" s="16" t="str">
        <f aca="false">IF($T209="","",1+COUNTIF($W$15:$W$894,"&lt;"&amp;W209))</f>
        <v/>
      </c>
      <c r="B209" s="16" t="s">
        <v>18</v>
      </c>
      <c r="C209" s="16" t="s">
        <v>443</v>
      </c>
      <c r="D209" s="16" t="s">
        <v>95</v>
      </c>
      <c r="E209" s="16" t="s">
        <v>63</v>
      </c>
      <c r="F209" s="16" t="s">
        <v>444</v>
      </c>
      <c r="G209" s="17">
        <v>1859</v>
      </c>
      <c r="H209" s="17"/>
      <c r="I209" s="17"/>
      <c r="J209" s="17">
        <v>1849</v>
      </c>
      <c r="K209" s="17" t="n">
        <f aca="false">IF(AND(IFERROR(SEARCH("현대오일뱅크",$C209),0)&gt;0,IFERROR(SEARCH("직영",$C209),0)&gt;0),$B$13,0)</f>
        <v/>
      </c>
      <c r="L209" s="17" t="n">
        <f aca="false">IF($G209="","",$G209+$K209)</f>
        <v/>
      </c>
      <c r="M209" s="17" t="str">
        <f aca="false">IF($H209="","",$H209+$K209)</f>
        <v/>
      </c>
      <c r="N209" s="17" t="n">
        <f aca="false">IF($J209="","",$J209+$K209)</f>
        <v/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 t="str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 t="str">
        <f aca="false">IF($P209="","",IF($Q209="Y",IFERROR(VLOOKUP($B209,$C$4:$D$13,2,FALSE()),0),0))</f>
        <v/>
      </c>
      <c r="S209" s="17" t="str">
        <f aca="false">IF($P209="","",ROUNDDOWN($P209*$R209,0))</f>
        <v/>
      </c>
      <c r="T209" s="17" t="str">
        <f aca="false">IF($P209="","",$P209-$S209)</f>
        <v/>
      </c>
      <c r="U209" s="17" t="str">
        <f aca="false">IF($T209="","",IF($B$10=0,"",$T209/$B$10))</f>
        <v/>
      </c>
      <c r="V209" s="17" t="str">
        <f aca="false">IF($P209="","",IF($B$10=0,"",$P209/$B$10))</f>
        <v/>
      </c>
      <c r="W209" s="19" t="n">
        <f aca="false">IF($T209="",1000000000000000,$T209)</f>
        <v/>
      </c>
      <c r="XFB209" s="6"/>
      <c r="XFC209" s="3"/>
    </row>
    <row r="210" s="5" collapsed="false" customFormat="true" customHeight="true" hidden="false" ht="28.5" outlineLevel="0">
      <c r="A210" s="16" t="str">
        <f aca="false">IF($T210="","",1+COUNTIF($W$15:$W$894,"&lt;"&amp;W210))</f>
        <v/>
      </c>
      <c r="B210" s="16" t="s">
        <v>6</v>
      </c>
      <c r="C210" s="16" t="s">
        <v>446</v>
      </c>
      <c r="D210" s="16" t="s">
        <v>45</v>
      </c>
      <c r="E210" s="16" t="s">
        <v>63</v>
      </c>
      <c r="F210" s="16" t="s">
        <v>447</v>
      </c>
      <c r="G210" s="17">
        <v>1774</v>
      </c>
      <c r="H210" s="17"/>
      <c r="I210" s="17"/>
      <c r="J210" s="17">
        <v>1754</v>
      </c>
      <c r="K210" s="17" t="n">
        <v>0</v>
      </c>
      <c r="L210" s="17" t="n">
        <f aca="false">IF($G210="","",$G210+$K210)</f>
        <v/>
      </c>
      <c r="M210" s="17" t="str">
        <f aca="false">IF($H210="","",$H210+$K210)</f>
        <v/>
      </c>
      <c r="N210" s="17" t="n">
        <f aca="false">IF($J210="","",$J210+$K210)</f>
        <v/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 t="str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 t="str">
        <f aca="false">IF($P210="","",IF($Q210="Y",IFERROR(VLOOKUP($B210,$C$4:$D$13,2,FALSE()),0),0))</f>
        <v/>
      </c>
      <c r="S210" s="17" t="str">
        <f aca="false">IF($P210="","",ROUNDDOWN($P210*$R210,0))</f>
        <v/>
      </c>
      <c r="T210" s="17" t="str">
        <f aca="false">IF($P210="","",$P210-$S210)</f>
        <v/>
      </c>
      <c r="U210" s="17" t="str">
        <f aca="false">IF($T210="","",IF($B$10=0,"",$T210/$B$10))</f>
        <v/>
      </c>
      <c r="V210" s="17" t="str">
        <f aca="false">IF($P210="","",IF($B$10=0,"",$P210/$B$10))</f>
        <v/>
      </c>
      <c r="W210" s="19" t="n">
        <f aca="false">IF($T210="",1000000000000000,$T210)</f>
        <v/>
      </c>
      <c r="XFB210" s="6"/>
      <c r="XFC210" s="3"/>
    </row>
    <row r="211" s="5" collapsed="false" customFormat="true" customHeight="true" hidden="false" ht="28.5" outlineLevel="0">
      <c r="A211" s="16" t="str">
        <f aca="false">IF($T211="","",1+COUNTIF($W$15:$W$894,"&lt;"&amp;W211))</f>
        <v/>
      </c>
      <c r="B211" s="16" t="s">
        <v>12</v>
      </c>
      <c r="C211" s="16" t="s">
        <v>450</v>
      </c>
      <c r="D211" s="20" t="s">
        <v>45</v>
      </c>
      <c r="E211" s="16" t="s">
        <v>26</v>
      </c>
      <c r="F211" s="16" t="s">
        <v>451</v>
      </c>
      <c r="G211" s="17">
        <v>1765</v>
      </c>
      <c r="H211" s="17"/>
      <c r="I211" s="17"/>
      <c r="J211" s="17">
        <v>1765</v>
      </c>
      <c r="K211" s="17" t="n">
        <f aca="false">IF(AND(IFERROR(SEARCH("현대오일뱅크",$C211),0)&gt;0,IFERROR(SEARCH("직영",$C211),0)&gt;0),$B$13,0)</f>
        <v/>
      </c>
      <c r="L211" s="17" t="n">
        <f aca="false">IF($G211="","",$G211+$K211)</f>
        <v/>
      </c>
      <c r="M211" s="17" t="str">
        <f aca="false">IF($H211="","",$H211+$K211)</f>
        <v/>
      </c>
      <c r="N211" s="17" t="n">
        <f aca="false">IF($J211="","",$J211+$K211)</f>
        <v/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 t="str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 t="str">
        <f aca="false">IF($P211="","",IF($Q211="Y",IFERROR(VLOOKUP($B211,$C$4:$D$13,2,FALSE()),0),0))</f>
        <v/>
      </c>
      <c r="S211" s="17" t="str">
        <f aca="false">IF($P211="","",ROUNDDOWN($P211*$R211,0))</f>
        <v/>
      </c>
      <c r="T211" s="17" t="str">
        <f aca="false">IF($P211="","",$P211-$S211)</f>
        <v/>
      </c>
      <c r="U211" s="17" t="str">
        <f aca="false">IF($T211="","",IF($B$10=0,"",$T211/$B$10))</f>
        <v/>
      </c>
      <c r="V211" s="17" t="str">
        <f aca="false">IF($P211="","",IF($B$10=0,"",$P211/$B$10))</f>
        <v/>
      </c>
      <c r="W211" s="19" t="n">
        <f aca="false">IF($T211="",1000000000000000,$T211)</f>
        <v/>
      </c>
      <c r="XFB211" s="6"/>
      <c r="XFC211" s="3"/>
    </row>
    <row r="212" s="5" collapsed="false" customFormat="true" customHeight="true" hidden="false" ht="28.5" outlineLevel="0">
      <c r="A212" s="16" t="str">
        <f aca="false">IF($T212="","",1+COUNTIF($W$15:$W$894,"&lt;"&amp;W212))</f>
        <v/>
      </c>
      <c r="B212" s="16" t="s">
        <v>12</v>
      </c>
      <c r="C212" s="16" t="s">
        <v>452</v>
      </c>
      <c r="D212" s="20" t="s">
        <v>51</v>
      </c>
      <c r="E212" s="16" t="s">
        <v>26</v>
      </c>
      <c r="F212" s="16" t="s">
        <v>453</v>
      </c>
      <c r="G212" s="17">
        <v>1765</v>
      </c>
      <c r="H212" s="17"/>
      <c r="I212" s="17"/>
      <c r="J212" s="17">
        <v>1765</v>
      </c>
      <c r="K212" s="17" t="n">
        <f aca="false">IF(AND(IFERROR(SEARCH("현대오일뱅크",$C212),0)&gt;0,IFERROR(SEARCH("직영",$C212),0)&gt;0),$B$13,0)</f>
        <v/>
      </c>
      <c r="L212" s="17" t="n">
        <f aca="false">IF($G212="","",$G212+$K212)</f>
        <v/>
      </c>
      <c r="M212" s="17" t="str">
        <f aca="false">IF($H212="","",$H212+$K212)</f>
        <v/>
      </c>
      <c r="N212" s="17" t="n">
        <f aca="false">IF($J212="","",$J212+$K212)</f>
        <v/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 t="str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 t="str">
        <f aca="false">IF($P212="","",IF($Q212="Y",IFERROR(VLOOKUP($B212,$C$4:$D$13,2,FALSE()),0),0))</f>
        <v/>
      </c>
      <c r="S212" s="17" t="str">
        <f aca="false">IF($P212="","",ROUNDDOWN($P212*$R212,0))</f>
        <v/>
      </c>
      <c r="T212" s="17" t="str">
        <f aca="false">IF($P212="","",$P212-$S212)</f>
        <v/>
      </c>
      <c r="U212" s="17" t="str">
        <f aca="false">IF($T212="","",IF($B$10=0,"",$T212/$B$10))</f>
        <v/>
      </c>
      <c r="V212" s="17" t="str">
        <f aca="false">IF($P212="","",IF($B$10=0,"",$P212/$B$10))</f>
        <v/>
      </c>
      <c r="W212" s="19" t="n">
        <f aca="false">IF($T212="",1000000000000000,$T212)</f>
        <v/>
      </c>
      <c r="XFB212" s="6"/>
      <c r="XFC212" s="3"/>
    </row>
    <row r="213" s="5" collapsed="false" customFormat="true" customHeight="true" hidden="false" ht="28.5" outlineLevel="0">
      <c r="A213" s="16" t="str">
        <f aca="false">IF($T213="","",1+COUNTIF($W$15:$W$894,"&lt;"&amp;W213))</f>
        <v/>
      </c>
      <c r="B213" s="16" t="s">
        <v>12</v>
      </c>
      <c r="C213" s="16" t="s">
        <v>454</v>
      </c>
      <c r="D213" s="20" t="s">
        <v>45</v>
      </c>
      <c r="E213" s="16" t="s">
        <v>26</v>
      </c>
      <c r="F213" s="16" t="s">
        <v>455</v>
      </c>
      <c r="G213" s="17">
        <v>1766</v>
      </c>
      <c r="H213" s="17"/>
      <c r="I213" s="17"/>
      <c r="J213" s="17">
        <v>1766</v>
      </c>
      <c r="K213" s="17" t="n">
        <f aca="false">IF(AND(IFERROR(SEARCH("현대오일뱅크",$C213),0)&gt;0,IFERROR(SEARCH("직영",$C213),0)&gt;0),$B$13,0)</f>
        <v/>
      </c>
      <c r="L213" s="17" t="n">
        <f aca="false">IF($G213="","",$G213+$K213)</f>
        <v/>
      </c>
      <c r="M213" s="17" t="str">
        <f aca="false">IF($H213="","",$H213+$K213)</f>
        <v/>
      </c>
      <c r="N213" s="17" t="n">
        <f aca="false">IF($J213="","",$J213+$K213)</f>
        <v/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 t="str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 t="str">
        <f aca="false">IF($P213="","",IF($Q213="Y",IFERROR(VLOOKUP($B213,$C$4:$D$13,2,FALSE()),0),0))</f>
        <v/>
      </c>
      <c r="S213" s="17" t="str">
        <f aca="false">IF($P213="","",ROUNDDOWN($P213*$R213,0))</f>
        <v/>
      </c>
      <c r="T213" s="17" t="str">
        <f aca="false">IF($P213="","",$P213-$S213)</f>
        <v/>
      </c>
      <c r="U213" s="17" t="str">
        <f aca="false">IF($T213="","",IF($B$10=0,"",$T213/$B$10))</f>
        <v/>
      </c>
      <c r="V213" s="17" t="str">
        <f aca="false">IF($P213="","",IF($B$10=0,"",$P213/$B$10))</f>
        <v/>
      </c>
      <c r="W213" s="19" t="n">
        <f aca="false">IF($T213="",1000000000000000,$T213)</f>
        <v/>
      </c>
      <c r="XFB213" s="6"/>
      <c r="XFC213" s="3"/>
    </row>
    <row r="214" s="5" collapsed="false" customFormat="true" customHeight="true" hidden="false" ht="28.5" outlineLevel="0">
      <c r="A214" s="16" t="str">
        <f aca="false">IF($T214="","",1+COUNTIF($W$15:$W$894,"&lt;"&amp;W214))</f>
        <v/>
      </c>
      <c r="B214" s="16" t="s">
        <v>6</v>
      </c>
      <c r="C214" s="16" t="s">
        <v>456</v>
      </c>
      <c r="D214" s="20" t="s">
        <v>86</v>
      </c>
      <c r="E214" s="16" t="s">
        <v>26</v>
      </c>
      <c r="F214" s="16" t="s">
        <v>457</v>
      </c>
      <c r="G214" s="17">
        <v>1769</v>
      </c>
      <c r="H214" s="17"/>
      <c r="I214" s="17"/>
      <c r="J214" s="17">
        <v>1779</v>
      </c>
      <c r="K214" s="17" t="n">
        <f aca="false">IF(AND(IFERROR(SEARCH("현대오일뱅크",$C214),0)&gt;0,IFERROR(SEARCH("직영",$C214),0)&gt;0),$B$13,0)</f>
        <v/>
      </c>
      <c r="L214" s="17" t="n">
        <f aca="false">IF($G214="","",$G214+$K214)</f>
        <v/>
      </c>
      <c r="M214" s="17" t="str">
        <f aca="false">IF($H214="","",$H214+$K214)</f>
        <v/>
      </c>
      <c r="N214" s="17" t="n">
        <f aca="false">IF($J214="","",$J214+$K214)</f>
        <v/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 t="str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 t="str">
        <f aca="false">IF($P214="","",IF($Q214="Y",IFERROR(VLOOKUP($B214,$C$4:$D$13,2,FALSE()),0),0))</f>
        <v/>
      </c>
      <c r="S214" s="17" t="str">
        <f aca="false">IF($P214="","",ROUNDDOWN($P214*$R214,0))</f>
        <v/>
      </c>
      <c r="T214" s="17" t="str">
        <f aca="false">IF($P214="","",$P214-$S214)</f>
        <v/>
      </c>
      <c r="U214" s="17" t="str">
        <f aca="false">IF($T214="","",IF($B$10=0,"",$T214/$B$10))</f>
        <v/>
      </c>
      <c r="V214" s="17" t="str">
        <f aca="false">IF($P214="","",IF($B$10=0,"",$P214/$B$10))</f>
        <v/>
      </c>
      <c r="W214" s="19" t="n">
        <f aca="false">IF($T214="",1000000000000000,$T214)</f>
        <v/>
      </c>
      <c r="XFB214" s="6"/>
      <c r="XFC214" s="3"/>
    </row>
    <row r="215" s="5" collapsed="false" customFormat="true" customHeight="true" hidden="false" ht="28.5" outlineLevel="0">
      <c r="A215" s="16" t="str">
        <f aca="false">IF($T215="","",1+COUNTIF($W$15:$W$894,"&lt;"&amp;W215))</f>
        <v/>
      </c>
      <c r="B215" s="16" t="s">
        <v>8</v>
      </c>
      <c r="C215" s="16" t="s">
        <v>332</v>
      </c>
      <c r="D215" s="20" t="s">
        <v>86</v>
      </c>
      <c r="E215" s="16" t="s">
        <v>26</v>
      </c>
      <c r="F215" s="16" t="s">
        <v>445</v>
      </c>
      <c r="G215" s="17">
        <v>1769</v>
      </c>
      <c r="H215" s="17"/>
      <c r="I215" s="17"/>
      <c r="J215" s="17">
        <v>1779</v>
      </c>
      <c r="K215" s="17" t="n">
        <f aca="false">IF(AND(IFERROR(SEARCH("현대오일뱅크",$C215),0)&gt;0,IFERROR(SEARCH("직영",$C215),0)&gt;0),$B$13,0)</f>
        <v/>
      </c>
      <c r="L215" s="17" t="n">
        <f aca="false">IF($G215="","",$G215+$K215)</f>
        <v/>
      </c>
      <c r="M215" s="17" t="str">
        <f aca="false">IF($H215="","",$H215+$K215)</f>
        <v/>
      </c>
      <c r="N215" s="17" t="n">
        <f aca="false">IF($J215="","",$J215+$K215)</f>
        <v/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 t="str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 t="str">
        <f aca="false">IF($P215="","",IF($Q215="Y",IFERROR(VLOOKUP($B215,$C$4:$D$13,2,FALSE()),0),0))</f>
        <v/>
      </c>
      <c r="S215" s="17" t="str">
        <f aca="false">IF($P215="","",ROUNDDOWN($P215*$R215,0))</f>
        <v/>
      </c>
      <c r="T215" s="17" t="str">
        <f aca="false">IF($P215="","",$P215-$S215)</f>
        <v/>
      </c>
      <c r="U215" s="17" t="str">
        <f aca="false">IF($T215="","",IF($B$10=0,"",$T215/$B$10))</f>
        <v/>
      </c>
      <c r="V215" s="17" t="str">
        <f aca="false">IF($P215="","",IF($B$10=0,"",$P215/$B$10))</f>
        <v/>
      </c>
      <c r="W215" s="19" t="n">
        <f aca="false">IF($T215="",1000000000000000,$T215)</f>
        <v/>
      </c>
      <c r="XFB215" s="6"/>
      <c r="XFC215" s="3"/>
    </row>
    <row r="216" s="5" collapsed="false" customFormat="true" customHeight="true" hidden="false" ht="28.5" outlineLevel="0">
      <c r="A216" s="16" t="str">
        <f aca="false">IF($T216="","",1+COUNTIF($W$15:$W$894,"&lt;"&amp;W216))</f>
        <v/>
      </c>
      <c r="B216" s="16" t="s">
        <v>6</v>
      </c>
      <c r="C216" s="16" t="s">
        <v>458</v>
      </c>
      <c r="D216" s="16" t="s">
        <v>51</v>
      </c>
      <c r="E216" s="16" t="s">
        <v>26</v>
      </c>
      <c r="F216" s="16" t="s">
        <v>459</v>
      </c>
      <c r="G216" s="17">
        <v>1774</v>
      </c>
      <c r="H216" s="17"/>
      <c r="I216" s="17"/>
      <c r="J216" s="17">
        <v>1761</v>
      </c>
      <c r="K216" s="17" t="n">
        <f aca="false">IF(AND(IFERROR(SEARCH("현대오일뱅크",$C216),0)&gt;0,IFERROR(SEARCH("직영",$C216),0)&gt;0),$B$13,0)</f>
        <v/>
      </c>
      <c r="L216" s="17" t="n">
        <f aca="false">IF($G216="","",$G216+$K216)</f>
        <v/>
      </c>
      <c r="M216" s="17" t="str">
        <f aca="false">IF($H216="","",$H216+$K216)</f>
        <v/>
      </c>
      <c r="N216" s="17" t="n">
        <f aca="false">IF($J216="","",$J216+$K216)</f>
        <v/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 t="str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 t="str">
        <f aca="false">IF($P216="","",IF($Q216="Y",IFERROR(VLOOKUP($B216,$C$4:$D$13,2,FALSE()),0),0))</f>
        <v/>
      </c>
      <c r="S216" s="17" t="str">
        <f aca="false">IF($P216="","",ROUNDDOWN($P216*$R216,0))</f>
        <v/>
      </c>
      <c r="T216" s="17" t="str">
        <f aca="false">IF($P216="","",$P216-$S216)</f>
        <v/>
      </c>
      <c r="U216" s="17" t="str">
        <f aca="false">IF($T216="","",IF($B$10=0,"",$T216/$B$10))</f>
        <v/>
      </c>
      <c r="V216" s="17" t="str">
        <f aca="false">IF($P216="","",IF($B$10=0,"",$P216/$B$10))</f>
        <v/>
      </c>
      <c r="W216" s="19" t="n">
        <f aca="false">IF($T216="",1000000000000000,$T216)</f>
        <v/>
      </c>
      <c r="XFB216" s="6"/>
      <c r="XFC216" s="3"/>
    </row>
    <row r="217" s="5" collapsed="false" customFormat="true" customHeight="true" hidden="false" ht="28.5" outlineLevel="0">
      <c r="A217" s="16" t="str">
        <f aca="false">IF($T217="","",1+COUNTIF($W$15:$W$894,"&lt;"&amp;W217))</f>
        <v/>
      </c>
      <c r="B217" s="16" t="s">
        <v>18</v>
      </c>
      <c r="C217" s="16" t="s">
        <v>460</v>
      </c>
      <c r="D217" s="16" t="s">
        <v>95</v>
      </c>
      <c r="E217" s="16" t="s">
        <v>63</v>
      </c>
      <c r="F217" s="16" t="s">
        <v>461</v>
      </c>
      <c r="G217" s="17">
        <v>1879</v>
      </c>
      <c r="H217" s="17"/>
      <c r="I217" s="17"/>
      <c r="J217" s="17">
        <v>1879</v>
      </c>
      <c r="K217" s="17" t="n">
        <f aca="false">IF(AND(IFERROR(SEARCH("현대오일뱅크",$C217),0)&gt;0,IFERROR(SEARCH("직영",$C217),0)&gt;0),$B$13,0)</f>
        <v/>
      </c>
      <c r="L217" s="17" t="n">
        <f aca="false">IF($G217="","",$G217+$K217)</f>
        <v/>
      </c>
      <c r="M217" s="17" t="str">
        <f aca="false">IF($H217="","",$H217+$K217)</f>
        <v/>
      </c>
      <c r="N217" s="17" t="n">
        <f aca="false">IF($J217="","",$J217+$K217)</f>
        <v/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 t="str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 t="str">
        <f aca="false">IF($P217="","",IF($Q217="Y",IFERROR(VLOOKUP($B217,$C$4:$D$13,2,FALSE()),0),0))</f>
        <v/>
      </c>
      <c r="S217" s="17" t="str">
        <f aca="false">IF($P217="","",ROUNDDOWN($P217*$R217,0))</f>
        <v/>
      </c>
      <c r="T217" s="17" t="str">
        <f aca="false">IF($P217="","",$P217-$S217)</f>
        <v/>
      </c>
      <c r="U217" s="17" t="str">
        <f aca="false">IF($T217="","",IF($B$10=0,"",$T217/$B$10))</f>
        <v/>
      </c>
      <c r="V217" s="17" t="str">
        <f aca="false">IF($P217="","",IF($B$10=0,"",$P217/$B$10))</f>
        <v/>
      </c>
      <c r="W217" s="19" t="n">
        <f aca="false">IF($T217="",1000000000000000,$T217)</f>
        <v/>
      </c>
      <c r="XFB217" s="6"/>
      <c r="XFC217" s="3"/>
    </row>
    <row r="218" s="5" collapsed="false" customFormat="true" customHeight="true" hidden="false" ht="28.5" outlineLevel="0">
      <c r="A218" s="16" t="str">
        <f aca="false">IF($T218="","",1+COUNTIF($W$15:$W$894,"&lt;"&amp;W218))</f>
        <v/>
      </c>
      <c r="B218" s="16" t="s">
        <v>18</v>
      </c>
      <c r="C218" s="16" t="s">
        <v>462</v>
      </c>
      <c r="D218" s="16" t="s">
        <v>95</v>
      </c>
      <c r="E218" s="16" t="s">
        <v>26</v>
      </c>
      <c r="F218" s="16" t="s">
        <v>463</v>
      </c>
      <c r="G218" s="17">
        <v>1879</v>
      </c>
      <c r="H218" s="17"/>
      <c r="I218" s="17"/>
      <c r="J218" s="17">
        <v>1899</v>
      </c>
      <c r="K218" s="17" t="n">
        <f aca="false">IF(AND(IFERROR(SEARCH("현대오일뱅크",$C218),0)&gt;0,IFERROR(SEARCH("직영",$C218),0)&gt;0),$B$13,0)</f>
        <v/>
      </c>
      <c r="L218" s="17" t="n">
        <f aca="false">IF($G218="","",$G218+$K218)</f>
        <v/>
      </c>
      <c r="M218" s="17" t="str">
        <f aca="false">IF($H218="","",$H218+$K218)</f>
        <v/>
      </c>
      <c r="N218" s="17" t="n">
        <f aca="false">IF($J218="","",$J218+$K218)</f>
        <v/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 t="str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 t="str">
        <f aca="false">IF($P218="","",IF($Q218="Y",IFERROR(VLOOKUP($B218,$C$4:$D$13,2,FALSE()),0),0))</f>
        <v/>
      </c>
      <c r="S218" s="17" t="str">
        <f aca="false">IF($P218="","",ROUNDDOWN($P218*$R218,0))</f>
        <v/>
      </c>
      <c r="T218" s="17" t="str">
        <f aca="false">IF($P218="","",$P218-$S218)</f>
        <v/>
      </c>
      <c r="U218" s="17" t="str">
        <f aca="false">IF($T218="","",IF($B$10=0,"",$T218/$B$10))</f>
        <v/>
      </c>
      <c r="V218" s="17" t="str">
        <f aca="false">IF($P218="","",IF($B$10=0,"",$P218/$B$10))</f>
        <v/>
      </c>
      <c r="W218" s="19" t="n">
        <f aca="false">IF($T218="",1000000000000000,$T218)</f>
        <v/>
      </c>
      <c r="XFB218" s="6"/>
      <c r="XFC218" s="3"/>
    </row>
    <row r="219" s="5" collapsed="false" customFormat="true" customHeight="true" hidden="false" ht="28.5" outlineLevel="0">
      <c r="A219" s="16" t="str">
        <f aca="false">IF($T219="","",1+COUNTIF($W$15:$W$894,"&lt;"&amp;W219))</f>
        <v/>
      </c>
      <c r="B219" s="16" t="s">
        <v>16</v>
      </c>
      <c r="C219" s="16" t="s">
        <v>464</v>
      </c>
      <c r="D219" s="16" t="s">
        <v>45</v>
      </c>
      <c r="E219" s="16" t="s">
        <v>26</v>
      </c>
      <c r="F219" s="16" t="s">
        <v>465</v>
      </c>
      <c r="G219" s="17">
        <v>1815</v>
      </c>
      <c r="H219" s="17"/>
      <c r="I219" s="17"/>
      <c r="J219" s="17">
        <v>1815</v>
      </c>
      <c r="K219" s="17" t="n">
        <f aca="false">IF(AND(IFERROR(SEARCH("현대오일뱅크",$C219),0)&gt;0,IFERROR(SEARCH("직영",$C219),0)&gt;0),$B$13,0)</f>
        <v/>
      </c>
      <c r="L219" s="17" t="n">
        <f aca="false">IF($G219="","",$G219+$K219)</f>
        <v/>
      </c>
      <c r="M219" s="17" t="str">
        <f aca="false">IF($H219="","",$H219+$K219)</f>
        <v/>
      </c>
      <c r="N219" s="17" t="n">
        <f aca="false">IF($J219="","",$J219+$K219)</f>
        <v/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 t="str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 t="str">
        <f aca="false">IF($P219="","",IF($Q219="Y",IFERROR(VLOOKUP($B219,$C$4:$D$13,2,FALSE()),0),0))</f>
        <v/>
      </c>
      <c r="S219" s="17" t="str">
        <f aca="false">IF($P219="","",ROUNDDOWN($P219*$R219,0))</f>
        <v/>
      </c>
      <c r="T219" s="17" t="str">
        <f aca="false">IF($P219="","",$P219-$S219)</f>
        <v/>
      </c>
      <c r="U219" s="17" t="str">
        <f aca="false">IF($T219="","",IF($B$10=0,"",$T219/$B$10))</f>
        <v/>
      </c>
      <c r="V219" s="17" t="str">
        <f aca="false">IF($P219="","",IF($B$10=0,"",$P219/$B$10))</f>
        <v/>
      </c>
      <c r="W219" s="19" t="n">
        <f aca="false">IF($T219="",1000000000000000,$T219)</f>
        <v/>
      </c>
      <c r="XFB219" s="6"/>
      <c r="XFC219" s="3"/>
    </row>
    <row r="220" s="5" collapsed="false" customFormat="true" customHeight="true" hidden="false" ht="28.5" outlineLevel="0">
      <c r="A220" s="16" t="str">
        <f aca="false">IF($T220="","",1+COUNTIF($W$15:$W$894,"&lt;"&amp;W220))</f>
        <v/>
      </c>
      <c r="B220" s="16" t="s">
        <v>12</v>
      </c>
      <c r="C220" s="16" t="s">
        <v>470</v>
      </c>
      <c r="D220" s="20" t="s">
        <v>51</v>
      </c>
      <c r="E220" s="16" t="s">
        <v>26</v>
      </c>
      <c r="F220" s="16" t="s">
        <v>471</v>
      </c>
      <c r="G220" s="17">
        <v>1775</v>
      </c>
      <c r="H220" s="17"/>
      <c r="I220" s="17"/>
      <c r="J220" s="17">
        <v>1950</v>
      </c>
      <c r="K220" s="17" t="n">
        <f aca="false">IF(AND(IFERROR(SEARCH("현대오일뱅크",$C220),0)&gt;0,IFERROR(SEARCH("직영",$C220),0)&gt;0),$B$13,0)</f>
        <v/>
      </c>
      <c r="L220" s="17" t="n">
        <f aca="false">IF($G220="","",$G220+$K220)</f>
        <v/>
      </c>
      <c r="M220" s="17" t="str">
        <f aca="false">IF($H220="","",$H220+$K220)</f>
        <v/>
      </c>
      <c r="N220" s="17" t="n">
        <f aca="false">IF($J220="","",$J220+$K220)</f>
        <v/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 t="str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 t="str">
        <f aca="false">IF($P220="","",IF($Q220="Y",IFERROR(VLOOKUP($B220,$C$4:$D$13,2,FALSE()),0),0))</f>
        <v/>
      </c>
      <c r="S220" s="17" t="str">
        <f aca="false">IF($P220="","",ROUNDDOWN($P220*$R220,0))</f>
        <v/>
      </c>
      <c r="T220" s="17" t="str">
        <f aca="false">IF($P220="","",$P220-$S220)</f>
        <v/>
      </c>
      <c r="U220" s="17" t="str">
        <f aca="false">IF($T220="","",IF($B$10=0,"",$T220/$B$10))</f>
        <v/>
      </c>
      <c r="V220" s="17" t="str">
        <f aca="false">IF($P220="","",IF($B$10=0,"",$P220/$B$10))</f>
        <v/>
      </c>
      <c r="W220" s="19" t="n">
        <f aca="false">IF($T220="",1000000000000000,$T220)</f>
        <v/>
      </c>
      <c r="XFB220" s="6"/>
      <c r="XFC220" s="3"/>
    </row>
    <row r="221" s="5" collapsed="false" customFormat="true" customHeight="true" hidden="false" ht="28.5" outlineLevel="0">
      <c r="A221" s="16" t="str">
        <f aca="false">IF($T221="","",1+COUNTIF($W$15:$W$894,"&lt;"&amp;W221))</f>
        <v/>
      </c>
      <c r="B221" s="16" t="s">
        <v>6</v>
      </c>
      <c r="C221" s="16" t="s">
        <v>474</v>
      </c>
      <c r="D221" s="20" t="s">
        <v>86</v>
      </c>
      <c r="E221" s="16" t="s">
        <v>26</v>
      </c>
      <c r="F221" s="16" t="s">
        <v>475</v>
      </c>
      <c r="G221" s="17">
        <v>1776</v>
      </c>
      <c r="H221" s="17"/>
      <c r="I221" s="17"/>
      <c r="J221" s="17">
        <v>1776</v>
      </c>
      <c r="K221" s="17" t="n">
        <f aca="false">IF(AND(IFERROR(SEARCH("현대오일뱅크",$C221),0)&gt;0,IFERROR(SEARCH("직영",$C221),0)&gt;0),$B$13,0)</f>
        <v/>
      </c>
      <c r="L221" s="17" t="n">
        <f aca="false">IF($G221="","",$G221+$K221)</f>
        <v/>
      </c>
      <c r="M221" s="17" t="str">
        <f aca="false">IF($H221="","",$H221+$K221)</f>
        <v/>
      </c>
      <c r="N221" s="17" t="n">
        <f aca="false">IF($J221="","",$J221+$K221)</f>
        <v/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 t="str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 t="str">
        <f aca="false">IF($P221="","",IF($Q221="Y",IFERROR(VLOOKUP($B221,$C$4:$D$13,2,FALSE()),0),0))</f>
        <v/>
      </c>
      <c r="S221" s="17" t="str">
        <f aca="false">IF($P221="","",ROUNDDOWN($P221*$R221,0))</f>
        <v/>
      </c>
      <c r="T221" s="17" t="str">
        <f aca="false">IF($P221="","",$P221-$S221)</f>
        <v/>
      </c>
      <c r="U221" s="17" t="str">
        <f aca="false">IF($T221="","",IF($B$10=0,"",$T221/$B$10))</f>
        <v/>
      </c>
      <c r="V221" s="17" t="str">
        <f aca="false">IF($P221="","",IF($B$10=0,"",$P221/$B$10))</f>
        <v/>
      </c>
      <c r="W221" s="19" t="n">
        <f aca="false">IF($T221="",1000000000000000,$T221)</f>
        <v/>
      </c>
      <c r="XFB221" s="6"/>
      <c r="XFC221" s="3"/>
    </row>
    <row r="222" s="5" collapsed="false" customFormat="true" customHeight="true" hidden="false" ht="28.5" outlineLevel="0">
      <c r="A222" s="16" t="str">
        <f aca="false">IF($T222="","",1+COUNTIF($W$15:$W$894,"&lt;"&amp;W222))</f>
        <v/>
      </c>
      <c r="B222" s="16" t="s">
        <v>16</v>
      </c>
      <c r="C222" s="16" t="s">
        <v>476</v>
      </c>
      <c r="D222" s="20" t="s">
        <v>86</v>
      </c>
      <c r="E222" s="16" t="s">
        <v>63</v>
      </c>
      <c r="F222" s="16" t="s">
        <v>477</v>
      </c>
      <c r="G222" s="17">
        <v>1817</v>
      </c>
      <c r="H222" s="17"/>
      <c r="I222" s="17"/>
      <c r="J222" s="17">
        <v>1817</v>
      </c>
      <c r="K222" s="17" t="n">
        <f aca="false">IF(AND(IFERROR(SEARCH("현대오일뱅크",$C222),0)&gt;0,IFERROR(SEARCH("직영",$C222),0)&gt;0),$B$13,0)</f>
        <v/>
      </c>
      <c r="L222" s="17" t="n">
        <f aca="false">IF($G222="","",$G222+$K222)</f>
        <v/>
      </c>
      <c r="M222" s="17" t="str">
        <f aca="false">IF($H222="","",$H222+$K222)</f>
        <v/>
      </c>
      <c r="N222" s="17" t="n">
        <f aca="false">IF($J222="","",$J222+$K222)</f>
        <v/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 t="str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 t="str">
        <f aca="false">IF($P222="","",IF($Q222="Y",IFERROR(VLOOKUP($B222,$C$4:$D$13,2,FALSE()),0),0))</f>
        <v/>
      </c>
      <c r="S222" s="17" t="str">
        <f aca="false">IF($P222="","",ROUNDDOWN($P222*$R222,0))</f>
        <v/>
      </c>
      <c r="T222" s="17" t="str">
        <f aca="false">IF($P222="","",$P222-$S222)</f>
        <v/>
      </c>
      <c r="U222" s="17" t="str">
        <f aca="false">IF($T222="","",IF($B$10=0,"",$T222/$B$10))</f>
        <v/>
      </c>
      <c r="V222" s="17" t="str">
        <f aca="false">IF($P222="","",IF($B$10=0,"",$P222/$B$10))</f>
        <v/>
      </c>
      <c r="W222" s="19" t="n">
        <f aca="false">IF($T222="",1000000000000000,$T222)</f>
        <v/>
      </c>
      <c r="XFB222" s="6"/>
      <c r="XFC222" s="3"/>
    </row>
    <row r="223" s="5" collapsed="false" customFormat="true" customHeight="true" hidden="false" ht="28.5" outlineLevel="0">
      <c r="A223" s="16" t="str">
        <f aca="false">IF($T223="","",1+COUNTIF($W$15:$W$894,"&lt;"&amp;W223))</f>
        <v/>
      </c>
      <c r="B223" s="16" t="s">
        <v>6</v>
      </c>
      <c r="C223" s="16" t="s">
        <v>478</v>
      </c>
      <c r="D223" s="20" t="s">
        <v>86</v>
      </c>
      <c r="E223" s="16" t="s">
        <v>26</v>
      </c>
      <c r="F223" s="16" t="s">
        <v>479</v>
      </c>
      <c r="G223" s="17">
        <v>1777</v>
      </c>
      <c r="H223" s="17"/>
      <c r="I223" s="17"/>
      <c r="J223" s="17">
        <v>1777</v>
      </c>
      <c r="K223" s="17" t="n">
        <f aca="false">IF(AND(IFERROR(SEARCH("현대오일뱅크",$C223),0)&gt;0,IFERROR(SEARCH("직영",$C223),0)&gt;0),$B$13,0)</f>
        <v/>
      </c>
      <c r="L223" s="17" t="n">
        <f aca="false">IF($G223="","",$G223+$K223)</f>
        <v/>
      </c>
      <c r="M223" s="17" t="str">
        <f aca="false">IF($H223="","",$H223+$K223)</f>
        <v/>
      </c>
      <c r="N223" s="17" t="n">
        <f aca="false">IF($J223="","",$J223+$K223)</f>
        <v/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 t="str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 t="str">
        <f aca="false">IF($P223="","",IF($Q223="Y",IFERROR(VLOOKUP($B223,$C$4:$D$13,2,FALSE()),0),0))</f>
        <v/>
      </c>
      <c r="S223" s="17" t="str">
        <f aca="false">IF($P223="","",ROUNDDOWN($P223*$R223,0))</f>
        <v/>
      </c>
      <c r="T223" s="17" t="str">
        <f aca="false">IF($P223="","",$P223-$S223)</f>
        <v/>
      </c>
      <c r="U223" s="17" t="str">
        <f aca="false">IF($T223="","",IF($B$10=0,"",$T223/$B$10))</f>
        <v/>
      </c>
      <c r="V223" s="17" t="str">
        <f aca="false">IF($P223="","",IF($B$10=0,"",$P223/$B$10))</f>
        <v/>
      </c>
      <c r="W223" s="19" t="n">
        <f aca="false">IF($T223="",1000000000000000,$T223)</f>
        <v/>
      </c>
      <c r="XFB223" s="6"/>
      <c r="XFC223" s="3"/>
    </row>
    <row r="224" s="5" collapsed="false" customFormat="true" customHeight="true" hidden="false" ht="28.5" outlineLevel="0">
      <c r="A224" s="16" t="str">
        <f aca="false">IF($T224="","",1+COUNTIF($W$15:$W$894,"&lt;"&amp;W224))</f>
        <v/>
      </c>
      <c r="B224" s="16" t="s">
        <v>6</v>
      </c>
      <c r="C224" s="16" t="s">
        <v>480</v>
      </c>
      <c r="D224" s="16" t="s">
        <v>95</v>
      </c>
      <c r="E224" s="16" t="s">
        <v>26</v>
      </c>
      <c r="F224" s="16" t="s">
        <v>481</v>
      </c>
      <c r="G224" s="17">
        <v>1777</v>
      </c>
      <c r="H224" s="17"/>
      <c r="I224" s="17"/>
      <c r="J224" s="17">
        <v>1777</v>
      </c>
      <c r="K224" s="17" t="n">
        <f aca="false">IF(AND(IFERROR(SEARCH("현대오일뱅크",$C224),0)&gt;0,IFERROR(SEARCH("직영",$C224),0)&gt;0),$B$13,0)</f>
        <v/>
      </c>
      <c r="L224" s="17" t="n">
        <f aca="false">IF($G224="","",$G224+$K224)</f>
        <v/>
      </c>
      <c r="M224" s="17" t="str">
        <f aca="false">IF($H224="","",$H224+$K224)</f>
        <v/>
      </c>
      <c r="N224" s="17" t="n">
        <f aca="false">IF($J224="","",$J224+$K224)</f>
        <v/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 t="str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 t="str">
        <f aca="false">IF($P224="","",IF($Q224="Y",IFERROR(VLOOKUP($B224,$C$4:$D$13,2,FALSE()),0),0))</f>
        <v/>
      </c>
      <c r="S224" s="17" t="str">
        <f aca="false">IF($P224="","",ROUNDDOWN($P224*$R224,0))</f>
        <v/>
      </c>
      <c r="T224" s="17" t="str">
        <f aca="false">IF($P224="","",$P224-$S224)</f>
        <v/>
      </c>
      <c r="U224" s="17" t="str">
        <f aca="false">IF($T224="","",IF($B$10=0,"",$T224/$B$10))</f>
        <v/>
      </c>
      <c r="V224" s="17" t="str">
        <f aca="false">IF($P224="","",IF($B$10=0,"",$P224/$B$10))</f>
        <v/>
      </c>
      <c r="W224" s="19" t="n">
        <f aca="false">IF($T224="",1000000000000000,$T224)</f>
        <v/>
      </c>
      <c r="XFB224" s="6"/>
      <c r="XFC224" s="3"/>
    </row>
    <row r="225" s="5" collapsed="false" customFormat="true" customHeight="true" hidden="false" ht="28.5" outlineLevel="0">
      <c r="A225" s="16" t="str">
        <f aca="false">IF($T225="","",1+COUNTIF($W$15:$W$894,"&lt;"&amp;W225))</f>
        <v/>
      </c>
      <c r="B225" s="16" t="s">
        <v>6</v>
      </c>
      <c r="C225" s="16" t="s">
        <v>482</v>
      </c>
      <c r="D225" s="20" t="s">
        <v>86</v>
      </c>
      <c r="E225" s="16" t="s">
        <v>26</v>
      </c>
      <c r="F225" s="16" t="s">
        <v>483</v>
      </c>
      <c r="G225" s="17">
        <v>1777</v>
      </c>
      <c r="H225" s="17"/>
      <c r="I225" s="17"/>
      <c r="J225" s="17">
        <v>1784</v>
      </c>
      <c r="K225" s="17" t="n">
        <f aca="false">IF(AND(IFERROR(SEARCH("현대오일뱅크",$C225),0)&gt;0,IFERROR(SEARCH("직영",$C225),0)&gt;0),$B$13,0)</f>
        <v/>
      </c>
      <c r="L225" s="17" t="n">
        <f aca="false">IF($G225="","",$G225+$K225)</f>
        <v/>
      </c>
      <c r="M225" s="17" t="str">
        <f aca="false">IF($H225="","",$H225+$K225)</f>
        <v/>
      </c>
      <c r="N225" s="17" t="n">
        <f aca="false">IF($J225="","",$J225+$K225)</f>
        <v/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 t="str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 t="str">
        <f aca="false">IF($P225="","",IF($Q225="Y",IFERROR(VLOOKUP($B225,$C$4:$D$13,2,FALSE()),0),0))</f>
        <v/>
      </c>
      <c r="S225" s="17" t="str">
        <f aca="false">IF($P225="","",ROUNDDOWN($P225*$R225,0))</f>
        <v/>
      </c>
      <c r="T225" s="17" t="str">
        <f aca="false">IF($P225="","",$P225-$S225)</f>
        <v/>
      </c>
      <c r="U225" s="17" t="str">
        <f aca="false">IF($T225="","",IF($B$10=0,"",$T225/$B$10))</f>
        <v/>
      </c>
      <c r="V225" s="17" t="str">
        <f aca="false">IF($P225="","",IF($B$10=0,"",$P225/$B$10))</f>
        <v/>
      </c>
      <c r="W225" s="19" t="n">
        <f aca="false">IF($T225="",1000000000000000,$T225)</f>
        <v/>
      </c>
      <c r="XFB225" s="6"/>
      <c r="XFC225" s="3"/>
    </row>
    <row r="226" s="5" collapsed="false" customFormat="true" customHeight="true" hidden="false" ht="28.5" outlineLevel="0">
      <c r="A226" s="16" t="str">
        <f aca="false">IF($T226="","",1+COUNTIF($W$15:$W$894,"&lt;"&amp;W226))</f>
        <v/>
      </c>
      <c r="B226" s="16" t="s">
        <v>6</v>
      </c>
      <c r="C226" s="16" t="s">
        <v>374</v>
      </c>
      <c r="D226" s="16" t="s">
        <v>45</v>
      </c>
      <c r="E226" s="16" t="s">
        <v>26</v>
      </c>
      <c r="F226" s="16" t="s">
        <v>484</v>
      </c>
      <c r="G226" s="17">
        <v>1777</v>
      </c>
      <c r="H226" s="17"/>
      <c r="I226" s="17"/>
      <c r="J226" s="17">
        <v>1788</v>
      </c>
      <c r="K226" s="17" t="n">
        <f aca="false">IF(AND(IFERROR(SEARCH("현대오일뱅크",$C226),0)&gt;0,IFERROR(SEARCH("직영",$C226),0)&gt;0),$B$13,0)</f>
        <v/>
      </c>
      <c r="L226" s="17" t="n">
        <f aca="false">IF($G226="","",$G226+$K226)</f>
        <v/>
      </c>
      <c r="M226" s="17" t="str">
        <f aca="false">IF($H226="","",$H226+$K226)</f>
        <v/>
      </c>
      <c r="N226" s="17" t="n">
        <f aca="false">IF($J226="","",$J226+$K226)</f>
        <v/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 t="str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 t="str">
        <f aca="false">IF($P226="","",IF($Q226="Y",IFERROR(VLOOKUP($B226,$C$4:$D$13,2,FALSE()),0),0))</f>
        <v/>
      </c>
      <c r="S226" s="17" t="str">
        <f aca="false">IF($P226="","",ROUNDDOWN($P226*$R226,0))</f>
        <v/>
      </c>
      <c r="T226" s="17" t="str">
        <f aca="false">IF($P226="","",$P226-$S226)</f>
        <v/>
      </c>
      <c r="U226" s="17" t="str">
        <f aca="false">IF($T226="","",IF($B$10=0,"",$T226/$B$10))</f>
        <v/>
      </c>
      <c r="V226" s="17" t="str">
        <f aca="false">IF($P226="","",IF($B$10=0,"",$P226/$B$10))</f>
        <v/>
      </c>
      <c r="W226" s="19" t="n">
        <f aca="false">IF($T226="",1000000000000000,$T226)</f>
        <v/>
      </c>
      <c r="XFB226" s="6"/>
      <c r="XFC226" s="3"/>
    </row>
    <row r="227" s="5" collapsed="false" customFormat="true" customHeight="true" hidden="false" ht="28.5" outlineLevel="0">
      <c r="A227" s="16" t="str">
        <f aca="false">IF($T227="","",1+COUNTIF($W$15:$W$894,"&lt;"&amp;W227))</f>
        <v/>
      </c>
      <c r="B227" s="16" t="s">
        <v>14</v>
      </c>
      <c r="C227" s="16" t="s">
        <v>487</v>
      </c>
      <c r="D227" s="16" t="s">
        <v>95</v>
      </c>
      <c r="E227" s="16" t="s">
        <v>26</v>
      </c>
      <c r="F227" s="16" t="s">
        <v>488</v>
      </c>
      <c r="G227" s="17">
        <v>1797</v>
      </c>
      <c r="H227" s="17"/>
      <c r="I227" s="17"/>
      <c r="J227" s="17">
        <v>1785</v>
      </c>
      <c r="K227" s="17" t="n">
        <f aca="false">IF(AND(IFERROR(SEARCH("현대오일뱅크",$C227),0)&gt;0,IFERROR(SEARCH("직영",$C227),0)&gt;0),$B$13,0)</f>
        <v/>
      </c>
      <c r="L227" s="17" t="n">
        <f aca="false">IF($G227="","",$G227+$K227)</f>
        <v/>
      </c>
      <c r="M227" s="17" t="str">
        <f aca="false">IF($H227="","",$H227+$K227)</f>
        <v/>
      </c>
      <c r="N227" s="17" t="n">
        <f aca="false">IF($J227="","",$J227+$K227)</f>
        <v/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 t="str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 t="str">
        <f aca="false">IF($P227="","",IF($Q227="Y",IFERROR(VLOOKUP($B227,$C$4:$D$13,2,FALSE()),0),0))</f>
        <v/>
      </c>
      <c r="S227" s="17" t="str">
        <f aca="false">IF($P227="","",ROUNDDOWN($P227*$R227,0))</f>
        <v/>
      </c>
      <c r="T227" s="17" t="str">
        <f aca="false">IF($P227="","",$P227-$S227)</f>
        <v/>
      </c>
      <c r="U227" s="17" t="str">
        <f aca="false">IF($T227="","",IF($B$10=0,"",$T227/$B$10))</f>
        <v/>
      </c>
      <c r="V227" s="17" t="str">
        <f aca="false">IF($P227="","",IF($B$10=0,"",$P227/$B$10))</f>
        <v/>
      </c>
      <c r="W227" s="19" t="n">
        <f aca="false">IF($T227="",1000000000000000,$T227)</f>
        <v/>
      </c>
      <c r="XFB227" s="6"/>
      <c r="XFC227" s="3"/>
    </row>
    <row r="228" s="5" collapsed="false" customFormat="true" customHeight="true" hidden="false" ht="28.5" outlineLevel="0">
      <c r="A228" s="16" t="str">
        <f aca="false">IF($T228="","",1+COUNTIF($W$15:$W$894,"&lt;"&amp;W228))</f>
        <v/>
      </c>
      <c r="B228" s="16" t="s">
        <v>6</v>
      </c>
      <c r="C228" s="16" t="s">
        <v>489</v>
      </c>
      <c r="D228" s="20" t="s">
        <v>86</v>
      </c>
      <c r="E228" s="16" t="s">
        <v>26</v>
      </c>
      <c r="F228" s="16" t="s">
        <v>490</v>
      </c>
      <c r="G228" s="17">
        <v>1778</v>
      </c>
      <c r="H228" s="17"/>
      <c r="I228" s="17"/>
      <c r="J228" s="17">
        <v>1778</v>
      </c>
      <c r="K228" s="17" t="n">
        <f aca="false">IF(AND(IFERROR(SEARCH("현대오일뱅크",$C228),0)&gt;0,IFERROR(SEARCH("직영",$C228),0)&gt;0),$B$13,0)</f>
        <v/>
      </c>
      <c r="L228" s="17" t="n">
        <f aca="false">IF($G228="","",$G228+$K228)</f>
        <v/>
      </c>
      <c r="M228" s="17" t="str">
        <f aca="false">IF($H228="","",$H228+$K228)</f>
        <v/>
      </c>
      <c r="N228" s="17" t="n">
        <f aca="false">IF($J228="","",$J228+$K228)</f>
        <v/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 t="str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 t="str">
        <f aca="false">IF($P228="","",IF($Q228="Y",IFERROR(VLOOKUP($B228,$C$4:$D$13,2,FALSE()),0),0))</f>
        <v/>
      </c>
      <c r="S228" s="17" t="str">
        <f aca="false">IF($P228="","",ROUNDDOWN($P228*$R228,0))</f>
        <v/>
      </c>
      <c r="T228" s="17" t="str">
        <f aca="false">IF($P228="","",$P228-$S228)</f>
        <v/>
      </c>
      <c r="U228" s="17" t="str">
        <f aca="false">IF($T228="","",IF($B$10=0,"",$T228/$B$10))</f>
        <v/>
      </c>
      <c r="V228" s="17" t="str">
        <f aca="false">IF($P228="","",IF($B$10=0,"",$P228/$B$10))</f>
        <v/>
      </c>
      <c r="W228" s="19" t="n">
        <f aca="false">IF($T228="",1000000000000000,$T228)</f>
        <v/>
      </c>
      <c r="XFB228" s="6"/>
      <c r="XFC228" s="3"/>
    </row>
    <row r="229" s="5" collapsed="false" customFormat="true" customHeight="true" hidden="false" ht="28.5" outlineLevel="0">
      <c r="A229" s="16" t="str">
        <f aca="false">IF($T229="","",1+COUNTIF($W$15:$W$894,"&lt;"&amp;W229))</f>
        <v/>
      </c>
      <c r="B229" s="16" t="s">
        <v>6</v>
      </c>
      <c r="C229" s="16" t="s">
        <v>491</v>
      </c>
      <c r="D229" s="20" t="s">
        <v>86</v>
      </c>
      <c r="E229" s="16" t="s">
        <v>26</v>
      </c>
      <c r="F229" s="16" t="s">
        <v>492</v>
      </c>
      <c r="G229" s="17">
        <v>1778</v>
      </c>
      <c r="H229" s="17"/>
      <c r="I229" s="17"/>
      <c r="J229" s="17">
        <v>1778</v>
      </c>
      <c r="K229" s="17" t="n">
        <f aca="false">IF(AND(IFERROR(SEARCH("현대오일뱅크",$C229),0)&gt;0,IFERROR(SEARCH("직영",$C229),0)&gt;0),$B$13,0)</f>
        <v/>
      </c>
      <c r="L229" s="17" t="n">
        <f aca="false">IF($G229="","",$G229+$K229)</f>
        <v/>
      </c>
      <c r="M229" s="17" t="str">
        <f aca="false">IF($H229="","",$H229+$K229)</f>
        <v/>
      </c>
      <c r="N229" s="17" t="n">
        <f aca="false">IF($J229="","",$J229+$K229)</f>
        <v/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 t="str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 t="str">
        <f aca="false">IF($P229="","",IF($Q229="Y",IFERROR(VLOOKUP($B229,$C$4:$D$13,2,FALSE()),0),0))</f>
        <v/>
      </c>
      <c r="S229" s="17" t="str">
        <f aca="false">IF($P229="","",ROUNDDOWN($P229*$R229,0))</f>
        <v/>
      </c>
      <c r="T229" s="17" t="str">
        <f aca="false">IF($P229="","",$P229-$S229)</f>
        <v/>
      </c>
      <c r="U229" s="17" t="str">
        <f aca="false">IF($T229="","",IF($B$10=0,"",$T229/$B$10))</f>
        <v/>
      </c>
      <c r="V229" s="17" t="str">
        <f aca="false">IF($P229="","",IF($B$10=0,"",$P229/$B$10))</f>
        <v/>
      </c>
      <c r="W229" s="19" t="n">
        <f aca="false">IF($T229="",1000000000000000,$T229)</f>
        <v/>
      </c>
      <c r="XFB229" s="6"/>
      <c r="XFC229" s="3"/>
    </row>
    <row r="230" s="5" collapsed="false" customFormat="true" customHeight="true" hidden="false" ht="28.5" outlineLevel="0">
      <c r="A230" s="16" t="str">
        <f aca="false">IF($T230="","",1+COUNTIF($W$15:$W$894,"&lt;"&amp;W230))</f>
        <v/>
      </c>
      <c r="B230" s="16" t="s">
        <v>6</v>
      </c>
      <c r="C230" s="16" t="s">
        <v>493</v>
      </c>
      <c r="D230" s="16" t="s">
        <v>95</v>
      </c>
      <c r="E230" s="16" t="s">
        <v>26</v>
      </c>
      <c r="F230" s="16" t="s">
        <v>494</v>
      </c>
      <c r="G230" s="17">
        <v>1778</v>
      </c>
      <c r="H230" s="17"/>
      <c r="I230" s="17"/>
      <c r="J230" s="17">
        <v>1778</v>
      </c>
      <c r="K230" s="17" t="n">
        <f aca="false">IF(AND(IFERROR(SEARCH("현대오일뱅크",$C230),0)&gt;0,IFERROR(SEARCH("직영",$C230),0)&gt;0),$B$13,0)</f>
        <v/>
      </c>
      <c r="L230" s="17" t="n">
        <f aca="false">IF($G230="","",$G230+$K230)</f>
        <v/>
      </c>
      <c r="M230" s="17" t="str">
        <f aca="false">IF($H230="","",$H230+$K230)</f>
        <v/>
      </c>
      <c r="N230" s="17" t="n">
        <f aca="false">IF($J230="","",$J230+$K230)</f>
        <v/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 t="str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 t="str">
        <f aca="false">IF($P230="","",IF($Q230="Y",IFERROR(VLOOKUP($B230,$C$4:$D$13,2,FALSE()),0),0))</f>
        <v/>
      </c>
      <c r="S230" s="17" t="str">
        <f aca="false">IF($P230="","",ROUNDDOWN($P230*$R230,0))</f>
        <v/>
      </c>
      <c r="T230" s="17" t="str">
        <f aca="false">IF($P230="","",$P230-$S230)</f>
        <v/>
      </c>
      <c r="U230" s="17" t="str">
        <f aca="false">IF($T230="","",IF($B$10=0,"",$T230/$B$10))</f>
        <v/>
      </c>
      <c r="V230" s="17" t="str">
        <f aca="false">IF($P230="","",IF($B$10=0,"",$P230/$B$10))</f>
        <v/>
      </c>
      <c r="W230" s="19" t="n">
        <f aca="false">IF($T230="",1000000000000000,$T230)</f>
        <v/>
      </c>
      <c r="XFB230" s="6"/>
      <c r="XFC230" s="3"/>
    </row>
    <row r="231" s="5" collapsed="false" customFormat="true" customHeight="true" hidden="false" ht="28.5" outlineLevel="0">
      <c r="A231" s="16" t="str">
        <f aca="false">IF($T231="","",1+COUNTIF($W$15:$W$894,"&lt;"&amp;W231))</f>
        <v/>
      </c>
      <c r="B231" s="16" t="s">
        <v>6</v>
      </c>
      <c r="C231" s="16" t="s">
        <v>495</v>
      </c>
      <c r="D231" s="16" t="s">
        <v>45</v>
      </c>
      <c r="E231" s="16" t="s">
        <v>26</v>
      </c>
      <c r="F231" s="16" t="s">
        <v>496</v>
      </c>
      <c r="G231" s="17">
        <v>1779</v>
      </c>
      <c r="H231" s="17"/>
      <c r="I231" s="17"/>
      <c r="J231" s="17">
        <v>1760</v>
      </c>
      <c r="K231" s="17" t="n">
        <f aca="false">IF(AND(IFERROR(SEARCH("현대오일뱅크",$C231),0)&gt;0,IFERROR(SEARCH("직영",$C231),0)&gt;0),$B$13,0)</f>
        <v/>
      </c>
      <c r="L231" s="17" t="n">
        <f aca="false">IF($G231="","",$G231+$K231)</f>
        <v/>
      </c>
      <c r="M231" s="17" t="str">
        <f aca="false">IF($H231="","",$H231+$K231)</f>
        <v/>
      </c>
      <c r="N231" s="17" t="n">
        <f aca="false">IF($J231="","",$J231+$K231)</f>
        <v/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 t="str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 t="str">
        <f aca="false">IF($P231="","",IF($Q231="Y",IFERROR(VLOOKUP($B231,$C$4:$D$13,2,FALSE()),0),0))</f>
        <v/>
      </c>
      <c r="S231" s="17" t="str">
        <f aca="false">IF($P231="","",ROUNDDOWN($P231*$R231,0))</f>
        <v/>
      </c>
      <c r="T231" s="17" t="str">
        <f aca="false">IF($P231="","",$P231-$S231)</f>
        <v/>
      </c>
      <c r="U231" s="17" t="str">
        <f aca="false">IF($T231="","",IF($B$10=0,"",$T231/$B$10))</f>
        <v/>
      </c>
      <c r="V231" s="17" t="str">
        <f aca="false">IF($P231="","",IF($B$10=0,"",$P231/$B$10))</f>
        <v/>
      </c>
      <c r="W231" s="19" t="n">
        <f aca="false">IF($T231="",1000000000000000,$T231)</f>
        <v/>
      </c>
      <c r="XFB231" s="6"/>
      <c r="XFC231" s="3"/>
    </row>
    <row r="232" s="5" collapsed="false" customFormat="true" customHeight="true" hidden="false" ht="28.5" outlineLevel="0">
      <c r="A232" s="16" t="str">
        <f aca="false">IF($T232="","",1+COUNTIF($W$15:$W$894,"&lt;"&amp;W232))</f>
        <v/>
      </c>
      <c r="B232" s="16" t="s">
        <v>6</v>
      </c>
      <c r="C232" s="16" t="s">
        <v>497</v>
      </c>
      <c r="D232" s="16" t="s">
        <v>51</v>
      </c>
      <c r="E232" s="16" t="s">
        <v>26</v>
      </c>
      <c r="F232" s="16" t="s">
        <v>498</v>
      </c>
      <c r="G232" s="17">
        <v>1779</v>
      </c>
      <c r="H232" s="17"/>
      <c r="I232" s="17"/>
      <c r="J232" s="17">
        <v>1773</v>
      </c>
      <c r="K232" s="17" t="n">
        <f aca="false">IF(AND(IFERROR(SEARCH("현대오일뱅크",$C232),0)&gt;0,IFERROR(SEARCH("직영",$C232),0)&gt;0),$B$13,0)</f>
        <v/>
      </c>
      <c r="L232" s="17" t="n">
        <f aca="false">IF($G232="","",$G232+$K232)</f>
        <v/>
      </c>
      <c r="M232" s="17" t="str">
        <f aca="false">IF($H232="","",$H232+$K232)</f>
        <v/>
      </c>
      <c r="N232" s="17" t="n">
        <f aca="false">IF($J232="","",$J232+$K232)</f>
        <v/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 t="str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 t="str">
        <f aca="false">IF($P232="","",IF($Q232="Y",IFERROR(VLOOKUP($B232,$C$4:$D$13,2,FALSE()),0),0))</f>
        <v/>
      </c>
      <c r="S232" s="17" t="str">
        <f aca="false">IF($P232="","",ROUNDDOWN($P232*$R232,0))</f>
        <v/>
      </c>
      <c r="T232" s="17" t="str">
        <f aca="false">IF($P232="","",$P232-$S232)</f>
        <v/>
      </c>
      <c r="U232" s="17" t="str">
        <f aca="false">IF($T232="","",IF($B$10=0,"",$T232/$B$10))</f>
        <v/>
      </c>
      <c r="V232" s="17" t="str">
        <f aca="false">IF($P232="","",IF($B$10=0,"",$P232/$B$10))</f>
        <v/>
      </c>
      <c r="W232" s="19" t="n">
        <f aca="false">IF($T232="",1000000000000000,$T232)</f>
        <v/>
      </c>
      <c r="XFB232" s="6"/>
      <c r="XFC232" s="3"/>
    </row>
    <row r="233" s="5" collapsed="false" customFormat="true" customHeight="true" hidden="false" ht="28.5" outlineLevel="0">
      <c r="A233" s="16" t="str">
        <f aca="false">IF($T233="","",1+COUNTIF($W$15:$W$894,"&lt;"&amp;W233))</f>
        <v/>
      </c>
      <c r="B233" s="16" t="s">
        <v>6</v>
      </c>
      <c r="C233" s="16" t="s">
        <v>510</v>
      </c>
      <c r="D233" s="20" t="s">
        <v>86</v>
      </c>
      <c r="E233" s="16" t="s">
        <v>26</v>
      </c>
      <c r="F233" s="16" t="s">
        <v>511</v>
      </c>
      <c r="G233" s="17">
        <v>1779</v>
      </c>
      <c r="H233" s="17"/>
      <c r="I233" s="17"/>
      <c r="J233" s="17">
        <v>1776</v>
      </c>
      <c r="K233" s="17" t="n">
        <f aca="false">IF(AND(IFERROR(SEARCH("현대오일뱅크",$C233),0)&gt;0,IFERROR(SEARCH("직영",$C233),0)&gt;0),$B$13,0)</f>
        <v/>
      </c>
      <c r="L233" s="17" t="n">
        <f aca="false">IF($G233="","",$G233+$K233)</f>
        <v/>
      </c>
      <c r="M233" s="17" t="str">
        <f aca="false">IF($H233="","",$H233+$K233)</f>
        <v/>
      </c>
      <c r="N233" s="17" t="n">
        <f aca="false">IF($J233="","",$J233+$K233)</f>
        <v/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 t="str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 t="str">
        <f aca="false">IF($P233="","",IF($Q233="Y",IFERROR(VLOOKUP($B233,$C$4:$D$13,2,FALSE()),0),0))</f>
        <v/>
      </c>
      <c r="S233" s="17" t="str">
        <f aca="false">IF($P233="","",ROUNDDOWN($P233*$R233,0))</f>
        <v/>
      </c>
      <c r="T233" s="17" t="str">
        <f aca="false">IF($P233="","",$P233-$S233)</f>
        <v/>
      </c>
      <c r="U233" s="17" t="str">
        <f aca="false">IF($T233="","",IF($B$10=0,"",$T233/$B$10))</f>
        <v/>
      </c>
      <c r="V233" s="17" t="str">
        <f aca="false">IF($P233="","",IF($B$10=0,"",$P233/$B$10))</f>
        <v/>
      </c>
      <c r="W233" s="19" t="n">
        <f aca="false">IF($T233="",1000000000000000,$T233)</f>
        <v/>
      </c>
      <c r="XFB233" s="6"/>
      <c r="XFC233" s="3"/>
    </row>
    <row r="234" s="5" collapsed="false" customFormat="true" customHeight="true" hidden="false" ht="28.5" outlineLevel="0">
      <c r="A234" s="16" t="str">
        <f aca="false">IF($T234="","",1+COUNTIF($W$15:$W$894,"&lt;"&amp;W234))</f>
        <v/>
      </c>
      <c r="B234" s="16" t="s">
        <v>6</v>
      </c>
      <c r="C234" s="16" t="s">
        <v>499</v>
      </c>
      <c r="D234" s="16" t="s">
        <v>500</v>
      </c>
      <c r="E234" s="16" t="s">
        <v>26</v>
      </c>
      <c r="F234" s="16" t="s">
        <v>501</v>
      </c>
      <c r="G234" s="17">
        <v>1779</v>
      </c>
      <c r="H234" s="17"/>
      <c r="I234" s="17"/>
      <c r="J234" s="17">
        <v>1779</v>
      </c>
      <c r="K234" s="17" t="n">
        <f aca="false">IF(AND(IFERROR(SEARCH("현대오일뱅크",$C234),0)&gt;0,IFERROR(SEARCH("직영",$C234),0)&gt;0),$B$13,0)</f>
        <v/>
      </c>
      <c r="L234" s="17" t="n">
        <f aca="false">IF($G234="","",$G234+$K234)</f>
        <v/>
      </c>
      <c r="M234" s="17" t="str">
        <f aca="false">IF($H234="","",$H234+$K234)</f>
        <v/>
      </c>
      <c r="N234" s="17" t="n">
        <f aca="false">IF($J234="","",$J234+$K234)</f>
        <v/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 t="str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 t="str">
        <f aca="false">IF($P234="","",IF($Q234="Y",IFERROR(VLOOKUP($B234,$C$4:$D$13,2,FALSE()),0),0))</f>
        <v/>
      </c>
      <c r="S234" s="17" t="str">
        <f aca="false">IF($P234="","",ROUNDDOWN($P234*$R234,0))</f>
        <v/>
      </c>
      <c r="T234" s="17" t="str">
        <f aca="false">IF($P234="","",$P234-$S234)</f>
        <v/>
      </c>
      <c r="U234" s="17" t="str">
        <f aca="false">IF($T234="","",IF($B$10=0,"",$T234/$B$10))</f>
        <v/>
      </c>
      <c r="V234" s="17" t="str">
        <f aca="false">IF($P234="","",IF($B$10=0,"",$P234/$B$10))</f>
        <v/>
      </c>
      <c r="W234" s="19" t="n">
        <f aca="false">IF($T234="",1000000000000000,$T234)</f>
        <v/>
      </c>
      <c r="XFB234" s="6"/>
      <c r="XFC234" s="3"/>
    </row>
    <row r="235" s="5" collapsed="false" customFormat="true" customHeight="true" hidden="false" ht="28.5" outlineLevel="0">
      <c r="A235" s="16" t="str">
        <f aca="false">IF($T235="","",1+COUNTIF($W$15:$W$894,"&lt;"&amp;W235))</f>
        <v/>
      </c>
      <c r="B235" s="16" t="s">
        <v>6</v>
      </c>
      <c r="C235" s="16" t="s">
        <v>502</v>
      </c>
      <c r="D235" s="16" t="s">
        <v>56</v>
      </c>
      <c r="E235" s="16" t="s">
        <v>26</v>
      </c>
      <c r="F235" s="16" t="s">
        <v>503</v>
      </c>
      <c r="G235" s="17">
        <v>1779</v>
      </c>
      <c r="H235" s="17"/>
      <c r="I235" s="17"/>
      <c r="J235" s="17">
        <v>1779</v>
      </c>
      <c r="K235" s="17" t="n">
        <f aca="false">IF(AND(IFERROR(SEARCH("현대오일뱅크",$C235),0)&gt;0,IFERROR(SEARCH("직영",$C235),0)&gt;0),$B$13,0)</f>
        <v/>
      </c>
      <c r="L235" s="17" t="n">
        <f aca="false">IF($G235="","",$G235+$K235)</f>
        <v/>
      </c>
      <c r="M235" s="17" t="str">
        <f aca="false">IF($H235="","",$H235+$K235)</f>
        <v/>
      </c>
      <c r="N235" s="17" t="n">
        <f aca="false">IF($J235="","",$J235+$K235)</f>
        <v/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 t="str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 t="str">
        <f aca="false">IF($P235="","",IF($Q235="Y",IFERROR(VLOOKUP($B235,$C$4:$D$13,2,FALSE()),0),0))</f>
        <v/>
      </c>
      <c r="S235" s="17" t="str">
        <f aca="false">IF($P235="","",ROUNDDOWN($P235*$R235,0))</f>
        <v/>
      </c>
      <c r="T235" s="17" t="str">
        <f aca="false">IF($P235="","",$P235-$S235)</f>
        <v/>
      </c>
      <c r="U235" s="17" t="str">
        <f aca="false">IF($T235="","",IF($B$10=0,"",$T235/$B$10))</f>
        <v/>
      </c>
      <c r="V235" s="17" t="str">
        <f aca="false">IF($P235="","",IF($B$10=0,"",$P235/$B$10))</f>
        <v/>
      </c>
      <c r="W235" s="19" t="n">
        <f aca="false">IF($T235="",1000000000000000,$T235)</f>
        <v/>
      </c>
      <c r="XFB235" s="6"/>
      <c r="XFC235" s="3"/>
    </row>
    <row r="236" s="5" collapsed="false" customFormat="true" customHeight="true" hidden="false" ht="28.5" outlineLevel="0">
      <c r="A236" s="16" t="str">
        <f aca="false">IF($T236="","",1+COUNTIF($W$15:$W$894,"&lt;"&amp;W236))</f>
        <v/>
      </c>
      <c r="B236" s="16" t="s">
        <v>6</v>
      </c>
      <c r="C236" s="16" t="s">
        <v>504</v>
      </c>
      <c r="D236" s="20" t="s">
        <v>86</v>
      </c>
      <c r="E236" s="16" t="s">
        <v>26</v>
      </c>
      <c r="F236" s="16" t="s">
        <v>505</v>
      </c>
      <c r="G236" s="17">
        <v>1779</v>
      </c>
      <c r="H236" s="17"/>
      <c r="I236" s="17"/>
      <c r="J236" s="17">
        <v>1779</v>
      </c>
      <c r="K236" s="17" t="n">
        <f aca="false">IF(AND(IFERROR(SEARCH("현대오일뱅크",$C236),0)&gt;0,IFERROR(SEARCH("직영",$C236),0)&gt;0),$B$13,0)</f>
        <v/>
      </c>
      <c r="L236" s="17" t="n">
        <f aca="false">IF($G236="","",$G236+$K236)</f>
        <v/>
      </c>
      <c r="M236" s="17" t="str">
        <f aca="false">IF($H236="","",$H236+$K236)</f>
        <v/>
      </c>
      <c r="N236" s="17" t="n">
        <f aca="false">IF($J236="","",$J236+$K236)</f>
        <v/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 t="str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 t="str">
        <f aca="false">IF($P236="","",IF($Q236="Y",IFERROR(VLOOKUP($B236,$C$4:$D$13,2,FALSE()),0),0))</f>
        <v/>
      </c>
      <c r="S236" s="17" t="str">
        <f aca="false">IF($P236="","",ROUNDDOWN($P236*$R236,0))</f>
        <v/>
      </c>
      <c r="T236" s="17" t="str">
        <f aca="false">IF($P236="","",$P236-$S236)</f>
        <v/>
      </c>
      <c r="U236" s="17" t="str">
        <f aca="false">IF($T236="","",IF($B$10=0,"",$T236/$B$10))</f>
        <v/>
      </c>
      <c r="V236" s="17" t="str">
        <f aca="false">IF($P236="","",IF($B$10=0,"",$P236/$B$10))</f>
        <v/>
      </c>
      <c r="W236" s="19" t="n">
        <f aca="false">IF($T236="",1000000000000000,$T236)</f>
        <v/>
      </c>
      <c r="XFB236" s="6"/>
      <c r="XFC236" s="3"/>
    </row>
    <row r="237" s="5" collapsed="false" customFormat="true" customHeight="true" hidden="false" ht="28.5" outlineLevel="0">
      <c r="A237" s="16" t="str">
        <f aca="false">IF($T237="","",1+COUNTIF($W$15:$W$894,"&lt;"&amp;W237))</f>
        <v/>
      </c>
      <c r="B237" s="16" t="s">
        <v>6</v>
      </c>
      <c r="C237" s="16" t="s">
        <v>506</v>
      </c>
      <c r="D237" s="16" t="s">
        <v>51</v>
      </c>
      <c r="E237" s="16" t="s">
        <v>26</v>
      </c>
      <c r="F237" s="16" t="s">
        <v>507</v>
      </c>
      <c r="G237" s="17">
        <v>1779</v>
      </c>
      <c r="H237" s="17"/>
      <c r="I237" s="17"/>
      <c r="J237" s="17">
        <v>1779</v>
      </c>
      <c r="K237" s="17" t="n">
        <f aca="false">IF(AND(IFERROR(SEARCH("현대오일뱅크",$C237),0)&gt;0,IFERROR(SEARCH("직영",$C237),0)&gt;0),$B$13,0)</f>
        <v/>
      </c>
      <c r="L237" s="17" t="n">
        <f aca="false">IF($G237="","",$G237+$K237)</f>
        <v/>
      </c>
      <c r="M237" s="17" t="str">
        <f aca="false">IF($H237="","",$H237+$K237)</f>
        <v/>
      </c>
      <c r="N237" s="17" t="n">
        <f aca="false">IF($J237="","",$J237+$K237)</f>
        <v/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 t="str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 t="str">
        <f aca="false">IF($P237="","",IF($Q237="Y",IFERROR(VLOOKUP($B237,$C$4:$D$13,2,FALSE()),0),0))</f>
        <v/>
      </c>
      <c r="S237" s="17" t="str">
        <f aca="false">IF($P237="","",ROUNDDOWN($P237*$R237,0))</f>
        <v/>
      </c>
      <c r="T237" s="17" t="str">
        <f aca="false">IF($P237="","",$P237-$S237)</f>
        <v/>
      </c>
      <c r="U237" s="17" t="str">
        <f aca="false">IF($T237="","",IF($B$10=0,"",$T237/$B$10))</f>
        <v/>
      </c>
      <c r="V237" s="17" t="str">
        <f aca="false">IF($P237="","",IF($B$10=0,"",$P237/$B$10))</f>
        <v/>
      </c>
      <c r="W237" s="19" t="n">
        <f aca="false">IF($T237="",1000000000000000,$T237)</f>
        <v/>
      </c>
      <c r="XFB237" s="6"/>
      <c r="XFC237" s="3"/>
    </row>
    <row r="238" s="5" collapsed="false" customFormat="true" customHeight="true" hidden="false" ht="28.5" outlineLevel="0">
      <c r="A238" s="16" t="str">
        <f aca="false">IF($T238="","",1+COUNTIF($W$15:$W$894,"&lt;"&amp;W238))</f>
        <v/>
      </c>
      <c r="B238" s="16" t="s">
        <v>6</v>
      </c>
      <c r="C238" s="16" t="s">
        <v>508</v>
      </c>
      <c r="D238" s="16" t="s">
        <v>95</v>
      </c>
      <c r="E238" s="16" t="s">
        <v>26</v>
      </c>
      <c r="F238" s="16" t="s">
        <v>509</v>
      </c>
      <c r="G238" s="17">
        <v>1779</v>
      </c>
      <c r="H238" s="17"/>
      <c r="I238" s="17"/>
      <c r="J238" s="17">
        <v>1779</v>
      </c>
      <c r="K238" s="17" t="n">
        <f aca="false">IF(AND(IFERROR(SEARCH("현대오일뱅크",$C238),0)&gt;0,IFERROR(SEARCH("직영",$C238),0)&gt;0),$B$13,0)</f>
        <v/>
      </c>
      <c r="L238" s="17" t="n">
        <f aca="false">IF($G238="","",$G238+$K238)</f>
        <v/>
      </c>
      <c r="M238" s="17" t="str">
        <f aca="false">IF($H238="","",$H238+$K238)</f>
        <v/>
      </c>
      <c r="N238" s="17" t="n">
        <f aca="false">IF($J238="","",$J238+$K238)</f>
        <v/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 t="str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 t="str">
        <f aca="false">IF($P238="","",IF($Q238="Y",IFERROR(VLOOKUP($B238,$C$4:$D$13,2,FALSE()),0),0))</f>
        <v/>
      </c>
      <c r="S238" s="17" t="str">
        <f aca="false">IF($P238="","",ROUNDDOWN($P238*$R238,0))</f>
        <v/>
      </c>
      <c r="T238" s="17" t="str">
        <f aca="false">IF($P238="","",$P238-$S238)</f>
        <v/>
      </c>
      <c r="U238" s="17" t="str">
        <f aca="false">IF($T238="","",IF($B$10=0,"",$T238/$B$10))</f>
        <v/>
      </c>
      <c r="V238" s="17" t="str">
        <f aca="false">IF($P238="","",IF($B$10=0,"",$P238/$B$10))</f>
        <v/>
      </c>
      <c r="W238" s="19" t="n">
        <f aca="false">IF($T238="",1000000000000000,$T238)</f>
        <v/>
      </c>
      <c r="XFB238" s="6"/>
      <c r="XFC238" s="3"/>
    </row>
    <row r="239" s="5" collapsed="false" customFormat="true" customHeight="true" hidden="false" ht="28.5" outlineLevel="0">
      <c r="A239" s="16" t="str">
        <f aca="false">IF($T239="","",1+COUNTIF($W$15:$W$894,"&lt;"&amp;W239))</f>
        <v/>
      </c>
      <c r="B239" s="16" t="s">
        <v>6</v>
      </c>
      <c r="C239" s="16" t="s">
        <v>512</v>
      </c>
      <c r="D239" s="16" t="s">
        <v>95</v>
      </c>
      <c r="E239" s="16" t="s">
        <v>26</v>
      </c>
      <c r="F239" s="16" t="s">
        <v>513</v>
      </c>
      <c r="G239" s="17">
        <v>1779</v>
      </c>
      <c r="H239" s="17"/>
      <c r="I239" s="17"/>
      <c r="J239" s="17">
        <v>1789</v>
      </c>
      <c r="K239" s="17" t="n">
        <f aca="false">IF(AND(IFERROR(SEARCH("현대오일뱅크",$C239),0)&gt;0,IFERROR(SEARCH("직영",$C239),0)&gt;0),$B$13,0)</f>
        <v/>
      </c>
      <c r="L239" s="17" t="n">
        <f aca="false">IF($G239="","",$G239+$K239)</f>
        <v/>
      </c>
      <c r="M239" s="17" t="str">
        <f aca="false">IF($H239="","",$H239+$K239)</f>
        <v/>
      </c>
      <c r="N239" s="17" t="n">
        <f aca="false">IF($J239="","",$J239+$K239)</f>
        <v/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 t="str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 t="str">
        <f aca="false">IF($P239="","",IF($Q239="Y",IFERROR(VLOOKUP($B239,$C$4:$D$13,2,FALSE()),0),0))</f>
        <v/>
      </c>
      <c r="S239" s="17" t="str">
        <f aca="false">IF($P239="","",ROUNDDOWN($P239*$R239,0))</f>
        <v/>
      </c>
      <c r="T239" s="17" t="str">
        <f aca="false">IF($P239="","",$P239-$S239)</f>
        <v/>
      </c>
      <c r="U239" s="17" t="str">
        <f aca="false">IF($T239="","",IF($B$10=0,"",$T239/$B$10))</f>
        <v/>
      </c>
      <c r="V239" s="17" t="str">
        <f aca="false">IF($P239="","",IF($B$10=0,"",$P239/$B$10))</f>
        <v/>
      </c>
      <c r="W239" s="19" t="n">
        <f aca="false">IF($T239="",1000000000000000,$T239)</f>
        <v/>
      </c>
      <c r="XFB239" s="6"/>
      <c r="XFC239" s="3"/>
    </row>
    <row r="240" s="5" collapsed="false" customFormat="true" customHeight="true" hidden="false" ht="28.5" outlineLevel="0">
      <c r="A240" s="16" t="str">
        <f aca="false">IF($T240="","",1+COUNTIF($W$15:$W$894,"&lt;"&amp;W240))</f>
        <v/>
      </c>
      <c r="B240" s="16" t="s">
        <v>14</v>
      </c>
      <c r="C240" s="16" t="s">
        <v>514</v>
      </c>
      <c r="D240" s="16" t="s">
        <v>45</v>
      </c>
      <c r="E240" s="16" t="s">
        <v>26</v>
      </c>
      <c r="F240" s="16" t="s">
        <v>515</v>
      </c>
      <c r="G240" s="17">
        <v>1799</v>
      </c>
      <c r="H240" s="17"/>
      <c r="I240" s="17"/>
      <c r="J240" s="17">
        <v>1777</v>
      </c>
      <c r="K240" s="17" t="n">
        <f aca="false">IF(AND(IFERROR(SEARCH("현대오일뱅크",$C240),0)&gt;0,IFERROR(SEARCH("직영",$C240),0)&gt;0),$B$13,0)</f>
        <v/>
      </c>
      <c r="L240" s="17" t="n">
        <f aca="false">IF($G240="","",$G240+$K240)</f>
        <v/>
      </c>
      <c r="M240" s="17" t="str">
        <f aca="false">IF($H240="","",$H240+$K240)</f>
        <v/>
      </c>
      <c r="N240" s="17" t="n">
        <f aca="false">IF($J240="","",$J240+$K240)</f>
        <v/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 t="str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 t="str">
        <f aca="false">IF($P240="","",IF($Q240="Y",IFERROR(VLOOKUP($B240,$C$4:$D$13,2,FALSE()),0),0))</f>
        <v/>
      </c>
      <c r="S240" s="17" t="str">
        <f aca="false">IF($P240="","",ROUNDDOWN($P240*$R240,0))</f>
        <v/>
      </c>
      <c r="T240" s="17" t="str">
        <f aca="false">IF($P240="","",$P240-$S240)</f>
        <v/>
      </c>
      <c r="U240" s="17" t="str">
        <f aca="false">IF($T240="","",IF($B$10=0,"",$T240/$B$10))</f>
        <v/>
      </c>
      <c r="V240" s="17" t="str">
        <f aca="false">IF($P240="","",IF($B$10=0,"",$P240/$B$10))</f>
        <v/>
      </c>
      <c r="W240" s="19" t="n">
        <f aca="false">IF($T240="",1000000000000000,$T240)</f>
        <v/>
      </c>
      <c r="XFB240" s="6"/>
      <c r="XFC240" s="3"/>
    </row>
    <row r="241" s="5" collapsed="false" customFormat="true" customHeight="true" hidden="false" ht="28.5" outlineLevel="0">
      <c r="A241" s="16" t="str">
        <f aca="false">IF($T241="","",1+COUNTIF($W$15:$W$894,"&lt;"&amp;W241))</f>
        <v/>
      </c>
      <c r="B241" s="16" t="s">
        <v>14</v>
      </c>
      <c r="C241" s="16" t="s">
        <v>516</v>
      </c>
      <c r="D241" s="16" t="s">
        <v>95</v>
      </c>
      <c r="E241" s="16" t="s">
        <v>26</v>
      </c>
      <c r="F241" s="16" t="s">
        <v>517</v>
      </c>
      <c r="G241" s="17">
        <v>1799</v>
      </c>
      <c r="H241" s="17"/>
      <c r="I241" s="17"/>
      <c r="J241" s="17">
        <v>1798</v>
      </c>
      <c r="K241" s="17" t="n">
        <f aca="false">IF(AND(IFERROR(SEARCH("현대오일뱅크",$C241),0)&gt;0,IFERROR(SEARCH("직영",$C241),0)&gt;0),$B$13,0)</f>
        <v/>
      </c>
      <c r="L241" s="17" t="n">
        <f aca="false">IF($G241="","",$G241+$K241)</f>
        <v/>
      </c>
      <c r="M241" s="17" t="str">
        <f aca="false">IF($H241="","",$H241+$K241)</f>
        <v/>
      </c>
      <c r="N241" s="17" t="n">
        <f aca="false">IF($J241="","",$J241+$K241)</f>
        <v/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 t="str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 t="str">
        <f aca="false">IF($P241="","",IF($Q241="Y",IFERROR(VLOOKUP($B241,$C$4:$D$13,2,FALSE()),0),0))</f>
        <v/>
      </c>
      <c r="S241" s="17" t="str">
        <f aca="false">IF($P241="","",ROUNDDOWN($P241*$R241,0))</f>
        <v/>
      </c>
      <c r="T241" s="17" t="str">
        <f aca="false">IF($P241="","",$P241-$S241)</f>
        <v/>
      </c>
      <c r="U241" s="17" t="str">
        <f aca="false">IF($T241="","",IF($B$10=0,"",$T241/$B$10))</f>
        <v/>
      </c>
      <c r="V241" s="17" t="str">
        <f aca="false">IF($P241="","",IF($B$10=0,"",$P241/$B$10))</f>
        <v/>
      </c>
      <c r="W241" s="19" t="n">
        <f aca="false">IF($T241="",1000000000000000,$T241)</f>
        <v/>
      </c>
      <c r="XFB241" s="6"/>
      <c r="XFC241" s="3"/>
    </row>
    <row r="242" s="5" collapsed="false" customFormat="true" customHeight="true" hidden="false" ht="28.5" outlineLevel="0">
      <c r="A242" s="16" t="str">
        <f aca="false">IF($T242="","",1+COUNTIF($W$15:$W$894,"&lt;"&amp;W242))</f>
        <v/>
      </c>
      <c r="B242" s="16" t="s">
        <v>14</v>
      </c>
      <c r="C242" s="16" t="s">
        <v>518</v>
      </c>
      <c r="D242" s="16" t="s">
        <v>500</v>
      </c>
      <c r="E242" s="16" t="s">
        <v>26</v>
      </c>
      <c r="F242" s="16" t="s">
        <v>519</v>
      </c>
      <c r="G242" s="17">
        <v>1799</v>
      </c>
      <c r="H242" s="17"/>
      <c r="I242" s="17"/>
      <c r="J242" s="17">
        <v>1799</v>
      </c>
      <c r="K242" s="17" t="n">
        <f aca="false">IF(AND(IFERROR(SEARCH("현대오일뱅크",$C242),0)&gt;0,IFERROR(SEARCH("직영",$C242),0)&gt;0),$B$13,0)</f>
        <v/>
      </c>
      <c r="L242" s="17" t="n">
        <f aca="false">IF($G242="","",$G242+$K242)</f>
        <v/>
      </c>
      <c r="M242" s="17" t="str">
        <f aca="false">IF($H242="","",$H242+$K242)</f>
        <v/>
      </c>
      <c r="N242" s="17" t="n">
        <f aca="false">IF($J242="","",$J242+$K242)</f>
        <v/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 t="str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 t="str">
        <f aca="false">IF($P242="","",IF($Q242="Y",IFERROR(VLOOKUP($B242,$C$4:$D$13,2,FALSE()),0),0))</f>
        <v/>
      </c>
      <c r="S242" s="17" t="str">
        <f aca="false">IF($P242="","",ROUNDDOWN($P242*$R242,0))</f>
        <v/>
      </c>
      <c r="T242" s="17" t="str">
        <f aca="false">IF($P242="","",$P242-$S242)</f>
        <v/>
      </c>
      <c r="U242" s="17" t="str">
        <f aca="false">IF($T242="","",IF($B$10=0,"",$T242/$B$10))</f>
        <v/>
      </c>
      <c r="V242" s="17" t="str">
        <f aca="false">IF($P242="","",IF($B$10=0,"",$P242/$B$10))</f>
        <v/>
      </c>
      <c r="W242" s="19" t="n">
        <f aca="false">IF($T242="",1000000000000000,$T242)</f>
        <v/>
      </c>
      <c r="XFB242" s="6"/>
      <c r="XFC242" s="3"/>
    </row>
    <row r="243" s="5" collapsed="false" customFormat="true" customHeight="true" hidden="false" ht="28.5" outlineLevel="0">
      <c r="A243" s="16" t="str">
        <f aca="false">IF($T243="","",1+COUNTIF($W$15:$W$894,"&lt;"&amp;W243))</f>
        <v/>
      </c>
      <c r="B243" s="16" t="s">
        <v>14</v>
      </c>
      <c r="C243" s="16" t="s">
        <v>520</v>
      </c>
      <c r="D243" s="16" t="s">
        <v>45</v>
      </c>
      <c r="E243" s="16" t="s">
        <v>26</v>
      </c>
      <c r="F243" s="16" t="s">
        <v>521</v>
      </c>
      <c r="G243" s="17">
        <v>1799</v>
      </c>
      <c r="H243" s="17"/>
      <c r="I243" s="17"/>
      <c r="J243" s="17">
        <v>1839</v>
      </c>
      <c r="K243" s="17" t="n">
        <f aca="false">IF(AND(IFERROR(SEARCH("현대오일뱅크",$C243),0)&gt;0,IFERROR(SEARCH("직영",$C243),0)&gt;0),$B$13,0)</f>
        <v/>
      </c>
      <c r="L243" s="17" t="n">
        <f aca="false">IF($G243="","",$G243+$K243)</f>
        <v/>
      </c>
      <c r="M243" s="17" t="str">
        <f aca="false">IF($H243="","",$H243+$K243)</f>
        <v/>
      </c>
      <c r="N243" s="17" t="n">
        <f aca="false">IF($J243="","",$J243+$K243)</f>
        <v/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 t="str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 t="str">
        <f aca="false">IF($P243="","",IF($Q243="Y",IFERROR(VLOOKUP($B243,$C$4:$D$13,2,FALSE()),0),0))</f>
        <v/>
      </c>
      <c r="S243" s="17" t="str">
        <f aca="false">IF($P243="","",ROUNDDOWN($P243*$R243,0))</f>
        <v/>
      </c>
      <c r="T243" s="17" t="str">
        <f aca="false">IF($P243="","",$P243-$S243)</f>
        <v/>
      </c>
      <c r="U243" s="17" t="str">
        <f aca="false">IF($T243="","",IF($B$10=0,"",$T243/$B$10))</f>
        <v/>
      </c>
      <c r="V243" s="17" t="str">
        <f aca="false">IF($P243="","",IF($B$10=0,"",$P243/$B$10))</f>
        <v/>
      </c>
      <c r="W243" s="19" t="n">
        <f aca="false">IF($T243="",1000000000000000,$T243)</f>
        <v/>
      </c>
      <c r="XFB243" s="6"/>
      <c r="XFC243" s="3"/>
    </row>
    <row r="244" s="5" collapsed="false" customFormat="true" customHeight="true" hidden="false" ht="28.5" outlineLevel="0">
      <c r="A244" s="16" t="str">
        <f aca="false">IF($T244="","",1+COUNTIF($W$15:$W$894,"&lt;"&amp;W244))</f>
        <v/>
      </c>
      <c r="B244" s="16" t="s">
        <v>16</v>
      </c>
      <c r="C244" s="16" t="s">
        <v>788</v>
      </c>
      <c r="D244" s="16" t="s">
        <v>45</v>
      </c>
      <c r="E244" s="16" t="s">
        <v>26</v>
      </c>
      <c r="F244" s="16" t="s">
        <v>789</v>
      </c>
      <c r="G244" s="17">
        <v>1820</v>
      </c>
      <c r="H244" s="17"/>
      <c r="I244" s="17"/>
      <c r="J244" s="17">
        <v>1840</v>
      </c>
      <c r="K244" s="17" t="n">
        <f aca="false">IF(AND(IFERROR(SEARCH("현대오일뱅크",$C244),0)&gt;0,IFERROR(SEARCH("직영",$C244),0)&gt;0),$B$13,0)</f>
        <v/>
      </c>
      <c r="L244" s="17" t="n">
        <f aca="false">IF($G244="","",$G244+$K244)</f>
        <v/>
      </c>
      <c r="M244" s="17" t="str">
        <f aca="false">IF($H244="","",$H244+$K244)</f>
        <v/>
      </c>
      <c r="N244" s="17" t="n">
        <f aca="false">IF($J244="","",$J244+$K244)</f>
        <v/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 t="str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 t="str">
        <f aca="false">IF($P244="","",IF($Q244="Y",IFERROR(VLOOKUP($B244,$C$4:$D$13,2,FALSE()),0),0))</f>
        <v/>
      </c>
      <c r="S244" s="17" t="str">
        <f aca="false">IF($P244="","",ROUNDDOWN($P244*$R244,0))</f>
        <v/>
      </c>
      <c r="T244" s="17" t="str">
        <f aca="false">IF($P244="","",$P244-$S244)</f>
        <v/>
      </c>
      <c r="U244" s="17" t="str">
        <f aca="false">IF($T244="","",IF($B$10=0,"",$T244/$B$10))</f>
        <v/>
      </c>
      <c r="V244" s="17" t="str">
        <f aca="false">IF($P244="","",IF($B$10=0,"",$P244/$B$10))</f>
        <v/>
      </c>
      <c r="W244" s="19" t="n">
        <f aca="false">IF($T244="",1000000000000000,$T244)</f>
        <v/>
      </c>
      <c r="XFB244" s="6"/>
      <c r="XFC244" s="3"/>
    </row>
    <row r="245" s="5" collapsed="false" customFormat="true" customHeight="true" hidden="false" ht="28.5" outlineLevel="0">
      <c r="A245" s="16" t="str">
        <f aca="false">IF($T245="","",1+COUNTIF($W$15:$W$894,"&lt;"&amp;W245))</f>
        <v/>
      </c>
      <c r="B245" s="16" t="s">
        <v>6</v>
      </c>
      <c r="C245" s="16" t="s">
        <v>522</v>
      </c>
      <c r="D245" s="16" t="s">
        <v>51</v>
      </c>
      <c r="E245" s="16" t="s">
        <v>26</v>
      </c>
      <c r="F245" s="16" t="s">
        <v>523</v>
      </c>
      <c r="G245" s="17">
        <v>1780</v>
      </c>
      <c r="H245" s="17"/>
      <c r="I245" s="17"/>
      <c r="J245" s="17">
        <v>1760</v>
      </c>
      <c r="K245" s="17" t="n">
        <f aca="false">IF(AND(IFERROR(SEARCH("현대오일뱅크",$C245),0)&gt;0,IFERROR(SEARCH("직영",$C245),0)&gt;0),$B$13,0)</f>
        <v/>
      </c>
      <c r="L245" s="17" t="n">
        <f aca="false">IF($G245="","",$G245+$K245)</f>
        <v/>
      </c>
      <c r="M245" s="17" t="str">
        <f aca="false">IF($H245="","",$H245+$K245)</f>
        <v/>
      </c>
      <c r="N245" s="17" t="n">
        <f aca="false">IF($J245="","",$J245+$K245)</f>
        <v/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 t="str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 t="str">
        <f aca="false">IF($P245="","",IF($Q245="Y",IFERROR(VLOOKUP($B245,$C$4:$D$13,2,FALSE()),0),0))</f>
        <v/>
      </c>
      <c r="S245" s="17" t="str">
        <f aca="false">IF($P245="","",ROUNDDOWN($P245*$R245,0))</f>
        <v/>
      </c>
      <c r="T245" s="17" t="str">
        <f aca="false">IF($P245="","",$P245-$S245)</f>
        <v/>
      </c>
      <c r="U245" s="17" t="str">
        <f aca="false">IF($T245="","",IF($B$10=0,"",$T245/$B$10))</f>
        <v/>
      </c>
      <c r="V245" s="17" t="str">
        <f aca="false">IF($P245="","",IF($B$10=0,"",$P245/$B$10))</f>
        <v/>
      </c>
      <c r="W245" s="19" t="n">
        <f aca="false">IF($T245="",1000000000000000,$T245)</f>
        <v/>
      </c>
      <c r="XFB245" s="6"/>
      <c r="XFC245" s="3"/>
    </row>
    <row r="246" s="5" collapsed="false" customFormat="true" customHeight="true" hidden="false" ht="28.5" outlineLevel="0">
      <c r="A246" s="16" t="str">
        <f aca="false">IF($T246="","",1+COUNTIF($W$15:$W$894,"&lt;"&amp;W246))</f>
        <v/>
      </c>
      <c r="B246" s="16" t="s">
        <v>6</v>
      </c>
      <c r="C246" s="16" t="s">
        <v>532</v>
      </c>
      <c r="D246" s="16" t="s">
        <v>95</v>
      </c>
      <c r="E246" s="16" t="s">
        <v>26</v>
      </c>
      <c r="F246" s="16" t="s">
        <v>533</v>
      </c>
      <c r="G246" s="17">
        <v>1780</v>
      </c>
      <c r="H246" s="17"/>
      <c r="I246" s="17"/>
      <c r="J246" s="17">
        <v>1773</v>
      </c>
      <c r="K246" s="17" t="n">
        <f aca="false">IF(AND(IFERROR(SEARCH("현대오일뱅크",$C246),0)&gt;0,IFERROR(SEARCH("직영",$C246),0)&gt;0),$B$13,0)</f>
        <v/>
      </c>
      <c r="L246" s="17" t="n">
        <f aca="false">IF($G246="","",$G246+$K246)</f>
        <v/>
      </c>
      <c r="M246" s="17" t="str">
        <f aca="false">IF($H246="","",$H246+$K246)</f>
        <v/>
      </c>
      <c r="N246" s="17" t="n">
        <f aca="false">IF($J246="","",$J246+$K246)</f>
        <v/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 t="str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 t="str">
        <f aca="false">IF($P246="","",IF($Q246="Y",IFERROR(VLOOKUP($B246,$C$4:$D$13,2,FALSE()),0),0))</f>
        <v/>
      </c>
      <c r="S246" s="17" t="str">
        <f aca="false">IF($P246="","",ROUNDDOWN($P246*$R246,0))</f>
        <v/>
      </c>
      <c r="T246" s="17" t="str">
        <f aca="false">IF($P246="","",$P246-$S246)</f>
        <v/>
      </c>
      <c r="U246" s="17" t="str">
        <f aca="false">IF($T246="","",IF($B$10=0,"",$T246/$B$10))</f>
        <v/>
      </c>
      <c r="V246" s="17" t="str">
        <f aca="false">IF($P246="","",IF($B$10=0,"",$P246/$B$10))</f>
        <v/>
      </c>
      <c r="W246" s="19" t="n">
        <f aca="false">IF($T246="",1000000000000000,$T246)</f>
        <v/>
      </c>
      <c r="XFB246" s="6"/>
      <c r="XFC246" s="3"/>
    </row>
    <row r="247" s="5" collapsed="false" customFormat="true" customHeight="true" hidden="false" ht="28.5" outlineLevel="0">
      <c r="A247" s="16" t="str">
        <f aca="false">IF($T247="","",1+COUNTIF($W$15:$W$894,"&lt;"&amp;W247))</f>
        <v/>
      </c>
      <c r="B247" s="16" t="s">
        <v>6</v>
      </c>
      <c r="C247" s="16" t="s">
        <v>468</v>
      </c>
      <c r="D247" s="16" t="s">
        <v>51</v>
      </c>
      <c r="E247" s="16" t="s">
        <v>26</v>
      </c>
      <c r="F247" s="16" t="s">
        <v>469</v>
      </c>
      <c r="G247" s="17">
        <v>1780</v>
      </c>
      <c r="H247" s="17"/>
      <c r="I247" s="17"/>
      <c r="J247" s="17">
        <v>1775</v>
      </c>
      <c r="K247" s="17" t="n">
        <f aca="false">IF(AND(IFERROR(SEARCH("현대오일뱅크",$C247),0)&gt;0,IFERROR(SEARCH("직영",$C247),0)&gt;0),$B$13,0)</f>
        <v/>
      </c>
      <c r="L247" s="17" t="n">
        <f aca="false">IF($G247="","",$G247+$K247)</f>
        <v/>
      </c>
      <c r="M247" s="17" t="str">
        <f aca="false">IF($H247="","",$H247+$K247)</f>
        <v/>
      </c>
      <c r="N247" s="17" t="n">
        <f aca="false">IF($J247="","",$J247+$K247)</f>
        <v/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 t="str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 t="str">
        <f aca="false">IF($P247="","",IF($Q247="Y",IFERROR(VLOOKUP($B247,$C$4:$D$13,2,FALSE()),0),0))</f>
        <v/>
      </c>
      <c r="S247" s="17" t="str">
        <f aca="false">IF($P247="","",ROUNDDOWN($P247*$R247,0))</f>
        <v/>
      </c>
      <c r="T247" s="17" t="str">
        <f aca="false">IF($P247="","",$P247-$S247)</f>
        <v/>
      </c>
      <c r="U247" s="17" t="str">
        <f aca="false">IF($T247="","",IF($B$10=0,"",$T247/$B$10))</f>
        <v/>
      </c>
      <c r="V247" s="17" t="str">
        <f aca="false">IF($P247="","",IF($B$10=0,"",$P247/$B$10))</f>
        <v/>
      </c>
      <c r="W247" s="19" t="n">
        <f aca="false">IF($T247="",1000000000000000,$T247)</f>
        <v/>
      </c>
      <c r="XFB247" s="6"/>
      <c r="XFC247" s="3"/>
    </row>
    <row r="248" s="5" collapsed="false" customFormat="true" customHeight="true" hidden="false" ht="28.5" outlineLevel="0">
      <c r="A248" s="16" t="str">
        <f aca="false">IF($T248="","",1+COUNTIF($W$15:$W$894,"&lt;"&amp;W248))</f>
        <v/>
      </c>
      <c r="B248" s="16" t="s">
        <v>6</v>
      </c>
      <c r="C248" s="16" t="s">
        <v>528</v>
      </c>
      <c r="D248" s="16" t="s">
        <v>95</v>
      </c>
      <c r="E248" s="16" t="s">
        <v>26</v>
      </c>
      <c r="F248" s="16" t="s">
        <v>529</v>
      </c>
      <c r="G248" s="17">
        <v>1780</v>
      </c>
      <c r="H248" s="17"/>
      <c r="I248" s="17"/>
      <c r="J248" s="17">
        <v>1780</v>
      </c>
      <c r="K248" s="17" t="n">
        <f aca="false">IF(AND(IFERROR(SEARCH("현대오일뱅크",$C248),0)&gt;0,IFERROR(SEARCH("직영",$C248),0)&gt;0),$B$13,0)</f>
        <v/>
      </c>
      <c r="L248" s="17" t="n">
        <f aca="false">IF($G248="","",$G248+$K248)</f>
        <v/>
      </c>
      <c r="M248" s="17" t="str">
        <f aca="false">IF($H248="","",$H248+$K248)</f>
        <v/>
      </c>
      <c r="N248" s="17" t="n">
        <f aca="false">IF($J248="","",$J248+$K248)</f>
        <v/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 t="str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 t="str">
        <f aca="false">IF($P248="","",IF($Q248="Y",IFERROR(VLOOKUP($B248,$C$4:$D$13,2,FALSE()),0),0))</f>
        <v/>
      </c>
      <c r="S248" s="17" t="str">
        <f aca="false">IF($P248="","",ROUNDDOWN($P248*$R248,0))</f>
        <v/>
      </c>
      <c r="T248" s="17" t="str">
        <f aca="false">IF($P248="","",$P248-$S248)</f>
        <v/>
      </c>
      <c r="U248" s="17" t="str">
        <f aca="false">IF($T248="","",IF($B$10=0,"",$T248/$B$10))</f>
        <v/>
      </c>
      <c r="V248" s="17" t="str">
        <f aca="false">IF($P248="","",IF($B$10=0,"",$P248/$B$10))</f>
        <v/>
      </c>
      <c r="W248" s="19" t="n">
        <f aca="false">IF($T248="",1000000000000000,$T248)</f>
        <v/>
      </c>
      <c r="XFB248" s="6"/>
      <c r="XFC248" s="3"/>
    </row>
    <row r="249" s="5" collapsed="false" customFormat="true" customHeight="true" hidden="false" ht="28.5" outlineLevel="0">
      <c r="A249" s="16" t="str">
        <f aca="false">IF($T249="","",1+COUNTIF($W$15:$W$894,"&lt;"&amp;W249))</f>
        <v/>
      </c>
      <c r="B249" s="16" t="s">
        <v>10</v>
      </c>
      <c r="C249" s="16" t="s">
        <v>524</v>
      </c>
      <c r="D249" s="16" t="s">
        <v>51</v>
      </c>
      <c r="E249" s="16" t="s">
        <v>26</v>
      </c>
      <c r="F249" s="16" t="s">
        <v>525</v>
      </c>
      <c r="G249" s="17">
        <v>1780</v>
      </c>
      <c r="H249" s="17"/>
      <c r="I249" s="17"/>
      <c r="J249" s="17">
        <v>1780</v>
      </c>
      <c r="K249" s="17" t="n">
        <f aca="false">IF(AND(IFERROR(SEARCH("현대오일뱅크",$C249),0)&gt;0,IFERROR(SEARCH("직영",$C249),0)&gt;0),$B$13,0)</f>
        <v/>
      </c>
      <c r="L249" s="17" t="n">
        <f aca="false">IF($G249="","",$G249+$K249)</f>
        <v/>
      </c>
      <c r="M249" s="17" t="str">
        <f aca="false">IF($H249="","",$H249+$K249)</f>
        <v/>
      </c>
      <c r="N249" s="17" t="n">
        <f aca="false">IF($J249="","",$J249+$K249)</f>
        <v/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 t="str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 t="str">
        <f aca="false">IF($P249="","",IF($Q249="Y",IFERROR(VLOOKUP($B249,$C$4:$D$13,2,FALSE()),0),0))</f>
        <v/>
      </c>
      <c r="S249" s="17" t="str">
        <f aca="false">IF($P249="","",ROUNDDOWN($P249*$R249,0))</f>
        <v/>
      </c>
      <c r="T249" s="17" t="str">
        <f aca="false">IF($P249="","",$P249-$S249)</f>
        <v/>
      </c>
      <c r="U249" s="17" t="str">
        <f aca="false">IF($T249="","",IF($B$10=0,"",$T249/$B$10))</f>
        <v/>
      </c>
      <c r="V249" s="17" t="str">
        <f aca="false">IF($P249="","",IF($B$10=0,"",$P249/$B$10))</f>
        <v/>
      </c>
      <c r="W249" s="19" t="n">
        <f aca="false">IF($T249="",1000000000000000,$T249)</f>
        <v/>
      </c>
      <c r="XFB249" s="6"/>
      <c r="XFC249" s="3"/>
    </row>
    <row r="250" s="5" collapsed="false" customFormat="true" customHeight="true" hidden="false" ht="28.5" outlineLevel="0">
      <c r="A250" s="16" t="str">
        <f aca="false">IF($T250="","",1+COUNTIF($W$15:$W$894,"&lt;"&amp;W250))</f>
        <v/>
      </c>
      <c r="B250" s="16" t="s">
        <v>6</v>
      </c>
      <c r="C250" s="16" t="s">
        <v>526</v>
      </c>
      <c r="D250" s="16" t="s">
        <v>95</v>
      </c>
      <c r="E250" s="16" t="s">
        <v>26</v>
      </c>
      <c r="F250" s="16" t="s">
        <v>527</v>
      </c>
      <c r="G250" s="17">
        <v>1781</v>
      </c>
      <c r="H250" s="17"/>
      <c r="I250" s="17"/>
      <c r="J250" s="17">
        <v>1774</v>
      </c>
      <c r="K250" s="17" t="n">
        <f aca="false">IF(AND(IFERROR(SEARCH("현대오일뱅크",$C250),0)&gt;0,IFERROR(SEARCH("직영",$C250),0)&gt;0),$B$13,0)</f>
        <v/>
      </c>
      <c r="L250" s="17" t="n">
        <f aca="false">IF($G250="","",$G250+$K250)</f>
        <v/>
      </c>
      <c r="M250" s="17" t="str">
        <f aca="false">IF($H250="","",$H250+$K250)</f>
        <v/>
      </c>
      <c r="N250" s="17" t="n">
        <f aca="false">IF($J250="","",$J250+$K250)</f>
        <v/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 t="str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 t="str">
        <f aca="false">IF($P250="","",IF($Q250="Y",IFERROR(VLOOKUP($B250,$C$4:$D$13,2,FALSE()),0),0))</f>
        <v/>
      </c>
      <c r="S250" s="17" t="str">
        <f aca="false">IF($P250="","",ROUNDDOWN($P250*$R250,0))</f>
        <v/>
      </c>
      <c r="T250" s="17" t="str">
        <f aca="false">IF($P250="","",$P250-$S250)</f>
        <v/>
      </c>
      <c r="U250" s="17" t="str">
        <f aca="false">IF($T250="","",IF($B$10=0,"",$T250/$B$10))</f>
        <v/>
      </c>
      <c r="V250" s="17" t="str">
        <f aca="false">IF($P250="","",IF($B$10=0,"",$P250/$B$10))</f>
        <v/>
      </c>
      <c r="W250" s="19" t="n">
        <f aca="false">IF($T250="",1000000000000000,$T250)</f>
        <v/>
      </c>
      <c r="XFB250" s="6"/>
      <c r="XFC250" s="3"/>
    </row>
    <row r="251" s="5" collapsed="false" customFormat="true" customHeight="true" hidden="false" ht="28.5" outlineLevel="0">
      <c r="A251" s="16" t="str">
        <f aca="false">IF($T251="","",1+COUNTIF($W$15:$W$894,"&lt;"&amp;W251))</f>
        <v/>
      </c>
      <c r="B251" s="16" t="s">
        <v>6</v>
      </c>
      <c r="C251" s="16" t="s">
        <v>588</v>
      </c>
      <c r="D251" s="16" t="s">
        <v>56</v>
      </c>
      <c r="E251" s="16" t="s">
        <v>26</v>
      </c>
      <c r="F251" s="16" t="s">
        <v>589</v>
      </c>
      <c r="G251" s="17">
        <v>1784</v>
      </c>
      <c r="H251" s="17"/>
      <c r="I251" s="17"/>
      <c r="J251" s="17">
        <v>1782</v>
      </c>
      <c r="K251" s="17" t="n">
        <f aca="false">IF(AND(IFERROR(SEARCH("현대오일뱅크",$C251),0)&gt;0,IFERROR(SEARCH("직영",$C251),0)&gt;0),$B$13,0)</f>
        <v/>
      </c>
      <c r="L251" s="17" t="n">
        <f aca="false">IF($G251="","",$G251+$K251)</f>
        <v/>
      </c>
      <c r="M251" s="17" t="str">
        <f aca="false">IF($H251="","",$H251+$K251)</f>
        <v/>
      </c>
      <c r="N251" s="17" t="n">
        <f aca="false">IF($J251="","",$J251+$K251)</f>
        <v/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 t="str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 t="str">
        <f aca="false">IF($P251="","",IF($Q251="Y",IFERROR(VLOOKUP($B251,$C$4:$D$13,2,FALSE()),0),0))</f>
        <v/>
      </c>
      <c r="S251" s="17" t="str">
        <f aca="false">IF($P251="","",ROUNDDOWN($P251*$R251,0))</f>
        <v/>
      </c>
      <c r="T251" s="17" t="str">
        <f aca="false">IF($P251="","",$P251-$S251)</f>
        <v/>
      </c>
      <c r="U251" s="17" t="str">
        <f aca="false">IF($T251="","",IF($B$10=0,"",$T251/$B$10))</f>
        <v/>
      </c>
      <c r="V251" s="17" t="str">
        <f aca="false">IF($P251="","",IF($B$10=0,"",$P251/$B$10))</f>
        <v/>
      </c>
      <c r="W251" s="19" t="n">
        <f aca="false">IF($T251="",1000000000000000,$T251)</f>
        <v/>
      </c>
      <c r="XFB251" s="6"/>
      <c r="XFC251" s="3"/>
    </row>
    <row r="252" s="5" collapsed="false" customFormat="true" customHeight="true" hidden="false" ht="28.5" outlineLevel="0">
      <c r="A252" s="16" t="str">
        <f aca="false">IF($T252="","",1+COUNTIF($W$15:$W$894,"&lt;"&amp;W252))</f>
        <v/>
      </c>
      <c r="B252" s="16" t="s">
        <v>6</v>
      </c>
      <c r="C252" s="16" t="s">
        <v>534</v>
      </c>
      <c r="D252" s="16" t="s">
        <v>296</v>
      </c>
      <c r="E252" s="16" t="s">
        <v>26</v>
      </c>
      <c r="F252" s="16" t="s">
        <v>535</v>
      </c>
      <c r="G252" s="17">
        <v>1784</v>
      </c>
      <c r="H252" s="17"/>
      <c r="I252" s="17"/>
      <c r="J252" s="17">
        <v>1783</v>
      </c>
      <c r="K252" s="17" t="n">
        <f aca="false">IF(AND(IFERROR(SEARCH("현대오일뱅크",$C252),0)&gt;0,IFERROR(SEARCH("직영",$C252),0)&gt;0),$B$13,0)</f>
        <v/>
      </c>
      <c r="L252" s="17" t="n">
        <f aca="false">IF($G252="","",$G252+$K252)</f>
        <v/>
      </c>
      <c r="M252" s="17" t="str">
        <f aca="false">IF($H252="","",$H252+$K252)</f>
        <v/>
      </c>
      <c r="N252" s="17" t="n">
        <f aca="false">IF($J252="","",$J252+$K252)</f>
        <v/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 t="str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 t="str">
        <f aca="false">IF($P252="","",IF($Q252="Y",IFERROR(VLOOKUP($B252,$C$4:$D$13,2,FALSE()),0),0))</f>
        <v/>
      </c>
      <c r="S252" s="17" t="str">
        <f aca="false">IF($P252="","",ROUNDDOWN($P252*$R252,0))</f>
        <v/>
      </c>
      <c r="T252" s="17" t="str">
        <f aca="false">IF($P252="","",$P252-$S252)</f>
        <v/>
      </c>
      <c r="U252" s="17" t="str">
        <f aca="false">IF($T252="","",IF($B$10=0,"",$T252/$B$10))</f>
        <v/>
      </c>
      <c r="V252" s="17" t="str">
        <f aca="false">IF($P252="","",IF($B$10=0,"",$P252/$B$10))</f>
        <v/>
      </c>
      <c r="W252" s="19" t="n">
        <f aca="false">IF($T252="",1000000000000000,$T252)</f>
        <v/>
      </c>
      <c r="XFB252" s="6"/>
      <c r="XFC252" s="3"/>
    </row>
    <row r="253" s="5" collapsed="false" customFormat="true" customHeight="true" hidden="false" ht="28.5" outlineLevel="0">
      <c r="A253" s="16" t="str">
        <f aca="false">IF($T253="","",1+COUNTIF($W$15:$W$894,"&lt;"&amp;W253))</f>
        <v/>
      </c>
      <c r="B253" s="16" t="s">
        <v>18</v>
      </c>
      <c r="C253" s="16" t="s">
        <v>536</v>
      </c>
      <c r="D253" s="16" t="s">
        <v>95</v>
      </c>
      <c r="E253" s="16" t="s">
        <v>26</v>
      </c>
      <c r="F253" s="16" t="s">
        <v>537</v>
      </c>
      <c r="G253" s="17">
        <v>1889</v>
      </c>
      <c r="H253" s="17"/>
      <c r="I253" s="17"/>
      <c r="J253" s="17">
        <v>1888</v>
      </c>
      <c r="K253" s="17" t="n">
        <f aca="false">IF(AND(IFERROR(SEARCH("현대오일뱅크",$C253),0)&gt;0,IFERROR(SEARCH("직영",$C253),0)&gt;0),$B$13,0)</f>
        <v/>
      </c>
      <c r="L253" s="17" t="n">
        <f aca="false">IF($G253="","",$G253+$K253)</f>
        <v/>
      </c>
      <c r="M253" s="17" t="str">
        <f aca="false">IF($H253="","",$H253+$K253)</f>
        <v/>
      </c>
      <c r="N253" s="17" t="n">
        <f aca="false">IF($J253="","",$J253+$K253)</f>
        <v/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 t="str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 t="str">
        <f aca="false">IF($P253="","",IF($Q253="Y",IFERROR(VLOOKUP($B253,$C$4:$D$13,2,FALSE()),0),0))</f>
        <v/>
      </c>
      <c r="S253" s="17" t="str">
        <f aca="false">IF($P253="","",ROUNDDOWN($P253*$R253,0))</f>
        <v/>
      </c>
      <c r="T253" s="17" t="str">
        <f aca="false">IF($P253="","",$P253-$S253)</f>
        <v/>
      </c>
      <c r="U253" s="17" t="str">
        <f aca="false">IF($T253="","",IF($B$10=0,"",$T253/$B$10))</f>
        <v/>
      </c>
      <c r="V253" s="17" t="str">
        <f aca="false">IF($P253="","",IF($B$10=0,"",$P253/$B$10))</f>
        <v/>
      </c>
      <c r="W253" s="19" t="n">
        <f aca="false">IF($T253="",1000000000000000,$T253)</f>
        <v/>
      </c>
      <c r="XFB253" s="6"/>
      <c r="XFC253" s="3"/>
    </row>
    <row r="254" s="5" collapsed="false" customFormat="true" customHeight="true" hidden="false" ht="28.5" outlineLevel="0">
      <c r="A254" s="16" t="str">
        <f aca="false">IF($T254="","",1+COUNTIF($W$15:$W$894,"&lt;"&amp;W254))</f>
        <v/>
      </c>
      <c r="B254" s="16" t="s">
        <v>6</v>
      </c>
      <c r="C254" s="16" t="s">
        <v>145</v>
      </c>
      <c r="D254" s="16" t="s">
        <v>56</v>
      </c>
      <c r="E254" s="16" t="s">
        <v>26</v>
      </c>
      <c r="F254" s="16" t="s">
        <v>538</v>
      </c>
      <c r="G254" s="17">
        <v>1785</v>
      </c>
      <c r="H254" s="17"/>
      <c r="I254" s="17"/>
      <c r="J254" s="17">
        <v>1785</v>
      </c>
      <c r="K254" s="17" t="n">
        <f aca="false">IF(AND(IFERROR(SEARCH("현대오일뱅크",$C254),0)&gt;0,IFERROR(SEARCH("직영",$C254),0)&gt;0),$B$13,0)</f>
        <v/>
      </c>
      <c r="L254" s="17" t="n">
        <f aca="false">IF($G254="","",$G254+$K254)</f>
        <v/>
      </c>
      <c r="M254" s="17" t="str">
        <f aca="false">IF($H254="","",$H254+$K254)</f>
        <v/>
      </c>
      <c r="N254" s="17" t="n">
        <f aca="false">IF($J254="","",$J254+$K254)</f>
        <v/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 t="str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 t="str">
        <f aca="false">IF($P254="","",IF($Q254="Y",IFERROR(VLOOKUP($B254,$C$4:$D$13,2,FALSE()),0),0))</f>
        <v/>
      </c>
      <c r="S254" s="17" t="str">
        <f aca="false">IF($P254="","",ROUNDDOWN($P254*$R254,0))</f>
        <v/>
      </c>
      <c r="T254" s="17" t="str">
        <f aca="false">IF($P254="","",$P254-$S254)</f>
        <v/>
      </c>
      <c r="U254" s="17" t="str">
        <f aca="false">IF($T254="","",IF($B$10=0,"",$T254/$B$10))</f>
        <v/>
      </c>
      <c r="V254" s="17" t="str">
        <f aca="false">IF($P254="","",IF($B$10=0,"",$P254/$B$10))</f>
        <v/>
      </c>
      <c r="W254" s="19" t="n">
        <f aca="false">IF($T254="",1000000000000000,$T254)</f>
        <v/>
      </c>
      <c r="XFB254" s="6"/>
      <c r="XFC254" s="3"/>
    </row>
    <row r="255" s="5" collapsed="false" customFormat="true" customHeight="true" hidden="false" ht="28.5" outlineLevel="0">
      <c r="A255" s="16" t="str">
        <f aca="false">IF($T255="","",1+COUNTIF($W$15:$W$894,"&lt;"&amp;W255))</f>
        <v/>
      </c>
      <c r="B255" s="16" t="s">
        <v>6</v>
      </c>
      <c r="C255" s="16" t="s">
        <v>539</v>
      </c>
      <c r="D255" s="16" t="s">
        <v>45</v>
      </c>
      <c r="E255" s="16" t="s">
        <v>26</v>
      </c>
      <c r="F255" s="16" t="s">
        <v>540</v>
      </c>
      <c r="G255" s="17">
        <v>1785</v>
      </c>
      <c r="H255" s="17"/>
      <c r="I255" s="17"/>
      <c r="J255" s="17">
        <v>1785</v>
      </c>
      <c r="K255" s="17" t="n">
        <f aca="false">IF(AND(IFERROR(SEARCH("현대오일뱅크",$C255),0)&gt;0,IFERROR(SEARCH("직영",$C255),0)&gt;0),$B$13,0)</f>
        <v/>
      </c>
      <c r="L255" s="17" t="n">
        <f aca="false">IF($G255="","",$G255+$K255)</f>
        <v/>
      </c>
      <c r="M255" s="17" t="str">
        <f aca="false">IF($H255="","",$H255+$K255)</f>
        <v/>
      </c>
      <c r="N255" s="17" t="n">
        <f aca="false">IF($J255="","",$J255+$K255)</f>
        <v/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 t="str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 t="str">
        <f aca="false">IF($P255="","",IF($Q255="Y",IFERROR(VLOOKUP($B255,$C$4:$D$13,2,FALSE()),0),0))</f>
        <v/>
      </c>
      <c r="S255" s="17" t="str">
        <f aca="false">IF($P255="","",ROUNDDOWN($P255*$R255,0))</f>
        <v/>
      </c>
      <c r="T255" s="17" t="str">
        <f aca="false">IF($P255="","",$P255-$S255)</f>
        <v/>
      </c>
      <c r="U255" s="17" t="str">
        <f aca="false">IF($T255="","",IF($B$10=0,"",$T255/$B$10))</f>
        <v/>
      </c>
      <c r="V255" s="17" t="str">
        <f aca="false">IF($P255="","",IF($B$10=0,"",$P255/$B$10))</f>
        <v/>
      </c>
      <c r="W255" s="19" t="n">
        <f aca="false">IF($T255="",1000000000000000,$T255)</f>
        <v/>
      </c>
      <c r="XFB255" s="6"/>
      <c r="XFC255" s="3"/>
    </row>
    <row r="256" s="5" collapsed="false" customFormat="true" customHeight="true" hidden="false" ht="28.5" outlineLevel="0">
      <c r="A256" s="16" t="str">
        <f aca="false">IF($T256="","",1+COUNTIF($W$15:$W$894,"&lt;"&amp;W256))</f>
        <v/>
      </c>
      <c r="B256" s="16" t="s">
        <v>6</v>
      </c>
      <c r="C256" s="16" t="s">
        <v>541</v>
      </c>
      <c r="D256" s="16" t="s">
        <v>95</v>
      </c>
      <c r="E256" s="16" t="s">
        <v>26</v>
      </c>
      <c r="F256" s="16" t="s">
        <v>542</v>
      </c>
      <c r="G256" s="17">
        <v>1785</v>
      </c>
      <c r="H256" s="17"/>
      <c r="I256" s="17"/>
      <c r="J256" s="17">
        <v>1785</v>
      </c>
      <c r="K256" s="17" t="n">
        <f aca="false">IF(AND(IFERROR(SEARCH("현대오일뱅크",$C256),0)&gt;0,IFERROR(SEARCH("직영",$C256),0)&gt;0),$B$13,0)</f>
        <v/>
      </c>
      <c r="L256" s="17" t="n">
        <f aca="false">IF($G256="","",$G256+$K256)</f>
        <v/>
      </c>
      <c r="M256" s="17" t="str">
        <f aca="false">IF($H256="","",$H256+$K256)</f>
        <v/>
      </c>
      <c r="N256" s="17" t="n">
        <f aca="false">IF($J256="","",$J256+$K256)</f>
        <v/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 t="str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 t="str">
        <f aca="false">IF($P256="","",IF($Q256="Y",IFERROR(VLOOKUP($B256,$C$4:$D$13,2,FALSE()),0),0))</f>
        <v/>
      </c>
      <c r="S256" s="17" t="str">
        <f aca="false">IF($P256="","",ROUNDDOWN($P256*$R256,0))</f>
        <v/>
      </c>
      <c r="T256" s="17" t="str">
        <f aca="false">IF($P256="","",$P256-$S256)</f>
        <v/>
      </c>
      <c r="U256" s="17" t="str">
        <f aca="false">IF($T256="","",IF($B$10=0,"",$T256/$B$10))</f>
        <v/>
      </c>
      <c r="V256" s="17" t="str">
        <f aca="false">IF($P256="","",IF($B$10=0,"",$P256/$B$10))</f>
        <v/>
      </c>
      <c r="W256" s="19" t="n">
        <f aca="false">IF($T256="",1000000000000000,$T256)</f>
        <v/>
      </c>
      <c r="XFB256" s="6"/>
      <c r="XFC256" s="3"/>
    </row>
    <row r="257" s="5" collapsed="false" customFormat="true" customHeight="true" hidden="false" ht="28.5" outlineLevel="0">
      <c r="A257" s="16" t="str">
        <f aca="false">IF($T257="","",1+COUNTIF($W$15:$W$894,"&lt;"&amp;W257))</f>
        <v/>
      </c>
      <c r="B257" s="16" t="s">
        <v>6</v>
      </c>
      <c r="C257" s="16" t="s">
        <v>543</v>
      </c>
      <c r="D257" s="16" t="s">
        <v>51</v>
      </c>
      <c r="E257" s="16" t="s">
        <v>26</v>
      </c>
      <c r="F257" s="16" t="s">
        <v>544</v>
      </c>
      <c r="G257" s="17">
        <v>1785</v>
      </c>
      <c r="H257" s="17"/>
      <c r="I257" s="17"/>
      <c r="J257" s="17">
        <v>1785</v>
      </c>
      <c r="K257" s="17" t="n">
        <f aca="false">IF(AND(IFERROR(SEARCH("현대오일뱅크",$C257),0)&gt;0,IFERROR(SEARCH("직영",$C257),0)&gt;0),$B$13,0)</f>
        <v/>
      </c>
      <c r="L257" s="17" t="n">
        <f aca="false">IF($G257="","",$G257+$K257)</f>
        <v/>
      </c>
      <c r="M257" s="17" t="str">
        <f aca="false">IF($H257="","",$H257+$K257)</f>
        <v/>
      </c>
      <c r="N257" s="17" t="n">
        <f aca="false">IF($J257="","",$J257+$K257)</f>
        <v/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 t="str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 t="str">
        <f aca="false">IF($P257="","",IF($Q257="Y",IFERROR(VLOOKUP($B257,$C$4:$D$13,2,FALSE()),0),0))</f>
        <v/>
      </c>
      <c r="S257" s="17" t="str">
        <f aca="false">IF($P257="","",ROUNDDOWN($P257*$R257,0))</f>
        <v/>
      </c>
      <c r="T257" s="17" t="str">
        <f aca="false">IF($P257="","",$P257-$S257)</f>
        <v/>
      </c>
      <c r="U257" s="17" t="str">
        <f aca="false">IF($T257="","",IF($B$10=0,"",$T257/$B$10))</f>
        <v/>
      </c>
      <c r="V257" s="17" t="str">
        <f aca="false">IF($P257="","",IF($B$10=0,"",$P257/$B$10))</f>
        <v/>
      </c>
      <c r="W257" s="19" t="n">
        <f aca="false">IF($T257="",1000000000000000,$T257)</f>
        <v/>
      </c>
      <c r="XFB257" s="6"/>
      <c r="XFC257" s="3"/>
    </row>
    <row r="258" s="5" collapsed="false" customFormat="true" customHeight="true" hidden="false" ht="28.5" outlineLevel="0">
      <c r="A258" s="16" t="str">
        <f aca="false">IF($T258="","",1+COUNTIF($W$15:$W$894,"&lt;"&amp;W258))</f>
        <v/>
      </c>
      <c r="B258" s="16" t="s">
        <v>6</v>
      </c>
      <c r="C258" s="16" t="s">
        <v>545</v>
      </c>
      <c r="D258" s="16" t="s">
        <v>95</v>
      </c>
      <c r="E258" s="16" t="s">
        <v>26</v>
      </c>
      <c r="F258" s="16" t="s">
        <v>546</v>
      </c>
      <c r="G258" s="17">
        <v>1785</v>
      </c>
      <c r="H258" s="17"/>
      <c r="I258" s="17"/>
      <c r="J258" s="17">
        <v>1788</v>
      </c>
      <c r="K258" s="17" t="n">
        <f aca="false">IF(AND(IFERROR(SEARCH("현대오일뱅크",$C258),0)&gt;0,IFERROR(SEARCH("직영",$C258),0)&gt;0),$B$13,0)</f>
        <v/>
      </c>
      <c r="L258" s="17" t="n">
        <f aca="false">IF($G258="","",$G258+$K258)</f>
        <v/>
      </c>
      <c r="M258" s="17" t="str">
        <f aca="false">IF($H258="","",$H258+$K258)</f>
        <v/>
      </c>
      <c r="N258" s="17" t="n">
        <f aca="false">IF($J258="","",$J258+$K258)</f>
        <v/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 t="str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 t="str">
        <f aca="false">IF($P258="","",IF($Q258="Y",IFERROR(VLOOKUP($B258,$C$4:$D$13,2,FALSE()),0),0))</f>
        <v/>
      </c>
      <c r="S258" s="17" t="str">
        <f aca="false">IF($P258="","",ROUNDDOWN($P258*$R258,0))</f>
        <v/>
      </c>
      <c r="T258" s="17" t="str">
        <f aca="false">IF($P258="","",$P258-$S258)</f>
        <v/>
      </c>
      <c r="U258" s="17" t="str">
        <f aca="false">IF($T258="","",IF($B$10=0,"",$T258/$B$10))</f>
        <v/>
      </c>
      <c r="V258" s="17" t="str">
        <f aca="false">IF($P258="","",IF($B$10=0,"",$P258/$B$10))</f>
        <v/>
      </c>
      <c r="W258" s="19" t="n">
        <f aca="false">IF($T258="",1000000000000000,$T258)</f>
        <v/>
      </c>
      <c r="XFB258" s="6"/>
      <c r="XFC258" s="3"/>
    </row>
    <row r="259" s="5" collapsed="false" customFormat="true" customHeight="true" hidden="false" ht="28.5" outlineLevel="0">
      <c r="A259" s="16" t="str">
        <f aca="false">IF($T259="","",1+COUNTIF($W$15:$W$894,"&lt;"&amp;W259))</f>
        <v/>
      </c>
      <c r="B259" s="16" t="s">
        <v>10</v>
      </c>
      <c r="C259" s="16" t="s">
        <v>472</v>
      </c>
      <c r="D259" s="16" t="s">
        <v>95</v>
      </c>
      <c r="E259" s="16" t="s">
        <v>26</v>
      </c>
      <c r="F259" s="16" t="s">
        <v>473</v>
      </c>
      <c r="G259" s="17">
        <v>1785</v>
      </c>
      <c r="H259" s="17"/>
      <c r="I259" s="17"/>
      <c r="J259" s="17">
        <v>1795</v>
      </c>
      <c r="K259" s="17" t="n">
        <f aca="false">IF(AND(IFERROR(SEARCH("현대오일뱅크",$C259),0)&gt;0,IFERROR(SEARCH("직영",$C259),0)&gt;0),$B$13,0)</f>
        <v/>
      </c>
      <c r="L259" s="17" t="n">
        <f aca="false">IF($G259="","",$G259+$K259)</f>
        <v/>
      </c>
      <c r="M259" s="17" t="str">
        <f aca="false">IF($H259="","",$H259+$K259)</f>
        <v/>
      </c>
      <c r="N259" s="17" t="n">
        <f aca="false">IF($J259="","",$J259+$K259)</f>
        <v/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 t="str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 t="str">
        <f aca="false">IF($P259="","",IF($Q259="Y",IFERROR(VLOOKUP($B259,$C$4:$D$13,2,FALSE()),0),0))</f>
        <v/>
      </c>
      <c r="S259" s="17" t="str">
        <f aca="false">IF($P259="","",ROUNDDOWN($P259*$R259,0))</f>
        <v/>
      </c>
      <c r="T259" s="17" t="str">
        <f aca="false">IF($P259="","",$P259-$S259)</f>
        <v/>
      </c>
      <c r="U259" s="17" t="str">
        <f aca="false">IF($T259="","",IF($B$10=0,"",$T259/$B$10))</f>
        <v/>
      </c>
      <c r="V259" s="17" t="str">
        <f aca="false">IF($P259="","",IF($B$10=0,"",$P259/$B$10))</f>
        <v/>
      </c>
      <c r="W259" s="19" t="n">
        <f aca="false">IF($T259="",1000000000000000,$T259)</f>
        <v/>
      </c>
      <c r="XFB259" s="6"/>
      <c r="XFC259" s="3"/>
    </row>
    <row r="260" s="5" collapsed="false" customFormat="true" customHeight="true" hidden="false" ht="28.5" outlineLevel="0">
      <c r="A260" s="16" t="str">
        <f aca="false">IF($T260="","",1+COUNTIF($W$15:$W$894,"&lt;"&amp;W260))</f>
        <v/>
      </c>
      <c r="B260" s="16" t="s">
        <v>16</v>
      </c>
      <c r="C260" s="16" t="s">
        <v>547</v>
      </c>
      <c r="D260" s="16" t="s">
        <v>45</v>
      </c>
      <c r="E260" s="16" t="s">
        <v>26</v>
      </c>
      <c r="F260" s="16" t="s">
        <v>548</v>
      </c>
      <c r="G260" s="17">
        <v>1827</v>
      </c>
      <c r="H260" s="17"/>
      <c r="I260" s="17"/>
      <c r="J260" s="17">
        <v>1827</v>
      </c>
      <c r="K260" s="17" t="n">
        <f aca="false">IF(AND(IFERROR(SEARCH("현대오일뱅크",$C260),0)&gt;0,IFERROR(SEARCH("직영",$C260),0)&gt;0),$B$13,0)</f>
        <v/>
      </c>
      <c r="L260" s="17" t="n">
        <f aca="false">IF($G260="","",$G260+$K260)</f>
        <v/>
      </c>
      <c r="M260" s="17" t="str">
        <f aca="false">IF($H260="","",$H260+$K260)</f>
        <v/>
      </c>
      <c r="N260" s="17" t="n">
        <f aca="false">IF($J260="","",$J260+$K260)</f>
        <v/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 t="str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 t="str">
        <f aca="false">IF($P260="","",IF($Q260="Y",IFERROR(VLOOKUP($B260,$C$4:$D$13,2,FALSE()),0),0))</f>
        <v/>
      </c>
      <c r="S260" s="17" t="str">
        <f aca="false">IF($P260="","",ROUNDDOWN($P260*$R260,0))</f>
        <v/>
      </c>
      <c r="T260" s="17" t="str">
        <f aca="false">IF($P260="","",$P260-$S260)</f>
        <v/>
      </c>
      <c r="U260" s="17" t="str">
        <f aca="false">IF($T260="","",IF($B$10=0,"",$T260/$B$10))</f>
        <v/>
      </c>
      <c r="V260" s="17" t="str">
        <f aca="false">IF($P260="","",IF($B$10=0,"",$P260/$B$10))</f>
        <v/>
      </c>
      <c r="W260" s="19" t="n">
        <f aca="false">IF($T260="",1000000000000000,$T260)</f>
        <v/>
      </c>
      <c r="XFB260" s="6"/>
      <c r="XFC260" s="3"/>
    </row>
    <row r="261" s="5" collapsed="false" customFormat="true" customHeight="true" hidden="false" ht="28.5" outlineLevel="0">
      <c r="A261" s="16" t="str">
        <f aca="false">IF($T261="","",1+COUNTIF($W$15:$W$894,"&lt;"&amp;W261))</f>
        <v/>
      </c>
      <c r="B261" s="16" t="s">
        <v>6</v>
      </c>
      <c r="C261" s="16" t="s">
        <v>549</v>
      </c>
      <c r="D261" s="16" t="s">
        <v>45</v>
      </c>
      <c r="E261" s="16" t="s">
        <v>26</v>
      </c>
      <c r="F261" s="16" t="s">
        <v>550</v>
      </c>
      <c r="G261" s="17">
        <v>1787</v>
      </c>
      <c r="H261" s="17"/>
      <c r="I261" s="17"/>
      <c r="J261" s="17">
        <v>1783</v>
      </c>
      <c r="K261" s="17" t="n">
        <f aca="false">IF(AND(IFERROR(SEARCH("현대오일뱅크",$C261),0)&gt;0,IFERROR(SEARCH("직영",$C261),0)&gt;0),$B$13,0)</f>
        <v/>
      </c>
      <c r="L261" s="17" t="n">
        <f aca="false">IF($G261="","",$G261+$K261)</f>
        <v/>
      </c>
      <c r="M261" s="17" t="str">
        <f aca="false">IF($H261="","",$H261+$K261)</f>
        <v/>
      </c>
      <c r="N261" s="17" t="n">
        <f aca="false">IF($J261="","",$J261+$K261)</f>
        <v/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 t="str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 t="str">
        <f aca="false">IF($P261="","",IF($Q261="Y",IFERROR(VLOOKUP($B261,$C$4:$D$13,2,FALSE()),0),0))</f>
        <v/>
      </c>
      <c r="S261" s="17" t="str">
        <f aca="false">IF($P261="","",ROUNDDOWN($P261*$R261,0))</f>
        <v/>
      </c>
      <c r="T261" s="17" t="str">
        <f aca="false">IF($P261="","",$P261-$S261)</f>
        <v/>
      </c>
      <c r="U261" s="17" t="str">
        <f aca="false">IF($T261="","",IF($B$10=0,"",$T261/$B$10))</f>
        <v/>
      </c>
      <c r="V261" s="17" t="str">
        <f aca="false">IF($P261="","",IF($B$10=0,"",$P261/$B$10))</f>
        <v/>
      </c>
      <c r="W261" s="19" t="n">
        <f aca="false">IF($T261="",1000000000000000,$T261)</f>
        <v/>
      </c>
      <c r="XFB261" s="6"/>
      <c r="XFC261" s="3"/>
    </row>
    <row r="262" s="5" collapsed="false" customFormat="true" customHeight="true" hidden="false" ht="28.5" outlineLevel="0">
      <c r="A262" s="16" t="str">
        <f aca="false">IF($T262="","",1+COUNTIF($W$15:$W$894,"&lt;"&amp;W262))</f>
        <v/>
      </c>
      <c r="B262" s="16" t="s">
        <v>6</v>
      </c>
      <c r="C262" s="16" t="s">
        <v>551</v>
      </c>
      <c r="D262" s="20" t="s">
        <v>86</v>
      </c>
      <c r="E262" s="16" t="s">
        <v>26</v>
      </c>
      <c r="F262" s="16" t="s">
        <v>552</v>
      </c>
      <c r="G262" s="17">
        <v>1787</v>
      </c>
      <c r="H262" s="17"/>
      <c r="I262" s="17"/>
      <c r="J262" s="17">
        <v>1787</v>
      </c>
      <c r="K262" s="17" t="n">
        <f aca="false">IF(AND(IFERROR(SEARCH("현대오일뱅크",$C262),0)&gt;0,IFERROR(SEARCH("직영",$C262),0)&gt;0),$B$13,0)</f>
        <v/>
      </c>
      <c r="L262" s="17" t="n">
        <f aca="false">IF($G262="","",$G262+$K262)</f>
        <v/>
      </c>
      <c r="M262" s="17" t="str">
        <f aca="false">IF($H262="","",$H262+$K262)</f>
        <v/>
      </c>
      <c r="N262" s="17" t="n">
        <f aca="false">IF($J262="","",$J262+$K262)</f>
        <v/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 t="str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 t="str">
        <f aca="false">IF($P262="","",IF($Q262="Y",IFERROR(VLOOKUP($B262,$C$4:$D$13,2,FALSE()),0),0))</f>
        <v/>
      </c>
      <c r="S262" s="17" t="str">
        <f aca="false">IF($P262="","",ROUNDDOWN($P262*$R262,0))</f>
        <v/>
      </c>
      <c r="T262" s="17" t="str">
        <f aca="false">IF($P262="","",$P262-$S262)</f>
        <v/>
      </c>
      <c r="U262" s="17" t="str">
        <f aca="false">IF($T262="","",IF($B$10=0,"",$T262/$B$10))</f>
        <v/>
      </c>
      <c r="V262" s="17" t="str">
        <f aca="false">IF($P262="","",IF($B$10=0,"",$P262/$B$10))</f>
        <v/>
      </c>
      <c r="W262" s="19" t="n">
        <f aca="false">IF($T262="",1000000000000000,$T262)</f>
        <v/>
      </c>
      <c r="XFB262" s="6"/>
      <c r="XFC262" s="3"/>
    </row>
    <row r="263" s="5" collapsed="false" customFormat="true" customHeight="true" hidden="false" ht="28.5" outlineLevel="0">
      <c r="A263" s="16" t="str">
        <f aca="false">IF($T263="","",1+COUNTIF($W$15:$W$894,"&lt;"&amp;W263))</f>
        <v/>
      </c>
      <c r="B263" s="16" t="s">
        <v>6</v>
      </c>
      <c r="C263" s="16" t="s">
        <v>553</v>
      </c>
      <c r="D263" s="16" t="s">
        <v>56</v>
      </c>
      <c r="E263" s="16" t="s">
        <v>26</v>
      </c>
      <c r="F263" s="16" t="s">
        <v>554</v>
      </c>
      <c r="G263" s="17">
        <v>1787</v>
      </c>
      <c r="H263" s="17"/>
      <c r="I263" s="17"/>
      <c r="J263" s="17">
        <v>1787</v>
      </c>
      <c r="K263" s="17" t="n">
        <f aca="false">IF(AND(IFERROR(SEARCH("현대오일뱅크",$C263),0)&gt;0,IFERROR(SEARCH("직영",$C263),0)&gt;0),$B$13,0)</f>
        <v/>
      </c>
      <c r="L263" s="17" t="n">
        <f aca="false">IF($G263="","",$G263+$K263)</f>
        <v/>
      </c>
      <c r="M263" s="17" t="str">
        <f aca="false">IF($H263="","",$H263+$K263)</f>
        <v/>
      </c>
      <c r="N263" s="17" t="n">
        <f aca="false">IF($J263="","",$J263+$K263)</f>
        <v/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 t="str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 t="str">
        <f aca="false">IF($P263="","",IF($Q263="Y",IFERROR(VLOOKUP($B263,$C$4:$D$13,2,FALSE()),0),0))</f>
        <v/>
      </c>
      <c r="S263" s="17" t="str">
        <f aca="false">IF($P263="","",ROUNDDOWN($P263*$R263,0))</f>
        <v/>
      </c>
      <c r="T263" s="17" t="str">
        <f aca="false">IF($P263="","",$P263-$S263)</f>
        <v/>
      </c>
      <c r="U263" s="17" t="str">
        <f aca="false">IF($T263="","",IF($B$10=0,"",$T263/$B$10))</f>
        <v/>
      </c>
      <c r="V263" s="17" t="str">
        <f aca="false">IF($P263="","",IF($B$10=0,"",$P263/$B$10))</f>
        <v/>
      </c>
      <c r="W263" s="19" t="n">
        <f aca="false">IF($T263="",1000000000000000,$T263)</f>
        <v/>
      </c>
      <c r="XFB263" s="6"/>
      <c r="XFC263" s="3"/>
    </row>
    <row r="264" s="5" collapsed="false" customFormat="true" customHeight="true" hidden="false" ht="28.5" outlineLevel="0">
      <c r="A264" s="16" t="str">
        <f aca="false">IF($T264="","",1+COUNTIF($W$15:$W$894,"&lt;"&amp;W264))</f>
        <v/>
      </c>
      <c r="B264" s="16" t="s">
        <v>6</v>
      </c>
      <c r="C264" s="16" t="s">
        <v>555</v>
      </c>
      <c r="D264" s="16" t="s">
        <v>45</v>
      </c>
      <c r="E264" s="16" t="s">
        <v>26</v>
      </c>
      <c r="F264" s="16" t="s">
        <v>556</v>
      </c>
      <c r="G264" s="17">
        <v>1787</v>
      </c>
      <c r="H264" s="17"/>
      <c r="I264" s="17"/>
      <c r="J264" s="17">
        <v>1787</v>
      </c>
      <c r="K264" s="17" t="n">
        <f aca="false">IF(AND(IFERROR(SEARCH("현대오일뱅크",$C264),0)&gt;0,IFERROR(SEARCH("직영",$C264),0)&gt;0),$B$13,0)</f>
        <v/>
      </c>
      <c r="L264" s="17" t="n">
        <f aca="false">IF($G264="","",$G264+$K264)</f>
        <v/>
      </c>
      <c r="M264" s="17" t="str">
        <f aca="false">IF($H264="","",$H264+$K264)</f>
        <v/>
      </c>
      <c r="N264" s="17" t="n">
        <f aca="false">IF($J264="","",$J264+$K264)</f>
        <v/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 t="str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 t="str">
        <f aca="false">IF($P264="","",IF($Q264="Y",IFERROR(VLOOKUP($B264,$C$4:$D$13,2,FALSE()),0),0))</f>
        <v/>
      </c>
      <c r="S264" s="17" t="str">
        <f aca="false">IF($P264="","",ROUNDDOWN($P264*$R264,0))</f>
        <v/>
      </c>
      <c r="T264" s="17" t="str">
        <f aca="false">IF($P264="","",$P264-$S264)</f>
        <v/>
      </c>
      <c r="U264" s="17" t="str">
        <f aca="false">IF($T264="","",IF($B$10=0,"",$T264/$B$10))</f>
        <v/>
      </c>
      <c r="V264" s="17" t="str">
        <f aca="false">IF($P264="","",IF($B$10=0,"",$P264/$B$10))</f>
        <v/>
      </c>
      <c r="W264" s="19" t="n">
        <f aca="false">IF($T264="",1000000000000000,$T264)</f>
        <v/>
      </c>
      <c r="XFB264" s="6"/>
      <c r="XFC264" s="3"/>
    </row>
    <row r="265" s="5" collapsed="false" customFormat="true" customHeight="true" hidden="false" ht="28.5" outlineLevel="0">
      <c r="A265" s="16" t="str">
        <f aca="false">IF($T265="","",1+COUNTIF($W$15:$W$894,"&lt;"&amp;W265))</f>
        <v/>
      </c>
      <c r="B265" s="16" t="s">
        <v>6</v>
      </c>
      <c r="C265" s="16" t="s">
        <v>557</v>
      </c>
      <c r="D265" s="20" t="s">
        <v>86</v>
      </c>
      <c r="E265" s="16" t="s">
        <v>26</v>
      </c>
      <c r="F265" s="16" t="s">
        <v>558</v>
      </c>
      <c r="G265" s="17">
        <v>1787</v>
      </c>
      <c r="H265" s="17"/>
      <c r="I265" s="17"/>
      <c r="J265" s="17">
        <v>1787</v>
      </c>
      <c r="K265" s="17" t="n">
        <f aca="false">IF(AND(IFERROR(SEARCH("현대오일뱅크",$C265),0)&gt;0,IFERROR(SEARCH("직영",$C265),0)&gt;0),$B$13,0)</f>
        <v/>
      </c>
      <c r="L265" s="17" t="n">
        <f aca="false">IF($G265="","",$G265+$K265)</f>
        <v/>
      </c>
      <c r="M265" s="17" t="str">
        <f aca="false">IF($H265="","",$H265+$K265)</f>
        <v/>
      </c>
      <c r="N265" s="17" t="n">
        <f aca="false">IF($J265="","",$J265+$K265)</f>
        <v/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 t="str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 t="str">
        <f aca="false">IF($P265="","",IF($Q265="Y",IFERROR(VLOOKUP($B265,$C$4:$D$13,2,FALSE()),0),0))</f>
        <v/>
      </c>
      <c r="S265" s="17" t="str">
        <f aca="false">IF($P265="","",ROUNDDOWN($P265*$R265,0))</f>
        <v/>
      </c>
      <c r="T265" s="17" t="str">
        <f aca="false">IF($P265="","",$P265-$S265)</f>
        <v/>
      </c>
      <c r="U265" s="17" t="str">
        <f aca="false">IF($T265="","",IF($B$10=0,"",$T265/$B$10))</f>
        <v/>
      </c>
      <c r="V265" s="17" t="str">
        <f aca="false">IF($P265="","",IF($B$10=0,"",$P265/$B$10))</f>
        <v/>
      </c>
      <c r="W265" s="19" t="n">
        <f aca="false">IF($T265="",1000000000000000,$T265)</f>
        <v/>
      </c>
      <c r="XFB265" s="6"/>
      <c r="XFC265" s="3"/>
    </row>
    <row r="266" s="5" collapsed="false" customFormat="true" customHeight="true" hidden="false" ht="28.5" outlineLevel="0">
      <c r="A266" s="16" t="str">
        <f aca="false">IF($T266="","",1+COUNTIF($W$15:$W$894,"&lt;"&amp;W266))</f>
        <v/>
      </c>
      <c r="B266" s="16" t="s">
        <v>6</v>
      </c>
      <c r="C266" s="16" t="s">
        <v>485</v>
      </c>
      <c r="D266" s="16" t="s">
        <v>45</v>
      </c>
      <c r="E266" s="16" t="s">
        <v>26</v>
      </c>
      <c r="F266" s="16" t="s">
        <v>486</v>
      </c>
      <c r="G266" s="17">
        <v>1788</v>
      </c>
      <c r="H266" s="17"/>
      <c r="I266" s="17"/>
      <c r="J266" s="17">
        <v>1788</v>
      </c>
      <c r="K266" s="17" t="n">
        <f aca="false">IF(AND(IFERROR(SEARCH("현대오일뱅크",$C266),0)&gt;0,IFERROR(SEARCH("직영",$C266),0)&gt;0),$B$13,0)</f>
        <v/>
      </c>
      <c r="L266" s="17" t="n">
        <f aca="false">IF($G266="","",$G266+$K266)</f>
        <v/>
      </c>
      <c r="M266" s="17" t="str">
        <f aca="false">IF($H266="","",$H266+$K266)</f>
        <v/>
      </c>
      <c r="N266" s="17" t="n">
        <f aca="false">IF($J266="","",$J266+$K266)</f>
        <v/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 t="str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 t="str">
        <f aca="false">IF($P266="","",IF($Q266="Y",IFERROR(VLOOKUP($B266,$C$4:$D$13,2,FALSE()),0),0))</f>
        <v/>
      </c>
      <c r="S266" s="17" t="str">
        <f aca="false">IF($P266="","",ROUNDDOWN($P266*$R266,0))</f>
        <v/>
      </c>
      <c r="T266" s="17" t="str">
        <f aca="false">IF($P266="","",$P266-$S266)</f>
        <v/>
      </c>
      <c r="U266" s="17" t="str">
        <f aca="false">IF($T266="","",IF($B$10=0,"",$T266/$B$10))</f>
        <v/>
      </c>
      <c r="V266" s="17" t="str">
        <f aca="false">IF($P266="","",IF($B$10=0,"",$P266/$B$10))</f>
        <v/>
      </c>
      <c r="W266" s="19" t="n">
        <f aca="false">IF($T266="",1000000000000000,$T266)</f>
        <v/>
      </c>
      <c r="XFB266" s="6"/>
      <c r="XFC266" s="3"/>
    </row>
    <row r="267" s="5" collapsed="false" customFormat="true" customHeight="true" hidden="false" ht="28.5" outlineLevel="0">
      <c r="A267" s="16" t="str">
        <f aca="false">IF($T267="","",1+COUNTIF($W$15:$W$894,"&lt;"&amp;W267))</f>
        <v/>
      </c>
      <c r="B267" s="16" t="s">
        <v>16</v>
      </c>
      <c r="C267" s="16" t="s">
        <v>514</v>
      </c>
      <c r="D267" s="16" t="s">
        <v>51</v>
      </c>
      <c r="E267" s="16" t="s">
        <v>63</v>
      </c>
      <c r="F267" s="16" t="s">
        <v>561</v>
      </c>
      <c r="G267" s="17">
        <v>1829</v>
      </c>
      <c r="H267" s="17"/>
      <c r="I267" s="17"/>
      <c r="J267" s="17">
        <v>1829</v>
      </c>
      <c r="K267" s="17" t="n">
        <f aca="false">IF(AND(IFERROR(SEARCH("현대오일뱅크",$C267),0)&gt;0,IFERROR(SEARCH("직영",$C267),0)&gt;0),$B$13,0)</f>
        <v/>
      </c>
      <c r="L267" s="17" t="n">
        <f aca="false">IF($G267="","",$G267+$K267)</f>
        <v/>
      </c>
      <c r="M267" s="17" t="str">
        <f aca="false">IF($H267="","",$H267+$K267)</f>
        <v/>
      </c>
      <c r="N267" s="17" t="n">
        <f aca="false">IF($J267="","",$J267+$K267)</f>
        <v/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 t="str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 t="str">
        <f aca="false">IF($P267="","",IF($Q267="Y",IFERROR(VLOOKUP($B267,$C$4:$D$13,2,FALSE()),0),0))</f>
        <v/>
      </c>
      <c r="S267" s="17" t="str">
        <f aca="false">IF($P267="","",ROUNDDOWN($P267*$R267,0))</f>
        <v/>
      </c>
      <c r="T267" s="17" t="str">
        <f aca="false">IF($P267="","",$P267-$S267)</f>
        <v/>
      </c>
      <c r="U267" s="17" t="str">
        <f aca="false">IF($T267="","",IF($B$10=0,"",$T267/$B$10))</f>
        <v/>
      </c>
      <c r="V267" s="17" t="str">
        <f aca="false">IF($P267="","",IF($B$10=0,"",$P267/$B$10))</f>
        <v/>
      </c>
      <c r="W267" s="19" t="n">
        <f aca="false">IF($T267="",1000000000000000,$T267)</f>
        <v/>
      </c>
      <c r="XFB267" s="6"/>
      <c r="XFC267" s="3"/>
    </row>
    <row r="268" s="5" collapsed="false" customFormat="true" customHeight="true" hidden="false" ht="28.5" outlineLevel="0">
      <c r="A268" s="16" t="str">
        <f aca="false">IF($T268="","",1+COUNTIF($W$15:$W$894,"&lt;"&amp;W268))</f>
        <v/>
      </c>
      <c r="B268" s="16" t="s">
        <v>16</v>
      </c>
      <c r="C268" s="16" t="s">
        <v>559</v>
      </c>
      <c r="D268" s="16" t="s">
        <v>45</v>
      </c>
      <c r="E268" s="16" t="s">
        <v>26</v>
      </c>
      <c r="F268" s="16" t="s">
        <v>560</v>
      </c>
      <c r="G268" s="17">
        <v>1829</v>
      </c>
      <c r="H268" s="17"/>
      <c r="I268" s="17"/>
      <c r="J268" s="17">
        <v>1849</v>
      </c>
      <c r="K268" s="17" t="n">
        <f aca="false">IF(AND(IFERROR(SEARCH("현대오일뱅크",$C268),0)&gt;0,IFERROR(SEARCH("직영",$C268),0)&gt;0),$B$13,0)</f>
        <v/>
      </c>
      <c r="L268" s="17" t="n">
        <f aca="false">IF($G268="","",$G268+$K268)</f>
        <v/>
      </c>
      <c r="M268" s="17" t="str">
        <f aca="false">IF($H268="","",$H268+$K268)</f>
        <v/>
      </c>
      <c r="N268" s="17" t="n">
        <f aca="false">IF($J268="","",$J268+$K268)</f>
        <v/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 t="str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 t="str">
        <f aca="false">IF($P268="","",IF($Q268="Y",IFERROR(VLOOKUP($B268,$C$4:$D$13,2,FALSE()),0),0))</f>
        <v/>
      </c>
      <c r="S268" s="17" t="str">
        <f aca="false">IF($P268="","",ROUNDDOWN($P268*$R268,0))</f>
        <v/>
      </c>
      <c r="T268" s="17" t="str">
        <f aca="false">IF($P268="","",$P268-$S268)</f>
        <v/>
      </c>
      <c r="U268" s="17" t="str">
        <f aca="false">IF($T268="","",IF($B$10=0,"",$T268/$B$10))</f>
        <v/>
      </c>
      <c r="V268" s="17" t="str">
        <f aca="false">IF($P268="","",IF($B$10=0,"",$P268/$B$10))</f>
        <v/>
      </c>
      <c r="W268" s="19" t="n">
        <f aca="false">IF($T268="",1000000000000000,$T268)</f>
        <v/>
      </c>
      <c r="XFB268" s="6"/>
      <c r="XFC268" s="3"/>
    </row>
    <row r="269" s="5" collapsed="false" customFormat="true" customHeight="true" hidden="false" ht="28.5" outlineLevel="0">
      <c r="A269" s="16" t="str">
        <f aca="false">IF($T269="","",1+COUNTIF($W$15:$W$894,"&lt;"&amp;W269))</f>
        <v/>
      </c>
      <c r="B269" s="16" t="s">
        <v>6</v>
      </c>
      <c r="C269" s="16" t="s">
        <v>562</v>
      </c>
      <c r="D269" s="16" t="s">
        <v>45</v>
      </c>
      <c r="E269" s="16" t="s">
        <v>26</v>
      </c>
      <c r="F269" s="16" t="s">
        <v>563</v>
      </c>
      <c r="G269" s="17">
        <v>1789</v>
      </c>
      <c r="H269" s="17"/>
      <c r="I269" s="17"/>
      <c r="J269" s="17">
        <v>1775</v>
      </c>
      <c r="K269" s="17" t="n">
        <f aca="false">IF(AND(IFERROR(SEARCH("현대오일뱅크",$C269),0)&gt;0,IFERROR(SEARCH("직영",$C269),0)&gt;0),$B$13,0)</f>
        <v/>
      </c>
      <c r="L269" s="17" t="n">
        <f aca="false">IF($G269="","",$G269+$K269)</f>
        <v/>
      </c>
      <c r="M269" s="17" t="str">
        <f aca="false">IF($H269="","",$H269+$K269)</f>
        <v/>
      </c>
      <c r="N269" s="17" t="n">
        <f aca="false">IF($J269="","",$J269+$K269)</f>
        <v/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 t="str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 t="str">
        <f aca="false">IF($P269="","",IF($Q269="Y",IFERROR(VLOOKUP($B269,$C$4:$D$13,2,FALSE()),0),0))</f>
        <v/>
      </c>
      <c r="S269" s="17" t="str">
        <f aca="false">IF($P269="","",ROUNDDOWN($P269*$R269,0))</f>
        <v/>
      </c>
      <c r="T269" s="17" t="str">
        <f aca="false">IF($P269="","",$P269-$S269)</f>
        <v/>
      </c>
      <c r="U269" s="17" t="str">
        <f aca="false">IF($T269="","",IF($B$10=0,"",$T269/$B$10))</f>
        <v/>
      </c>
      <c r="V269" s="17" t="str">
        <f aca="false">IF($P269="","",IF($B$10=0,"",$P269/$B$10))</f>
        <v/>
      </c>
      <c r="W269" s="19" t="n">
        <f aca="false">IF($T269="",1000000000000000,$T269)</f>
        <v/>
      </c>
      <c r="XFB269" s="6"/>
      <c r="XFC269" s="3"/>
    </row>
    <row r="270" s="5" collapsed="false" customFormat="true" customHeight="true" hidden="false" ht="28.5" outlineLevel="0">
      <c r="A270" s="16" t="str">
        <f aca="false">IF($T270="","",1+COUNTIF($W$15:$W$894,"&lt;"&amp;W270))</f>
        <v/>
      </c>
      <c r="B270" s="16" t="s">
        <v>6</v>
      </c>
      <c r="C270" s="16" t="s">
        <v>564</v>
      </c>
      <c r="D270" s="16" t="s">
        <v>56</v>
      </c>
      <c r="E270" s="16" t="s">
        <v>26</v>
      </c>
      <c r="F270" s="16" t="s">
        <v>565</v>
      </c>
      <c r="G270" s="17">
        <v>1789</v>
      </c>
      <c r="H270" s="17"/>
      <c r="I270" s="17"/>
      <c r="J270" s="17">
        <v>1775</v>
      </c>
      <c r="K270" s="17" t="n">
        <f aca="false">IF(AND(IFERROR(SEARCH("현대오일뱅크",$C270),0)&gt;0,IFERROR(SEARCH("직영",$C270),0)&gt;0),$B$13,0)</f>
        <v/>
      </c>
      <c r="L270" s="17" t="n">
        <f aca="false">IF($G270="","",$G270+$K270)</f>
        <v/>
      </c>
      <c r="M270" s="17" t="str">
        <f aca="false">IF($H270="","",$H270+$K270)</f>
        <v/>
      </c>
      <c r="N270" s="17" t="n">
        <f aca="false">IF($J270="","",$J270+$K270)</f>
        <v/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 t="str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 t="str">
        <f aca="false">IF($P270="","",IF($Q270="Y",IFERROR(VLOOKUP($B270,$C$4:$D$13,2,FALSE()),0),0))</f>
        <v/>
      </c>
      <c r="S270" s="17" t="str">
        <f aca="false">IF($P270="","",ROUNDDOWN($P270*$R270,0))</f>
        <v/>
      </c>
      <c r="T270" s="17" t="str">
        <f aca="false">IF($P270="","",$P270-$S270)</f>
        <v/>
      </c>
      <c r="U270" s="17" t="str">
        <f aca="false">IF($T270="","",IF($B$10=0,"",$T270/$B$10))</f>
        <v/>
      </c>
      <c r="V270" s="17" t="str">
        <f aca="false">IF($P270="","",IF($B$10=0,"",$P270/$B$10))</f>
        <v/>
      </c>
      <c r="W270" s="19" t="n">
        <f aca="false">IF($T270="",1000000000000000,$T270)</f>
        <v/>
      </c>
      <c r="XFB270" s="6"/>
      <c r="XFC270" s="3"/>
    </row>
    <row r="271" s="5" collapsed="false" customFormat="true" customHeight="true" hidden="false" ht="28.5" outlineLevel="0">
      <c r="A271" s="16" t="str">
        <f aca="false">IF($T271="","",1+COUNTIF($W$15:$W$894,"&lt;"&amp;W271))</f>
        <v/>
      </c>
      <c r="B271" s="16" t="s">
        <v>6</v>
      </c>
      <c r="C271" s="16" t="s">
        <v>566</v>
      </c>
      <c r="D271" s="16" t="s">
        <v>51</v>
      </c>
      <c r="E271" s="16" t="s">
        <v>26</v>
      </c>
      <c r="F271" s="16" t="s">
        <v>567</v>
      </c>
      <c r="G271" s="17">
        <v>1789</v>
      </c>
      <c r="H271" s="17"/>
      <c r="I271" s="17"/>
      <c r="J271" s="17">
        <v>1775</v>
      </c>
      <c r="K271" s="17" t="n">
        <f aca="false">IF(AND(IFERROR(SEARCH("현대오일뱅크",$C271),0)&gt;0,IFERROR(SEARCH("직영",$C271),0)&gt;0),$B$13,0)</f>
        <v/>
      </c>
      <c r="L271" s="17" t="n">
        <f aca="false">IF($G271="","",$G271+$K271)</f>
        <v/>
      </c>
      <c r="M271" s="17" t="str">
        <f aca="false">IF($H271="","",$H271+$K271)</f>
        <v/>
      </c>
      <c r="N271" s="17" t="n">
        <f aca="false">IF($J271="","",$J271+$K271)</f>
        <v/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 t="str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 t="str">
        <f aca="false">IF($P271="","",IF($Q271="Y",IFERROR(VLOOKUP($B271,$C$4:$D$13,2,FALSE()),0),0))</f>
        <v/>
      </c>
      <c r="S271" s="17" t="str">
        <f aca="false">IF($P271="","",ROUNDDOWN($P271*$R271,0))</f>
        <v/>
      </c>
      <c r="T271" s="17" t="str">
        <f aca="false">IF($P271="","",$P271-$S271)</f>
        <v/>
      </c>
      <c r="U271" s="17" t="str">
        <f aca="false">IF($T271="","",IF($B$10=0,"",$T271/$B$10))</f>
        <v/>
      </c>
      <c r="V271" s="17" t="str">
        <f aca="false">IF($P271="","",IF($B$10=0,"",$P271/$B$10))</f>
        <v/>
      </c>
      <c r="W271" s="19" t="n">
        <f aca="false">IF($T271="",1000000000000000,$T271)</f>
        <v/>
      </c>
      <c r="XFB271" s="6"/>
      <c r="XFC271" s="3"/>
    </row>
    <row r="272" s="5" collapsed="false" customFormat="true" customHeight="true" hidden="false" ht="28.5" outlineLevel="0">
      <c r="A272" s="16" t="str">
        <f aca="false">IF($T272="","",1+COUNTIF($W$15:$W$894,"&lt;"&amp;W272))</f>
        <v/>
      </c>
      <c r="B272" s="16" t="s">
        <v>6</v>
      </c>
      <c r="C272" s="16" t="s">
        <v>568</v>
      </c>
      <c r="D272" s="20" t="s">
        <v>86</v>
      </c>
      <c r="E272" s="16" t="s">
        <v>26</v>
      </c>
      <c r="F272" s="16" t="s">
        <v>569</v>
      </c>
      <c r="G272" s="17">
        <v>1789</v>
      </c>
      <c r="H272" s="17"/>
      <c r="I272" s="17"/>
      <c r="J272" s="17">
        <v>1779</v>
      </c>
      <c r="K272" s="17" t="n">
        <f aca="false">IF(AND(IFERROR(SEARCH("현대오일뱅크",$C272),0)&gt;0,IFERROR(SEARCH("직영",$C272),0)&gt;0),$B$13,0)</f>
        <v/>
      </c>
      <c r="L272" s="17" t="n">
        <f aca="false">IF($G272="","",$G272+$K272)</f>
        <v/>
      </c>
      <c r="M272" s="17" t="str">
        <f aca="false">IF($H272="","",$H272+$K272)</f>
        <v/>
      </c>
      <c r="N272" s="17" t="n">
        <f aca="false">IF($J272="","",$J272+$K272)</f>
        <v/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 t="str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 t="str">
        <f aca="false">IF($P272="","",IF($Q272="Y",IFERROR(VLOOKUP($B272,$C$4:$D$13,2,FALSE()),0),0))</f>
        <v/>
      </c>
      <c r="S272" s="17" t="str">
        <f aca="false">IF($P272="","",ROUNDDOWN($P272*$R272,0))</f>
        <v/>
      </c>
      <c r="T272" s="17" t="str">
        <f aca="false">IF($P272="","",$P272-$S272)</f>
        <v/>
      </c>
      <c r="U272" s="17" t="str">
        <f aca="false">IF($T272="","",IF($B$10=0,"",$T272/$B$10))</f>
        <v/>
      </c>
      <c r="V272" s="17" t="str">
        <f aca="false">IF($P272="","",IF($B$10=0,"",$P272/$B$10))</f>
        <v/>
      </c>
      <c r="W272" s="19" t="n">
        <f aca="false">IF($T272="",1000000000000000,$T272)</f>
        <v/>
      </c>
      <c r="XFB272" s="6"/>
      <c r="XFC272" s="3"/>
    </row>
    <row r="273" s="5" collapsed="false" customFormat="true" customHeight="true" hidden="false" ht="28.5" outlineLevel="0">
      <c r="A273" s="16" t="str">
        <f aca="false">IF($T273="","",1+COUNTIF($W$15:$W$894,"&lt;"&amp;W273))</f>
        <v/>
      </c>
      <c r="B273" s="16" t="s">
        <v>6</v>
      </c>
      <c r="C273" s="16" t="s">
        <v>570</v>
      </c>
      <c r="D273" s="16" t="s">
        <v>45</v>
      </c>
      <c r="E273" s="16" t="s">
        <v>26</v>
      </c>
      <c r="F273" s="16" t="s">
        <v>571</v>
      </c>
      <c r="G273" s="17">
        <v>1789</v>
      </c>
      <c r="H273" s="17"/>
      <c r="I273" s="17"/>
      <c r="J273" s="17">
        <v>1779</v>
      </c>
      <c r="K273" s="17" t="n">
        <f aca="false">IF(AND(IFERROR(SEARCH("현대오일뱅크",$C273),0)&gt;0,IFERROR(SEARCH("직영",$C273),0)&gt;0),$B$13,0)</f>
        <v/>
      </c>
      <c r="L273" s="17" t="n">
        <f aca="false">IF($G273="","",$G273+$K273)</f>
        <v/>
      </c>
      <c r="M273" s="17" t="str">
        <f aca="false">IF($H273="","",$H273+$K273)</f>
        <v/>
      </c>
      <c r="N273" s="17" t="n">
        <f aca="false">IF($J273="","",$J273+$K273)</f>
        <v/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 t="str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 t="str">
        <f aca="false">IF($P273="","",IF($Q273="Y",IFERROR(VLOOKUP($B273,$C$4:$D$13,2,FALSE()),0),0))</f>
        <v/>
      </c>
      <c r="S273" s="17" t="str">
        <f aca="false">IF($P273="","",ROUNDDOWN($P273*$R273,0))</f>
        <v/>
      </c>
      <c r="T273" s="17" t="str">
        <f aca="false">IF($P273="","",$P273-$S273)</f>
        <v/>
      </c>
      <c r="U273" s="17" t="str">
        <f aca="false">IF($T273="","",IF($B$10=0,"",$T273/$B$10))</f>
        <v/>
      </c>
      <c r="V273" s="17" t="str">
        <f aca="false">IF($P273="","",IF($B$10=0,"",$P273/$B$10))</f>
        <v/>
      </c>
      <c r="W273" s="19" t="n">
        <f aca="false">IF($T273="",1000000000000000,$T273)</f>
        <v/>
      </c>
      <c r="XFB273" s="6"/>
      <c r="XFC273" s="3"/>
    </row>
    <row r="274" s="5" collapsed="false" customFormat="true" customHeight="true" hidden="false" ht="28.5" outlineLevel="0">
      <c r="A274" s="16" t="str">
        <f aca="false">IF($T274="","",1+COUNTIF($W$15:$W$894,"&lt;"&amp;W274))</f>
        <v/>
      </c>
      <c r="B274" s="16" t="s">
        <v>8</v>
      </c>
      <c r="C274" s="16" t="s">
        <v>572</v>
      </c>
      <c r="D274" s="16" t="s">
        <v>45</v>
      </c>
      <c r="E274" s="16" t="s">
        <v>26</v>
      </c>
      <c r="F274" s="16" t="s">
        <v>573</v>
      </c>
      <c r="G274" s="17">
        <v>1789</v>
      </c>
      <c r="H274" s="17"/>
      <c r="I274" s="17"/>
      <c r="J274" s="17">
        <v>1779</v>
      </c>
      <c r="K274" s="17" t="n">
        <f aca="false">IF(AND(IFERROR(SEARCH("현대오일뱅크",$C274),0)&gt;0,IFERROR(SEARCH("직영",$C274),0)&gt;0),$B$13,0)</f>
        <v/>
      </c>
      <c r="L274" s="17" t="n">
        <f aca="false">IF($G274="","",$G274+$K274)</f>
        <v/>
      </c>
      <c r="M274" s="17" t="str">
        <f aca="false">IF($H274="","",$H274+$K274)</f>
        <v/>
      </c>
      <c r="N274" s="17" t="n">
        <f aca="false">IF($J274="","",$J274+$K274)</f>
        <v/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 t="str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 t="str">
        <f aca="false">IF($P274="","",IF($Q274="Y",IFERROR(VLOOKUP($B274,$C$4:$D$13,2,FALSE()),0),0))</f>
        <v/>
      </c>
      <c r="S274" s="17" t="str">
        <f aca="false">IF($P274="","",ROUNDDOWN($P274*$R274,0))</f>
        <v/>
      </c>
      <c r="T274" s="17" t="str">
        <f aca="false">IF($P274="","",$P274-$S274)</f>
        <v/>
      </c>
      <c r="U274" s="17" t="str">
        <f aca="false">IF($T274="","",IF($B$10=0,"",$T274/$B$10))</f>
        <v/>
      </c>
      <c r="V274" s="17" t="str">
        <f aca="false">IF($P274="","",IF($B$10=0,"",$P274/$B$10))</f>
        <v/>
      </c>
      <c r="W274" s="19" t="n">
        <f aca="false">IF($T274="",1000000000000000,$T274)</f>
        <v/>
      </c>
      <c r="XFB274" s="6"/>
      <c r="XFC274" s="3"/>
    </row>
    <row r="275" s="5" collapsed="false" customFormat="true" customHeight="true" hidden="false" ht="28.5" outlineLevel="0">
      <c r="A275" s="16" t="str">
        <f aca="false">IF($T275="","",1+COUNTIF($W$15:$W$894,"&lt;"&amp;W275))</f>
        <v/>
      </c>
      <c r="B275" s="16" t="s">
        <v>12</v>
      </c>
      <c r="C275" s="16" t="s">
        <v>574</v>
      </c>
      <c r="D275" s="20" t="s">
        <v>95</v>
      </c>
      <c r="E275" s="16" t="s">
        <v>26</v>
      </c>
      <c r="F275" s="16" t="s">
        <v>575</v>
      </c>
      <c r="G275" s="17">
        <v>1789</v>
      </c>
      <c r="H275" s="17"/>
      <c r="I275" s="17"/>
      <c r="J275" s="17">
        <v>1779</v>
      </c>
      <c r="K275" s="17" t="n">
        <f aca="false">IF(AND(IFERROR(SEARCH("현대오일뱅크",$C275),0)&gt;0,IFERROR(SEARCH("직영",$C275),0)&gt;0),$B$13,0)</f>
        <v/>
      </c>
      <c r="L275" s="17" t="n">
        <f aca="false">IF($G275="","",$G275+$K275)</f>
        <v/>
      </c>
      <c r="M275" s="17" t="str">
        <f aca="false">IF($H275="","",$H275+$K275)</f>
        <v/>
      </c>
      <c r="N275" s="17" t="n">
        <f aca="false">IF($J275="","",$J275+$K275)</f>
        <v/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 t="str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 t="str">
        <f aca="false">IF($P275="","",IF($Q275="Y",IFERROR(VLOOKUP($B275,$C$4:$D$13,2,FALSE()),0),0))</f>
        <v/>
      </c>
      <c r="S275" s="17" t="str">
        <f aca="false">IF($P275="","",ROUNDDOWN($P275*$R275,0))</f>
        <v/>
      </c>
      <c r="T275" s="17" t="str">
        <f aca="false">IF($P275="","",$P275-$S275)</f>
        <v/>
      </c>
      <c r="U275" s="17" t="str">
        <f aca="false">IF($T275="","",IF($B$10=0,"",$T275/$B$10))</f>
        <v/>
      </c>
      <c r="V275" s="17" t="str">
        <f aca="false">IF($P275="","",IF($B$10=0,"",$P275/$B$10))</f>
        <v/>
      </c>
      <c r="W275" s="19" t="n">
        <f aca="false">IF($T275="",1000000000000000,$T275)</f>
        <v/>
      </c>
      <c r="XFB275" s="6"/>
      <c r="XFC275" s="3"/>
    </row>
    <row r="276" s="5" collapsed="false" customFormat="true" customHeight="true" hidden="false" ht="28.5" outlineLevel="0">
      <c r="A276" s="16" t="str">
        <f aca="false">IF($T276="","",1+COUNTIF($W$15:$W$894,"&lt;"&amp;W276))</f>
        <v/>
      </c>
      <c r="B276" s="16" t="s">
        <v>6</v>
      </c>
      <c r="C276" s="16" t="s">
        <v>576</v>
      </c>
      <c r="D276" s="16" t="s">
        <v>51</v>
      </c>
      <c r="E276" s="16" t="s">
        <v>26</v>
      </c>
      <c r="F276" s="16" t="s">
        <v>577</v>
      </c>
      <c r="G276" s="17">
        <v>1789</v>
      </c>
      <c r="H276" s="17"/>
      <c r="I276" s="17"/>
      <c r="J276" s="17">
        <v>1784</v>
      </c>
      <c r="K276" s="17" t="n">
        <f aca="false">IF(AND(IFERROR(SEARCH("현대오일뱅크",$C276),0)&gt;0,IFERROR(SEARCH("직영",$C276),0)&gt;0),$B$13,0)</f>
        <v/>
      </c>
      <c r="L276" s="17" t="n">
        <f aca="false">IF($G276="","",$G276+$K276)</f>
        <v/>
      </c>
      <c r="M276" s="17" t="str">
        <f aca="false">IF($H276="","",$H276+$K276)</f>
        <v/>
      </c>
      <c r="N276" s="17" t="n">
        <f aca="false">IF($J276="","",$J276+$K276)</f>
        <v/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 t="str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 t="str">
        <f aca="false">IF($P276="","",IF($Q276="Y",IFERROR(VLOOKUP($B276,$C$4:$D$13,2,FALSE()),0),0))</f>
        <v/>
      </c>
      <c r="S276" s="17" t="str">
        <f aca="false">IF($P276="","",ROUNDDOWN($P276*$R276,0))</f>
        <v/>
      </c>
      <c r="T276" s="17" t="str">
        <f aca="false">IF($P276="","",$P276-$S276)</f>
        <v/>
      </c>
      <c r="U276" s="17" t="str">
        <f aca="false">IF($T276="","",IF($B$10=0,"",$T276/$B$10))</f>
        <v/>
      </c>
      <c r="V276" s="17" t="str">
        <f aca="false">IF($P276="","",IF($B$10=0,"",$P276/$B$10))</f>
        <v/>
      </c>
      <c r="W276" s="19" t="n">
        <f aca="false">IF($T276="",1000000000000000,$T276)</f>
        <v/>
      </c>
      <c r="XFB276" s="6"/>
      <c r="XFC276" s="3"/>
    </row>
    <row r="277" s="5" collapsed="false" customFormat="true" customHeight="true" hidden="false" ht="28.5" outlineLevel="0">
      <c r="A277" s="16" t="str">
        <f aca="false">IF($T277="","",1+COUNTIF($W$15:$W$894,"&lt;"&amp;W277))</f>
        <v/>
      </c>
      <c r="B277" s="16" t="s">
        <v>6</v>
      </c>
      <c r="C277" s="16" t="s">
        <v>578</v>
      </c>
      <c r="D277" s="20" t="s">
        <v>86</v>
      </c>
      <c r="E277" s="16" t="s">
        <v>26</v>
      </c>
      <c r="F277" s="16" t="s">
        <v>579</v>
      </c>
      <c r="G277" s="17">
        <v>1789</v>
      </c>
      <c r="H277" s="17"/>
      <c r="I277" s="17"/>
      <c r="J277" s="17">
        <v>1784</v>
      </c>
      <c r="K277" s="17" t="n">
        <f aca="false">IF(AND(IFERROR(SEARCH("현대오일뱅크",$C277),0)&gt;0,IFERROR(SEARCH("직영",$C277),0)&gt;0),$B$13,0)</f>
        <v/>
      </c>
      <c r="L277" s="17" t="n">
        <f aca="false">IF($G277="","",$G277+$K277)</f>
        <v/>
      </c>
      <c r="M277" s="17" t="str">
        <f aca="false">IF($H277="","",$H277+$K277)</f>
        <v/>
      </c>
      <c r="N277" s="17" t="n">
        <f aca="false">IF($J277="","",$J277+$K277)</f>
        <v/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 t="str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 t="str">
        <f aca="false">IF($P277="","",IF($Q277="Y",IFERROR(VLOOKUP($B277,$C$4:$D$13,2,FALSE()),0),0))</f>
        <v/>
      </c>
      <c r="S277" s="17" t="str">
        <f aca="false">IF($P277="","",ROUNDDOWN($P277*$R277,0))</f>
        <v/>
      </c>
      <c r="T277" s="17" t="str">
        <f aca="false">IF($P277="","",$P277-$S277)</f>
        <v/>
      </c>
      <c r="U277" s="17" t="str">
        <f aca="false">IF($T277="","",IF($B$10=0,"",$T277/$B$10))</f>
        <v/>
      </c>
      <c r="V277" s="17" t="str">
        <f aca="false">IF($P277="","",IF($B$10=0,"",$P277/$B$10))</f>
        <v/>
      </c>
      <c r="W277" s="19" t="n">
        <f aca="false">IF($T277="",1000000000000000,$T277)</f>
        <v/>
      </c>
      <c r="XFB277" s="6"/>
      <c r="XFC277" s="3"/>
    </row>
    <row r="278" s="5" collapsed="false" customFormat="true" customHeight="true" hidden="false" ht="28.5" outlineLevel="0">
      <c r="A278" s="16" t="str">
        <f aca="false">IF($T278="","",1+COUNTIF($W$15:$W$894,"&lt;"&amp;W278))</f>
        <v/>
      </c>
      <c r="B278" s="16" t="s">
        <v>6</v>
      </c>
      <c r="C278" s="16" t="s">
        <v>580</v>
      </c>
      <c r="D278" s="16" t="s">
        <v>95</v>
      </c>
      <c r="E278" s="16" t="s">
        <v>26</v>
      </c>
      <c r="F278" s="16" t="s">
        <v>581</v>
      </c>
      <c r="G278" s="17">
        <v>1789</v>
      </c>
      <c r="H278" s="17"/>
      <c r="I278" s="17"/>
      <c r="J278" s="17">
        <v>1789</v>
      </c>
      <c r="K278" s="17" t="n">
        <f aca="false">IF(AND(IFERROR(SEARCH("현대오일뱅크",$C278),0)&gt;0,IFERROR(SEARCH("직영",$C278),0)&gt;0),$B$13,0)</f>
        <v/>
      </c>
      <c r="L278" s="17" t="n">
        <f aca="false">IF($G278="","",$G278+$K278)</f>
        <v/>
      </c>
      <c r="M278" s="17" t="str">
        <f aca="false">IF($H278="","",$H278+$K278)</f>
        <v/>
      </c>
      <c r="N278" s="17" t="n">
        <f aca="false">IF($J278="","",$J278+$K278)</f>
        <v/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 t="str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 t="str">
        <f aca="false">IF($P278="","",IF($Q278="Y",IFERROR(VLOOKUP($B278,$C$4:$D$13,2,FALSE()),0),0))</f>
        <v/>
      </c>
      <c r="S278" s="17" t="str">
        <f aca="false">IF($P278="","",ROUNDDOWN($P278*$R278,0))</f>
        <v/>
      </c>
      <c r="T278" s="17" t="str">
        <f aca="false">IF($P278="","",$P278-$S278)</f>
        <v/>
      </c>
      <c r="U278" s="17" t="str">
        <f aca="false">IF($T278="","",IF($B$10=0,"",$T278/$B$10))</f>
        <v/>
      </c>
      <c r="V278" s="17" t="str">
        <f aca="false">IF($P278="","",IF($B$10=0,"",$P278/$B$10))</f>
        <v/>
      </c>
      <c r="W278" s="19" t="n">
        <f aca="false">IF($T278="",1000000000000000,$T278)</f>
        <v/>
      </c>
      <c r="XFB278" s="6"/>
      <c r="XFC278" s="3"/>
    </row>
    <row r="279" s="5" collapsed="false" customFormat="true" customHeight="true" hidden="false" ht="28.5" outlineLevel="0">
      <c r="A279" s="16" t="str">
        <f aca="false">IF($T279="","",1+COUNTIF($W$15:$W$894,"&lt;"&amp;W279))</f>
        <v/>
      </c>
      <c r="B279" s="16" t="s">
        <v>6</v>
      </c>
      <c r="C279" s="16" t="s">
        <v>582</v>
      </c>
      <c r="D279" s="16" t="s">
        <v>95</v>
      </c>
      <c r="E279" s="16" t="s">
        <v>26</v>
      </c>
      <c r="F279" s="16" t="s">
        <v>583</v>
      </c>
      <c r="G279" s="17">
        <v>1789</v>
      </c>
      <c r="H279" s="17"/>
      <c r="I279" s="17"/>
      <c r="J279" s="17">
        <v>1789</v>
      </c>
      <c r="K279" s="17" t="n">
        <f aca="false">IF(AND(IFERROR(SEARCH("현대오일뱅크",$C279),0)&gt;0,IFERROR(SEARCH("직영",$C279),0)&gt;0),$B$13,0)</f>
        <v/>
      </c>
      <c r="L279" s="17" t="n">
        <f aca="false">IF($G279="","",$G279+$K279)</f>
        <v/>
      </c>
      <c r="M279" s="17" t="str">
        <f aca="false">IF($H279="","",$H279+$K279)</f>
        <v/>
      </c>
      <c r="N279" s="17" t="n">
        <f aca="false">IF($J279="","",$J279+$K279)</f>
        <v/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 t="str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 t="str">
        <f aca="false">IF($P279="","",IF($Q279="Y",IFERROR(VLOOKUP($B279,$C$4:$D$13,2,FALSE()),0),0))</f>
        <v/>
      </c>
      <c r="S279" s="17" t="str">
        <f aca="false">IF($P279="","",ROUNDDOWN($P279*$R279,0))</f>
        <v/>
      </c>
      <c r="T279" s="17" t="str">
        <f aca="false">IF($P279="","",$P279-$S279)</f>
        <v/>
      </c>
      <c r="U279" s="17" t="str">
        <f aca="false">IF($T279="","",IF($B$10=0,"",$T279/$B$10))</f>
        <v/>
      </c>
      <c r="V279" s="17" t="str">
        <f aca="false">IF($P279="","",IF($B$10=0,"",$P279/$B$10))</f>
        <v/>
      </c>
      <c r="W279" s="19" t="n">
        <f aca="false">IF($T279="",1000000000000000,$T279)</f>
        <v/>
      </c>
      <c r="XFB279" s="6"/>
      <c r="XFC279" s="3"/>
    </row>
    <row r="280" s="5" collapsed="false" customFormat="true" customHeight="true" hidden="false" ht="28.5" outlineLevel="0">
      <c r="A280" s="16" t="str">
        <f aca="false">IF($T280="","",1+COUNTIF($W$15:$W$894,"&lt;"&amp;W280))</f>
        <v/>
      </c>
      <c r="B280" s="16" t="s">
        <v>6</v>
      </c>
      <c r="C280" s="16" t="s">
        <v>584</v>
      </c>
      <c r="D280" s="16" t="s">
        <v>95</v>
      </c>
      <c r="E280" s="16" t="s">
        <v>26</v>
      </c>
      <c r="F280" s="16" t="s">
        <v>585</v>
      </c>
      <c r="G280" s="17">
        <v>1789</v>
      </c>
      <c r="H280" s="17"/>
      <c r="I280" s="17"/>
      <c r="J280" s="17">
        <v>1789</v>
      </c>
      <c r="K280" s="17" t="n">
        <f aca="false">IF(AND(IFERROR(SEARCH("현대오일뱅크",$C280),0)&gt;0,IFERROR(SEARCH("직영",$C280),0)&gt;0),$B$13,0)</f>
        <v/>
      </c>
      <c r="L280" s="17" t="n">
        <f aca="false">IF($G280="","",$G280+$K280)</f>
        <v/>
      </c>
      <c r="M280" s="17" t="str">
        <f aca="false">IF($H280="","",$H280+$K280)</f>
        <v/>
      </c>
      <c r="N280" s="17" t="n">
        <f aca="false">IF($J280="","",$J280+$K280)</f>
        <v/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 t="str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 t="str">
        <f aca="false">IF($P280="","",IF($Q280="Y",IFERROR(VLOOKUP($B280,$C$4:$D$13,2,FALSE()),0),0))</f>
        <v/>
      </c>
      <c r="S280" s="17" t="str">
        <f aca="false">IF($P280="","",ROUNDDOWN($P280*$R280,0))</f>
        <v/>
      </c>
      <c r="T280" s="17" t="str">
        <f aca="false">IF($P280="","",$P280-$S280)</f>
        <v/>
      </c>
      <c r="U280" s="17" t="str">
        <f aca="false">IF($T280="","",IF($B$10=0,"",$T280/$B$10))</f>
        <v/>
      </c>
      <c r="V280" s="17" t="str">
        <f aca="false">IF($P280="","",IF($B$10=0,"",$P280/$B$10))</f>
        <v/>
      </c>
      <c r="W280" s="19" t="n">
        <f aca="false">IF($T280="",1000000000000000,$T280)</f>
        <v/>
      </c>
      <c r="XFB280" s="6"/>
      <c r="XFC280" s="3"/>
    </row>
    <row r="281" s="5" collapsed="false" customFormat="true" customHeight="true" hidden="false" ht="28.5" outlineLevel="0">
      <c r="A281" s="16" t="str">
        <f aca="false">IF($T281="","",1+COUNTIF($W$15:$W$894,"&lt;"&amp;W281))</f>
        <v/>
      </c>
      <c r="B281" s="16" t="s">
        <v>6</v>
      </c>
      <c r="C281" s="16" t="s">
        <v>586</v>
      </c>
      <c r="D281" s="16" t="s">
        <v>45</v>
      </c>
      <c r="E281" s="16" t="s">
        <v>26</v>
      </c>
      <c r="F281" s="16" t="s">
        <v>587</v>
      </c>
      <c r="G281" s="17">
        <v>1789</v>
      </c>
      <c r="H281" s="17"/>
      <c r="I281" s="17"/>
      <c r="J281" s="17">
        <v>1789</v>
      </c>
      <c r="K281" s="17" t="n">
        <f aca="false">IF(AND(IFERROR(SEARCH("현대오일뱅크",$C281),0)&gt;0,IFERROR(SEARCH("직영",$C281),0)&gt;0),$B$13,0)</f>
        <v/>
      </c>
      <c r="L281" s="17" t="n">
        <f aca="false">IF($G281="","",$G281+$K281)</f>
        <v/>
      </c>
      <c r="M281" s="17" t="str">
        <f aca="false">IF($H281="","",$H281+$K281)</f>
        <v/>
      </c>
      <c r="N281" s="17" t="n">
        <f aca="false">IF($J281="","",$J281+$K281)</f>
        <v/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 t="str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 t="str">
        <f aca="false">IF($P281="","",IF($Q281="Y",IFERROR(VLOOKUP($B281,$C$4:$D$13,2,FALSE()),0),0))</f>
        <v/>
      </c>
      <c r="S281" s="17" t="str">
        <f aca="false">IF($P281="","",ROUNDDOWN($P281*$R281,0))</f>
        <v/>
      </c>
      <c r="T281" s="17" t="str">
        <f aca="false">IF($P281="","",$P281-$S281)</f>
        <v/>
      </c>
      <c r="U281" s="17" t="str">
        <f aca="false">IF($T281="","",IF($B$10=0,"",$T281/$B$10))</f>
        <v/>
      </c>
      <c r="V281" s="17" t="str">
        <f aca="false">IF($P281="","",IF($B$10=0,"",$P281/$B$10))</f>
        <v/>
      </c>
      <c r="W281" s="19" t="n">
        <f aca="false">IF($T281="",1000000000000000,$T281)</f>
        <v/>
      </c>
      <c r="XFB281" s="6"/>
      <c r="XFC281" s="3"/>
    </row>
    <row r="282" s="5" collapsed="false" customFormat="true" customHeight="true" hidden="false" ht="28.5" outlineLevel="0">
      <c r="A282" s="16" t="str">
        <f aca="false">IF($T282="","",1+COUNTIF($W$15:$W$894,"&lt;"&amp;W282))</f>
        <v/>
      </c>
      <c r="B282" s="16" t="s">
        <v>6</v>
      </c>
      <c r="C282" s="16" t="s">
        <v>590</v>
      </c>
      <c r="D282" s="16" t="s">
        <v>95</v>
      </c>
      <c r="E282" s="16" t="s">
        <v>26</v>
      </c>
      <c r="F282" s="16" t="s">
        <v>591</v>
      </c>
      <c r="G282" s="17">
        <v>1789</v>
      </c>
      <c r="H282" s="17"/>
      <c r="I282" s="17"/>
      <c r="J282" s="17">
        <v>1789</v>
      </c>
      <c r="K282" s="17" t="n">
        <f aca="false">IF(AND(IFERROR(SEARCH("현대오일뱅크",$C282),0)&gt;0,IFERROR(SEARCH("직영",$C282),0)&gt;0),$B$13,0)</f>
        <v/>
      </c>
      <c r="L282" s="17" t="n">
        <f aca="false">IF($G282="","",$G282+$K282)</f>
        <v/>
      </c>
      <c r="M282" s="17" t="str">
        <f aca="false">IF($H282="","",$H282+$K282)</f>
        <v/>
      </c>
      <c r="N282" s="17" t="n">
        <f aca="false">IF($J282="","",$J282+$K282)</f>
        <v/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 t="str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 t="str">
        <f aca="false">IF($P282="","",IF($Q282="Y",IFERROR(VLOOKUP($B282,$C$4:$D$13,2,FALSE()),0),0))</f>
        <v/>
      </c>
      <c r="S282" s="17" t="str">
        <f aca="false">IF($P282="","",ROUNDDOWN($P282*$R282,0))</f>
        <v/>
      </c>
      <c r="T282" s="17" t="str">
        <f aca="false">IF($P282="","",$P282-$S282)</f>
        <v/>
      </c>
      <c r="U282" s="17" t="str">
        <f aca="false">IF($T282="","",IF($B$10=0,"",$T282/$B$10))</f>
        <v/>
      </c>
      <c r="V282" s="17" t="str">
        <f aca="false">IF($P282="","",IF($B$10=0,"",$P282/$B$10))</f>
        <v/>
      </c>
      <c r="W282" s="19" t="n">
        <f aca="false">IF($T282="",1000000000000000,$T282)</f>
        <v/>
      </c>
      <c r="XFB282" s="6"/>
      <c r="XFC282" s="3"/>
    </row>
    <row r="283" s="5" collapsed="false" customFormat="true" customHeight="true" hidden="false" ht="28.5" outlineLevel="0">
      <c r="A283" s="16" t="str">
        <f aca="false">IF($T283="","",1+COUNTIF($W$15:$W$894,"&lt;"&amp;W283))</f>
        <v/>
      </c>
      <c r="B283" s="16" t="s">
        <v>6</v>
      </c>
      <c r="C283" s="16" t="s">
        <v>592</v>
      </c>
      <c r="D283" s="16" t="s">
        <v>51</v>
      </c>
      <c r="E283" s="16" t="s">
        <v>26</v>
      </c>
      <c r="F283" s="16" t="s">
        <v>593</v>
      </c>
      <c r="G283" s="17">
        <v>1789</v>
      </c>
      <c r="H283" s="17"/>
      <c r="I283" s="17"/>
      <c r="J283" s="17">
        <v>1789</v>
      </c>
      <c r="K283" s="17" t="n">
        <f aca="false">IF(AND(IFERROR(SEARCH("현대오일뱅크",$C283),0)&gt;0,IFERROR(SEARCH("직영",$C283),0)&gt;0),$B$13,0)</f>
        <v/>
      </c>
      <c r="L283" s="17" t="n">
        <f aca="false">IF($G283="","",$G283+$K283)</f>
        <v/>
      </c>
      <c r="M283" s="17" t="str">
        <f aca="false">IF($H283="","",$H283+$K283)</f>
        <v/>
      </c>
      <c r="N283" s="17" t="n">
        <f aca="false">IF($J283="","",$J283+$K283)</f>
        <v/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 t="str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 t="str">
        <f aca="false">IF($P283="","",IF($Q283="Y",IFERROR(VLOOKUP($B283,$C$4:$D$13,2,FALSE()),0),0))</f>
        <v/>
      </c>
      <c r="S283" s="17" t="str">
        <f aca="false">IF($P283="","",ROUNDDOWN($P283*$R283,0))</f>
        <v/>
      </c>
      <c r="T283" s="17" t="str">
        <f aca="false">IF($P283="","",$P283-$S283)</f>
        <v/>
      </c>
      <c r="U283" s="17" t="str">
        <f aca="false">IF($T283="","",IF($B$10=0,"",$T283/$B$10))</f>
        <v/>
      </c>
      <c r="V283" s="17" t="str">
        <f aca="false">IF($P283="","",IF($B$10=0,"",$P283/$B$10))</f>
        <v/>
      </c>
      <c r="W283" s="19" t="n">
        <f aca="false">IF($T283="",1000000000000000,$T283)</f>
        <v/>
      </c>
      <c r="XFB283" s="6"/>
      <c r="XFC283" s="3"/>
    </row>
    <row r="284" s="5" collapsed="false" customFormat="true" customHeight="true" hidden="false" ht="28.5" outlineLevel="0">
      <c r="A284" s="16" t="str">
        <f aca="false">IF($T284="","",1+COUNTIF($W$15:$W$894,"&lt;"&amp;W284))</f>
        <v/>
      </c>
      <c r="B284" s="16" t="s">
        <v>6</v>
      </c>
      <c r="C284" s="16" t="s">
        <v>594</v>
      </c>
      <c r="D284" s="16" t="s">
        <v>56</v>
      </c>
      <c r="E284" s="16" t="s">
        <v>26</v>
      </c>
      <c r="F284" s="16" t="s">
        <v>595</v>
      </c>
      <c r="G284" s="17">
        <v>1789</v>
      </c>
      <c r="H284" s="17"/>
      <c r="I284" s="17"/>
      <c r="J284" s="17">
        <v>1789</v>
      </c>
      <c r="K284" s="17" t="n">
        <f aca="false">IF(AND(IFERROR(SEARCH("현대오일뱅크",$C284),0)&gt;0,IFERROR(SEARCH("직영",$C284),0)&gt;0),$B$13,0)</f>
        <v/>
      </c>
      <c r="L284" s="17" t="n">
        <f aca="false">IF($G284="","",$G284+$K284)</f>
        <v/>
      </c>
      <c r="M284" s="17" t="str">
        <f aca="false">IF($H284="","",$H284+$K284)</f>
        <v/>
      </c>
      <c r="N284" s="17" t="n">
        <f aca="false">IF($J284="","",$J284+$K284)</f>
        <v/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 t="str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 t="str">
        <f aca="false">IF($P284="","",IF($Q284="Y",IFERROR(VLOOKUP($B284,$C$4:$D$13,2,FALSE()),0),0))</f>
        <v/>
      </c>
      <c r="S284" s="17" t="str">
        <f aca="false">IF($P284="","",ROUNDDOWN($P284*$R284,0))</f>
        <v/>
      </c>
      <c r="T284" s="17" t="str">
        <f aca="false">IF($P284="","",$P284-$S284)</f>
        <v/>
      </c>
      <c r="U284" s="17" t="str">
        <f aca="false">IF($T284="","",IF($B$10=0,"",$T284/$B$10))</f>
        <v/>
      </c>
      <c r="V284" s="17" t="str">
        <f aca="false">IF($P284="","",IF($B$10=0,"",$P284/$B$10))</f>
        <v/>
      </c>
      <c r="W284" s="19" t="n">
        <f aca="false">IF($T284="",1000000000000000,$T284)</f>
        <v/>
      </c>
      <c r="XFB284" s="6"/>
      <c r="XFC284" s="3"/>
    </row>
    <row r="285" s="5" collapsed="false" customFormat="true" customHeight="true" hidden="false" ht="28.5" outlineLevel="0">
      <c r="A285" s="16" t="str">
        <f aca="false">IF($T285="","",1+COUNTIF($W$15:$W$894,"&lt;"&amp;W285))</f>
        <v/>
      </c>
      <c r="B285" s="16" t="s">
        <v>6</v>
      </c>
      <c r="C285" s="16" t="s">
        <v>596</v>
      </c>
      <c r="D285" s="16" t="s">
        <v>95</v>
      </c>
      <c r="E285" s="16" t="s">
        <v>26</v>
      </c>
      <c r="F285" s="16" t="s">
        <v>597</v>
      </c>
      <c r="G285" s="17">
        <v>1789</v>
      </c>
      <c r="H285" s="17"/>
      <c r="I285" s="17"/>
      <c r="J285" s="17">
        <v>1795</v>
      </c>
      <c r="K285" s="17" t="n">
        <f aca="false">IF(AND(IFERROR(SEARCH("현대오일뱅크",$C285),0)&gt;0,IFERROR(SEARCH("직영",$C285),0)&gt;0),$B$13,0)</f>
        <v/>
      </c>
      <c r="L285" s="17" t="n">
        <f aca="false">IF($G285="","",$G285+$K285)</f>
        <v/>
      </c>
      <c r="M285" s="17" t="str">
        <f aca="false">IF($H285="","",$H285+$K285)</f>
        <v/>
      </c>
      <c r="N285" s="17" t="n">
        <f aca="false">IF($J285="","",$J285+$K285)</f>
        <v/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 t="str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 t="str">
        <f aca="false">IF($P285="","",IF($Q285="Y",IFERROR(VLOOKUP($B285,$C$4:$D$13,2,FALSE()),0),0))</f>
        <v/>
      </c>
      <c r="S285" s="17" t="str">
        <f aca="false">IF($P285="","",ROUNDDOWN($P285*$R285,0))</f>
        <v/>
      </c>
      <c r="T285" s="17" t="str">
        <f aca="false">IF($P285="","",$P285-$S285)</f>
        <v/>
      </c>
      <c r="U285" s="17" t="str">
        <f aca="false">IF($T285="","",IF($B$10=0,"",$T285/$B$10))</f>
        <v/>
      </c>
      <c r="V285" s="17" t="str">
        <f aca="false">IF($P285="","",IF($B$10=0,"",$P285/$B$10))</f>
        <v/>
      </c>
      <c r="W285" s="19" t="n">
        <f aca="false">IF($T285="",1000000000000000,$T285)</f>
        <v/>
      </c>
      <c r="XFB285" s="6"/>
      <c r="XFC285" s="3"/>
    </row>
    <row r="286" s="5" collapsed="false" customFormat="true" customHeight="true" hidden="false" ht="28.5" outlineLevel="0">
      <c r="A286" s="16" t="str">
        <f aca="false">IF($T286="","",1+COUNTIF($W$15:$W$894,"&lt;"&amp;W286))</f>
        <v/>
      </c>
      <c r="B286" s="16" t="s">
        <v>12</v>
      </c>
      <c r="C286" s="16" t="s">
        <v>598</v>
      </c>
      <c r="D286" s="20" t="s">
        <v>95</v>
      </c>
      <c r="E286" s="16" t="s">
        <v>26</v>
      </c>
      <c r="F286" s="16" t="s">
        <v>599</v>
      </c>
      <c r="G286" s="17">
        <v>1789</v>
      </c>
      <c r="H286" s="17"/>
      <c r="I286" s="17"/>
      <c r="J286" s="17">
        <v>1839</v>
      </c>
      <c r="K286" s="17" t="n">
        <f aca="false">IF(AND(IFERROR(SEARCH("현대오일뱅크",$C286),0)&gt;0,IFERROR(SEARCH("직영",$C286),0)&gt;0),$B$13,0)</f>
        <v/>
      </c>
      <c r="L286" s="17" t="n">
        <f aca="false">IF($G286="","",$G286+$K286)</f>
        <v/>
      </c>
      <c r="M286" s="17" t="str">
        <f aca="false">IF($H286="","",$H286+$K286)</f>
        <v/>
      </c>
      <c r="N286" s="17" t="n">
        <f aca="false">IF($J286="","",$J286+$K286)</f>
        <v/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 t="str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 t="str">
        <f aca="false">IF($P286="","",IF($Q286="Y",IFERROR(VLOOKUP($B286,$C$4:$D$13,2,FALSE()),0),0))</f>
        <v/>
      </c>
      <c r="S286" s="17" t="str">
        <f aca="false">IF($P286="","",ROUNDDOWN($P286*$R286,0))</f>
        <v/>
      </c>
      <c r="T286" s="17" t="str">
        <f aca="false">IF($P286="","",$P286-$S286)</f>
        <v/>
      </c>
      <c r="U286" s="17" t="str">
        <f aca="false">IF($T286="","",IF($B$10=0,"",$T286/$B$10))</f>
        <v/>
      </c>
      <c r="V286" s="17" t="str">
        <f aca="false">IF($P286="","",IF($B$10=0,"",$P286/$B$10))</f>
        <v/>
      </c>
      <c r="W286" s="19" t="n">
        <f aca="false">IF($T286="",1000000000000000,$T286)</f>
        <v/>
      </c>
      <c r="XFB286" s="6"/>
      <c r="XFC286" s="3"/>
    </row>
    <row r="287" s="5" collapsed="false" customFormat="true" customHeight="true" hidden="false" ht="28.5" outlineLevel="0">
      <c r="A287" s="16" t="str">
        <f aca="false">IF($T287="","",1+COUNTIF($W$15:$W$894,"&lt;"&amp;W287))</f>
        <v/>
      </c>
      <c r="B287" s="16" t="s">
        <v>10</v>
      </c>
      <c r="C287" s="16" t="s">
        <v>600</v>
      </c>
      <c r="D287" s="16" t="s">
        <v>95</v>
      </c>
      <c r="E287" s="16" t="s">
        <v>26</v>
      </c>
      <c r="F287" s="16" t="s">
        <v>601</v>
      </c>
      <c r="G287" s="17">
        <v>1790</v>
      </c>
      <c r="H287" s="17"/>
      <c r="I287" s="17"/>
      <c r="J287" s="17">
        <v>1780</v>
      </c>
      <c r="K287" s="17" t="n">
        <f aca="false">IF(AND(IFERROR(SEARCH("현대오일뱅크",$C287),0)&gt;0,IFERROR(SEARCH("직영",$C287),0)&gt;0),$B$13,0)</f>
        <v/>
      </c>
      <c r="L287" s="17" t="n">
        <f aca="false">IF($G287="","",$G287+$K287)</f>
        <v/>
      </c>
      <c r="M287" s="17" t="str">
        <f aca="false">IF($H287="","",$H287+$K287)</f>
        <v/>
      </c>
      <c r="N287" s="17" t="n">
        <f aca="false">IF($J287="","",$J287+$K287)</f>
        <v/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 t="str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 t="str">
        <f aca="false">IF($P287="","",IF($Q287="Y",IFERROR(VLOOKUP($B287,$C$4:$D$13,2,FALSE()),0),0))</f>
        <v/>
      </c>
      <c r="S287" s="17" t="str">
        <f aca="false">IF($P287="","",ROUNDDOWN($P287*$R287,0))</f>
        <v/>
      </c>
      <c r="T287" s="17" t="str">
        <f aca="false">IF($P287="","",$P287-$S287)</f>
        <v/>
      </c>
      <c r="U287" s="17" t="str">
        <f aca="false">IF($T287="","",IF($B$10=0,"",$T287/$B$10))</f>
        <v/>
      </c>
      <c r="V287" s="17" t="str">
        <f aca="false">IF($P287="","",IF($B$10=0,"",$P287/$B$10))</f>
        <v/>
      </c>
      <c r="W287" s="19" t="n">
        <f aca="false">IF($T287="",1000000000000000,$T287)</f>
        <v/>
      </c>
      <c r="XFB287" s="6"/>
      <c r="XFC287" s="3"/>
    </row>
    <row r="288" s="5" collapsed="false" customFormat="true" customHeight="true" hidden="false" ht="28.5" outlineLevel="0">
      <c r="A288" s="16" t="str">
        <f aca="false">IF($T288="","",1+COUNTIF($W$15:$W$894,"&lt;"&amp;W288))</f>
        <v/>
      </c>
      <c r="B288" s="16" t="s">
        <v>6</v>
      </c>
      <c r="C288" s="16" t="s">
        <v>602</v>
      </c>
      <c r="D288" s="16" t="s">
        <v>500</v>
      </c>
      <c r="E288" s="16" t="s">
        <v>26</v>
      </c>
      <c r="F288" s="16" t="s">
        <v>603</v>
      </c>
      <c r="G288" s="17">
        <v>1792</v>
      </c>
      <c r="H288" s="17"/>
      <c r="I288" s="17"/>
      <c r="J288" s="17">
        <v>1797</v>
      </c>
      <c r="K288" s="17" t="n">
        <f aca="false">IF(AND(IFERROR(SEARCH("현대오일뱅크",$C288),0)&gt;0,IFERROR(SEARCH("직영",$C288),0)&gt;0),$B$13,0)</f>
        <v/>
      </c>
      <c r="L288" s="17" t="n">
        <f aca="false">IF($G288="","",$G288+$K288)</f>
        <v/>
      </c>
      <c r="M288" s="17" t="str">
        <f aca="false">IF($H288="","",$H288+$K288)</f>
        <v/>
      </c>
      <c r="N288" s="17" t="n">
        <f aca="false">IF($J288="","",$J288+$K288)</f>
        <v/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 t="str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 t="str">
        <f aca="false">IF($P288="","",IF($Q288="Y",IFERROR(VLOOKUP($B288,$C$4:$D$13,2,FALSE()),0),0))</f>
        <v/>
      </c>
      <c r="S288" s="17" t="str">
        <f aca="false">IF($P288="","",ROUNDDOWN($P288*$R288,0))</f>
        <v/>
      </c>
      <c r="T288" s="17" t="str">
        <f aca="false">IF($P288="","",$P288-$S288)</f>
        <v/>
      </c>
      <c r="U288" s="17" t="str">
        <f aca="false">IF($T288="","",IF($B$10=0,"",$T288/$B$10))</f>
        <v/>
      </c>
      <c r="V288" s="17" t="str">
        <f aca="false">IF($P288="","",IF($B$10=0,"",$P288/$B$10))</f>
        <v/>
      </c>
      <c r="W288" s="19" t="n">
        <f aca="false">IF($T288="",1000000000000000,$T288)</f>
        <v/>
      </c>
      <c r="XFB288" s="6"/>
      <c r="XFC288" s="3"/>
    </row>
    <row r="289" s="5" collapsed="false" customFormat="true" customHeight="true" hidden="false" ht="28.5" outlineLevel="0">
      <c r="A289" s="16" t="str">
        <f aca="false">IF($T289="","",1+COUNTIF($W$15:$W$894,"&lt;"&amp;W289))</f>
        <v/>
      </c>
      <c r="B289" s="16" t="s">
        <v>18</v>
      </c>
      <c r="C289" s="16" t="s">
        <v>604</v>
      </c>
      <c r="D289" s="20" t="s">
        <v>86</v>
      </c>
      <c r="E289" s="16" t="s">
        <v>26</v>
      </c>
      <c r="F289" s="16" t="s">
        <v>605</v>
      </c>
      <c r="G289" s="17">
        <v>1899</v>
      </c>
      <c r="H289" s="17"/>
      <c r="I289" s="17"/>
      <c r="J289" s="17">
        <v>1889</v>
      </c>
      <c r="K289" s="17" t="n">
        <f aca="false">IF(AND(IFERROR(SEARCH("현대오일뱅크",$C289),0)&gt;0,IFERROR(SEARCH("직영",$C289),0)&gt;0),$B$13,0)</f>
        <v/>
      </c>
      <c r="L289" s="17" t="n">
        <f aca="false">IF($G289="","",$G289+$K289)</f>
        <v/>
      </c>
      <c r="M289" s="17" t="str">
        <f aca="false">IF($H289="","",$H289+$K289)</f>
        <v/>
      </c>
      <c r="N289" s="17" t="n">
        <f aca="false">IF($J289="","",$J289+$K289)</f>
        <v/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 t="str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 t="str">
        <f aca="false">IF($P289="","",IF($Q289="Y",IFERROR(VLOOKUP($B289,$C$4:$D$13,2,FALSE()),0),0))</f>
        <v/>
      </c>
      <c r="S289" s="17" t="str">
        <f aca="false">IF($P289="","",ROUNDDOWN($P289*$R289,0))</f>
        <v/>
      </c>
      <c r="T289" s="17" t="str">
        <f aca="false">IF($P289="","",$P289-$S289)</f>
        <v/>
      </c>
      <c r="U289" s="17" t="str">
        <f aca="false">IF($T289="","",IF($B$10=0,"",$T289/$B$10))</f>
        <v/>
      </c>
      <c r="V289" s="17" t="str">
        <f aca="false">IF($P289="","",IF($B$10=0,"",$P289/$B$10))</f>
        <v/>
      </c>
      <c r="W289" s="19" t="n">
        <f aca="false">IF($T289="",1000000000000000,$T289)</f>
        <v/>
      </c>
      <c r="XFB289" s="6"/>
      <c r="XFC289" s="3"/>
    </row>
    <row r="290" s="5" collapsed="false" customFormat="true" customHeight="true" hidden="false" ht="28.5" outlineLevel="0">
      <c r="A290" s="16" t="str">
        <f aca="false">IF($T290="","",1+COUNTIF($W$15:$W$894,"&lt;"&amp;W290))</f>
        <v/>
      </c>
      <c r="B290" s="16" t="s">
        <v>18</v>
      </c>
      <c r="C290" s="16" t="s">
        <v>606</v>
      </c>
      <c r="D290" s="16" t="s">
        <v>95</v>
      </c>
      <c r="E290" s="16" t="s">
        <v>63</v>
      </c>
      <c r="F290" s="16" t="s">
        <v>607</v>
      </c>
      <c r="G290" s="17">
        <v>1899</v>
      </c>
      <c r="H290" s="17"/>
      <c r="I290" s="17"/>
      <c r="J290" s="17">
        <v>1899</v>
      </c>
      <c r="K290" s="17" t="n">
        <f aca="false">IF(AND(IFERROR(SEARCH("현대오일뱅크",$C290),0)&gt;0,IFERROR(SEARCH("직영",$C290),0)&gt;0),$B$13,0)</f>
        <v/>
      </c>
      <c r="L290" s="17" t="n">
        <f aca="false">IF($G290="","",$G290+$K290)</f>
        <v/>
      </c>
      <c r="M290" s="17" t="str">
        <f aca="false">IF($H290="","",$H290+$K290)</f>
        <v/>
      </c>
      <c r="N290" s="17" t="n">
        <f aca="false">IF($J290="","",$J290+$K290)</f>
        <v/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 t="str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 t="str">
        <f aca="false">IF($P290="","",IF($Q290="Y",IFERROR(VLOOKUP($B290,$C$4:$D$13,2,FALSE()),0),0))</f>
        <v/>
      </c>
      <c r="S290" s="17" t="str">
        <f aca="false">IF($P290="","",ROUNDDOWN($P290*$R290,0))</f>
        <v/>
      </c>
      <c r="T290" s="17" t="str">
        <f aca="false">IF($P290="","",$P290-$S290)</f>
        <v/>
      </c>
      <c r="U290" s="17" t="str">
        <f aca="false">IF($T290="","",IF($B$10=0,"",$T290/$B$10))</f>
        <v/>
      </c>
      <c r="V290" s="17" t="str">
        <f aca="false">IF($P290="","",IF($B$10=0,"",$P290/$B$10))</f>
        <v/>
      </c>
      <c r="W290" s="19" t="n">
        <f aca="false">IF($T290="",1000000000000000,$T290)</f>
        <v/>
      </c>
      <c r="XFB290" s="6"/>
      <c r="XFC290" s="3"/>
    </row>
    <row r="291" s="5" collapsed="false" customFormat="true" customHeight="true" hidden="false" ht="28.5" outlineLevel="0">
      <c r="A291" s="16" t="str">
        <f aca="false">IF($T291="","",1+COUNTIF($W$15:$W$894,"&lt;"&amp;W291))</f>
        <v/>
      </c>
      <c r="B291" s="16" t="s">
        <v>12</v>
      </c>
      <c r="C291" s="16" t="s">
        <v>608</v>
      </c>
      <c r="D291" s="20" t="s">
        <v>45</v>
      </c>
      <c r="E291" s="16" t="s">
        <v>26</v>
      </c>
      <c r="F291" s="16" t="s">
        <v>609</v>
      </c>
      <c r="G291" s="17">
        <v>1794</v>
      </c>
      <c r="H291" s="17"/>
      <c r="I291" s="17"/>
      <c r="J291" s="17">
        <v>1758</v>
      </c>
      <c r="K291" s="17" t="n">
        <f aca="false">IF(AND(IFERROR(SEARCH("현대오일뱅크",$C291),0)&gt;0,IFERROR(SEARCH("직영",$C291),0)&gt;0),$B$13,0)</f>
        <v/>
      </c>
      <c r="L291" s="17" t="n">
        <f aca="false">IF($G291="","",$G291+$K291)</f>
        <v/>
      </c>
      <c r="M291" s="17" t="str">
        <f aca="false">IF($H291="","",$H291+$K291)</f>
        <v/>
      </c>
      <c r="N291" s="17" t="n">
        <f aca="false">IF($J291="","",$J291+$K291)</f>
        <v/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 t="str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 t="str">
        <f aca="false">IF($P291="","",IF($Q291="Y",IFERROR(VLOOKUP($B291,$C$4:$D$13,2,FALSE()),0),0))</f>
        <v/>
      </c>
      <c r="S291" s="17" t="str">
        <f aca="false">IF($P291="","",ROUNDDOWN($P291*$R291,0))</f>
        <v/>
      </c>
      <c r="T291" s="17" t="str">
        <f aca="false">IF($P291="","",$P291-$S291)</f>
        <v/>
      </c>
      <c r="U291" s="17" t="str">
        <f aca="false">IF($T291="","",IF($B$10=0,"",$T291/$B$10))</f>
        <v/>
      </c>
      <c r="V291" s="17" t="str">
        <f aca="false">IF($P291="","",IF($B$10=0,"",$P291/$B$10))</f>
        <v/>
      </c>
      <c r="W291" s="19" t="n">
        <f aca="false">IF($T291="",1000000000000000,$T291)</f>
        <v/>
      </c>
      <c r="XFB291" s="6"/>
      <c r="XFC291" s="3"/>
    </row>
    <row r="292" s="5" collapsed="false" customFormat="true" customHeight="true" hidden="false" ht="28.5" outlineLevel="0">
      <c r="A292" s="16" t="str">
        <f aca="false">IF($T292="","",1+COUNTIF($W$15:$W$894,"&lt;"&amp;W292))</f>
        <v/>
      </c>
      <c r="B292" s="16" t="s">
        <v>12</v>
      </c>
      <c r="C292" s="16" t="s">
        <v>610</v>
      </c>
      <c r="D292" s="20" t="s">
        <v>45</v>
      </c>
      <c r="E292" s="16" t="s">
        <v>26</v>
      </c>
      <c r="F292" s="16" t="s">
        <v>611</v>
      </c>
      <c r="G292" s="17">
        <v>1794</v>
      </c>
      <c r="H292" s="17"/>
      <c r="I292" s="17"/>
      <c r="J292" s="17">
        <v>1794</v>
      </c>
      <c r="K292" s="17" t="n">
        <f aca="false">IF(AND(IFERROR(SEARCH("현대오일뱅크",$C292),0)&gt;0,IFERROR(SEARCH("직영",$C292),0)&gt;0),$B$13,0)</f>
        <v/>
      </c>
      <c r="L292" s="17" t="n">
        <f aca="false">IF($G292="","",$G292+$K292)</f>
        <v/>
      </c>
      <c r="M292" s="17" t="str">
        <f aca="false">IF($H292="","",$H292+$K292)</f>
        <v/>
      </c>
      <c r="N292" s="17" t="n">
        <f aca="false">IF($J292="","",$J292+$K292)</f>
        <v/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 t="str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 t="str">
        <f aca="false">IF($P292="","",IF($Q292="Y",IFERROR(VLOOKUP($B292,$C$4:$D$13,2,FALSE()),0),0))</f>
        <v/>
      </c>
      <c r="S292" s="17" t="str">
        <f aca="false">IF($P292="","",ROUNDDOWN($P292*$R292,0))</f>
        <v/>
      </c>
      <c r="T292" s="17" t="str">
        <f aca="false">IF($P292="","",$P292-$S292)</f>
        <v/>
      </c>
      <c r="U292" s="17" t="str">
        <f aca="false">IF($T292="","",IF($B$10=0,"",$T292/$B$10))</f>
        <v/>
      </c>
      <c r="V292" s="17" t="str">
        <f aca="false">IF($P292="","",IF($B$10=0,"",$P292/$B$10))</f>
        <v/>
      </c>
      <c r="W292" s="19" t="n">
        <f aca="false">IF($T292="",1000000000000000,$T292)</f>
        <v/>
      </c>
      <c r="XFB292" s="6"/>
      <c r="XFC292" s="3"/>
    </row>
    <row r="293" s="5" collapsed="false" customFormat="true" customHeight="true" hidden="false" ht="28.5" outlineLevel="0">
      <c r="A293" s="16" t="str">
        <f aca="false">IF($T293="","",1+COUNTIF($W$15:$W$894,"&lt;"&amp;W293))</f>
        <v/>
      </c>
      <c r="B293" s="16" t="s">
        <v>12</v>
      </c>
      <c r="C293" s="16" t="s">
        <v>612</v>
      </c>
      <c r="D293" s="20" t="s">
        <v>86</v>
      </c>
      <c r="E293" s="16" t="s">
        <v>26</v>
      </c>
      <c r="F293" s="16" t="s">
        <v>613</v>
      </c>
      <c r="G293" s="17">
        <v>1794</v>
      </c>
      <c r="H293" s="17"/>
      <c r="I293" s="17"/>
      <c r="J293" s="17">
        <v>1794</v>
      </c>
      <c r="K293" s="17" t="n">
        <f aca="false">IF(AND(IFERROR(SEARCH("현대오일뱅크",$C293),0)&gt;0,IFERROR(SEARCH("직영",$C293),0)&gt;0),$B$13,0)</f>
        <v/>
      </c>
      <c r="L293" s="17" t="n">
        <f aca="false">IF($G293="","",$G293+$K293)</f>
        <v/>
      </c>
      <c r="M293" s="17" t="str">
        <f aca="false">IF($H293="","",$H293+$K293)</f>
        <v/>
      </c>
      <c r="N293" s="17" t="n">
        <f aca="false">IF($J293="","",$J293+$K293)</f>
        <v/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 t="str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 t="str">
        <f aca="false">IF($P293="","",IF($Q293="Y",IFERROR(VLOOKUP($B293,$C$4:$D$13,2,FALSE()),0),0))</f>
        <v/>
      </c>
      <c r="S293" s="17" t="str">
        <f aca="false">IF($P293="","",ROUNDDOWN($P293*$R293,0))</f>
        <v/>
      </c>
      <c r="T293" s="17" t="str">
        <f aca="false">IF($P293="","",$P293-$S293)</f>
        <v/>
      </c>
      <c r="U293" s="17" t="str">
        <f aca="false">IF($T293="","",IF($B$10=0,"",$T293/$B$10))</f>
        <v/>
      </c>
      <c r="V293" s="17" t="str">
        <f aca="false">IF($P293="","",IF($B$10=0,"",$P293/$B$10))</f>
        <v/>
      </c>
      <c r="W293" s="19" t="n">
        <f aca="false">IF($T293="",1000000000000000,$T293)</f>
        <v/>
      </c>
      <c r="XFB293" s="6"/>
      <c r="XFC293" s="3"/>
    </row>
    <row r="294" s="5" collapsed="false" customFormat="true" customHeight="true" hidden="false" ht="28.5" outlineLevel="0">
      <c r="A294" s="16" t="str">
        <f aca="false">IF($T294="","",1+COUNTIF($W$15:$W$894,"&lt;"&amp;W294))</f>
        <v/>
      </c>
      <c r="B294" s="16" t="s">
        <v>6</v>
      </c>
      <c r="C294" s="16" t="s">
        <v>614</v>
      </c>
      <c r="D294" s="20" t="s">
        <v>86</v>
      </c>
      <c r="E294" s="16" t="s">
        <v>26</v>
      </c>
      <c r="F294" s="16" t="s">
        <v>615</v>
      </c>
      <c r="G294" s="17">
        <v>1795</v>
      </c>
      <c r="H294" s="17"/>
      <c r="I294" s="17"/>
      <c r="J294" s="17">
        <v>1785</v>
      </c>
      <c r="K294" s="17" t="n">
        <f aca="false">IF(AND(IFERROR(SEARCH("현대오일뱅크",$C294),0)&gt;0,IFERROR(SEARCH("직영",$C294),0)&gt;0),$B$13,0)</f>
        <v/>
      </c>
      <c r="L294" s="17" t="n">
        <f aca="false">IF($G294="","",$G294+$K294)</f>
        <v/>
      </c>
      <c r="M294" s="17" t="str">
        <f aca="false">IF($H294="","",$H294+$K294)</f>
        <v/>
      </c>
      <c r="N294" s="17" t="n">
        <f aca="false">IF($J294="","",$J294+$K294)</f>
        <v/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 t="str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 t="str">
        <f aca="false">IF($P294="","",IF($Q294="Y",IFERROR(VLOOKUP($B294,$C$4:$D$13,2,FALSE()),0),0))</f>
        <v/>
      </c>
      <c r="S294" s="17" t="str">
        <f aca="false">IF($P294="","",ROUNDDOWN($P294*$R294,0))</f>
        <v/>
      </c>
      <c r="T294" s="17" t="str">
        <f aca="false">IF($P294="","",$P294-$S294)</f>
        <v/>
      </c>
      <c r="U294" s="17" t="str">
        <f aca="false">IF($T294="","",IF($B$10=0,"",$T294/$B$10))</f>
        <v/>
      </c>
      <c r="V294" s="17" t="str">
        <f aca="false">IF($P294="","",IF($B$10=0,"",$P294/$B$10))</f>
        <v/>
      </c>
      <c r="W294" s="19" t="n">
        <f aca="false">IF($T294="",1000000000000000,$T294)</f>
        <v/>
      </c>
      <c r="XFB294" s="6"/>
      <c r="XFC294" s="3"/>
    </row>
    <row r="295" s="5" collapsed="false" customFormat="true" customHeight="true" hidden="false" ht="28.5" outlineLevel="0">
      <c r="A295" s="16" t="str">
        <f aca="false">IF($T295="","",1+COUNTIF($W$15:$W$894,"&lt;"&amp;W295))</f>
        <v/>
      </c>
      <c r="B295" s="16" t="s">
        <v>6</v>
      </c>
      <c r="C295" s="16" t="s">
        <v>616</v>
      </c>
      <c r="D295" s="20" t="s">
        <v>86</v>
      </c>
      <c r="E295" s="16" t="s">
        <v>26</v>
      </c>
      <c r="F295" s="16" t="s">
        <v>617</v>
      </c>
      <c r="G295" s="17">
        <v>1795</v>
      </c>
      <c r="H295" s="17"/>
      <c r="I295" s="17"/>
      <c r="J295" s="17">
        <v>1785</v>
      </c>
      <c r="K295" s="17" t="n">
        <f aca="false">IF(AND(IFERROR(SEARCH("현대오일뱅크",$C295),0)&gt;0,IFERROR(SEARCH("직영",$C295),0)&gt;0),$B$13,0)</f>
        <v/>
      </c>
      <c r="L295" s="17" t="n">
        <f aca="false">IF($G295="","",$G295+$K295)</f>
        <v/>
      </c>
      <c r="M295" s="17" t="str">
        <f aca="false">IF($H295="","",$H295+$K295)</f>
        <v/>
      </c>
      <c r="N295" s="17" t="n">
        <f aca="false">IF($J295="","",$J295+$K295)</f>
        <v/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 t="str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 t="str">
        <f aca="false">IF($P295="","",IF($Q295="Y",IFERROR(VLOOKUP($B295,$C$4:$D$13,2,FALSE()),0),0))</f>
        <v/>
      </c>
      <c r="S295" s="17" t="str">
        <f aca="false">IF($P295="","",ROUNDDOWN($P295*$R295,0))</f>
        <v/>
      </c>
      <c r="T295" s="17" t="str">
        <f aca="false">IF($P295="","",$P295-$S295)</f>
        <v/>
      </c>
      <c r="U295" s="17" t="str">
        <f aca="false">IF($T295="","",IF($B$10=0,"",$T295/$B$10))</f>
        <v/>
      </c>
      <c r="V295" s="17" t="str">
        <f aca="false">IF($P295="","",IF($B$10=0,"",$P295/$B$10))</f>
        <v/>
      </c>
      <c r="W295" s="19" t="n">
        <f aca="false">IF($T295="",1000000000000000,$T295)</f>
        <v/>
      </c>
      <c r="XFB295" s="6"/>
      <c r="XFC295" s="3"/>
    </row>
    <row r="296" s="5" collapsed="false" customFormat="true" customHeight="true" hidden="false" ht="28.5" outlineLevel="0">
      <c r="A296" s="16" t="str">
        <f aca="false">IF($T296="","",1+COUNTIF($W$15:$W$894,"&lt;"&amp;W296))</f>
        <v/>
      </c>
      <c r="B296" s="16" t="s">
        <v>6</v>
      </c>
      <c r="C296" s="16" t="s">
        <v>618</v>
      </c>
      <c r="D296" s="16" t="s">
        <v>45</v>
      </c>
      <c r="E296" s="16" t="s">
        <v>26</v>
      </c>
      <c r="F296" s="16" t="s">
        <v>619</v>
      </c>
      <c r="G296" s="17">
        <v>1795</v>
      </c>
      <c r="H296" s="17"/>
      <c r="I296" s="17"/>
      <c r="J296" s="17">
        <v>1785</v>
      </c>
      <c r="K296" s="17" t="n">
        <f aca="false">IF(AND(IFERROR(SEARCH("현대오일뱅크",$C296),0)&gt;0,IFERROR(SEARCH("직영",$C296),0)&gt;0),$B$13,0)</f>
        <v/>
      </c>
      <c r="L296" s="17" t="n">
        <f aca="false">IF($G296="","",$G296+$K296)</f>
        <v/>
      </c>
      <c r="M296" s="17" t="str">
        <f aca="false">IF($H296="","",$H296+$K296)</f>
        <v/>
      </c>
      <c r="N296" s="17" t="n">
        <f aca="false">IF($J296="","",$J296+$K296)</f>
        <v/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 t="str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 t="str">
        <f aca="false">IF($P296="","",IF($Q296="Y",IFERROR(VLOOKUP($B296,$C$4:$D$13,2,FALSE()),0),0))</f>
        <v/>
      </c>
      <c r="S296" s="17" t="str">
        <f aca="false">IF($P296="","",ROUNDDOWN($P296*$R296,0))</f>
        <v/>
      </c>
      <c r="T296" s="17" t="str">
        <f aca="false">IF($P296="","",$P296-$S296)</f>
        <v/>
      </c>
      <c r="U296" s="17" t="str">
        <f aca="false">IF($T296="","",IF($B$10=0,"",$T296/$B$10))</f>
        <v/>
      </c>
      <c r="V296" s="17" t="str">
        <f aca="false">IF($P296="","",IF($B$10=0,"",$P296/$B$10))</f>
        <v/>
      </c>
      <c r="W296" s="19" t="n">
        <f aca="false">IF($T296="",1000000000000000,$T296)</f>
        <v/>
      </c>
      <c r="XFB296" s="6"/>
      <c r="XFC296" s="3"/>
    </row>
    <row r="297" s="5" collapsed="false" customFormat="true" customHeight="true" hidden="false" ht="28.5" outlineLevel="0">
      <c r="A297" s="16" t="str">
        <f aca="false">IF($T297="","",1+COUNTIF($W$15:$W$894,"&lt;"&amp;W297))</f>
        <v/>
      </c>
      <c r="B297" s="16" t="s">
        <v>6</v>
      </c>
      <c r="C297" s="16" t="s">
        <v>620</v>
      </c>
      <c r="D297" s="16" t="s">
        <v>95</v>
      </c>
      <c r="E297" s="16" t="s">
        <v>26</v>
      </c>
      <c r="F297" s="16" t="s">
        <v>621</v>
      </c>
      <c r="G297" s="17">
        <v>1795</v>
      </c>
      <c r="H297" s="17"/>
      <c r="I297" s="17"/>
      <c r="J297" s="17">
        <v>1785</v>
      </c>
      <c r="K297" s="17" t="n">
        <f aca="false">IF(AND(IFERROR(SEARCH("현대오일뱅크",$C297),0)&gt;0,IFERROR(SEARCH("직영",$C297),0)&gt;0),$B$13,0)</f>
        <v/>
      </c>
      <c r="L297" s="17" t="n">
        <f aca="false">IF($G297="","",$G297+$K297)</f>
        <v/>
      </c>
      <c r="M297" s="17" t="str">
        <f aca="false">IF($H297="","",$H297+$K297)</f>
        <v/>
      </c>
      <c r="N297" s="17" t="n">
        <f aca="false">IF($J297="","",$J297+$K297)</f>
        <v/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 t="str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 t="str">
        <f aca="false">IF($P297="","",IF($Q297="Y",IFERROR(VLOOKUP($B297,$C$4:$D$13,2,FALSE()),0),0))</f>
        <v/>
      </c>
      <c r="S297" s="17" t="str">
        <f aca="false">IF($P297="","",ROUNDDOWN($P297*$R297,0))</f>
        <v/>
      </c>
      <c r="T297" s="17" t="str">
        <f aca="false">IF($P297="","",$P297-$S297)</f>
        <v/>
      </c>
      <c r="U297" s="17" t="str">
        <f aca="false">IF($T297="","",IF($B$10=0,"",$T297/$B$10))</f>
        <v/>
      </c>
      <c r="V297" s="17" t="str">
        <f aca="false">IF($P297="","",IF($B$10=0,"",$P297/$B$10))</f>
        <v/>
      </c>
      <c r="W297" s="19" t="n">
        <f aca="false">IF($T297="",1000000000000000,$T297)</f>
        <v/>
      </c>
      <c r="XFB297" s="6"/>
      <c r="XFC297" s="3"/>
    </row>
    <row r="298" s="5" collapsed="false" customFormat="true" customHeight="true" hidden="false" ht="28.5" outlineLevel="0">
      <c r="A298" s="16" t="str">
        <f aca="false">IF($T298="","",1+COUNTIF($W$15:$W$894,"&lt;"&amp;W298))</f>
        <v/>
      </c>
      <c r="B298" s="16" t="s">
        <v>6</v>
      </c>
      <c r="C298" s="16" t="s">
        <v>622</v>
      </c>
      <c r="D298" s="16" t="s">
        <v>95</v>
      </c>
      <c r="E298" s="16" t="s">
        <v>26</v>
      </c>
      <c r="F298" s="16" t="s">
        <v>623</v>
      </c>
      <c r="G298" s="17">
        <v>1795</v>
      </c>
      <c r="H298" s="17"/>
      <c r="I298" s="17"/>
      <c r="J298" s="17">
        <v>1795</v>
      </c>
      <c r="K298" s="17" t="n">
        <f aca="false">IF(AND(IFERROR(SEARCH("현대오일뱅크",$C298),0)&gt;0,IFERROR(SEARCH("직영",$C298),0)&gt;0),$B$13,0)</f>
        <v/>
      </c>
      <c r="L298" s="17" t="n">
        <f aca="false">IF($G298="","",$G298+$K298)</f>
        <v/>
      </c>
      <c r="M298" s="17" t="str">
        <f aca="false">IF($H298="","",$H298+$K298)</f>
        <v/>
      </c>
      <c r="N298" s="17" t="n">
        <f aca="false">IF($J298="","",$J298+$K298)</f>
        <v/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 t="str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 t="str">
        <f aca="false">IF($P298="","",IF($Q298="Y",IFERROR(VLOOKUP($B298,$C$4:$D$13,2,FALSE()),0),0))</f>
        <v/>
      </c>
      <c r="S298" s="17" t="str">
        <f aca="false">IF($P298="","",ROUNDDOWN($P298*$R298,0))</f>
        <v/>
      </c>
      <c r="T298" s="17" t="str">
        <f aca="false">IF($P298="","",$P298-$S298)</f>
        <v/>
      </c>
      <c r="U298" s="17" t="str">
        <f aca="false">IF($T298="","",IF($B$10=0,"",$T298/$B$10))</f>
        <v/>
      </c>
      <c r="V298" s="17" t="str">
        <f aca="false">IF($P298="","",IF($B$10=0,"",$P298/$B$10))</f>
        <v/>
      </c>
      <c r="W298" s="19" t="n">
        <f aca="false">IF($T298="",1000000000000000,$T298)</f>
        <v/>
      </c>
      <c r="XFB298" s="6"/>
      <c r="XFC298" s="3"/>
    </row>
    <row r="299" s="5" collapsed="false" customFormat="true" customHeight="true" hidden="false" ht="28.5" outlineLevel="0">
      <c r="A299" s="16" t="str">
        <f aca="false">IF($T299="","",1+COUNTIF($W$15:$W$894,"&lt;"&amp;W299))</f>
        <v/>
      </c>
      <c r="B299" s="16" t="s">
        <v>6</v>
      </c>
      <c r="C299" s="16" t="s">
        <v>624</v>
      </c>
      <c r="D299" s="16" t="s">
        <v>45</v>
      </c>
      <c r="E299" s="16" t="s">
        <v>26</v>
      </c>
      <c r="F299" s="16" t="s">
        <v>625</v>
      </c>
      <c r="G299" s="17">
        <v>1795</v>
      </c>
      <c r="H299" s="17"/>
      <c r="I299" s="17"/>
      <c r="J299" s="17">
        <v>1795</v>
      </c>
      <c r="K299" s="17" t="n">
        <f aca="false">IF(AND(IFERROR(SEARCH("현대오일뱅크",$C299),0)&gt;0,IFERROR(SEARCH("직영",$C299),0)&gt;0),$B$13,0)</f>
        <v/>
      </c>
      <c r="L299" s="17" t="n">
        <f aca="false">IF($G299="","",$G299+$K299)</f>
        <v/>
      </c>
      <c r="M299" s="17" t="str">
        <f aca="false">IF($H299="","",$H299+$K299)</f>
        <v/>
      </c>
      <c r="N299" s="17" t="n">
        <f aca="false">IF($J299="","",$J299+$K299)</f>
        <v/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 t="str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 t="str">
        <f aca="false">IF($P299="","",IF($Q299="Y",IFERROR(VLOOKUP($B299,$C$4:$D$13,2,FALSE()),0),0))</f>
        <v/>
      </c>
      <c r="S299" s="17" t="str">
        <f aca="false">IF($P299="","",ROUNDDOWN($P299*$R299,0))</f>
        <v/>
      </c>
      <c r="T299" s="17" t="str">
        <f aca="false">IF($P299="","",$P299-$S299)</f>
        <v/>
      </c>
      <c r="U299" s="17" t="str">
        <f aca="false">IF($T299="","",IF($B$10=0,"",$T299/$B$10))</f>
        <v/>
      </c>
      <c r="V299" s="17" t="str">
        <f aca="false">IF($P299="","",IF($B$10=0,"",$P299/$B$10))</f>
        <v/>
      </c>
      <c r="W299" s="19" t="n">
        <f aca="false">IF($T299="",1000000000000000,$T299)</f>
        <v/>
      </c>
      <c r="XFB299" s="6"/>
      <c r="XFC299" s="3"/>
    </row>
    <row r="300" s="5" collapsed="false" customFormat="true" customHeight="true" hidden="false" ht="28.5" outlineLevel="0">
      <c r="A300" s="16" t="str">
        <f aca="false">IF($T300="","",1+COUNTIF($W$15:$W$894,"&lt;"&amp;W300))</f>
        <v/>
      </c>
      <c r="B300" s="16" t="s">
        <v>6</v>
      </c>
      <c r="C300" s="16" t="s">
        <v>626</v>
      </c>
      <c r="D300" s="16" t="s">
        <v>95</v>
      </c>
      <c r="E300" s="16" t="s">
        <v>26</v>
      </c>
      <c r="F300" s="16" t="s">
        <v>627</v>
      </c>
      <c r="G300" s="17">
        <v>1795</v>
      </c>
      <c r="H300" s="17"/>
      <c r="I300" s="17"/>
      <c r="J300" s="17">
        <v>1795</v>
      </c>
      <c r="K300" s="17" t="n">
        <f aca="false">IF(AND(IFERROR(SEARCH("현대오일뱅크",$C300),0)&gt;0,IFERROR(SEARCH("직영",$C300),0)&gt;0),$B$13,0)</f>
        <v/>
      </c>
      <c r="L300" s="17" t="n">
        <f aca="false">IF($G300="","",$G300+$K300)</f>
        <v/>
      </c>
      <c r="M300" s="17" t="str">
        <f aca="false">IF($H300="","",$H300+$K300)</f>
        <v/>
      </c>
      <c r="N300" s="17" t="n">
        <f aca="false">IF($J300="","",$J300+$K300)</f>
        <v/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 t="str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 t="str">
        <f aca="false">IF($P300="","",IF($Q300="Y",IFERROR(VLOOKUP($B300,$C$4:$D$13,2,FALSE()),0),0))</f>
        <v/>
      </c>
      <c r="S300" s="17" t="str">
        <f aca="false">IF($P300="","",ROUNDDOWN($P300*$R300,0))</f>
        <v/>
      </c>
      <c r="T300" s="17" t="str">
        <f aca="false">IF($P300="","",$P300-$S300)</f>
        <v/>
      </c>
      <c r="U300" s="17" t="str">
        <f aca="false">IF($T300="","",IF($B$10=0,"",$T300/$B$10))</f>
        <v/>
      </c>
      <c r="V300" s="17" t="str">
        <f aca="false">IF($P300="","",IF($B$10=0,"",$P300/$B$10))</f>
        <v/>
      </c>
      <c r="W300" s="19" t="n">
        <f aca="false">IF($T300="",1000000000000000,$T300)</f>
        <v/>
      </c>
      <c r="XFB300" s="6"/>
      <c r="XFC300" s="3"/>
    </row>
    <row r="301" s="5" collapsed="false" customFormat="true" customHeight="true" hidden="false" ht="28.5" outlineLevel="0">
      <c r="A301" s="16" t="str">
        <f aca="false">IF($T301="","",1+COUNTIF($W$15:$W$894,"&lt;"&amp;W301))</f>
        <v/>
      </c>
      <c r="B301" s="16" t="s">
        <v>6</v>
      </c>
      <c r="C301" s="16" t="s">
        <v>628</v>
      </c>
      <c r="D301" s="16" t="s">
        <v>45</v>
      </c>
      <c r="E301" s="16" t="s">
        <v>26</v>
      </c>
      <c r="F301" s="16" t="s">
        <v>629</v>
      </c>
      <c r="G301" s="17">
        <v>1795</v>
      </c>
      <c r="H301" s="17"/>
      <c r="I301" s="17"/>
      <c r="J301" s="17">
        <v>1795</v>
      </c>
      <c r="K301" s="17" t="n">
        <f aca="false">IF(AND(IFERROR(SEARCH("현대오일뱅크",$C301),0)&gt;0,IFERROR(SEARCH("직영",$C301),0)&gt;0),$B$13,0)</f>
        <v/>
      </c>
      <c r="L301" s="17" t="n">
        <f aca="false">IF($G301="","",$G301+$K301)</f>
        <v/>
      </c>
      <c r="M301" s="17" t="str">
        <f aca="false">IF($H301="","",$H301+$K301)</f>
        <v/>
      </c>
      <c r="N301" s="17" t="n">
        <f aca="false">IF($J301="","",$J301+$K301)</f>
        <v/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 t="str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 t="str">
        <f aca="false">IF($P301="","",IF($Q301="Y",IFERROR(VLOOKUP($B301,$C$4:$D$13,2,FALSE()),0),0))</f>
        <v/>
      </c>
      <c r="S301" s="17" t="str">
        <f aca="false">IF($P301="","",ROUNDDOWN($P301*$R301,0))</f>
        <v/>
      </c>
      <c r="T301" s="17" t="str">
        <f aca="false">IF($P301="","",$P301-$S301)</f>
        <v/>
      </c>
      <c r="U301" s="17" t="str">
        <f aca="false">IF($T301="","",IF($B$10=0,"",$T301/$B$10))</f>
        <v/>
      </c>
      <c r="V301" s="17" t="str">
        <f aca="false">IF($P301="","",IF($B$10=0,"",$P301/$B$10))</f>
        <v/>
      </c>
      <c r="W301" s="19" t="n">
        <f aca="false">IF($T301="",1000000000000000,$T301)</f>
        <v/>
      </c>
      <c r="XFB301" s="6"/>
      <c r="XFC301" s="3"/>
    </row>
    <row r="302" s="5" collapsed="false" customFormat="true" customHeight="true" hidden="false" ht="28.5" outlineLevel="0">
      <c r="A302" s="16" t="str">
        <f aca="false">IF($T302="","",1+COUNTIF($W$15:$W$894,"&lt;"&amp;W302))</f>
        <v/>
      </c>
      <c r="B302" s="16" t="s">
        <v>6</v>
      </c>
      <c r="C302" s="16" t="s">
        <v>630</v>
      </c>
      <c r="D302" s="16" t="s">
        <v>95</v>
      </c>
      <c r="E302" s="16" t="s">
        <v>26</v>
      </c>
      <c r="F302" s="16" t="s">
        <v>631</v>
      </c>
      <c r="G302" s="17">
        <v>1795</v>
      </c>
      <c r="H302" s="17"/>
      <c r="I302" s="17"/>
      <c r="J302" s="17">
        <v>1795</v>
      </c>
      <c r="K302" s="17" t="n">
        <f aca="false">IF(AND(IFERROR(SEARCH("현대오일뱅크",$C302),0)&gt;0,IFERROR(SEARCH("직영",$C302),0)&gt;0),$B$13,0)</f>
        <v/>
      </c>
      <c r="L302" s="17" t="n">
        <f aca="false">IF($G302="","",$G302+$K302)</f>
        <v/>
      </c>
      <c r="M302" s="17" t="str">
        <f aca="false">IF($H302="","",$H302+$K302)</f>
        <v/>
      </c>
      <c r="N302" s="17" t="n">
        <f aca="false">IF($J302="","",$J302+$K302)</f>
        <v/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 t="str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 t="str">
        <f aca="false">IF($P302="","",IF($Q302="Y",IFERROR(VLOOKUP($B302,$C$4:$D$13,2,FALSE()),0),0))</f>
        <v/>
      </c>
      <c r="S302" s="17" t="str">
        <f aca="false">IF($P302="","",ROUNDDOWN($P302*$R302,0))</f>
        <v/>
      </c>
      <c r="T302" s="17" t="str">
        <f aca="false">IF($P302="","",$P302-$S302)</f>
        <v/>
      </c>
      <c r="U302" s="17" t="str">
        <f aca="false">IF($T302="","",IF($B$10=0,"",$T302/$B$10))</f>
        <v/>
      </c>
      <c r="V302" s="17" t="str">
        <f aca="false">IF($P302="","",IF($B$10=0,"",$P302/$B$10))</f>
        <v/>
      </c>
      <c r="W302" s="19" t="n">
        <f aca="false">IF($T302="",1000000000000000,$T302)</f>
        <v/>
      </c>
      <c r="XFB302" s="6"/>
      <c r="XFC302" s="3"/>
    </row>
    <row r="303" s="5" collapsed="false" customFormat="true" customHeight="true" hidden="false" ht="28.5" outlineLevel="0">
      <c r="A303" s="16" t="str">
        <f aca="false">IF($T303="","",1+COUNTIF($W$15:$W$894,"&lt;"&amp;W303))</f>
        <v/>
      </c>
      <c r="B303" s="16" t="s">
        <v>6</v>
      </c>
      <c r="C303" s="16" t="s">
        <v>632</v>
      </c>
      <c r="D303" s="20" t="s">
        <v>86</v>
      </c>
      <c r="E303" s="16" t="s">
        <v>26</v>
      </c>
      <c r="F303" s="16" t="s">
        <v>633</v>
      </c>
      <c r="G303" s="17">
        <v>1795</v>
      </c>
      <c r="H303" s="17"/>
      <c r="I303" s="17"/>
      <c r="J303" s="17">
        <v>1795</v>
      </c>
      <c r="K303" s="17" t="n">
        <f aca="false">IF(AND(IFERROR(SEARCH("현대오일뱅크",$C303),0)&gt;0,IFERROR(SEARCH("직영",$C303),0)&gt;0),$B$13,0)</f>
        <v/>
      </c>
      <c r="L303" s="17" t="n">
        <f aca="false">IF($G303="","",$G303+$K303)</f>
        <v/>
      </c>
      <c r="M303" s="17" t="str">
        <f aca="false">IF($H303="","",$H303+$K303)</f>
        <v/>
      </c>
      <c r="N303" s="17" t="n">
        <f aca="false">IF($J303="","",$J303+$K303)</f>
        <v/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 t="str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 t="str">
        <f aca="false">IF($P303="","",IF($Q303="Y",IFERROR(VLOOKUP($B303,$C$4:$D$13,2,FALSE()),0),0))</f>
        <v/>
      </c>
      <c r="S303" s="17" t="str">
        <f aca="false">IF($P303="","",ROUNDDOWN($P303*$R303,0))</f>
        <v/>
      </c>
      <c r="T303" s="17" t="str">
        <f aca="false">IF($P303="","",$P303-$S303)</f>
        <v/>
      </c>
      <c r="U303" s="17" t="str">
        <f aca="false">IF($T303="","",IF($B$10=0,"",$T303/$B$10))</f>
        <v/>
      </c>
      <c r="V303" s="17" t="str">
        <f aca="false">IF($P303="","",IF($B$10=0,"",$P303/$B$10))</f>
        <v/>
      </c>
      <c r="W303" s="19" t="n">
        <f aca="false">IF($T303="",1000000000000000,$T303)</f>
        <v/>
      </c>
      <c r="XFB303" s="6"/>
      <c r="XFC303" s="3"/>
    </row>
    <row r="304" s="5" collapsed="false" customFormat="true" customHeight="true" hidden="false" ht="28.5" outlineLevel="0">
      <c r="A304" s="16" t="str">
        <f aca="false">IF($T304="","",1+COUNTIF($W$15:$W$894,"&lt;"&amp;W304))</f>
        <v/>
      </c>
      <c r="B304" s="16" t="s">
        <v>6</v>
      </c>
      <c r="C304" s="16" t="s">
        <v>634</v>
      </c>
      <c r="D304" s="16" t="s">
        <v>45</v>
      </c>
      <c r="E304" s="16" t="s">
        <v>26</v>
      </c>
      <c r="F304" s="16" t="s">
        <v>635</v>
      </c>
      <c r="G304" s="17">
        <v>1795</v>
      </c>
      <c r="H304" s="17"/>
      <c r="I304" s="17"/>
      <c r="J304" s="17">
        <v>1795</v>
      </c>
      <c r="K304" s="17" t="n">
        <f aca="false">IF(AND(IFERROR(SEARCH("현대오일뱅크",$C304),0)&gt;0,IFERROR(SEARCH("직영",$C304),0)&gt;0),$B$13,0)</f>
        <v/>
      </c>
      <c r="L304" s="17" t="n">
        <f aca="false">IF($G304="","",$G304+$K304)</f>
        <v/>
      </c>
      <c r="M304" s="17" t="str">
        <f aca="false">IF($H304="","",$H304+$K304)</f>
        <v/>
      </c>
      <c r="N304" s="17" t="n">
        <f aca="false">IF($J304="","",$J304+$K304)</f>
        <v/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 t="str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 t="str">
        <f aca="false">IF($P304="","",IF($Q304="Y",IFERROR(VLOOKUP($B304,$C$4:$D$13,2,FALSE()),0),0))</f>
        <v/>
      </c>
      <c r="S304" s="17" t="str">
        <f aca="false">IF($P304="","",ROUNDDOWN($P304*$R304,0))</f>
        <v/>
      </c>
      <c r="T304" s="17" t="str">
        <f aca="false">IF($P304="","",$P304-$S304)</f>
        <v/>
      </c>
      <c r="U304" s="17" t="str">
        <f aca="false">IF($T304="","",IF($B$10=0,"",$T304/$B$10))</f>
        <v/>
      </c>
      <c r="V304" s="17" t="str">
        <f aca="false">IF($P304="","",IF($B$10=0,"",$P304/$B$10))</f>
        <v/>
      </c>
      <c r="W304" s="19" t="n">
        <f aca="false">IF($T304="",1000000000000000,$T304)</f>
        <v/>
      </c>
      <c r="XFB304" s="6"/>
      <c r="XFC304" s="3"/>
    </row>
    <row r="305" s="5" collapsed="false" customFormat="true" customHeight="true" hidden="false" ht="28.5" outlineLevel="0">
      <c r="A305" s="16" t="str">
        <f aca="false">IF($T305="","",1+COUNTIF($W$15:$W$894,"&lt;"&amp;W305))</f>
        <v/>
      </c>
      <c r="B305" s="16" t="s">
        <v>8</v>
      </c>
      <c r="C305" s="16" t="s">
        <v>636</v>
      </c>
      <c r="D305" s="16" t="s">
        <v>51</v>
      </c>
      <c r="E305" s="16" t="s">
        <v>26</v>
      </c>
      <c r="F305" s="16" t="s">
        <v>637</v>
      </c>
      <c r="G305" s="17">
        <v>1795</v>
      </c>
      <c r="H305" s="17"/>
      <c r="I305" s="17"/>
      <c r="J305" s="17">
        <v>1795</v>
      </c>
      <c r="K305" s="17" t="n">
        <f aca="false">IF(AND(IFERROR(SEARCH("현대오일뱅크",$C305),0)&gt;0,IFERROR(SEARCH("직영",$C305),0)&gt;0),$B$13,0)</f>
        <v/>
      </c>
      <c r="L305" s="17" t="n">
        <f aca="false">IF($G305="","",$G305+$K305)</f>
        <v/>
      </c>
      <c r="M305" s="17" t="str">
        <f aca="false">IF($H305="","",$H305+$K305)</f>
        <v/>
      </c>
      <c r="N305" s="17" t="n">
        <f aca="false">IF($J305="","",$J305+$K305)</f>
        <v/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 t="str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 t="str">
        <f aca="false">IF($P305="","",IF($Q305="Y",IFERROR(VLOOKUP($B305,$C$4:$D$13,2,FALSE()),0),0))</f>
        <v/>
      </c>
      <c r="S305" s="17" t="str">
        <f aca="false">IF($P305="","",ROUNDDOWN($P305*$R305,0))</f>
        <v/>
      </c>
      <c r="T305" s="17" t="str">
        <f aca="false">IF($P305="","",$P305-$S305)</f>
        <v/>
      </c>
      <c r="U305" s="17" t="str">
        <f aca="false">IF($T305="","",IF($B$10=0,"",$T305/$B$10))</f>
        <v/>
      </c>
      <c r="V305" s="17" t="str">
        <f aca="false">IF($P305="","",IF($B$10=0,"",$P305/$B$10))</f>
        <v/>
      </c>
      <c r="W305" s="19" t="n">
        <f aca="false">IF($T305="",1000000000000000,$T305)</f>
        <v/>
      </c>
      <c r="XFB305" s="6"/>
      <c r="XFC305" s="3"/>
    </row>
    <row r="306" s="5" collapsed="false" customFormat="true" customHeight="true" hidden="false" ht="28.5" outlineLevel="0">
      <c r="A306" s="16" t="str">
        <f aca="false">IF($T306="","",1+COUNTIF($W$15:$W$894,"&lt;"&amp;W306))</f>
        <v/>
      </c>
      <c r="B306" s="16" t="s">
        <v>12</v>
      </c>
      <c r="C306" s="16" t="s">
        <v>638</v>
      </c>
      <c r="D306" s="20" t="s">
        <v>45</v>
      </c>
      <c r="E306" s="16" t="s">
        <v>26</v>
      </c>
      <c r="F306" s="16" t="s">
        <v>639</v>
      </c>
      <c r="G306" s="17">
        <v>1795</v>
      </c>
      <c r="H306" s="17"/>
      <c r="I306" s="17"/>
      <c r="J306" s="17">
        <v>1795</v>
      </c>
      <c r="K306" s="17" t="n">
        <f aca="false">IF(AND(IFERROR(SEARCH("현대오일뱅크",$C306),0)&gt;0,IFERROR(SEARCH("직영",$C306),0)&gt;0),$B$13,0)</f>
        <v/>
      </c>
      <c r="L306" s="17" t="n">
        <f aca="false">IF($G306="","",$G306+$K306)</f>
        <v/>
      </c>
      <c r="M306" s="17" t="str">
        <f aca="false">IF($H306="","",$H306+$K306)</f>
        <v/>
      </c>
      <c r="N306" s="17" t="n">
        <f aca="false">IF($J306="","",$J306+$K306)</f>
        <v/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 t="str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 t="str">
        <f aca="false">IF($P306="","",IF($Q306="Y",IFERROR(VLOOKUP($B306,$C$4:$D$13,2,FALSE()),0),0))</f>
        <v/>
      </c>
      <c r="S306" s="17" t="str">
        <f aca="false">IF($P306="","",ROUNDDOWN($P306*$R306,0))</f>
        <v/>
      </c>
      <c r="T306" s="17" t="str">
        <f aca="false">IF($P306="","",$P306-$S306)</f>
        <v/>
      </c>
      <c r="U306" s="17" t="str">
        <f aca="false">IF($T306="","",IF($B$10=0,"",$T306/$B$10))</f>
        <v/>
      </c>
      <c r="V306" s="17" t="str">
        <f aca="false">IF($P306="","",IF($B$10=0,"",$P306/$B$10))</f>
        <v/>
      </c>
      <c r="W306" s="19" t="n">
        <f aca="false">IF($T306="",1000000000000000,$T306)</f>
        <v/>
      </c>
      <c r="XFB306" s="6"/>
      <c r="XFC306" s="3"/>
    </row>
    <row r="307" s="5" collapsed="false" customFormat="true" customHeight="true" hidden="false" ht="28.5" outlineLevel="0">
      <c r="A307" s="16" t="str">
        <f aca="false">IF($T307="","",1+COUNTIF($W$15:$W$894,"&lt;"&amp;W307))</f>
        <v/>
      </c>
      <c r="B307" s="16" t="s">
        <v>10</v>
      </c>
      <c r="C307" s="16" t="s">
        <v>640</v>
      </c>
      <c r="D307" s="20" t="s">
        <v>86</v>
      </c>
      <c r="E307" s="16" t="s">
        <v>26</v>
      </c>
      <c r="F307" s="16" t="s">
        <v>641</v>
      </c>
      <c r="G307" s="17">
        <v>1795</v>
      </c>
      <c r="H307" s="17"/>
      <c r="I307" s="17"/>
      <c r="J307" s="17">
        <v>1795</v>
      </c>
      <c r="K307" s="17" t="n">
        <f aca="false">IF(AND(IFERROR(SEARCH("현대오일뱅크",$C307),0)&gt;0,IFERROR(SEARCH("직영",$C307),0)&gt;0),$B$13,0)</f>
        <v/>
      </c>
      <c r="L307" s="17" t="n">
        <f aca="false">IF($G307="","",$G307+$K307)</f>
        <v/>
      </c>
      <c r="M307" s="17" t="str">
        <f aca="false">IF($H307="","",$H307+$K307)</f>
        <v/>
      </c>
      <c r="N307" s="17" t="n">
        <f aca="false">IF($J307="","",$J307+$K307)</f>
        <v/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 t="str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 t="str">
        <f aca="false">IF($P307="","",IF($Q307="Y",IFERROR(VLOOKUP($B307,$C$4:$D$13,2,FALSE()),0),0))</f>
        <v/>
      </c>
      <c r="S307" s="17" t="str">
        <f aca="false">IF($P307="","",ROUNDDOWN($P307*$R307,0))</f>
        <v/>
      </c>
      <c r="T307" s="17" t="str">
        <f aca="false">IF($P307="","",$P307-$S307)</f>
        <v/>
      </c>
      <c r="U307" s="17" t="str">
        <f aca="false">IF($T307="","",IF($B$10=0,"",$T307/$B$10))</f>
        <v/>
      </c>
      <c r="V307" s="17" t="str">
        <f aca="false">IF($P307="","",IF($B$10=0,"",$P307/$B$10))</f>
        <v/>
      </c>
      <c r="W307" s="19" t="n">
        <f aca="false">IF($T307="",1000000000000000,$T307)</f>
        <v/>
      </c>
      <c r="XFB307" s="6"/>
      <c r="XFC307" s="3"/>
    </row>
    <row r="308" s="5" collapsed="false" customFormat="true" customHeight="true" hidden="false" ht="28.5" outlineLevel="0">
      <c r="A308" s="16" t="str">
        <f aca="false">IF($T308="","",1+COUNTIF($W$15:$W$894,"&lt;"&amp;W308))</f>
        <v/>
      </c>
      <c r="B308" s="16" t="s">
        <v>10</v>
      </c>
      <c r="C308" s="16" t="s">
        <v>703</v>
      </c>
      <c r="D308" s="16" t="s">
        <v>95</v>
      </c>
      <c r="E308" s="16" t="s">
        <v>26</v>
      </c>
      <c r="F308" s="16" t="s">
        <v>704</v>
      </c>
      <c r="G308" s="17">
        <v>1795</v>
      </c>
      <c r="H308" s="17"/>
      <c r="I308" s="17"/>
      <c r="J308" s="17">
        <v>1795</v>
      </c>
      <c r="K308" s="17" t="n">
        <f aca="false">IF(AND(IFERROR(SEARCH("현대오일뱅크",$C308),0)&gt;0,IFERROR(SEARCH("직영",$C308),0)&gt;0),$B$13,0)</f>
        <v/>
      </c>
      <c r="L308" s="17" t="n">
        <f aca="false">IF($G308="","",$G308+$K308)</f>
        <v/>
      </c>
      <c r="M308" s="17" t="str">
        <f aca="false">IF($H308="","",$H308+$K308)</f>
        <v/>
      </c>
      <c r="N308" s="17" t="n">
        <f aca="false">IF($J308="","",$J308+$K308)</f>
        <v/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 t="str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 t="str">
        <f aca="false">IF($P308="","",IF($Q308="Y",IFERROR(VLOOKUP($B308,$C$4:$D$13,2,FALSE()),0),0))</f>
        <v/>
      </c>
      <c r="S308" s="17" t="str">
        <f aca="false">IF($P308="","",ROUNDDOWN($P308*$R308,0))</f>
        <v/>
      </c>
      <c r="T308" s="17" t="str">
        <f aca="false">IF($P308="","",$P308-$S308)</f>
        <v/>
      </c>
      <c r="U308" s="17" t="str">
        <f aca="false">IF($T308="","",IF($B$10=0,"",$T308/$B$10))</f>
        <v/>
      </c>
      <c r="V308" s="17" t="str">
        <f aca="false">IF($P308="","",IF($B$10=0,"",$P308/$B$10))</f>
        <v/>
      </c>
      <c r="W308" s="19" t="n">
        <f aca="false">IF($T308="",1000000000000000,$T308)</f>
        <v/>
      </c>
      <c r="XFB308" s="6"/>
      <c r="XFC308" s="3"/>
    </row>
    <row r="309" s="5" collapsed="false" customFormat="true" customHeight="true" hidden="false" ht="28.5" outlineLevel="0">
      <c r="A309" s="16" t="str">
        <f aca="false">IF($T309="","",1+COUNTIF($W$15:$W$894,"&lt;"&amp;W309))</f>
        <v/>
      </c>
      <c r="B309" s="16" t="s">
        <v>6</v>
      </c>
      <c r="C309" s="16" t="s">
        <v>642</v>
      </c>
      <c r="D309" s="16" t="s">
        <v>393</v>
      </c>
      <c r="E309" s="16" t="s">
        <v>63</v>
      </c>
      <c r="F309" s="16" t="s">
        <v>643</v>
      </c>
      <c r="G309" s="17">
        <v>1795</v>
      </c>
      <c r="H309" s="17"/>
      <c r="I309" s="17"/>
      <c r="J309" s="17">
        <v>1797</v>
      </c>
      <c r="K309" s="17" t="n">
        <f aca="false">IF(AND(IFERROR(SEARCH("현대오일뱅크",$C309),0)&gt;0,IFERROR(SEARCH("직영",$C309),0)&gt;0),$B$13,0)</f>
        <v/>
      </c>
      <c r="L309" s="17" t="n">
        <f aca="false">IF($G309="","",$G309+$K309)</f>
        <v/>
      </c>
      <c r="M309" s="17" t="str">
        <f aca="false">IF($H309="","",$H309+$K309)</f>
        <v/>
      </c>
      <c r="N309" s="17" t="n">
        <f aca="false">IF($J309="","",$J309+$K309)</f>
        <v/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 t="str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 t="str">
        <f aca="false">IF($P309="","",IF($Q309="Y",IFERROR(VLOOKUP($B309,$C$4:$D$13,2,FALSE()),0),0))</f>
        <v/>
      </c>
      <c r="S309" s="17" t="str">
        <f aca="false">IF($P309="","",ROUNDDOWN($P309*$R309,0))</f>
        <v/>
      </c>
      <c r="T309" s="17" t="str">
        <f aca="false">IF($P309="","",$P309-$S309)</f>
        <v/>
      </c>
      <c r="U309" s="17" t="str">
        <f aca="false">IF($T309="","",IF($B$10=0,"",$T309/$B$10))</f>
        <v/>
      </c>
      <c r="V309" s="17" t="str">
        <f aca="false">IF($P309="","",IF($B$10=0,"",$P309/$B$10))</f>
        <v/>
      </c>
      <c r="W309" s="19" t="n">
        <f aca="false">IF($T309="",1000000000000000,$T309)</f>
        <v/>
      </c>
      <c r="XFB309" s="6"/>
      <c r="XFC309" s="3"/>
    </row>
    <row r="310" s="5" collapsed="false" customFormat="true" customHeight="true" hidden="false" ht="28.5" outlineLevel="0">
      <c r="A310" s="16" t="str">
        <f aca="false">IF($T310="","",1+COUNTIF($W$15:$W$894,"&lt;"&amp;W310))</f>
        <v/>
      </c>
      <c r="B310" s="16" t="s">
        <v>6</v>
      </c>
      <c r="C310" s="16" t="s">
        <v>644</v>
      </c>
      <c r="D310" s="16" t="s">
        <v>51</v>
      </c>
      <c r="E310" s="16" t="s">
        <v>26</v>
      </c>
      <c r="F310" s="16" t="s">
        <v>645</v>
      </c>
      <c r="G310" s="17">
        <v>1795</v>
      </c>
      <c r="H310" s="17"/>
      <c r="I310" s="17"/>
      <c r="J310" s="17">
        <v>1798</v>
      </c>
      <c r="K310" s="17" t="n">
        <f aca="false">IF(AND(IFERROR(SEARCH("현대오일뱅크",$C310),0)&gt;0,IFERROR(SEARCH("직영",$C310),0)&gt;0),$B$13,0)</f>
        <v/>
      </c>
      <c r="L310" s="17" t="n">
        <f aca="false">IF($G310="","",$G310+$K310)</f>
        <v/>
      </c>
      <c r="M310" s="17" t="str">
        <f aca="false">IF($H310="","",$H310+$K310)</f>
        <v/>
      </c>
      <c r="N310" s="17" t="n">
        <f aca="false">IF($J310="","",$J310+$K310)</f>
        <v/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 t="str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 t="str">
        <f aca="false">IF($P310="","",IF($Q310="Y",IFERROR(VLOOKUP($B310,$C$4:$D$13,2,FALSE()),0),0))</f>
        <v/>
      </c>
      <c r="S310" s="17" t="str">
        <f aca="false">IF($P310="","",ROUNDDOWN($P310*$R310,0))</f>
        <v/>
      </c>
      <c r="T310" s="17" t="str">
        <f aca="false">IF($P310="","",$P310-$S310)</f>
        <v/>
      </c>
      <c r="U310" s="17" t="str">
        <f aca="false">IF($T310="","",IF($B$10=0,"",$T310/$B$10))</f>
        <v/>
      </c>
      <c r="V310" s="17" t="str">
        <f aca="false">IF($P310="","",IF($B$10=0,"",$P310/$B$10))</f>
        <v/>
      </c>
      <c r="W310" s="19" t="n">
        <f aca="false">IF($T310="",1000000000000000,$T310)</f>
        <v/>
      </c>
      <c r="XFB310" s="6"/>
      <c r="XFC310" s="3"/>
    </row>
    <row r="311" s="5" collapsed="false" customFormat="true" customHeight="true" hidden="false" ht="28.5" outlineLevel="0">
      <c r="A311" s="16" t="str">
        <f aca="false">IF($T311="","",1+COUNTIF($W$15:$W$894,"&lt;"&amp;W311))</f>
        <v/>
      </c>
      <c r="B311" s="16" t="s">
        <v>6</v>
      </c>
      <c r="C311" s="16" t="s">
        <v>616</v>
      </c>
      <c r="D311" s="16" t="s">
        <v>45</v>
      </c>
      <c r="E311" s="16" t="s">
        <v>26</v>
      </c>
      <c r="F311" s="16" t="s">
        <v>646</v>
      </c>
      <c r="G311" s="17">
        <v>1795</v>
      </c>
      <c r="H311" s="17"/>
      <c r="I311" s="17"/>
      <c r="J311" s="17">
        <v>1798</v>
      </c>
      <c r="K311" s="17" t="n">
        <f aca="false">IF(AND(IFERROR(SEARCH("현대오일뱅크",$C311),0)&gt;0,IFERROR(SEARCH("직영",$C311),0)&gt;0),$B$13,0)</f>
        <v/>
      </c>
      <c r="L311" s="17" t="n">
        <f aca="false">IF($G311="","",$G311+$K311)</f>
        <v/>
      </c>
      <c r="M311" s="17" t="str">
        <f aca="false">IF($H311="","",$H311+$K311)</f>
        <v/>
      </c>
      <c r="N311" s="17" t="n">
        <f aca="false">IF($J311="","",$J311+$K311)</f>
        <v/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 t="str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 t="str">
        <f aca="false">IF($P311="","",IF($Q311="Y",IFERROR(VLOOKUP($B311,$C$4:$D$13,2,FALSE()),0),0))</f>
        <v/>
      </c>
      <c r="S311" s="17" t="str">
        <f aca="false">IF($P311="","",ROUNDDOWN($P311*$R311,0))</f>
        <v/>
      </c>
      <c r="T311" s="17" t="str">
        <f aca="false">IF($P311="","",$P311-$S311)</f>
        <v/>
      </c>
      <c r="U311" s="17" t="str">
        <f aca="false">IF($T311="","",IF($B$10=0,"",$T311/$B$10))</f>
        <v/>
      </c>
      <c r="V311" s="17" t="str">
        <f aca="false">IF($P311="","",IF($B$10=0,"",$P311/$B$10))</f>
        <v/>
      </c>
      <c r="W311" s="19" t="n">
        <f aca="false">IF($T311="",1000000000000000,$T311)</f>
        <v/>
      </c>
      <c r="XFB311" s="6"/>
      <c r="XFC311" s="3"/>
    </row>
    <row r="312" s="5" collapsed="false" customFormat="true" customHeight="true" hidden="false" ht="28.5" outlineLevel="0">
      <c r="A312" s="16" t="str">
        <f aca="false">IF($T312="","",1+COUNTIF($W$15:$W$894,"&lt;"&amp;W312))</f>
        <v/>
      </c>
      <c r="B312" s="16" t="s">
        <v>6</v>
      </c>
      <c r="C312" s="16" t="s">
        <v>596</v>
      </c>
      <c r="D312" s="16" t="s">
        <v>45</v>
      </c>
      <c r="E312" s="16" t="s">
        <v>26</v>
      </c>
      <c r="F312" s="16" t="s">
        <v>647</v>
      </c>
      <c r="G312" s="17">
        <v>1795</v>
      </c>
      <c r="H312" s="17"/>
      <c r="I312" s="17"/>
      <c r="J312" s="17">
        <v>1798</v>
      </c>
      <c r="K312" s="17" t="n">
        <f aca="false">IF(AND(IFERROR(SEARCH("현대오일뱅크",$C312),0)&gt;0,IFERROR(SEARCH("직영",$C312),0)&gt;0),$B$13,0)</f>
        <v/>
      </c>
      <c r="L312" s="17" t="n">
        <f aca="false">IF($G312="","",$G312+$K312)</f>
        <v/>
      </c>
      <c r="M312" s="17" t="str">
        <f aca="false">IF($H312="","",$H312+$K312)</f>
        <v/>
      </c>
      <c r="N312" s="17" t="n">
        <f aca="false">IF($J312="","",$J312+$K312)</f>
        <v/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 t="str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 t="str">
        <f aca="false">IF($P312="","",IF($Q312="Y",IFERROR(VLOOKUP($B312,$C$4:$D$13,2,FALSE()),0),0))</f>
        <v/>
      </c>
      <c r="S312" s="17" t="str">
        <f aca="false">IF($P312="","",ROUNDDOWN($P312*$R312,0))</f>
        <v/>
      </c>
      <c r="T312" s="17" t="str">
        <f aca="false">IF($P312="","",$P312-$S312)</f>
        <v/>
      </c>
      <c r="U312" s="17" t="str">
        <f aca="false">IF($T312="","",IF($B$10=0,"",$T312/$B$10))</f>
        <v/>
      </c>
      <c r="V312" s="17" t="str">
        <f aca="false">IF($P312="","",IF($B$10=0,"",$P312/$B$10))</f>
        <v/>
      </c>
      <c r="W312" s="19" t="n">
        <f aca="false">IF($T312="",1000000000000000,$T312)</f>
        <v/>
      </c>
      <c r="XFB312" s="6"/>
      <c r="XFC312" s="3"/>
    </row>
    <row r="313" s="5" collapsed="false" customFormat="true" customHeight="true" hidden="false" ht="28.5" outlineLevel="0">
      <c r="A313" s="16" t="str">
        <f aca="false">IF($T313="","",1+COUNTIF($W$15:$W$894,"&lt;"&amp;W313))</f>
        <v/>
      </c>
      <c r="B313" s="16" t="s">
        <v>6</v>
      </c>
      <c r="C313" s="16" t="s">
        <v>648</v>
      </c>
      <c r="D313" s="20" t="s">
        <v>86</v>
      </c>
      <c r="E313" s="16" t="s">
        <v>26</v>
      </c>
      <c r="F313" s="16" t="s">
        <v>649</v>
      </c>
      <c r="G313" s="17">
        <v>1795</v>
      </c>
      <c r="H313" s="17"/>
      <c r="I313" s="17"/>
      <c r="J313" s="17">
        <v>1798</v>
      </c>
      <c r="K313" s="17" t="n">
        <f aca="false">IF(AND(IFERROR(SEARCH("현대오일뱅크",$C313),0)&gt;0,IFERROR(SEARCH("직영",$C313),0)&gt;0),$B$13,0)</f>
        <v/>
      </c>
      <c r="L313" s="17" t="n">
        <f aca="false">IF($G313="","",$G313+$K313)</f>
        <v/>
      </c>
      <c r="M313" s="17" t="str">
        <f aca="false">IF($H313="","",$H313+$K313)</f>
        <v/>
      </c>
      <c r="N313" s="17" t="n">
        <f aca="false">IF($J313="","",$J313+$K313)</f>
        <v/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 t="str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 t="str">
        <f aca="false">IF($P313="","",IF($Q313="Y",IFERROR(VLOOKUP($B313,$C$4:$D$13,2,FALSE()),0),0))</f>
        <v/>
      </c>
      <c r="S313" s="17" t="str">
        <f aca="false">IF($P313="","",ROUNDDOWN($P313*$R313,0))</f>
        <v/>
      </c>
      <c r="T313" s="17" t="str">
        <f aca="false">IF($P313="","",$P313-$S313)</f>
        <v/>
      </c>
      <c r="U313" s="17" t="str">
        <f aca="false">IF($T313="","",IF($B$10=0,"",$T313/$B$10))</f>
        <v/>
      </c>
      <c r="V313" s="17" t="str">
        <f aca="false">IF($P313="","",IF($B$10=0,"",$P313/$B$10))</f>
        <v/>
      </c>
      <c r="W313" s="19" t="n">
        <f aca="false">IF($T313="",1000000000000000,$T313)</f>
        <v/>
      </c>
      <c r="XFB313" s="6"/>
      <c r="XFC313" s="3"/>
    </row>
    <row r="314" s="5" collapsed="false" customFormat="true" customHeight="true" hidden="false" ht="28.5" outlineLevel="0">
      <c r="A314" s="16" t="str">
        <f aca="false">IF($T314="","",1+COUNTIF($W$15:$W$894,"&lt;"&amp;W314))</f>
        <v/>
      </c>
      <c r="B314" s="16" t="s">
        <v>6</v>
      </c>
      <c r="C314" s="16" t="s">
        <v>650</v>
      </c>
      <c r="D314" s="16" t="s">
        <v>45</v>
      </c>
      <c r="E314" s="16" t="s">
        <v>26</v>
      </c>
      <c r="F314" s="16" t="s">
        <v>651</v>
      </c>
      <c r="G314" s="17">
        <v>1795</v>
      </c>
      <c r="H314" s="17"/>
      <c r="I314" s="17"/>
      <c r="J314" s="17">
        <v>1798</v>
      </c>
      <c r="K314" s="17" t="n">
        <f aca="false">IF(AND(IFERROR(SEARCH("현대오일뱅크",$C314),0)&gt;0,IFERROR(SEARCH("직영",$C314),0)&gt;0),$B$13,0)</f>
        <v/>
      </c>
      <c r="L314" s="17" t="n">
        <f aca="false">IF($G314="","",$G314+$K314)</f>
        <v/>
      </c>
      <c r="M314" s="17" t="str">
        <f aca="false">IF($H314="","",$H314+$K314)</f>
        <v/>
      </c>
      <c r="N314" s="17" t="n">
        <f aca="false">IF($J314="","",$J314+$K314)</f>
        <v/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 t="str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 t="str">
        <f aca="false">IF($P314="","",IF($Q314="Y",IFERROR(VLOOKUP($B314,$C$4:$D$13,2,FALSE()),0),0))</f>
        <v/>
      </c>
      <c r="S314" s="17" t="str">
        <f aca="false">IF($P314="","",ROUNDDOWN($P314*$R314,0))</f>
        <v/>
      </c>
      <c r="T314" s="17" t="str">
        <f aca="false">IF($P314="","",$P314-$S314)</f>
        <v/>
      </c>
      <c r="U314" s="17" t="str">
        <f aca="false">IF($T314="","",IF($B$10=0,"",$T314/$B$10))</f>
        <v/>
      </c>
      <c r="V314" s="17" t="str">
        <f aca="false">IF($P314="","",IF($B$10=0,"",$P314/$B$10))</f>
        <v/>
      </c>
      <c r="W314" s="19" t="n">
        <f aca="false">IF($T314="",1000000000000000,$T314)</f>
        <v/>
      </c>
      <c r="XFB314" s="6"/>
      <c r="XFC314" s="3"/>
    </row>
    <row r="315" s="5" collapsed="false" customFormat="true" customHeight="true" hidden="false" ht="28.5" outlineLevel="0">
      <c r="A315" s="16" t="str">
        <f aca="false">IF($T315="","",1+COUNTIF($W$15:$W$894,"&lt;"&amp;W315))</f>
        <v/>
      </c>
      <c r="B315" s="16" t="s">
        <v>6</v>
      </c>
      <c r="C315" s="16" t="s">
        <v>652</v>
      </c>
      <c r="D315" s="16" t="s">
        <v>95</v>
      </c>
      <c r="E315" s="16" t="s">
        <v>26</v>
      </c>
      <c r="F315" s="16" t="s">
        <v>653</v>
      </c>
      <c r="G315" s="17">
        <v>1795</v>
      </c>
      <c r="H315" s="17"/>
      <c r="I315" s="17"/>
      <c r="J315" s="17">
        <v>1798</v>
      </c>
      <c r="K315" s="17" t="n">
        <f aca="false">IF(AND(IFERROR(SEARCH("현대오일뱅크",$C315),0)&gt;0,IFERROR(SEARCH("직영",$C315),0)&gt;0),$B$13,0)</f>
        <v/>
      </c>
      <c r="L315" s="17" t="n">
        <f aca="false">IF($G315="","",$G315+$K315)</f>
        <v/>
      </c>
      <c r="M315" s="17" t="str">
        <f aca="false">IF($H315="","",$H315+$K315)</f>
        <v/>
      </c>
      <c r="N315" s="17" t="n">
        <f aca="false">IF($J315="","",$J315+$K315)</f>
        <v/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 t="str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 t="str">
        <f aca="false">IF($P315="","",IF($Q315="Y",IFERROR(VLOOKUP($B315,$C$4:$D$13,2,FALSE()),0),0))</f>
        <v/>
      </c>
      <c r="S315" s="17" t="str">
        <f aca="false">IF($P315="","",ROUNDDOWN($P315*$R315,0))</f>
        <v/>
      </c>
      <c r="T315" s="17" t="str">
        <f aca="false">IF($P315="","",$P315-$S315)</f>
        <v/>
      </c>
      <c r="U315" s="17" t="str">
        <f aca="false">IF($T315="","",IF($B$10=0,"",$T315/$B$10))</f>
        <v/>
      </c>
      <c r="V315" s="17" t="str">
        <f aca="false">IF($P315="","",IF($B$10=0,"",$P315/$B$10))</f>
        <v/>
      </c>
      <c r="W315" s="19" t="n">
        <f aca="false">IF($T315="",1000000000000000,$T315)</f>
        <v/>
      </c>
      <c r="XFB315" s="6"/>
      <c r="XFC315" s="3"/>
    </row>
    <row r="316" s="5" collapsed="false" customFormat="true" customHeight="true" hidden="false" ht="28.5" outlineLevel="0">
      <c r="A316" s="16" t="str">
        <f aca="false">IF($T316="","",1+COUNTIF($W$15:$W$894,"&lt;"&amp;W316))</f>
        <v/>
      </c>
      <c r="B316" s="16" t="s">
        <v>12</v>
      </c>
      <c r="C316" s="16" t="s">
        <v>654</v>
      </c>
      <c r="D316" s="20" t="s">
        <v>51</v>
      </c>
      <c r="E316" s="16" t="s">
        <v>26</v>
      </c>
      <c r="F316" s="16" t="s">
        <v>655</v>
      </c>
      <c r="G316" s="17">
        <v>1796</v>
      </c>
      <c r="H316" s="17"/>
      <c r="I316" s="17"/>
      <c r="J316" s="17">
        <v>1796</v>
      </c>
      <c r="K316" s="17" t="n">
        <f aca="false">IF(AND(IFERROR(SEARCH("현대오일뱅크",$C316),0)&gt;0,IFERROR(SEARCH("직영",$C316),0)&gt;0),$B$13,0)</f>
        <v/>
      </c>
      <c r="L316" s="17" t="n">
        <f aca="false">IF($G316="","",$G316+$K316)</f>
        <v/>
      </c>
      <c r="M316" s="17" t="str">
        <f aca="false">IF($H316="","",$H316+$K316)</f>
        <v/>
      </c>
      <c r="N316" s="17" t="n">
        <f aca="false">IF($J316="","",$J316+$K316)</f>
        <v/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 t="str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 t="str">
        <f aca="false">IF($P316="","",IF($Q316="Y",IFERROR(VLOOKUP($B316,$C$4:$D$13,2,FALSE()),0),0))</f>
        <v/>
      </c>
      <c r="S316" s="17" t="str">
        <f aca="false">IF($P316="","",ROUNDDOWN($P316*$R316,0))</f>
        <v/>
      </c>
      <c r="T316" s="17" t="str">
        <f aca="false">IF($P316="","",$P316-$S316)</f>
        <v/>
      </c>
      <c r="U316" s="17" t="str">
        <f aca="false">IF($T316="","",IF($B$10=0,"",$T316/$B$10))</f>
        <v/>
      </c>
      <c r="V316" s="17" t="str">
        <f aca="false">IF($P316="","",IF($B$10=0,"",$P316/$B$10))</f>
        <v/>
      </c>
      <c r="W316" s="19" t="n">
        <f aca="false">IF($T316="",1000000000000000,$T316)</f>
        <v/>
      </c>
      <c r="XFB316" s="6"/>
      <c r="XFC316" s="3"/>
    </row>
    <row r="317" s="5" collapsed="false" customFormat="true" customHeight="true" hidden="false" ht="28.5" outlineLevel="0">
      <c r="A317" s="16" t="str">
        <f aca="false">IF($T317="","",1+COUNTIF($W$15:$W$894,"&lt;"&amp;W317))</f>
        <v/>
      </c>
      <c r="B317" s="16" t="s">
        <v>16</v>
      </c>
      <c r="C317" s="16" t="s">
        <v>656</v>
      </c>
      <c r="D317" s="16" t="s">
        <v>51</v>
      </c>
      <c r="E317" s="16" t="s">
        <v>26</v>
      </c>
      <c r="F317" s="16" t="s">
        <v>657</v>
      </c>
      <c r="G317" s="17">
        <v>1837</v>
      </c>
      <c r="H317" s="17"/>
      <c r="I317" s="17"/>
      <c r="J317" s="17">
        <v>1828</v>
      </c>
      <c r="K317" s="17" t="n">
        <f aca="false">IF(AND(IFERROR(SEARCH("현대오일뱅크",$C317),0)&gt;0,IFERROR(SEARCH("직영",$C317),0)&gt;0),$B$13,0)</f>
        <v/>
      </c>
      <c r="L317" s="17" t="n">
        <f aca="false">IF($G317="","",$G317+$K317)</f>
        <v/>
      </c>
      <c r="M317" s="17" t="str">
        <f aca="false">IF($H317="","",$H317+$K317)</f>
        <v/>
      </c>
      <c r="N317" s="17" t="n">
        <f aca="false">IF($J317="","",$J317+$K317)</f>
        <v/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 t="str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 t="str">
        <f aca="false">IF($P317="","",IF($Q317="Y",IFERROR(VLOOKUP($B317,$C$4:$D$13,2,FALSE()),0),0))</f>
        <v/>
      </c>
      <c r="S317" s="17" t="str">
        <f aca="false">IF($P317="","",ROUNDDOWN($P317*$R317,0))</f>
        <v/>
      </c>
      <c r="T317" s="17" t="str">
        <f aca="false">IF($P317="","",$P317-$S317)</f>
        <v/>
      </c>
      <c r="U317" s="17" t="str">
        <f aca="false">IF($T317="","",IF($B$10=0,"",$T317/$B$10))</f>
        <v/>
      </c>
      <c r="V317" s="17" t="str">
        <f aca="false">IF($P317="","",IF($B$10=0,"",$P317/$B$10))</f>
        <v/>
      </c>
      <c r="W317" s="19" t="n">
        <f aca="false">IF($T317="",1000000000000000,$T317)</f>
        <v/>
      </c>
      <c r="XFB317" s="6"/>
      <c r="XFC317" s="3"/>
    </row>
    <row r="318" s="5" collapsed="false" customFormat="true" customHeight="true" hidden="false" ht="28.5" outlineLevel="0">
      <c r="A318" s="16" t="str">
        <f aca="false">IF($T318="","",1+COUNTIF($W$15:$W$894,"&lt;"&amp;W318))</f>
        <v/>
      </c>
      <c r="B318" s="16" t="s">
        <v>14</v>
      </c>
      <c r="C318" s="16" t="s">
        <v>658</v>
      </c>
      <c r="D318" s="16" t="s">
        <v>45</v>
      </c>
      <c r="E318" s="16" t="s">
        <v>26</v>
      </c>
      <c r="F318" s="16" t="s">
        <v>659</v>
      </c>
      <c r="G318" s="17">
        <v>1817</v>
      </c>
      <c r="H318" s="17"/>
      <c r="I318" s="17"/>
      <c r="J318" s="17">
        <v>1834</v>
      </c>
      <c r="K318" s="17" t="n">
        <f aca="false">IF(AND(IFERROR(SEARCH("현대오일뱅크",$C318),0)&gt;0,IFERROR(SEARCH("직영",$C318),0)&gt;0),$B$13,0)</f>
        <v/>
      </c>
      <c r="L318" s="17" t="n">
        <f aca="false">IF($G318="","",$G318+$K318)</f>
        <v/>
      </c>
      <c r="M318" s="17" t="str">
        <f aca="false">IF($H318="","",$H318+$K318)</f>
        <v/>
      </c>
      <c r="N318" s="17" t="n">
        <f aca="false">IF($J318="","",$J318+$K318)</f>
        <v/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 t="str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 t="str">
        <f aca="false">IF($P318="","",IF($Q318="Y",IFERROR(VLOOKUP($B318,$C$4:$D$13,2,FALSE()),0),0))</f>
        <v/>
      </c>
      <c r="S318" s="17" t="str">
        <f aca="false">IF($P318="","",ROUNDDOWN($P318*$R318,0))</f>
        <v/>
      </c>
      <c r="T318" s="17" t="str">
        <f aca="false">IF($P318="","",$P318-$S318)</f>
        <v/>
      </c>
      <c r="U318" s="17" t="str">
        <f aca="false">IF($T318="","",IF($B$10=0,"",$T318/$B$10))</f>
        <v/>
      </c>
      <c r="V318" s="17" t="str">
        <f aca="false">IF($P318="","",IF($B$10=0,"",$P318/$B$10))</f>
        <v/>
      </c>
      <c r="W318" s="19" t="n">
        <f aca="false">IF($T318="",1000000000000000,$T318)</f>
        <v/>
      </c>
      <c r="XFB318" s="6"/>
      <c r="XFC318" s="3"/>
    </row>
    <row r="319" s="5" collapsed="false" customFormat="true" customHeight="true" hidden="false" ht="28.5" outlineLevel="0">
      <c r="A319" s="16" t="str">
        <f aca="false">IF($T319="","",1+COUNTIF($W$15:$W$894,"&lt;"&amp;W319))</f>
        <v/>
      </c>
      <c r="B319" s="16" t="s">
        <v>6</v>
      </c>
      <c r="C319" s="16" t="s">
        <v>466</v>
      </c>
      <c r="D319" s="16" t="s">
        <v>45</v>
      </c>
      <c r="E319" s="16" t="s">
        <v>26</v>
      </c>
      <c r="F319" s="16" t="s">
        <v>467</v>
      </c>
      <c r="G319" s="17">
        <v>1797</v>
      </c>
      <c r="H319" s="17"/>
      <c r="I319" s="17"/>
      <c r="J319" s="17">
        <v>1794</v>
      </c>
      <c r="K319" s="17" t="n">
        <f aca="false">IF(AND(IFERROR(SEARCH("현대오일뱅크",$C319),0)&gt;0,IFERROR(SEARCH("직영",$C319),0)&gt;0),$B$13,0)</f>
        <v/>
      </c>
      <c r="L319" s="17" t="n">
        <f aca="false">IF($G319="","",$G319+$K319)</f>
        <v/>
      </c>
      <c r="M319" s="17" t="str">
        <f aca="false">IF($H319="","",$H319+$K319)</f>
        <v/>
      </c>
      <c r="N319" s="17" t="n">
        <f aca="false">IF($J319="","",$J319+$K319)</f>
        <v/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 t="str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 t="str">
        <f aca="false">IF($P319="","",IF($Q319="Y",IFERROR(VLOOKUP($B319,$C$4:$D$13,2,FALSE()),0),0))</f>
        <v/>
      </c>
      <c r="S319" s="17" t="str">
        <f aca="false">IF($P319="","",ROUNDDOWN($P319*$R319,0))</f>
        <v/>
      </c>
      <c r="T319" s="17" t="str">
        <f aca="false">IF($P319="","",$P319-$S319)</f>
        <v/>
      </c>
      <c r="U319" s="17" t="str">
        <f aca="false">IF($T319="","",IF($B$10=0,"",$T319/$B$10))</f>
        <v/>
      </c>
      <c r="V319" s="17" t="str">
        <f aca="false">IF($P319="","",IF($B$10=0,"",$P319/$B$10))</f>
        <v/>
      </c>
      <c r="W319" s="19" t="n">
        <f aca="false">IF($T319="",1000000000000000,$T319)</f>
        <v/>
      </c>
      <c r="XFB319" s="6"/>
      <c r="XFC319" s="3"/>
    </row>
    <row r="320" s="5" collapsed="false" customFormat="true" customHeight="true" hidden="false" ht="28.5" outlineLevel="0">
      <c r="A320" s="16" t="str">
        <f aca="false">IF($T320="","",1+COUNTIF($W$15:$W$894,"&lt;"&amp;W320))</f>
        <v/>
      </c>
      <c r="B320" s="16" t="s">
        <v>8</v>
      </c>
      <c r="C320" s="16" t="s">
        <v>660</v>
      </c>
      <c r="D320" s="16" t="s">
        <v>95</v>
      </c>
      <c r="E320" s="16" t="s">
        <v>26</v>
      </c>
      <c r="F320" s="16" t="s">
        <v>661</v>
      </c>
      <c r="G320" s="17">
        <v>1797</v>
      </c>
      <c r="H320" s="17"/>
      <c r="I320" s="17"/>
      <c r="J320" s="17">
        <v>1795</v>
      </c>
      <c r="K320" s="17" t="n">
        <f aca="false">IF(AND(IFERROR(SEARCH("현대오일뱅크",$C320),0)&gt;0,IFERROR(SEARCH("직영",$C320),0)&gt;0),$B$13,0)</f>
        <v/>
      </c>
      <c r="L320" s="17" t="n">
        <f aca="false">IF($G320="","",$G320+$K320)</f>
        <v/>
      </c>
      <c r="M320" s="17" t="str">
        <f aca="false">IF($H320="","",$H320+$K320)</f>
        <v/>
      </c>
      <c r="N320" s="17" t="n">
        <f aca="false">IF($J320="","",$J320+$K320)</f>
        <v/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 t="str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 t="str">
        <f aca="false">IF($P320="","",IF($Q320="Y",IFERROR(VLOOKUP($B320,$C$4:$D$13,2,FALSE()),0),0))</f>
        <v/>
      </c>
      <c r="S320" s="17" t="str">
        <f aca="false">IF($P320="","",ROUNDDOWN($P320*$R320,0))</f>
        <v/>
      </c>
      <c r="T320" s="17" t="str">
        <f aca="false">IF($P320="","",$P320-$S320)</f>
        <v/>
      </c>
      <c r="U320" s="17" t="str">
        <f aca="false">IF($T320="","",IF($B$10=0,"",$T320/$B$10))</f>
        <v/>
      </c>
      <c r="V320" s="17" t="str">
        <f aca="false">IF($P320="","",IF($B$10=0,"",$P320/$B$10))</f>
        <v/>
      </c>
      <c r="W320" s="19" t="n">
        <f aca="false">IF($T320="",1000000000000000,$T320)</f>
        <v/>
      </c>
      <c r="XFB320" s="6"/>
      <c r="XFC320" s="3"/>
    </row>
    <row r="321" s="5" collapsed="false" customFormat="true" customHeight="true" hidden="false" ht="28.5" outlineLevel="0">
      <c r="A321" s="16" t="str">
        <f aca="false">IF($T321="","",1+COUNTIF($W$15:$W$894,"&lt;"&amp;W321))</f>
        <v/>
      </c>
      <c r="B321" s="16" t="s">
        <v>6</v>
      </c>
      <c r="C321" s="16" t="s">
        <v>662</v>
      </c>
      <c r="D321" s="16" t="s">
        <v>45</v>
      </c>
      <c r="E321" s="16" t="s">
        <v>26</v>
      </c>
      <c r="F321" s="16" t="s">
        <v>663</v>
      </c>
      <c r="G321" s="17">
        <v>1797</v>
      </c>
      <c r="H321" s="17"/>
      <c r="I321" s="17"/>
      <c r="J321" s="17">
        <v>1797</v>
      </c>
      <c r="K321" s="17" t="n">
        <f aca="false">IF(AND(IFERROR(SEARCH("현대오일뱅크",$C321),0)&gt;0,IFERROR(SEARCH("직영",$C321),0)&gt;0),$B$13,0)</f>
        <v/>
      </c>
      <c r="L321" s="17" t="n">
        <f aca="false">IF($G321="","",$G321+$K321)</f>
        <v/>
      </c>
      <c r="M321" s="17" t="str">
        <f aca="false">IF($H321="","",$H321+$K321)</f>
        <v/>
      </c>
      <c r="N321" s="17" t="n">
        <f aca="false">IF($J321="","",$J321+$K321)</f>
        <v/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 t="str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 t="str">
        <f aca="false">IF($P321="","",IF($Q321="Y",IFERROR(VLOOKUP($B321,$C$4:$D$13,2,FALSE()),0),0))</f>
        <v/>
      </c>
      <c r="S321" s="17" t="str">
        <f aca="false">IF($P321="","",ROUNDDOWN($P321*$R321,0))</f>
        <v/>
      </c>
      <c r="T321" s="17" t="str">
        <f aca="false">IF($P321="","",$P321-$S321)</f>
        <v/>
      </c>
      <c r="U321" s="17" t="str">
        <f aca="false">IF($T321="","",IF($B$10=0,"",$T321/$B$10))</f>
        <v/>
      </c>
      <c r="V321" s="17" t="str">
        <f aca="false">IF($P321="","",IF($B$10=0,"",$P321/$B$10))</f>
        <v/>
      </c>
      <c r="W321" s="19" t="n">
        <f aca="false">IF($T321="",1000000000000000,$T321)</f>
        <v/>
      </c>
      <c r="XFB321" s="6"/>
      <c r="XFC321" s="3"/>
    </row>
    <row r="322" s="5" collapsed="false" customFormat="true" customHeight="true" hidden="false" ht="28.5" outlineLevel="0">
      <c r="A322" s="16" t="str">
        <f aca="false">IF($T322="","",1+COUNTIF($W$15:$W$894,"&lt;"&amp;W322))</f>
        <v/>
      </c>
      <c r="B322" s="16" t="s">
        <v>10</v>
      </c>
      <c r="C322" s="16" t="s">
        <v>852</v>
      </c>
      <c r="D322" s="20" t="s">
        <v>86</v>
      </c>
      <c r="E322" s="16" t="s">
        <v>26</v>
      </c>
      <c r="F322" s="16" t="s">
        <v>853</v>
      </c>
      <c r="G322" s="17">
        <v>1797</v>
      </c>
      <c r="H322" s="17"/>
      <c r="I322" s="17"/>
      <c r="J322" s="17">
        <v>1797</v>
      </c>
      <c r="K322" s="17" t="n">
        <f aca="false">IF(AND(IFERROR(SEARCH("현대오일뱅크",$C322),0)&gt;0,IFERROR(SEARCH("직영",$C322),0)&gt;0),$B$13,0)</f>
        <v/>
      </c>
      <c r="L322" s="17" t="n">
        <f aca="false">IF($G322="","",$G322+$K322)</f>
        <v/>
      </c>
      <c r="M322" s="17" t="str">
        <f aca="false">IF($H322="","",$H322+$K322)</f>
        <v/>
      </c>
      <c r="N322" s="17" t="n">
        <f aca="false">IF($J322="","",$J322+$K322)</f>
        <v/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 t="str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 t="str">
        <f aca="false">IF($P322="","",IF($Q322="Y",IFERROR(VLOOKUP($B322,$C$4:$D$13,2,FALSE()),0),0))</f>
        <v/>
      </c>
      <c r="S322" s="17" t="str">
        <f aca="false">IF($P322="","",ROUNDDOWN($P322*$R322,0))</f>
        <v/>
      </c>
      <c r="T322" s="17" t="str">
        <f aca="false">IF($P322="","",$P322-$S322)</f>
        <v/>
      </c>
      <c r="U322" s="17" t="str">
        <f aca="false">IF($T322="","",IF($B$10=0,"",$T322/$B$10))</f>
        <v/>
      </c>
      <c r="V322" s="17" t="str">
        <f aca="false">IF($P322="","",IF($B$10=0,"",$P322/$B$10))</f>
        <v/>
      </c>
      <c r="W322" s="19" t="n">
        <f aca="false">IF($T322="",1000000000000000,$T322)</f>
        <v/>
      </c>
      <c r="XFB322" s="6"/>
      <c r="XFC322" s="3"/>
    </row>
    <row r="323" s="5" collapsed="false" customFormat="true" customHeight="true" hidden="false" ht="28.5" outlineLevel="0">
      <c r="A323" s="16" t="str">
        <f aca="false">IF($T323="","",1+COUNTIF($W$15:$W$894,"&lt;"&amp;W323))</f>
        <v/>
      </c>
      <c r="B323" s="16" t="s">
        <v>6</v>
      </c>
      <c r="C323" s="16" t="s">
        <v>664</v>
      </c>
      <c r="D323" s="16" t="s">
        <v>95</v>
      </c>
      <c r="E323" s="16" t="s">
        <v>26</v>
      </c>
      <c r="F323" s="16" t="s">
        <v>665</v>
      </c>
      <c r="G323" s="17">
        <v>1797</v>
      </c>
      <c r="H323" s="17"/>
      <c r="I323" s="17"/>
      <c r="J323" s="17">
        <v>1798</v>
      </c>
      <c r="K323" s="17" t="n">
        <f aca="false">IF(AND(IFERROR(SEARCH("현대오일뱅크",$C323),0)&gt;0,IFERROR(SEARCH("직영",$C323),0)&gt;0),$B$13,0)</f>
        <v/>
      </c>
      <c r="L323" s="17" t="n">
        <f aca="false">IF($G323="","",$G323+$K323)</f>
        <v/>
      </c>
      <c r="M323" s="17" t="str">
        <f aca="false">IF($H323="","",$H323+$K323)</f>
        <v/>
      </c>
      <c r="N323" s="17" t="n">
        <f aca="false">IF($J323="","",$J323+$K323)</f>
        <v/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 t="str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 t="str">
        <f aca="false">IF($P323="","",IF($Q323="Y",IFERROR(VLOOKUP($B323,$C$4:$D$13,2,FALSE()),0),0))</f>
        <v/>
      </c>
      <c r="S323" s="17" t="str">
        <f aca="false">IF($P323="","",ROUNDDOWN($P323*$R323,0))</f>
        <v/>
      </c>
      <c r="T323" s="17" t="str">
        <f aca="false">IF($P323="","",$P323-$S323)</f>
        <v/>
      </c>
      <c r="U323" s="17" t="str">
        <f aca="false">IF($T323="","",IF($B$10=0,"",$T323/$B$10))</f>
        <v/>
      </c>
      <c r="V323" s="17" t="str">
        <f aca="false">IF($P323="","",IF($B$10=0,"",$P323/$B$10))</f>
        <v/>
      </c>
      <c r="W323" s="19" t="n">
        <f aca="false">IF($T323="",1000000000000000,$T323)</f>
        <v/>
      </c>
      <c r="XFB323" s="6"/>
      <c r="XFC323" s="3"/>
    </row>
    <row r="324" s="5" collapsed="false" customFormat="true" customHeight="true" hidden="false" ht="28.5" outlineLevel="0">
      <c r="A324" s="16" t="str">
        <f aca="false">IF($T324="","",1+COUNTIF($W$15:$W$894,"&lt;"&amp;W324))</f>
        <v/>
      </c>
      <c r="B324" s="16" t="s">
        <v>6</v>
      </c>
      <c r="C324" s="16" t="s">
        <v>666</v>
      </c>
      <c r="D324" s="16" t="s">
        <v>95</v>
      </c>
      <c r="E324" s="16" t="s">
        <v>26</v>
      </c>
      <c r="F324" s="16" t="s">
        <v>667</v>
      </c>
      <c r="G324" s="17">
        <v>1797</v>
      </c>
      <c r="H324" s="17"/>
      <c r="I324" s="17"/>
      <c r="J324" s="17">
        <v>1798</v>
      </c>
      <c r="K324" s="17" t="n">
        <f aca="false">IF(AND(IFERROR(SEARCH("현대오일뱅크",$C324),0)&gt;0,IFERROR(SEARCH("직영",$C324),0)&gt;0),$B$13,0)</f>
        <v/>
      </c>
      <c r="L324" s="17" t="n">
        <f aca="false">IF($G324="","",$G324+$K324)</f>
        <v/>
      </c>
      <c r="M324" s="17" t="str">
        <f aca="false">IF($H324="","",$H324+$K324)</f>
        <v/>
      </c>
      <c r="N324" s="17" t="n">
        <f aca="false">IF($J324="","",$J324+$K324)</f>
        <v/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 t="str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 t="str">
        <f aca="false">IF($P324="","",IF($Q324="Y",IFERROR(VLOOKUP($B324,$C$4:$D$13,2,FALSE()),0),0))</f>
        <v/>
      </c>
      <c r="S324" s="17" t="str">
        <f aca="false">IF($P324="","",ROUNDDOWN($P324*$R324,0))</f>
        <v/>
      </c>
      <c r="T324" s="17" t="str">
        <f aca="false">IF($P324="","",$P324-$S324)</f>
        <v/>
      </c>
      <c r="U324" s="17" t="str">
        <f aca="false">IF($T324="","",IF($B$10=0,"",$T324/$B$10))</f>
        <v/>
      </c>
      <c r="V324" s="17" t="str">
        <f aca="false">IF($P324="","",IF($B$10=0,"",$P324/$B$10))</f>
        <v/>
      </c>
      <c r="W324" s="19" t="n">
        <f aca="false">IF($T324="",1000000000000000,$T324)</f>
        <v/>
      </c>
      <c r="XFB324" s="6"/>
      <c r="XFC324" s="3"/>
    </row>
    <row r="325" s="5" collapsed="false" customFormat="true" customHeight="true" hidden="false" ht="28.5" outlineLevel="0">
      <c r="A325" s="16" t="str">
        <f aca="false">IF($T325="","",1+COUNTIF($W$15:$W$894,"&lt;"&amp;W325))</f>
        <v/>
      </c>
      <c r="B325" s="16" t="s">
        <v>6</v>
      </c>
      <c r="C325" s="16" t="s">
        <v>668</v>
      </c>
      <c r="D325" s="20" t="s">
        <v>86</v>
      </c>
      <c r="E325" s="16" t="s">
        <v>26</v>
      </c>
      <c r="F325" s="16" t="s">
        <v>669</v>
      </c>
      <c r="G325" s="17">
        <v>1798</v>
      </c>
      <c r="H325" s="17"/>
      <c r="I325" s="17"/>
      <c r="J325" s="17">
        <v>1793</v>
      </c>
      <c r="K325" s="17" t="n">
        <f aca="false">IF(AND(IFERROR(SEARCH("현대오일뱅크",$C325),0)&gt;0,IFERROR(SEARCH("직영",$C325),0)&gt;0),$B$13,0)</f>
        <v/>
      </c>
      <c r="L325" s="17" t="n">
        <f aca="false">IF($G325="","",$G325+$K325)</f>
        <v/>
      </c>
      <c r="M325" s="17" t="str">
        <f aca="false">IF($H325="","",$H325+$K325)</f>
        <v/>
      </c>
      <c r="N325" s="17" t="n">
        <f aca="false">IF($J325="","",$J325+$K325)</f>
        <v/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 t="str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 t="str">
        <f aca="false">IF($P325="","",IF($Q325="Y",IFERROR(VLOOKUP($B325,$C$4:$D$13,2,FALSE()),0),0))</f>
        <v/>
      </c>
      <c r="S325" s="17" t="str">
        <f aca="false">IF($P325="","",ROUNDDOWN($P325*$R325,0))</f>
        <v/>
      </c>
      <c r="T325" s="17" t="str">
        <f aca="false">IF($P325="","",$P325-$S325)</f>
        <v/>
      </c>
      <c r="U325" s="17" t="str">
        <f aca="false">IF($T325="","",IF($B$10=0,"",$T325/$B$10))</f>
        <v/>
      </c>
      <c r="V325" s="17" t="str">
        <f aca="false">IF($P325="","",IF($B$10=0,"",$P325/$B$10))</f>
        <v/>
      </c>
      <c r="W325" s="19" t="n">
        <f aca="false">IF($T325="",1000000000000000,$T325)</f>
        <v/>
      </c>
      <c r="XFB325" s="6"/>
      <c r="XFC325" s="3"/>
    </row>
    <row r="326" s="5" collapsed="false" customFormat="true" customHeight="true" hidden="false" ht="28.5" outlineLevel="0">
      <c r="A326" s="16" t="str">
        <f aca="false">IF($T326="","",1+COUNTIF($W$15:$W$894,"&lt;"&amp;W326))</f>
        <v/>
      </c>
      <c r="B326" s="16" t="s">
        <v>6</v>
      </c>
      <c r="C326" s="16" t="s">
        <v>670</v>
      </c>
      <c r="D326" s="16" t="s">
        <v>393</v>
      </c>
      <c r="E326" s="16" t="s">
        <v>63</v>
      </c>
      <c r="F326" s="16" t="s">
        <v>671</v>
      </c>
      <c r="G326" s="17">
        <v>1798</v>
      </c>
      <c r="H326" s="17"/>
      <c r="I326" s="17"/>
      <c r="J326" s="17">
        <v>1795</v>
      </c>
      <c r="K326" s="17" t="n">
        <f aca="false">IF(AND(IFERROR(SEARCH("현대오일뱅크",$C326),0)&gt;0,IFERROR(SEARCH("직영",$C326),0)&gt;0),$B$13,0)</f>
        <v/>
      </c>
      <c r="L326" s="17" t="n">
        <f aca="false">IF($G326="","",$G326+$K326)</f>
        <v/>
      </c>
      <c r="M326" s="17" t="str">
        <f aca="false">IF($H326="","",$H326+$K326)</f>
        <v/>
      </c>
      <c r="N326" s="17" t="n">
        <f aca="false">IF($J326="","",$J326+$K326)</f>
        <v/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 t="str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 t="str">
        <f aca="false">IF($P326="","",IF($Q326="Y",IFERROR(VLOOKUP($B326,$C$4:$D$13,2,FALSE()),0),0))</f>
        <v/>
      </c>
      <c r="S326" s="17" t="str">
        <f aca="false">IF($P326="","",ROUNDDOWN($P326*$R326,0))</f>
        <v/>
      </c>
      <c r="T326" s="17" t="str">
        <f aca="false">IF($P326="","",$P326-$S326)</f>
        <v/>
      </c>
      <c r="U326" s="17" t="str">
        <f aca="false">IF($T326="","",IF($B$10=0,"",$T326/$B$10))</f>
        <v/>
      </c>
      <c r="V326" s="17" t="str">
        <f aca="false">IF($P326="","",IF($B$10=0,"",$P326/$B$10))</f>
        <v/>
      </c>
      <c r="W326" s="19" t="n">
        <f aca="false">IF($T326="",1000000000000000,$T326)</f>
        <v/>
      </c>
      <c r="XFB326" s="6"/>
      <c r="XFC326" s="3"/>
    </row>
    <row r="327" s="5" collapsed="false" customFormat="true" customHeight="true" hidden="false" ht="28.5" outlineLevel="0">
      <c r="A327" s="16" t="str">
        <f aca="false">IF($T327="","",1+COUNTIF($W$15:$W$894,"&lt;"&amp;W327))</f>
        <v/>
      </c>
      <c r="B327" s="16" t="s">
        <v>10</v>
      </c>
      <c r="C327" s="16" t="s">
        <v>672</v>
      </c>
      <c r="D327" s="16" t="s">
        <v>45</v>
      </c>
      <c r="E327" s="16" t="s">
        <v>26</v>
      </c>
      <c r="F327" s="16" t="s">
        <v>673</v>
      </c>
      <c r="G327" s="17">
        <v>1798</v>
      </c>
      <c r="H327" s="17"/>
      <c r="I327" s="17"/>
      <c r="J327" s="17">
        <v>1796</v>
      </c>
      <c r="K327" s="17" t="n">
        <f aca="false">IF(AND(IFERROR(SEARCH("현대오일뱅크",$C327),0)&gt;0,IFERROR(SEARCH("직영",$C327),0)&gt;0),$B$13,0)</f>
        <v/>
      </c>
      <c r="L327" s="17" t="n">
        <f aca="false">IF($G327="","",$G327+$K327)</f>
        <v/>
      </c>
      <c r="M327" s="17" t="str">
        <f aca="false">IF($H327="","",$H327+$K327)</f>
        <v/>
      </c>
      <c r="N327" s="17" t="n">
        <f aca="false">IF($J327="","",$J327+$K327)</f>
        <v/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 t="str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 t="str">
        <f aca="false">IF($P327="","",IF($Q327="Y",IFERROR(VLOOKUP($B327,$C$4:$D$13,2,FALSE()),0),0))</f>
        <v/>
      </c>
      <c r="S327" s="17" t="str">
        <f aca="false">IF($P327="","",ROUNDDOWN($P327*$R327,0))</f>
        <v/>
      </c>
      <c r="T327" s="17" t="str">
        <f aca="false">IF($P327="","",$P327-$S327)</f>
        <v/>
      </c>
      <c r="U327" s="17" t="str">
        <f aca="false">IF($T327="","",IF($B$10=0,"",$T327/$B$10))</f>
        <v/>
      </c>
      <c r="V327" s="17" t="str">
        <f aca="false">IF($P327="","",IF($B$10=0,"",$P327/$B$10))</f>
        <v/>
      </c>
      <c r="W327" s="19" t="n">
        <f aca="false">IF($T327="",1000000000000000,$T327)</f>
        <v/>
      </c>
      <c r="XFB327" s="6"/>
      <c r="XFC327" s="3"/>
    </row>
    <row r="328" s="5" collapsed="false" customFormat="true" customHeight="true" hidden="false" ht="28.5" outlineLevel="0">
      <c r="A328" s="16" t="str">
        <f aca="false">IF($T328="","",1+COUNTIF($W$15:$W$894,"&lt;"&amp;W328))</f>
        <v/>
      </c>
      <c r="B328" s="16" t="s">
        <v>6</v>
      </c>
      <c r="C328" s="16" t="s">
        <v>674</v>
      </c>
      <c r="D328" s="16" t="s">
        <v>45</v>
      </c>
      <c r="E328" s="16" t="s">
        <v>26</v>
      </c>
      <c r="F328" s="16" t="s">
        <v>675</v>
      </c>
      <c r="G328" s="17">
        <v>1798</v>
      </c>
      <c r="H328" s="17"/>
      <c r="I328" s="17"/>
      <c r="J328" s="17">
        <v>1798</v>
      </c>
      <c r="K328" s="17" t="n">
        <f aca="false">IF(AND(IFERROR(SEARCH("현대오일뱅크",$C328),0)&gt;0,IFERROR(SEARCH("직영",$C328),0)&gt;0),$B$13,0)</f>
        <v/>
      </c>
      <c r="L328" s="17" t="n">
        <f aca="false">IF($G328="","",$G328+$K328)</f>
        <v/>
      </c>
      <c r="M328" s="17" t="str">
        <f aca="false">IF($H328="","",$H328+$K328)</f>
        <v/>
      </c>
      <c r="N328" s="17" t="n">
        <f aca="false">IF($J328="","",$J328+$K328)</f>
        <v/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 t="str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 t="str">
        <f aca="false">IF($P328="","",IF($Q328="Y",IFERROR(VLOOKUP($B328,$C$4:$D$13,2,FALSE()),0),0))</f>
        <v/>
      </c>
      <c r="S328" s="17" t="str">
        <f aca="false">IF($P328="","",ROUNDDOWN($P328*$R328,0))</f>
        <v/>
      </c>
      <c r="T328" s="17" t="str">
        <f aca="false">IF($P328="","",$P328-$S328)</f>
        <v/>
      </c>
      <c r="U328" s="17" t="str">
        <f aca="false">IF($T328="","",IF($B$10=0,"",$T328/$B$10))</f>
        <v/>
      </c>
      <c r="V328" s="17" t="str">
        <f aca="false">IF($P328="","",IF($B$10=0,"",$P328/$B$10))</f>
        <v/>
      </c>
      <c r="W328" s="19" t="n">
        <f aca="false">IF($T328="",1000000000000000,$T328)</f>
        <v/>
      </c>
      <c r="XFB328" s="6"/>
      <c r="XFC328" s="3"/>
    </row>
    <row r="329" s="5" collapsed="false" customFormat="true" customHeight="true" hidden="false" ht="28.5" outlineLevel="0">
      <c r="A329" s="16" t="str">
        <f aca="false">IF($T329="","",1+COUNTIF($W$15:$W$894,"&lt;"&amp;W329))</f>
        <v/>
      </c>
      <c r="B329" s="16" t="s">
        <v>6</v>
      </c>
      <c r="C329" s="16" t="s">
        <v>676</v>
      </c>
      <c r="D329" s="16" t="s">
        <v>45</v>
      </c>
      <c r="E329" s="16" t="s">
        <v>26</v>
      </c>
      <c r="F329" s="16" t="s">
        <v>677</v>
      </c>
      <c r="G329" s="17">
        <v>1798</v>
      </c>
      <c r="H329" s="17"/>
      <c r="I329" s="17"/>
      <c r="J329" s="17">
        <v>1798</v>
      </c>
      <c r="K329" s="17" t="n">
        <f aca="false">IF(AND(IFERROR(SEARCH("현대오일뱅크",$C329),0)&gt;0,IFERROR(SEARCH("직영",$C329),0)&gt;0),$B$13,0)</f>
        <v/>
      </c>
      <c r="L329" s="17" t="n">
        <f aca="false">IF($G329="","",$G329+$K329)</f>
        <v/>
      </c>
      <c r="M329" s="17" t="str">
        <f aca="false">IF($H329="","",$H329+$K329)</f>
        <v/>
      </c>
      <c r="N329" s="17" t="n">
        <f aca="false">IF($J329="","",$J329+$K329)</f>
        <v/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 t="str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 t="str">
        <f aca="false">IF($P329="","",IF($Q329="Y",IFERROR(VLOOKUP($B329,$C$4:$D$13,2,FALSE()),0),0))</f>
        <v/>
      </c>
      <c r="S329" s="17" t="str">
        <f aca="false">IF($P329="","",ROUNDDOWN($P329*$R329,0))</f>
        <v/>
      </c>
      <c r="T329" s="17" t="str">
        <f aca="false">IF($P329="","",$P329-$S329)</f>
        <v/>
      </c>
      <c r="U329" s="17" t="str">
        <f aca="false">IF($T329="","",IF($B$10=0,"",$T329/$B$10))</f>
        <v/>
      </c>
      <c r="V329" s="17" t="str">
        <f aca="false">IF($P329="","",IF($B$10=0,"",$P329/$B$10))</f>
        <v/>
      </c>
      <c r="W329" s="19" t="n">
        <f aca="false">IF($T329="",1000000000000000,$T329)</f>
        <v/>
      </c>
      <c r="XFB329" s="6"/>
      <c r="XFC329" s="3"/>
    </row>
    <row r="330" s="5" collapsed="false" customFormat="true" customHeight="true" hidden="false" ht="28.5" outlineLevel="0">
      <c r="A330" s="16" t="str">
        <f aca="false">IF($T330="","",1+COUNTIF($W$15:$W$894,"&lt;"&amp;W330))</f>
        <v/>
      </c>
      <c r="B330" s="16" t="s">
        <v>6</v>
      </c>
      <c r="C330" s="16" t="s">
        <v>678</v>
      </c>
      <c r="D330" s="16" t="s">
        <v>45</v>
      </c>
      <c r="E330" s="16" t="s">
        <v>63</v>
      </c>
      <c r="F330" s="16" t="s">
        <v>679</v>
      </c>
      <c r="G330" s="17">
        <v>1798</v>
      </c>
      <c r="H330" s="17"/>
      <c r="I330" s="17"/>
      <c r="J330" s="17">
        <v>1798</v>
      </c>
      <c r="K330" s="17" t="n">
        <f aca="false">IF(AND(IFERROR(SEARCH("현대오일뱅크",$C330),0)&gt;0,IFERROR(SEARCH("직영",$C330),0)&gt;0),$B$13,0)</f>
        <v/>
      </c>
      <c r="L330" s="17" t="n">
        <f aca="false">IF($G330="","",$G330+$K330)</f>
        <v/>
      </c>
      <c r="M330" s="17" t="str">
        <f aca="false">IF($H330="","",$H330+$K330)</f>
        <v/>
      </c>
      <c r="N330" s="17" t="n">
        <f aca="false">IF($J330="","",$J330+$K330)</f>
        <v/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 t="str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 t="str">
        <f aca="false">IF($P330="","",IF($Q330="Y",IFERROR(VLOOKUP($B330,$C$4:$D$13,2,FALSE()),0),0))</f>
        <v/>
      </c>
      <c r="S330" s="17" t="str">
        <f aca="false">IF($P330="","",ROUNDDOWN($P330*$R330,0))</f>
        <v/>
      </c>
      <c r="T330" s="17" t="str">
        <f aca="false">IF($P330="","",$P330-$S330)</f>
        <v/>
      </c>
      <c r="U330" s="17" t="str">
        <f aca="false">IF($T330="","",IF($B$10=0,"",$T330/$B$10))</f>
        <v/>
      </c>
      <c r="V330" s="17" t="str">
        <f aca="false">IF($P330="","",IF($B$10=0,"",$P330/$B$10))</f>
        <v/>
      </c>
      <c r="W330" s="19" t="n">
        <f aca="false">IF($T330="",1000000000000000,$T330)</f>
        <v/>
      </c>
      <c r="XFB330" s="6"/>
      <c r="XFC330" s="3"/>
    </row>
    <row r="331" s="5" collapsed="false" customFormat="true" customHeight="true" hidden="false" ht="28.5" outlineLevel="0">
      <c r="A331" s="16" t="str">
        <f aca="false">IF($T331="","",1+COUNTIF($W$15:$W$894,"&lt;"&amp;W331))</f>
        <v/>
      </c>
      <c r="B331" s="16" t="s">
        <v>6</v>
      </c>
      <c r="C331" s="16" t="s">
        <v>680</v>
      </c>
      <c r="D331" s="16" t="s">
        <v>51</v>
      </c>
      <c r="E331" s="16" t="s">
        <v>26</v>
      </c>
      <c r="F331" s="16" t="s">
        <v>681</v>
      </c>
      <c r="G331" s="17">
        <v>1798</v>
      </c>
      <c r="H331" s="17"/>
      <c r="I331" s="17"/>
      <c r="J331" s="17">
        <v>1798</v>
      </c>
      <c r="K331" s="17" t="n">
        <f aca="false">IF(AND(IFERROR(SEARCH("현대오일뱅크",$C331),0)&gt;0,IFERROR(SEARCH("직영",$C331),0)&gt;0),$B$13,0)</f>
        <v/>
      </c>
      <c r="L331" s="17" t="n">
        <f aca="false">IF($G331="","",$G331+$K331)</f>
        <v/>
      </c>
      <c r="M331" s="17" t="str">
        <f aca="false">IF($H331="","",$H331+$K331)</f>
        <v/>
      </c>
      <c r="N331" s="17" t="n">
        <f aca="false">IF($J331="","",$J331+$K331)</f>
        <v/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 t="str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 t="str">
        <f aca="false">IF($P331="","",IF($Q331="Y",IFERROR(VLOOKUP($B331,$C$4:$D$13,2,FALSE()),0),0))</f>
        <v/>
      </c>
      <c r="S331" s="17" t="str">
        <f aca="false">IF($P331="","",ROUNDDOWN($P331*$R331,0))</f>
        <v/>
      </c>
      <c r="T331" s="17" t="str">
        <f aca="false">IF($P331="","",$P331-$S331)</f>
        <v/>
      </c>
      <c r="U331" s="17" t="str">
        <f aca="false">IF($T331="","",IF($B$10=0,"",$T331/$B$10))</f>
        <v/>
      </c>
      <c r="V331" s="17" t="str">
        <f aca="false">IF($P331="","",IF($B$10=0,"",$P331/$B$10))</f>
        <v/>
      </c>
      <c r="W331" s="19" t="n">
        <f aca="false">IF($T331="",1000000000000000,$T331)</f>
        <v/>
      </c>
      <c r="XFB331" s="6"/>
      <c r="XFC331" s="3"/>
    </row>
    <row r="332" s="5" collapsed="false" customFormat="true" customHeight="true" hidden="false" ht="28.5" outlineLevel="0">
      <c r="A332" s="16" t="str">
        <f aca="false">IF($T332="","",1+COUNTIF($W$15:$W$894,"&lt;"&amp;W332))</f>
        <v/>
      </c>
      <c r="B332" s="16" t="s">
        <v>6</v>
      </c>
      <c r="C332" s="16" t="s">
        <v>682</v>
      </c>
      <c r="D332" s="16" t="s">
        <v>51</v>
      </c>
      <c r="E332" s="16" t="s">
        <v>26</v>
      </c>
      <c r="F332" s="16" t="s">
        <v>683</v>
      </c>
      <c r="G332" s="17">
        <v>1798</v>
      </c>
      <c r="H332" s="17"/>
      <c r="I332" s="17"/>
      <c r="J332" s="17">
        <v>1798</v>
      </c>
      <c r="K332" s="17" t="n">
        <f aca="false">IF(AND(IFERROR(SEARCH("현대오일뱅크",$C332),0)&gt;0,IFERROR(SEARCH("직영",$C332),0)&gt;0),$B$13,0)</f>
        <v/>
      </c>
      <c r="L332" s="17" t="n">
        <f aca="false">IF($G332="","",$G332+$K332)</f>
        <v/>
      </c>
      <c r="M332" s="17" t="str">
        <f aca="false">IF($H332="","",$H332+$K332)</f>
        <v/>
      </c>
      <c r="N332" s="17" t="n">
        <f aca="false">IF($J332="","",$J332+$K332)</f>
        <v/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 t="str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 t="str">
        <f aca="false">IF($P332="","",IF($Q332="Y",IFERROR(VLOOKUP($B332,$C$4:$D$13,2,FALSE()),0),0))</f>
        <v/>
      </c>
      <c r="S332" s="17" t="str">
        <f aca="false">IF($P332="","",ROUNDDOWN($P332*$R332,0))</f>
        <v/>
      </c>
      <c r="T332" s="17" t="str">
        <f aca="false">IF($P332="","",$P332-$S332)</f>
        <v/>
      </c>
      <c r="U332" s="17" t="str">
        <f aca="false">IF($T332="","",IF($B$10=0,"",$T332/$B$10))</f>
        <v/>
      </c>
      <c r="V332" s="17" t="str">
        <f aca="false">IF($P332="","",IF($B$10=0,"",$P332/$B$10))</f>
        <v/>
      </c>
      <c r="W332" s="19" t="n">
        <f aca="false">IF($T332="",1000000000000000,$T332)</f>
        <v/>
      </c>
      <c r="XFB332" s="6"/>
      <c r="XFC332" s="3"/>
    </row>
    <row r="333" s="5" collapsed="false" customFormat="true" customHeight="true" hidden="false" ht="28.5" outlineLevel="0">
      <c r="A333" s="16" t="str">
        <f aca="false">IF($T333="","",1+COUNTIF($W$15:$W$894,"&lt;"&amp;W333))</f>
        <v/>
      </c>
      <c r="B333" s="16" t="s">
        <v>6</v>
      </c>
      <c r="C333" s="16" t="s">
        <v>684</v>
      </c>
      <c r="D333" s="16" t="s">
        <v>51</v>
      </c>
      <c r="E333" s="16" t="s">
        <v>63</v>
      </c>
      <c r="F333" s="16" t="s">
        <v>685</v>
      </c>
      <c r="G333" s="17">
        <v>1798</v>
      </c>
      <c r="H333" s="17"/>
      <c r="I333" s="17"/>
      <c r="J333" s="17">
        <v>1798</v>
      </c>
      <c r="K333" s="17" t="n">
        <f aca="false">IF(AND(IFERROR(SEARCH("현대오일뱅크",$C333),0)&gt;0,IFERROR(SEARCH("직영",$C333),0)&gt;0),$B$13,0)</f>
        <v/>
      </c>
      <c r="L333" s="17" t="n">
        <f aca="false">IF($G333="","",$G333+$K333)</f>
        <v/>
      </c>
      <c r="M333" s="17" t="str">
        <f aca="false">IF($H333="","",$H333+$K333)</f>
        <v/>
      </c>
      <c r="N333" s="17" t="n">
        <f aca="false">IF($J333="","",$J333+$K333)</f>
        <v/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 t="str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 t="str">
        <f aca="false">IF($P333="","",IF($Q333="Y",IFERROR(VLOOKUP($B333,$C$4:$D$13,2,FALSE()),0),0))</f>
        <v/>
      </c>
      <c r="S333" s="17" t="str">
        <f aca="false">IF($P333="","",ROUNDDOWN($P333*$R333,0))</f>
        <v/>
      </c>
      <c r="T333" s="17" t="str">
        <f aca="false">IF($P333="","",$P333-$S333)</f>
        <v/>
      </c>
      <c r="U333" s="17" t="str">
        <f aca="false">IF($T333="","",IF($B$10=0,"",$T333/$B$10))</f>
        <v/>
      </c>
      <c r="V333" s="17" t="str">
        <f aca="false">IF($P333="","",IF($B$10=0,"",$P333/$B$10))</f>
        <v/>
      </c>
      <c r="W333" s="19" t="n">
        <f aca="false">IF($T333="",1000000000000000,$T333)</f>
        <v/>
      </c>
      <c r="XFB333" s="6"/>
      <c r="XFC333" s="3"/>
    </row>
    <row r="334" s="5" collapsed="false" customFormat="true" customHeight="true" hidden="false" ht="28.5" outlineLevel="0">
      <c r="A334" s="16" t="str">
        <f aca="false">IF($T334="","",1+COUNTIF($W$15:$W$894,"&lt;"&amp;W334))</f>
        <v/>
      </c>
      <c r="B334" s="16" t="s">
        <v>6</v>
      </c>
      <c r="C334" s="16" t="s">
        <v>686</v>
      </c>
      <c r="D334" s="16" t="s">
        <v>95</v>
      </c>
      <c r="E334" s="16" t="s">
        <v>26</v>
      </c>
      <c r="F334" s="16" t="s">
        <v>687</v>
      </c>
      <c r="G334" s="17">
        <v>1798</v>
      </c>
      <c r="H334" s="17"/>
      <c r="I334" s="17"/>
      <c r="J334" s="17">
        <v>1798</v>
      </c>
      <c r="K334" s="17" t="n">
        <f aca="false">IF(AND(IFERROR(SEARCH("현대오일뱅크",$C334),0)&gt;0,IFERROR(SEARCH("직영",$C334),0)&gt;0),$B$13,0)</f>
        <v/>
      </c>
      <c r="L334" s="17" t="n">
        <f aca="false">IF($G334="","",$G334+$K334)</f>
        <v/>
      </c>
      <c r="M334" s="17" t="str">
        <f aca="false">IF($H334="","",$H334+$K334)</f>
        <v/>
      </c>
      <c r="N334" s="17" t="n">
        <f aca="false">IF($J334="","",$J334+$K334)</f>
        <v/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 t="str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 t="str">
        <f aca="false">IF($P334="","",IF($Q334="Y",IFERROR(VLOOKUP($B334,$C$4:$D$13,2,FALSE()),0),0))</f>
        <v/>
      </c>
      <c r="S334" s="17" t="str">
        <f aca="false">IF($P334="","",ROUNDDOWN($P334*$R334,0))</f>
        <v/>
      </c>
      <c r="T334" s="17" t="str">
        <f aca="false">IF($P334="","",$P334-$S334)</f>
        <v/>
      </c>
      <c r="U334" s="17" t="str">
        <f aca="false">IF($T334="","",IF($B$10=0,"",$T334/$B$10))</f>
        <v/>
      </c>
      <c r="V334" s="17" t="str">
        <f aca="false">IF($P334="","",IF($B$10=0,"",$P334/$B$10))</f>
        <v/>
      </c>
      <c r="W334" s="19" t="n">
        <f aca="false">IF($T334="",1000000000000000,$T334)</f>
        <v/>
      </c>
      <c r="XFB334" s="6"/>
      <c r="XFC334" s="3"/>
    </row>
    <row r="335" s="5" collapsed="false" customFormat="true" customHeight="true" hidden="false" ht="28.5" outlineLevel="0">
      <c r="A335" s="16" t="str">
        <f aca="false">IF($T335="","",1+COUNTIF($W$15:$W$894,"&lt;"&amp;W335))</f>
        <v/>
      </c>
      <c r="B335" s="16" t="s">
        <v>6</v>
      </c>
      <c r="C335" s="16" t="s">
        <v>688</v>
      </c>
      <c r="D335" s="16" t="s">
        <v>45</v>
      </c>
      <c r="E335" s="16" t="s">
        <v>63</v>
      </c>
      <c r="F335" s="16" t="s">
        <v>689</v>
      </c>
      <c r="G335" s="17">
        <v>1798</v>
      </c>
      <c r="H335" s="17"/>
      <c r="I335" s="17"/>
      <c r="J335" s="17">
        <v>1798</v>
      </c>
      <c r="K335" s="17" t="n">
        <f aca="false">IF(AND(IFERROR(SEARCH("현대오일뱅크",$C335),0)&gt;0,IFERROR(SEARCH("직영",$C335),0)&gt;0),$B$13,0)</f>
        <v/>
      </c>
      <c r="L335" s="17" t="n">
        <f aca="false">IF($G335="","",$G335+$K335)</f>
        <v/>
      </c>
      <c r="M335" s="17" t="str">
        <f aca="false">IF($H335="","",$H335+$K335)</f>
        <v/>
      </c>
      <c r="N335" s="17" t="n">
        <f aca="false">IF($J335="","",$J335+$K335)</f>
        <v/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 t="str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 t="str">
        <f aca="false">IF($P335="","",IF($Q335="Y",IFERROR(VLOOKUP($B335,$C$4:$D$13,2,FALSE()),0),0))</f>
        <v/>
      </c>
      <c r="S335" s="17" t="str">
        <f aca="false">IF($P335="","",ROUNDDOWN($P335*$R335,0))</f>
        <v/>
      </c>
      <c r="T335" s="17" t="str">
        <f aca="false">IF($P335="","",$P335-$S335)</f>
        <v/>
      </c>
      <c r="U335" s="17" t="str">
        <f aca="false">IF($T335="","",IF($B$10=0,"",$T335/$B$10))</f>
        <v/>
      </c>
      <c r="V335" s="17" t="str">
        <f aca="false">IF($P335="","",IF($B$10=0,"",$P335/$B$10))</f>
        <v/>
      </c>
      <c r="W335" s="19" t="n">
        <f aca="false">IF($T335="",1000000000000000,$T335)</f>
        <v/>
      </c>
      <c r="XFB335" s="6"/>
      <c r="XFC335" s="3"/>
    </row>
    <row r="336" s="5" collapsed="false" customFormat="true" customHeight="true" hidden="false" ht="28.5" outlineLevel="0">
      <c r="A336" s="16" t="str">
        <f aca="false">IF($T336="","",1+COUNTIF($W$15:$W$894,"&lt;"&amp;W336))</f>
        <v/>
      </c>
      <c r="B336" s="16" t="s">
        <v>6</v>
      </c>
      <c r="C336" s="16" t="s">
        <v>690</v>
      </c>
      <c r="D336" s="16" t="s">
        <v>95</v>
      </c>
      <c r="E336" s="16" t="s">
        <v>26</v>
      </c>
      <c r="F336" s="16" t="s">
        <v>691</v>
      </c>
      <c r="G336" s="17">
        <v>1798</v>
      </c>
      <c r="H336" s="17"/>
      <c r="I336" s="17"/>
      <c r="J336" s="17">
        <v>1798</v>
      </c>
      <c r="K336" s="17" t="n">
        <f aca="false">IF(AND(IFERROR(SEARCH("현대오일뱅크",$C336),0)&gt;0,IFERROR(SEARCH("직영",$C336),0)&gt;0),$B$13,0)</f>
        <v/>
      </c>
      <c r="L336" s="17" t="n">
        <f aca="false">IF($G336="","",$G336+$K336)</f>
        <v/>
      </c>
      <c r="M336" s="17" t="str">
        <f aca="false">IF($H336="","",$H336+$K336)</f>
        <v/>
      </c>
      <c r="N336" s="17" t="n">
        <f aca="false">IF($J336="","",$J336+$K336)</f>
        <v/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 t="str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 t="str">
        <f aca="false">IF($P336="","",IF($Q336="Y",IFERROR(VLOOKUP($B336,$C$4:$D$13,2,FALSE()),0),0))</f>
        <v/>
      </c>
      <c r="S336" s="17" t="str">
        <f aca="false">IF($P336="","",ROUNDDOWN($P336*$R336,0))</f>
        <v/>
      </c>
      <c r="T336" s="17" t="str">
        <f aca="false">IF($P336="","",$P336-$S336)</f>
        <v/>
      </c>
      <c r="U336" s="17" t="str">
        <f aca="false">IF($T336="","",IF($B$10=0,"",$T336/$B$10))</f>
        <v/>
      </c>
      <c r="V336" s="17" t="str">
        <f aca="false">IF($P336="","",IF($B$10=0,"",$P336/$B$10))</f>
        <v/>
      </c>
      <c r="W336" s="19" t="n">
        <f aca="false">IF($T336="",1000000000000000,$T336)</f>
        <v/>
      </c>
      <c r="XFB336" s="6"/>
      <c r="XFC336" s="3"/>
    </row>
    <row r="337" s="5" collapsed="false" customFormat="true" customHeight="true" hidden="false" ht="28.5" outlineLevel="0">
      <c r="A337" s="16" t="str">
        <f aca="false">IF($T337="","",1+COUNTIF($W$15:$W$894,"&lt;"&amp;W337))</f>
        <v/>
      </c>
      <c r="B337" s="16" t="s">
        <v>6</v>
      </c>
      <c r="C337" s="16" t="s">
        <v>692</v>
      </c>
      <c r="D337" s="20" t="s">
        <v>86</v>
      </c>
      <c r="E337" s="16" t="s">
        <v>26</v>
      </c>
      <c r="F337" s="16" t="s">
        <v>693</v>
      </c>
      <c r="G337" s="17">
        <v>1798</v>
      </c>
      <c r="H337" s="17"/>
      <c r="I337" s="17"/>
      <c r="J337" s="17">
        <v>1798</v>
      </c>
      <c r="K337" s="17" t="n">
        <f aca="false">IF(AND(IFERROR(SEARCH("현대오일뱅크",$C337),0)&gt;0,IFERROR(SEARCH("직영",$C337),0)&gt;0),$B$13,0)</f>
        <v/>
      </c>
      <c r="L337" s="17" t="n">
        <f aca="false">IF($G337="","",$G337+$K337)</f>
        <v/>
      </c>
      <c r="M337" s="17" t="str">
        <f aca="false">IF($H337="","",$H337+$K337)</f>
        <v/>
      </c>
      <c r="N337" s="17" t="n">
        <f aca="false">IF($J337="","",$J337+$K337)</f>
        <v/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 t="str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 t="str">
        <f aca="false">IF($P337="","",IF($Q337="Y",IFERROR(VLOOKUP($B337,$C$4:$D$13,2,FALSE()),0),0))</f>
        <v/>
      </c>
      <c r="S337" s="17" t="str">
        <f aca="false">IF($P337="","",ROUNDDOWN($P337*$R337,0))</f>
        <v/>
      </c>
      <c r="T337" s="17" t="str">
        <f aca="false">IF($P337="","",$P337-$S337)</f>
        <v/>
      </c>
      <c r="U337" s="17" t="str">
        <f aca="false">IF($T337="","",IF($B$10=0,"",$T337/$B$10))</f>
        <v/>
      </c>
      <c r="V337" s="17" t="str">
        <f aca="false">IF($P337="","",IF($B$10=0,"",$P337/$B$10))</f>
        <v/>
      </c>
      <c r="W337" s="19" t="n">
        <f aca="false">IF($T337="",1000000000000000,$T337)</f>
        <v/>
      </c>
      <c r="XFB337" s="6"/>
      <c r="XFC337" s="3"/>
    </row>
    <row r="338" s="5" collapsed="false" customFormat="true" customHeight="true" hidden="false" ht="28.5" outlineLevel="0">
      <c r="A338" s="16" t="str">
        <f aca="false">IF($T338="","",1+COUNTIF($W$15:$W$894,"&lt;"&amp;W338))</f>
        <v/>
      </c>
      <c r="B338" s="16" t="s">
        <v>6</v>
      </c>
      <c r="C338" s="16" t="s">
        <v>694</v>
      </c>
      <c r="D338" s="16" t="s">
        <v>45</v>
      </c>
      <c r="E338" s="16" t="s">
        <v>63</v>
      </c>
      <c r="F338" s="16" t="s">
        <v>695</v>
      </c>
      <c r="G338" s="17">
        <v>1798</v>
      </c>
      <c r="H338" s="17"/>
      <c r="I338" s="17"/>
      <c r="J338" s="17">
        <v>1798</v>
      </c>
      <c r="K338" s="17" t="n">
        <f aca="false">IF(AND(IFERROR(SEARCH("현대오일뱅크",$C338),0)&gt;0,IFERROR(SEARCH("직영",$C338),0)&gt;0),$B$13,0)</f>
        <v/>
      </c>
      <c r="L338" s="17" t="n">
        <f aca="false">IF($G338="","",$G338+$K338)</f>
        <v/>
      </c>
      <c r="M338" s="17" t="str">
        <f aca="false">IF($H338="","",$H338+$K338)</f>
        <v/>
      </c>
      <c r="N338" s="17" t="n">
        <f aca="false">IF($J338="","",$J338+$K338)</f>
        <v/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 t="str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 t="str">
        <f aca="false">IF($P338="","",IF($Q338="Y",IFERROR(VLOOKUP($B338,$C$4:$D$13,2,FALSE()),0),0))</f>
        <v/>
      </c>
      <c r="S338" s="17" t="str">
        <f aca="false">IF($P338="","",ROUNDDOWN($P338*$R338,0))</f>
        <v/>
      </c>
      <c r="T338" s="17" t="str">
        <f aca="false">IF($P338="","",$P338-$S338)</f>
        <v/>
      </c>
      <c r="U338" s="17" t="str">
        <f aca="false">IF($T338="","",IF($B$10=0,"",$T338/$B$10))</f>
        <v/>
      </c>
      <c r="V338" s="17" t="str">
        <f aca="false">IF($P338="","",IF($B$10=0,"",$P338/$B$10))</f>
        <v/>
      </c>
      <c r="W338" s="19" t="n">
        <f aca="false">IF($T338="",1000000000000000,$T338)</f>
        <v/>
      </c>
      <c r="XFB338" s="6"/>
      <c r="XFC338" s="3"/>
    </row>
    <row r="339" s="5" collapsed="false" customFormat="true" customHeight="true" hidden="false" ht="28.5" outlineLevel="0">
      <c r="A339" s="16" t="str">
        <f aca="false">IF($T339="","",1+COUNTIF($W$15:$W$894,"&lt;"&amp;W339))</f>
        <v/>
      </c>
      <c r="B339" s="16" t="s">
        <v>6</v>
      </c>
      <c r="C339" s="16" t="s">
        <v>696</v>
      </c>
      <c r="D339" s="20" t="s">
        <v>86</v>
      </c>
      <c r="E339" s="16" t="s">
        <v>26</v>
      </c>
      <c r="F339" s="16" t="s">
        <v>697</v>
      </c>
      <c r="G339" s="17">
        <v>1798</v>
      </c>
      <c r="H339" s="17"/>
      <c r="I339" s="17"/>
      <c r="J339" s="17">
        <v>1798</v>
      </c>
      <c r="K339" s="17" t="n">
        <f aca="false">IF(AND(IFERROR(SEARCH("현대오일뱅크",$C339),0)&gt;0,IFERROR(SEARCH("직영",$C339),0)&gt;0),$B$13,0)</f>
        <v/>
      </c>
      <c r="L339" s="17" t="n">
        <f aca="false">IF($G339="","",$G339+$K339)</f>
        <v/>
      </c>
      <c r="M339" s="17" t="str">
        <f aca="false">IF($H339="","",$H339+$K339)</f>
        <v/>
      </c>
      <c r="N339" s="17" t="n">
        <f aca="false">IF($J339="","",$J339+$K339)</f>
        <v/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 t="str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 t="str">
        <f aca="false">IF($P339="","",IF($Q339="Y",IFERROR(VLOOKUP($B339,$C$4:$D$13,2,FALSE()),0),0))</f>
        <v/>
      </c>
      <c r="S339" s="17" t="str">
        <f aca="false">IF($P339="","",ROUNDDOWN($P339*$R339,0))</f>
        <v/>
      </c>
      <c r="T339" s="17" t="str">
        <f aca="false">IF($P339="","",$P339-$S339)</f>
        <v/>
      </c>
      <c r="U339" s="17" t="str">
        <f aca="false">IF($T339="","",IF($B$10=0,"",$T339/$B$10))</f>
        <v/>
      </c>
      <c r="V339" s="17" t="str">
        <f aca="false">IF($P339="","",IF($B$10=0,"",$P339/$B$10))</f>
        <v/>
      </c>
      <c r="W339" s="19" t="n">
        <f aca="false">IF($T339="",1000000000000000,$T339)</f>
        <v/>
      </c>
      <c r="XFB339" s="6"/>
      <c r="XFC339" s="3"/>
    </row>
    <row r="340" s="5" collapsed="false" customFormat="true" customHeight="true" hidden="false" ht="28.5" outlineLevel="0">
      <c r="A340" s="16" t="str">
        <f aca="false">IF($T340="","",1+COUNTIF($W$15:$W$894,"&lt;"&amp;W340))</f>
        <v/>
      </c>
      <c r="B340" s="16" t="s">
        <v>12</v>
      </c>
      <c r="C340" s="16" t="s">
        <v>698</v>
      </c>
      <c r="D340" s="20" t="s">
        <v>86</v>
      </c>
      <c r="E340" s="16" t="s">
        <v>26</v>
      </c>
      <c r="F340" s="16" t="s">
        <v>699</v>
      </c>
      <c r="G340" s="17">
        <v>1798</v>
      </c>
      <c r="H340" s="17"/>
      <c r="I340" s="17"/>
      <c r="J340" s="17">
        <v>1798</v>
      </c>
      <c r="K340" s="17" t="n">
        <f aca="false">IF(AND(IFERROR(SEARCH("현대오일뱅크",$C340),0)&gt;0,IFERROR(SEARCH("직영",$C340),0)&gt;0),$B$13,0)</f>
        <v/>
      </c>
      <c r="L340" s="17" t="n">
        <f aca="false">IF($G340="","",$G340+$K340)</f>
        <v/>
      </c>
      <c r="M340" s="17" t="str">
        <f aca="false">IF($H340="","",$H340+$K340)</f>
        <v/>
      </c>
      <c r="N340" s="17" t="n">
        <f aca="false">IF($J340="","",$J340+$K340)</f>
        <v/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 t="str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 t="str">
        <f aca="false">IF($P340="","",IF($Q340="Y",IFERROR(VLOOKUP($B340,$C$4:$D$13,2,FALSE()),0),0))</f>
        <v/>
      </c>
      <c r="S340" s="17" t="str">
        <f aca="false">IF($P340="","",ROUNDDOWN($P340*$R340,0))</f>
        <v/>
      </c>
      <c r="T340" s="17" t="str">
        <f aca="false">IF($P340="","",$P340-$S340)</f>
        <v/>
      </c>
      <c r="U340" s="17" t="str">
        <f aca="false">IF($T340="","",IF($B$10=0,"",$T340/$B$10))</f>
        <v/>
      </c>
      <c r="V340" s="17" t="str">
        <f aca="false">IF($P340="","",IF($B$10=0,"",$P340/$B$10))</f>
        <v/>
      </c>
      <c r="W340" s="19" t="n">
        <f aca="false">IF($T340="",1000000000000000,$T340)</f>
        <v/>
      </c>
      <c r="XFB340" s="6"/>
      <c r="XFC340" s="3"/>
    </row>
    <row r="341" s="5" collapsed="false" customFormat="true" customHeight="true" hidden="false" ht="28.5" outlineLevel="0">
      <c r="A341" s="16" t="str">
        <f aca="false">IF($T341="","",1+COUNTIF($W$15:$W$894,"&lt;"&amp;W341))</f>
        <v/>
      </c>
      <c r="B341" s="16" t="s">
        <v>10</v>
      </c>
      <c r="C341" s="16" t="s">
        <v>397</v>
      </c>
      <c r="D341" s="20" t="s">
        <v>86</v>
      </c>
      <c r="E341" s="16" t="s">
        <v>26</v>
      </c>
      <c r="F341" s="16" t="s">
        <v>700</v>
      </c>
      <c r="G341" s="17">
        <v>1798</v>
      </c>
      <c r="H341" s="17"/>
      <c r="I341" s="17"/>
      <c r="J341" s="17">
        <v>1798</v>
      </c>
      <c r="K341" s="17" t="n">
        <f aca="false">IF(AND(IFERROR(SEARCH("현대오일뱅크",$C341),0)&gt;0,IFERROR(SEARCH("직영",$C341),0)&gt;0),$B$13,0)</f>
        <v/>
      </c>
      <c r="L341" s="17" t="n">
        <f aca="false">IF($G341="","",$G341+$K341)</f>
        <v/>
      </c>
      <c r="M341" s="17" t="str">
        <f aca="false">IF($H341="","",$H341+$K341)</f>
        <v/>
      </c>
      <c r="N341" s="17" t="n">
        <f aca="false">IF($J341="","",$J341+$K341)</f>
        <v/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 t="str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 t="str">
        <f aca="false">IF($P341="","",IF($Q341="Y",IFERROR(VLOOKUP($B341,$C$4:$D$13,2,FALSE()),0),0))</f>
        <v/>
      </c>
      <c r="S341" s="17" t="str">
        <f aca="false">IF($P341="","",ROUNDDOWN($P341*$R341,0))</f>
        <v/>
      </c>
      <c r="T341" s="17" t="str">
        <f aca="false">IF($P341="","",$P341-$S341)</f>
        <v/>
      </c>
      <c r="U341" s="17" t="str">
        <f aca="false">IF($T341="","",IF($B$10=0,"",$T341/$B$10))</f>
        <v/>
      </c>
      <c r="V341" s="17" t="str">
        <f aca="false">IF($P341="","",IF($B$10=0,"",$P341/$B$10))</f>
        <v/>
      </c>
      <c r="W341" s="19" t="n">
        <f aca="false">IF($T341="",1000000000000000,$T341)</f>
        <v/>
      </c>
      <c r="XFB341" s="6"/>
      <c r="XFC341" s="3"/>
    </row>
    <row r="342" s="5" collapsed="false" customFormat="true" customHeight="true" hidden="false" ht="28.5" outlineLevel="0">
      <c r="A342" s="16" t="str">
        <f aca="false">IF($T342="","",1+COUNTIF($W$15:$W$894,"&lt;"&amp;W342))</f>
        <v/>
      </c>
      <c r="B342" s="16" t="s">
        <v>6</v>
      </c>
      <c r="C342" s="16" t="s">
        <v>705</v>
      </c>
      <c r="D342" s="20" t="s">
        <v>86</v>
      </c>
      <c r="E342" s="16" t="s">
        <v>26</v>
      </c>
      <c r="F342" s="16" t="s">
        <v>706</v>
      </c>
      <c r="G342" s="17">
        <v>1798</v>
      </c>
      <c r="H342" s="17"/>
      <c r="I342" s="17"/>
      <c r="J342" s="17">
        <v>1799</v>
      </c>
      <c r="K342" s="17" t="n">
        <f aca="false">IF(AND(IFERROR(SEARCH("현대오일뱅크",$C342),0)&gt;0,IFERROR(SEARCH("직영",$C342),0)&gt;0),$B$13,0)</f>
        <v/>
      </c>
      <c r="L342" s="17" t="n">
        <f aca="false">IF($G342="","",$G342+$K342)</f>
        <v/>
      </c>
      <c r="M342" s="17" t="str">
        <f aca="false">IF($H342="","",$H342+$K342)</f>
        <v/>
      </c>
      <c r="N342" s="17" t="n">
        <f aca="false">IF($J342="","",$J342+$K342)</f>
        <v/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 t="str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 t="str">
        <f aca="false">IF($P342="","",IF($Q342="Y",IFERROR(VLOOKUP($B342,$C$4:$D$13,2,FALSE()),0),0))</f>
        <v/>
      </c>
      <c r="S342" s="17" t="str">
        <f aca="false">IF($P342="","",ROUNDDOWN($P342*$R342,0))</f>
        <v/>
      </c>
      <c r="T342" s="17" t="str">
        <f aca="false">IF($P342="","",$P342-$S342)</f>
        <v/>
      </c>
      <c r="U342" s="17" t="str">
        <f aca="false">IF($T342="","",IF($B$10=0,"",$T342/$B$10))</f>
        <v/>
      </c>
      <c r="V342" s="17" t="str">
        <f aca="false">IF($P342="","",IF($B$10=0,"",$P342/$B$10))</f>
        <v/>
      </c>
      <c r="W342" s="19" t="n">
        <f aca="false">IF($T342="",1000000000000000,$T342)</f>
        <v/>
      </c>
      <c r="XFB342" s="6"/>
      <c r="XFC342" s="3"/>
    </row>
    <row r="343" s="5" collapsed="false" customFormat="true" customHeight="true" hidden="false" ht="28.5" outlineLevel="0">
      <c r="A343" s="16" t="str">
        <f aca="false">IF($T343="","",1+COUNTIF($W$15:$W$894,"&lt;"&amp;W343))</f>
        <v/>
      </c>
      <c r="B343" s="16" t="s">
        <v>6</v>
      </c>
      <c r="C343" s="16" t="s">
        <v>707</v>
      </c>
      <c r="D343" s="20" t="s">
        <v>86</v>
      </c>
      <c r="E343" s="16" t="s">
        <v>26</v>
      </c>
      <c r="F343" s="16" t="s">
        <v>708</v>
      </c>
      <c r="G343" s="17">
        <v>1798</v>
      </c>
      <c r="H343" s="17"/>
      <c r="I343" s="17"/>
      <c r="J343" s="17">
        <v>1815</v>
      </c>
      <c r="K343" s="17" t="n">
        <f aca="false">IF(AND(IFERROR(SEARCH("현대오일뱅크",$C343),0)&gt;0,IFERROR(SEARCH("직영",$C343),0)&gt;0),$B$13,0)</f>
        <v/>
      </c>
      <c r="L343" s="17" t="n">
        <f aca="false">IF($G343="","",$G343+$K343)</f>
        <v/>
      </c>
      <c r="M343" s="17" t="str">
        <f aca="false">IF($H343="","",$H343+$K343)</f>
        <v/>
      </c>
      <c r="N343" s="17" t="n">
        <f aca="false">IF($J343="","",$J343+$K343)</f>
        <v/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 t="str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 t="str">
        <f aca="false">IF($P343="","",IF($Q343="Y",IFERROR(VLOOKUP($B343,$C$4:$D$13,2,FALSE()),0),0))</f>
        <v/>
      </c>
      <c r="S343" s="17" t="str">
        <f aca="false">IF($P343="","",ROUNDDOWN($P343*$R343,0))</f>
        <v/>
      </c>
      <c r="T343" s="17" t="str">
        <f aca="false">IF($P343="","",$P343-$S343)</f>
        <v/>
      </c>
      <c r="U343" s="17" t="str">
        <f aca="false">IF($T343="","",IF($B$10=0,"",$T343/$B$10))</f>
        <v/>
      </c>
      <c r="V343" s="17" t="str">
        <f aca="false">IF($P343="","",IF($B$10=0,"",$P343/$B$10))</f>
        <v/>
      </c>
      <c r="W343" s="19" t="n">
        <f aca="false">IF($T343="",1000000000000000,$T343)</f>
        <v/>
      </c>
      <c r="XFB343" s="6"/>
      <c r="XFC343" s="3"/>
    </row>
    <row r="344" s="5" collapsed="false" customFormat="true" customHeight="true" hidden="false" ht="28.5" outlineLevel="0">
      <c r="A344" s="16" t="str">
        <f aca="false">IF($T344="","",1+COUNTIF($W$15:$W$894,"&lt;"&amp;W344))</f>
        <v/>
      </c>
      <c r="B344" s="16" t="s">
        <v>16</v>
      </c>
      <c r="C344" s="16" t="s">
        <v>709</v>
      </c>
      <c r="D344" s="16" t="s">
        <v>95</v>
      </c>
      <c r="E344" s="16" t="s">
        <v>26</v>
      </c>
      <c r="F344" s="16" t="s">
        <v>710</v>
      </c>
      <c r="G344" s="17">
        <v>1839</v>
      </c>
      <c r="H344" s="17"/>
      <c r="I344" s="17"/>
      <c r="J344" s="17">
        <v>1839</v>
      </c>
      <c r="K344" s="17" t="n">
        <f aca="false">IF(AND(IFERROR(SEARCH("현대오일뱅크",$C344),0)&gt;0,IFERROR(SEARCH("직영",$C344),0)&gt;0),$B$13,0)</f>
        <v/>
      </c>
      <c r="L344" s="17" t="n">
        <f aca="false">IF($G344="","",$G344+$K344)</f>
        <v/>
      </c>
      <c r="M344" s="17" t="str">
        <f aca="false">IF($H344="","",$H344+$K344)</f>
        <v/>
      </c>
      <c r="N344" s="17" t="n">
        <f aca="false">IF($J344="","",$J344+$K344)</f>
        <v/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 t="str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 t="str">
        <f aca="false">IF($P344="","",IF($Q344="Y",IFERROR(VLOOKUP($B344,$C$4:$D$13,2,FALSE()),0),0))</f>
        <v/>
      </c>
      <c r="S344" s="17" t="str">
        <f aca="false">IF($P344="","",ROUNDDOWN($P344*$R344,0))</f>
        <v/>
      </c>
      <c r="T344" s="17" t="str">
        <f aca="false">IF($P344="","",$P344-$S344)</f>
        <v/>
      </c>
      <c r="U344" s="17" t="str">
        <f aca="false">IF($T344="","",IF($B$10=0,"",$T344/$B$10))</f>
        <v/>
      </c>
      <c r="V344" s="17" t="str">
        <f aca="false">IF($P344="","",IF($B$10=0,"",$P344/$B$10))</f>
        <v/>
      </c>
      <c r="W344" s="19" t="n">
        <f aca="false">IF($T344="",1000000000000000,$T344)</f>
        <v/>
      </c>
      <c r="XFB344" s="6"/>
      <c r="XFC344" s="3"/>
    </row>
    <row r="345" s="5" collapsed="false" customFormat="true" customHeight="true" hidden="false" ht="28.5" outlineLevel="0">
      <c r="A345" s="16" t="str">
        <f aca="false">IF($T345="","",1+COUNTIF($W$15:$W$894,"&lt;"&amp;W345))</f>
        <v/>
      </c>
      <c r="B345" s="16" t="s">
        <v>16</v>
      </c>
      <c r="C345" s="16" t="s">
        <v>711</v>
      </c>
      <c r="D345" s="20" t="s">
        <v>86</v>
      </c>
      <c r="E345" s="16" t="s">
        <v>63</v>
      </c>
      <c r="F345" s="16" t="s">
        <v>712</v>
      </c>
      <c r="G345" s="17">
        <v>1839</v>
      </c>
      <c r="H345" s="17"/>
      <c r="I345" s="17"/>
      <c r="J345" s="17">
        <v>1839</v>
      </c>
      <c r="K345" s="17" t="n">
        <f aca="false">IF(AND(IFERROR(SEARCH("현대오일뱅크",$C345),0)&gt;0,IFERROR(SEARCH("직영",$C345),0)&gt;0),$B$13,0)</f>
        <v/>
      </c>
      <c r="L345" s="17" t="n">
        <f aca="false">IF($G345="","",$G345+$K345)</f>
        <v/>
      </c>
      <c r="M345" s="17" t="str">
        <f aca="false">IF($H345="","",$H345+$K345)</f>
        <v/>
      </c>
      <c r="N345" s="17" t="n">
        <f aca="false">IF($J345="","",$J345+$K345)</f>
        <v/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 t="str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 t="str">
        <f aca="false">IF($P345="","",IF($Q345="Y",IFERROR(VLOOKUP($B345,$C$4:$D$13,2,FALSE()),0),0))</f>
        <v/>
      </c>
      <c r="S345" s="17" t="str">
        <f aca="false">IF($P345="","",ROUNDDOWN($P345*$R345,0))</f>
        <v/>
      </c>
      <c r="T345" s="17" t="str">
        <f aca="false">IF($P345="","",$P345-$S345)</f>
        <v/>
      </c>
      <c r="U345" s="17" t="str">
        <f aca="false">IF($T345="","",IF($B$10=0,"",$T345/$B$10))</f>
        <v/>
      </c>
      <c r="V345" s="17" t="str">
        <f aca="false">IF($P345="","",IF($B$10=0,"",$P345/$B$10))</f>
        <v/>
      </c>
      <c r="W345" s="19" t="n">
        <f aca="false">IF($T345="",1000000000000000,$T345)</f>
        <v/>
      </c>
      <c r="XFB345" s="6"/>
      <c r="XFC345" s="3"/>
    </row>
    <row r="346" s="5" collapsed="false" customFormat="true" customHeight="true" hidden="false" ht="28.5" outlineLevel="0">
      <c r="A346" s="16" t="str">
        <f aca="false">IF($T346="","",1+COUNTIF($W$15:$W$894,"&lt;"&amp;W346))</f>
        <v/>
      </c>
      <c r="B346" s="16" t="s">
        <v>6</v>
      </c>
      <c r="C346" s="16" t="s">
        <v>713</v>
      </c>
      <c r="D346" s="16" t="s">
        <v>45</v>
      </c>
      <c r="E346" s="16" t="s">
        <v>26</v>
      </c>
      <c r="F346" s="16" t="s">
        <v>714</v>
      </c>
      <c r="G346" s="17">
        <v>1799</v>
      </c>
      <c r="H346" s="17"/>
      <c r="I346" s="17"/>
      <c r="J346" s="17">
        <v>1789</v>
      </c>
      <c r="K346" s="17" t="n">
        <f aca="false">IF(AND(IFERROR(SEARCH("현대오일뱅크",$C346),0)&gt;0,IFERROR(SEARCH("직영",$C346),0)&gt;0),$B$13,0)</f>
        <v/>
      </c>
      <c r="L346" s="17" t="n">
        <f aca="false">IF($G346="","",$G346+$K346)</f>
        <v/>
      </c>
      <c r="M346" s="17" t="str">
        <f aca="false">IF($H346="","",$H346+$K346)</f>
        <v/>
      </c>
      <c r="N346" s="17" t="n">
        <f aca="false">IF($J346="","",$J346+$K346)</f>
        <v/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 t="str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 t="str">
        <f aca="false">IF($P346="","",IF($Q346="Y",IFERROR(VLOOKUP($B346,$C$4:$D$13,2,FALSE()),0),0))</f>
        <v/>
      </c>
      <c r="S346" s="17" t="str">
        <f aca="false">IF($P346="","",ROUNDDOWN($P346*$R346,0))</f>
        <v/>
      </c>
      <c r="T346" s="17" t="str">
        <f aca="false">IF($P346="","",$P346-$S346)</f>
        <v/>
      </c>
      <c r="U346" s="17" t="str">
        <f aca="false">IF($T346="","",IF($B$10=0,"",$T346/$B$10))</f>
        <v/>
      </c>
      <c r="V346" s="17" t="str">
        <f aca="false">IF($P346="","",IF($B$10=0,"",$P346/$B$10))</f>
        <v/>
      </c>
      <c r="W346" s="19" t="n">
        <f aca="false">IF($T346="",1000000000000000,$T346)</f>
        <v/>
      </c>
      <c r="XFB346" s="6"/>
      <c r="XFC346" s="3"/>
    </row>
    <row r="347" s="5" collapsed="false" customFormat="true" customHeight="true" hidden="false" ht="28.5" outlineLevel="0">
      <c r="A347" s="16" t="str">
        <f aca="false">IF($T347="","",1+COUNTIF($W$15:$W$894,"&lt;"&amp;W347))</f>
        <v/>
      </c>
      <c r="B347" s="16" t="s">
        <v>6</v>
      </c>
      <c r="C347" s="16" t="s">
        <v>715</v>
      </c>
      <c r="D347" s="20" t="s">
        <v>86</v>
      </c>
      <c r="E347" s="16" t="s">
        <v>26</v>
      </c>
      <c r="F347" s="16" t="s">
        <v>716</v>
      </c>
      <c r="G347" s="17">
        <v>1799</v>
      </c>
      <c r="H347" s="17"/>
      <c r="I347" s="17"/>
      <c r="J347" s="17">
        <v>1794</v>
      </c>
      <c r="K347" s="17" t="n">
        <f aca="false">IF(AND(IFERROR(SEARCH("현대오일뱅크",$C347),0)&gt;0,IFERROR(SEARCH("직영",$C347),0)&gt;0),$B$13,0)</f>
        <v/>
      </c>
      <c r="L347" s="17" t="n">
        <f aca="false">IF($G347="","",$G347+$K347)</f>
        <v/>
      </c>
      <c r="M347" s="17" t="str">
        <f aca="false">IF($H347="","",$H347+$K347)</f>
        <v/>
      </c>
      <c r="N347" s="17" t="n">
        <f aca="false">IF($J347="","",$J347+$K347)</f>
        <v/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 t="str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 t="str">
        <f aca="false">IF($P347="","",IF($Q347="Y",IFERROR(VLOOKUP($B347,$C$4:$D$13,2,FALSE()),0),0))</f>
        <v/>
      </c>
      <c r="S347" s="17" t="str">
        <f aca="false">IF($P347="","",ROUNDDOWN($P347*$R347,0))</f>
        <v/>
      </c>
      <c r="T347" s="17" t="str">
        <f aca="false">IF($P347="","",$P347-$S347)</f>
        <v/>
      </c>
      <c r="U347" s="17" t="str">
        <f aca="false">IF($T347="","",IF($B$10=0,"",$T347/$B$10))</f>
        <v/>
      </c>
      <c r="V347" s="17" t="str">
        <f aca="false">IF($P347="","",IF($B$10=0,"",$P347/$B$10))</f>
        <v/>
      </c>
      <c r="W347" s="19" t="n">
        <f aca="false">IF($T347="",1000000000000000,$T347)</f>
        <v/>
      </c>
      <c r="XFB347" s="6"/>
      <c r="XFC347" s="3"/>
    </row>
    <row r="348" s="5" collapsed="false" customFormat="true" customHeight="true" hidden="false" ht="28.5" outlineLevel="0">
      <c r="A348" s="16" t="str">
        <f aca="false">IF($T348="","",1+COUNTIF($W$15:$W$894,"&lt;"&amp;W348))</f>
        <v/>
      </c>
      <c r="B348" s="16" t="s">
        <v>6</v>
      </c>
      <c r="C348" s="16" t="s">
        <v>717</v>
      </c>
      <c r="D348" s="16" t="s">
        <v>45</v>
      </c>
      <c r="E348" s="16" t="s">
        <v>26</v>
      </c>
      <c r="F348" s="16" t="s">
        <v>718</v>
      </c>
      <c r="G348" s="17">
        <v>1799</v>
      </c>
      <c r="H348" s="17"/>
      <c r="I348" s="17"/>
      <c r="J348" s="17">
        <v>1794</v>
      </c>
      <c r="K348" s="17" t="n">
        <f aca="false">IF(AND(IFERROR(SEARCH("현대오일뱅크",$C348),0)&gt;0,IFERROR(SEARCH("직영",$C348),0)&gt;0),$B$13,0)</f>
        <v/>
      </c>
      <c r="L348" s="17" t="n">
        <f aca="false">IF($G348="","",$G348+$K348)</f>
        <v/>
      </c>
      <c r="M348" s="17" t="str">
        <f aca="false">IF($H348="","",$H348+$K348)</f>
        <v/>
      </c>
      <c r="N348" s="17" t="n">
        <f aca="false">IF($J348="","",$J348+$K348)</f>
        <v/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 t="str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 t="str">
        <f aca="false">IF($P348="","",IF($Q348="Y",IFERROR(VLOOKUP($B348,$C$4:$D$13,2,FALSE()),0),0))</f>
        <v/>
      </c>
      <c r="S348" s="17" t="str">
        <f aca="false">IF($P348="","",ROUNDDOWN($P348*$R348,0))</f>
        <v/>
      </c>
      <c r="T348" s="17" t="str">
        <f aca="false">IF($P348="","",$P348-$S348)</f>
        <v/>
      </c>
      <c r="U348" s="17" t="str">
        <f aca="false">IF($T348="","",IF($B$10=0,"",$T348/$B$10))</f>
        <v/>
      </c>
      <c r="V348" s="17" t="str">
        <f aca="false">IF($P348="","",IF($B$10=0,"",$P348/$B$10))</f>
        <v/>
      </c>
      <c r="W348" s="19" t="n">
        <f aca="false">IF($T348="",1000000000000000,$T348)</f>
        <v/>
      </c>
      <c r="XFB348" s="6"/>
      <c r="XFC348" s="3"/>
    </row>
    <row r="349" s="5" collapsed="false" customFormat="true" customHeight="true" hidden="false" ht="28.5" outlineLevel="0">
      <c r="A349" s="16" t="str">
        <f aca="false">IF($T349="","",1+COUNTIF($W$15:$W$894,"&lt;"&amp;W349))</f>
        <v/>
      </c>
      <c r="B349" s="16" t="s">
        <v>6</v>
      </c>
      <c r="C349" s="16" t="s">
        <v>723</v>
      </c>
      <c r="D349" s="16" t="s">
        <v>45</v>
      </c>
      <c r="E349" s="16" t="s">
        <v>63</v>
      </c>
      <c r="F349" s="16" t="s">
        <v>724</v>
      </c>
      <c r="G349" s="17">
        <v>1799</v>
      </c>
      <c r="H349" s="17"/>
      <c r="I349" s="17"/>
      <c r="J349" s="17">
        <v>1795</v>
      </c>
      <c r="K349" s="17" t="n">
        <f aca="false">IF(AND(IFERROR(SEARCH("현대오일뱅크",$C349),0)&gt;0,IFERROR(SEARCH("직영",$C349),0)&gt;0),$B$13,0)</f>
        <v/>
      </c>
      <c r="L349" s="17" t="n">
        <f aca="false">IF($G349="","",$G349+$K349)</f>
        <v/>
      </c>
      <c r="M349" s="17" t="str">
        <f aca="false">IF($H349="","",$H349+$K349)</f>
        <v/>
      </c>
      <c r="N349" s="17" t="n">
        <f aca="false">IF($J349="","",$J349+$K349)</f>
        <v/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 t="str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 t="str">
        <f aca="false">IF($P349="","",IF($Q349="Y",IFERROR(VLOOKUP($B349,$C$4:$D$13,2,FALSE()),0),0))</f>
        <v/>
      </c>
      <c r="S349" s="17" t="str">
        <f aca="false">IF($P349="","",ROUNDDOWN($P349*$R349,0))</f>
        <v/>
      </c>
      <c r="T349" s="17" t="str">
        <f aca="false">IF($P349="","",$P349-$S349)</f>
        <v/>
      </c>
      <c r="U349" s="17" t="str">
        <f aca="false">IF($T349="","",IF($B$10=0,"",$T349/$B$10))</f>
        <v/>
      </c>
      <c r="V349" s="17" t="str">
        <f aca="false">IF($P349="","",IF($B$10=0,"",$P349/$B$10))</f>
        <v/>
      </c>
      <c r="W349" s="19" t="n">
        <f aca="false">IF($T349="",1000000000000000,$T349)</f>
        <v/>
      </c>
      <c r="XFB349" s="6"/>
      <c r="XFC349" s="3"/>
    </row>
    <row r="350" s="5" collapsed="false" customFormat="true" customHeight="true" hidden="false" ht="28.5" outlineLevel="0">
      <c r="A350" s="16" t="str">
        <f aca="false">IF($T350="","",1+COUNTIF($W$15:$W$894,"&lt;"&amp;W350))</f>
        <v/>
      </c>
      <c r="B350" s="16" t="s">
        <v>6</v>
      </c>
      <c r="C350" s="16" t="s">
        <v>719</v>
      </c>
      <c r="D350" s="20" t="s">
        <v>86</v>
      </c>
      <c r="E350" s="16" t="s">
        <v>63</v>
      </c>
      <c r="F350" s="16" t="s">
        <v>720</v>
      </c>
      <c r="G350" s="17">
        <v>1799</v>
      </c>
      <c r="H350" s="17"/>
      <c r="I350" s="17"/>
      <c r="J350" s="17">
        <v>1798</v>
      </c>
      <c r="K350" s="17" t="n">
        <f aca="false">IF(AND(IFERROR(SEARCH("현대오일뱅크",$C350),0)&gt;0,IFERROR(SEARCH("직영",$C350),0)&gt;0),$B$13,0)</f>
        <v/>
      </c>
      <c r="L350" s="17" t="n">
        <f aca="false">IF($G350="","",$G350+$K350)</f>
        <v/>
      </c>
      <c r="M350" s="17" t="str">
        <f aca="false">IF($H350="","",$H350+$K350)</f>
        <v/>
      </c>
      <c r="N350" s="17" t="n">
        <f aca="false">IF($J350="","",$J350+$K350)</f>
        <v/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 t="str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 t="str">
        <f aca="false">IF($P350="","",IF($Q350="Y",IFERROR(VLOOKUP($B350,$C$4:$D$13,2,FALSE()),0),0))</f>
        <v/>
      </c>
      <c r="S350" s="17" t="str">
        <f aca="false">IF($P350="","",ROUNDDOWN($P350*$R350,0))</f>
        <v/>
      </c>
      <c r="T350" s="17" t="str">
        <f aca="false">IF($P350="","",$P350-$S350)</f>
        <v/>
      </c>
      <c r="U350" s="17" t="str">
        <f aca="false">IF($T350="","",IF($B$10=0,"",$T350/$B$10))</f>
        <v/>
      </c>
      <c r="V350" s="17" t="str">
        <f aca="false">IF($P350="","",IF($B$10=0,"",$P350/$B$10))</f>
        <v/>
      </c>
      <c r="W350" s="19" t="n">
        <f aca="false">IF($T350="",1000000000000000,$T350)</f>
        <v/>
      </c>
      <c r="XFB350" s="6"/>
      <c r="XFC350" s="3"/>
    </row>
    <row r="351" s="5" collapsed="false" customFormat="true" customHeight="true" hidden="false" ht="28.5" outlineLevel="0">
      <c r="A351" s="16" t="str">
        <f aca="false">IF($T351="","",1+COUNTIF($W$15:$W$894,"&lt;"&amp;W351))</f>
        <v/>
      </c>
      <c r="B351" s="16" t="s">
        <v>6</v>
      </c>
      <c r="C351" s="16" t="s">
        <v>721</v>
      </c>
      <c r="D351" s="16" t="s">
        <v>95</v>
      </c>
      <c r="E351" s="16" t="s">
        <v>26</v>
      </c>
      <c r="F351" s="16" t="s">
        <v>722</v>
      </c>
      <c r="G351" s="17">
        <v>1799</v>
      </c>
      <c r="H351" s="17"/>
      <c r="I351" s="17"/>
      <c r="J351" s="17">
        <v>1799</v>
      </c>
      <c r="K351" s="17" t="n">
        <f aca="false">IF(AND(IFERROR(SEARCH("현대오일뱅크",$C351),0)&gt;0,IFERROR(SEARCH("직영",$C351),0)&gt;0),$B$13,0)</f>
        <v/>
      </c>
      <c r="L351" s="17" t="n">
        <f aca="false">IF($G351="","",$G351+$K351)</f>
        <v/>
      </c>
      <c r="M351" s="17" t="str">
        <f aca="false">IF($H351="","",$H351+$K351)</f>
        <v/>
      </c>
      <c r="N351" s="17" t="n">
        <f aca="false">IF($J351="","",$J351+$K351)</f>
        <v/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 t="str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 t="str">
        <f aca="false">IF($P351="","",IF($Q351="Y",IFERROR(VLOOKUP($B351,$C$4:$D$13,2,FALSE()),0),0))</f>
        <v/>
      </c>
      <c r="S351" s="17" t="str">
        <f aca="false">IF($P351="","",ROUNDDOWN($P351*$R351,0))</f>
        <v/>
      </c>
      <c r="T351" s="17" t="str">
        <f aca="false">IF($P351="","",$P351-$S351)</f>
        <v/>
      </c>
      <c r="U351" s="17" t="str">
        <f aca="false">IF($T351="","",IF($B$10=0,"",$T351/$B$10))</f>
        <v/>
      </c>
      <c r="V351" s="17" t="str">
        <f aca="false">IF($P351="","",IF($B$10=0,"",$P351/$B$10))</f>
        <v/>
      </c>
      <c r="W351" s="19" t="n">
        <f aca="false">IF($T351="",1000000000000000,$T351)</f>
        <v/>
      </c>
      <c r="XFB351" s="6"/>
      <c r="XFC351" s="3"/>
    </row>
    <row r="352" s="5" collapsed="false" customFormat="true" customHeight="true" hidden="false" ht="28.5" outlineLevel="0">
      <c r="A352" s="16" t="str">
        <f aca="false">IF($T352="","",1+COUNTIF($W$15:$W$894,"&lt;"&amp;W352))</f>
        <v/>
      </c>
      <c r="B352" s="16" t="s">
        <v>6</v>
      </c>
      <c r="C352" s="16" t="s">
        <v>725</v>
      </c>
      <c r="D352" s="16" t="s">
        <v>95</v>
      </c>
      <c r="E352" s="16" t="s">
        <v>26</v>
      </c>
      <c r="F352" s="16" t="s">
        <v>726</v>
      </c>
      <c r="G352" s="17">
        <v>1799</v>
      </c>
      <c r="H352" s="17"/>
      <c r="I352" s="17"/>
      <c r="J352" s="17">
        <v>1799</v>
      </c>
      <c r="K352" s="17" t="n">
        <f aca="false">IF(AND(IFERROR(SEARCH("현대오일뱅크",$C352),0)&gt;0,IFERROR(SEARCH("직영",$C352),0)&gt;0),$B$13,0)</f>
        <v/>
      </c>
      <c r="L352" s="17" t="n">
        <f aca="false">IF($G352="","",$G352+$K352)</f>
        <v/>
      </c>
      <c r="M352" s="17" t="str">
        <f aca="false">IF($H352="","",$H352+$K352)</f>
        <v/>
      </c>
      <c r="N352" s="17" t="n">
        <f aca="false">IF($J352="","",$J352+$K352)</f>
        <v/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 t="str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 t="str">
        <f aca="false">IF($P352="","",IF($Q352="Y",IFERROR(VLOOKUP($B352,$C$4:$D$13,2,FALSE()),0),0))</f>
        <v/>
      </c>
      <c r="S352" s="17" t="str">
        <f aca="false">IF($P352="","",ROUNDDOWN($P352*$R352,0))</f>
        <v/>
      </c>
      <c r="T352" s="17" t="str">
        <f aca="false">IF($P352="","",$P352-$S352)</f>
        <v/>
      </c>
      <c r="U352" s="17" t="str">
        <f aca="false">IF($T352="","",IF($B$10=0,"",$T352/$B$10))</f>
        <v/>
      </c>
      <c r="V352" s="17" t="str">
        <f aca="false">IF($P352="","",IF($B$10=0,"",$P352/$B$10))</f>
        <v/>
      </c>
      <c r="W352" s="19" t="n">
        <f aca="false">IF($T352="",1000000000000000,$T352)</f>
        <v/>
      </c>
      <c r="XFB352" s="6"/>
      <c r="XFC352" s="3"/>
    </row>
    <row r="353" s="5" collapsed="false" customFormat="true" customHeight="true" hidden="false" ht="28.5" outlineLevel="0">
      <c r="A353" s="16" t="str">
        <f aca="false">IF($T353="","",1+COUNTIF($W$15:$W$894,"&lt;"&amp;W353))</f>
        <v/>
      </c>
      <c r="B353" s="16" t="s">
        <v>6</v>
      </c>
      <c r="C353" s="16" t="s">
        <v>727</v>
      </c>
      <c r="D353" s="16" t="s">
        <v>45</v>
      </c>
      <c r="E353" s="16" t="s">
        <v>26</v>
      </c>
      <c r="F353" s="16" t="s">
        <v>728</v>
      </c>
      <c r="G353" s="17">
        <v>1799</v>
      </c>
      <c r="H353" s="17"/>
      <c r="I353" s="17"/>
      <c r="J353" s="17">
        <v>1799</v>
      </c>
      <c r="K353" s="17" t="n">
        <f aca="false">IF(AND(IFERROR(SEARCH("현대오일뱅크",$C353),0)&gt;0,IFERROR(SEARCH("직영",$C353),0)&gt;0),$B$13,0)</f>
        <v/>
      </c>
      <c r="L353" s="17" t="n">
        <f aca="false">IF($G353="","",$G353+$K353)</f>
        <v/>
      </c>
      <c r="M353" s="17" t="str">
        <f aca="false">IF($H353="","",$H353+$K353)</f>
        <v/>
      </c>
      <c r="N353" s="17" t="n">
        <f aca="false">IF($J353="","",$J353+$K353)</f>
        <v/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 t="str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 t="str">
        <f aca="false">IF($P353="","",IF($Q353="Y",IFERROR(VLOOKUP($B353,$C$4:$D$13,2,FALSE()),0),0))</f>
        <v/>
      </c>
      <c r="S353" s="17" t="str">
        <f aca="false">IF($P353="","",ROUNDDOWN($P353*$R353,0))</f>
        <v/>
      </c>
      <c r="T353" s="17" t="str">
        <f aca="false">IF($P353="","",$P353-$S353)</f>
        <v/>
      </c>
      <c r="U353" s="17" t="str">
        <f aca="false">IF($T353="","",IF($B$10=0,"",$T353/$B$10))</f>
        <v/>
      </c>
      <c r="V353" s="17" t="str">
        <f aca="false">IF($P353="","",IF($B$10=0,"",$P353/$B$10))</f>
        <v/>
      </c>
      <c r="W353" s="19" t="n">
        <f aca="false">IF($T353="",1000000000000000,$T353)</f>
        <v/>
      </c>
      <c r="XFB353" s="6"/>
      <c r="XFC353" s="3"/>
    </row>
    <row r="354" s="5" collapsed="false" customFormat="true" customHeight="true" hidden="false" ht="28.5" outlineLevel="0">
      <c r="A354" s="16" t="str">
        <f aca="false">IF($T354="","",1+COUNTIF($W$15:$W$894,"&lt;"&amp;W354))</f>
        <v/>
      </c>
      <c r="B354" s="16" t="s">
        <v>6</v>
      </c>
      <c r="C354" s="16" t="s">
        <v>729</v>
      </c>
      <c r="D354" s="16" t="s">
        <v>51</v>
      </c>
      <c r="E354" s="16" t="s">
        <v>26</v>
      </c>
      <c r="F354" s="16" t="s">
        <v>730</v>
      </c>
      <c r="G354" s="17">
        <v>1799</v>
      </c>
      <c r="H354" s="17"/>
      <c r="I354" s="17"/>
      <c r="J354" s="17">
        <v>1799</v>
      </c>
      <c r="K354" s="17" t="n">
        <f aca="false">IF(AND(IFERROR(SEARCH("현대오일뱅크",$C354),0)&gt;0,IFERROR(SEARCH("직영",$C354),0)&gt;0),$B$13,0)</f>
        <v/>
      </c>
      <c r="L354" s="17" t="n">
        <f aca="false">IF($G354="","",$G354+$K354)</f>
        <v/>
      </c>
      <c r="M354" s="17" t="str">
        <f aca="false">IF($H354="","",$H354+$K354)</f>
        <v/>
      </c>
      <c r="N354" s="17" t="n">
        <f aca="false">IF($J354="","",$J354+$K354)</f>
        <v/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 t="str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 t="str">
        <f aca="false">IF($P354="","",IF($Q354="Y",IFERROR(VLOOKUP($B354,$C$4:$D$13,2,FALSE()),0),0))</f>
        <v/>
      </c>
      <c r="S354" s="17" t="str">
        <f aca="false">IF($P354="","",ROUNDDOWN($P354*$R354,0))</f>
        <v/>
      </c>
      <c r="T354" s="17" t="str">
        <f aca="false">IF($P354="","",$P354-$S354)</f>
        <v/>
      </c>
      <c r="U354" s="17" t="str">
        <f aca="false">IF($T354="","",IF($B$10=0,"",$T354/$B$10))</f>
        <v/>
      </c>
      <c r="V354" s="17" t="str">
        <f aca="false">IF($P354="","",IF($B$10=0,"",$P354/$B$10))</f>
        <v/>
      </c>
      <c r="W354" s="19" t="n">
        <f aca="false">IF($T354="",1000000000000000,$T354)</f>
        <v/>
      </c>
      <c r="XFB354" s="6"/>
      <c r="XFC354" s="3"/>
    </row>
    <row r="355" s="5" collapsed="false" customFormat="true" customHeight="true" hidden="false" ht="28.5" outlineLevel="0">
      <c r="A355" s="16" t="str">
        <f aca="false">IF($T355="","",1+COUNTIF($W$15:$W$894,"&lt;"&amp;W355))</f>
        <v/>
      </c>
      <c r="B355" s="16" t="s">
        <v>6</v>
      </c>
      <c r="C355" s="16" t="s">
        <v>600</v>
      </c>
      <c r="D355" s="16" t="s">
        <v>95</v>
      </c>
      <c r="E355" s="16" t="s">
        <v>26</v>
      </c>
      <c r="F355" s="16" t="s">
        <v>731</v>
      </c>
      <c r="G355" s="17">
        <v>1799</v>
      </c>
      <c r="H355" s="17"/>
      <c r="I355" s="17"/>
      <c r="J355" s="17">
        <v>1799</v>
      </c>
      <c r="K355" s="17" t="n">
        <f aca="false">IF(AND(IFERROR(SEARCH("현대오일뱅크",$C355),0)&gt;0,IFERROR(SEARCH("직영",$C355),0)&gt;0),$B$13,0)</f>
        <v/>
      </c>
      <c r="L355" s="17" t="n">
        <f aca="false">IF($G355="","",$G355+$K355)</f>
        <v/>
      </c>
      <c r="M355" s="17" t="str">
        <f aca="false">IF($H355="","",$H355+$K355)</f>
        <v/>
      </c>
      <c r="N355" s="17" t="n">
        <f aca="false">IF($J355="","",$J355+$K355)</f>
        <v/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 t="str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 t="str">
        <f aca="false">IF($P355="","",IF($Q355="Y",IFERROR(VLOOKUP($B355,$C$4:$D$13,2,FALSE()),0),0))</f>
        <v/>
      </c>
      <c r="S355" s="17" t="str">
        <f aca="false">IF($P355="","",ROUNDDOWN($P355*$R355,0))</f>
        <v/>
      </c>
      <c r="T355" s="17" t="str">
        <f aca="false">IF($P355="","",$P355-$S355)</f>
        <v/>
      </c>
      <c r="U355" s="17" t="str">
        <f aca="false">IF($T355="","",IF($B$10=0,"",$T355/$B$10))</f>
        <v/>
      </c>
      <c r="V355" s="17" t="str">
        <f aca="false">IF($P355="","",IF($B$10=0,"",$P355/$B$10))</f>
        <v/>
      </c>
      <c r="W355" s="19" t="n">
        <f aca="false">IF($T355="",1000000000000000,$T355)</f>
        <v/>
      </c>
      <c r="XFB355" s="6"/>
      <c r="XFC355" s="3"/>
    </row>
    <row r="356" s="5" collapsed="false" customFormat="true" customHeight="true" hidden="false" ht="28.5" outlineLevel="0">
      <c r="A356" s="16" t="str">
        <f aca="false">IF($T356="","",1+COUNTIF($W$15:$W$894,"&lt;"&amp;W356))</f>
        <v/>
      </c>
      <c r="B356" s="16" t="s">
        <v>8</v>
      </c>
      <c r="C356" s="16" t="s">
        <v>732</v>
      </c>
      <c r="D356" s="16" t="s">
        <v>45</v>
      </c>
      <c r="E356" s="16" t="s">
        <v>26</v>
      </c>
      <c r="F356" s="16" t="s">
        <v>733</v>
      </c>
      <c r="G356" s="17">
        <v>1799</v>
      </c>
      <c r="H356" s="17"/>
      <c r="I356" s="17"/>
      <c r="J356" s="17">
        <v>1799</v>
      </c>
      <c r="K356" s="17" t="n">
        <f aca="false">IF(AND(IFERROR(SEARCH("현대오일뱅크",$C356),0)&gt;0,IFERROR(SEARCH("직영",$C356),0)&gt;0),$B$13,0)</f>
        <v/>
      </c>
      <c r="L356" s="17" t="n">
        <f aca="false">IF($G356="","",$G356+$K356)</f>
        <v/>
      </c>
      <c r="M356" s="17" t="str">
        <f aca="false">IF($H356="","",$H356+$K356)</f>
        <v/>
      </c>
      <c r="N356" s="17" t="n">
        <f aca="false">IF($J356="","",$J356+$K356)</f>
        <v/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 t="str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 t="str">
        <f aca="false">IF($P356="","",IF($Q356="Y",IFERROR(VLOOKUP($B356,$C$4:$D$13,2,FALSE()),0),0))</f>
        <v/>
      </c>
      <c r="S356" s="17" t="str">
        <f aca="false">IF($P356="","",ROUNDDOWN($P356*$R356,0))</f>
        <v/>
      </c>
      <c r="T356" s="17" t="str">
        <f aca="false">IF($P356="","",$P356-$S356)</f>
        <v/>
      </c>
      <c r="U356" s="17" t="str">
        <f aca="false">IF($T356="","",IF($B$10=0,"",$T356/$B$10))</f>
        <v/>
      </c>
      <c r="V356" s="17" t="str">
        <f aca="false">IF($P356="","",IF($B$10=0,"",$P356/$B$10))</f>
        <v/>
      </c>
      <c r="W356" s="19" t="n">
        <f aca="false">IF($T356="",1000000000000000,$T356)</f>
        <v/>
      </c>
      <c r="XFB356" s="6"/>
      <c r="XFC356" s="3"/>
    </row>
    <row r="357" s="5" collapsed="false" customFormat="true" customHeight="true" hidden="false" ht="28.5" outlineLevel="0">
      <c r="A357" s="16" t="str">
        <f aca="false">IF($T357="","",1+COUNTIF($W$15:$W$894,"&lt;"&amp;W357))</f>
        <v/>
      </c>
      <c r="B357" s="16" t="s">
        <v>12</v>
      </c>
      <c r="C357" s="16" t="s">
        <v>734</v>
      </c>
      <c r="D357" s="20" t="s">
        <v>95</v>
      </c>
      <c r="E357" s="16" t="s">
        <v>26</v>
      </c>
      <c r="F357" s="16" t="s">
        <v>735</v>
      </c>
      <c r="G357" s="17">
        <v>1799</v>
      </c>
      <c r="H357" s="17"/>
      <c r="I357" s="17"/>
      <c r="J357" s="17">
        <v>1799</v>
      </c>
      <c r="K357" s="17" t="n">
        <f aca="false">IF(AND(IFERROR(SEARCH("현대오일뱅크",$C357),0)&gt;0,IFERROR(SEARCH("직영",$C357),0)&gt;0),$B$13,0)</f>
        <v/>
      </c>
      <c r="L357" s="17" t="n">
        <f aca="false">IF($G357="","",$G357+$K357)</f>
        <v/>
      </c>
      <c r="M357" s="17" t="str">
        <f aca="false">IF($H357="","",$H357+$K357)</f>
        <v/>
      </c>
      <c r="N357" s="17" t="n">
        <f aca="false">IF($J357="","",$J357+$K357)</f>
        <v/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 t="str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 t="str">
        <f aca="false">IF($P357="","",IF($Q357="Y",IFERROR(VLOOKUP($B357,$C$4:$D$13,2,FALSE()),0),0))</f>
        <v/>
      </c>
      <c r="S357" s="17" t="str">
        <f aca="false">IF($P357="","",ROUNDDOWN($P357*$R357,0))</f>
        <v/>
      </c>
      <c r="T357" s="17" t="str">
        <f aca="false">IF($P357="","",$P357-$S357)</f>
        <v/>
      </c>
      <c r="U357" s="17" t="str">
        <f aca="false">IF($T357="","",IF($B$10=0,"",$T357/$B$10))</f>
        <v/>
      </c>
      <c r="V357" s="17" t="str">
        <f aca="false">IF($P357="","",IF($B$10=0,"",$P357/$B$10))</f>
        <v/>
      </c>
      <c r="W357" s="19" t="n">
        <f aca="false">IF($T357="",1000000000000000,$T357)</f>
        <v/>
      </c>
      <c r="XFB357" s="6"/>
      <c r="XFC357" s="3"/>
    </row>
    <row r="358" s="5" collapsed="false" customFormat="true" customHeight="true" hidden="false" ht="28.5" outlineLevel="0">
      <c r="A358" s="16" t="str">
        <f aca="false">IF($T358="","",1+COUNTIF($W$15:$W$894,"&lt;"&amp;W358))</f>
        <v/>
      </c>
      <c r="B358" s="16" t="s">
        <v>12</v>
      </c>
      <c r="C358" s="16" t="s">
        <v>448</v>
      </c>
      <c r="D358" s="20" t="s">
        <v>45</v>
      </c>
      <c r="E358" s="16" t="s">
        <v>26</v>
      </c>
      <c r="F358" s="16" t="s">
        <v>449</v>
      </c>
      <c r="G358" s="17">
        <v>1799</v>
      </c>
      <c r="H358" s="17"/>
      <c r="I358" s="17"/>
      <c r="J358" s="17">
        <v>1799</v>
      </c>
      <c r="K358" s="17" t="n">
        <f aca="false">IF(AND(IFERROR(SEARCH("현대오일뱅크",$C358),0)&gt;0,IFERROR(SEARCH("직영",$C358),0)&gt;0),$B$13,0)</f>
        <v/>
      </c>
      <c r="L358" s="17" t="n">
        <f aca="false">IF($G358="","",$G358+$K358)</f>
        <v/>
      </c>
      <c r="M358" s="17" t="str">
        <f aca="false">IF($H358="","",$H358+$K358)</f>
        <v/>
      </c>
      <c r="N358" s="17" t="n">
        <f aca="false">IF($J358="","",$J358+$K358)</f>
        <v/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 t="str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 t="str">
        <f aca="false">IF($P358="","",IF($Q358="Y",IFERROR(VLOOKUP($B358,$C$4:$D$13,2,FALSE()),0),0))</f>
        <v/>
      </c>
      <c r="S358" s="17" t="str">
        <f aca="false">IF($P358="","",ROUNDDOWN($P358*$R358,0))</f>
        <v/>
      </c>
      <c r="T358" s="17" t="str">
        <f aca="false">IF($P358="","",$P358-$S358)</f>
        <v/>
      </c>
      <c r="U358" s="17" t="str">
        <f aca="false">IF($T358="","",IF($B$10=0,"",$T358/$B$10))</f>
        <v/>
      </c>
      <c r="V358" s="17" t="str">
        <f aca="false">IF($P358="","",IF($B$10=0,"",$P358/$B$10))</f>
        <v/>
      </c>
      <c r="W358" s="19" t="n">
        <f aca="false">IF($T358="",1000000000000000,$T358)</f>
        <v/>
      </c>
      <c r="XFB358" s="6"/>
      <c r="XFC358" s="3"/>
    </row>
    <row r="359" s="5" collapsed="false" customFormat="true" customHeight="true" hidden="false" ht="28.5" outlineLevel="0">
      <c r="A359" s="16" t="str">
        <f aca="false">IF($T359="","",1+COUNTIF($W$15:$W$894,"&lt;"&amp;W359))</f>
        <v/>
      </c>
      <c r="B359" s="16" t="s">
        <v>12</v>
      </c>
      <c r="C359" s="16" t="s">
        <v>736</v>
      </c>
      <c r="D359" s="16" t="s">
        <v>56</v>
      </c>
      <c r="E359" s="16" t="s">
        <v>26</v>
      </c>
      <c r="F359" s="16" t="s">
        <v>737</v>
      </c>
      <c r="G359" s="17">
        <v>1799</v>
      </c>
      <c r="H359" s="17"/>
      <c r="I359" s="17"/>
      <c r="J359" s="17">
        <v>1799</v>
      </c>
      <c r="K359" s="17" t="n">
        <f aca="false">IF(AND(IFERROR(SEARCH("현대오일뱅크",$C359),0)&gt;0,IFERROR(SEARCH("직영",$C359),0)&gt;0),$B$13,0)</f>
        <v/>
      </c>
      <c r="L359" s="17" t="n">
        <f aca="false">IF($G359="","",$G359+$K359)</f>
        <v/>
      </c>
      <c r="M359" s="17" t="str">
        <f aca="false">IF($H359="","",$H359+$K359)</f>
        <v/>
      </c>
      <c r="N359" s="17" t="n">
        <f aca="false">IF($J359="","",$J359+$K359)</f>
        <v/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 t="str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 t="str">
        <f aca="false">IF($P359="","",IF($Q359="Y",IFERROR(VLOOKUP($B359,$C$4:$D$13,2,FALSE()),0),0))</f>
        <v/>
      </c>
      <c r="S359" s="17" t="str">
        <f aca="false">IF($P359="","",ROUNDDOWN($P359*$R359,0))</f>
        <v/>
      </c>
      <c r="T359" s="17" t="str">
        <f aca="false">IF($P359="","",$P359-$S359)</f>
        <v/>
      </c>
      <c r="U359" s="17" t="str">
        <f aca="false">IF($T359="","",IF($B$10=0,"",$T359/$B$10))</f>
        <v/>
      </c>
      <c r="V359" s="17" t="str">
        <f aca="false">IF($P359="","",IF($B$10=0,"",$P359/$B$10))</f>
        <v/>
      </c>
      <c r="W359" s="22" t="n">
        <f aca="false">IF($T359="",1000000000000000,$T359)</f>
        <v/>
      </c>
      <c r="XFB359" s="6"/>
      <c r="XFC359" s="3"/>
    </row>
    <row r="360" s="5" collapsed="false" customFormat="true" customHeight="true" hidden="false" ht="28.5" outlineLevel="0">
      <c r="A360" s="16" t="str">
        <f aca="false">IF($T360="","",1+COUNTIF($W$15:$W$894,"&lt;"&amp;W360))</f>
        <v/>
      </c>
      <c r="B360" s="16" t="s">
        <v>10</v>
      </c>
      <c r="C360" s="16" t="s">
        <v>740</v>
      </c>
      <c r="D360" s="20" t="s">
        <v>86</v>
      </c>
      <c r="E360" s="16" t="s">
        <v>26</v>
      </c>
      <c r="F360" s="16" t="s">
        <v>741</v>
      </c>
      <c r="G360" s="17">
        <v>1799</v>
      </c>
      <c r="H360" s="17"/>
      <c r="I360" s="17"/>
      <c r="J360" s="17">
        <v>1799</v>
      </c>
      <c r="K360" s="17" t="n">
        <f aca="false">IF(AND(IFERROR(SEARCH("현대오일뱅크",$C360),0)&gt;0,IFERROR(SEARCH("직영",$C360),0)&gt;0),$B$13,0)</f>
        <v/>
      </c>
      <c r="L360" s="17" t="n">
        <f aca="false">IF($G360="","",$G360+$K360)</f>
        <v/>
      </c>
      <c r="M360" s="17" t="str">
        <f aca="false">IF($H360="","",$H360+$K360)</f>
        <v/>
      </c>
      <c r="N360" s="17" t="n">
        <f aca="false">IF($J360="","",$J360+$K360)</f>
        <v/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 t="str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 t="str">
        <f aca="false">IF($P360="","",IF($Q360="Y",IFERROR(VLOOKUP($B360,$C$4:$D$13,2,FALSE()),0),0))</f>
        <v/>
      </c>
      <c r="S360" s="17" t="str">
        <f aca="false">IF($P360="","",ROUNDDOWN($P360*$R360,0))</f>
        <v/>
      </c>
      <c r="T360" s="17" t="str">
        <f aca="false">IF($P360="","",$P360-$S360)</f>
        <v/>
      </c>
      <c r="U360" s="17" t="str">
        <f aca="false">IF($T360="","",IF($B$10=0,"",$T360/$B$10))</f>
        <v/>
      </c>
      <c r="V360" s="17" t="str">
        <f aca="false">IF($P360="","",IF($B$10=0,"",$P360/$B$10))</f>
        <v/>
      </c>
      <c r="W360" s="19" t="n">
        <f aca="false">IF($T360="",1000000000000000,$T360)</f>
        <v/>
      </c>
      <c r="XFB360" s="6"/>
      <c r="XFC360" s="3"/>
    </row>
    <row r="361" s="5" collapsed="false" customFormat="true" customHeight="true" hidden="false" ht="28.5" outlineLevel="0">
      <c r="A361" s="16" t="str">
        <f aca="false">IF($T361="","",1+COUNTIF($W$15:$W$894,"&lt;"&amp;W361))</f>
        <v/>
      </c>
      <c r="B361" s="16" t="s">
        <v>10</v>
      </c>
      <c r="C361" s="16" t="s">
        <v>742</v>
      </c>
      <c r="D361" s="16" t="s">
        <v>56</v>
      </c>
      <c r="E361" s="16" t="s">
        <v>63</v>
      </c>
      <c r="F361" s="16" t="s">
        <v>743</v>
      </c>
      <c r="G361" s="17">
        <v>1799</v>
      </c>
      <c r="H361" s="17"/>
      <c r="I361" s="17"/>
      <c r="J361" s="17">
        <v>1799</v>
      </c>
      <c r="K361" s="17" t="n">
        <f aca="false">IF(AND(IFERROR(SEARCH("현대오일뱅크",$C361),0)&gt;0,IFERROR(SEARCH("직영",$C361),0)&gt;0),$B$13,0)</f>
        <v/>
      </c>
      <c r="L361" s="17" t="n">
        <f aca="false">IF($G361="","",$G361+$K361)</f>
        <v/>
      </c>
      <c r="M361" s="17" t="str">
        <f aca="false">IF($H361="","",$H361+$K361)</f>
        <v/>
      </c>
      <c r="N361" s="17" t="n">
        <f aca="false">IF($J361="","",$J361+$K361)</f>
        <v/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 t="str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 t="str">
        <f aca="false">IF($P361="","",IF($Q361="Y",IFERROR(VLOOKUP($B361,$C$4:$D$13,2,FALSE()),0),0))</f>
        <v/>
      </c>
      <c r="S361" s="17" t="str">
        <f aca="false">IF($P361="","",ROUNDDOWN($P361*$R361,0))</f>
        <v/>
      </c>
      <c r="T361" s="17" t="str">
        <f aca="false">IF($P361="","",$P361-$S361)</f>
        <v/>
      </c>
      <c r="U361" s="17" t="str">
        <f aca="false">IF($T361="","",IF($B$10=0,"",$T361/$B$10))</f>
        <v/>
      </c>
      <c r="V361" s="17" t="str">
        <f aca="false">IF($P361="","",IF($B$10=0,"",$P361/$B$10))</f>
        <v/>
      </c>
      <c r="W361" s="19" t="n">
        <f aca="false">IF($T361="",1000000000000000,$T361)</f>
        <v/>
      </c>
      <c r="XFB361" s="6"/>
      <c r="XFC361" s="3"/>
    </row>
    <row r="362" s="5" collapsed="false" customFormat="true" customHeight="true" hidden="false" ht="28.5" outlineLevel="0">
      <c r="A362" s="16" t="str">
        <f aca="false">IF($T362="","",1+COUNTIF($W$15:$W$894,"&lt;"&amp;W362))</f>
        <v/>
      </c>
      <c r="B362" s="16" t="s">
        <v>10</v>
      </c>
      <c r="C362" s="16" t="s">
        <v>744</v>
      </c>
      <c r="D362" s="16" t="s">
        <v>95</v>
      </c>
      <c r="E362" s="16" t="s">
        <v>26</v>
      </c>
      <c r="F362" s="16" t="s">
        <v>745</v>
      </c>
      <c r="G362" s="17">
        <v>1799</v>
      </c>
      <c r="H362" s="17"/>
      <c r="I362" s="17"/>
      <c r="J362" s="17">
        <v>1799</v>
      </c>
      <c r="K362" s="17" t="n">
        <f aca="false">IF(AND(IFERROR(SEARCH("현대오일뱅크",$C362),0)&gt;0,IFERROR(SEARCH("직영",$C362),0)&gt;0),$B$13,0)</f>
        <v/>
      </c>
      <c r="L362" s="17" t="n">
        <f aca="false">IF($G362="","",$G362+$K362)</f>
        <v/>
      </c>
      <c r="M362" s="17" t="str">
        <f aca="false">IF($H362="","",$H362+$K362)</f>
        <v/>
      </c>
      <c r="N362" s="17" t="n">
        <f aca="false">IF($J362="","",$J362+$K362)</f>
        <v/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 t="str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 t="str">
        <f aca="false">IF($P362="","",IF($Q362="Y",IFERROR(VLOOKUP($B362,$C$4:$D$13,2,FALSE()),0),0))</f>
        <v/>
      </c>
      <c r="S362" s="17" t="str">
        <f aca="false">IF($P362="","",ROUNDDOWN($P362*$R362,0))</f>
        <v/>
      </c>
      <c r="T362" s="17" t="str">
        <f aca="false">IF($P362="","",$P362-$S362)</f>
        <v/>
      </c>
      <c r="U362" s="17" t="str">
        <f aca="false">IF($T362="","",IF($B$10=0,"",$T362/$B$10))</f>
        <v/>
      </c>
      <c r="V362" s="17" t="str">
        <f aca="false">IF($P362="","",IF($B$10=0,"",$P362/$B$10))</f>
        <v/>
      </c>
      <c r="W362" s="19" t="n">
        <f aca="false">IF($T362="",1000000000000000,$T362)</f>
        <v/>
      </c>
      <c r="XFB362" s="6"/>
      <c r="XFC362" s="3"/>
    </row>
    <row r="363" s="5" collapsed="false" customFormat="true" customHeight="true" hidden="false" ht="28.5" outlineLevel="0">
      <c r="A363" s="16" t="str">
        <f aca="false">IF($T363="","",1+COUNTIF($W$15:$W$894,"&lt;"&amp;W363))</f>
        <v/>
      </c>
      <c r="B363" s="16" t="s">
        <v>10</v>
      </c>
      <c r="C363" s="16" t="s">
        <v>732</v>
      </c>
      <c r="D363" s="16" t="s">
        <v>51</v>
      </c>
      <c r="E363" s="16" t="s">
        <v>26</v>
      </c>
      <c r="F363" s="16" t="s">
        <v>746</v>
      </c>
      <c r="G363" s="17">
        <v>1799</v>
      </c>
      <c r="H363" s="17"/>
      <c r="I363" s="17"/>
      <c r="J363" s="17">
        <v>1799</v>
      </c>
      <c r="K363" s="17" t="n">
        <f aca="false">IF(AND(IFERROR(SEARCH("현대오일뱅크",$C363),0)&gt;0,IFERROR(SEARCH("직영",$C363),0)&gt;0),$B$13,0)</f>
        <v/>
      </c>
      <c r="L363" s="17" t="n">
        <f aca="false">IF($G363="","",$G363+$K363)</f>
        <v/>
      </c>
      <c r="M363" s="17" t="str">
        <f aca="false">IF($H363="","",$H363+$K363)</f>
        <v/>
      </c>
      <c r="N363" s="17" t="n">
        <f aca="false">IF($J363="","",$J363+$K363)</f>
        <v/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 t="str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 t="str">
        <f aca="false">IF($P363="","",IF($Q363="Y",IFERROR(VLOOKUP($B363,$C$4:$D$13,2,FALSE()),0),0))</f>
        <v/>
      </c>
      <c r="S363" s="17" t="str">
        <f aca="false">IF($P363="","",ROUNDDOWN($P363*$R363,0))</f>
        <v/>
      </c>
      <c r="T363" s="17" t="str">
        <f aca="false">IF($P363="","",$P363-$S363)</f>
        <v/>
      </c>
      <c r="U363" s="17" t="str">
        <f aca="false">IF($T363="","",IF($B$10=0,"",$T363/$B$10))</f>
        <v/>
      </c>
      <c r="V363" s="17" t="str">
        <f aca="false">IF($P363="","",IF($B$10=0,"",$P363/$B$10))</f>
        <v/>
      </c>
      <c r="W363" s="19" t="n">
        <f aca="false">IF($T363="",1000000000000000,$T363)</f>
        <v/>
      </c>
      <c r="XFB363" s="6"/>
      <c r="XFC363" s="3"/>
    </row>
    <row r="364" s="5" collapsed="false" customFormat="true" customHeight="true" hidden="false" ht="28.5" outlineLevel="0">
      <c r="A364" s="16" t="str">
        <f aca="false">IF($T364="","",1+COUNTIF($W$15:$W$894,"&lt;"&amp;W364))</f>
        <v/>
      </c>
      <c r="B364" s="16" t="s">
        <v>10</v>
      </c>
      <c r="C364" s="16" t="s">
        <v>747</v>
      </c>
      <c r="D364" s="16" t="s">
        <v>56</v>
      </c>
      <c r="E364" s="16" t="s">
        <v>26</v>
      </c>
      <c r="F364" s="16" t="s">
        <v>748</v>
      </c>
      <c r="G364" s="17">
        <v>1799</v>
      </c>
      <c r="H364" s="17"/>
      <c r="I364" s="17"/>
      <c r="J364" s="17">
        <v>1799</v>
      </c>
      <c r="K364" s="17" t="n">
        <f aca="false">IF(AND(IFERROR(SEARCH("현대오일뱅크",$C364),0)&gt;0,IFERROR(SEARCH("직영",$C364),0)&gt;0),$B$13,0)</f>
        <v/>
      </c>
      <c r="L364" s="17" t="n">
        <f aca="false">IF($G364="","",$G364+$K364)</f>
        <v/>
      </c>
      <c r="M364" s="17" t="str">
        <f aca="false">IF($H364="","",$H364+$K364)</f>
        <v/>
      </c>
      <c r="N364" s="17" t="n">
        <f aca="false">IF($J364="","",$J364+$K364)</f>
        <v/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 t="str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 t="str">
        <f aca="false">IF($P364="","",IF($Q364="Y",IFERROR(VLOOKUP($B364,$C$4:$D$13,2,FALSE()),0),0))</f>
        <v/>
      </c>
      <c r="S364" s="17" t="str">
        <f aca="false">IF($P364="","",ROUNDDOWN($P364*$R364,0))</f>
        <v/>
      </c>
      <c r="T364" s="17" t="str">
        <f aca="false">IF($P364="","",$P364-$S364)</f>
        <v/>
      </c>
      <c r="U364" s="17" t="str">
        <f aca="false">IF($T364="","",IF($B$10=0,"",$T364/$B$10))</f>
        <v/>
      </c>
      <c r="V364" s="17" t="str">
        <f aca="false">IF($P364="","",IF($B$10=0,"",$P364/$B$10))</f>
        <v/>
      </c>
      <c r="W364" s="19" t="n">
        <f aca="false">IF($T364="",1000000000000000,$T364)</f>
        <v/>
      </c>
      <c r="XFB364" s="6"/>
      <c r="XFC364" s="3"/>
    </row>
    <row r="365" s="5" collapsed="false" customFormat="true" customHeight="true" hidden="false" ht="28.5" outlineLevel="0">
      <c r="A365" s="16" t="str">
        <f aca="false">IF($T365="","",1+COUNTIF($W$15:$W$894,"&lt;"&amp;W365))</f>
        <v/>
      </c>
      <c r="B365" s="16" t="s">
        <v>10</v>
      </c>
      <c r="C365" s="16" t="s">
        <v>749</v>
      </c>
      <c r="D365" s="20" t="s">
        <v>86</v>
      </c>
      <c r="E365" s="16" t="s">
        <v>63</v>
      </c>
      <c r="F365" s="16" t="s">
        <v>750</v>
      </c>
      <c r="G365" s="17">
        <v>1799</v>
      </c>
      <c r="H365" s="17"/>
      <c r="I365" s="17"/>
      <c r="J365" s="17">
        <v>1799</v>
      </c>
      <c r="K365" s="17" t="n">
        <f aca="false">IF(AND(IFERROR(SEARCH("현대오일뱅크",$C365),0)&gt;0,IFERROR(SEARCH("직영",$C365),0)&gt;0),$B$13,0)</f>
        <v/>
      </c>
      <c r="L365" s="17" t="n">
        <f aca="false">IF($G365="","",$G365+$K365)</f>
        <v/>
      </c>
      <c r="M365" s="17" t="str">
        <f aca="false">IF($H365="","",$H365+$K365)</f>
        <v/>
      </c>
      <c r="N365" s="17" t="n">
        <f aca="false">IF($J365="","",$J365+$K365)</f>
        <v/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 t="str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 t="str">
        <f aca="false">IF($P365="","",IF($Q365="Y",IFERROR(VLOOKUP($B365,$C$4:$D$13,2,FALSE()),0),0))</f>
        <v/>
      </c>
      <c r="S365" s="17" t="str">
        <f aca="false">IF($P365="","",ROUNDDOWN($P365*$R365,0))</f>
        <v/>
      </c>
      <c r="T365" s="17" t="str">
        <f aca="false">IF($P365="","",$P365-$S365)</f>
        <v/>
      </c>
      <c r="U365" s="17" t="str">
        <f aca="false">IF($T365="","",IF($B$10=0,"",$T365/$B$10))</f>
        <v/>
      </c>
      <c r="V365" s="17" t="str">
        <f aca="false">IF($P365="","",IF($B$10=0,"",$P365/$B$10))</f>
        <v/>
      </c>
      <c r="W365" s="19" t="n">
        <f aca="false">IF($T365="",1000000000000000,$T365)</f>
        <v/>
      </c>
      <c r="XFB365" s="6"/>
      <c r="XFC365" s="3"/>
    </row>
    <row r="366" s="5" collapsed="false" customFormat="true" customHeight="true" hidden="false" ht="28.5" outlineLevel="0">
      <c r="A366" s="16" t="str">
        <f aca="false">IF($T366="","",1+COUNTIF($W$15:$W$894,"&lt;"&amp;W366))</f>
        <v/>
      </c>
      <c r="B366" s="16" t="s">
        <v>10</v>
      </c>
      <c r="C366" s="16" t="s">
        <v>557</v>
      </c>
      <c r="D366" s="16" t="s">
        <v>45</v>
      </c>
      <c r="E366" s="16" t="s">
        <v>26</v>
      </c>
      <c r="F366" s="16" t="s">
        <v>751</v>
      </c>
      <c r="G366" s="17">
        <v>1799</v>
      </c>
      <c r="H366" s="17"/>
      <c r="I366" s="17"/>
      <c r="J366" s="17">
        <v>1799</v>
      </c>
      <c r="K366" s="17" t="n">
        <f aca="false">IF(AND(IFERROR(SEARCH("현대오일뱅크",$C366),0)&gt;0,IFERROR(SEARCH("직영",$C366),0)&gt;0),$B$13,0)</f>
        <v/>
      </c>
      <c r="L366" s="17" t="n">
        <f aca="false">IF($G366="","",$G366+$K366)</f>
        <v/>
      </c>
      <c r="M366" s="17" t="str">
        <f aca="false">IF($H366="","",$H366+$K366)</f>
        <v/>
      </c>
      <c r="N366" s="17" t="n">
        <f aca="false">IF($J366="","",$J366+$K366)</f>
        <v/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 t="str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 t="str">
        <f aca="false">IF($P366="","",IF($Q366="Y",IFERROR(VLOOKUP($B366,$C$4:$D$13,2,FALSE()),0),0))</f>
        <v/>
      </c>
      <c r="S366" s="17" t="str">
        <f aca="false">IF($P366="","",ROUNDDOWN($P366*$R366,0))</f>
        <v/>
      </c>
      <c r="T366" s="17" t="str">
        <f aca="false">IF($P366="","",$P366-$S366)</f>
        <v/>
      </c>
      <c r="U366" s="17" t="str">
        <f aca="false">IF($T366="","",IF($B$10=0,"",$T366/$B$10))</f>
        <v/>
      </c>
      <c r="V366" s="17" t="str">
        <f aca="false">IF($P366="","",IF($B$10=0,"",$P366/$B$10))</f>
        <v/>
      </c>
      <c r="W366" s="19" t="n">
        <f aca="false">IF($T366="",1000000000000000,$T366)</f>
        <v/>
      </c>
      <c r="XFB366" s="6"/>
      <c r="XFC366" s="3"/>
    </row>
    <row r="367" s="5" collapsed="false" customFormat="true" customHeight="true" hidden="false" ht="28.5" outlineLevel="0">
      <c r="A367" s="16" t="str">
        <f aca="false">IF($T367="","",1+COUNTIF($W$15:$W$894,"&lt;"&amp;W367))</f>
        <v/>
      </c>
      <c r="B367" s="16" t="s">
        <v>6</v>
      </c>
      <c r="C367" s="16" t="s">
        <v>752</v>
      </c>
      <c r="D367" s="16" t="s">
        <v>45</v>
      </c>
      <c r="E367" s="16" t="s">
        <v>26</v>
      </c>
      <c r="F367" s="16" t="s">
        <v>753</v>
      </c>
      <c r="G367" s="17">
        <v>1799</v>
      </c>
      <c r="H367" s="17"/>
      <c r="I367" s="17"/>
      <c r="J367" s="17">
        <v>1809</v>
      </c>
      <c r="K367" s="17" t="n">
        <f aca="false">IF(AND(IFERROR(SEARCH("현대오일뱅크",$C367),0)&gt;0,IFERROR(SEARCH("직영",$C367),0)&gt;0),$B$13,0)</f>
        <v/>
      </c>
      <c r="L367" s="17" t="n">
        <f aca="false">IF($G367="","",$G367+$K367)</f>
        <v/>
      </c>
      <c r="M367" s="17" t="str">
        <f aca="false">IF($H367="","",$H367+$K367)</f>
        <v/>
      </c>
      <c r="N367" s="17" t="n">
        <f aca="false">IF($J367="","",$J367+$K367)</f>
        <v/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 t="str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 t="str">
        <f aca="false">IF($P367="","",IF($Q367="Y",IFERROR(VLOOKUP($B367,$C$4:$D$13,2,FALSE()),0),0))</f>
        <v/>
      </c>
      <c r="S367" s="17" t="str">
        <f aca="false">IF($P367="","",ROUNDDOWN($P367*$R367,0))</f>
        <v/>
      </c>
      <c r="T367" s="17" t="str">
        <f aca="false">IF($P367="","",$P367-$S367)</f>
        <v/>
      </c>
      <c r="U367" s="17" t="str">
        <f aca="false">IF($T367="","",IF($B$10=0,"",$T367/$B$10))</f>
        <v/>
      </c>
      <c r="V367" s="17" t="str">
        <f aca="false">IF($P367="","",IF($B$10=0,"",$P367/$B$10))</f>
        <v/>
      </c>
      <c r="W367" s="19" t="n">
        <f aca="false">IF($T367="",1000000000000000,$T367)</f>
        <v/>
      </c>
      <c r="XFB367" s="6"/>
      <c r="XFC367" s="3"/>
    </row>
    <row r="368" s="5" collapsed="false" customFormat="true" customHeight="true" hidden="false" ht="28.5" outlineLevel="0">
      <c r="A368" s="16" t="str">
        <f aca="false">IF($T368="","",1+COUNTIF($W$15:$W$894,"&lt;"&amp;W368))</f>
        <v/>
      </c>
      <c r="B368" s="16" t="s">
        <v>10</v>
      </c>
      <c r="C368" s="16" t="s">
        <v>754</v>
      </c>
      <c r="D368" s="16" t="s">
        <v>51</v>
      </c>
      <c r="E368" s="16" t="s">
        <v>26</v>
      </c>
      <c r="F368" s="16" t="s">
        <v>755</v>
      </c>
      <c r="G368" s="17">
        <v>1799</v>
      </c>
      <c r="H368" s="17"/>
      <c r="I368" s="17"/>
      <c r="J368" s="17">
        <v>1809</v>
      </c>
      <c r="K368" s="17" t="n">
        <f aca="false">IF(AND(IFERROR(SEARCH("현대오일뱅크",$C368),0)&gt;0,IFERROR(SEARCH("직영",$C368),0)&gt;0),$B$13,0)</f>
        <v/>
      </c>
      <c r="L368" s="17" t="n">
        <f aca="false">IF($G368="","",$G368+$K368)</f>
        <v/>
      </c>
      <c r="M368" s="17" t="str">
        <f aca="false">IF($H368="","",$H368+$K368)</f>
        <v/>
      </c>
      <c r="N368" s="17" t="n">
        <f aca="false">IF($J368="","",$J368+$K368)</f>
        <v/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 t="str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 t="str">
        <f aca="false">IF($P368="","",IF($Q368="Y",IFERROR(VLOOKUP($B368,$C$4:$D$13,2,FALSE()),0),0))</f>
        <v/>
      </c>
      <c r="S368" s="17" t="str">
        <f aca="false">IF($P368="","",ROUNDDOWN($P368*$R368,0))</f>
        <v/>
      </c>
      <c r="T368" s="17" t="str">
        <f aca="false">IF($P368="","",$P368-$S368)</f>
        <v/>
      </c>
      <c r="U368" s="17" t="str">
        <f aca="false">IF($T368="","",IF($B$10=0,"",$T368/$B$10))</f>
        <v/>
      </c>
      <c r="V368" s="17" t="str">
        <f aca="false">IF($P368="","",IF($B$10=0,"",$P368/$B$10))</f>
        <v/>
      </c>
      <c r="W368" s="19" t="n">
        <f aca="false">IF($T368="",1000000000000000,$T368)</f>
        <v/>
      </c>
      <c r="XFB368" s="6"/>
      <c r="XFC368" s="3"/>
    </row>
    <row r="369" s="5" collapsed="false" customFormat="true" customHeight="true" hidden="false" ht="28.5" outlineLevel="0">
      <c r="A369" s="16" t="str">
        <f aca="false">IF($T369="","",1+COUNTIF($W$15:$W$894,"&lt;"&amp;W369))</f>
        <v/>
      </c>
      <c r="B369" s="16" t="s">
        <v>6</v>
      </c>
      <c r="C369" s="16" t="s">
        <v>756</v>
      </c>
      <c r="D369" s="16" t="s">
        <v>95</v>
      </c>
      <c r="E369" s="16" t="s">
        <v>26</v>
      </c>
      <c r="F369" s="16" t="s">
        <v>757</v>
      </c>
      <c r="G369" s="17">
        <v>1799</v>
      </c>
      <c r="H369" s="17"/>
      <c r="I369" s="17"/>
      <c r="J369" s="17">
        <v>1820</v>
      </c>
      <c r="K369" s="17" t="n">
        <f aca="false">IF(AND(IFERROR(SEARCH("현대오일뱅크",$C369),0)&gt;0,IFERROR(SEARCH("직영",$C369),0)&gt;0),$B$13,0)</f>
        <v/>
      </c>
      <c r="L369" s="17" t="n">
        <f aca="false">IF($G369="","",$G369+$K369)</f>
        <v/>
      </c>
      <c r="M369" s="17" t="str">
        <f aca="false">IF($H369="","",$H369+$K369)</f>
        <v/>
      </c>
      <c r="N369" s="17" t="n">
        <f aca="false">IF($J369="","",$J369+$K369)</f>
        <v/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 t="str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 t="str">
        <f aca="false">IF($P369="","",IF($Q369="Y",IFERROR(VLOOKUP($B369,$C$4:$D$13,2,FALSE()),0),0))</f>
        <v/>
      </c>
      <c r="S369" s="17" t="str">
        <f aca="false">IF($P369="","",ROUNDDOWN($P369*$R369,0))</f>
        <v/>
      </c>
      <c r="T369" s="17" t="str">
        <f aca="false">IF($P369="","",$P369-$S369)</f>
        <v/>
      </c>
      <c r="U369" s="17" t="str">
        <f aca="false">IF($T369="","",IF($B$10=0,"",$T369/$B$10))</f>
        <v/>
      </c>
      <c r="V369" s="17" t="str">
        <f aca="false">IF($P369="","",IF($B$10=0,"",$P369/$B$10))</f>
        <v/>
      </c>
      <c r="W369" s="19" t="n">
        <f aca="false">IF($T369="",1000000000000000,$T369)</f>
        <v/>
      </c>
      <c r="XFB369" s="6"/>
      <c r="XFC369" s="3"/>
    </row>
    <row r="370" s="5" collapsed="false" customFormat="true" customHeight="true" hidden="false" ht="28.5" outlineLevel="0">
      <c r="A370" s="16" t="str">
        <f aca="false">IF($T370="","",1+COUNTIF($W$15:$W$894,"&lt;"&amp;W370))</f>
        <v/>
      </c>
      <c r="B370" s="16" t="s">
        <v>12</v>
      </c>
      <c r="C370" s="16" t="s">
        <v>738</v>
      </c>
      <c r="D370" s="20" t="s">
        <v>95</v>
      </c>
      <c r="E370" s="16" t="s">
        <v>26</v>
      </c>
      <c r="F370" s="16" t="s">
        <v>739</v>
      </c>
      <c r="G370" s="17">
        <v>1799</v>
      </c>
      <c r="H370" s="17"/>
      <c r="I370" s="17"/>
      <c r="J370" s="17">
        <v>1839</v>
      </c>
      <c r="K370" s="17" t="n">
        <f aca="false">IF(AND(IFERROR(SEARCH("현대오일뱅크",$C370),0)&gt;0,IFERROR(SEARCH("직영",$C370),0)&gt;0),$B$13,0)</f>
        <v/>
      </c>
      <c r="L370" s="17" t="n">
        <f aca="false">IF($G370="","",$G370+$K370)</f>
        <v/>
      </c>
      <c r="M370" s="17" t="str">
        <f aca="false">IF($H370="","",$H370+$K370)</f>
        <v/>
      </c>
      <c r="N370" s="17" t="n">
        <f aca="false">IF($J370="","",$J370+$K370)</f>
        <v/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 t="str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 t="str">
        <f aca="false">IF($P370="","",IF($Q370="Y",IFERROR(VLOOKUP($B370,$C$4:$D$13,2,FALSE()),0),0))</f>
        <v/>
      </c>
      <c r="S370" s="17" t="str">
        <f aca="false">IF($P370="","",ROUNDDOWN($P370*$R370,0))</f>
        <v/>
      </c>
      <c r="T370" s="17" t="str">
        <f aca="false">IF($P370="","",$P370-$S370)</f>
        <v/>
      </c>
      <c r="U370" s="17" t="str">
        <f aca="false">IF($T370="","",IF($B$10=0,"",$T370/$B$10))</f>
        <v/>
      </c>
      <c r="V370" s="17" t="str">
        <f aca="false">IF($P370="","",IF($B$10=0,"",$P370/$B$10))</f>
        <v/>
      </c>
      <c r="W370" s="19" t="n">
        <f aca="false">IF($T370="",1000000000000000,$T370)</f>
        <v/>
      </c>
      <c r="XFB370" s="6"/>
      <c r="XFC370" s="3"/>
    </row>
    <row r="371" s="5" collapsed="false" customFormat="true" customHeight="true" hidden="false" ht="28.5" outlineLevel="0">
      <c r="A371" s="16" t="str">
        <f aca="false">IF($T371="","",1+COUNTIF($W$15:$W$894,"&lt;"&amp;W371))</f>
        <v/>
      </c>
      <c r="B371" s="16" t="s">
        <v>14</v>
      </c>
      <c r="C371" s="16" t="s">
        <v>758</v>
      </c>
      <c r="D371" s="16" t="s">
        <v>95</v>
      </c>
      <c r="E371" s="16" t="s">
        <v>63</v>
      </c>
      <c r="F371" s="16" t="s">
        <v>759</v>
      </c>
      <c r="G371" s="17">
        <v>1825</v>
      </c>
      <c r="H371" s="17"/>
      <c r="I371" s="17"/>
      <c r="J371" s="17">
        <v>1815</v>
      </c>
      <c r="K371" s="17" t="n">
        <f aca="false">IF(AND(IFERROR(SEARCH("현대오일뱅크",$C371),0)&gt;0,IFERROR(SEARCH("직영",$C371),0)&gt;0),$B$13,0)</f>
        <v/>
      </c>
      <c r="L371" s="17" t="n">
        <f aca="false">IF($G371="","",$G371+$K371)</f>
        <v/>
      </c>
      <c r="M371" s="17" t="str">
        <f aca="false">IF($H371="","",$H371+$K371)</f>
        <v/>
      </c>
      <c r="N371" s="17" t="n">
        <f aca="false">IF($J371="","",$J371+$K371)</f>
        <v/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 t="str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 t="str">
        <f aca="false">IF($P371="","",IF($Q371="Y",IFERROR(VLOOKUP($B371,$C$4:$D$13,2,FALSE()),0),0))</f>
        <v/>
      </c>
      <c r="S371" s="17" t="str">
        <f aca="false">IF($P371="","",ROUNDDOWN($P371*$R371,0))</f>
        <v/>
      </c>
      <c r="T371" s="17" t="str">
        <f aca="false">IF($P371="","",$P371-$S371)</f>
        <v/>
      </c>
      <c r="U371" s="17" t="str">
        <f aca="false">IF($T371="","",IF($B$10=0,"",$T371/$B$10))</f>
        <v/>
      </c>
      <c r="V371" s="17" t="str">
        <f aca="false">IF($P371="","",IF($B$10=0,"",$P371/$B$10))</f>
        <v/>
      </c>
      <c r="W371" s="19" t="n">
        <f aca="false">IF($T371="",1000000000000000,$T371)</f>
        <v/>
      </c>
      <c r="XFB371" s="6"/>
      <c r="XFC371" s="3"/>
    </row>
    <row r="372" s="5" collapsed="false" customFormat="true" customHeight="true" hidden="false" ht="28.5" outlineLevel="0">
      <c r="A372" s="16" t="str">
        <f aca="false">IF($T372="","",1+COUNTIF($W$15:$W$894,"&lt;"&amp;W372))</f>
        <v/>
      </c>
      <c r="B372" s="16" t="s">
        <v>8</v>
      </c>
      <c r="C372" s="16" t="s">
        <v>760</v>
      </c>
      <c r="D372" s="16" t="s">
        <v>95</v>
      </c>
      <c r="E372" s="16" t="s">
        <v>26</v>
      </c>
      <c r="F372" s="16" t="s">
        <v>761</v>
      </c>
      <c r="G372" s="17">
        <v>1805</v>
      </c>
      <c r="H372" s="17"/>
      <c r="I372" s="17"/>
      <c r="J372" s="17">
        <v>1795</v>
      </c>
      <c r="K372" s="17" t="n">
        <f aca="false">IF(AND(IFERROR(SEARCH("현대오일뱅크",$C372),0)&gt;0,IFERROR(SEARCH("직영",$C372),0)&gt;0),$B$13,0)</f>
        <v/>
      </c>
      <c r="L372" s="17" t="n">
        <f aca="false">IF($G372="","",$G372+$K372)</f>
        <v/>
      </c>
      <c r="M372" s="17" t="str">
        <f aca="false">IF($H372="","",$H372+$K372)</f>
        <v/>
      </c>
      <c r="N372" s="17" t="n">
        <f aca="false">IF($J372="","",$J372+$K372)</f>
        <v/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 t="str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 t="str">
        <f aca="false">IF($P372="","",IF($Q372="Y",IFERROR(VLOOKUP($B372,$C$4:$D$13,2,FALSE()),0),0))</f>
        <v/>
      </c>
      <c r="S372" s="17" t="str">
        <f aca="false">IF($P372="","",ROUNDDOWN($P372*$R372,0))</f>
        <v/>
      </c>
      <c r="T372" s="17" t="str">
        <f aca="false">IF($P372="","",$P372-$S372)</f>
        <v/>
      </c>
      <c r="U372" s="17" t="str">
        <f aca="false">IF($T372="","",IF($B$10=0,"",$T372/$B$10))</f>
        <v/>
      </c>
      <c r="V372" s="17" t="str">
        <f aca="false">IF($P372="","",IF($B$10=0,"",$P372/$B$10))</f>
        <v/>
      </c>
      <c r="W372" s="19" t="n">
        <f aca="false">IF($T372="",1000000000000000,$T372)</f>
        <v/>
      </c>
      <c r="XFB372" s="6"/>
      <c r="XFC372" s="3"/>
    </row>
    <row r="373" s="5" collapsed="false" customFormat="true" customHeight="true" hidden="false" ht="28.5" outlineLevel="0">
      <c r="A373" s="16" t="str">
        <f aca="false">IF($T373="","",1+COUNTIF($W$15:$W$894,"&lt;"&amp;W373))</f>
        <v/>
      </c>
      <c r="B373" s="16" t="s">
        <v>14</v>
      </c>
      <c r="C373" s="16" t="s">
        <v>762</v>
      </c>
      <c r="D373" s="16" t="s">
        <v>95</v>
      </c>
      <c r="E373" s="16" t="s">
        <v>26</v>
      </c>
      <c r="F373" s="16" t="s">
        <v>763</v>
      </c>
      <c r="G373" s="17">
        <v>1828</v>
      </c>
      <c r="H373" s="17"/>
      <c r="I373" s="17"/>
      <c r="J373" s="17">
        <v>1818</v>
      </c>
      <c r="K373" s="17" t="n">
        <f aca="false">IF(AND(IFERROR(SEARCH("현대오일뱅크",$C373),0)&gt;0,IFERROR(SEARCH("직영",$C373),0)&gt;0),$B$13,0)</f>
        <v/>
      </c>
      <c r="L373" s="17" t="n">
        <f aca="false">IF($G373="","",$G373+$K373)</f>
        <v/>
      </c>
      <c r="M373" s="17" t="str">
        <f aca="false">IF($H373="","",$H373+$K373)</f>
        <v/>
      </c>
      <c r="N373" s="17" t="n">
        <f aca="false">IF($J373="","",$J373+$K373)</f>
        <v/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 t="str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 t="str">
        <f aca="false">IF($P373="","",IF($Q373="Y",IFERROR(VLOOKUP($B373,$C$4:$D$13,2,FALSE()),0),0))</f>
        <v/>
      </c>
      <c r="S373" s="17" t="str">
        <f aca="false">IF($P373="","",ROUNDDOWN($P373*$R373,0))</f>
        <v/>
      </c>
      <c r="T373" s="17" t="str">
        <f aca="false">IF($P373="","",$P373-$S373)</f>
        <v/>
      </c>
      <c r="U373" s="17" t="str">
        <f aca="false">IF($T373="","",IF($B$10=0,"",$T373/$B$10))</f>
        <v/>
      </c>
      <c r="V373" s="17" t="str">
        <f aca="false">IF($P373="","",IF($B$10=0,"",$P373/$B$10))</f>
        <v/>
      </c>
      <c r="W373" s="19" t="n">
        <f aca="false">IF($T373="",1000000000000000,$T373)</f>
        <v/>
      </c>
      <c r="XFB373" s="6"/>
      <c r="XFC373" s="3"/>
    </row>
    <row r="374" s="5" collapsed="false" customFormat="true" customHeight="true" hidden="false" ht="28.5" outlineLevel="0">
      <c r="A374" s="16" t="str">
        <f aca="false">IF($T374="","",1+COUNTIF($W$15:$W$894,"&lt;"&amp;W374))</f>
        <v/>
      </c>
      <c r="B374" s="16" t="s">
        <v>16</v>
      </c>
      <c r="C374" s="16" t="s">
        <v>764</v>
      </c>
      <c r="D374" s="20" t="s">
        <v>86</v>
      </c>
      <c r="E374" s="16" t="s">
        <v>26</v>
      </c>
      <c r="F374" s="16" t="s">
        <v>765</v>
      </c>
      <c r="G374" s="17">
        <v>1849</v>
      </c>
      <c r="H374" s="17"/>
      <c r="I374" s="17"/>
      <c r="J374" s="17">
        <v>1839</v>
      </c>
      <c r="K374" s="17" t="n">
        <f aca="false">IF(AND(IFERROR(SEARCH("현대오일뱅크",$C374),0)&gt;0,IFERROR(SEARCH("직영",$C374),0)&gt;0),$B$13,0)</f>
        <v/>
      </c>
      <c r="L374" s="17" t="n">
        <f aca="false">IF($G374="","",$G374+$K374)</f>
        <v/>
      </c>
      <c r="M374" s="17" t="str">
        <f aca="false">IF($H374="","",$H374+$K374)</f>
        <v/>
      </c>
      <c r="N374" s="17" t="n">
        <f aca="false">IF($J374="","",$J374+$K374)</f>
        <v/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 t="str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 t="str">
        <f aca="false">IF($P374="","",IF($Q374="Y",IFERROR(VLOOKUP($B374,$C$4:$D$13,2,FALSE()),0),0))</f>
        <v/>
      </c>
      <c r="S374" s="17" t="str">
        <f aca="false">IF($P374="","",ROUNDDOWN($P374*$R374,0))</f>
        <v/>
      </c>
      <c r="T374" s="17" t="str">
        <f aca="false">IF($P374="","",$P374-$S374)</f>
        <v/>
      </c>
      <c r="U374" s="17" t="str">
        <f aca="false">IF($T374="","",IF($B$10=0,"",$T374/$B$10))</f>
        <v/>
      </c>
      <c r="V374" s="17" t="str">
        <f aca="false">IF($P374="","",IF($B$10=0,"",$P374/$B$10))</f>
        <v/>
      </c>
      <c r="W374" s="19" t="n">
        <f aca="false">IF($T374="",1000000000000000,$T374)</f>
        <v/>
      </c>
      <c r="XFB374" s="6"/>
      <c r="XFC374" s="3"/>
    </row>
    <row r="375" s="5" collapsed="false" customFormat="true" customHeight="true" hidden="false" ht="28.5" outlineLevel="0">
      <c r="A375" s="16" t="str">
        <f aca="false">IF($T375="","",1+COUNTIF($W$15:$W$894,"&lt;"&amp;W375))</f>
        <v/>
      </c>
      <c r="B375" s="16" t="s">
        <v>16</v>
      </c>
      <c r="C375" s="16" t="s">
        <v>766</v>
      </c>
      <c r="D375" s="20" t="s">
        <v>86</v>
      </c>
      <c r="E375" s="16" t="s">
        <v>63</v>
      </c>
      <c r="F375" s="16" t="s">
        <v>767</v>
      </c>
      <c r="G375" s="17">
        <v>1849</v>
      </c>
      <c r="H375" s="17"/>
      <c r="I375" s="17"/>
      <c r="J375" s="17">
        <v>1849</v>
      </c>
      <c r="K375" s="17" t="n">
        <f aca="false">IF(AND(IFERROR(SEARCH("현대오일뱅크",$C375),0)&gt;0,IFERROR(SEARCH("직영",$C375),0)&gt;0),$B$13,0)</f>
        <v/>
      </c>
      <c r="L375" s="17" t="n">
        <f aca="false">IF($G375="","",$G375+$K375)</f>
        <v/>
      </c>
      <c r="M375" s="17" t="str">
        <f aca="false">IF($H375="","",$H375+$K375)</f>
        <v/>
      </c>
      <c r="N375" s="17" t="n">
        <f aca="false">IF($J375="","",$J375+$K375)</f>
        <v/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 t="str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 t="str">
        <f aca="false">IF($P375="","",IF($Q375="Y",IFERROR(VLOOKUP($B375,$C$4:$D$13,2,FALSE()),0),0))</f>
        <v/>
      </c>
      <c r="S375" s="17" t="str">
        <f aca="false">IF($P375="","",ROUNDDOWN($P375*$R375,0))</f>
        <v/>
      </c>
      <c r="T375" s="17" t="str">
        <f aca="false">IF($P375="","",$P375-$S375)</f>
        <v/>
      </c>
      <c r="U375" s="17" t="str">
        <f aca="false">IF($T375="","",IF($B$10=0,"",$T375/$B$10))</f>
        <v/>
      </c>
      <c r="V375" s="17" t="str">
        <f aca="false">IF($P375="","",IF($B$10=0,"",$P375/$B$10))</f>
        <v/>
      </c>
      <c r="W375" s="19" t="n">
        <f aca="false">IF($T375="",1000000000000000,$T375)</f>
        <v/>
      </c>
      <c r="XFB375" s="6"/>
      <c r="XFC375" s="3"/>
    </row>
    <row r="376" s="5" collapsed="false" customFormat="true" customHeight="true" hidden="false" ht="28.5" outlineLevel="0">
      <c r="A376" s="16" t="str">
        <f aca="false">IF($T376="","",1+COUNTIF($W$15:$W$894,"&lt;"&amp;W376))</f>
        <v/>
      </c>
      <c r="B376" s="16" t="s">
        <v>6</v>
      </c>
      <c r="C376" s="16" t="s">
        <v>768</v>
      </c>
      <c r="D376" s="16" t="s">
        <v>95</v>
      </c>
      <c r="E376" s="16" t="s">
        <v>63</v>
      </c>
      <c r="F376" s="16" t="s">
        <v>769</v>
      </c>
      <c r="G376" s="17">
        <v>1808</v>
      </c>
      <c r="H376" s="17"/>
      <c r="I376" s="17"/>
      <c r="J376" s="17">
        <v>1795</v>
      </c>
      <c r="K376" s="17" t="n">
        <f aca="false">IF(AND(IFERROR(SEARCH("현대오일뱅크",$C376),0)&gt;0,IFERROR(SEARCH("직영",$C376),0)&gt;0),$B$13,0)</f>
        <v/>
      </c>
      <c r="L376" s="17" t="n">
        <f aca="false">IF($G376="","",$G376+$K376)</f>
        <v/>
      </c>
      <c r="M376" s="17" t="str">
        <f aca="false">IF($H376="","",$H376+$K376)</f>
        <v/>
      </c>
      <c r="N376" s="17" t="n">
        <f aca="false">IF($J376="","",$J376+$K376)</f>
        <v/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 t="str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 t="str">
        <f aca="false">IF($P376="","",IF($Q376="Y",IFERROR(VLOOKUP($B376,$C$4:$D$13,2,FALSE()),0),0))</f>
        <v/>
      </c>
      <c r="S376" s="17" t="str">
        <f aca="false">IF($P376="","",ROUNDDOWN($P376*$R376,0))</f>
        <v/>
      </c>
      <c r="T376" s="17" t="str">
        <f aca="false">IF($P376="","",$P376-$S376)</f>
        <v/>
      </c>
      <c r="U376" s="17" t="str">
        <f aca="false">IF($T376="","",IF($B$10=0,"",$T376/$B$10))</f>
        <v/>
      </c>
      <c r="V376" s="17" t="str">
        <f aca="false">IF($P376="","",IF($B$10=0,"",$P376/$B$10))</f>
        <v/>
      </c>
      <c r="W376" s="19" t="n">
        <f aca="false">IF($T376="",1000000000000000,$T376)</f>
        <v/>
      </c>
      <c r="XFB376" s="6"/>
      <c r="XFC376" s="3"/>
    </row>
    <row r="377" s="5" collapsed="false" customFormat="true" customHeight="true" hidden="false" ht="28.5" outlineLevel="0">
      <c r="A377" s="16" t="str">
        <f aca="false">IF($T377="","",1+COUNTIF($W$15:$W$894,"&lt;"&amp;W377))</f>
        <v/>
      </c>
      <c r="B377" s="16" t="s">
        <v>14</v>
      </c>
      <c r="C377" s="16" t="s">
        <v>770</v>
      </c>
      <c r="D377" s="20" t="s">
        <v>86</v>
      </c>
      <c r="E377" s="16" t="s">
        <v>63</v>
      </c>
      <c r="F377" s="16" t="s">
        <v>771</v>
      </c>
      <c r="G377" s="17">
        <v>1829</v>
      </c>
      <c r="H377" s="17"/>
      <c r="I377" s="17"/>
      <c r="J377" s="17">
        <v>1819</v>
      </c>
      <c r="K377" s="17" t="n">
        <f aca="false">IF(AND(IFERROR(SEARCH("현대오일뱅크",$C377),0)&gt;0,IFERROR(SEARCH("직영",$C377),0)&gt;0),$B$13,0)</f>
        <v/>
      </c>
      <c r="L377" s="17" t="n">
        <f aca="false">IF($G377="","",$G377+$K377)</f>
        <v/>
      </c>
      <c r="M377" s="17" t="str">
        <f aca="false">IF($H377="","",$H377+$K377)</f>
        <v/>
      </c>
      <c r="N377" s="17" t="n">
        <f aca="false">IF($J377="","",$J377+$K377)</f>
        <v/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 t="str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 t="str">
        <f aca="false">IF($P377="","",IF($Q377="Y",IFERROR(VLOOKUP($B377,$C$4:$D$13,2,FALSE()),0),0))</f>
        <v/>
      </c>
      <c r="S377" s="17" t="str">
        <f aca="false">IF($P377="","",ROUNDDOWN($P377*$R377,0))</f>
        <v/>
      </c>
      <c r="T377" s="17" t="str">
        <f aca="false">IF($P377="","",$P377-$S377)</f>
        <v/>
      </c>
      <c r="U377" s="17" t="str">
        <f aca="false">IF($T377="","",IF($B$10=0,"",$T377/$B$10))</f>
        <v/>
      </c>
      <c r="V377" s="17" t="str">
        <f aca="false">IF($P377="","",IF($B$10=0,"",$P377/$B$10))</f>
        <v/>
      </c>
      <c r="W377" s="19" t="n">
        <f aca="false">IF($T377="",1000000000000000,$T377)</f>
        <v/>
      </c>
      <c r="XFB377" s="6"/>
      <c r="XFC377" s="3"/>
    </row>
    <row r="378" s="5" collapsed="false" customFormat="true" customHeight="true" hidden="false" ht="28.5" outlineLevel="0">
      <c r="A378" s="16" t="str">
        <f aca="false">IF($T378="","",1+COUNTIF($W$15:$W$894,"&lt;"&amp;W378))</f>
        <v/>
      </c>
      <c r="B378" s="16" t="s">
        <v>14</v>
      </c>
      <c r="C378" s="16" t="s">
        <v>772</v>
      </c>
      <c r="D378" s="16" t="s">
        <v>45</v>
      </c>
      <c r="E378" s="16" t="s">
        <v>26</v>
      </c>
      <c r="F378" s="16" t="s">
        <v>773</v>
      </c>
      <c r="G378" s="17">
        <v>1829</v>
      </c>
      <c r="H378" s="17"/>
      <c r="I378" s="17"/>
      <c r="J378" s="17">
        <v>1839</v>
      </c>
      <c r="K378" s="17" t="n">
        <f aca="false">IF(AND(IFERROR(SEARCH("현대오일뱅크",$C378),0)&gt;0,IFERROR(SEARCH("직영",$C378),0)&gt;0),$B$13,0)</f>
        <v/>
      </c>
      <c r="L378" s="17" t="n">
        <f aca="false">IF($G378="","",$G378+$K378)</f>
        <v/>
      </c>
      <c r="M378" s="17" t="str">
        <f aca="false">IF($H378="","",$H378+$K378)</f>
        <v/>
      </c>
      <c r="N378" s="17" t="n">
        <f aca="false">IF($J378="","",$J378+$K378)</f>
        <v/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 t="str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 t="str">
        <f aca="false">IF($P378="","",IF($Q378="Y",IFERROR(VLOOKUP($B378,$C$4:$D$13,2,FALSE()),0),0))</f>
        <v/>
      </c>
      <c r="S378" s="17" t="str">
        <f aca="false">IF($P378="","",ROUNDDOWN($P378*$R378,0))</f>
        <v/>
      </c>
      <c r="T378" s="17" t="str">
        <f aca="false">IF($P378="","",$P378-$S378)</f>
        <v/>
      </c>
      <c r="U378" s="17" t="str">
        <f aca="false">IF($T378="","",IF($B$10=0,"",$T378/$B$10))</f>
        <v/>
      </c>
      <c r="V378" s="17" t="str">
        <f aca="false">IF($P378="","",IF($B$10=0,"",$P378/$B$10))</f>
        <v/>
      </c>
      <c r="W378" s="19" t="n">
        <f aca="false">IF($T378="",1000000000000000,$T378)</f>
        <v/>
      </c>
      <c r="XFB378" s="6"/>
      <c r="XFC378" s="3"/>
    </row>
    <row r="379" s="5" collapsed="false" customFormat="true" customHeight="true" hidden="false" ht="28.5" outlineLevel="0">
      <c r="A379" s="16" t="str">
        <f aca="false">IF($T379="","",1+COUNTIF($W$15:$W$894,"&lt;"&amp;W379))</f>
        <v/>
      </c>
      <c r="B379" s="16" t="s">
        <v>8</v>
      </c>
      <c r="C379" s="16" t="s">
        <v>774</v>
      </c>
      <c r="D379" s="16" t="s">
        <v>95</v>
      </c>
      <c r="E379" s="16" t="s">
        <v>63</v>
      </c>
      <c r="F379" s="16" t="s">
        <v>775</v>
      </c>
      <c r="G379" s="17">
        <v>1809</v>
      </c>
      <c r="H379" s="17"/>
      <c r="I379" s="17"/>
      <c r="J379" s="17">
        <v>1799</v>
      </c>
      <c r="K379" s="17" t="n">
        <f aca="false">IF(AND(IFERROR(SEARCH("현대오일뱅크",$C379),0)&gt;0,IFERROR(SEARCH("직영",$C379),0)&gt;0),$B$13,0)</f>
        <v/>
      </c>
      <c r="L379" s="17" t="n">
        <f aca="false">IF($G379="","",$G379+$K379)</f>
        <v/>
      </c>
      <c r="M379" s="17" t="str">
        <f aca="false">IF($H379="","",$H379+$K379)</f>
        <v/>
      </c>
      <c r="N379" s="17" t="n">
        <f aca="false">IF($J379="","",$J379+$K379)</f>
        <v/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 t="str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 t="str">
        <f aca="false">IF($P379="","",IF($Q379="Y",IFERROR(VLOOKUP($B379,$C$4:$D$13,2,FALSE()),0),0))</f>
        <v/>
      </c>
      <c r="S379" s="17" t="str">
        <f aca="false">IF($P379="","",ROUNDDOWN($P379*$R379,0))</f>
        <v/>
      </c>
      <c r="T379" s="17" t="str">
        <f aca="false">IF($P379="","",$P379-$S379)</f>
        <v/>
      </c>
      <c r="U379" s="17" t="str">
        <f aca="false">IF($T379="","",IF($B$10=0,"",$T379/$B$10))</f>
        <v/>
      </c>
      <c r="V379" s="17" t="str">
        <f aca="false">IF($P379="","",IF($B$10=0,"",$P379/$B$10))</f>
        <v/>
      </c>
      <c r="W379" s="19" t="n">
        <f aca="false">IF($T379="",1000000000000000,$T379)</f>
        <v/>
      </c>
      <c r="XFB379" s="6"/>
      <c r="XFC379" s="3"/>
    </row>
    <row r="380" s="5" collapsed="false" customFormat="true" customHeight="true" hidden="false" ht="28.5" outlineLevel="0">
      <c r="A380" s="16" t="str">
        <f aca="false">IF($T380="","",1+COUNTIF($W$15:$W$894,"&lt;"&amp;W380))</f>
        <v/>
      </c>
      <c r="B380" s="16" t="s">
        <v>10</v>
      </c>
      <c r="C380" s="16" t="s">
        <v>776</v>
      </c>
      <c r="D380" s="16" t="s">
        <v>45</v>
      </c>
      <c r="E380" s="16" t="s">
        <v>63</v>
      </c>
      <c r="F380" s="16" t="s">
        <v>777</v>
      </c>
      <c r="G380" s="17">
        <v>1809</v>
      </c>
      <c r="H380" s="17"/>
      <c r="I380" s="17"/>
      <c r="J380" s="17">
        <v>1799</v>
      </c>
      <c r="K380" s="17" t="n">
        <f aca="false">IF(AND(IFERROR(SEARCH("현대오일뱅크",$C380),0)&gt;0,IFERROR(SEARCH("직영",$C380),0)&gt;0),$B$13,0)</f>
        <v/>
      </c>
      <c r="L380" s="17" t="n">
        <f aca="false">IF($G380="","",$G380+$K380)</f>
        <v/>
      </c>
      <c r="M380" s="17" t="str">
        <f aca="false">IF($H380="","",$H380+$K380)</f>
        <v/>
      </c>
      <c r="N380" s="17" t="n">
        <f aca="false">IF($J380="","",$J380+$K380)</f>
        <v/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 t="str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 t="str">
        <f aca="false">IF($P380="","",IF($Q380="Y",IFERROR(VLOOKUP($B380,$C$4:$D$13,2,FALSE()),0),0))</f>
        <v/>
      </c>
      <c r="S380" s="17" t="str">
        <f aca="false">IF($P380="","",ROUNDDOWN($P380*$R380,0))</f>
        <v/>
      </c>
      <c r="T380" s="17" t="str">
        <f aca="false">IF($P380="","",$P380-$S380)</f>
        <v/>
      </c>
      <c r="U380" s="17" t="str">
        <f aca="false">IF($T380="","",IF($B$10=0,"",$T380/$B$10))</f>
        <v/>
      </c>
      <c r="V380" s="17" t="str">
        <f aca="false">IF($P380="","",IF($B$10=0,"",$P380/$B$10))</f>
        <v/>
      </c>
      <c r="W380" s="19" t="n">
        <f aca="false">IF($T380="",1000000000000000,$T380)</f>
        <v/>
      </c>
      <c r="XFB380" s="6"/>
      <c r="XFC380" s="3"/>
    </row>
    <row r="381" s="5" collapsed="false" customFormat="true" customHeight="true" hidden="false" ht="28.5" outlineLevel="0">
      <c r="A381" s="16" t="str">
        <f aca="false">IF($T381="","",1+COUNTIF($W$15:$W$894,"&lt;"&amp;W381))</f>
        <v/>
      </c>
      <c r="B381" s="16" t="s">
        <v>6</v>
      </c>
      <c r="C381" s="16" t="s">
        <v>778</v>
      </c>
      <c r="D381" s="16" t="s">
        <v>51</v>
      </c>
      <c r="E381" s="16" t="s">
        <v>63</v>
      </c>
      <c r="F381" s="16" t="s">
        <v>779</v>
      </c>
      <c r="G381" s="17">
        <v>1809</v>
      </c>
      <c r="H381" s="17"/>
      <c r="I381" s="17"/>
      <c r="J381" s="17">
        <v>1809</v>
      </c>
      <c r="K381" s="17" t="n">
        <f aca="false">IF(AND(IFERROR(SEARCH("현대오일뱅크",$C381),0)&gt;0,IFERROR(SEARCH("직영",$C381),0)&gt;0),$B$13,0)</f>
        <v/>
      </c>
      <c r="L381" s="17" t="n">
        <f aca="false">IF($G381="","",$G381+$K381)</f>
        <v/>
      </c>
      <c r="M381" s="17" t="str">
        <f aca="false">IF($H381="","",$H381+$K381)</f>
        <v/>
      </c>
      <c r="N381" s="17" t="n">
        <f aca="false">IF($J381="","",$J381+$K381)</f>
        <v/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 t="str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 t="str">
        <f aca="false">IF($P381="","",IF($Q381="Y",IFERROR(VLOOKUP($B381,$C$4:$D$13,2,FALSE()),0),0))</f>
        <v/>
      </c>
      <c r="S381" s="17" t="str">
        <f aca="false">IF($P381="","",ROUNDDOWN($P381*$R381,0))</f>
        <v/>
      </c>
      <c r="T381" s="17" t="str">
        <f aca="false">IF($P381="","",$P381-$S381)</f>
        <v/>
      </c>
      <c r="U381" s="17" t="str">
        <f aca="false">IF($T381="","",IF($B$10=0,"",$T381/$B$10))</f>
        <v/>
      </c>
      <c r="V381" s="17" t="str">
        <f aca="false">IF($P381="","",IF($B$10=0,"",$P381/$B$10))</f>
        <v/>
      </c>
      <c r="W381" s="19" t="n">
        <f aca="false">IF($T381="",1000000000000000,$T381)</f>
        <v/>
      </c>
      <c r="XFB381" s="6"/>
      <c r="XFC381" s="3"/>
    </row>
    <row r="382" s="5" collapsed="false" customFormat="true" customHeight="true" hidden="false" ht="28.5" outlineLevel="0">
      <c r="A382" s="16" t="str">
        <f aca="false">IF($T382="","",1+COUNTIF($W$15:$W$894,"&lt;"&amp;W382))</f>
        <v/>
      </c>
      <c r="B382" s="16" t="s">
        <v>6</v>
      </c>
      <c r="C382" s="16" t="s">
        <v>530</v>
      </c>
      <c r="D382" s="16" t="s">
        <v>45</v>
      </c>
      <c r="E382" s="16" t="s">
        <v>26</v>
      </c>
      <c r="F382" s="16" t="s">
        <v>531</v>
      </c>
      <c r="G382" s="17">
        <v>1812</v>
      </c>
      <c r="H382" s="17"/>
      <c r="I382" s="17"/>
      <c r="J382" s="17">
        <v>1782</v>
      </c>
      <c r="K382" s="17" t="n">
        <f aca="false">IF(AND(IFERROR(SEARCH("현대오일뱅크",$C382),0)&gt;0,IFERROR(SEARCH("직영",$C382),0)&gt;0),$B$13,0)</f>
        <v/>
      </c>
      <c r="L382" s="17" t="n">
        <f aca="false">IF($G382="","",$G382+$K382)</f>
        <v/>
      </c>
      <c r="M382" s="17" t="str">
        <f aca="false">IF($H382="","",$H382+$K382)</f>
        <v/>
      </c>
      <c r="N382" s="17" t="n">
        <f aca="false">IF($J382="","",$J382+$K382)</f>
        <v/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 t="str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 t="str">
        <f aca="false">IF($P382="","",IF($Q382="Y",IFERROR(VLOOKUP($B382,$C$4:$D$13,2,FALSE()),0),0))</f>
        <v/>
      </c>
      <c r="S382" s="17" t="str">
        <f aca="false">IF($P382="","",ROUNDDOWN($P382*$R382,0))</f>
        <v/>
      </c>
      <c r="T382" s="17" t="str">
        <f aca="false">IF($P382="","",$P382-$S382)</f>
        <v/>
      </c>
      <c r="U382" s="17" t="str">
        <f aca="false">IF($T382="","",IF($B$10=0,"",$T382/$B$10))</f>
        <v/>
      </c>
      <c r="V382" s="17" t="str">
        <f aca="false">IF($P382="","",IF($B$10=0,"",$P382/$B$10))</f>
        <v/>
      </c>
      <c r="W382" s="19" t="n">
        <f aca="false">IF($T382="",1000000000000000,$T382)</f>
        <v/>
      </c>
      <c r="XFB382" s="6"/>
      <c r="XFC382" s="3"/>
    </row>
    <row r="383" s="5" collapsed="false" customFormat="true" customHeight="true" hidden="false" ht="28.5" outlineLevel="0">
      <c r="A383" s="16" t="str">
        <f aca="false">IF($T383="","",1+COUNTIF($W$15:$W$894,"&lt;"&amp;W383))</f>
        <v/>
      </c>
      <c r="B383" s="16" t="s">
        <v>6</v>
      </c>
      <c r="C383" s="16" t="s">
        <v>780</v>
      </c>
      <c r="D383" s="16" t="s">
        <v>45</v>
      </c>
      <c r="E383" s="16" t="s">
        <v>26</v>
      </c>
      <c r="F383" s="16" t="s">
        <v>781</v>
      </c>
      <c r="G383" s="17">
        <v>1815</v>
      </c>
      <c r="H383" s="17"/>
      <c r="I383" s="17"/>
      <c r="J383" s="17">
        <v>1799</v>
      </c>
      <c r="K383" s="17" t="n">
        <f aca="false">IF(AND(IFERROR(SEARCH("현대오일뱅크",$C383),0)&gt;0,IFERROR(SEARCH("직영",$C383),0)&gt;0),$B$13,0)</f>
        <v/>
      </c>
      <c r="L383" s="17" t="n">
        <f aca="false">IF($G383="","",$G383+$K383)</f>
        <v/>
      </c>
      <c r="M383" s="17" t="str">
        <f aca="false">IF($H383="","",$H383+$K383)</f>
        <v/>
      </c>
      <c r="N383" s="17" t="n">
        <f aca="false">IF($J383="","",$J383+$K383)</f>
        <v/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 t="str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 t="str">
        <f aca="false">IF($P383="","",IF($Q383="Y",IFERROR(VLOOKUP($B383,$C$4:$D$13,2,FALSE()),0),0))</f>
        <v/>
      </c>
      <c r="S383" s="17" t="str">
        <f aca="false">IF($P383="","",ROUNDDOWN($P383*$R383,0))</f>
        <v/>
      </c>
      <c r="T383" s="17" t="str">
        <f aca="false">IF($P383="","",$P383-$S383)</f>
        <v/>
      </c>
      <c r="U383" s="17" t="str">
        <f aca="false">IF($T383="","",IF($B$10=0,"",$T383/$B$10))</f>
        <v/>
      </c>
      <c r="V383" s="17" t="str">
        <f aca="false">IF($P383="","",IF($B$10=0,"",$P383/$B$10))</f>
        <v/>
      </c>
      <c r="W383" s="19" t="n">
        <f aca="false">IF($T383="",1000000000000000,$T383)</f>
        <v/>
      </c>
      <c r="XFB383" s="6"/>
      <c r="XFC383" s="3"/>
    </row>
    <row r="384" s="5" collapsed="false" customFormat="true" customHeight="true" hidden="false" ht="28.5" outlineLevel="0">
      <c r="A384" s="16" t="str">
        <f aca="false">IF($T384="","",1+COUNTIF($W$15:$W$894,"&lt;"&amp;W384))</f>
        <v/>
      </c>
      <c r="B384" s="16" t="s">
        <v>10</v>
      </c>
      <c r="C384" s="16" t="s">
        <v>782</v>
      </c>
      <c r="D384" s="16" t="s">
        <v>51</v>
      </c>
      <c r="E384" s="16" t="s">
        <v>26</v>
      </c>
      <c r="F384" s="16" t="s">
        <v>783</v>
      </c>
      <c r="G384" s="17">
        <v>1817</v>
      </c>
      <c r="H384" s="17"/>
      <c r="I384" s="17"/>
      <c r="J384" s="17">
        <v>1817</v>
      </c>
      <c r="K384" s="17" t="n">
        <f aca="false">IF(AND(IFERROR(SEARCH("현대오일뱅크",$C384),0)&gt;0,IFERROR(SEARCH("직영",$C384),0)&gt;0),$B$13,0)</f>
        <v/>
      </c>
      <c r="L384" s="17" t="n">
        <f aca="false">IF($G384="","",$G384+$K384)</f>
        <v/>
      </c>
      <c r="M384" s="17" t="str">
        <f aca="false">IF($H384="","",$H384+$K384)</f>
        <v/>
      </c>
      <c r="N384" s="17" t="n">
        <f aca="false">IF($J384="","",$J384+$K384)</f>
        <v/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 t="str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 t="str">
        <f aca="false">IF($P384="","",IF($Q384="Y",IFERROR(VLOOKUP($B384,$C$4:$D$13,2,FALSE()),0),0))</f>
        <v/>
      </c>
      <c r="S384" s="17" t="str">
        <f aca="false">IF($P384="","",ROUNDDOWN($P384*$R384,0))</f>
        <v/>
      </c>
      <c r="T384" s="17" t="str">
        <f aca="false">IF($P384="","",$P384-$S384)</f>
        <v/>
      </c>
      <c r="U384" s="17" t="str">
        <f aca="false">IF($T384="","",IF($B$10=0,"",$T384/$B$10))</f>
        <v/>
      </c>
      <c r="V384" s="17" t="str">
        <f aca="false">IF($P384="","",IF($B$10=0,"",$P384/$B$10))</f>
        <v/>
      </c>
      <c r="W384" s="19" t="n">
        <f aca="false">IF($T384="",1000000000000000,$T384)</f>
        <v/>
      </c>
      <c r="XFB384" s="6"/>
      <c r="XFC384" s="3"/>
    </row>
    <row r="385" s="5" collapsed="false" customFormat="true" customHeight="true" hidden="false" ht="28.5" outlineLevel="0">
      <c r="A385" s="16" t="str">
        <f aca="false">IF($T385="","",1+COUNTIF($W$15:$W$894,"&lt;"&amp;W385))</f>
        <v/>
      </c>
      <c r="B385" s="16" t="s">
        <v>16</v>
      </c>
      <c r="C385" s="16" t="s">
        <v>784</v>
      </c>
      <c r="D385" s="16" t="s">
        <v>45</v>
      </c>
      <c r="E385" s="16" t="s">
        <v>63</v>
      </c>
      <c r="F385" s="16" t="s">
        <v>785</v>
      </c>
      <c r="G385" s="17">
        <v>1859</v>
      </c>
      <c r="H385" s="17"/>
      <c r="I385" s="17"/>
      <c r="J385" s="17">
        <v>1959</v>
      </c>
      <c r="K385" s="17" t="n">
        <f aca="false">IF(AND(IFERROR(SEARCH("현대오일뱅크",$C385),0)&gt;0,IFERROR(SEARCH("직영",$C385),0)&gt;0),$B$13,0)</f>
        <v/>
      </c>
      <c r="L385" s="17" t="n">
        <f aca="false">IF($G385="","",$G385+$K385)</f>
        <v/>
      </c>
      <c r="M385" s="17" t="str">
        <f aca="false">IF($H385="","",$H385+$K385)</f>
        <v/>
      </c>
      <c r="N385" s="17" t="n">
        <f aca="false">IF($J385="","",$J385+$K385)</f>
        <v/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 t="str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 t="str">
        <f aca="false">IF($P385="","",IF($Q385="Y",IFERROR(VLOOKUP($B385,$C$4:$D$13,2,FALSE()),0),0))</f>
        <v/>
      </c>
      <c r="S385" s="17" t="str">
        <f aca="false">IF($P385="","",ROUNDDOWN($P385*$R385,0))</f>
        <v/>
      </c>
      <c r="T385" s="17" t="str">
        <f aca="false">IF($P385="","",$P385-$S385)</f>
        <v/>
      </c>
      <c r="U385" s="17" t="str">
        <f aca="false">IF($T385="","",IF($B$10=0,"",$T385/$B$10))</f>
        <v/>
      </c>
      <c r="V385" s="17" t="str">
        <f aca="false">IF($P385="","",IF($B$10=0,"",$P385/$B$10))</f>
        <v/>
      </c>
      <c r="W385" s="19" t="n">
        <f aca="false">IF($T385="",1000000000000000,$T385)</f>
        <v/>
      </c>
      <c r="XFB385" s="6"/>
      <c r="XFC385" s="3"/>
    </row>
    <row r="386" s="5" collapsed="false" customFormat="true" customHeight="true" hidden="false" ht="28.5" outlineLevel="0">
      <c r="A386" s="16" t="str">
        <f aca="false">IF($T386="","",1+COUNTIF($W$15:$W$894,"&lt;"&amp;W386))</f>
        <v/>
      </c>
      <c r="B386" s="16" t="s">
        <v>14</v>
      </c>
      <c r="C386" s="16" t="s">
        <v>786</v>
      </c>
      <c r="D386" s="16" t="s">
        <v>95</v>
      </c>
      <c r="E386" s="16" t="s">
        <v>63</v>
      </c>
      <c r="F386" s="16" t="s">
        <v>787</v>
      </c>
      <c r="G386" s="17">
        <v>1839</v>
      </c>
      <c r="H386" s="17"/>
      <c r="I386" s="17"/>
      <c r="J386" s="17">
        <v>1829</v>
      </c>
      <c r="K386" s="17" t="n">
        <f aca="false">IF(AND(IFERROR(SEARCH("현대오일뱅크",$C386),0)&gt;0,IFERROR(SEARCH("직영",$C386),0)&gt;0),$B$13,0)</f>
        <v/>
      </c>
      <c r="L386" s="17" t="n">
        <f aca="false">IF($G386="","",$G386+$K386)</f>
        <v/>
      </c>
      <c r="M386" s="17" t="str">
        <f aca="false">IF($H386="","",$H386+$K386)</f>
        <v/>
      </c>
      <c r="N386" s="17" t="n">
        <f aca="false">IF($J386="","",$J386+$K386)</f>
        <v/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 t="str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 t="str">
        <f aca="false">IF($P386="","",IF($Q386="Y",IFERROR(VLOOKUP($B386,$C$4:$D$13,2,FALSE()),0),0))</f>
        <v/>
      </c>
      <c r="S386" s="17" t="str">
        <f aca="false">IF($P386="","",ROUNDDOWN($P386*$R386,0))</f>
        <v/>
      </c>
      <c r="T386" s="17" t="str">
        <f aca="false">IF($P386="","",$P386-$S386)</f>
        <v/>
      </c>
      <c r="U386" s="17" t="str">
        <f aca="false">IF($T386="","",IF($B$10=0,"",$T386/$B$10))</f>
        <v/>
      </c>
      <c r="V386" s="17" t="str">
        <f aca="false">IF($P386="","",IF($B$10=0,"",$P386/$B$10))</f>
        <v/>
      </c>
      <c r="W386" s="19" t="n">
        <f aca="false">IF($T386="",1000000000000000,$T386)</f>
        <v/>
      </c>
      <c r="XFB386" s="6"/>
      <c r="XFC386" s="3"/>
    </row>
    <row r="387" s="5" collapsed="false" customFormat="true" customHeight="true" hidden="false" ht="28.5" outlineLevel="0">
      <c r="A387" s="16" t="str">
        <f aca="false">IF($T387="","",1+COUNTIF($W$15:$W$894,"&lt;"&amp;W387))</f>
        <v/>
      </c>
      <c r="B387" s="16" t="s">
        <v>6</v>
      </c>
      <c r="C387" s="16" t="s">
        <v>794</v>
      </c>
      <c r="D387" s="16" t="s">
        <v>95</v>
      </c>
      <c r="E387" s="16" t="s">
        <v>26</v>
      </c>
      <c r="F387" s="16" t="s">
        <v>795</v>
      </c>
      <c r="G387" s="17">
        <v>1819</v>
      </c>
      <c r="H387" s="17"/>
      <c r="I387" s="17"/>
      <c r="J387" s="17">
        <v>1789</v>
      </c>
      <c r="K387" s="17" t="n">
        <f aca="false">IF(AND(IFERROR(SEARCH("현대오일뱅크",$C387),0)&gt;0,IFERROR(SEARCH("직영",$C387),0)&gt;0),$B$13,0)</f>
        <v/>
      </c>
      <c r="L387" s="17" t="n">
        <f aca="false">IF($G387="","",$G387+$K387)</f>
        <v/>
      </c>
      <c r="M387" s="17" t="str">
        <f aca="false">IF($H387="","",$H387+$K387)</f>
        <v/>
      </c>
      <c r="N387" s="17" t="n">
        <f aca="false">IF($J387="","",$J387+$K387)</f>
        <v/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 t="str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 t="str">
        <f aca="false">IF($P387="","",IF($Q387="Y",IFERROR(VLOOKUP($B387,$C$4:$D$13,2,FALSE()),0),0))</f>
        <v/>
      </c>
      <c r="S387" s="17" t="str">
        <f aca="false">IF($P387="","",ROUNDDOWN($P387*$R387,0))</f>
        <v/>
      </c>
      <c r="T387" s="17" t="str">
        <f aca="false">IF($P387="","",$P387-$S387)</f>
        <v/>
      </c>
      <c r="U387" s="17" t="str">
        <f aca="false">IF($T387="","",IF($B$10=0,"",$T387/$B$10))</f>
        <v/>
      </c>
      <c r="V387" s="17" t="str">
        <f aca="false">IF($P387="","",IF($B$10=0,"",$P387/$B$10))</f>
        <v/>
      </c>
      <c r="W387" s="19" t="n">
        <f aca="false">IF($T387="",1000000000000000,$T387)</f>
        <v/>
      </c>
      <c r="XFB387" s="6"/>
      <c r="XFC387" s="3"/>
    </row>
    <row r="388" s="5" collapsed="false" customFormat="true" customHeight="true" hidden="false" ht="28.5" outlineLevel="0">
      <c r="A388" s="16" t="str">
        <f aca="false">IF($T388="","",1+COUNTIF($W$15:$W$894,"&lt;"&amp;W388))</f>
        <v/>
      </c>
      <c r="B388" s="16" t="s">
        <v>10</v>
      </c>
      <c r="C388" s="16" t="s">
        <v>790</v>
      </c>
      <c r="D388" s="16" t="s">
        <v>95</v>
      </c>
      <c r="E388" s="16" t="s">
        <v>63</v>
      </c>
      <c r="F388" s="16" t="s">
        <v>791</v>
      </c>
      <c r="G388" s="17">
        <v>1819</v>
      </c>
      <c r="H388" s="17"/>
      <c r="I388" s="17"/>
      <c r="J388" s="17">
        <v>1808</v>
      </c>
      <c r="K388" s="17" t="n">
        <f aca="false">IF(AND(IFERROR(SEARCH("현대오일뱅크",$C388),0)&gt;0,IFERROR(SEARCH("직영",$C388),0)&gt;0),$B$13,0)</f>
        <v/>
      </c>
      <c r="L388" s="17" t="n">
        <f aca="false">IF($G388="","",$G388+$K388)</f>
        <v/>
      </c>
      <c r="M388" s="17" t="str">
        <f aca="false">IF($H388="","",$H388+$K388)</f>
        <v/>
      </c>
      <c r="N388" s="17" t="n">
        <f aca="false">IF($J388="","",$J388+$K388)</f>
        <v/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 t="str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 t="str">
        <f aca="false">IF($P388="","",IF($Q388="Y",IFERROR(VLOOKUP($B388,$C$4:$D$13,2,FALSE()),0),0))</f>
        <v/>
      </c>
      <c r="S388" s="17" t="str">
        <f aca="false">IF($P388="","",ROUNDDOWN($P388*$R388,0))</f>
        <v/>
      </c>
      <c r="T388" s="17" t="str">
        <f aca="false">IF($P388="","",$P388-$S388)</f>
        <v/>
      </c>
      <c r="U388" s="17" t="str">
        <f aca="false">IF($T388="","",IF($B$10=0,"",$T388/$B$10))</f>
        <v/>
      </c>
      <c r="V388" s="17" t="str">
        <f aca="false">IF($P388="","",IF($B$10=0,"",$P388/$B$10))</f>
        <v/>
      </c>
      <c r="W388" s="19" t="n">
        <f aca="false">IF($T388="",1000000000000000,$T388)</f>
        <v/>
      </c>
      <c r="XFB388" s="6"/>
      <c r="XFC388" s="3"/>
    </row>
    <row r="389" s="5" collapsed="false" customFormat="true" customHeight="true" hidden="false" ht="28.5" outlineLevel="0">
      <c r="A389" s="16" t="str">
        <f aca="false">IF($T389="","",1+COUNTIF($W$15:$W$894,"&lt;"&amp;W389))</f>
        <v/>
      </c>
      <c r="B389" s="16" t="s">
        <v>6</v>
      </c>
      <c r="C389" s="16" t="s">
        <v>792</v>
      </c>
      <c r="D389" s="16" t="s">
        <v>95</v>
      </c>
      <c r="E389" s="16" t="s">
        <v>26</v>
      </c>
      <c r="F389" s="16" t="s">
        <v>793</v>
      </c>
      <c r="G389" s="17">
        <v>1819</v>
      </c>
      <c r="H389" s="17"/>
      <c r="I389" s="17"/>
      <c r="J389" s="17">
        <v>1809</v>
      </c>
      <c r="K389" s="17" t="n">
        <f aca="false">IF(AND(IFERROR(SEARCH("현대오일뱅크",$C389),0)&gt;0,IFERROR(SEARCH("직영",$C389),0)&gt;0),$B$13,0)</f>
        <v/>
      </c>
      <c r="L389" s="17" t="n">
        <f aca="false">IF($G389="","",$G389+$K389)</f>
        <v/>
      </c>
      <c r="M389" s="17" t="str">
        <f aca="false">IF($H389="","",$H389+$K389)</f>
        <v/>
      </c>
      <c r="N389" s="17" t="n">
        <f aca="false">IF($J389="","",$J389+$K389)</f>
        <v/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 t="str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 t="str">
        <f aca="false">IF($P389="","",IF($Q389="Y",IFERROR(VLOOKUP($B389,$C$4:$D$13,2,FALSE()),0),0))</f>
        <v/>
      </c>
      <c r="S389" s="17" t="str">
        <f aca="false">IF($P389="","",ROUNDDOWN($P389*$R389,0))</f>
        <v/>
      </c>
      <c r="T389" s="17" t="str">
        <f aca="false">IF($P389="","",$P389-$S389)</f>
        <v/>
      </c>
      <c r="U389" s="17" t="str">
        <f aca="false">IF($T389="","",IF($B$10=0,"",$T389/$B$10))</f>
        <v/>
      </c>
      <c r="V389" s="17" t="str">
        <f aca="false">IF($P389="","",IF($B$10=0,"",$P389/$B$10))</f>
        <v/>
      </c>
      <c r="W389" s="19" t="n">
        <f aca="false">IF($T389="",1000000000000000,$T389)</f>
        <v/>
      </c>
      <c r="XFB389" s="6"/>
      <c r="XFC389" s="3"/>
    </row>
    <row r="390" s="5" collapsed="false" customFormat="true" customHeight="true" hidden="false" ht="28.5" outlineLevel="0">
      <c r="A390" s="16" t="str">
        <f aca="false">IF($T390="","",1+COUNTIF($W$15:$W$894,"&lt;"&amp;W390))</f>
        <v/>
      </c>
      <c r="B390" s="16" t="s">
        <v>12</v>
      </c>
      <c r="C390" s="16" t="s">
        <v>898</v>
      </c>
      <c r="D390" s="20" t="s">
        <v>45</v>
      </c>
      <c r="E390" s="16" t="s">
        <v>26</v>
      </c>
      <c r="F390" s="16" t="s">
        <v>899</v>
      </c>
      <c r="G390" s="17">
        <v>1819</v>
      </c>
      <c r="H390" s="17"/>
      <c r="I390" s="17"/>
      <c r="J390" s="17">
        <v>1809</v>
      </c>
      <c r="K390" s="17" t="n">
        <f aca="false">IF(AND(IFERROR(SEARCH("현대오일뱅크",$C390),0)&gt;0,IFERROR(SEARCH("직영",$C390),0)&gt;0),$B$13,0)</f>
        <v/>
      </c>
      <c r="L390" s="17" t="n">
        <f aca="false">IF($G390="","",$G390+$K390)</f>
        <v/>
      </c>
      <c r="M390" s="17" t="str">
        <f aca="false">IF($H390="","",$H390+$K390)</f>
        <v/>
      </c>
      <c r="N390" s="17" t="n">
        <f aca="false">IF($J390="","",$J390+$K390)</f>
        <v/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 t="str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 t="str">
        <f aca="false">IF($P390="","",IF($Q390="Y",IFERROR(VLOOKUP($B390,$C$4:$D$13,2,FALSE()),0),0))</f>
        <v/>
      </c>
      <c r="S390" s="17" t="str">
        <f aca="false">IF($P390="","",ROUNDDOWN($P390*$R390,0))</f>
        <v/>
      </c>
      <c r="T390" s="17" t="str">
        <f aca="false">IF($P390="","",$P390-$S390)</f>
        <v/>
      </c>
      <c r="U390" s="17" t="str">
        <f aca="false">IF($T390="","",IF($B$10=0,"",$T390/$B$10))</f>
        <v/>
      </c>
      <c r="V390" s="17" t="str">
        <f aca="false">IF($P390="","",IF($B$10=0,"",$P390/$B$10))</f>
        <v/>
      </c>
      <c r="W390" s="19" t="n">
        <f aca="false">IF($T390="",1000000000000000,$T390)</f>
        <v/>
      </c>
      <c r="XFB390" s="6"/>
      <c r="XFC390" s="3"/>
    </row>
    <row r="391" s="5" collapsed="false" customFormat="true" customHeight="true" hidden="false" ht="28.5" outlineLevel="0">
      <c r="A391" s="16" t="str">
        <f aca="false">IF($T391="","",1+COUNTIF($W$15:$W$894,"&lt;"&amp;W391))</f>
        <v/>
      </c>
      <c r="B391" s="16" t="s">
        <v>8</v>
      </c>
      <c r="C391" s="16" t="s">
        <v>833</v>
      </c>
      <c r="D391" s="16" t="s">
        <v>45</v>
      </c>
      <c r="E391" s="16" t="s">
        <v>26</v>
      </c>
      <c r="F391" s="16" t="s">
        <v>834</v>
      </c>
      <c r="G391" s="17">
        <v>1819</v>
      </c>
      <c r="H391" s="17"/>
      <c r="I391" s="17"/>
      <c r="J391" s="17">
        <v>1829</v>
      </c>
      <c r="K391" s="17" t="n">
        <f aca="false">IF(AND(IFERROR(SEARCH("현대오일뱅크",$C391),0)&gt;0,IFERROR(SEARCH("직영",$C391),0)&gt;0),$B$13,0)</f>
        <v/>
      </c>
      <c r="L391" s="17" t="n">
        <f aca="false">IF($G391="","",$G391+$K391)</f>
        <v/>
      </c>
      <c r="M391" s="17" t="str">
        <f aca="false">IF($H391="","",$H391+$K391)</f>
        <v/>
      </c>
      <c r="N391" s="17" t="n">
        <f aca="false">IF($J391="","",$J391+$K391)</f>
        <v/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 t="str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 t="str">
        <f aca="false">IF($P391="","",IF($Q391="Y",IFERROR(VLOOKUP($B391,$C$4:$D$13,2,FALSE()),0),0))</f>
        <v/>
      </c>
      <c r="S391" s="17" t="str">
        <f aca="false">IF($P391="","",ROUNDDOWN($P391*$R391,0))</f>
        <v/>
      </c>
      <c r="T391" s="17" t="str">
        <f aca="false">IF($P391="","",$P391-$S391)</f>
        <v/>
      </c>
      <c r="U391" s="17" t="str">
        <f aca="false">IF($T391="","",IF($B$10=0,"",$T391/$B$10))</f>
        <v/>
      </c>
      <c r="V391" s="17" t="str">
        <f aca="false">IF($P391="","",IF($B$10=0,"",$P391/$B$10))</f>
        <v/>
      </c>
      <c r="W391" s="19" t="n">
        <f aca="false">IF($T391="",1000000000000000,$T391)</f>
        <v/>
      </c>
      <c r="XFB391" s="6"/>
      <c r="XFC391" s="3"/>
    </row>
    <row r="392" s="5" collapsed="false" customFormat="true" customHeight="true" hidden="false" ht="28.5" outlineLevel="0">
      <c r="A392" s="16" t="str">
        <f aca="false">IF($T392="","",1+COUNTIF($W$15:$W$894,"&lt;"&amp;W392))</f>
        <v/>
      </c>
      <c r="B392" s="16" t="s">
        <v>6</v>
      </c>
      <c r="C392" s="16" t="s">
        <v>796</v>
      </c>
      <c r="D392" s="16" t="s">
        <v>95</v>
      </c>
      <c r="E392" s="16" t="s">
        <v>26</v>
      </c>
      <c r="F392" s="16" t="s">
        <v>797</v>
      </c>
      <c r="G392" s="17">
        <v>1819</v>
      </c>
      <c r="H392" s="17"/>
      <c r="I392" s="17"/>
      <c r="J392" s="17">
        <v>1849</v>
      </c>
      <c r="K392" s="17" t="n">
        <f aca="false">IF(AND(IFERROR(SEARCH("현대오일뱅크",$C392),0)&gt;0,IFERROR(SEARCH("직영",$C392),0)&gt;0),$B$13,0)</f>
        <v/>
      </c>
      <c r="L392" s="17" t="n">
        <f aca="false">IF($G392="","",$G392+$K392)</f>
        <v/>
      </c>
      <c r="M392" s="17" t="str">
        <f aca="false">IF($H392="","",$H392+$K392)</f>
        <v/>
      </c>
      <c r="N392" s="17" t="n">
        <f aca="false">IF($J392="","",$J392+$K392)</f>
        <v/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 t="str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 t="str">
        <f aca="false">IF($P392="","",IF($Q392="Y",IFERROR(VLOOKUP($B392,$C$4:$D$13,2,FALSE()),0),0))</f>
        <v/>
      </c>
      <c r="S392" s="17" t="str">
        <f aca="false">IF($P392="","",ROUNDDOWN($P392*$R392,0))</f>
        <v/>
      </c>
      <c r="T392" s="17" t="str">
        <f aca="false">IF($P392="","",$P392-$S392)</f>
        <v/>
      </c>
      <c r="U392" s="17" t="str">
        <f aca="false">IF($T392="","",IF($B$10=0,"",$T392/$B$10))</f>
        <v/>
      </c>
      <c r="V392" s="17" t="str">
        <f aca="false">IF($P392="","",IF($B$10=0,"",$P392/$B$10))</f>
        <v/>
      </c>
      <c r="W392" s="19" t="n">
        <f aca="false">IF($T392="",1000000000000000,$T392)</f>
        <v/>
      </c>
      <c r="XFB392" s="6"/>
      <c r="XFC392" s="3"/>
    </row>
    <row r="393" s="5" collapsed="false" customFormat="true" customHeight="true" hidden="false" ht="28.5" outlineLevel="0">
      <c r="A393" s="16" t="str">
        <f aca="false">IF($T393="","",1+COUNTIF($W$15:$W$894,"&lt;"&amp;W393))</f>
        <v/>
      </c>
      <c r="B393" s="16" t="s">
        <v>6</v>
      </c>
      <c r="C393" s="16" t="s">
        <v>798</v>
      </c>
      <c r="D393" s="16" t="s">
        <v>393</v>
      </c>
      <c r="E393" s="16" t="s">
        <v>26</v>
      </c>
      <c r="F393" s="16" t="s">
        <v>799</v>
      </c>
      <c r="G393" s="17">
        <v>1820</v>
      </c>
      <c r="H393" s="17"/>
      <c r="I393" s="17"/>
      <c r="J393" s="17">
        <v>1799</v>
      </c>
      <c r="K393" s="17" t="n">
        <f aca="false">IF(AND(IFERROR(SEARCH("현대오일뱅크",$C393),0)&gt;0,IFERROR(SEARCH("직영",$C393),0)&gt;0),$B$13,0)</f>
        <v/>
      </c>
      <c r="L393" s="17" t="n">
        <f aca="false">IF($G393="","",$G393+$K393)</f>
        <v/>
      </c>
      <c r="M393" s="17" t="str">
        <f aca="false">IF($H393="","",$H393+$K393)</f>
        <v/>
      </c>
      <c r="N393" s="17" t="n">
        <f aca="false">IF($J393="","",$J393+$K393)</f>
        <v/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 t="str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 t="str">
        <f aca="false">IF($P393="","",IF($Q393="Y",IFERROR(VLOOKUP($B393,$C$4:$D$13,2,FALSE()),0),0))</f>
        <v/>
      </c>
      <c r="S393" s="17" t="str">
        <f aca="false">IF($P393="","",ROUNDDOWN($P393*$R393,0))</f>
        <v/>
      </c>
      <c r="T393" s="17" t="str">
        <f aca="false">IF($P393="","",$P393-$S393)</f>
        <v/>
      </c>
      <c r="U393" s="17" t="str">
        <f aca="false">IF($T393="","",IF($B$10=0,"",$T393/$B$10))</f>
        <v/>
      </c>
      <c r="V393" s="17" t="str">
        <f aca="false">IF($P393="","",IF($B$10=0,"",$P393/$B$10))</f>
        <v/>
      </c>
      <c r="W393" s="19" t="n">
        <f aca="false">IF($T393="",1000000000000000,$T393)</f>
        <v/>
      </c>
      <c r="XFB393" s="6"/>
      <c r="XFC393" s="3"/>
    </row>
    <row r="394" s="5" collapsed="false" customFormat="true" customHeight="true" hidden="false" ht="28.5" outlineLevel="0">
      <c r="A394" s="16" t="str">
        <f aca="false">IF($T394="","",1+COUNTIF($W$15:$W$894,"&lt;"&amp;W394))</f>
        <v/>
      </c>
      <c r="B394" s="16" t="s">
        <v>8</v>
      </c>
      <c r="C394" s="16" t="s">
        <v>800</v>
      </c>
      <c r="D394" s="20" t="s">
        <v>86</v>
      </c>
      <c r="E394" s="16" t="s">
        <v>63</v>
      </c>
      <c r="F394" s="16" t="s">
        <v>801</v>
      </c>
      <c r="G394" s="17">
        <v>1820</v>
      </c>
      <c r="H394" s="17"/>
      <c r="I394" s="17"/>
      <c r="J394" s="17">
        <v>1805</v>
      </c>
      <c r="K394" s="17" t="n">
        <f aca="false">IF(AND(IFERROR(SEARCH("현대오일뱅크",$C394),0)&gt;0,IFERROR(SEARCH("직영",$C394),0)&gt;0),$B$13,0)</f>
        <v/>
      </c>
      <c r="L394" s="17" t="n">
        <f aca="false">IF($G394="","",$G394+$K394)</f>
        <v/>
      </c>
      <c r="M394" s="17" t="str">
        <f aca="false">IF($H394="","",$H394+$K394)</f>
        <v/>
      </c>
      <c r="N394" s="17" t="n">
        <f aca="false">IF($J394="","",$J394+$K394)</f>
        <v/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 t="str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 t="str">
        <f aca="false">IF($P394="","",IF($Q394="Y",IFERROR(VLOOKUP($B394,$C$4:$D$13,2,FALSE()),0),0))</f>
        <v/>
      </c>
      <c r="S394" s="17" t="str">
        <f aca="false">IF($P394="","",ROUNDDOWN($P394*$R394,0))</f>
        <v/>
      </c>
      <c r="T394" s="17" t="str">
        <f aca="false">IF($P394="","",$P394-$S394)</f>
        <v/>
      </c>
      <c r="U394" s="17" t="str">
        <f aca="false">IF($T394="","",IF($B$10=0,"",$T394/$B$10))</f>
        <v/>
      </c>
      <c r="V394" s="17" t="str">
        <f aca="false">IF($P394="","",IF($B$10=0,"",$P394/$B$10))</f>
        <v/>
      </c>
      <c r="W394" s="19" t="n">
        <f aca="false">IF($T394="",1000000000000000,$T394)</f>
        <v/>
      </c>
      <c r="XFB394" s="6"/>
      <c r="XFC394" s="3"/>
    </row>
    <row r="395" s="5" collapsed="false" customFormat="true" customHeight="true" hidden="false" ht="28.5" outlineLevel="0">
      <c r="A395" s="16" t="str">
        <f aca="false">IF($T395="","",1+COUNTIF($W$15:$W$894,"&lt;"&amp;W395))</f>
        <v/>
      </c>
      <c r="B395" s="16" t="s">
        <v>8</v>
      </c>
      <c r="C395" s="16" t="s">
        <v>804</v>
      </c>
      <c r="D395" s="16" t="s">
        <v>95</v>
      </c>
      <c r="E395" s="16" t="s">
        <v>26</v>
      </c>
      <c r="F395" s="16" t="s">
        <v>805</v>
      </c>
      <c r="G395" s="17">
        <v>1823</v>
      </c>
      <c r="H395" s="17"/>
      <c r="I395" s="17"/>
      <c r="J395" s="17">
        <v>1825</v>
      </c>
      <c r="K395" s="17" t="n">
        <f aca="false">IF(AND(IFERROR(SEARCH("현대오일뱅크",$C395),0)&gt;0,IFERROR(SEARCH("직영",$C395),0)&gt;0),$B$13,0)</f>
        <v/>
      </c>
      <c r="L395" s="17" t="n">
        <f aca="false">IF($G395="","",$G395+$K395)</f>
        <v/>
      </c>
      <c r="M395" s="17" t="str">
        <f aca="false">IF($H395="","",$H395+$K395)</f>
        <v/>
      </c>
      <c r="N395" s="17" t="n">
        <f aca="false">IF($J395="","",$J395+$K395)</f>
        <v/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 t="str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 t="str">
        <f aca="false">IF($P395="","",IF($Q395="Y",IFERROR(VLOOKUP($B395,$C$4:$D$13,2,FALSE()),0),0))</f>
        <v/>
      </c>
      <c r="S395" s="17" t="str">
        <f aca="false">IF($P395="","",ROUNDDOWN($P395*$R395,0))</f>
        <v/>
      </c>
      <c r="T395" s="17" t="str">
        <f aca="false">IF($P395="","",$P395-$S395)</f>
        <v/>
      </c>
      <c r="U395" s="17" t="str">
        <f aca="false">IF($T395="","",IF($B$10=0,"",$T395/$B$10))</f>
        <v/>
      </c>
      <c r="V395" s="17" t="str">
        <f aca="false">IF($P395="","",IF($B$10=0,"",$P395/$B$10))</f>
        <v/>
      </c>
      <c r="W395" s="19" t="n">
        <f aca="false">IF($T395="",1000000000000000,$T395)</f>
        <v/>
      </c>
      <c r="XFB395" s="6"/>
      <c r="XFC395" s="3"/>
    </row>
    <row r="396" s="5" collapsed="false" customFormat="true" customHeight="true" hidden="false" ht="28.5" outlineLevel="0">
      <c r="A396" s="16" t="str">
        <f aca="false">IF($T396="","",1+COUNTIF($W$15:$W$894,"&lt;"&amp;W396))</f>
        <v/>
      </c>
      <c r="B396" s="16" t="s">
        <v>6</v>
      </c>
      <c r="C396" s="16" t="s">
        <v>806</v>
      </c>
      <c r="D396" s="16" t="s">
        <v>95</v>
      </c>
      <c r="E396" s="16" t="s">
        <v>26</v>
      </c>
      <c r="F396" s="16" t="s">
        <v>807</v>
      </c>
      <c r="G396" s="17">
        <v>1824</v>
      </c>
      <c r="H396" s="17"/>
      <c r="I396" s="17"/>
      <c r="J396" s="17">
        <v>1799</v>
      </c>
      <c r="K396" s="17" t="n">
        <f aca="false">IF(AND(IFERROR(SEARCH("현대오일뱅크",$C396),0)&gt;0,IFERROR(SEARCH("직영",$C396),0)&gt;0),$B$13,0)</f>
        <v/>
      </c>
      <c r="L396" s="17" t="n">
        <f aca="false">IF($G396="","",$G396+$K396)</f>
        <v/>
      </c>
      <c r="M396" s="17" t="str">
        <f aca="false">IF($H396="","",$H396+$K396)</f>
        <v/>
      </c>
      <c r="N396" s="17" t="n">
        <f aca="false">IF($J396="","",$J396+$K396)</f>
        <v/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 t="str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 t="str">
        <f aca="false">IF($P396="","",IF($Q396="Y",IFERROR(VLOOKUP($B396,$C$4:$D$13,2,FALSE()),0),0))</f>
        <v/>
      </c>
      <c r="S396" s="17" t="str">
        <f aca="false">IF($P396="","",ROUNDDOWN($P396*$R396,0))</f>
        <v/>
      </c>
      <c r="T396" s="17" t="str">
        <f aca="false">IF($P396="","",$P396-$S396)</f>
        <v/>
      </c>
      <c r="U396" s="17" t="str">
        <f aca="false">IF($T396="","",IF($B$10=0,"",$T396/$B$10))</f>
        <v/>
      </c>
      <c r="V396" s="17" t="str">
        <f aca="false">IF($P396="","",IF($B$10=0,"",$P396/$B$10))</f>
        <v/>
      </c>
      <c r="W396" s="19" t="n">
        <f aca="false">IF($T396="",1000000000000000,$T396)</f>
        <v/>
      </c>
      <c r="XFB396" s="6"/>
      <c r="XFC396" s="3"/>
    </row>
    <row r="397" s="5" collapsed="false" customFormat="true" customHeight="true" hidden="false" ht="28.5" outlineLevel="0">
      <c r="A397" s="16" t="str">
        <f aca="false">IF($T397="","",1+COUNTIF($W$15:$W$894,"&lt;"&amp;W397))</f>
        <v/>
      </c>
      <c r="B397" s="16" t="s">
        <v>6</v>
      </c>
      <c r="C397" s="16" t="s">
        <v>808</v>
      </c>
      <c r="D397" s="16" t="s">
        <v>45</v>
      </c>
      <c r="E397" s="16" t="s">
        <v>26</v>
      </c>
      <c r="F397" s="16" t="s">
        <v>809</v>
      </c>
      <c r="G397" s="17">
        <v>1824</v>
      </c>
      <c r="H397" s="17"/>
      <c r="I397" s="17"/>
      <c r="J397" s="17">
        <v>1814</v>
      </c>
      <c r="K397" s="17" t="n">
        <f aca="false">IF(AND(IFERROR(SEARCH("현대오일뱅크",$C397),0)&gt;0,IFERROR(SEARCH("직영",$C397),0)&gt;0),$B$13,0)</f>
        <v/>
      </c>
      <c r="L397" s="17" t="n">
        <f aca="false">IF($G397="","",$G397+$K397)</f>
        <v/>
      </c>
      <c r="M397" s="17" t="str">
        <f aca="false">IF($H397="","",$H397+$K397)</f>
        <v/>
      </c>
      <c r="N397" s="17" t="n">
        <f aca="false">IF($J397="","",$J397+$K397)</f>
        <v/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 t="str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 t="str">
        <f aca="false">IF($P397="","",IF($Q397="Y",IFERROR(VLOOKUP($B397,$C$4:$D$13,2,FALSE()),0),0))</f>
        <v/>
      </c>
      <c r="S397" s="17" t="str">
        <f aca="false">IF($P397="","",ROUNDDOWN($P397*$R397,0))</f>
        <v/>
      </c>
      <c r="T397" s="17" t="str">
        <f aca="false">IF($P397="","",$P397-$S397)</f>
        <v/>
      </c>
      <c r="U397" s="17" t="str">
        <f aca="false">IF($T397="","",IF($B$10=0,"",$T397/$B$10))</f>
        <v/>
      </c>
      <c r="V397" s="17" t="str">
        <f aca="false">IF($P397="","",IF($B$10=0,"",$P397/$B$10))</f>
        <v/>
      </c>
      <c r="W397" s="19" t="n">
        <f aca="false">IF($T397="",1000000000000000,$T397)</f>
        <v/>
      </c>
      <c r="XFB397" s="6"/>
      <c r="XFC397" s="3"/>
    </row>
    <row r="398" s="5" collapsed="false" customFormat="true" customHeight="true" hidden="false" ht="28.5" outlineLevel="0">
      <c r="A398" s="16" t="str">
        <f aca="false">IF($T398="","",1+COUNTIF($W$15:$W$894,"&lt;"&amp;W398))</f>
        <v/>
      </c>
      <c r="B398" s="16" t="s">
        <v>10</v>
      </c>
      <c r="C398" s="16" t="s">
        <v>810</v>
      </c>
      <c r="D398" s="20" t="s">
        <v>86</v>
      </c>
      <c r="E398" s="16" t="s">
        <v>26</v>
      </c>
      <c r="F398" s="16" t="s">
        <v>811</v>
      </c>
      <c r="G398" s="17">
        <v>1825</v>
      </c>
      <c r="H398" s="17"/>
      <c r="I398" s="17"/>
      <c r="J398" s="17">
        <v>1835</v>
      </c>
      <c r="K398" s="17" t="n">
        <f aca="false">IF(AND(IFERROR(SEARCH("현대오일뱅크",$C398),0)&gt;0,IFERROR(SEARCH("직영",$C398),0)&gt;0),$B$13,0)</f>
        <v/>
      </c>
      <c r="L398" s="17" t="n">
        <f aca="false">IF($G398="","",$G398+$K398)</f>
        <v/>
      </c>
      <c r="M398" s="17" t="str">
        <f aca="false">IF($H398="","",$H398+$K398)</f>
        <v/>
      </c>
      <c r="N398" s="17" t="n">
        <f aca="false">IF($J398="","",$J398+$K398)</f>
        <v/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 t="str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 t="str">
        <f aca="false">IF($P398="","",IF($Q398="Y",IFERROR(VLOOKUP($B398,$C$4:$D$13,2,FALSE()),0),0))</f>
        <v/>
      </c>
      <c r="S398" s="17" t="str">
        <f aca="false">IF($P398="","",ROUNDDOWN($P398*$R398,0))</f>
        <v/>
      </c>
      <c r="T398" s="17" t="str">
        <f aca="false">IF($P398="","",$P398-$S398)</f>
        <v/>
      </c>
      <c r="U398" s="17" t="str">
        <f aca="false">IF($T398="","",IF($B$10=0,"",$T398/$B$10))</f>
        <v/>
      </c>
      <c r="V398" s="17" t="str">
        <f aca="false">IF($P398="","",IF($B$10=0,"",$P398/$B$10))</f>
        <v/>
      </c>
      <c r="W398" s="19" t="n">
        <f aca="false">IF($T398="",1000000000000000,$T398)</f>
        <v/>
      </c>
      <c r="XFB398" s="6"/>
      <c r="XFC398" s="3"/>
    </row>
    <row r="399" s="5" collapsed="false" customFormat="true" customHeight="true" hidden="false" ht="28.5" outlineLevel="0">
      <c r="A399" s="16" t="str">
        <f aca="false">IF($T399="","",1+COUNTIF($W$15:$W$894,"&lt;"&amp;W399))</f>
        <v/>
      </c>
      <c r="B399" s="16" t="s">
        <v>8</v>
      </c>
      <c r="C399" s="16" t="s">
        <v>812</v>
      </c>
      <c r="D399" s="16" t="s">
        <v>51</v>
      </c>
      <c r="E399" s="16" t="s">
        <v>26</v>
      </c>
      <c r="F399" s="16" t="s">
        <v>813</v>
      </c>
      <c r="G399" s="17">
        <v>1827</v>
      </c>
      <c r="H399" s="17"/>
      <c r="I399" s="17"/>
      <c r="J399" s="17">
        <v>1817</v>
      </c>
      <c r="K399" s="17" t="n">
        <f aca="false">IF(AND(IFERROR(SEARCH("현대오일뱅크",$C399),0)&gt;0,IFERROR(SEARCH("직영",$C399),0)&gt;0),$B$13,0)</f>
        <v/>
      </c>
      <c r="L399" s="17" t="n">
        <f aca="false">IF($G399="","",$G399+$K399)</f>
        <v/>
      </c>
      <c r="M399" s="17" t="str">
        <f aca="false">IF($H399="","",$H399+$K399)</f>
        <v/>
      </c>
      <c r="N399" s="17" t="n">
        <f aca="false">IF($J399="","",$J399+$K399)</f>
        <v/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 t="str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 t="str">
        <f aca="false">IF($P399="","",IF($Q399="Y",IFERROR(VLOOKUP($B399,$C$4:$D$13,2,FALSE()),0),0))</f>
        <v/>
      </c>
      <c r="S399" s="17" t="str">
        <f aca="false">IF($P399="","",ROUNDDOWN($P399*$R399,0))</f>
        <v/>
      </c>
      <c r="T399" s="17" t="str">
        <f aca="false">IF($P399="","",$P399-$S399)</f>
        <v/>
      </c>
      <c r="U399" s="17" t="str">
        <f aca="false">IF($T399="","",IF($B$10=0,"",$T399/$B$10))</f>
        <v/>
      </c>
      <c r="V399" s="17" t="str">
        <f aca="false">IF($P399="","",IF($B$10=0,"",$P399/$B$10))</f>
        <v/>
      </c>
      <c r="W399" s="19" t="n">
        <f aca="false">IF($T399="",1000000000000000,$T399)</f>
        <v/>
      </c>
      <c r="XFB399" s="6"/>
      <c r="XFC399" s="3"/>
    </row>
    <row r="400" s="5" collapsed="false" customFormat="true" customHeight="true" hidden="false" ht="28.5" outlineLevel="0">
      <c r="A400" s="16" t="str">
        <f aca="false">IF($T400="","",1+COUNTIF($W$15:$W$894,"&lt;"&amp;W400))</f>
        <v/>
      </c>
      <c r="B400" s="16" t="s">
        <v>10</v>
      </c>
      <c r="C400" s="16" t="s">
        <v>814</v>
      </c>
      <c r="D400" s="16" t="s">
        <v>95</v>
      </c>
      <c r="E400" s="16" t="s">
        <v>26</v>
      </c>
      <c r="F400" s="16" t="s">
        <v>815</v>
      </c>
      <c r="G400" s="17">
        <v>1827</v>
      </c>
      <c r="H400" s="17"/>
      <c r="I400" s="17"/>
      <c r="J400" s="17">
        <v>1867</v>
      </c>
      <c r="K400" s="17" t="n">
        <f aca="false">IF(AND(IFERROR(SEARCH("현대오일뱅크",$C400),0)&gt;0,IFERROR(SEARCH("직영",$C400),0)&gt;0),$B$13,0)</f>
        <v/>
      </c>
      <c r="L400" s="17" t="n">
        <f aca="false">IF($G400="","",$G400+$K400)</f>
        <v/>
      </c>
      <c r="M400" s="17" t="str">
        <f aca="false">IF($H400="","",$H400+$K400)</f>
        <v/>
      </c>
      <c r="N400" s="17" t="n">
        <f aca="false">IF($J400="","",$J400+$K400)</f>
        <v/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 t="str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 t="str">
        <f aca="false">IF($P400="","",IF($Q400="Y",IFERROR(VLOOKUP($B400,$C$4:$D$13,2,FALSE()),0),0))</f>
        <v/>
      </c>
      <c r="S400" s="17" t="str">
        <f aca="false">IF($P400="","",ROUNDDOWN($P400*$R400,0))</f>
        <v/>
      </c>
      <c r="T400" s="17" t="str">
        <f aca="false">IF($P400="","",$P400-$S400)</f>
        <v/>
      </c>
      <c r="U400" s="17" t="str">
        <f aca="false">IF($T400="","",IF($B$10=0,"",$T400/$B$10))</f>
        <v/>
      </c>
      <c r="V400" s="17" t="str">
        <f aca="false">IF($P400="","",IF($B$10=0,"",$P400/$B$10))</f>
        <v/>
      </c>
      <c r="W400" s="19" t="n">
        <f aca="false">IF($T400="",1000000000000000,$T400)</f>
        <v/>
      </c>
      <c r="XFB400" s="6"/>
      <c r="XFC400" s="3"/>
    </row>
    <row r="401" s="5" collapsed="false" customFormat="true" customHeight="true" hidden="false" ht="28.5" outlineLevel="0">
      <c r="A401" s="16" t="str">
        <f aca="false">IF($T401="","",1+COUNTIF($W$15:$W$894,"&lt;"&amp;W401))</f>
        <v/>
      </c>
      <c r="B401" s="16" t="s">
        <v>12</v>
      </c>
      <c r="C401" s="16" t="s">
        <v>816</v>
      </c>
      <c r="D401" s="20" t="s">
        <v>45</v>
      </c>
      <c r="E401" s="16" t="s">
        <v>26</v>
      </c>
      <c r="F401" s="16" t="s">
        <v>817</v>
      </c>
      <c r="G401" s="17">
        <v>1827</v>
      </c>
      <c r="H401" s="17"/>
      <c r="I401" s="17"/>
      <c r="J401" s="17">
        <v>1872</v>
      </c>
      <c r="K401" s="17" t="n">
        <f aca="false">IF(AND(IFERROR(SEARCH("현대오일뱅크",$C401),0)&gt;0,IFERROR(SEARCH("직영",$C401),0)&gt;0),$B$13,0)</f>
        <v/>
      </c>
      <c r="L401" s="17" t="n">
        <f aca="false">IF($G401="","",$G401+$K401)</f>
        <v/>
      </c>
      <c r="M401" s="17" t="str">
        <f aca="false">IF($H401="","",$H401+$K401)</f>
        <v/>
      </c>
      <c r="N401" s="17" t="n">
        <f aca="false">IF($J401="","",$J401+$K401)</f>
        <v/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 t="str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 t="str">
        <f aca="false">IF($P401="","",IF($Q401="Y",IFERROR(VLOOKUP($B401,$C$4:$D$13,2,FALSE()),0),0))</f>
        <v/>
      </c>
      <c r="S401" s="17" t="str">
        <f aca="false">IF($P401="","",ROUNDDOWN($P401*$R401,0))</f>
        <v/>
      </c>
      <c r="T401" s="17" t="str">
        <f aca="false">IF($P401="","",$P401-$S401)</f>
        <v/>
      </c>
      <c r="U401" s="17" t="str">
        <f aca="false">IF($T401="","",IF($B$10=0,"",$T401/$B$10))</f>
        <v/>
      </c>
      <c r="V401" s="17" t="str">
        <f aca="false">IF($P401="","",IF($B$10=0,"",$P401/$B$10))</f>
        <v/>
      </c>
      <c r="W401" s="19" t="n">
        <f aca="false">IF($T401="",1000000000000000,$T401)</f>
        <v/>
      </c>
      <c r="XFB401" s="6"/>
      <c r="XFC401" s="3"/>
    </row>
    <row r="402" s="5" collapsed="false" customFormat="true" customHeight="true" hidden="false" ht="28.5" outlineLevel="0">
      <c r="A402" s="16" t="str">
        <f aca="false">IF($T402="","",1+COUNTIF($W$15:$W$894,"&lt;"&amp;W402))</f>
        <v/>
      </c>
      <c r="B402" s="16" t="s">
        <v>10</v>
      </c>
      <c r="C402" s="16" t="s">
        <v>701</v>
      </c>
      <c r="D402" s="16" t="s">
        <v>393</v>
      </c>
      <c r="E402" s="16" t="s">
        <v>26</v>
      </c>
      <c r="F402" s="16" t="s">
        <v>702</v>
      </c>
      <c r="G402" s="17">
        <v>1828</v>
      </c>
      <c r="H402" s="17"/>
      <c r="I402" s="17"/>
      <c r="J402" s="17">
        <v>1818</v>
      </c>
      <c r="K402" s="17" t="n">
        <f aca="false">IF(AND(IFERROR(SEARCH("현대오일뱅크",$C402),0)&gt;0,IFERROR(SEARCH("직영",$C402),0)&gt;0),$B$13,0)</f>
        <v/>
      </c>
      <c r="L402" s="17" t="n">
        <f aca="false">IF($G402="","",$G402+$K402)</f>
        <v/>
      </c>
      <c r="M402" s="17" t="str">
        <f aca="false">IF($H402="","",$H402+$K402)</f>
        <v/>
      </c>
      <c r="N402" s="17" t="n">
        <f aca="false">IF($J402="","",$J402+$K402)</f>
        <v/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 t="str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 t="str">
        <f aca="false">IF($P402="","",IF($Q402="Y",IFERROR(VLOOKUP($B402,$C$4:$D$13,2,FALSE()),0),0))</f>
        <v/>
      </c>
      <c r="S402" s="17" t="str">
        <f aca="false">IF($P402="","",ROUNDDOWN($P402*$R402,0))</f>
        <v/>
      </c>
      <c r="T402" s="17" t="str">
        <f aca="false">IF($P402="","",$P402-$S402)</f>
        <v/>
      </c>
      <c r="U402" s="17" t="str">
        <f aca="false">IF($T402="","",IF($B$10=0,"",$T402/$B$10))</f>
        <v/>
      </c>
      <c r="V402" s="17" t="str">
        <f aca="false">IF($P402="","",IF($B$10=0,"",$P402/$B$10))</f>
        <v/>
      </c>
      <c r="W402" s="19" t="n">
        <f aca="false">IF($T402="",1000000000000000,$T402)</f>
        <v/>
      </c>
      <c r="XFB402" s="6"/>
      <c r="XFC402" s="3"/>
    </row>
    <row r="403" s="5" collapsed="false" customFormat="true" customHeight="true" hidden="false" ht="28.5" outlineLevel="0">
      <c r="A403" s="16" t="str">
        <f aca="false">IF($T403="","",1+COUNTIF($W$15:$W$894,"&lt;"&amp;W403))</f>
        <v/>
      </c>
      <c r="B403" s="16" t="s">
        <v>16</v>
      </c>
      <c r="C403" s="16" t="s">
        <v>878</v>
      </c>
      <c r="D403" s="16" t="s">
        <v>45</v>
      </c>
      <c r="E403" s="16" t="s">
        <v>63</v>
      </c>
      <c r="F403" s="16" t="s">
        <v>879</v>
      </c>
      <c r="G403" s="17">
        <v>1870</v>
      </c>
      <c r="H403" s="17"/>
      <c r="I403" s="17"/>
      <c r="J403" s="17">
        <v>1860</v>
      </c>
      <c r="K403" s="17" t="n">
        <f aca="false">IF(AND(IFERROR(SEARCH("현대오일뱅크",$C403),0)&gt;0,IFERROR(SEARCH("직영",$C403),0)&gt;0),$B$13,0)</f>
        <v/>
      </c>
      <c r="L403" s="17" t="n">
        <f aca="false">IF($G403="","",$G403+$K403)</f>
        <v/>
      </c>
      <c r="M403" s="17" t="str">
        <f aca="false">IF($H403="","",$H403+$K403)</f>
        <v/>
      </c>
      <c r="N403" s="17" t="n">
        <f aca="false">IF($J403="","",$J403+$K403)</f>
        <v/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 t="str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 t="str">
        <f aca="false">IF($P403="","",IF($Q403="Y",IFERROR(VLOOKUP($B403,$C$4:$D$13,2,FALSE()),0),0))</f>
        <v/>
      </c>
      <c r="S403" s="17" t="str">
        <f aca="false">IF($P403="","",ROUNDDOWN($P403*$R403,0))</f>
        <v/>
      </c>
      <c r="T403" s="17" t="str">
        <f aca="false">IF($P403="","",$P403-$S403)</f>
        <v/>
      </c>
      <c r="U403" s="17" t="str">
        <f aca="false">IF($T403="","",IF($B$10=0,"",$T403/$B$10))</f>
        <v/>
      </c>
      <c r="V403" s="17" t="str">
        <f aca="false">IF($P403="","",IF($B$10=0,"",$P403/$B$10))</f>
        <v/>
      </c>
      <c r="W403" s="19" t="n">
        <f aca="false">IF($T403="",1000000000000000,$T403)</f>
        <v/>
      </c>
      <c r="XFB403" s="6"/>
      <c r="XFC403" s="3"/>
    </row>
    <row r="404" s="5" collapsed="false" customFormat="true" customHeight="true" hidden="false" ht="28.5" outlineLevel="0">
      <c r="A404" s="16" t="str">
        <f aca="false">IF($T404="","",1+COUNTIF($W$15:$W$894,"&lt;"&amp;W404))</f>
        <v/>
      </c>
      <c r="B404" s="16" t="s">
        <v>16</v>
      </c>
      <c r="C404" s="16" t="s">
        <v>818</v>
      </c>
      <c r="D404" s="16" t="s">
        <v>51</v>
      </c>
      <c r="E404" s="16" t="s">
        <v>63</v>
      </c>
      <c r="F404" s="16" t="s">
        <v>819</v>
      </c>
      <c r="G404" s="17">
        <v>1870</v>
      </c>
      <c r="H404" s="17"/>
      <c r="I404" s="17"/>
      <c r="J404" s="17">
        <v>1870</v>
      </c>
      <c r="K404" s="17" t="n">
        <f aca="false">IF(AND(IFERROR(SEARCH("현대오일뱅크",$C404),0)&gt;0,IFERROR(SEARCH("직영",$C404),0)&gt;0),$B$13,0)</f>
        <v/>
      </c>
      <c r="L404" s="17" t="n">
        <f aca="false">IF($G404="","",$G404+$K404)</f>
        <v/>
      </c>
      <c r="M404" s="17" t="str">
        <f aca="false">IF($H404="","",$H404+$K404)</f>
        <v/>
      </c>
      <c r="N404" s="17" t="n">
        <f aca="false">IF($J404="","",$J404+$K404)</f>
        <v/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 t="str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 t="str">
        <f aca="false">IF($P404="","",IF($Q404="Y",IFERROR(VLOOKUP($B404,$C$4:$D$13,2,FALSE()),0),0))</f>
        <v/>
      </c>
      <c r="S404" s="17" t="str">
        <f aca="false">IF($P404="","",ROUNDDOWN($P404*$R404,0))</f>
        <v/>
      </c>
      <c r="T404" s="17" t="str">
        <f aca="false">IF($P404="","",$P404-$S404)</f>
        <v/>
      </c>
      <c r="U404" s="17" t="str">
        <f aca="false">IF($T404="","",IF($B$10=0,"",$T404/$B$10))</f>
        <v/>
      </c>
      <c r="V404" s="17" t="str">
        <f aca="false">IF($P404="","",IF($B$10=0,"",$P404/$B$10))</f>
        <v/>
      </c>
      <c r="W404" s="19" t="n">
        <f aca="false">IF($T404="",1000000000000000,$T404)</f>
        <v/>
      </c>
      <c r="XFB404" s="6"/>
      <c r="XFC404" s="3"/>
    </row>
    <row r="405" s="5" collapsed="false" customFormat="true" customHeight="true" hidden="false" ht="28.5" outlineLevel="0">
      <c r="A405" s="16" t="str">
        <f aca="false">IF($T405="","",1+COUNTIF($W$15:$W$894,"&lt;"&amp;W405))</f>
        <v/>
      </c>
      <c r="B405" s="16" t="s">
        <v>14</v>
      </c>
      <c r="C405" s="16" t="s">
        <v>820</v>
      </c>
      <c r="D405" s="16" t="s">
        <v>51</v>
      </c>
      <c r="E405" s="16" t="s">
        <v>26</v>
      </c>
      <c r="F405" s="16" t="s">
        <v>821</v>
      </c>
      <c r="G405" s="17">
        <v>1849</v>
      </c>
      <c r="H405" s="17"/>
      <c r="I405" s="17"/>
      <c r="J405" s="17">
        <v>1819</v>
      </c>
      <c r="K405" s="17" t="n">
        <f aca="false">IF(AND(IFERROR(SEARCH("현대오일뱅크",$C405),0)&gt;0,IFERROR(SEARCH("직영",$C405),0)&gt;0),$B$13,0)</f>
        <v/>
      </c>
      <c r="L405" s="17" t="n">
        <f aca="false">IF($G405="","",$G405+$K405)</f>
        <v/>
      </c>
      <c r="M405" s="17" t="str">
        <f aca="false">IF($H405="","",$H405+$K405)</f>
        <v/>
      </c>
      <c r="N405" s="17" t="n">
        <f aca="false">IF($J405="","",$J405+$K405)</f>
        <v/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 t="str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 t="str">
        <f aca="false">IF($P405="","",IF($Q405="Y",IFERROR(VLOOKUP($B405,$C$4:$D$13,2,FALSE()),0),0))</f>
        <v/>
      </c>
      <c r="S405" s="17" t="str">
        <f aca="false">IF($P405="","",ROUNDDOWN($P405*$R405,0))</f>
        <v/>
      </c>
      <c r="T405" s="17" t="str">
        <f aca="false">IF($P405="","",$P405-$S405)</f>
        <v/>
      </c>
      <c r="U405" s="17" t="str">
        <f aca="false">IF($T405="","",IF($B$10=0,"",$T405/$B$10))</f>
        <v/>
      </c>
      <c r="V405" s="17" t="str">
        <f aca="false">IF($P405="","",IF($B$10=0,"",$P405/$B$10))</f>
        <v/>
      </c>
      <c r="W405" s="19" t="n">
        <f aca="false">IF($T405="",1000000000000000,$T405)</f>
        <v/>
      </c>
      <c r="XFB405" s="6"/>
      <c r="XFC405" s="3"/>
    </row>
    <row r="406" s="5" collapsed="false" customFormat="true" customHeight="true" hidden="false" ht="28.5" outlineLevel="0">
      <c r="A406" s="16" t="str">
        <f aca="false">IF($T406="","",1+COUNTIF($W$15:$W$894,"&lt;"&amp;W406))</f>
        <v/>
      </c>
      <c r="B406" s="16" t="s">
        <v>14</v>
      </c>
      <c r="C406" s="16" t="s">
        <v>822</v>
      </c>
      <c r="D406" s="16" t="s">
        <v>45</v>
      </c>
      <c r="E406" s="16" t="s">
        <v>63</v>
      </c>
      <c r="F406" s="16" t="s">
        <v>823</v>
      </c>
      <c r="G406" s="17">
        <v>1849</v>
      </c>
      <c r="H406" s="17"/>
      <c r="I406" s="17"/>
      <c r="J406" s="17">
        <v>1839</v>
      </c>
      <c r="K406" s="17" t="n">
        <f aca="false">IF(AND(IFERROR(SEARCH("현대오일뱅크",$C406),0)&gt;0,IFERROR(SEARCH("직영",$C406),0)&gt;0),$B$13,0)</f>
        <v/>
      </c>
      <c r="L406" s="17" t="n">
        <f aca="false">IF($G406="","",$G406+$K406)</f>
        <v/>
      </c>
      <c r="M406" s="17" t="str">
        <f aca="false">IF($H406="","",$H406+$K406)</f>
        <v/>
      </c>
      <c r="N406" s="17" t="n">
        <f aca="false">IF($J406="","",$J406+$K406)</f>
        <v/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 t="str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 t="str">
        <f aca="false">IF($P406="","",IF($Q406="Y",IFERROR(VLOOKUP($B406,$C$4:$D$13,2,FALSE()),0),0))</f>
        <v/>
      </c>
      <c r="S406" s="17" t="str">
        <f aca="false">IF($P406="","",ROUNDDOWN($P406*$R406,0))</f>
        <v/>
      </c>
      <c r="T406" s="17" t="str">
        <f aca="false">IF($P406="","",$P406-$S406)</f>
        <v/>
      </c>
      <c r="U406" s="17" t="str">
        <f aca="false">IF($T406="","",IF($B$10=0,"",$T406/$B$10))</f>
        <v/>
      </c>
      <c r="V406" s="17" t="str">
        <f aca="false">IF($P406="","",IF($B$10=0,"",$P406/$B$10))</f>
        <v/>
      </c>
      <c r="W406" s="19" t="n">
        <f aca="false">IF($T406="",1000000000000000,$T406)</f>
        <v/>
      </c>
      <c r="XFB406" s="6"/>
      <c r="XFC406" s="3"/>
    </row>
    <row r="407" s="5" collapsed="false" customFormat="true" customHeight="true" hidden="false" ht="28.5" outlineLevel="0">
      <c r="A407" s="16" t="str">
        <f aca="false">IF($T407="","",1+COUNTIF($W$15:$W$894,"&lt;"&amp;W407))</f>
        <v/>
      </c>
      <c r="B407" s="16" t="s">
        <v>14</v>
      </c>
      <c r="C407" s="16" t="s">
        <v>824</v>
      </c>
      <c r="D407" s="16" t="s">
        <v>45</v>
      </c>
      <c r="E407" s="16" t="s">
        <v>26</v>
      </c>
      <c r="F407" s="16" t="s">
        <v>825</v>
      </c>
      <c r="G407" s="17">
        <v>1849</v>
      </c>
      <c r="H407" s="17"/>
      <c r="I407" s="17"/>
      <c r="J407" s="17">
        <v>1849</v>
      </c>
      <c r="K407" s="17" t="n">
        <f aca="false">IF(AND(IFERROR(SEARCH("현대오일뱅크",$C407),0)&gt;0,IFERROR(SEARCH("직영",$C407),0)&gt;0),$B$13,0)</f>
        <v/>
      </c>
      <c r="L407" s="17" t="n">
        <f aca="false">IF($G407="","",$G407+$K407)</f>
        <v/>
      </c>
      <c r="M407" s="17" t="str">
        <f aca="false">IF($H407="","",$H407+$K407)</f>
        <v/>
      </c>
      <c r="N407" s="17" t="n">
        <f aca="false">IF($J407="","",$J407+$K407)</f>
        <v/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 t="str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 t="str">
        <f aca="false">IF($P407="","",IF($Q407="Y",IFERROR(VLOOKUP($B407,$C$4:$D$13,2,FALSE()),0),0))</f>
        <v/>
      </c>
      <c r="S407" s="17" t="str">
        <f aca="false">IF($P407="","",ROUNDDOWN($P407*$R407,0))</f>
        <v/>
      </c>
      <c r="T407" s="17" t="str">
        <f aca="false">IF($P407="","",$P407-$S407)</f>
        <v/>
      </c>
      <c r="U407" s="17" t="str">
        <f aca="false">IF($T407="","",IF($B$10=0,"",$T407/$B$10))</f>
        <v/>
      </c>
      <c r="V407" s="17" t="str">
        <f aca="false">IF($P407="","",IF($B$10=0,"",$P407/$B$10))</f>
        <v/>
      </c>
      <c r="W407" s="19" t="n">
        <f aca="false">IF($T407="",1000000000000000,$T407)</f>
        <v/>
      </c>
      <c r="XFB407" s="6"/>
      <c r="XFC407" s="3"/>
    </row>
    <row r="408" s="5" collapsed="false" customFormat="true" customHeight="true" hidden="false" ht="28.5" outlineLevel="0">
      <c r="A408" s="16" t="str">
        <f aca="false">IF($T408="","",1+COUNTIF($W$15:$W$894,"&lt;"&amp;W408))</f>
        <v/>
      </c>
      <c r="B408" s="16" t="s">
        <v>10</v>
      </c>
      <c r="C408" s="16" t="s">
        <v>705</v>
      </c>
      <c r="D408" s="20" t="s">
        <v>86</v>
      </c>
      <c r="E408" s="16" t="s">
        <v>63</v>
      </c>
      <c r="F408" s="16" t="s">
        <v>835</v>
      </c>
      <c r="G408" s="17">
        <v>1829</v>
      </c>
      <c r="H408" s="17"/>
      <c r="I408" s="17"/>
      <c r="J408" s="17">
        <v>1819</v>
      </c>
      <c r="K408" s="17" t="n">
        <f aca="false">IF(AND(IFERROR(SEARCH("현대오일뱅크",$C408),0)&gt;0,IFERROR(SEARCH("직영",$C408),0)&gt;0),$B$13,0)</f>
        <v/>
      </c>
      <c r="L408" s="17" t="n">
        <f aca="false">IF($G408="","",$G408+$K408)</f>
        <v/>
      </c>
      <c r="M408" s="17" t="str">
        <f aca="false">IF($H408="","",$H408+$K408)</f>
        <v/>
      </c>
      <c r="N408" s="17" t="n">
        <f aca="false">IF($J408="","",$J408+$K408)</f>
        <v/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 t="str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 t="str">
        <f aca="false">IF($P408="","",IF($Q408="Y",IFERROR(VLOOKUP($B408,$C$4:$D$13,2,FALSE()),0),0))</f>
        <v/>
      </c>
      <c r="S408" s="17" t="str">
        <f aca="false">IF($P408="","",ROUNDDOWN($P408*$R408,0))</f>
        <v/>
      </c>
      <c r="T408" s="17" t="str">
        <f aca="false">IF($P408="","",$P408-$S408)</f>
        <v/>
      </c>
      <c r="U408" s="17" t="str">
        <f aca="false">IF($T408="","",IF($B$10=0,"",$T408/$B$10))</f>
        <v/>
      </c>
      <c r="V408" s="17" t="str">
        <f aca="false">IF($P408="","",IF($B$10=0,"",$P408/$B$10))</f>
        <v/>
      </c>
      <c r="W408" s="19" t="n">
        <f aca="false">IF($T408="",1000000000000000,$T408)</f>
        <v/>
      </c>
      <c r="XFB408" s="6"/>
      <c r="XFC408" s="3"/>
    </row>
    <row r="409" s="5" collapsed="false" customFormat="true" customHeight="true" hidden="false" ht="28.5" outlineLevel="0">
      <c r="A409" s="16" t="str">
        <f aca="false">IF($T409="","",1+COUNTIF($W$15:$W$894,"&lt;"&amp;W409))</f>
        <v/>
      </c>
      <c r="B409" s="16" t="s">
        <v>10</v>
      </c>
      <c r="C409" s="16" t="s">
        <v>732</v>
      </c>
      <c r="D409" s="16" t="s">
        <v>95</v>
      </c>
      <c r="E409" s="16" t="s">
        <v>26</v>
      </c>
      <c r="F409" s="16" t="s">
        <v>826</v>
      </c>
      <c r="G409" s="17">
        <v>1829</v>
      </c>
      <c r="H409" s="17"/>
      <c r="I409" s="17"/>
      <c r="J409" s="17">
        <v>1819</v>
      </c>
      <c r="K409" s="17" t="n">
        <f aca="false">IF(AND(IFERROR(SEARCH("현대오일뱅크",$C409),0)&gt;0,IFERROR(SEARCH("직영",$C409),0)&gt;0),$B$13,0)</f>
        <v/>
      </c>
      <c r="L409" s="17" t="n">
        <f aca="false">IF($G409="","",$G409+$K409)</f>
        <v/>
      </c>
      <c r="M409" s="17" t="str">
        <f aca="false">IF($H409="","",$H409+$K409)</f>
        <v/>
      </c>
      <c r="N409" s="17" t="n">
        <f aca="false">IF($J409="","",$J409+$K409)</f>
        <v/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 t="str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 t="str">
        <f aca="false">IF($P409="","",IF($Q409="Y",IFERROR(VLOOKUP($B409,$C$4:$D$13,2,FALSE()),0),0))</f>
        <v/>
      </c>
      <c r="S409" s="17" t="str">
        <f aca="false">IF($P409="","",ROUNDDOWN($P409*$R409,0))</f>
        <v/>
      </c>
      <c r="T409" s="17" t="str">
        <f aca="false">IF($P409="","",$P409-$S409)</f>
        <v/>
      </c>
      <c r="U409" s="17" t="str">
        <f aca="false">IF($T409="","",IF($B$10=0,"",$T409/$B$10))</f>
        <v/>
      </c>
      <c r="V409" s="17" t="str">
        <f aca="false">IF($P409="","",IF($B$10=0,"",$P409/$B$10))</f>
        <v/>
      </c>
      <c r="W409" s="19" t="n">
        <f aca="false">IF($T409="",1000000000000000,$T409)</f>
        <v/>
      </c>
      <c r="XFB409" s="6"/>
      <c r="XFC409" s="3"/>
    </row>
    <row r="410" s="5" collapsed="false" customFormat="true" customHeight="true" hidden="false" ht="28.5" outlineLevel="0">
      <c r="A410" s="16" t="str">
        <f aca="false">IF($T410="","",1+COUNTIF($W$15:$W$894,"&lt;"&amp;W410))</f>
        <v/>
      </c>
      <c r="B410" s="16" t="s">
        <v>6</v>
      </c>
      <c r="C410" s="16" t="s">
        <v>827</v>
      </c>
      <c r="D410" s="16" t="s">
        <v>45</v>
      </c>
      <c r="E410" s="16" t="s">
        <v>63</v>
      </c>
      <c r="F410" s="16" t="s">
        <v>828</v>
      </c>
      <c r="G410" s="17">
        <v>1829</v>
      </c>
      <c r="H410" s="17"/>
      <c r="I410" s="17"/>
      <c r="J410" s="17">
        <v>1829</v>
      </c>
      <c r="K410" s="17" t="n">
        <f aca="false">IF(AND(IFERROR(SEARCH("현대오일뱅크",$C410),0)&gt;0,IFERROR(SEARCH("직영",$C410),0)&gt;0),$B$13,0)</f>
        <v/>
      </c>
      <c r="L410" s="17" t="n">
        <f aca="false">IF($G410="","",$G410+$K410)</f>
        <v/>
      </c>
      <c r="M410" s="17" t="str">
        <f aca="false">IF($H410="","",$H410+$K410)</f>
        <v/>
      </c>
      <c r="N410" s="17" t="n">
        <f aca="false">IF($J410="","",$J410+$K410)</f>
        <v/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 t="str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 t="str">
        <f aca="false">IF($P410="","",IF($Q410="Y",IFERROR(VLOOKUP($B410,$C$4:$D$13,2,FALSE()),0),0))</f>
        <v/>
      </c>
      <c r="S410" s="17" t="str">
        <f aca="false">IF($P410="","",ROUNDDOWN($P410*$R410,0))</f>
        <v/>
      </c>
      <c r="T410" s="17" t="str">
        <f aca="false">IF($P410="","",$P410-$S410)</f>
        <v/>
      </c>
      <c r="U410" s="17" t="str">
        <f aca="false">IF($T410="","",IF($B$10=0,"",$T410/$B$10))</f>
        <v/>
      </c>
      <c r="V410" s="17" t="str">
        <f aca="false">IF($P410="","",IF($B$10=0,"",$P410/$B$10))</f>
        <v/>
      </c>
      <c r="W410" s="19" t="n">
        <f aca="false">IF($T410="",1000000000000000,$T410)</f>
        <v/>
      </c>
      <c r="XFB410" s="6"/>
      <c r="XFC410" s="3"/>
    </row>
    <row r="411" s="5" collapsed="false" customFormat="true" customHeight="true" hidden="false" ht="28.5" outlineLevel="0">
      <c r="A411" s="16" t="str">
        <f aca="false">IF($T411="","",1+COUNTIF($W$15:$W$894,"&lt;"&amp;W411))</f>
        <v/>
      </c>
      <c r="B411" s="16" t="s">
        <v>6</v>
      </c>
      <c r="C411" s="16" t="s">
        <v>829</v>
      </c>
      <c r="D411" s="20" t="s">
        <v>86</v>
      </c>
      <c r="E411" s="16" t="s">
        <v>26</v>
      </c>
      <c r="F411" s="16" t="s">
        <v>830</v>
      </c>
      <c r="G411" s="17">
        <v>1829</v>
      </c>
      <c r="H411" s="17"/>
      <c r="I411" s="17"/>
      <c r="J411" s="17">
        <v>1829</v>
      </c>
      <c r="K411" s="17" t="n">
        <f aca="false">IF(AND(IFERROR(SEARCH("현대오일뱅크",$C411),0)&gt;0,IFERROR(SEARCH("직영",$C411),0)&gt;0),$B$13,0)</f>
        <v/>
      </c>
      <c r="L411" s="17" t="n">
        <f aca="false">IF($G411="","",$G411+$K411)</f>
        <v/>
      </c>
      <c r="M411" s="17" t="str">
        <f aca="false">IF($H411="","",$H411+$K411)</f>
        <v/>
      </c>
      <c r="N411" s="17" t="n">
        <f aca="false">IF($J411="","",$J411+$K411)</f>
        <v/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 t="str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 t="str">
        <f aca="false">IF($P411="","",IF($Q411="Y",IFERROR(VLOOKUP($B411,$C$4:$D$13,2,FALSE()),0),0))</f>
        <v/>
      </c>
      <c r="S411" s="17" t="str">
        <f aca="false">IF($P411="","",ROUNDDOWN($P411*$R411,0))</f>
        <v/>
      </c>
      <c r="T411" s="17" t="str">
        <f aca="false">IF($P411="","",$P411-$S411)</f>
        <v/>
      </c>
      <c r="U411" s="17" t="str">
        <f aca="false">IF($T411="","",IF($B$10=0,"",$T411/$B$10))</f>
        <v/>
      </c>
      <c r="V411" s="17" t="str">
        <f aca="false">IF($P411="","",IF($B$10=0,"",$P411/$B$10))</f>
        <v/>
      </c>
      <c r="W411" s="19" t="n">
        <f aca="false">IF($T411="",1000000000000000,$T411)</f>
        <v/>
      </c>
      <c r="XFB411" s="6"/>
      <c r="XFC411" s="3"/>
    </row>
    <row r="412" s="5" collapsed="false" customFormat="true" customHeight="true" hidden="false" ht="28.5" outlineLevel="0">
      <c r="A412" s="16" t="str">
        <f aca="false">IF($T412="","",1+COUNTIF($W$15:$W$894,"&lt;"&amp;W412))</f>
        <v/>
      </c>
      <c r="B412" s="16" t="s">
        <v>8</v>
      </c>
      <c r="C412" s="16" t="s">
        <v>831</v>
      </c>
      <c r="D412" s="16" t="s">
        <v>95</v>
      </c>
      <c r="E412" s="16" t="s">
        <v>63</v>
      </c>
      <c r="F412" s="16" t="s">
        <v>832</v>
      </c>
      <c r="G412" s="17">
        <v>1829</v>
      </c>
      <c r="H412" s="17"/>
      <c r="I412" s="17"/>
      <c r="J412" s="17">
        <v>1829</v>
      </c>
      <c r="K412" s="17" t="n">
        <f aca="false">IF(AND(IFERROR(SEARCH("현대오일뱅크",$C412),0)&gt;0,IFERROR(SEARCH("직영",$C412),0)&gt;0),$B$13,0)</f>
        <v/>
      </c>
      <c r="L412" s="17" t="n">
        <f aca="false">IF($G412="","",$G412+$K412)</f>
        <v/>
      </c>
      <c r="M412" s="17" t="str">
        <f aca="false">IF($H412="","",$H412+$K412)</f>
        <v/>
      </c>
      <c r="N412" s="17" t="n">
        <f aca="false">IF($J412="","",$J412+$K412)</f>
        <v/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 t="str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 t="str">
        <f aca="false">IF($P412="","",IF($Q412="Y",IFERROR(VLOOKUP($B412,$C$4:$D$13,2,FALSE()),0),0))</f>
        <v/>
      </c>
      <c r="S412" s="17" t="str">
        <f aca="false">IF($P412="","",ROUNDDOWN($P412*$R412,0))</f>
        <v/>
      </c>
      <c r="T412" s="17" t="str">
        <f aca="false">IF($P412="","",$P412-$S412)</f>
        <v/>
      </c>
      <c r="U412" s="17" t="str">
        <f aca="false">IF($T412="","",IF($B$10=0,"",$T412/$B$10))</f>
        <v/>
      </c>
      <c r="V412" s="17" t="str">
        <f aca="false">IF($P412="","",IF($B$10=0,"",$P412/$B$10))</f>
        <v/>
      </c>
      <c r="W412" s="19" t="n">
        <f aca="false">IF($T412="",1000000000000000,$T412)</f>
        <v/>
      </c>
      <c r="XFB412" s="6"/>
      <c r="XFC412" s="3"/>
    </row>
    <row r="413" s="5" collapsed="false" customFormat="true" customHeight="true" hidden="false" ht="28.5" outlineLevel="0">
      <c r="A413" s="16" t="str">
        <f aca="false">IF($T413="","",1+COUNTIF($W$15:$W$894,"&lt;"&amp;W413))</f>
        <v/>
      </c>
      <c r="B413" s="16" t="s">
        <v>6</v>
      </c>
      <c r="C413" s="16" t="s">
        <v>836</v>
      </c>
      <c r="D413" s="16" t="s">
        <v>95</v>
      </c>
      <c r="E413" s="16" t="s">
        <v>63</v>
      </c>
      <c r="F413" s="16" t="s">
        <v>837</v>
      </c>
      <c r="G413" s="17">
        <v>1829</v>
      </c>
      <c r="H413" s="17"/>
      <c r="I413" s="17"/>
      <c r="J413" s="17">
        <v>1849</v>
      </c>
      <c r="K413" s="17" t="n">
        <f aca="false">IF(AND(IFERROR(SEARCH("현대오일뱅크",$C413),0)&gt;0,IFERROR(SEARCH("직영",$C413),0)&gt;0),$B$13,0)</f>
        <v/>
      </c>
      <c r="L413" s="17" t="n">
        <f aca="false">IF($G413="","",$G413+$K413)</f>
        <v/>
      </c>
      <c r="M413" s="17" t="str">
        <f aca="false">IF($H413="","",$H413+$K413)</f>
        <v/>
      </c>
      <c r="N413" s="17" t="n">
        <f aca="false">IF($J413="","",$J413+$K413)</f>
        <v/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 t="str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 t="str">
        <f aca="false">IF($P413="","",IF($Q413="Y",IFERROR(VLOOKUP($B413,$C$4:$D$13,2,FALSE()),0),0))</f>
        <v/>
      </c>
      <c r="S413" s="17" t="str">
        <f aca="false">IF($P413="","",ROUNDDOWN($P413*$R413,0))</f>
        <v/>
      </c>
      <c r="T413" s="17" t="str">
        <f aca="false">IF($P413="","",$P413-$S413)</f>
        <v/>
      </c>
      <c r="U413" s="17" t="str">
        <f aca="false">IF($T413="","",IF($B$10=0,"",$T413/$B$10))</f>
        <v/>
      </c>
      <c r="V413" s="17" t="str">
        <f aca="false">IF($P413="","",IF($B$10=0,"",$P413/$B$10))</f>
        <v/>
      </c>
      <c r="W413" s="19" t="n">
        <f aca="false">IF($T413="",1000000000000000,$T413)</f>
        <v/>
      </c>
      <c r="XFB413" s="6"/>
      <c r="XFC413" s="3"/>
    </row>
    <row r="414" s="5" collapsed="false" customFormat="true" customHeight="true" hidden="false" ht="28.5" outlineLevel="0">
      <c r="A414" s="16" t="str">
        <f aca="false">IF($T414="","",1+COUNTIF($W$15:$W$894,"&lt;"&amp;W414))</f>
        <v/>
      </c>
      <c r="B414" s="16" t="s">
        <v>8</v>
      </c>
      <c r="C414" s="16" t="s">
        <v>838</v>
      </c>
      <c r="D414" s="16" t="s">
        <v>45</v>
      </c>
      <c r="E414" s="16" t="s">
        <v>63</v>
      </c>
      <c r="F414" s="16" t="s">
        <v>839</v>
      </c>
      <c r="G414" s="17">
        <v>1830</v>
      </c>
      <c r="H414" s="17"/>
      <c r="I414" s="17"/>
      <c r="J414" s="17">
        <v>1820</v>
      </c>
      <c r="K414" s="17" t="n">
        <f aca="false">IF(AND(IFERROR(SEARCH("현대오일뱅크",$C414),0)&gt;0,IFERROR(SEARCH("직영",$C414),0)&gt;0),$B$13,0)</f>
        <v/>
      </c>
      <c r="L414" s="17" t="n">
        <f aca="false">IF($G414="","",$G414+$K414)</f>
        <v/>
      </c>
      <c r="M414" s="17" t="str">
        <f aca="false">IF($H414="","",$H414+$K414)</f>
        <v/>
      </c>
      <c r="N414" s="17" t="n">
        <f aca="false">IF($J414="","",$J414+$K414)</f>
        <v/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 t="str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 t="str">
        <f aca="false">IF($P414="","",IF($Q414="Y",IFERROR(VLOOKUP($B414,$C$4:$D$13,2,FALSE()),0),0))</f>
        <v/>
      </c>
      <c r="S414" s="17" t="str">
        <f aca="false">IF($P414="","",ROUNDDOWN($P414*$R414,0))</f>
        <v/>
      </c>
      <c r="T414" s="17" t="str">
        <f aca="false">IF($P414="","",$P414-$S414)</f>
        <v/>
      </c>
      <c r="U414" s="17" t="str">
        <f aca="false">IF($T414="","",IF($B$10=0,"",$T414/$B$10))</f>
        <v/>
      </c>
      <c r="V414" s="17" t="str">
        <f aca="false">IF($P414="","",IF($B$10=0,"",$P414/$B$10))</f>
        <v/>
      </c>
      <c r="W414" s="19" t="n">
        <f aca="false">IF($T414="",1000000000000000,$T414)</f>
        <v/>
      </c>
      <c r="XFB414" s="6"/>
      <c r="XFC414" s="3"/>
    </row>
    <row r="415" s="5" collapsed="false" customFormat="true" customHeight="true" hidden="false" ht="28.5" outlineLevel="0">
      <c r="A415" s="16" t="str">
        <f aca="false">IF($T415="","",1+COUNTIF($W$15:$W$894,"&lt;"&amp;W415))</f>
        <v/>
      </c>
      <c r="B415" s="16" t="s">
        <v>6</v>
      </c>
      <c r="C415" s="16" t="s">
        <v>802</v>
      </c>
      <c r="D415" s="16" t="s">
        <v>95</v>
      </c>
      <c r="E415" s="16" t="s">
        <v>26</v>
      </c>
      <c r="F415" s="16" t="s">
        <v>803</v>
      </c>
      <c r="G415" s="17">
        <v>1832</v>
      </c>
      <c r="H415" s="17"/>
      <c r="I415" s="17"/>
      <c r="J415" s="17">
        <v>1832</v>
      </c>
      <c r="K415" s="17" t="n">
        <f aca="false">IF(AND(IFERROR(SEARCH("현대오일뱅크",$C415),0)&gt;0,IFERROR(SEARCH("직영",$C415),0)&gt;0),$B$13,0)</f>
        <v/>
      </c>
      <c r="L415" s="17" t="n">
        <f aca="false">IF($G415="","",$G415+$K415)</f>
        <v/>
      </c>
      <c r="M415" s="17" t="str">
        <f aca="false">IF($H415="","",$H415+$K415)</f>
        <v/>
      </c>
      <c r="N415" s="17" t="n">
        <f aca="false">IF($J415="","",$J415+$K415)</f>
        <v/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 t="str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 t="str">
        <f aca="false">IF($P415="","",IF($Q415="Y",IFERROR(VLOOKUP($B415,$C$4:$D$13,2,FALSE()),0),0))</f>
        <v/>
      </c>
      <c r="S415" s="17" t="str">
        <f aca="false">IF($P415="","",ROUNDDOWN($P415*$R415,0))</f>
        <v/>
      </c>
      <c r="T415" s="17" t="str">
        <f aca="false">IF($P415="","",$P415-$S415)</f>
        <v/>
      </c>
      <c r="U415" s="17" t="str">
        <f aca="false">IF($T415="","",IF($B$10=0,"",$T415/$B$10))</f>
        <v/>
      </c>
      <c r="V415" s="17" t="str">
        <f aca="false">IF($P415="","",IF($B$10=0,"",$P415/$B$10))</f>
        <v/>
      </c>
      <c r="W415" s="19" t="n">
        <f aca="false">IF($T415="",1000000000000000,$T415)</f>
        <v/>
      </c>
      <c r="XFB415" s="6"/>
      <c r="XFC415" s="3"/>
    </row>
    <row r="416" s="5" collapsed="false" customFormat="true" customHeight="true" hidden="false" ht="28.5" outlineLevel="0">
      <c r="A416" s="16" t="str">
        <f aca="false">IF($T416="","",1+COUNTIF($W$15:$W$894,"&lt;"&amp;W416))</f>
        <v/>
      </c>
      <c r="B416" s="16" t="s">
        <v>12</v>
      </c>
      <c r="C416" s="16" t="s">
        <v>840</v>
      </c>
      <c r="D416" s="20" t="s">
        <v>86</v>
      </c>
      <c r="E416" s="16" t="s">
        <v>26</v>
      </c>
      <c r="F416" s="16" t="s">
        <v>841</v>
      </c>
      <c r="G416" s="17">
        <v>1833</v>
      </c>
      <c r="H416" s="17"/>
      <c r="I416" s="17"/>
      <c r="J416" s="17">
        <v>1818</v>
      </c>
      <c r="K416" s="17" t="n">
        <f aca="false">IF(AND(IFERROR(SEARCH("현대오일뱅크",$C416),0)&gt;0,IFERROR(SEARCH("직영",$C416),0)&gt;0),$B$13,0)</f>
        <v/>
      </c>
      <c r="L416" s="17" t="n">
        <f aca="false">IF($G416="","",$G416+$K416)</f>
        <v/>
      </c>
      <c r="M416" s="17" t="str">
        <f aca="false">IF($H416="","",$H416+$K416)</f>
        <v/>
      </c>
      <c r="N416" s="17" t="n">
        <f aca="false">IF($J416="","",$J416+$K416)</f>
        <v/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 t="str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 t="str">
        <f aca="false">IF($P416="","",IF($Q416="Y",IFERROR(VLOOKUP($B416,$C$4:$D$13,2,FALSE()),0),0))</f>
        <v/>
      </c>
      <c r="S416" s="17" t="str">
        <f aca="false">IF($P416="","",ROUNDDOWN($P416*$R416,0))</f>
        <v/>
      </c>
      <c r="T416" s="17" t="str">
        <f aca="false">IF($P416="","",$P416-$S416)</f>
        <v/>
      </c>
      <c r="U416" s="17" t="str">
        <f aca="false">IF($T416="","",IF($B$10=0,"",$T416/$B$10))</f>
        <v/>
      </c>
      <c r="V416" s="17" t="str">
        <f aca="false">IF($P416="","",IF($B$10=0,"",$P416/$B$10))</f>
        <v/>
      </c>
      <c r="W416" s="19" t="n">
        <f aca="false">IF($T416="",1000000000000000,$T416)</f>
        <v/>
      </c>
      <c r="XFB416" s="6"/>
      <c r="XFC416" s="3"/>
    </row>
    <row r="417" s="5" collapsed="false" customFormat="true" customHeight="true" hidden="false" ht="28.5" outlineLevel="0">
      <c r="A417" s="16" t="str">
        <f aca="false">IF($T417="","",1+COUNTIF($W$15:$W$894,"&lt;"&amp;W417))</f>
        <v/>
      </c>
      <c r="B417" s="16" t="s">
        <v>14</v>
      </c>
      <c r="C417" s="16" t="s">
        <v>842</v>
      </c>
      <c r="D417" s="16" t="s">
        <v>45</v>
      </c>
      <c r="E417" s="16" t="s">
        <v>26</v>
      </c>
      <c r="F417" s="16" t="s">
        <v>843</v>
      </c>
      <c r="G417" s="17">
        <v>1855</v>
      </c>
      <c r="H417" s="17"/>
      <c r="I417" s="17"/>
      <c r="J417" s="17">
        <v>1875</v>
      </c>
      <c r="K417" s="17" t="n">
        <f aca="false">IF(AND(IFERROR(SEARCH("현대오일뱅크",$C417),0)&gt;0,IFERROR(SEARCH("직영",$C417),0)&gt;0),$B$13,0)</f>
        <v/>
      </c>
      <c r="L417" s="17" t="n">
        <f aca="false">IF($G417="","",$G417+$K417)</f>
        <v/>
      </c>
      <c r="M417" s="17" t="str">
        <f aca="false">IF($H417="","",$H417+$K417)</f>
        <v/>
      </c>
      <c r="N417" s="17" t="n">
        <f aca="false">IF($J417="","",$J417+$K417)</f>
        <v/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 t="str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 t="str">
        <f aca="false">IF($P417="","",IF($Q417="Y",IFERROR(VLOOKUP($B417,$C$4:$D$13,2,FALSE()),0),0))</f>
        <v/>
      </c>
      <c r="S417" s="17" t="str">
        <f aca="false">IF($P417="","",ROUNDDOWN($P417*$R417,0))</f>
        <v/>
      </c>
      <c r="T417" s="17" t="str">
        <f aca="false">IF($P417="","",$P417-$S417)</f>
        <v/>
      </c>
      <c r="U417" s="17" t="str">
        <f aca="false">IF($T417="","",IF($B$10=0,"",$T417/$B$10))</f>
        <v/>
      </c>
      <c r="V417" s="17" t="str">
        <f aca="false">IF($P417="","",IF($B$10=0,"",$P417/$B$10))</f>
        <v/>
      </c>
      <c r="W417" s="19" t="n">
        <f aca="false">IF($T417="",1000000000000000,$T417)</f>
        <v/>
      </c>
      <c r="XFB417" s="6"/>
      <c r="XFC417" s="3"/>
    </row>
    <row r="418" s="5" collapsed="false" customFormat="true" customHeight="true" hidden="false" ht="28.5" outlineLevel="0">
      <c r="A418" s="16" t="str">
        <f aca="false">IF($T418="","",1+COUNTIF($W$15:$W$894,"&lt;"&amp;W418))</f>
        <v/>
      </c>
      <c r="B418" s="16" t="s">
        <v>12</v>
      </c>
      <c r="C418" s="16" t="s">
        <v>844</v>
      </c>
      <c r="D418" s="20" t="s">
        <v>45</v>
      </c>
      <c r="E418" s="16" t="s">
        <v>26</v>
      </c>
      <c r="F418" s="16" t="s">
        <v>845</v>
      </c>
      <c r="G418" s="17">
        <v>1835</v>
      </c>
      <c r="H418" s="17"/>
      <c r="I418" s="17"/>
      <c r="J418" s="17">
        <v>1825</v>
      </c>
      <c r="K418" s="17" t="n">
        <f aca="false">IF(AND(IFERROR(SEARCH("현대오일뱅크",$C418),0)&gt;0,IFERROR(SEARCH("직영",$C418),0)&gt;0),$B$13,0)</f>
        <v/>
      </c>
      <c r="L418" s="17" t="n">
        <f aca="false">IF($G418="","",$G418+$K418)</f>
        <v/>
      </c>
      <c r="M418" s="17" t="str">
        <f aca="false">IF($H418="","",$H418+$K418)</f>
        <v/>
      </c>
      <c r="N418" s="17" t="n">
        <f aca="false">IF($J418="","",$J418+$K418)</f>
        <v/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 t="str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 t="str">
        <f aca="false">IF($P418="","",IF($Q418="Y",IFERROR(VLOOKUP($B418,$C$4:$D$13,2,FALSE()),0),0))</f>
        <v/>
      </c>
      <c r="S418" s="17" t="str">
        <f aca="false">IF($P418="","",ROUNDDOWN($P418*$R418,0))</f>
        <v/>
      </c>
      <c r="T418" s="17" t="str">
        <f aca="false">IF($P418="","",$P418-$S418)</f>
        <v/>
      </c>
      <c r="U418" s="17" t="str">
        <f aca="false">IF($T418="","",IF($B$10=0,"",$T418/$B$10))</f>
        <v/>
      </c>
      <c r="V418" s="17" t="str">
        <f aca="false">IF($P418="","",IF($B$10=0,"",$P418/$B$10))</f>
        <v/>
      </c>
      <c r="W418" s="19" t="n">
        <f aca="false">IF($T418="",1000000000000000,$T418)</f>
        <v/>
      </c>
      <c r="XFB418" s="6"/>
      <c r="XFC418" s="3"/>
    </row>
    <row r="419" s="5" collapsed="false" customFormat="true" customHeight="true" hidden="false" ht="28.5" outlineLevel="0">
      <c r="A419" s="16" t="str">
        <f aca="false">IF($T419="","",1+COUNTIF($W$15:$W$894,"&lt;"&amp;W419))</f>
        <v/>
      </c>
      <c r="B419" s="16" t="s">
        <v>12</v>
      </c>
      <c r="C419" s="16" t="s">
        <v>846</v>
      </c>
      <c r="D419" s="20" t="s">
        <v>95</v>
      </c>
      <c r="E419" s="16" t="s">
        <v>26</v>
      </c>
      <c r="F419" s="16" t="s">
        <v>847</v>
      </c>
      <c r="G419" s="17">
        <v>1837</v>
      </c>
      <c r="H419" s="17"/>
      <c r="I419" s="17"/>
      <c r="J419" s="17">
        <v>1827</v>
      </c>
      <c r="K419" s="17" t="n">
        <f aca="false">IF(AND(IFERROR(SEARCH("현대오일뱅크",$C419),0)&gt;0,IFERROR(SEARCH("직영",$C419),0)&gt;0),$B$13,0)</f>
        <v/>
      </c>
      <c r="L419" s="17" t="n">
        <f aca="false">IF($G419="","",$G419+$K419)</f>
        <v/>
      </c>
      <c r="M419" s="17" t="str">
        <f aca="false">IF($H419="","",$H419+$K419)</f>
        <v/>
      </c>
      <c r="N419" s="17" t="n">
        <f aca="false">IF($J419="","",$J419+$K419)</f>
        <v/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 t="str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 t="str">
        <f aca="false">IF($P419="","",IF($Q419="Y",IFERROR(VLOOKUP($B419,$C$4:$D$13,2,FALSE()),0),0))</f>
        <v/>
      </c>
      <c r="S419" s="17" t="str">
        <f aca="false">IF($P419="","",ROUNDDOWN($P419*$R419,0))</f>
        <v/>
      </c>
      <c r="T419" s="17" t="str">
        <f aca="false">IF($P419="","",$P419-$S419)</f>
        <v/>
      </c>
      <c r="U419" s="17" t="str">
        <f aca="false">IF($T419="","",IF($B$10=0,"",$T419/$B$10))</f>
        <v/>
      </c>
      <c r="V419" s="17" t="str">
        <f aca="false">IF($P419="","",IF($B$10=0,"",$P419/$B$10))</f>
        <v/>
      </c>
      <c r="W419" s="19" t="n">
        <f aca="false">IF($T419="",1000000000000000,$T419)</f>
        <v/>
      </c>
      <c r="XFB419" s="6"/>
      <c r="XFC419" s="3"/>
    </row>
    <row r="420" s="5" collapsed="false" customFormat="true" customHeight="true" hidden="false" ht="28.5" outlineLevel="0">
      <c r="A420" s="16" t="str">
        <f aca="false">IF($T420="","",1+COUNTIF($W$15:$W$894,"&lt;"&amp;W420))</f>
        <v/>
      </c>
      <c r="B420" s="16" t="s">
        <v>14</v>
      </c>
      <c r="C420" s="16" t="s">
        <v>848</v>
      </c>
      <c r="D420" s="16" t="s">
        <v>51</v>
      </c>
      <c r="E420" s="16" t="s">
        <v>63</v>
      </c>
      <c r="F420" s="16" t="s">
        <v>849</v>
      </c>
      <c r="G420" s="17">
        <v>1858</v>
      </c>
      <c r="H420" s="17"/>
      <c r="I420" s="17"/>
      <c r="J420" s="17">
        <v>1858</v>
      </c>
      <c r="K420" s="17" t="n">
        <f aca="false">IF(AND(IFERROR(SEARCH("현대오일뱅크",$C420),0)&gt;0,IFERROR(SEARCH("직영",$C420),0)&gt;0),$B$13,0)</f>
        <v/>
      </c>
      <c r="L420" s="17" t="n">
        <f aca="false">IF($G420="","",$G420+$K420)</f>
        <v/>
      </c>
      <c r="M420" s="17" t="str">
        <f aca="false">IF($H420="","",$H420+$K420)</f>
        <v/>
      </c>
      <c r="N420" s="17" t="n">
        <f aca="false">IF($J420="","",$J420+$K420)</f>
        <v/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 t="str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 t="str">
        <f aca="false">IF($P420="","",IF($Q420="Y",IFERROR(VLOOKUP($B420,$C$4:$D$13,2,FALSE()),0),0))</f>
        <v/>
      </c>
      <c r="S420" s="17" t="str">
        <f aca="false">IF($P420="","",ROUNDDOWN($P420*$R420,0))</f>
        <v/>
      </c>
      <c r="T420" s="17" t="str">
        <f aca="false">IF($P420="","",$P420-$S420)</f>
        <v/>
      </c>
      <c r="U420" s="17" t="str">
        <f aca="false">IF($T420="","",IF($B$10=0,"",$T420/$B$10))</f>
        <v/>
      </c>
      <c r="V420" s="17" t="str">
        <f aca="false">IF($P420="","",IF($B$10=0,"",$P420/$B$10))</f>
        <v/>
      </c>
      <c r="W420" s="19" t="n">
        <f aca="false">IF($T420="",1000000000000000,$T420)</f>
        <v/>
      </c>
      <c r="XFB420" s="6"/>
      <c r="XFC420" s="3"/>
    </row>
    <row r="421" s="5" collapsed="false" customFormat="true" customHeight="true" hidden="false" ht="28.5" outlineLevel="0">
      <c r="A421" s="16" t="str">
        <f aca="false">IF($T421="","",1+COUNTIF($W$15:$W$894,"&lt;"&amp;W421))</f>
        <v/>
      </c>
      <c r="B421" s="16" t="s">
        <v>14</v>
      </c>
      <c r="C421" s="16" t="s">
        <v>850</v>
      </c>
      <c r="D421" s="16" t="s">
        <v>95</v>
      </c>
      <c r="E421" s="16" t="s">
        <v>63</v>
      </c>
      <c r="F421" s="16" t="s">
        <v>851</v>
      </c>
      <c r="G421" s="17">
        <v>1858</v>
      </c>
      <c r="H421" s="17"/>
      <c r="I421" s="17"/>
      <c r="J421" s="17">
        <v>1858</v>
      </c>
      <c r="K421" s="17" t="n">
        <f aca="false">IF(AND(IFERROR(SEARCH("현대오일뱅크",$C421),0)&gt;0,IFERROR(SEARCH("직영",$C421),0)&gt;0),$B$13,0)</f>
        <v/>
      </c>
      <c r="L421" s="17" t="n">
        <f aca="false">IF($G421="","",$G421+$K421)</f>
        <v/>
      </c>
      <c r="M421" s="17" t="str">
        <f aca="false">IF($H421="","",$H421+$K421)</f>
        <v/>
      </c>
      <c r="N421" s="17" t="n">
        <f aca="false">IF($J421="","",$J421+$K421)</f>
        <v/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 t="str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 t="str">
        <f aca="false">IF($P421="","",IF($Q421="Y",IFERROR(VLOOKUP($B421,$C$4:$D$13,2,FALSE()),0),0))</f>
        <v/>
      </c>
      <c r="S421" s="17" t="str">
        <f aca="false">IF($P421="","",ROUNDDOWN($P421*$R421,0))</f>
        <v/>
      </c>
      <c r="T421" s="17" t="str">
        <f aca="false">IF($P421="","",$P421-$S421)</f>
        <v/>
      </c>
      <c r="U421" s="17" t="str">
        <f aca="false">IF($T421="","",IF($B$10=0,"",$T421/$B$10))</f>
        <v/>
      </c>
      <c r="V421" s="17" t="str">
        <f aca="false">IF($P421="","",IF($B$10=0,"",$P421/$B$10))</f>
        <v/>
      </c>
      <c r="W421" s="19" t="n">
        <f aca="false">IF($T421="",1000000000000000,$T421)</f>
        <v/>
      </c>
      <c r="XFB421" s="6"/>
      <c r="XFC421" s="3"/>
    </row>
    <row r="422" s="5" collapsed="false" customFormat="true" customHeight="true" hidden="false" ht="28.5" outlineLevel="0">
      <c r="A422" s="16" t="str">
        <f aca="false">IF($T422="","",1+COUNTIF($W$15:$W$894,"&lt;"&amp;W422))</f>
        <v/>
      </c>
      <c r="B422" s="16" t="s">
        <v>12</v>
      </c>
      <c r="C422" s="16" t="s">
        <v>153</v>
      </c>
      <c r="D422" s="20" t="s">
        <v>45</v>
      </c>
      <c r="E422" s="16" t="s">
        <v>63</v>
      </c>
      <c r="F422" s="16" t="s">
        <v>854</v>
      </c>
      <c r="G422" s="17">
        <v>1838</v>
      </c>
      <c r="H422" s="17"/>
      <c r="I422" s="17"/>
      <c r="J422" s="17">
        <v>1818</v>
      </c>
      <c r="K422" s="17" t="n">
        <f aca="false">IF(AND(IFERROR(SEARCH("현대오일뱅크",$C422),0)&gt;0,IFERROR(SEARCH("직영",$C422),0)&gt;0),$B$13,0)</f>
        <v/>
      </c>
      <c r="L422" s="17" t="n">
        <f aca="false">IF($G422="","",$G422+$K422)</f>
        <v/>
      </c>
      <c r="M422" s="17" t="str">
        <f aca="false">IF($H422="","",$H422+$K422)</f>
        <v/>
      </c>
      <c r="N422" s="17" t="n">
        <f aca="false">IF($J422="","",$J422+$K422)</f>
        <v/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 t="str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 t="str">
        <f aca="false">IF($P422="","",IF($Q422="Y",IFERROR(VLOOKUP($B422,$C$4:$D$13,2,FALSE()),0),0))</f>
        <v/>
      </c>
      <c r="S422" s="17" t="str">
        <f aca="false">IF($P422="","",ROUNDDOWN($P422*$R422,0))</f>
        <v/>
      </c>
      <c r="T422" s="17" t="str">
        <f aca="false">IF($P422="","",$P422-$S422)</f>
        <v/>
      </c>
      <c r="U422" s="17" t="str">
        <f aca="false">IF($T422="","",IF($B$10=0,"",$T422/$B$10))</f>
        <v/>
      </c>
      <c r="V422" s="17" t="str">
        <f aca="false">IF($P422="","",IF($B$10=0,"",$P422/$B$10))</f>
        <v/>
      </c>
      <c r="W422" s="19" t="n">
        <f aca="false">IF($T422="",1000000000000000,$T422)</f>
        <v/>
      </c>
      <c r="XFB422" s="6"/>
      <c r="XFC422" s="3"/>
    </row>
    <row r="423" s="5" collapsed="false" customFormat="true" customHeight="true" hidden="false" ht="28.5" outlineLevel="0">
      <c r="A423" s="16" t="str">
        <f aca="false">IF($T423="","",1+COUNTIF($W$15:$W$894,"&lt;"&amp;W423))</f>
        <v/>
      </c>
      <c r="B423" s="16" t="s">
        <v>12</v>
      </c>
      <c r="C423" s="16" t="s">
        <v>855</v>
      </c>
      <c r="D423" s="20" t="s">
        <v>45</v>
      </c>
      <c r="E423" s="16" t="s">
        <v>63</v>
      </c>
      <c r="F423" s="16" t="s">
        <v>856</v>
      </c>
      <c r="G423" s="17">
        <v>1838</v>
      </c>
      <c r="H423" s="17"/>
      <c r="I423" s="17"/>
      <c r="J423" s="17">
        <v>1818</v>
      </c>
      <c r="K423" s="17" t="n">
        <f aca="false">IF(AND(IFERROR(SEARCH("현대오일뱅크",$C423),0)&gt;0,IFERROR(SEARCH("직영",$C423),0)&gt;0),$B$13,0)</f>
        <v/>
      </c>
      <c r="L423" s="17" t="n">
        <f aca="false">IF($G423="","",$G423+$K423)</f>
        <v/>
      </c>
      <c r="M423" s="17" t="str">
        <f aca="false">IF($H423="","",$H423+$K423)</f>
        <v/>
      </c>
      <c r="N423" s="17" t="n">
        <f aca="false">IF($J423="","",$J423+$K423)</f>
        <v/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 t="str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 t="str">
        <f aca="false">IF($P423="","",IF($Q423="Y",IFERROR(VLOOKUP($B423,$C$4:$D$13,2,FALSE()),0),0))</f>
        <v/>
      </c>
      <c r="S423" s="17" t="str">
        <f aca="false">IF($P423="","",ROUNDDOWN($P423*$R423,0))</f>
        <v/>
      </c>
      <c r="T423" s="17" t="str">
        <f aca="false">IF($P423="","",$P423-$S423)</f>
        <v/>
      </c>
      <c r="U423" s="17" t="str">
        <f aca="false">IF($T423="","",IF($B$10=0,"",$T423/$B$10))</f>
        <v/>
      </c>
      <c r="V423" s="17" t="str">
        <f aca="false">IF($P423="","",IF($B$10=0,"",$P423/$B$10))</f>
        <v/>
      </c>
      <c r="W423" s="19" t="n">
        <f aca="false">IF($T423="",1000000000000000,$T423)</f>
        <v/>
      </c>
      <c r="XFB423" s="6"/>
      <c r="XFC423" s="3"/>
    </row>
    <row r="424" s="5" collapsed="false" customFormat="true" customHeight="true" hidden="false" ht="28.5" outlineLevel="0">
      <c r="A424" s="16" t="str">
        <f aca="false">IF($T424="","",1+COUNTIF($W$15:$W$894,"&lt;"&amp;W424))</f>
        <v/>
      </c>
      <c r="B424" s="16" t="s">
        <v>14</v>
      </c>
      <c r="C424" s="16" t="s">
        <v>857</v>
      </c>
      <c r="D424" s="16" t="s">
        <v>51</v>
      </c>
      <c r="E424" s="16" t="s">
        <v>63</v>
      </c>
      <c r="F424" s="16" t="s">
        <v>858</v>
      </c>
      <c r="G424" s="17">
        <v>1859</v>
      </c>
      <c r="H424" s="17"/>
      <c r="I424" s="17"/>
      <c r="J424" s="17">
        <v>1835</v>
      </c>
      <c r="K424" s="17" t="n">
        <f aca="false">IF(AND(IFERROR(SEARCH("현대오일뱅크",$C424),0)&gt;0,IFERROR(SEARCH("직영",$C424),0)&gt;0),$B$13,0)</f>
        <v/>
      </c>
      <c r="L424" s="17" t="n">
        <f aca="false">IF($G424="","",$G424+$K424)</f>
        <v/>
      </c>
      <c r="M424" s="17" t="str">
        <f aca="false">IF($H424="","",$H424+$K424)</f>
        <v/>
      </c>
      <c r="N424" s="17" t="n">
        <f aca="false">IF($J424="","",$J424+$K424)</f>
        <v/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 t="str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 t="str">
        <f aca="false">IF($P424="","",IF($Q424="Y",IFERROR(VLOOKUP($B424,$C$4:$D$13,2,FALSE()),0),0))</f>
        <v/>
      </c>
      <c r="S424" s="17" t="str">
        <f aca="false">IF($P424="","",ROUNDDOWN($P424*$R424,0))</f>
        <v/>
      </c>
      <c r="T424" s="17" t="str">
        <f aca="false">IF($P424="","",$P424-$S424)</f>
        <v/>
      </c>
      <c r="U424" s="17" t="str">
        <f aca="false">IF($T424="","",IF($B$10=0,"",$T424/$B$10))</f>
        <v/>
      </c>
      <c r="V424" s="17" t="str">
        <f aca="false">IF($P424="","",IF($B$10=0,"",$P424/$B$10))</f>
        <v/>
      </c>
      <c r="W424" s="19" t="n">
        <f aca="false">IF($T424="",1000000000000000,$T424)</f>
        <v/>
      </c>
      <c r="XFB424" s="6"/>
      <c r="XFC424" s="3"/>
    </row>
    <row r="425" s="5" collapsed="false" customFormat="true" customHeight="true" hidden="false" ht="28.5" outlineLevel="0">
      <c r="A425" s="16" t="str">
        <f aca="false">IF($T425="","",1+COUNTIF($W$15:$W$894,"&lt;"&amp;W425))</f>
        <v/>
      </c>
      <c r="B425" s="16" t="s">
        <v>14</v>
      </c>
      <c r="C425" s="16" t="s">
        <v>859</v>
      </c>
      <c r="D425" s="16" t="s">
        <v>95</v>
      </c>
      <c r="E425" s="16" t="s">
        <v>63</v>
      </c>
      <c r="F425" s="16" t="s">
        <v>860</v>
      </c>
      <c r="G425" s="17">
        <v>1859</v>
      </c>
      <c r="H425" s="17"/>
      <c r="I425" s="17"/>
      <c r="J425" s="17">
        <v>1859</v>
      </c>
      <c r="K425" s="17" t="n">
        <f aca="false">IF(AND(IFERROR(SEARCH("현대오일뱅크",$C425),0)&gt;0,IFERROR(SEARCH("직영",$C425),0)&gt;0),$B$13,0)</f>
        <v/>
      </c>
      <c r="L425" s="17" t="n">
        <f aca="false">IF($G425="","",$G425+$K425)</f>
        <v/>
      </c>
      <c r="M425" s="17" t="str">
        <f aca="false">IF($H425="","",$H425+$K425)</f>
        <v/>
      </c>
      <c r="N425" s="17" t="n">
        <f aca="false">IF($J425="","",$J425+$K425)</f>
        <v/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 t="str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 t="str">
        <f aca="false">IF($P425="","",IF($Q425="Y",IFERROR(VLOOKUP($B425,$C$4:$D$13,2,FALSE()),0),0))</f>
        <v/>
      </c>
      <c r="S425" s="17" t="str">
        <f aca="false">IF($P425="","",ROUNDDOWN($P425*$R425,0))</f>
        <v/>
      </c>
      <c r="T425" s="17" t="str">
        <f aca="false">IF($P425="","",$P425-$S425)</f>
        <v/>
      </c>
      <c r="U425" s="17" t="str">
        <f aca="false">IF($T425="","",IF($B$10=0,"",$T425/$B$10))</f>
        <v/>
      </c>
      <c r="V425" s="17" t="str">
        <f aca="false">IF($P425="","",IF($B$10=0,"",$P425/$B$10))</f>
        <v/>
      </c>
      <c r="W425" s="19" t="n">
        <f aca="false">IF($T425="",1000000000000000,$T425)</f>
        <v/>
      </c>
      <c r="XFB425" s="6"/>
      <c r="XFC425" s="3"/>
    </row>
    <row r="426" s="5" collapsed="false" customFormat="true" customHeight="true" hidden="false" ht="28.5" outlineLevel="0">
      <c r="A426" s="16" t="str">
        <f aca="false">IF($T426="","",1+COUNTIF($W$15:$W$894,"&lt;"&amp;W426))</f>
        <v/>
      </c>
      <c r="B426" s="16" t="s">
        <v>6</v>
      </c>
      <c r="C426" s="16" t="s">
        <v>861</v>
      </c>
      <c r="D426" s="20" t="s">
        <v>86</v>
      </c>
      <c r="E426" s="16" t="s">
        <v>26</v>
      </c>
      <c r="F426" s="16" t="s">
        <v>862</v>
      </c>
      <c r="G426" s="17">
        <v>1839</v>
      </c>
      <c r="H426" s="17"/>
      <c r="I426" s="17"/>
      <c r="J426" s="17">
        <v>1799</v>
      </c>
      <c r="K426" s="17" t="n">
        <f aca="false">IF(AND(IFERROR(SEARCH("현대오일뱅크",$C426),0)&gt;0,IFERROR(SEARCH("직영",$C426),0)&gt;0),$B$13,0)</f>
        <v/>
      </c>
      <c r="L426" s="17" t="n">
        <f aca="false">IF($G426="","",$G426+$K426)</f>
        <v/>
      </c>
      <c r="M426" s="17" t="str">
        <f aca="false">IF($H426="","",$H426+$K426)</f>
        <v/>
      </c>
      <c r="N426" s="17" t="n">
        <f aca="false">IF($J426="","",$J426+$K426)</f>
        <v/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 t="str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 t="str">
        <f aca="false">IF($P426="","",IF($Q426="Y",IFERROR(VLOOKUP($B426,$C$4:$D$13,2,FALSE()),0),0))</f>
        <v/>
      </c>
      <c r="S426" s="17" t="str">
        <f aca="false">IF($P426="","",ROUNDDOWN($P426*$R426,0))</f>
        <v/>
      </c>
      <c r="T426" s="17" t="str">
        <f aca="false">IF($P426="","",$P426-$S426)</f>
        <v/>
      </c>
      <c r="U426" s="17" t="str">
        <f aca="false">IF($T426="","",IF($B$10=0,"",$T426/$B$10))</f>
        <v/>
      </c>
      <c r="V426" s="17" t="str">
        <f aca="false">IF($P426="","",IF($B$10=0,"",$P426/$B$10))</f>
        <v/>
      </c>
      <c r="W426" s="19" t="n">
        <f aca="false">IF($T426="",1000000000000000,$T426)</f>
        <v/>
      </c>
      <c r="XFB426" s="6"/>
      <c r="XFC426" s="3"/>
    </row>
    <row r="427" s="5" collapsed="false" customFormat="true" customHeight="true" hidden="false" ht="28.5" outlineLevel="0">
      <c r="A427" s="16" t="str">
        <f aca="false">IF($T427="","",1+COUNTIF($W$15:$W$894,"&lt;"&amp;W427))</f>
        <v/>
      </c>
      <c r="B427" s="16" t="s">
        <v>12</v>
      </c>
      <c r="C427" s="16" t="s">
        <v>863</v>
      </c>
      <c r="D427" s="20" t="s">
        <v>95</v>
      </c>
      <c r="E427" s="16" t="s">
        <v>26</v>
      </c>
      <c r="F427" s="16" t="s">
        <v>864</v>
      </c>
      <c r="G427" s="17">
        <v>1839</v>
      </c>
      <c r="H427" s="17"/>
      <c r="I427" s="17"/>
      <c r="J427" s="17">
        <v>1839</v>
      </c>
      <c r="K427" s="17" t="n">
        <f aca="false">IF(AND(IFERROR(SEARCH("현대오일뱅크",$C427),0)&gt;0,IFERROR(SEARCH("직영",$C427),0)&gt;0),$B$13,0)</f>
        <v/>
      </c>
      <c r="L427" s="17" t="n">
        <f aca="false">IF($G427="","",$G427+$K427)</f>
        <v/>
      </c>
      <c r="M427" s="17" t="str">
        <f aca="false">IF($H427="","",$H427+$K427)</f>
        <v/>
      </c>
      <c r="N427" s="17" t="n">
        <f aca="false">IF($J427="","",$J427+$K427)</f>
        <v/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 t="str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 t="str">
        <f aca="false">IF($P427="","",IF($Q427="Y",IFERROR(VLOOKUP($B427,$C$4:$D$13,2,FALSE()),0),0))</f>
        <v/>
      </c>
      <c r="S427" s="17" t="str">
        <f aca="false">IF($P427="","",ROUNDDOWN($P427*$R427,0))</f>
        <v/>
      </c>
      <c r="T427" s="17" t="str">
        <f aca="false">IF($P427="","",$P427-$S427)</f>
        <v/>
      </c>
      <c r="U427" s="17" t="str">
        <f aca="false">IF($T427="","",IF($B$10=0,"",$T427/$B$10))</f>
        <v/>
      </c>
      <c r="V427" s="17" t="str">
        <f aca="false">IF($P427="","",IF($B$10=0,"",$P427/$B$10))</f>
        <v/>
      </c>
      <c r="W427" s="19" t="n">
        <f aca="false">IF($T427="",1000000000000000,$T427)</f>
        <v/>
      </c>
      <c r="XFB427" s="6"/>
      <c r="XFC427" s="3"/>
    </row>
    <row r="428" s="5" collapsed="false" customFormat="true" customHeight="true" hidden="false" ht="28.5" outlineLevel="0">
      <c r="A428" s="16" t="str">
        <f aca="false">IF($T428="","",1+COUNTIF($W$15:$W$894,"&lt;"&amp;W428))</f>
        <v/>
      </c>
      <c r="B428" s="16" t="s">
        <v>14</v>
      </c>
      <c r="C428" s="16" t="s">
        <v>865</v>
      </c>
      <c r="D428" s="16" t="s">
        <v>95</v>
      </c>
      <c r="E428" s="16" t="s">
        <v>63</v>
      </c>
      <c r="F428" s="16" t="s">
        <v>866</v>
      </c>
      <c r="G428" s="17">
        <v>1860</v>
      </c>
      <c r="H428" s="17"/>
      <c r="I428" s="17"/>
      <c r="J428" s="17">
        <v>1860</v>
      </c>
      <c r="K428" s="17" t="n">
        <f aca="false">IF(AND(IFERROR(SEARCH("현대오일뱅크",$C428),0)&gt;0,IFERROR(SEARCH("직영",$C428),0)&gt;0),$B$13,0)</f>
        <v/>
      </c>
      <c r="L428" s="17" t="n">
        <f aca="false">IF($G428="","",$G428+$K428)</f>
        <v/>
      </c>
      <c r="M428" s="17" t="str">
        <f aca="false">IF($H428="","",$H428+$K428)</f>
        <v/>
      </c>
      <c r="N428" s="17" t="n">
        <f aca="false">IF($J428="","",$J428+$K428)</f>
        <v/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 t="str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 t="str">
        <f aca="false">IF($P428="","",IF($Q428="Y",IFERROR(VLOOKUP($B428,$C$4:$D$13,2,FALSE()),0),0))</f>
        <v/>
      </c>
      <c r="S428" s="17" t="str">
        <f aca="false">IF($P428="","",ROUNDDOWN($P428*$R428,0))</f>
        <v/>
      </c>
      <c r="T428" s="17" t="str">
        <f aca="false">IF($P428="","",$P428-$S428)</f>
        <v/>
      </c>
      <c r="U428" s="17" t="str">
        <f aca="false">IF($T428="","",IF($B$10=0,"",$T428/$B$10))</f>
        <v/>
      </c>
      <c r="V428" s="17" t="str">
        <f aca="false">IF($P428="","",IF($B$10=0,"",$P428/$B$10))</f>
        <v/>
      </c>
      <c r="W428" s="19" t="n">
        <f aca="false">IF($T428="",1000000000000000,$T428)</f>
        <v/>
      </c>
      <c r="XFB428" s="6"/>
      <c r="XFC428" s="3"/>
    </row>
    <row r="429" s="5" collapsed="false" customFormat="true" customHeight="true" hidden="false" ht="28.5" outlineLevel="0">
      <c r="A429" s="16" t="str">
        <f aca="false">IF($T429="","",1+COUNTIF($W$15:$W$894,"&lt;"&amp;W429))</f>
        <v/>
      </c>
      <c r="B429" s="16" t="s">
        <v>6</v>
      </c>
      <c r="C429" s="16" t="s">
        <v>867</v>
      </c>
      <c r="D429" s="16" t="s">
        <v>51</v>
      </c>
      <c r="E429" s="16" t="s">
        <v>63</v>
      </c>
      <c r="F429" s="16" t="s">
        <v>868</v>
      </c>
      <c r="G429" s="17">
        <v>1843</v>
      </c>
      <c r="H429" s="17"/>
      <c r="I429" s="17"/>
      <c r="J429" s="17">
        <v>1843</v>
      </c>
      <c r="K429" s="17" t="n">
        <f aca="false">IF(AND(IFERROR(SEARCH("현대오일뱅크",$C429),0)&gt;0,IFERROR(SEARCH("직영",$C429),0)&gt;0),$B$13,0)</f>
        <v/>
      </c>
      <c r="L429" s="17" t="n">
        <f aca="false">IF($G429="","",$G429+$K429)</f>
        <v/>
      </c>
      <c r="M429" s="17" t="str">
        <f aca="false">IF($H429="","",$H429+$K429)</f>
        <v/>
      </c>
      <c r="N429" s="17" t="n">
        <f aca="false">IF($J429="","",$J429+$K429)</f>
        <v/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 t="str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 t="str">
        <f aca="false">IF($P429="","",IF($Q429="Y",IFERROR(VLOOKUP($B429,$C$4:$D$13,2,FALSE()),0),0))</f>
        <v/>
      </c>
      <c r="S429" s="17" t="str">
        <f aca="false">IF($P429="","",ROUNDDOWN($P429*$R429,0))</f>
        <v/>
      </c>
      <c r="T429" s="17" t="str">
        <f aca="false">IF($P429="","",$P429-$S429)</f>
        <v/>
      </c>
      <c r="U429" s="17" t="str">
        <f aca="false">IF($T429="","",IF($B$10=0,"",$T429/$B$10))</f>
        <v/>
      </c>
      <c r="V429" s="17" t="str">
        <f aca="false">IF($P429="","",IF($B$10=0,"",$P429/$B$10))</f>
        <v/>
      </c>
      <c r="W429" s="19" t="n">
        <f aca="false">IF($T429="",1000000000000000,$T429)</f>
        <v/>
      </c>
      <c r="XFB429" s="6"/>
      <c r="XFC429" s="3"/>
    </row>
    <row r="430" s="5" collapsed="false" customFormat="true" customHeight="true" hidden="false" ht="28.5" outlineLevel="0">
      <c r="A430" s="16" t="str">
        <f aca="false">IF($T430="","",1+COUNTIF($W$15:$W$894,"&lt;"&amp;W430))</f>
        <v/>
      </c>
      <c r="B430" s="16" t="s">
        <v>12</v>
      </c>
      <c r="C430" s="16" t="s">
        <v>869</v>
      </c>
      <c r="D430" s="20" t="s">
        <v>86</v>
      </c>
      <c r="E430" s="16" t="s">
        <v>63</v>
      </c>
      <c r="F430" s="16" t="s">
        <v>870</v>
      </c>
      <c r="G430" s="17">
        <v>1844</v>
      </c>
      <c r="H430" s="17"/>
      <c r="I430" s="17"/>
      <c r="J430" s="17">
        <v>1830</v>
      </c>
      <c r="K430" s="17" t="n">
        <f aca="false">IF(AND(IFERROR(SEARCH("현대오일뱅크",$C430),0)&gt;0,IFERROR(SEARCH("직영",$C430),0)&gt;0),$B$13,0)</f>
        <v/>
      </c>
      <c r="L430" s="17" t="n">
        <f aca="false">IF($G430="","",$G430+$K430)</f>
        <v/>
      </c>
      <c r="M430" s="17" t="str">
        <f aca="false">IF($H430="","",$H430+$K430)</f>
        <v/>
      </c>
      <c r="N430" s="17" t="n">
        <f aca="false">IF($J430="","",$J430+$K430)</f>
        <v/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 t="str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 t="str">
        <f aca="false">IF($P430="","",IF($Q430="Y",IFERROR(VLOOKUP($B430,$C$4:$D$13,2,FALSE()),0),0))</f>
        <v/>
      </c>
      <c r="S430" s="17" t="str">
        <f aca="false">IF($P430="","",ROUNDDOWN($P430*$R430,0))</f>
        <v/>
      </c>
      <c r="T430" s="17" t="str">
        <f aca="false">IF($P430="","",$P430-$S430)</f>
        <v/>
      </c>
      <c r="U430" s="17" t="str">
        <f aca="false">IF($T430="","",IF($B$10=0,"",$T430/$B$10))</f>
        <v/>
      </c>
      <c r="V430" s="17" t="str">
        <f aca="false">IF($P430="","",IF($B$10=0,"",$P430/$B$10))</f>
        <v/>
      </c>
      <c r="W430" s="19" t="n">
        <f aca="false">IF($T430="",1000000000000000,$T430)</f>
        <v/>
      </c>
      <c r="XFB430" s="6"/>
      <c r="XFC430" s="3"/>
    </row>
    <row r="431" s="5" collapsed="false" customFormat="true" customHeight="true" hidden="false" ht="28.5" outlineLevel="0">
      <c r="A431" s="16" t="str">
        <f aca="false">IF($T431="","",1+COUNTIF($W$15:$W$894,"&lt;"&amp;W431))</f>
        <v/>
      </c>
      <c r="B431" s="16" t="s">
        <v>8</v>
      </c>
      <c r="C431" s="16" t="s">
        <v>429</v>
      </c>
      <c r="D431" s="16" t="s">
        <v>95</v>
      </c>
      <c r="E431" s="16" t="s">
        <v>63</v>
      </c>
      <c r="F431" s="16" t="s">
        <v>871</v>
      </c>
      <c r="G431" s="17">
        <v>1844</v>
      </c>
      <c r="H431" s="17"/>
      <c r="I431" s="17"/>
      <c r="J431" s="17">
        <v>1833</v>
      </c>
      <c r="K431" s="17" t="n">
        <f aca="false">IF(AND(IFERROR(SEARCH("현대오일뱅크",$C431),0)&gt;0,IFERROR(SEARCH("직영",$C431),0)&gt;0),$B$13,0)</f>
        <v/>
      </c>
      <c r="L431" s="17" t="n">
        <f aca="false">IF($G431="","",$G431+$K431)</f>
        <v/>
      </c>
      <c r="M431" s="17" t="str">
        <f aca="false">IF($H431="","",$H431+$K431)</f>
        <v/>
      </c>
      <c r="N431" s="17" t="n">
        <f aca="false">IF($J431="","",$J431+$K431)</f>
        <v/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 t="str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 t="str">
        <f aca="false">IF($P431="","",IF($Q431="Y",IFERROR(VLOOKUP($B431,$C$4:$D$13,2,FALSE()),0),0))</f>
        <v/>
      </c>
      <c r="S431" s="17" t="str">
        <f aca="false">IF($P431="","",ROUNDDOWN($P431*$R431,0))</f>
        <v/>
      </c>
      <c r="T431" s="17" t="str">
        <f aca="false">IF($P431="","",$P431-$S431)</f>
        <v/>
      </c>
      <c r="U431" s="17" t="str">
        <f aca="false">IF($T431="","",IF($B$10=0,"",$T431/$B$10))</f>
        <v/>
      </c>
      <c r="V431" s="17" t="str">
        <f aca="false">IF($P431="","",IF($B$10=0,"",$P431/$B$10))</f>
        <v/>
      </c>
      <c r="W431" s="19" t="n">
        <f aca="false">IF($T431="",1000000000000000,$T431)</f>
        <v/>
      </c>
      <c r="XFB431" s="6"/>
      <c r="XFC431" s="3"/>
    </row>
    <row r="432" s="5" collapsed="false" customFormat="true" customHeight="true" hidden="false" ht="28.5" outlineLevel="0">
      <c r="A432" s="16" t="str">
        <f aca="false">IF($T432="","",1+COUNTIF($W$15:$W$894,"&lt;"&amp;W432))</f>
        <v/>
      </c>
      <c r="B432" s="16" t="s">
        <v>6</v>
      </c>
      <c r="C432" s="16" t="s">
        <v>872</v>
      </c>
      <c r="D432" s="20" t="s">
        <v>86</v>
      </c>
      <c r="E432" s="16" t="s">
        <v>26</v>
      </c>
      <c r="F432" s="16" t="s">
        <v>873</v>
      </c>
      <c r="G432" s="17">
        <v>1845</v>
      </c>
      <c r="H432" s="17"/>
      <c r="I432" s="17"/>
      <c r="J432" s="17">
        <v>1845</v>
      </c>
      <c r="K432" s="17" t="n">
        <f aca="false">IF(AND(IFERROR(SEARCH("현대오일뱅크",$C432),0)&gt;0,IFERROR(SEARCH("직영",$C432),0)&gt;0),$B$13,0)</f>
        <v/>
      </c>
      <c r="L432" s="17" t="n">
        <f aca="false">IF($G432="","",$G432+$K432)</f>
        <v/>
      </c>
      <c r="M432" s="17" t="str">
        <f aca="false">IF($H432="","",$H432+$K432)</f>
        <v/>
      </c>
      <c r="N432" s="17" t="n">
        <f aca="false">IF($J432="","",$J432+$K432)</f>
        <v/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 t="str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 t="str">
        <f aca="false">IF($P432="","",IF($Q432="Y",IFERROR(VLOOKUP($B432,$C$4:$D$13,2,FALSE()),0),0))</f>
        <v/>
      </c>
      <c r="S432" s="17" t="str">
        <f aca="false">IF($P432="","",ROUNDDOWN($P432*$R432,0))</f>
        <v/>
      </c>
      <c r="T432" s="17" t="str">
        <f aca="false">IF($P432="","",$P432-$S432)</f>
        <v/>
      </c>
      <c r="U432" s="17" t="str">
        <f aca="false">IF($T432="","",IF($B$10=0,"",$T432/$B$10))</f>
        <v/>
      </c>
      <c r="V432" s="17" t="str">
        <f aca="false">IF($P432="","",IF($B$10=0,"",$P432/$B$10))</f>
        <v/>
      </c>
      <c r="W432" s="19" t="n">
        <f aca="false">IF($T432="",1000000000000000,$T432)</f>
        <v/>
      </c>
      <c r="XFB432" s="6"/>
      <c r="XFC432" s="3"/>
    </row>
    <row r="433" s="5" collapsed="false" customFormat="true" customHeight="true" hidden="false" ht="28.5" outlineLevel="0">
      <c r="A433" s="16" t="str">
        <f aca="false">IF($T433="","",1+COUNTIF($W$15:$W$894,"&lt;"&amp;W433))</f>
        <v/>
      </c>
      <c r="B433" s="16" t="s">
        <v>12</v>
      </c>
      <c r="C433" s="16" t="s">
        <v>874</v>
      </c>
      <c r="D433" s="20" t="s">
        <v>95</v>
      </c>
      <c r="E433" s="16" t="s">
        <v>26</v>
      </c>
      <c r="F433" s="16" t="s">
        <v>875</v>
      </c>
      <c r="G433" s="17">
        <v>1847</v>
      </c>
      <c r="H433" s="17"/>
      <c r="I433" s="17"/>
      <c r="J433" s="17">
        <v>1857</v>
      </c>
      <c r="K433" s="17" t="n">
        <f aca="false">IF(AND(IFERROR(SEARCH("현대오일뱅크",$C433),0)&gt;0,IFERROR(SEARCH("직영",$C433),0)&gt;0),$B$13,0)</f>
        <v/>
      </c>
      <c r="L433" s="17" t="n">
        <f aca="false">IF($G433="","",$G433+$K433)</f>
        <v/>
      </c>
      <c r="M433" s="17" t="str">
        <f aca="false">IF($H433="","",$H433+$K433)</f>
        <v/>
      </c>
      <c r="N433" s="17" t="n">
        <f aca="false">IF($J433="","",$J433+$K433)</f>
        <v/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 t="str">
        <f aca="false">IF($B$10=0,"",IFERROR(IF($B$4&gt;0,IF($L433="",1/0,$L433*$B$4),0)+IF($B$5&gt;0,IF($M433="",1/0,$M433*$B$5),0)+IF($B$6&gt;0,IF($N433="",1/0,$N433*$B$6),0),""))</f>
        <v/>
      </c>
      <c r="Q433" s="17" t="s">
        <v>47</v>
      </c>
      <c r="R433" s="18" t="str">
        <f aca="false">IF($P433="","",IF($Q433="Y",IFERROR(VLOOKUP($B433,$C$4:$D$13,2,FALSE()),0),0))</f>
        <v/>
      </c>
      <c r="S433" s="17" t="str">
        <f aca="false">IF($P433="","",ROUNDDOWN($P433*$R433,0))</f>
        <v/>
      </c>
      <c r="T433" s="17" t="str">
        <f aca="false">IF($P433="","",$P433-$S433)</f>
        <v/>
      </c>
      <c r="U433" s="17" t="str">
        <f aca="false">IF($T433="","",IF($B$10=0,"",$T433/$B$10))</f>
        <v/>
      </c>
      <c r="V433" s="17" t="str">
        <f aca="false">IF($P433="","",IF($B$10=0,"",$P433/$B$10))</f>
        <v/>
      </c>
      <c r="W433" s="19" t="n">
        <f aca="false">IF($T433="",1000000000000000,$T433)</f>
        <v/>
      </c>
      <c r="XFB433" s="6"/>
      <c r="XFC433" s="3"/>
    </row>
    <row r="434" s="5" collapsed="false" customFormat="true" customHeight="true" hidden="false" ht="28.5" outlineLevel="0">
      <c r="A434" s="16" t="str">
        <f aca="false">IF($T434="","",1+COUNTIF($W$15:$W$894,"&lt;"&amp;W434))</f>
        <v/>
      </c>
      <c r="B434" s="16" t="s">
        <v>16</v>
      </c>
      <c r="C434" s="16" t="s">
        <v>876</v>
      </c>
      <c r="D434" s="16" t="s">
        <v>45</v>
      </c>
      <c r="E434" s="16" t="s">
        <v>26</v>
      </c>
      <c r="F434" s="16" t="s">
        <v>877</v>
      </c>
      <c r="G434" s="17">
        <v>1890</v>
      </c>
      <c r="H434" s="17"/>
      <c r="I434" s="17"/>
      <c r="J434" s="17">
        <v>1880</v>
      </c>
      <c r="K434" s="17" t="n">
        <f aca="false">IF(AND(IFERROR(SEARCH("현대오일뱅크",$C434),0)&gt;0,IFERROR(SEARCH("직영",$C434),0)&gt;0),$B$13,0)</f>
        <v/>
      </c>
      <c r="L434" s="17" t="n">
        <f aca="false">IF($G434="","",$G434+$K434)</f>
        <v/>
      </c>
      <c r="M434" s="17" t="str">
        <f aca="false">IF($H434="","",$H434+$K434)</f>
        <v/>
      </c>
      <c r="N434" s="17" t="n">
        <f aca="false">IF($J434="","",$J434+$K434)</f>
        <v/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 t="str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 t="str">
        <f aca="false">IF($P434="","",IF($Q434="Y",IFERROR(VLOOKUP($B434,$C$4:$D$13,2,FALSE()),0),0))</f>
        <v/>
      </c>
      <c r="S434" s="17" t="str">
        <f aca="false">IF($P434="","",ROUNDDOWN($P434*$R434,0))</f>
        <v/>
      </c>
      <c r="T434" s="17" t="str">
        <f aca="false">IF($P434="","",$P434-$S434)</f>
        <v/>
      </c>
      <c r="U434" s="17" t="str">
        <f aca="false">IF($T434="","",IF($B$10=0,"",$T434/$B$10))</f>
        <v/>
      </c>
      <c r="V434" s="17" t="str">
        <f aca="false">IF($P434="","",IF($B$10=0,"",$P434/$B$10))</f>
        <v/>
      </c>
      <c r="W434" s="19" t="n">
        <f aca="false">IF($T434="",1000000000000000,$T434)</f>
        <v/>
      </c>
      <c r="XFB434" s="6"/>
      <c r="XFC434" s="3"/>
    </row>
    <row r="435" s="5" collapsed="false" customFormat="true" customHeight="true" hidden="false" ht="28.5" outlineLevel="0">
      <c r="A435" s="16" t="str">
        <f aca="false">IF($T435="","",1+COUNTIF($W$15:$W$894,"&lt;"&amp;W435))</f>
        <v/>
      </c>
      <c r="B435" s="16" t="s">
        <v>16</v>
      </c>
      <c r="C435" s="16" t="s">
        <v>880</v>
      </c>
      <c r="D435" s="20" t="s">
        <v>86</v>
      </c>
      <c r="E435" s="16" t="s">
        <v>63</v>
      </c>
      <c r="F435" s="16" t="s">
        <v>881</v>
      </c>
      <c r="G435" s="17">
        <v>1890</v>
      </c>
      <c r="H435" s="17"/>
      <c r="I435" s="17"/>
      <c r="J435" s="17">
        <v>1890</v>
      </c>
      <c r="K435" s="17" t="n">
        <f aca="false">IF(AND(IFERROR(SEARCH("현대오일뱅크",$C435),0)&gt;0,IFERROR(SEARCH("직영",$C435),0)&gt;0),$B$13,0)</f>
        <v/>
      </c>
      <c r="L435" s="17" t="n">
        <f aca="false">IF($G435="","",$G435+$K435)</f>
        <v/>
      </c>
      <c r="M435" s="17" t="str">
        <f aca="false">IF($H435="","",$H435+$K435)</f>
        <v/>
      </c>
      <c r="N435" s="17" t="n">
        <f aca="false">IF($J435="","",$J435+$K435)</f>
        <v/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 t="str">
        <f aca="false">IF($B$10=0,"",IFERROR(IF($B$4&gt;0,IF($L435="",1/0,$L435*$B$4),0)+IF($B$5&gt;0,IF($M435="",1/0,$M435*$B$5),0)+IF($B$6&gt;0,IF($N435="",1/0,$N435*$B$6),0),""))</f>
        <v/>
      </c>
      <c r="Q435" s="17" t="s">
        <v>47</v>
      </c>
      <c r="R435" s="18" t="str">
        <f aca="false">IF($P435="","",IF($Q435="Y",IFERROR(VLOOKUP($B435,$C$4:$D$13,2,FALSE()),0),0))</f>
        <v/>
      </c>
      <c r="S435" s="17" t="str">
        <f aca="false">IF($P435="","",ROUNDDOWN($P435*$R435,0))</f>
        <v/>
      </c>
      <c r="T435" s="17" t="str">
        <f aca="false">IF($P435="","",$P435-$S435)</f>
        <v/>
      </c>
      <c r="U435" s="17" t="str">
        <f aca="false">IF($T435="","",IF($B$10=0,"",$T435/$B$10))</f>
        <v/>
      </c>
      <c r="V435" s="17" t="str">
        <f aca="false">IF($P435="","",IF($B$10=0,"",$P435/$B$10))</f>
        <v/>
      </c>
      <c r="W435" s="19" t="n">
        <f aca="false">IF($T435="",1000000000000000,$T435)</f>
        <v/>
      </c>
      <c r="XFB435" s="6"/>
      <c r="XFC435" s="3"/>
    </row>
    <row r="436" s="5" collapsed="false" customFormat="true" customHeight="true" hidden="false" ht="28.5" outlineLevel="0">
      <c r="A436" s="16" t="str">
        <f aca="false">IF($T436="","",1+COUNTIF($W$15:$W$894,"&lt;"&amp;W436))</f>
        <v/>
      </c>
      <c r="B436" s="16" t="s">
        <v>16</v>
      </c>
      <c r="C436" s="16" t="s">
        <v>882</v>
      </c>
      <c r="D436" s="20" t="s">
        <v>86</v>
      </c>
      <c r="E436" s="16" t="s">
        <v>63</v>
      </c>
      <c r="F436" s="16" t="s">
        <v>883</v>
      </c>
      <c r="G436" s="17">
        <v>1890</v>
      </c>
      <c r="H436" s="17"/>
      <c r="I436" s="17"/>
      <c r="J436" s="17">
        <v>1890</v>
      </c>
      <c r="K436" s="17" t="n">
        <f aca="false">IF(AND(IFERROR(SEARCH("현대오일뱅크",$C436),0)&gt;0,IFERROR(SEARCH("직영",$C436),0)&gt;0),$B$13,0)</f>
        <v/>
      </c>
      <c r="L436" s="17" t="n">
        <f aca="false">IF($G436="","",$G436+$K436)</f>
        <v/>
      </c>
      <c r="M436" s="17" t="str">
        <f aca="false">IF($H436="","",$H436+$K436)</f>
        <v/>
      </c>
      <c r="N436" s="17" t="n">
        <f aca="false">IF($J436="","",$J436+$K436)</f>
        <v/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 t="str">
        <f aca="false">IF($B$10=0,"",IFERROR(IF($B$4&gt;0,IF($L436="",1/0,$L436*$B$4),0)+IF($B$5&gt;0,IF($M436="",1/0,$M436*$B$5),0)+IF($B$6&gt;0,IF($N436="",1/0,$N436*$B$6),0),""))</f>
        <v/>
      </c>
      <c r="Q436" s="17" t="s">
        <v>47</v>
      </c>
      <c r="R436" s="18" t="str">
        <f aca="false">IF($P436="","",IF($Q436="Y",IFERROR(VLOOKUP($B436,$C$4:$D$13,2,FALSE()),0),0))</f>
        <v/>
      </c>
      <c r="S436" s="17" t="str">
        <f aca="false">IF($P436="","",ROUNDDOWN($P436*$R436,0))</f>
        <v/>
      </c>
      <c r="T436" s="17" t="str">
        <f aca="false">IF($P436="","",$P436-$S436)</f>
        <v/>
      </c>
      <c r="U436" s="17" t="str">
        <f aca="false">IF($T436="","",IF($B$10=0,"",$T436/$B$10))</f>
        <v/>
      </c>
      <c r="V436" s="17" t="str">
        <f aca="false">IF($P436="","",IF($B$10=0,"",$P436/$B$10))</f>
        <v/>
      </c>
      <c r="W436" s="19" t="n">
        <f aca="false">IF($T436="",1000000000000000,$T436)</f>
        <v/>
      </c>
      <c r="XFB436" s="6"/>
      <c r="XFC436" s="3"/>
    </row>
    <row r="437" s="5" collapsed="false" customFormat="true" customHeight="true" hidden="false" ht="28.5" outlineLevel="0">
      <c r="A437" s="16" t="str">
        <f aca="false">IF($T437="","",1+COUNTIF($W$15:$W$894,"&lt;"&amp;W437))</f>
        <v/>
      </c>
      <c r="B437" s="16" t="s">
        <v>12</v>
      </c>
      <c r="C437" s="16" t="s">
        <v>884</v>
      </c>
      <c r="D437" s="20" t="s">
        <v>86</v>
      </c>
      <c r="E437" s="16" t="s">
        <v>26</v>
      </c>
      <c r="F437" s="16" t="s">
        <v>885</v>
      </c>
      <c r="G437" s="17">
        <v>1848</v>
      </c>
      <c r="H437" s="17"/>
      <c r="I437" s="17"/>
      <c r="J437" s="17">
        <v>1848</v>
      </c>
      <c r="K437" s="17" t="n">
        <f aca="false">IF(AND(IFERROR(SEARCH("현대오일뱅크",$C437),0)&gt;0,IFERROR(SEARCH("직영",$C437),0)&gt;0),$B$13,0)</f>
        <v/>
      </c>
      <c r="L437" s="17" t="n">
        <f aca="false">IF($G437="","",$G437+$K437)</f>
        <v/>
      </c>
      <c r="M437" s="17" t="str">
        <f aca="false">IF($H437="","",$H437+$K437)</f>
        <v/>
      </c>
      <c r="N437" s="17" t="n">
        <f aca="false">IF($J437="","",$J437+$K437)</f>
        <v/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 t="str">
        <f aca="false">IF($B$10=0,"",IFERROR(IF($B$4&gt;0,IF($L437="",1/0,$L437*$B$4),0)+IF($B$5&gt;0,IF($M437="",1/0,$M437*$B$5),0)+IF($B$6&gt;0,IF($N437="",1/0,$N437*$B$6),0),""))</f>
        <v/>
      </c>
      <c r="Q437" s="17" t="s">
        <v>47</v>
      </c>
      <c r="R437" s="18" t="str">
        <f aca="false">IF($P437="","",IF($Q437="Y",IFERROR(VLOOKUP($B437,$C$4:$D$13,2,FALSE()),0),0))</f>
        <v/>
      </c>
      <c r="S437" s="17" t="str">
        <f aca="false">IF($P437="","",ROUNDDOWN($P437*$R437,0))</f>
        <v/>
      </c>
      <c r="T437" s="17" t="str">
        <f aca="false">IF($P437="","",$P437-$S437)</f>
        <v/>
      </c>
      <c r="U437" s="17" t="str">
        <f aca="false">IF($T437="","",IF($B$10=0,"",$T437/$B$10))</f>
        <v/>
      </c>
      <c r="V437" s="17" t="str">
        <f aca="false">IF($P437="","",IF($B$10=0,"",$P437/$B$10))</f>
        <v/>
      </c>
      <c r="W437" s="19" t="n">
        <f aca="false">IF($T437="",1000000000000000,$T437)</f>
        <v/>
      </c>
      <c r="XFB437" s="6"/>
      <c r="XFC437" s="3"/>
    </row>
    <row r="438" s="5" collapsed="false" customFormat="true" customHeight="true" hidden="false" ht="28.5" outlineLevel="0">
      <c r="A438" s="16" t="str">
        <f aca="false">IF($T438="","",1+COUNTIF($W$15:$W$894,"&lt;"&amp;W438))</f>
        <v/>
      </c>
      <c r="B438" s="16" t="s">
        <v>6</v>
      </c>
      <c r="C438" s="16" t="s">
        <v>900</v>
      </c>
      <c r="D438" s="16" t="s">
        <v>95</v>
      </c>
      <c r="E438" s="16" t="s">
        <v>26</v>
      </c>
      <c r="F438" s="16" t="s">
        <v>990</v>
      </c>
      <c r="G438" s="17">
        <v>1848</v>
      </c>
      <c r="H438" s="17"/>
      <c r="I438" s="17"/>
      <c r="J438" s="17">
        <v>1849</v>
      </c>
      <c r="K438" s="17" t="n">
        <f aca="false">IF(AND(IFERROR(SEARCH("현대오일뱅크",$C438),0)&gt;0,IFERROR(SEARCH("직영",$C438),0)&gt;0),$B$13,0)</f>
        <v/>
      </c>
      <c r="L438" s="17" t="n">
        <f aca="false">IF($G438="","",$G438+$K438)</f>
        <v/>
      </c>
      <c r="M438" s="17" t="str">
        <f aca="false">IF($H438="","",$H438+$K438)</f>
        <v/>
      </c>
      <c r="N438" s="17" t="n">
        <f aca="false">IF($J438="","",$J438+$K438)</f>
        <v/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 t="str">
        <f aca="false">IF($B$10=0,"",IFERROR(IF($B$4&gt;0,IF($L438="",1/0,$L438*$B$4),0)+IF($B$5&gt;0,IF($M438="",1/0,$M438*$B$5),0)+IF($B$6&gt;0,IF($N438="",1/0,$N438*$B$6),0),""))</f>
        <v/>
      </c>
      <c r="Q438" s="17" t="s">
        <v>47</v>
      </c>
      <c r="R438" s="18" t="str">
        <f aca="false">IF($P438="","",IF($Q438="Y",IFERROR(VLOOKUP($B438,$C$4:$D$13,2,FALSE()),0),0))</f>
        <v/>
      </c>
      <c r="S438" s="17" t="str">
        <f aca="false">IF($P438="","",ROUNDDOWN($P438*$R438,0))</f>
        <v/>
      </c>
      <c r="T438" s="17" t="str">
        <f aca="false">IF($P438="","",$P438-$S438)</f>
        <v/>
      </c>
      <c r="U438" s="17" t="str">
        <f aca="false">IF($T438="","",IF($B$10=0,"",$T438/$B$10))</f>
        <v/>
      </c>
      <c r="V438" s="17" t="str">
        <f aca="false">IF($P438="","",IF($B$10=0,"",$P438/$B$10))</f>
        <v/>
      </c>
      <c r="W438" s="19" t="n">
        <f aca="false">IF($T438="",1000000000000000,$T438)</f>
        <v/>
      </c>
      <c r="XFB438" s="6"/>
      <c r="XFC438" s="3"/>
    </row>
    <row r="439" s="5" collapsed="false" customFormat="true" customHeight="true" hidden="false" ht="28.5" outlineLevel="0">
      <c r="A439" s="16" t="str">
        <f aca="false">IF($T439="","",1+COUNTIF($W$15:$W$894,"&lt;"&amp;W439))</f>
        <v/>
      </c>
      <c r="B439" s="16" t="s">
        <v>10</v>
      </c>
      <c r="C439" s="16" t="s">
        <v>886</v>
      </c>
      <c r="D439" s="16" t="s">
        <v>95</v>
      </c>
      <c r="E439" s="16" t="s">
        <v>26</v>
      </c>
      <c r="F439" s="16" t="s">
        <v>887</v>
      </c>
      <c r="G439" s="17">
        <v>1848</v>
      </c>
      <c r="H439" s="17"/>
      <c r="I439" s="17"/>
      <c r="J439" s="17">
        <v>1898</v>
      </c>
      <c r="K439" s="17" t="n">
        <f aca="false">IF(AND(IFERROR(SEARCH("현대오일뱅크",$C439),0)&gt;0,IFERROR(SEARCH("직영",$C439),0)&gt;0),$B$13,0)</f>
        <v/>
      </c>
      <c r="L439" s="17" t="n">
        <f aca="false">IF($G439="","",$G439+$K439)</f>
        <v/>
      </c>
      <c r="M439" s="17" t="str">
        <f aca="false">IF($H439="","",$H439+$K439)</f>
        <v/>
      </c>
      <c r="N439" s="17" t="n">
        <f aca="false">IF($J439="","",$J439+$K439)</f>
        <v/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 t="str">
        <f aca="false">IF($B$10=0,"",IFERROR(IF($B$4&gt;0,IF($L439="",1/0,$L439*$B$4),0)+IF($B$5&gt;0,IF($M439="",1/0,$M439*$B$5),0)+IF($B$6&gt;0,IF($N439="",1/0,$N439*$B$6),0),""))</f>
        <v/>
      </c>
      <c r="Q439" s="17" t="s">
        <v>47</v>
      </c>
      <c r="R439" s="18" t="str">
        <f aca="false">IF($P439="","",IF($Q439="Y",IFERROR(VLOOKUP($B439,$C$4:$D$13,2,FALSE()),0),0))</f>
        <v/>
      </c>
      <c r="S439" s="17" t="str">
        <f aca="false">IF($P439="","",ROUNDDOWN($P439*$R439,0))</f>
        <v/>
      </c>
      <c r="T439" s="17" t="str">
        <f aca="false">IF($P439="","",$P439-$S439)</f>
        <v/>
      </c>
      <c r="U439" s="17" t="str">
        <f aca="false">IF($T439="","",IF($B$10=0,"",$T439/$B$10))</f>
        <v/>
      </c>
      <c r="V439" s="17" t="str">
        <f aca="false">IF($P439="","",IF($B$10=0,"",$P439/$B$10))</f>
        <v/>
      </c>
      <c r="W439" s="19" t="n">
        <f aca="false">IF($T439="",1000000000000000,$T439)</f>
        <v/>
      </c>
      <c r="XFB439" s="6"/>
      <c r="XFC439" s="3"/>
    </row>
    <row r="440" s="5" collapsed="false" customFormat="true" customHeight="true" hidden="false" ht="28.5" outlineLevel="0">
      <c r="A440" s="16" t="str">
        <f aca="false">IF($T440="","",1+COUNTIF($W$15:$W$894,"&lt;"&amp;W440))</f>
        <v/>
      </c>
      <c r="B440" s="16" t="s">
        <v>14</v>
      </c>
      <c r="C440" s="16" t="s">
        <v>888</v>
      </c>
      <c r="D440" s="16" t="s">
        <v>45</v>
      </c>
      <c r="E440" s="16" t="s">
        <v>63</v>
      </c>
      <c r="F440" s="16" t="s">
        <v>889</v>
      </c>
      <c r="G440" s="17">
        <v>1869</v>
      </c>
      <c r="H440" s="17"/>
      <c r="I440" s="17"/>
      <c r="J440" s="17">
        <v>1849</v>
      </c>
      <c r="K440" s="17" t="n">
        <f aca="false">IF(AND(IFERROR(SEARCH("현대오일뱅크",$C440),0)&gt;0,IFERROR(SEARCH("직영",$C440),0)&gt;0),$B$13,0)</f>
        <v/>
      </c>
      <c r="L440" s="17" t="n">
        <f aca="false">IF($G440="","",$G440+$K440)</f>
        <v/>
      </c>
      <c r="M440" s="17" t="str">
        <f aca="false">IF($H440="","",$H440+$K440)</f>
        <v/>
      </c>
      <c r="N440" s="17" t="n">
        <f aca="false">IF($J440="","",$J440+$K440)</f>
        <v/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 t="str">
        <f aca="false">IF($B$10=0,"",IFERROR(IF($B$4&gt;0,IF($L440="",1/0,$L440*$B$4),0)+IF($B$5&gt;0,IF($M440="",1/0,$M440*$B$5),0)+IF($B$6&gt;0,IF($N440="",1/0,$N440*$B$6),0),""))</f>
        <v/>
      </c>
      <c r="Q440" s="17" t="s">
        <v>47</v>
      </c>
      <c r="R440" s="18" t="str">
        <f aca="false">IF($P440="","",IF($Q440="Y",IFERROR(VLOOKUP($B440,$C$4:$D$13,2,FALSE()),0),0))</f>
        <v/>
      </c>
      <c r="S440" s="17" t="str">
        <f aca="false">IF($P440="","",ROUNDDOWN($P440*$R440,0))</f>
        <v/>
      </c>
      <c r="T440" s="17" t="str">
        <f aca="false">IF($P440="","",$P440-$S440)</f>
        <v/>
      </c>
      <c r="U440" s="17" t="str">
        <f aca="false">IF($T440="","",IF($B$10=0,"",$T440/$B$10))</f>
        <v/>
      </c>
      <c r="V440" s="17" t="str">
        <f aca="false">IF($P440="","",IF($B$10=0,"",$P440/$B$10))</f>
        <v/>
      </c>
      <c r="W440" s="19" t="n">
        <f aca="false">IF($T440="",1000000000000000,$T440)</f>
        <v/>
      </c>
      <c r="XFB440" s="6"/>
      <c r="XFC440" s="3"/>
    </row>
    <row r="441" s="5" collapsed="false" customFormat="true" customHeight="true" hidden="false" ht="28.5" outlineLevel="0">
      <c r="A441" s="16" t="str">
        <f aca="false">IF($T441="","",1+COUNTIF($W$15:$W$894,"&lt;"&amp;W441))</f>
        <v/>
      </c>
      <c r="B441" s="16" t="s">
        <v>14</v>
      </c>
      <c r="C441" s="16" t="s">
        <v>890</v>
      </c>
      <c r="D441" s="16" t="s">
        <v>45</v>
      </c>
      <c r="E441" s="16" t="s">
        <v>26</v>
      </c>
      <c r="F441" s="16" t="s">
        <v>891</v>
      </c>
      <c r="G441" s="17">
        <v>1869</v>
      </c>
      <c r="H441" s="17"/>
      <c r="I441" s="17"/>
      <c r="J441" s="17">
        <v>1849</v>
      </c>
      <c r="K441" s="17" t="n">
        <f aca="false">IF(AND(IFERROR(SEARCH("현대오일뱅크",$C441),0)&gt;0,IFERROR(SEARCH("직영",$C441),0)&gt;0),$B$13,0)</f>
        <v/>
      </c>
      <c r="L441" s="17" t="n">
        <f aca="false">IF($G441="","",$G441+$K441)</f>
        <v/>
      </c>
      <c r="M441" s="17" t="str">
        <f aca="false">IF($H441="","",$H441+$K441)</f>
        <v/>
      </c>
      <c r="N441" s="17" t="n">
        <f aca="false">IF($J441="","",$J441+$K441)</f>
        <v/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 t="str">
        <f aca="false">IF($B$10=0,"",IFERROR(IF($B$4&gt;0,IF($L441="",1/0,$L441*$B$4),0)+IF($B$5&gt;0,IF($M441="",1/0,$M441*$B$5),0)+IF($B$6&gt;0,IF($N441="",1/0,$N441*$B$6),0),""))</f>
        <v/>
      </c>
      <c r="Q441" s="17" t="s">
        <v>47</v>
      </c>
      <c r="R441" s="18" t="str">
        <f aca="false">IF($P441="","",IF($Q441="Y",IFERROR(VLOOKUP($B441,$C$4:$D$13,2,FALSE()),0),0))</f>
        <v/>
      </c>
      <c r="S441" s="17" t="str">
        <f aca="false">IF($P441="","",ROUNDDOWN($P441*$R441,0))</f>
        <v/>
      </c>
      <c r="T441" s="17" t="str">
        <f aca="false">IF($P441="","",$P441-$S441)</f>
        <v/>
      </c>
      <c r="U441" s="17" t="str">
        <f aca="false">IF($T441="","",IF($B$10=0,"",$T441/$B$10))</f>
        <v/>
      </c>
      <c r="V441" s="17" t="str">
        <f aca="false">IF($P441="","",IF($B$10=0,"",$P441/$B$10))</f>
        <v/>
      </c>
      <c r="W441" s="19" t="n">
        <f aca="false">IF($T441="",1000000000000000,$T441)</f>
        <v/>
      </c>
      <c r="XFB441" s="6"/>
      <c r="XFC441" s="3"/>
    </row>
    <row r="442" s="5" collapsed="false" customFormat="true" customHeight="true" hidden="false" ht="28.5" outlineLevel="0">
      <c r="A442" s="16" t="str">
        <f aca="false">IF($T442="","",1+COUNTIF($W$15:$W$894,"&lt;"&amp;W442))</f>
        <v/>
      </c>
      <c r="B442" s="16" t="s">
        <v>14</v>
      </c>
      <c r="C442" s="16" t="s">
        <v>892</v>
      </c>
      <c r="D442" s="16" t="s">
        <v>95</v>
      </c>
      <c r="E442" s="16" t="s">
        <v>26</v>
      </c>
      <c r="F442" s="16" t="s">
        <v>893</v>
      </c>
      <c r="G442" s="17">
        <v>1869</v>
      </c>
      <c r="H442" s="17"/>
      <c r="I442" s="17"/>
      <c r="J442" s="17">
        <v>1879</v>
      </c>
      <c r="K442" s="17" t="n">
        <f aca="false">IF(AND(IFERROR(SEARCH("현대오일뱅크",$C442),0)&gt;0,IFERROR(SEARCH("직영",$C442),0)&gt;0),$B$13,0)</f>
        <v/>
      </c>
      <c r="L442" s="17" t="n">
        <f aca="false">IF($G442="","",$G442+$K442)</f>
        <v/>
      </c>
      <c r="M442" s="17" t="str">
        <f aca="false">IF($H442="","",$H442+$K442)</f>
        <v/>
      </c>
      <c r="N442" s="17" t="n">
        <f aca="false">IF($J442="","",$J442+$K442)</f>
        <v/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 t="str">
        <f aca="false">IF($B$10=0,"",IFERROR(IF($B$4&gt;0,IF($L442="",1/0,$L442*$B$4),0)+IF($B$5&gt;0,IF($M442="",1/0,$M442*$B$5),0)+IF($B$6&gt;0,IF($N442="",1/0,$N442*$B$6),0),""))</f>
        <v/>
      </c>
      <c r="Q442" s="17" t="s">
        <v>47</v>
      </c>
      <c r="R442" s="18" t="str">
        <f aca="false">IF($P442="","",IF($Q442="Y",IFERROR(VLOOKUP($B442,$C$4:$D$13,2,FALSE()),0),0))</f>
        <v/>
      </c>
      <c r="S442" s="17" t="str">
        <f aca="false">IF($P442="","",ROUNDDOWN($P442*$R442,0))</f>
        <v/>
      </c>
      <c r="T442" s="17" t="str">
        <f aca="false">IF($P442="","",$P442-$S442)</f>
        <v/>
      </c>
      <c r="U442" s="17" t="str">
        <f aca="false">IF($T442="","",IF($B$10=0,"",$T442/$B$10))</f>
        <v/>
      </c>
      <c r="V442" s="17" t="str">
        <f aca="false">IF($P442="","",IF($B$10=0,"",$P442/$B$10))</f>
        <v/>
      </c>
      <c r="W442" s="19" t="n">
        <f aca="false">IF($T442="",1000000000000000,$T442)</f>
        <v/>
      </c>
      <c r="XFB442" s="6"/>
      <c r="XFC442" s="3"/>
    </row>
    <row r="443" s="5" collapsed="false" customFormat="true" customHeight="true" hidden="false" ht="28.5" outlineLevel="0">
      <c r="A443" s="16" t="str">
        <f aca="false">IF($T443="","",1+COUNTIF($W$15:$W$894,"&lt;"&amp;W443))</f>
        <v/>
      </c>
      <c r="B443" s="16" t="s">
        <v>14</v>
      </c>
      <c r="C443" s="16" t="s">
        <v>894</v>
      </c>
      <c r="D443" s="20" t="s">
        <v>86</v>
      </c>
      <c r="E443" s="16" t="s">
        <v>26</v>
      </c>
      <c r="F443" s="16" t="s">
        <v>895</v>
      </c>
      <c r="G443" s="17">
        <v>1869</v>
      </c>
      <c r="H443" s="17"/>
      <c r="I443" s="17"/>
      <c r="J443" s="17">
        <v>1879</v>
      </c>
      <c r="K443" s="17" t="n">
        <f aca="false">IF(AND(IFERROR(SEARCH("현대오일뱅크",$C443),0)&gt;0,IFERROR(SEARCH("직영",$C443),0)&gt;0),$B$13,0)</f>
        <v/>
      </c>
      <c r="L443" s="17" t="n">
        <f aca="false">IF($G443="","",$G443+$K443)</f>
        <v/>
      </c>
      <c r="M443" s="17" t="str">
        <f aca="false">IF($H443="","",$H443+$K443)</f>
        <v/>
      </c>
      <c r="N443" s="17" t="n">
        <f aca="false">IF($J443="","",$J443+$K443)</f>
        <v/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 t="str">
        <f aca="false">IF($B$10=0,"",IFERROR(IF($B$4&gt;0,IF($L443="",1/0,$L443*$B$4),0)+IF($B$5&gt;0,IF($M443="",1/0,$M443*$B$5),0)+IF($B$6&gt;0,IF($N443="",1/0,$N443*$B$6),0),""))</f>
        <v/>
      </c>
      <c r="Q443" s="17" t="s">
        <v>47</v>
      </c>
      <c r="R443" s="18" t="str">
        <f aca="false">IF($P443="","",IF($Q443="Y",IFERROR(VLOOKUP($B443,$C$4:$D$13,2,FALSE()),0),0))</f>
        <v/>
      </c>
      <c r="S443" s="17" t="str">
        <f aca="false">IF($P443="","",ROUNDDOWN($P443*$R443,0))</f>
        <v/>
      </c>
      <c r="T443" s="17" t="str">
        <f aca="false">IF($P443="","",$P443-$S443)</f>
        <v/>
      </c>
      <c r="U443" s="17" t="str">
        <f aca="false">IF($T443="","",IF($B$10=0,"",$T443/$B$10))</f>
        <v/>
      </c>
      <c r="V443" s="17" t="str">
        <f aca="false">IF($P443="","",IF($B$10=0,"",$P443/$B$10))</f>
        <v/>
      </c>
      <c r="W443" s="19" t="n">
        <f aca="false">IF($T443="",1000000000000000,$T443)</f>
        <v/>
      </c>
      <c r="XFB443" s="6"/>
      <c r="XFC443" s="3"/>
    </row>
    <row r="444" s="5" collapsed="false" customFormat="true" customHeight="true" hidden="false" ht="28.5" outlineLevel="0">
      <c r="A444" s="16" t="str">
        <f aca="false">IF($T444="","",1+COUNTIF($W$15:$W$894,"&lt;"&amp;W444))</f>
        <v/>
      </c>
      <c r="B444" s="16" t="s">
        <v>14</v>
      </c>
      <c r="C444" s="16" t="s">
        <v>896</v>
      </c>
      <c r="D444" s="16" t="s">
        <v>95</v>
      </c>
      <c r="E444" s="16" t="s">
        <v>63</v>
      </c>
      <c r="F444" s="16" t="s">
        <v>897</v>
      </c>
      <c r="G444" s="17">
        <v>1869</v>
      </c>
      <c r="H444" s="17"/>
      <c r="I444" s="17"/>
      <c r="J444" s="17">
        <v>1879</v>
      </c>
      <c r="K444" s="17" t="n">
        <f aca="false">IF(AND(IFERROR(SEARCH("현대오일뱅크",$C444),0)&gt;0,IFERROR(SEARCH("직영",$C444),0)&gt;0),$B$13,0)</f>
        <v/>
      </c>
      <c r="L444" s="17" t="n">
        <f aca="false">IF($G444="","",$G444+$K444)</f>
        <v/>
      </c>
      <c r="M444" s="17" t="str">
        <f aca="false">IF($H444="","",$H444+$K444)</f>
        <v/>
      </c>
      <c r="N444" s="17" t="n">
        <f aca="false">IF($J444="","",$J444+$K444)</f>
        <v/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 t="str">
        <f aca="false">IF($B$10=0,"",IFERROR(IF($B$4&gt;0,IF($L444="",1/0,$L444*$B$4),0)+IF($B$5&gt;0,IF($M444="",1/0,$M444*$B$5),0)+IF($B$6&gt;0,IF($N444="",1/0,$N444*$B$6),0),""))</f>
        <v/>
      </c>
      <c r="Q444" s="17" t="s">
        <v>47</v>
      </c>
      <c r="R444" s="18" t="str">
        <f aca="false">IF($P444="","",IF($Q444="Y",IFERROR(VLOOKUP($B444,$C$4:$D$13,2,FALSE()),0),0))</f>
        <v/>
      </c>
      <c r="S444" s="17" t="str">
        <f aca="false">IF($P444="","",ROUNDDOWN($P444*$R444,0))</f>
        <v/>
      </c>
      <c r="T444" s="17" t="str">
        <f aca="false">IF($P444="","",$P444-$S444)</f>
        <v/>
      </c>
      <c r="U444" s="17" t="str">
        <f aca="false">IF($T444="","",IF($B$10=0,"",$T444/$B$10))</f>
        <v/>
      </c>
      <c r="V444" s="17" t="str">
        <f aca="false">IF($P444="","",IF($B$10=0,"",$P444/$B$10))</f>
        <v/>
      </c>
      <c r="W444" s="19" t="n">
        <f aca="false">IF($T444="",1000000000000000,$T444)</f>
        <v/>
      </c>
      <c r="XFB444" s="6"/>
      <c r="XFC444" s="3"/>
    </row>
    <row r="445" s="5" collapsed="false" customFormat="true" customHeight="true" hidden="false" ht="28.5" outlineLevel="0">
      <c r="A445" s="16" t="str">
        <f aca="false">IF($T445="","",1+COUNTIF($W$15:$W$894,"&lt;"&amp;W445))</f>
        <v/>
      </c>
      <c r="B445" s="16" t="s">
        <v>8</v>
      </c>
      <c r="C445" s="16" t="s">
        <v>900</v>
      </c>
      <c r="D445" s="16" t="s">
        <v>45</v>
      </c>
      <c r="E445" s="16" t="s">
        <v>63</v>
      </c>
      <c r="F445" s="16" t="s">
        <v>901</v>
      </c>
      <c r="G445" s="17">
        <v>1849</v>
      </c>
      <c r="H445" s="17"/>
      <c r="I445" s="17"/>
      <c r="J445" s="17">
        <v>1839</v>
      </c>
      <c r="K445" s="17" t="n">
        <f aca="false">IF(AND(IFERROR(SEARCH("현대오일뱅크",$C445),0)&gt;0,IFERROR(SEARCH("직영",$C445),0)&gt;0),$B$13,0)</f>
        <v/>
      </c>
      <c r="L445" s="17" t="n">
        <f aca="false">IF($G445="","",$G445+$K445)</f>
        <v/>
      </c>
      <c r="M445" s="17" t="str">
        <f aca="false">IF($H445="","",$H445+$K445)</f>
        <v/>
      </c>
      <c r="N445" s="17" t="n">
        <f aca="false">IF($J445="","",$J445+$K445)</f>
        <v/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 t="str">
        <f aca="false">IF($B$10=0,"",IFERROR(IF($B$4&gt;0,IF($L445="",1/0,$L445*$B$4),0)+IF($B$5&gt;0,IF($M445="",1/0,$M445*$B$5),0)+IF($B$6&gt;0,IF($N445="",1/0,$N445*$B$6),0),""))</f>
        <v/>
      </c>
      <c r="Q445" s="17" t="s">
        <v>47</v>
      </c>
      <c r="R445" s="18" t="str">
        <f aca="false">IF($P445="","",IF($Q445="Y",IFERROR(VLOOKUP($B445,$C$4:$D$13,2,FALSE()),0),0))</f>
        <v/>
      </c>
      <c r="S445" s="17" t="str">
        <f aca="false">IF($P445="","",ROUNDDOWN($P445*$R445,0))</f>
        <v/>
      </c>
      <c r="T445" s="17" t="str">
        <f aca="false">IF($P445="","",$P445-$S445)</f>
        <v/>
      </c>
      <c r="U445" s="17" t="str">
        <f aca="false">IF($T445="","",IF($B$10=0,"",$T445/$B$10))</f>
        <v/>
      </c>
      <c r="V445" s="17" t="str">
        <f aca="false">IF($P445="","",IF($B$10=0,"",$P445/$B$10))</f>
        <v/>
      </c>
      <c r="W445" s="19" t="n">
        <f aca="false">IF($T445="",1000000000000000,$T445)</f>
        <v/>
      </c>
      <c r="XFB445" s="6"/>
      <c r="XFC445" s="3"/>
    </row>
    <row r="446" s="5" collapsed="false" customFormat="true" customHeight="true" hidden="false" ht="28.5" outlineLevel="0">
      <c r="A446" s="16" t="str">
        <f aca="false">IF($T446="","",1+COUNTIF($W$15:$W$894,"&lt;"&amp;W446))</f>
        <v/>
      </c>
      <c r="B446" s="16" t="s">
        <v>12</v>
      </c>
      <c r="C446" s="16" t="s">
        <v>902</v>
      </c>
      <c r="D446" s="20" t="s">
        <v>86</v>
      </c>
      <c r="E446" s="16" t="s">
        <v>26</v>
      </c>
      <c r="F446" s="16" t="s">
        <v>903</v>
      </c>
      <c r="G446" s="17">
        <v>1849</v>
      </c>
      <c r="H446" s="17"/>
      <c r="I446" s="17"/>
      <c r="J446" s="17">
        <v>1839</v>
      </c>
      <c r="K446" s="17" t="n">
        <f aca="false">IF(AND(IFERROR(SEARCH("현대오일뱅크",$C446),0)&gt;0,IFERROR(SEARCH("직영",$C446),0)&gt;0),$B$13,0)</f>
        <v/>
      </c>
      <c r="L446" s="17" t="n">
        <f aca="false">IF($G446="","",$G446+$K446)</f>
        <v/>
      </c>
      <c r="M446" s="17" t="str">
        <f aca="false">IF($H446="","",$H446+$K446)</f>
        <v/>
      </c>
      <c r="N446" s="17" t="n">
        <f aca="false">IF($J446="","",$J446+$K446)</f>
        <v/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 t="str">
        <f aca="false">IF($B$10=0,"",IFERROR(IF($B$4&gt;0,IF($L446="",1/0,$L446*$B$4),0)+IF($B$5&gt;0,IF($M446="",1/0,$M446*$B$5),0)+IF($B$6&gt;0,IF($N446="",1/0,$N446*$B$6),0),""))</f>
        <v/>
      </c>
      <c r="Q446" s="17" t="s">
        <v>47</v>
      </c>
      <c r="R446" s="18" t="str">
        <f aca="false">IF($P446="","",IF($Q446="Y",IFERROR(VLOOKUP($B446,$C$4:$D$13,2,FALSE()),0),0))</f>
        <v/>
      </c>
      <c r="S446" s="17" t="str">
        <f aca="false">IF($P446="","",ROUNDDOWN($P446*$R446,0))</f>
        <v/>
      </c>
      <c r="T446" s="17" t="str">
        <f aca="false">IF($P446="","",$P446-$S446)</f>
        <v/>
      </c>
      <c r="U446" s="17" t="str">
        <f aca="false">IF($T446="","",IF($B$10=0,"",$T446/$B$10))</f>
        <v/>
      </c>
      <c r="V446" s="17" t="str">
        <f aca="false">IF($P446="","",IF($B$10=0,"",$P446/$B$10))</f>
        <v/>
      </c>
      <c r="W446" s="19" t="n">
        <f aca="false">IF($T446="",1000000000000000,$T446)</f>
        <v/>
      </c>
      <c r="XFB446" s="6"/>
      <c r="XFC446" s="3"/>
    </row>
    <row r="447" s="5" collapsed="false" customFormat="true" customHeight="true" hidden="false" ht="28.5" outlineLevel="0">
      <c r="A447" s="16" t="str">
        <f aca="false">IF($T447="","",1+COUNTIF($W$15:$W$894,"&lt;"&amp;W447))</f>
        <v/>
      </c>
      <c r="B447" s="16" t="s">
        <v>8</v>
      </c>
      <c r="C447" s="16" t="s">
        <v>934</v>
      </c>
      <c r="D447" s="16" t="s">
        <v>95</v>
      </c>
      <c r="E447" s="16" t="s">
        <v>26</v>
      </c>
      <c r="F447" s="16" t="s">
        <v>935</v>
      </c>
      <c r="G447" s="17">
        <v>1849</v>
      </c>
      <c r="H447" s="17"/>
      <c r="I447" s="17"/>
      <c r="J447" s="17">
        <v>1849</v>
      </c>
      <c r="K447" s="17" t="n">
        <f aca="false">IF(AND(IFERROR(SEARCH("현대오일뱅크",$C447),0)&gt;0,IFERROR(SEARCH("직영",$C447),0)&gt;0),$B$13,0)</f>
        <v/>
      </c>
      <c r="L447" s="17" t="n">
        <f aca="false">IF($G447="","",$G447+$K447)</f>
        <v/>
      </c>
      <c r="M447" s="17" t="str">
        <f aca="false">IF($H447="","",$H447+$K447)</f>
        <v/>
      </c>
      <c r="N447" s="17" t="n">
        <f aca="false">IF($J447="","",$J447+$K447)</f>
        <v/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 t="str">
        <f aca="false">IF($B$10=0,"",IFERROR(IF($B$4&gt;0,IF($L447="",1/0,$L447*$B$4),0)+IF($B$5&gt;0,IF($M447="",1/0,$M447*$B$5),0)+IF($B$6&gt;0,IF($N447="",1/0,$N447*$B$6),0),""))</f>
        <v/>
      </c>
      <c r="Q447" s="17" t="s">
        <v>47</v>
      </c>
      <c r="R447" s="18" t="str">
        <f aca="false">IF($P447="","",IF($Q447="Y",IFERROR(VLOOKUP($B447,$C$4:$D$13,2,FALSE()),0),0))</f>
        <v/>
      </c>
      <c r="S447" s="17" t="str">
        <f aca="false">IF($P447="","",ROUNDDOWN($P447*$R447,0))</f>
        <v/>
      </c>
      <c r="T447" s="17" t="str">
        <f aca="false">IF($P447="","",$P447-$S447)</f>
        <v/>
      </c>
      <c r="U447" s="17" t="str">
        <f aca="false">IF($T447="","",IF($B$10=0,"",$T447/$B$10))</f>
        <v/>
      </c>
      <c r="V447" s="17" t="str">
        <f aca="false">IF($P447="","",IF($B$10=0,"",$P447/$B$10))</f>
        <v/>
      </c>
      <c r="W447" s="19" t="n">
        <f aca="false">IF($T447="",1000000000000000,$T447)</f>
        <v/>
      </c>
      <c r="XFB447" s="6"/>
      <c r="XFC447" s="3"/>
    </row>
    <row r="448" s="5" collapsed="false" customFormat="true" customHeight="true" hidden="false" ht="28.5" outlineLevel="0">
      <c r="A448" s="16" t="str">
        <f aca="false">IF($T448="","",1+COUNTIF($W$15:$W$894,"&lt;"&amp;W448))</f>
        <v/>
      </c>
      <c r="B448" s="16" t="s">
        <v>12</v>
      </c>
      <c r="C448" s="16" t="s">
        <v>904</v>
      </c>
      <c r="D448" s="20" t="s">
        <v>51</v>
      </c>
      <c r="E448" s="16" t="s">
        <v>26</v>
      </c>
      <c r="F448" s="16" t="s">
        <v>905</v>
      </c>
      <c r="G448" s="17">
        <v>1849</v>
      </c>
      <c r="H448" s="17"/>
      <c r="I448" s="17"/>
      <c r="J448" s="17">
        <v>1849</v>
      </c>
      <c r="K448" s="17" t="n">
        <f aca="false">IF(AND(IFERROR(SEARCH("현대오일뱅크",$C448),0)&gt;0,IFERROR(SEARCH("직영",$C448),0)&gt;0),$B$13,0)</f>
        <v/>
      </c>
      <c r="L448" s="17" t="n">
        <f aca="false">IF($G448="","",$G448+$K448)</f>
        <v/>
      </c>
      <c r="M448" s="17" t="str">
        <f aca="false">IF($H448="","",$H448+$K448)</f>
        <v/>
      </c>
      <c r="N448" s="17" t="n">
        <f aca="false">IF($J448="","",$J448+$K448)</f>
        <v/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 t="str">
        <f aca="false">IF($B$10=0,"",IFERROR(IF($B$4&gt;0,IF($L448="",1/0,$L448*$B$4),0)+IF($B$5&gt;0,IF($M448="",1/0,$M448*$B$5),0)+IF($B$6&gt;0,IF($N448="",1/0,$N448*$B$6),0),""))</f>
        <v/>
      </c>
      <c r="Q448" s="17" t="s">
        <v>47</v>
      </c>
      <c r="R448" s="18" t="str">
        <f aca="false">IF($P448="","",IF($Q448="Y",IFERROR(VLOOKUP($B448,$C$4:$D$13,2,FALSE()),0),0))</f>
        <v/>
      </c>
      <c r="S448" s="17" t="str">
        <f aca="false">IF($P448="","",ROUNDDOWN($P448*$R448,0))</f>
        <v/>
      </c>
      <c r="T448" s="17" t="str">
        <f aca="false">IF($P448="","",$P448-$S448)</f>
        <v/>
      </c>
      <c r="U448" s="17" t="str">
        <f aca="false">IF($T448="","",IF($B$10=0,"",$T448/$B$10))</f>
        <v/>
      </c>
      <c r="V448" s="17" t="str">
        <f aca="false">IF($P448="","",IF($B$10=0,"",$P448/$B$10))</f>
        <v/>
      </c>
      <c r="W448" s="19" t="n">
        <f aca="false">IF($T448="",1000000000000000,$T448)</f>
        <v/>
      </c>
      <c r="XFB448" s="6"/>
      <c r="XFC448" s="3"/>
    </row>
    <row r="449" s="5" collapsed="false" customFormat="true" customHeight="true" hidden="false" ht="28.5" outlineLevel="0">
      <c r="A449" s="16" t="str">
        <f aca="false">IF($T449="","",1+COUNTIF($W$15:$W$894,"&lt;"&amp;W449))</f>
        <v/>
      </c>
      <c r="B449" s="16" t="s">
        <v>8</v>
      </c>
      <c r="C449" s="16" t="s">
        <v>906</v>
      </c>
      <c r="D449" s="16" t="s">
        <v>45</v>
      </c>
      <c r="E449" s="16" t="s">
        <v>63</v>
      </c>
      <c r="F449" s="16" t="s">
        <v>907</v>
      </c>
      <c r="G449" s="17">
        <v>1849</v>
      </c>
      <c r="H449" s="17"/>
      <c r="I449" s="17"/>
      <c r="J449" s="17">
        <v>1869</v>
      </c>
      <c r="K449" s="17" t="n">
        <f aca="false">IF(AND(IFERROR(SEARCH("현대오일뱅크",$C449),0)&gt;0,IFERROR(SEARCH("직영",$C449),0)&gt;0),$B$13,0)</f>
        <v/>
      </c>
      <c r="L449" s="17" t="n">
        <f aca="false">IF($G449="","",$G449+$K449)</f>
        <v/>
      </c>
      <c r="M449" s="17" t="str">
        <f aca="false">IF($H449="","",$H449+$K449)</f>
        <v/>
      </c>
      <c r="N449" s="17" t="n">
        <f aca="false">IF($J449="","",$J449+$K449)</f>
        <v/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 t="str">
        <f aca="false">IF($B$10=0,"",IFERROR(IF($B$4&gt;0,IF($L449="",1/0,$L449*$B$4),0)+IF($B$5&gt;0,IF($M449="",1/0,$M449*$B$5),0)+IF($B$6&gt;0,IF($N449="",1/0,$N449*$B$6),0),""))</f>
        <v/>
      </c>
      <c r="Q449" s="17" t="s">
        <v>47</v>
      </c>
      <c r="R449" s="18" t="str">
        <f aca="false">IF($P449="","",IF($Q449="Y",IFERROR(VLOOKUP($B449,$C$4:$D$13,2,FALSE()),0),0))</f>
        <v/>
      </c>
      <c r="S449" s="17" t="str">
        <f aca="false">IF($P449="","",ROUNDDOWN($P449*$R449,0))</f>
        <v/>
      </c>
      <c r="T449" s="17" t="str">
        <f aca="false">IF($P449="","",$P449-$S449)</f>
        <v/>
      </c>
      <c r="U449" s="17" t="str">
        <f aca="false">IF($T449="","",IF($B$10=0,"",$T449/$B$10))</f>
        <v/>
      </c>
      <c r="V449" s="17" t="str">
        <f aca="false">IF($P449="","",IF($B$10=0,"",$P449/$B$10))</f>
        <v/>
      </c>
      <c r="W449" s="19" t="n">
        <f aca="false">IF($T449="",1000000000000000,$T449)</f>
        <v/>
      </c>
      <c r="XFB449" s="6"/>
      <c r="XFC449" s="3"/>
    </row>
    <row r="450" s="5" collapsed="false" customFormat="true" customHeight="true" hidden="false" ht="28.5" outlineLevel="0">
      <c r="A450" s="16" t="str">
        <f aca="false">IF($T450="","",1+COUNTIF($W$15:$W$894,"&lt;"&amp;W450))</f>
        <v/>
      </c>
      <c r="B450" s="16" t="s">
        <v>10</v>
      </c>
      <c r="C450" s="16" t="s">
        <v>908</v>
      </c>
      <c r="D450" s="16" t="s">
        <v>95</v>
      </c>
      <c r="E450" s="16" t="s">
        <v>63</v>
      </c>
      <c r="F450" s="16" t="s">
        <v>909</v>
      </c>
      <c r="G450" s="17">
        <v>1850</v>
      </c>
      <c r="H450" s="17"/>
      <c r="I450" s="17"/>
      <c r="J450" s="17">
        <v>1855</v>
      </c>
      <c r="K450" s="17" t="n">
        <f aca="false">IF(AND(IFERROR(SEARCH("현대오일뱅크",$C450),0)&gt;0,IFERROR(SEARCH("직영",$C450),0)&gt;0),$B$13,0)</f>
        <v/>
      </c>
      <c r="L450" s="17" t="n">
        <f aca="false">IF($G450="","",$G450+$K450)</f>
        <v/>
      </c>
      <c r="M450" s="17" t="str">
        <f aca="false">IF($H450="","",$H450+$K450)</f>
        <v/>
      </c>
      <c r="N450" s="17" t="n">
        <f aca="false">IF($J450="","",$J450+$K450)</f>
        <v/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 t="str">
        <f aca="false">IF($B$10=0,"",IFERROR(IF($B$4&gt;0,IF($L450="",1/0,$L450*$B$4),0)+IF($B$5&gt;0,IF($M450="",1/0,$M450*$B$5),0)+IF($B$6&gt;0,IF($N450="",1/0,$N450*$B$6),0),""))</f>
        <v/>
      </c>
      <c r="Q450" s="17" t="s">
        <v>47</v>
      </c>
      <c r="R450" s="18" t="str">
        <f aca="false">IF($P450="","",IF($Q450="Y",IFERROR(VLOOKUP($B450,$C$4:$D$13,2,FALSE()),0),0))</f>
        <v/>
      </c>
      <c r="S450" s="17" t="str">
        <f aca="false">IF($P450="","",ROUNDDOWN($P450*$R450,0))</f>
        <v/>
      </c>
      <c r="T450" s="17" t="str">
        <f aca="false">IF($P450="","",$P450-$S450)</f>
        <v/>
      </c>
      <c r="U450" s="17" t="str">
        <f aca="false">IF($T450="","",IF($B$10=0,"",$T450/$B$10))</f>
        <v/>
      </c>
      <c r="V450" s="17" t="str">
        <f aca="false">IF($P450="","",IF($B$10=0,"",$P450/$B$10))</f>
        <v/>
      </c>
      <c r="W450" s="19" t="n">
        <f aca="false">IF($T450="",1000000000000000,$T450)</f>
        <v/>
      </c>
      <c r="XFB450" s="6"/>
      <c r="XFC450" s="3"/>
    </row>
    <row r="451" s="5" collapsed="false" customFormat="true" customHeight="true" hidden="false" ht="28.5" outlineLevel="0">
      <c r="A451" s="16" t="str">
        <f aca="false">IF($T451="","",1+COUNTIF($W$15:$W$894,"&lt;"&amp;W451))</f>
        <v/>
      </c>
      <c r="B451" s="16" t="s">
        <v>14</v>
      </c>
      <c r="C451" s="16" t="s">
        <v>910</v>
      </c>
      <c r="D451" s="16" t="s">
        <v>45</v>
      </c>
      <c r="E451" s="16" t="s">
        <v>63</v>
      </c>
      <c r="F451" s="16" t="s">
        <v>911</v>
      </c>
      <c r="G451" s="17">
        <v>1874</v>
      </c>
      <c r="H451" s="17"/>
      <c r="I451" s="17"/>
      <c r="J451" s="17">
        <v>1863</v>
      </c>
      <c r="K451" s="17" t="n">
        <f aca="false">IF(AND(IFERROR(SEARCH("현대오일뱅크",$C451),0)&gt;0,IFERROR(SEARCH("직영",$C451),0)&gt;0),$B$13,0)</f>
        <v/>
      </c>
      <c r="L451" s="17" t="n">
        <f aca="false">IF($G451="","",$G451+$K451)</f>
        <v/>
      </c>
      <c r="M451" s="17" t="str">
        <f aca="false">IF($H451="","",$H451+$K451)</f>
        <v/>
      </c>
      <c r="N451" s="17" t="n">
        <f aca="false">IF($J451="","",$J451+$K451)</f>
        <v/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 t="str">
        <f aca="false">IF($B$10=0,"",IFERROR(IF($B$4&gt;0,IF($L451="",1/0,$L451*$B$4),0)+IF($B$5&gt;0,IF($M451="",1/0,$M451*$B$5),0)+IF($B$6&gt;0,IF($N451="",1/0,$N451*$B$6),0),""))</f>
        <v/>
      </c>
      <c r="Q451" s="17" t="s">
        <v>47</v>
      </c>
      <c r="R451" s="18" t="str">
        <f aca="false">IF($P451="","",IF($Q451="Y",IFERROR(VLOOKUP($B451,$C$4:$D$13,2,FALSE()),0),0))</f>
        <v/>
      </c>
      <c r="S451" s="17" t="str">
        <f aca="false">IF($P451="","",ROUNDDOWN($P451*$R451,0))</f>
        <v/>
      </c>
      <c r="T451" s="17" t="str">
        <f aca="false">IF($P451="","",$P451-$S451)</f>
        <v/>
      </c>
      <c r="U451" s="17" t="str">
        <f aca="false">IF($T451="","",IF($B$10=0,"",$T451/$B$10))</f>
        <v/>
      </c>
      <c r="V451" s="17" t="str">
        <f aca="false">IF($P451="","",IF($B$10=0,"",$P451/$B$10))</f>
        <v/>
      </c>
      <c r="W451" s="19" t="n">
        <f aca="false">IF($T451="",1000000000000000,$T451)</f>
        <v/>
      </c>
      <c r="XFB451" s="6"/>
      <c r="XFC451" s="3"/>
    </row>
    <row r="452" s="5" collapsed="false" customFormat="true" customHeight="true" hidden="false" ht="28.5" outlineLevel="0">
      <c r="A452" s="16" t="str">
        <f aca="false">IF($T452="","",1+COUNTIF($W$15:$W$894,"&lt;"&amp;W452))</f>
        <v/>
      </c>
      <c r="B452" s="16" t="s">
        <v>12</v>
      </c>
      <c r="C452" s="16" t="s">
        <v>914</v>
      </c>
      <c r="D452" s="20" t="s">
        <v>86</v>
      </c>
      <c r="E452" s="16" t="s">
        <v>26</v>
      </c>
      <c r="F452" s="16" t="s">
        <v>915</v>
      </c>
      <c r="G452" s="17">
        <v>1857</v>
      </c>
      <c r="H452" s="17"/>
      <c r="I452" s="17"/>
      <c r="J452" s="17">
        <v>1847</v>
      </c>
      <c r="K452" s="17" t="n">
        <f aca="false">IF(AND(IFERROR(SEARCH("현대오일뱅크",$C452),0)&gt;0,IFERROR(SEARCH("직영",$C452),0)&gt;0),$B$13,0)</f>
        <v/>
      </c>
      <c r="L452" s="17" t="n">
        <f aca="false">IF($G452="","",$G452+$K452)</f>
        <v/>
      </c>
      <c r="M452" s="17" t="str">
        <f aca="false">IF($H452="","",$H452+$K452)</f>
        <v/>
      </c>
      <c r="N452" s="17" t="n">
        <f aca="false">IF($J452="","",$J452+$K452)</f>
        <v/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 t="str">
        <f aca="false">IF($B$10=0,"",IFERROR(IF($B$4&gt;0,IF($L452="",1/0,$L452*$B$4),0)+IF($B$5&gt;0,IF($M452="",1/0,$M452*$B$5),0)+IF($B$6&gt;0,IF($N452="",1/0,$N452*$B$6),0),""))</f>
        <v/>
      </c>
      <c r="Q452" s="17" t="s">
        <v>47</v>
      </c>
      <c r="R452" s="18" t="str">
        <f aca="false">IF($P452="","",IF($Q452="Y",IFERROR(VLOOKUP($B452,$C$4:$D$13,2,FALSE()),0),0))</f>
        <v/>
      </c>
      <c r="S452" s="17" t="str">
        <f aca="false">IF($P452="","",ROUNDDOWN($P452*$R452,0))</f>
        <v/>
      </c>
      <c r="T452" s="17" t="str">
        <f aca="false">IF($P452="","",$P452-$S452)</f>
        <v/>
      </c>
      <c r="U452" s="17" t="str">
        <f aca="false">IF($T452="","",IF($B$10=0,"",$T452/$B$10))</f>
        <v/>
      </c>
      <c r="V452" s="17" t="str">
        <f aca="false">IF($P452="","",IF($B$10=0,"",$P452/$B$10))</f>
        <v/>
      </c>
      <c r="W452" s="19" t="n">
        <f aca="false">IF($T452="",1000000000000000,$T452)</f>
        <v/>
      </c>
      <c r="XFB452" s="6"/>
      <c r="XFC452" s="3"/>
    </row>
    <row r="453" s="5" collapsed="false" customFormat="true" customHeight="true" hidden="false" ht="28.5" outlineLevel="0">
      <c r="A453" s="16" t="str">
        <f aca="false">IF($T453="","",1+COUNTIF($W$15:$W$894,"&lt;"&amp;W453))</f>
        <v/>
      </c>
      <c r="B453" s="16" t="s">
        <v>12</v>
      </c>
      <c r="C453" s="16" t="s">
        <v>912</v>
      </c>
      <c r="D453" s="20" t="s">
        <v>95</v>
      </c>
      <c r="E453" s="16" t="s">
        <v>63</v>
      </c>
      <c r="F453" s="16" t="s">
        <v>913</v>
      </c>
      <c r="G453" s="17">
        <v>1857</v>
      </c>
      <c r="H453" s="17"/>
      <c r="I453" s="17"/>
      <c r="J453" s="17">
        <v>1857</v>
      </c>
      <c r="K453" s="17" t="n">
        <f aca="false">IF(AND(IFERROR(SEARCH("현대오일뱅크",$C453),0)&gt;0,IFERROR(SEARCH("직영",$C453),0)&gt;0),$B$13,0)</f>
        <v/>
      </c>
      <c r="L453" s="17" t="n">
        <f aca="false">IF($G453="","",$G453+$K453)</f>
        <v/>
      </c>
      <c r="M453" s="17" t="str">
        <f aca="false">IF($H453="","",$H453+$K453)</f>
        <v/>
      </c>
      <c r="N453" s="17" t="n">
        <f aca="false">IF($J453="","",$J453+$K453)</f>
        <v/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 t="str">
        <f aca="false">IF($B$10=0,"",IFERROR(IF($B$4&gt;0,IF($L453="",1/0,$L453*$B$4),0)+IF($B$5&gt;0,IF($M453="",1/0,$M453*$B$5),0)+IF($B$6&gt;0,IF($N453="",1/0,$N453*$B$6),0),""))</f>
        <v/>
      </c>
      <c r="Q453" s="17" t="s">
        <v>47</v>
      </c>
      <c r="R453" s="18" t="str">
        <f aca="false">IF($P453="","",IF($Q453="Y",IFERROR(VLOOKUP($B453,$C$4:$D$13,2,FALSE()),0),0))</f>
        <v/>
      </c>
      <c r="S453" s="17" t="str">
        <f aca="false">IF($P453="","",ROUNDDOWN($P453*$R453,0))</f>
        <v/>
      </c>
      <c r="T453" s="17" t="str">
        <f aca="false">IF($P453="","",$P453-$S453)</f>
        <v/>
      </c>
      <c r="U453" s="17" t="str">
        <f aca="false">IF($T453="","",IF($B$10=0,"",$T453/$B$10))</f>
        <v/>
      </c>
      <c r="V453" s="17" t="str">
        <f aca="false">IF($P453="","",IF($B$10=0,"",$P453/$B$10))</f>
        <v/>
      </c>
      <c r="W453" s="19" t="n">
        <f aca="false">IF($T453="",1000000000000000,$T453)</f>
        <v/>
      </c>
      <c r="XFB453" s="6"/>
      <c r="XFC453" s="3"/>
    </row>
    <row r="454" s="5" collapsed="false" customFormat="true" customHeight="true" hidden="false" ht="28.5" outlineLevel="0">
      <c r="A454" s="16" t="str">
        <f aca="false">IF($T454="","",1+COUNTIF($W$15:$W$894,"&lt;"&amp;W454))</f>
        <v/>
      </c>
      <c r="B454" s="16" t="s">
        <v>16</v>
      </c>
      <c r="C454" s="16" t="s">
        <v>916</v>
      </c>
      <c r="D454" s="20" t="s">
        <v>86</v>
      </c>
      <c r="E454" s="16" t="s">
        <v>63</v>
      </c>
      <c r="F454" s="16" t="s">
        <v>917</v>
      </c>
      <c r="G454" s="17">
        <v>1900</v>
      </c>
      <c r="H454" s="17"/>
      <c r="I454" s="17"/>
      <c r="J454" s="17">
        <v>1920</v>
      </c>
      <c r="K454" s="17" t="n">
        <f aca="false">IF(AND(IFERROR(SEARCH("현대오일뱅크",$C454),0)&gt;0,IFERROR(SEARCH("직영",$C454),0)&gt;0),$B$13,0)</f>
        <v/>
      </c>
      <c r="L454" s="17" t="n">
        <f aca="false">IF($G454="","",$G454+$K454)</f>
        <v/>
      </c>
      <c r="M454" s="17" t="str">
        <f aca="false">IF($H454="","",$H454+$K454)</f>
        <v/>
      </c>
      <c r="N454" s="17" t="n">
        <f aca="false">IF($J454="","",$J454+$K454)</f>
        <v/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 t="str">
        <f aca="false">IF($B$10=0,"",IFERROR(IF($B$4&gt;0,IF($L454="",1/0,$L454*$B$4),0)+IF($B$5&gt;0,IF($M454="",1/0,$M454*$B$5),0)+IF($B$6&gt;0,IF($N454="",1/0,$N454*$B$6),0),""))</f>
        <v/>
      </c>
      <c r="Q454" s="17" t="s">
        <v>47</v>
      </c>
      <c r="R454" s="18" t="str">
        <f aca="false">IF($P454="","",IF($Q454="Y",IFERROR(VLOOKUP($B454,$C$4:$D$13,2,FALSE()),0),0))</f>
        <v/>
      </c>
      <c r="S454" s="17" t="str">
        <f aca="false">IF($P454="","",ROUNDDOWN($P454*$R454,0))</f>
        <v/>
      </c>
      <c r="T454" s="17" t="str">
        <f aca="false">IF($P454="","",$P454-$S454)</f>
        <v/>
      </c>
      <c r="U454" s="17" t="str">
        <f aca="false">IF($T454="","",IF($B$10=0,"",$T454/$B$10))</f>
        <v/>
      </c>
      <c r="V454" s="17" t="str">
        <f aca="false">IF($P454="","",IF($B$10=0,"",$P454/$B$10))</f>
        <v/>
      </c>
      <c r="W454" s="19" t="n">
        <f aca="false">IF($T454="",1000000000000000,$T454)</f>
        <v/>
      </c>
      <c r="XFB454" s="6"/>
      <c r="XFC454" s="3"/>
    </row>
    <row r="455" s="6" collapsed="false" customFormat="true" customHeight="true" hidden="false" ht="28.6" outlineLevel="0">
      <c r="A455" s="16" t="str">
        <f aca="false">IF($T455="","",1+COUNTIF($W$15:$W$894,"&lt;"&amp;W455))</f>
        <v/>
      </c>
      <c r="B455" s="16" t="s">
        <v>12</v>
      </c>
      <c r="C455" s="16" t="s">
        <v>918</v>
      </c>
      <c r="D455" s="20" t="s">
        <v>86</v>
      </c>
      <c r="E455" s="16" t="s">
        <v>26</v>
      </c>
      <c r="F455" s="16" t="s">
        <v>919</v>
      </c>
      <c r="G455" s="17">
        <v>1858</v>
      </c>
      <c r="H455" s="17"/>
      <c r="I455" s="17"/>
      <c r="J455" s="17">
        <v>1858</v>
      </c>
      <c r="K455" s="17" t="n">
        <f aca="false">IF(AND(IFERROR(SEARCH("현대오일뱅크",$C455),0)&gt;0,IFERROR(SEARCH("직영",$C455),0)&gt;0),$B$13,0)</f>
        <v/>
      </c>
      <c r="L455" s="17" t="n">
        <f aca="false">IF($G455="","",$G455+$K455)</f>
        <v/>
      </c>
      <c r="M455" s="17" t="str">
        <f aca="false">IF($H455="","",$H455+$K455)</f>
        <v/>
      </c>
      <c r="N455" s="17" t="n">
        <f aca="false">IF($J455="","",$J455+$K455)</f>
        <v/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 t="str">
        <f aca="false">IF($B$10=0,"",IFERROR(IF($B$4&gt;0,IF($L455="",1/0,$L455*$B$4),0)+IF($B$5&gt;0,IF($M455="",1/0,$M455*$B$5),0)+IF($B$6&gt;0,IF($N455="",1/0,$N455*$B$6),0),""))</f>
        <v/>
      </c>
      <c r="Q455" s="17" t="s">
        <v>47</v>
      </c>
      <c r="R455" s="18" t="str">
        <f aca="false">IF($P455="","",IF($Q455="Y",IFERROR(VLOOKUP($B455,$C$4:$D$13,2,FALSE()),0),0))</f>
        <v/>
      </c>
      <c r="S455" s="17" t="str">
        <f aca="false">IF($P455="","",ROUNDDOWN($P455*$R455,0))</f>
        <v/>
      </c>
      <c r="T455" s="17" t="str">
        <f aca="false">IF($P455="","",$P455-$S455)</f>
        <v/>
      </c>
      <c r="U455" s="17" t="str">
        <f aca="false">IF($T455="","",IF($B$10=0,"",$T455/$B$10))</f>
        <v/>
      </c>
      <c r="V455" s="17" t="str">
        <f aca="false">IF($P455="","",IF($B$10=0,"",$P455/$B$10))</f>
        <v/>
      </c>
      <c r="W455" s="19" t="n">
        <f aca="false">IF($T455="",1000000000000000,$T455)</f>
        <v/>
      </c>
      <c r="XFC455" s="3"/>
    </row>
    <row r="456" s="5" collapsed="false" customFormat="true" customHeight="true" hidden="false" ht="28.5" outlineLevel="0">
      <c r="A456" s="16" t="str">
        <f aca="false">IF($T456="","",1+COUNTIF($W$15:$W$894,"&lt;"&amp;W456))</f>
        <v/>
      </c>
      <c r="B456" s="16" t="s">
        <v>14</v>
      </c>
      <c r="C456" s="16" t="s">
        <v>920</v>
      </c>
      <c r="D456" s="16" t="s">
        <v>95</v>
      </c>
      <c r="E456" s="16" t="s">
        <v>26</v>
      </c>
      <c r="F456" s="16" t="s">
        <v>921</v>
      </c>
      <c r="G456" s="17">
        <v>1879</v>
      </c>
      <c r="H456" s="17"/>
      <c r="I456" s="17"/>
      <c r="J456" s="17">
        <v>1859</v>
      </c>
      <c r="K456" s="17" t="n">
        <f aca="false">IF(AND(IFERROR(SEARCH("현대오일뱅크",$C456),0)&gt;0,IFERROR(SEARCH("직영",$C456),0)&gt;0),$B$13,0)</f>
        <v/>
      </c>
      <c r="L456" s="17" t="n">
        <f aca="false">IF($G456="","",$G456+$K456)</f>
        <v/>
      </c>
      <c r="M456" s="17" t="str">
        <f aca="false">IF($H456="","",$H456+$K456)</f>
        <v/>
      </c>
      <c r="N456" s="17" t="n">
        <f aca="false">IF($J456="","",$J456+$K456)</f>
        <v/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 t="str">
        <f aca="false">IF($B$10=0,"",IFERROR(IF($B$4&gt;0,IF($L456="",1/0,$L456*$B$4),0)+IF($B$5&gt;0,IF($M456="",1/0,$M456*$B$5),0)+IF($B$6&gt;0,IF($N456="",1/0,$N456*$B$6),0),""))</f>
        <v/>
      </c>
      <c r="Q456" s="17" t="s">
        <v>47</v>
      </c>
      <c r="R456" s="18" t="str">
        <f aca="false">IF($P456="","",IF($Q456="Y",IFERROR(VLOOKUP($B456,$C$4:$D$13,2,FALSE()),0),0))</f>
        <v/>
      </c>
      <c r="S456" s="17" t="str">
        <f aca="false">IF($P456="","",ROUNDDOWN($P456*$R456,0))</f>
        <v/>
      </c>
      <c r="T456" s="17" t="str">
        <f aca="false">IF($P456="","",$P456-$S456)</f>
        <v/>
      </c>
      <c r="U456" s="17" t="str">
        <f aca="false">IF($T456="","",IF($B$10=0,"",$T456/$B$10))</f>
        <v/>
      </c>
      <c r="V456" s="17" t="str">
        <f aca="false">IF($P456="","",IF($B$10=0,"",$P456/$B$10))</f>
        <v/>
      </c>
      <c r="W456" s="19" t="n">
        <f aca="false">IF($T456="",1000000000000000,$T456)</f>
        <v/>
      </c>
      <c r="XFB456" s="6"/>
      <c r="XFC456" s="3"/>
    </row>
    <row r="457" s="5" collapsed="false" customFormat="true" customHeight="true" hidden="false" ht="28.5" outlineLevel="0">
      <c r="A457" s="16" t="str">
        <f aca="false">IF($T457="","",1+COUNTIF($W$15:$W$894,"&lt;"&amp;W457))</f>
        <v/>
      </c>
      <c r="B457" s="16" t="s">
        <v>14</v>
      </c>
      <c r="C457" s="16" t="s">
        <v>922</v>
      </c>
      <c r="D457" s="16" t="s">
        <v>45</v>
      </c>
      <c r="E457" s="16" t="s">
        <v>63</v>
      </c>
      <c r="F457" s="16" t="s">
        <v>923</v>
      </c>
      <c r="G457" s="17">
        <v>1879</v>
      </c>
      <c r="H457" s="17"/>
      <c r="I457" s="17"/>
      <c r="J457" s="17">
        <v>1875</v>
      </c>
      <c r="K457" s="17" t="n">
        <f aca="false">IF(AND(IFERROR(SEARCH("현대오일뱅크",$C457),0)&gt;0,IFERROR(SEARCH("직영",$C457),0)&gt;0),$B$13,0)</f>
        <v/>
      </c>
      <c r="L457" s="17" t="n">
        <f aca="false">IF($G457="","",$G457+$K457)</f>
        <v/>
      </c>
      <c r="M457" s="17" t="str">
        <f aca="false">IF($H457="","",$H457+$K457)</f>
        <v/>
      </c>
      <c r="N457" s="17" t="n">
        <f aca="false">IF($J457="","",$J457+$K457)</f>
        <v/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 t="str">
        <f aca="false">IF($B$10=0,"",IFERROR(IF($B$4&gt;0,IF($L457="",1/0,$L457*$B$4),0)+IF($B$5&gt;0,IF($M457="",1/0,$M457*$B$5),0)+IF($B$6&gt;0,IF($N457="",1/0,$N457*$B$6),0),""))</f>
        <v/>
      </c>
      <c r="Q457" s="17" t="s">
        <v>47</v>
      </c>
      <c r="R457" s="18" t="str">
        <f aca="false">IF($P457="","",IF($Q457="Y",IFERROR(VLOOKUP($B457,$C$4:$D$13,2,FALSE()),0),0))</f>
        <v/>
      </c>
      <c r="S457" s="17" t="str">
        <f aca="false">IF($P457="","",ROUNDDOWN($P457*$R457,0))</f>
        <v/>
      </c>
      <c r="T457" s="17" t="str">
        <f aca="false">IF($P457="","",$P457-$S457)</f>
        <v/>
      </c>
      <c r="U457" s="17" t="str">
        <f aca="false">IF($T457="","",IF($B$10=0,"",$T457/$B$10))</f>
        <v/>
      </c>
      <c r="V457" s="17" t="str">
        <f aca="false">IF($P457="","",IF($B$10=0,"",$P457/$B$10))</f>
        <v/>
      </c>
      <c r="W457" s="19" t="n">
        <f aca="false">IF($T457="",1000000000000000,$T457)</f>
        <v/>
      </c>
      <c r="XFB457" s="6"/>
      <c r="XFC457" s="3"/>
    </row>
    <row r="458" s="5" collapsed="false" customFormat="true" customHeight="true" hidden="false" ht="28.5" outlineLevel="0">
      <c r="A458" s="16" t="str">
        <f aca="false">IF($T458="","",1+COUNTIF($W$15:$W$894,"&lt;"&amp;W458))</f>
        <v/>
      </c>
      <c r="B458" s="16" t="s">
        <v>12</v>
      </c>
      <c r="C458" s="16" t="s">
        <v>924</v>
      </c>
      <c r="D458" s="20" t="s">
        <v>51</v>
      </c>
      <c r="E458" s="16" t="s">
        <v>63</v>
      </c>
      <c r="F458" s="16" t="s">
        <v>925</v>
      </c>
      <c r="G458" s="17">
        <v>1859</v>
      </c>
      <c r="H458" s="17"/>
      <c r="I458" s="17"/>
      <c r="J458" s="17">
        <v>1847</v>
      </c>
      <c r="K458" s="17" t="n">
        <f aca="false">IF(AND(IFERROR(SEARCH("현대오일뱅크",$C458),0)&gt;0,IFERROR(SEARCH("직영",$C458),0)&gt;0),$B$13,0)</f>
        <v/>
      </c>
      <c r="L458" s="17" t="n">
        <f aca="false">IF($G458="","",$G458+$K458)</f>
        <v/>
      </c>
      <c r="M458" s="17" t="str">
        <f aca="false">IF($H458="","",$H458+$K458)</f>
        <v/>
      </c>
      <c r="N458" s="17" t="n">
        <f aca="false">IF($J458="","",$J458+$K458)</f>
        <v/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 t="str">
        <f aca="false">IF($B$10=0,"",IFERROR(IF($B$4&gt;0,IF($L458="",1/0,$L458*$B$4),0)+IF($B$5&gt;0,IF($M458="",1/0,$M458*$B$5),0)+IF($B$6&gt;0,IF($N458="",1/0,$N458*$B$6),0),""))</f>
        <v/>
      </c>
      <c r="Q458" s="17" t="s">
        <v>47</v>
      </c>
      <c r="R458" s="18" t="str">
        <f aca="false">IF($P458="","",IF($Q458="Y",IFERROR(VLOOKUP($B458,$C$4:$D$13,2,FALSE()),0),0))</f>
        <v/>
      </c>
      <c r="S458" s="17" t="str">
        <f aca="false">IF($P458="","",ROUNDDOWN($P458*$R458,0))</f>
        <v/>
      </c>
      <c r="T458" s="17" t="str">
        <f aca="false">IF($P458="","",$P458-$S458)</f>
        <v/>
      </c>
      <c r="U458" s="17" t="str">
        <f aca="false">IF($T458="","",IF($B$10=0,"",$T458/$B$10))</f>
        <v/>
      </c>
      <c r="V458" s="17" t="str">
        <f aca="false">IF($P458="","",IF($B$10=0,"",$P458/$B$10))</f>
        <v/>
      </c>
      <c r="W458" s="19" t="n">
        <f aca="false">IF($T458="",1000000000000000,$T458)</f>
        <v/>
      </c>
      <c r="XFB458" s="6"/>
      <c r="XFC458" s="3"/>
    </row>
    <row r="459" s="5" collapsed="false" customFormat="true" customHeight="true" hidden="false" ht="28.5" outlineLevel="0">
      <c r="A459" s="16" t="str">
        <f aca="false">IF($T459="","",1+COUNTIF($W$15:$W$894,"&lt;"&amp;W459))</f>
        <v/>
      </c>
      <c r="B459" s="16" t="s">
        <v>8</v>
      </c>
      <c r="C459" s="16" t="s">
        <v>926</v>
      </c>
      <c r="D459" s="20" t="s">
        <v>86</v>
      </c>
      <c r="E459" s="16" t="s">
        <v>63</v>
      </c>
      <c r="F459" s="16" t="s">
        <v>927</v>
      </c>
      <c r="G459" s="17">
        <v>1859</v>
      </c>
      <c r="H459" s="17"/>
      <c r="I459" s="17"/>
      <c r="J459" s="17">
        <v>1849</v>
      </c>
      <c r="K459" s="17" t="n">
        <f aca="false">IF(AND(IFERROR(SEARCH("현대오일뱅크",$C459),0)&gt;0,IFERROR(SEARCH("직영",$C459),0)&gt;0),$B$13,0)</f>
        <v/>
      </c>
      <c r="L459" s="17" t="n">
        <f aca="false">IF($G459="","",$G459+$K459)</f>
        <v/>
      </c>
      <c r="M459" s="17" t="str">
        <f aca="false">IF($H459="","",$H459+$K459)</f>
        <v/>
      </c>
      <c r="N459" s="17" t="n">
        <f aca="false">IF($J459="","",$J459+$K459)</f>
        <v/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 t="str">
        <f aca="false">IF($B$10=0,"",IFERROR(IF($B$4&gt;0,IF($L459="",1/0,$L459*$B$4),0)+IF($B$5&gt;0,IF($M459="",1/0,$M459*$B$5),0)+IF($B$6&gt;0,IF($N459="",1/0,$N459*$B$6),0),""))</f>
        <v/>
      </c>
      <c r="Q459" s="17" t="s">
        <v>47</v>
      </c>
      <c r="R459" s="18" t="str">
        <f aca="false">IF($P459="","",IF($Q459="Y",IFERROR(VLOOKUP($B459,$C$4:$D$13,2,FALSE()),0),0))</f>
        <v/>
      </c>
      <c r="S459" s="17" t="str">
        <f aca="false">IF($P459="","",ROUNDDOWN($P459*$R459,0))</f>
        <v/>
      </c>
      <c r="T459" s="17" t="str">
        <f aca="false">IF($P459="","",$P459-$S459)</f>
        <v/>
      </c>
      <c r="U459" s="17" t="str">
        <f aca="false">IF($T459="","",IF($B$10=0,"",$T459/$B$10))</f>
        <v/>
      </c>
      <c r="V459" s="17" t="str">
        <f aca="false">IF($P459="","",IF($B$10=0,"",$P459/$B$10))</f>
        <v/>
      </c>
      <c r="W459" s="19" t="n">
        <f aca="false">IF($T459="",1000000000000000,$T459)</f>
        <v/>
      </c>
      <c r="XFB459" s="6"/>
      <c r="XFC459" s="3"/>
    </row>
    <row r="460" s="5" collapsed="false" customFormat="true" customHeight="true" hidden="false" ht="28.5" outlineLevel="0">
      <c r="A460" s="16" t="str">
        <f aca="false">IF($T460="","",1+COUNTIF($W$15:$W$894,"&lt;"&amp;W460))</f>
        <v/>
      </c>
      <c r="B460" s="16" t="s">
        <v>10</v>
      </c>
      <c r="C460" s="16" t="s">
        <v>928</v>
      </c>
      <c r="D460" s="16" t="s">
        <v>45</v>
      </c>
      <c r="E460" s="16" t="s">
        <v>63</v>
      </c>
      <c r="F460" s="16" t="s">
        <v>929</v>
      </c>
      <c r="G460" s="17">
        <v>1859</v>
      </c>
      <c r="H460" s="17"/>
      <c r="I460" s="17"/>
      <c r="J460" s="17">
        <v>1849</v>
      </c>
      <c r="K460" s="17" t="n">
        <f aca="false">IF(AND(IFERROR(SEARCH("현대오일뱅크",$C460),0)&gt;0,IFERROR(SEARCH("직영",$C460),0)&gt;0),$B$13,0)</f>
        <v/>
      </c>
      <c r="L460" s="17" t="n">
        <f aca="false">IF($G460="","",$G460+$K460)</f>
        <v/>
      </c>
      <c r="M460" s="17" t="str">
        <f aca="false">IF($H460="","",$H460+$K460)</f>
        <v/>
      </c>
      <c r="N460" s="17" t="n">
        <f aca="false">IF($J460="","",$J460+$K460)</f>
        <v/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 t="str">
        <f aca="false">IF($B$10=0,"",IFERROR(IF($B$4&gt;0,IF($L460="",1/0,$L460*$B$4),0)+IF($B$5&gt;0,IF($M460="",1/0,$M460*$B$5),0)+IF($B$6&gt;0,IF($N460="",1/0,$N460*$B$6),0),""))</f>
        <v/>
      </c>
      <c r="Q460" s="17" t="s">
        <v>47</v>
      </c>
      <c r="R460" s="18" t="str">
        <f aca="false">IF($P460="","",IF($Q460="Y",IFERROR(VLOOKUP($B460,$C$4:$D$13,2,FALSE()),0),0))</f>
        <v/>
      </c>
      <c r="S460" s="17" t="str">
        <f aca="false">IF($P460="","",ROUNDDOWN($P460*$R460,0))</f>
        <v/>
      </c>
      <c r="T460" s="17" t="str">
        <f aca="false">IF($P460="","",$P460-$S460)</f>
        <v/>
      </c>
      <c r="U460" s="17" t="str">
        <f aca="false">IF($T460="","",IF($B$10=0,"",$T460/$B$10))</f>
        <v/>
      </c>
      <c r="V460" s="17" t="str">
        <f aca="false">IF($P460="","",IF($B$10=0,"",$P460/$B$10))</f>
        <v/>
      </c>
      <c r="W460" s="19" t="n">
        <f aca="false">IF($T460="",1000000000000000,$T460)</f>
        <v/>
      </c>
      <c r="XFB460" s="6"/>
      <c r="XFC460" s="3"/>
    </row>
    <row r="461" s="5" collapsed="false" customFormat="true" customHeight="true" hidden="false" ht="28.5" outlineLevel="0">
      <c r="A461" s="16" t="str">
        <f aca="false">IF($T461="","",1+COUNTIF($W$15:$W$894,"&lt;"&amp;W461))</f>
        <v/>
      </c>
      <c r="B461" s="16" t="s">
        <v>10</v>
      </c>
      <c r="C461" s="16" t="s">
        <v>930</v>
      </c>
      <c r="D461" s="16" t="s">
        <v>45</v>
      </c>
      <c r="E461" s="16" t="s">
        <v>63</v>
      </c>
      <c r="F461" s="16" t="s">
        <v>931</v>
      </c>
      <c r="G461" s="17">
        <v>1859</v>
      </c>
      <c r="H461" s="17"/>
      <c r="I461" s="17"/>
      <c r="J461" s="17">
        <v>1849</v>
      </c>
      <c r="K461" s="17" t="n">
        <f aca="false">IF(AND(IFERROR(SEARCH("현대오일뱅크",$C461),0)&gt;0,IFERROR(SEARCH("직영",$C461),0)&gt;0),$B$13,0)</f>
        <v/>
      </c>
      <c r="L461" s="17" t="n">
        <f aca="false">IF($G461="","",$G461+$K461)</f>
        <v/>
      </c>
      <c r="M461" s="17" t="str">
        <f aca="false">IF($H461="","",$H461+$K461)</f>
        <v/>
      </c>
      <c r="N461" s="17" t="n">
        <f aca="false">IF($J461="","",$J461+$K461)</f>
        <v/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 t="str">
        <f aca="false">IF($B$10=0,"",IFERROR(IF($B$4&gt;0,IF($L461="",1/0,$L461*$B$4),0)+IF($B$5&gt;0,IF($M461="",1/0,$M461*$B$5),0)+IF($B$6&gt;0,IF($N461="",1/0,$N461*$B$6),0),""))</f>
        <v/>
      </c>
      <c r="Q461" s="17" t="s">
        <v>47</v>
      </c>
      <c r="R461" s="18" t="str">
        <f aca="false">IF($P461="","",IF($Q461="Y",IFERROR(VLOOKUP($B461,$C$4:$D$13,2,FALSE()),0),0))</f>
        <v/>
      </c>
      <c r="S461" s="17" t="str">
        <f aca="false">IF($P461="","",ROUNDDOWN($P461*$R461,0))</f>
        <v/>
      </c>
      <c r="T461" s="17" t="str">
        <f aca="false">IF($P461="","",$P461-$S461)</f>
        <v/>
      </c>
      <c r="U461" s="17" t="str">
        <f aca="false">IF($T461="","",IF($B$10=0,"",$T461/$B$10))</f>
        <v/>
      </c>
      <c r="V461" s="17" t="str">
        <f aca="false">IF($P461="","",IF($B$10=0,"",$P461/$B$10))</f>
        <v/>
      </c>
      <c r="W461" s="19" t="n">
        <f aca="false">IF($T461="",1000000000000000,$T461)</f>
        <v/>
      </c>
      <c r="XFB461" s="6"/>
      <c r="XFC461" s="3"/>
    </row>
    <row r="462" s="5" collapsed="false" customFormat="true" customHeight="true" hidden="false" ht="28.5" outlineLevel="0">
      <c r="A462" s="16" t="str">
        <f aca="false">IF($T462="","",1+COUNTIF($W$15:$W$894,"&lt;"&amp;W462))</f>
        <v/>
      </c>
      <c r="B462" s="16" t="s">
        <v>8</v>
      </c>
      <c r="C462" s="16" t="s">
        <v>932</v>
      </c>
      <c r="D462" s="16" t="s">
        <v>45</v>
      </c>
      <c r="E462" s="16" t="s">
        <v>63</v>
      </c>
      <c r="F462" s="16" t="s">
        <v>933</v>
      </c>
      <c r="G462" s="17">
        <v>1859</v>
      </c>
      <c r="H462" s="17"/>
      <c r="I462" s="17"/>
      <c r="J462" s="17">
        <v>1859</v>
      </c>
      <c r="K462" s="17" t="n">
        <f aca="false">IF(AND(IFERROR(SEARCH("현대오일뱅크",$C462),0)&gt;0,IFERROR(SEARCH("직영",$C462),0)&gt;0),$B$13,0)</f>
        <v/>
      </c>
      <c r="L462" s="17" t="n">
        <f aca="false">IF($G462="","",$G462+$K462)</f>
        <v/>
      </c>
      <c r="M462" s="17" t="str">
        <f aca="false">IF($H462="","",$H462+$K462)</f>
        <v/>
      </c>
      <c r="N462" s="17" t="n">
        <f aca="false">IF($J462="","",$J462+$K462)</f>
        <v/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 t="str">
        <f aca="false">IF($B$10=0,"",IFERROR(IF($B$4&gt;0,IF($L462="",1/0,$L462*$B$4),0)+IF($B$5&gt;0,IF($M462="",1/0,$M462*$B$5),0)+IF($B$6&gt;0,IF($N462="",1/0,$N462*$B$6),0),""))</f>
        <v/>
      </c>
      <c r="Q462" s="17" t="s">
        <v>47</v>
      </c>
      <c r="R462" s="18" t="str">
        <f aca="false">IF($P462="","",IF($Q462="Y",IFERROR(VLOOKUP($B462,$C$4:$D$13,2,FALSE()),0),0))</f>
        <v/>
      </c>
      <c r="S462" s="17" t="str">
        <f aca="false">IF($P462="","",ROUNDDOWN($P462*$R462,0))</f>
        <v/>
      </c>
      <c r="T462" s="17" t="str">
        <f aca="false">IF($P462="","",$P462-$S462)</f>
        <v/>
      </c>
      <c r="U462" s="17" t="str">
        <f aca="false">IF($T462="","",IF($B$10=0,"",$T462/$B$10))</f>
        <v/>
      </c>
      <c r="V462" s="17" t="str">
        <f aca="false">IF($P462="","",IF($B$10=0,"",$P462/$B$10))</f>
        <v/>
      </c>
      <c r="W462" s="19" t="n">
        <f aca="false">IF($T462="",1000000000000000,$T462)</f>
        <v/>
      </c>
      <c r="XFB462" s="6"/>
      <c r="XFC462" s="3"/>
    </row>
    <row r="463" s="5" collapsed="false" customFormat="true" customHeight="true" hidden="false" ht="28.5" outlineLevel="0">
      <c r="A463" s="16" t="str">
        <f aca="false">IF($T463="","",1+COUNTIF($W$15:$W$894,"&lt;"&amp;W463))</f>
        <v/>
      </c>
      <c r="B463" s="16" t="s">
        <v>10</v>
      </c>
      <c r="C463" s="16" t="s">
        <v>936</v>
      </c>
      <c r="D463" s="16" t="s">
        <v>95</v>
      </c>
      <c r="E463" s="16" t="s">
        <v>26</v>
      </c>
      <c r="F463" s="16" t="s">
        <v>937</v>
      </c>
      <c r="G463" s="17">
        <v>1859</v>
      </c>
      <c r="H463" s="17"/>
      <c r="I463" s="17"/>
      <c r="J463" s="17">
        <v>1859</v>
      </c>
      <c r="K463" s="17" t="n">
        <f aca="false">IF(AND(IFERROR(SEARCH("현대오일뱅크",$C463),0)&gt;0,IFERROR(SEARCH("직영",$C463),0)&gt;0),$B$13,0)</f>
        <v/>
      </c>
      <c r="L463" s="17" t="n">
        <f aca="false">IF($G463="","",$G463+$K463)</f>
        <v/>
      </c>
      <c r="M463" s="17" t="str">
        <f aca="false">IF($H463="","",$H463+$K463)</f>
        <v/>
      </c>
      <c r="N463" s="17" t="n">
        <f aca="false">IF($J463="","",$J463+$K463)</f>
        <v/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 t="str">
        <f aca="false">IF($B$10=0,"",IFERROR(IF($B$4&gt;0,IF($L463="",1/0,$L463*$B$4),0)+IF($B$5&gt;0,IF($M463="",1/0,$M463*$B$5),0)+IF($B$6&gt;0,IF($N463="",1/0,$N463*$B$6),0),""))</f>
        <v/>
      </c>
      <c r="Q463" s="17" t="s">
        <v>47</v>
      </c>
      <c r="R463" s="18" t="str">
        <f aca="false">IF($P463="","",IF($Q463="Y",IFERROR(VLOOKUP($B463,$C$4:$D$13,2,FALSE()),0),0))</f>
        <v/>
      </c>
      <c r="S463" s="17" t="str">
        <f aca="false">IF($P463="","",ROUNDDOWN($P463*$R463,0))</f>
        <v/>
      </c>
      <c r="T463" s="17" t="str">
        <f aca="false">IF($P463="","",$P463-$S463)</f>
        <v/>
      </c>
      <c r="U463" s="17" t="str">
        <f aca="false">IF($T463="","",IF($B$10=0,"",$T463/$B$10))</f>
        <v/>
      </c>
      <c r="V463" s="17" t="str">
        <f aca="false">IF($P463="","",IF($B$10=0,"",$P463/$B$10))</f>
        <v/>
      </c>
      <c r="W463" s="19" t="n">
        <f aca="false">IF($T463="",1000000000000000,$T463)</f>
        <v/>
      </c>
      <c r="XFB463" s="6"/>
      <c r="XFC463" s="3"/>
    </row>
    <row r="464" s="5" collapsed="false" customFormat="true" customHeight="true" hidden="false" ht="28.5" outlineLevel="0">
      <c r="A464" s="16" t="str">
        <f aca="false">IF($T464="","",1+COUNTIF($W$15:$W$894,"&lt;"&amp;W464))</f>
        <v/>
      </c>
      <c r="B464" s="16" t="s">
        <v>10</v>
      </c>
      <c r="C464" s="16" t="s">
        <v>942</v>
      </c>
      <c r="D464" s="16" t="s">
        <v>45</v>
      </c>
      <c r="E464" s="16" t="s">
        <v>63</v>
      </c>
      <c r="F464" s="16" t="s">
        <v>943</v>
      </c>
      <c r="G464" s="17">
        <v>1859</v>
      </c>
      <c r="H464" s="17"/>
      <c r="I464" s="17"/>
      <c r="J464" s="17">
        <v>1859</v>
      </c>
      <c r="K464" s="17" t="n">
        <f aca="false">IF(AND(IFERROR(SEARCH("현대오일뱅크",$C464),0)&gt;0,IFERROR(SEARCH("직영",$C464),0)&gt;0),$B$13,0)</f>
        <v/>
      </c>
      <c r="L464" s="17" t="n">
        <f aca="false">IF($G464="","",$G464+$K464)</f>
        <v/>
      </c>
      <c r="M464" s="17" t="str">
        <f aca="false">IF($H464="","",$H464+$K464)</f>
        <v/>
      </c>
      <c r="N464" s="17" t="n">
        <f aca="false">IF($J464="","",$J464+$K464)</f>
        <v/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 t="str">
        <f aca="false">IF($B$10=0,"",IFERROR(IF($B$4&gt;0,IF($L464="",1/0,$L464*$B$4),0)+IF($B$5&gt;0,IF($M464="",1/0,$M464*$B$5),0)+IF($B$6&gt;0,IF($N464="",1/0,$N464*$B$6),0),""))</f>
        <v/>
      </c>
      <c r="Q464" s="17" t="s">
        <v>47</v>
      </c>
      <c r="R464" s="18" t="str">
        <f aca="false">IF($P464="","",IF($Q464="Y",IFERROR(VLOOKUP($B464,$C$4:$D$13,2,FALSE()),0),0))</f>
        <v/>
      </c>
      <c r="S464" s="17" t="str">
        <f aca="false">IF($P464="","",ROUNDDOWN($P464*$R464,0))</f>
        <v/>
      </c>
      <c r="T464" s="17" t="str">
        <f aca="false">IF($P464="","",$P464-$S464)</f>
        <v/>
      </c>
      <c r="U464" s="17" t="str">
        <f aca="false">IF($T464="","",IF($B$10=0,"",$T464/$B$10))</f>
        <v/>
      </c>
      <c r="V464" s="17" t="str">
        <f aca="false">IF($P464="","",IF($B$10=0,"",$P464/$B$10))</f>
        <v/>
      </c>
      <c r="W464" s="19" t="n">
        <f aca="false">IF($T464="",1000000000000000,$T464)</f>
        <v/>
      </c>
      <c r="XFB464" s="6"/>
      <c r="XFC464" s="3"/>
    </row>
    <row r="465" s="5" collapsed="false" customFormat="true" customHeight="true" hidden="false" ht="28.5" outlineLevel="0">
      <c r="A465" s="16" t="str">
        <f aca="false">IF($T465="","",1+COUNTIF($W$15:$W$894,"&lt;"&amp;W465))</f>
        <v/>
      </c>
      <c r="B465" s="16" t="s">
        <v>6</v>
      </c>
      <c r="C465" s="16" t="s">
        <v>938</v>
      </c>
      <c r="D465" s="16" t="s">
        <v>45</v>
      </c>
      <c r="E465" s="16" t="s">
        <v>63</v>
      </c>
      <c r="F465" s="16" t="s">
        <v>939</v>
      </c>
      <c r="G465" s="17">
        <v>1859</v>
      </c>
      <c r="H465" s="17"/>
      <c r="I465" s="17"/>
      <c r="J465" s="17">
        <v>1865</v>
      </c>
      <c r="K465" s="17" t="n">
        <f aca="false">IF(AND(IFERROR(SEARCH("현대오일뱅크",$C465),0)&gt;0,IFERROR(SEARCH("직영",$C465),0)&gt;0),$B$13,0)</f>
        <v/>
      </c>
      <c r="L465" s="17" t="n">
        <f aca="false">IF($G465="","",$G465+$K465)</f>
        <v/>
      </c>
      <c r="M465" s="17" t="str">
        <f aca="false">IF($H465="","",$H465+$K465)</f>
        <v/>
      </c>
      <c r="N465" s="17" t="n">
        <f aca="false">IF($J465="","",$J465+$K465)</f>
        <v/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 t="str">
        <f aca="false">IF($B$10=0,"",IFERROR(IF($B$4&gt;0,IF($L465="",1/0,$L465*$B$4),0)+IF($B$5&gt;0,IF($M465="",1/0,$M465*$B$5),0)+IF($B$6&gt;0,IF($N465="",1/0,$N465*$B$6),0),""))</f>
        <v/>
      </c>
      <c r="Q465" s="17" t="s">
        <v>47</v>
      </c>
      <c r="R465" s="18" t="str">
        <f aca="false">IF($P465="","",IF($Q465="Y",IFERROR(VLOOKUP($B465,$C$4:$D$13,2,FALSE()),0),0))</f>
        <v/>
      </c>
      <c r="S465" s="17" t="str">
        <f aca="false">IF($P465="","",ROUNDDOWN($P465*$R465,0))</f>
        <v/>
      </c>
      <c r="T465" s="17" t="str">
        <f aca="false">IF($P465="","",$P465-$S465)</f>
        <v/>
      </c>
      <c r="U465" s="17" t="str">
        <f aca="false">IF($T465="","",IF($B$10=0,"",$T465/$B$10))</f>
        <v/>
      </c>
      <c r="V465" s="17" t="str">
        <f aca="false">IF($P465="","",IF($B$10=0,"",$P465/$B$10))</f>
        <v/>
      </c>
      <c r="W465" s="19" t="n">
        <f aca="false">IF($T465="",1000000000000000,$T465)</f>
        <v/>
      </c>
      <c r="XFB465" s="6"/>
      <c r="XFC465" s="3"/>
    </row>
    <row r="466" s="5" collapsed="false" customFormat="true" customHeight="true" hidden="false" ht="28.5" outlineLevel="0">
      <c r="A466" s="16" t="str">
        <f aca="false">IF($T466="","",1+COUNTIF($W$15:$W$894,"&lt;"&amp;W466))</f>
        <v/>
      </c>
      <c r="B466" s="16" t="s">
        <v>8</v>
      </c>
      <c r="C466" s="16" t="s">
        <v>940</v>
      </c>
      <c r="D466" s="16" t="s">
        <v>45</v>
      </c>
      <c r="E466" s="16" t="s">
        <v>26</v>
      </c>
      <c r="F466" s="16" t="s">
        <v>941</v>
      </c>
      <c r="G466" s="17">
        <v>1859</v>
      </c>
      <c r="H466" s="17"/>
      <c r="I466" s="17"/>
      <c r="J466" s="17">
        <v>1879</v>
      </c>
      <c r="K466" s="17" t="n">
        <f aca="false">IF(AND(IFERROR(SEARCH("현대오일뱅크",$C466),0)&gt;0,IFERROR(SEARCH("직영",$C466),0)&gt;0),$B$13,0)</f>
        <v/>
      </c>
      <c r="L466" s="17" t="n">
        <f aca="false">IF($G466="","",$G466+$K466)</f>
        <v/>
      </c>
      <c r="M466" s="17" t="str">
        <f aca="false">IF($H466="","",$H466+$K466)</f>
        <v/>
      </c>
      <c r="N466" s="17" t="n">
        <f aca="false">IF($J466="","",$J466+$K466)</f>
        <v/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 t="str">
        <f aca="false">IF($B$10=0,"",IFERROR(IF($B$4&gt;0,IF($L466="",1/0,$L466*$B$4),0)+IF($B$5&gt;0,IF($M466="",1/0,$M466*$B$5),0)+IF($B$6&gt;0,IF($N466="",1/0,$N466*$B$6),0),""))</f>
        <v/>
      </c>
      <c r="Q466" s="17" t="s">
        <v>47</v>
      </c>
      <c r="R466" s="18" t="str">
        <f aca="false">IF($P466="","",IF($Q466="Y",IFERROR(VLOOKUP($B466,$C$4:$D$13,2,FALSE()),0),0))</f>
        <v/>
      </c>
      <c r="S466" s="17" t="str">
        <f aca="false">IF($P466="","",ROUNDDOWN($P466*$R466,0))</f>
        <v/>
      </c>
      <c r="T466" s="17" t="str">
        <f aca="false">IF($P466="","",$P466-$S466)</f>
        <v/>
      </c>
      <c r="U466" s="17" t="str">
        <f aca="false">IF($T466="","",IF($B$10=0,"",$T466/$B$10))</f>
        <v/>
      </c>
      <c r="V466" s="17" t="str">
        <f aca="false">IF($P466="","",IF($B$10=0,"",$P466/$B$10))</f>
        <v/>
      </c>
      <c r="W466" s="19" t="n">
        <f aca="false">IF($T466="",1000000000000000,$T466)</f>
        <v/>
      </c>
      <c r="XFB466" s="6"/>
      <c r="XFC466" s="3"/>
    </row>
    <row r="467" s="5" collapsed="false" customFormat="true" customHeight="true" hidden="false" ht="28.5" outlineLevel="0">
      <c r="A467" s="16" t="str">
        <f aca="false">IF($T467="","",1+COUNTIF($W$15:$W$894,"&lt;"&amp;W467))</f>
        <v/>
      </c>
      <c r="B467" s="16" t="s">
        <v>10</v>
      </c>
      <c r="C467" s="16" t="s">
        <v>827</v>
      </c>
      <c r="D467" s="16" t="s">
        <v>95</v>
      </c>
      <c r="E467" s="16" t="s">
        <v>63</v>
      </c>
      <c r="F467" s="16" t="s">
        <v>944</v>
      </c>
      <c r="G467" s="17">
        <v>1860</v>
      </c>
      <c r="H467" s="17"/>
      <c r="I467" s="17"/>
      <c r="J467" s="17">
        <v>1850</v>
      </c>
      <c r="K467" s="17" t="n">
        <f aca="false">IF(AND(IFERROR(SEARCH("현대오일뱅크",$C467),0)&gt;0,IFERROR(SEARCH("직영",$C467),0)&gt;0),$B$13,0)</f>
        <v/>
      </c>
      <c r="L467" s="17" t="n">
        <f aca="false">IF($G467="","",$G467+$K467)</f>
        <v/>
      </c>
      <c r="M467" s="17" t="str">
        <f aca="false">IF($H467="","",$H467+$K467)</f>
        <v/>
      </c>
      <c r="N467" s="17" t="n">
        <f aca="false">IF($J467="","",$J467+$K467)</f>
        <v/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 t="str">
        <f aca="false">IF($B$10=0,"",IFERROR(IF($B$4&gt;0,IF($L467="",1/0,$L467*$B$4),0)+IF($B$5&gt;0,IF($M467="",1/0,$M467*$B$5),0)+IF($B$6&gt;0,IF($N467="",1/0,$N467*$B$6),0),""))</f>
        <v/>
      </c>
      <c r="Q467" s="17" t="s">
        <v>47</v>
      </c>
      <c r="R467" s="18" t="str">
        <f aca="false">IF($P467="","",IF($Q467="Y",IFERROR(VLOOKUP($B467,$C$4:$D$13,2,FALSE()),0),0))</f>
        <v/>
      </c>
      <c r="S467" s="17" t="str">
        <f aca="false">IF($P467="","",ROUNDDOWN($P467*$R467,0))</f>
        <v/>
      </c>
      <c r="T467" s="17" t="str">
        <f aca="false">IF($P467="","",$P467-$S467)</f>
        <v/>
      </c>
      <c r="U467" s="17" t="str">
        <f aca="false">IF($T467="","",IF($B$10=0,"",$T467/$B$10))</f>
        <v/>
      </c>
      <c r="V467" s="17" t="str">
        <f aca="false">IF($P467="","",IF($B$10=0,"",$P467/$B$10))</f>
        <v/>
      </c>
      <c r="W467" s="19" t="n">
        <f aca="false">IF($T467="",1000000000000000,$T467)</f>
        <v/>
      </c>
      <c r="XFB467" s="6"/>
      <c r="XFC467" s="3"/>
    </row>
    <row r="468" s="5" collapsed="false" customFormat="true" customHeight="true" hidden="false" ht="28.5" outlineLevel="0">
      <c r="A468" s="16" t="str">
        <f aca="false">IF($T468="","",1+COUNTIF($W$15:$W$894,"&lt;"&amp;W468))</f>
        <v/>
      </c>
      <c r="B468" s="16" t="s">
        <v>6</v>
      </c>
      <c r="C468" s="16" t="s">
        <v>427</v>
      </c>
      <c r="D468" s="16" t="s">
        <v>45</v>
      </c>
      <c r="E468" s="16" t="s">
        <v>26</v>
      </c>
      <c r="F468" s="16" t="s">
        <v>945</v>
      </c>
      <c r="G468" s="17">
        <v>1862</v>
      </c>
      <c r="H468" s="17"/>
      <c r="I468" s="17"/>
      <c r="J468" s="17">
        <v>1862</v>
      </c>
      <c r="K468" s="17" t="n">
        <f aca="false">IF(AND(IFERROR(SEARCH("현대오일뱅크",$C468),0)&gt;0,IFERROR(SEARCH("직영",$C468),0)&gt;0),$B$13,0)</f>
        <v/>
      </c>
      <c r="L468" s="17" t="n">
        <f aca="false">IF($G468="","",$G468+$K468)</f>
        <v/>
      </c>
      <c r="M468" s="17" t="str">
        <f aca="false">IF($H468="","",$H468+$K468)</f>
        <v/>
      </c>
      <c r="N468" s="17" t="n">
        <f aca="false">IF($J468="","",$J468+$K468)</f>
        <v/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 t="str">
        <f aca="false">IF($B$10=0,"",IFERROR(IF($B$4&gt;0,IF($L468="",1/0,$L468*$B$4),0)+IF($B$5&gt;0,IF($M468="",1/0,$M468*$B$5),0)+IF($B$6&gt;0,IF($N468="",1/0,$N468*$B$6),0),""))</f>
        <v/>
      </c>
      <c r="Q468" s="17" t="s">
        <v>47</v>
      </c>
      <c r="R468" s="18" t="str">
        <f aca="false">IF($P468="","",IF($Q468="Y",IFERROR(VLOOKUP($B468,$C$4:$D$13,2,FALSE()),0),0))</f>
        <v/>
      </c>
      <c r="S468" s="17" t="str">
        <f aca="false">IF($P468="","",ROUNDDOWN($P468*$R468,0))</f>
        <v/>
      </c>
      <c r="T468" s="17" t="str">
        <f aca="false">IF($P468="","",$P468-$S468)</f>
        <v/>
      </c>
      <c r="U468" s="17" t="str">
        <f aca="false">IF($T468="","",IF($B$10=0,"",$T468/$B$10))</f>
        <v/>
      </c>
      <c r="V468" s="17" t="str">
        <f aca="false">IF($P468="","",IF($B$10=0,"",$P468/$B$10))</f>
        <v/>
      </c>
      <c r="W468" s="19" t="n">
        <f aca="false">IF($T468="",1000000000000000,$T468)</f>
        <v/>
      </c>
      <c r="XFB468" s="6"/>
      <c r="XFC468" s="3"/>
    </row>
    <row r="469" s="5" collapsed="false" customFormat="true" customHeight="true" hidden="false" ht="28.5" outlineLevel="0">
      <c r="A469" s="16" t="str">
        <f aca="false">IF($T469="","",1+COUNTIF($W$15:$W$894,"&lt;"&amp;W469))</f>
        <v/>
      </c>
      <c r="B469" s="16" t="s">
        <v>10</v>
      </c>
      <c r="C469" s="16" t="s">
        <v>666</v>
      </c>
      <c r="D469" s="20" t="s">
        <v>86</v>
      </c>
      <c r="E469" s="16" t="s">
        <v>26</v>
      </c>
      <c r="F469" s="16" t="s">
        <v>946</v>
      </c>
      <c r="G469" s="17">
        <v>1864</v>
      </c>
      <c r="H469" s="17"/>
      <c r="I469" s="17"/>
      <c r="J469" s="17">
        <v>1854</v>
      </c>
      <c r="K469" s="17" t="n">
        <f aca="false">IF(AND(IFERROR(SEARCH("현대오일뱅크",$C469),0)&gt;0,IFERROR(SEARCH("직영",$C469),0)&gt;0),$B$13,0)</f>
        <v/>
      </c>
      <c r="L469" s="17" t="n">
        <f aca="false">IF($G469="","",$G469+$K469)</f>
        <v/>
      </c>
      <c r="M469" s="17" t="str">
        <f aca="false">IF($H469="","",$H469+$K469)</f>
        <v/>
      </c>
      <c r="N469" s="17" t="n">
        <f aca="false">IF($J469="","",$J469+$K469)</f>
        <v/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 t="str">
        <f aca="false">IF($B$10=0,"",IFERROR(IF($B$4&gt;0,IF($L469="",1/0,$L469*$B$4),0)+IF($B$5&gt;0,IF($M469="",1/0,$M469*$B$5),0)+IF($B$6&gt;0,IF($N469="",1/0,$N469*$B$6),0),""))</f>
        <v/>
      </c>
      <c r="Q469" s="17" t="s">
        <v>47</v>
      </c>
      <c r="R469" s="18" t="str">
        <f aca="false">IF($P469="","",IF($Q469="Y",IFERROR(VLOOKUP($B469,$C$4:$D$13,2,FALSE()),0),0))</f>
        <v/>
      </c>
      <c r="S469" s="17" t="str">
        <f aca="false">IF($P469="","",ROUNDDOWN($P469*$R469,0))</f>
        <v/>
      </c>
      <c r="T469" s="17" t="str">
        <f aca="false">IF($P469="","",$P469-$S469)</f>
        <v/>
      </c>
      <c r="U469" s="17" t="str">
        <f aca="false">IF($T469="","",IF($B$10=0,"",$T469/$B$10))</f>
        <v/>
      </c>
      <c r="V469" s="17" t="str">
        <f aca="false">IF($P469="","",IF($B$10=0,"",$P469/$B$10))</f>
        <v/>
      </c>
      <c r="W469" s="19" t="n">
        <f aca="false">IF($T469="",1000000000000000,$T469)</f>
        <v/>
      </c>
      <c r="XFB469" s="6"/>
      <c r="XFC469" s="3"/>
    </row>
    <row r="470" s="5" collapsed="false" customFormat="true" customHeight="true" hidden="false" ht="28.5" outlineLevel="0">
      <c r="A470" s="16" t="str">
        <f aca="false">IF($T470="","",1+COUNTIF($W$15:$W$894,"&lt;"&amp;W470))</f>
        <v/>
      </c>
      <c r="B470" s="16" t="s">
        <v>6</v>
      </c>
      <c r="C470" s="16" t="s">
        <v>1003</v>
      </c>
      <c r="D470" s="20" t="s">
        <v>86</v>
      </c>
      <c r="E470" s="16" t="s">
        <v>63</v>
      </c>
      <c r="F470" s="16" t="s">
        <v>1004</v>
      </c>
      <c r="G470" s="17">
        <v>1865</v>
      </c>
      <c r="H470" s="17"/>
      <c r="I470" s="17"/>
      <c r="J470" s="17">
        <v>1865</v>
      </c>
      <c r="K470" s="17" t="n">
        <f aca="false">IF(AND(IFERROR(SEARCH("현대오일뱅크",$C470),0)&gt;0,IFERROR(SEARCH("직영",$C470),0)&gt;0),$B$13,0)</f>
        <v/>
      </c>
      <c r="L470" s="17" t="n">
        <f aca="false">IF($G470="","",$G470+$K470)</f>
        <v/>
      </c>
      <c r="M470" s="17" t="str">
        <f aca="false">IF($H470="","",$H470+$K470)</f>
        <v/>
      </c>
      <c r="N470" s="17" t="n">
        <f aca="false">IF($J470="","",$J470+$K470)</f>
        <v/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 t="str">
        <f aca="false">IF($B$10=0,"",IFERROR(IF($B$4&gt;0,IF($L470="",1/0,$L470*$B$4),0)+IF($B$5&gt;0,IF($M470="",1/0,$M470*$B$5),0)+IF($B$6&gt;0,IF($N470="",1/0,$N470*$B$6),0),""))</f>
        <v/>
      </c>
      <c r="Q470" s="17" t="s">
        <v>47</v>
      </c>
      <c r="R470" s="18" t="str">
        <f aca="false">IF($P470="","",IF($Q470="Y",IFERROR(VLOOKUP($B470,$C$4:$D$13,2,FALSE()),0),0))</f>
        <v/>
      </c>
      <c r="S470" s="17" t="str">
        <f aca="false">IF($P470="","",ROUNDDOWN($P470*$R470,0))</f>
        <v/>
      </c>
      <c r="T470" s="17" t="str">
        <f aca="false">IF($P470="","",$P470-$S470)</f>
        <v/>
      </c>
      <c r="U470" s="17" t="str">
        <f aca="false">IF($T470="","",IF($B$10=0,"",$T470/$B$10))</f>
        <v/>
      </c>
      <c r="V470" s="17" t="str">
        <f aca="false">IF($P470="","",IF($B$10=0,"",$P470/$B$10))</f>
        <v/>
      </c>
      <c r="W470" s="19" t="n">
        <f aca="false">IF($T470="",1000000000000000,$T470)</f>
        <v/>
      </c>
      <c r="XFB470" s="6"/>
      <c r="XFC470" s="3"/>
    </row>
    <row r="471" s="5" collapsed="false" customFormat="true" customHeight="true" hidden="false" ht="28.5" outlineLevel="0">
      <c r="A471" s="16" t="str">
        <f aca="false">IF($T471="","",1+COUNTIF($W$15:$W$894,"&lt;"&amp;W471))</f>
        <v/>
      </c>
      <c r="B471" s="16" t="s">
        <v>8</v>
      </c>
      <c r="C471" s="16" t="s">
        <v>947</v>
      </c>
      <c r="D471" s="16" t="s">
        <v>45</v>
      </c>
      <c r="E471" s="16" t="s">
        <v>63</v>
      </c>
      <c r="F471" s="16" t="s">
        <v>948</v>
      </c>
      <c r="G471" s="17">
        <v>1865</v>
      </c>
      <c r="H471" s="17"/>
      <c r="I471" s="17"/>
      <c r="J471" s="17">
        <v>1865</v>
      </c>
      <c r="K471" s="17" t="n">
        <f aca="false">IF(AND(IFERROR(SEARCH("현대오일뱅크",$C471),0)&gt;0,IFERROR(SEARCH("직영",$C471),0)&gt;0),$B$13,0)</f>
        <v/>
      </c>
      <c r="L471" s="17" t="n">
        <f aca="false">IF($G471="","",$G471+$K471)</f>
        <v/>
      </c>
      <c r="M471" s="17" t="str">
        <f aca="false">IF($H471="","",$H471+$K471)</f>
        <v/>
      </c>
      <c r="N471" s="17" t="n">
        <f aca="false">IF($J471="","",$J471+$K471)</f>
        <v/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 t="str">
        <f aca="false">IF($B$10=0,"",IFERROR(IF($B$4&gt;0,IF($L471="",1/0,$L471*$B$4),0)+IF($B$5&gt;0,IF($M471="",1/0,$M471*$B$5),0)+IF($B$6&gt;0,IF($N471="",1/0,$N471*$B$6),0),""))</f>
        <v/>
      </c>
      <c r="Q471" s="17" t="s">
        <v>47</v>
      </c>
      <c r="R471" s="18" t="str">
        <f aca="false">IF($P471="","",IF($Q471="Y",IFERROR(VLOOKUP($B471,$C$4:$D$13,2,FALSE()),0),0))</f>
        <v/>
      </c>
      <c r="S471" s="17" t="str">
        <f aca="false">IF($P471="","",ROUNDDOWN($P471*$R471,0))</f>
        <v/>
      </c>
      <c r="T471" s="17" t="str">
        <f aca="false">IF($P471="","",$P471-$S471)</f>
        <v/>
      </c>
      <c r="U471" s="17" t="str">
        <f aca="false">IF($T471="","",IF($B$10=0,"",$T471/$B$10))</f>
        <v/>
      </c>
      <c r="V471" s="17" t="str">
        <f aca="false">IF($P471="","",IF($B$10=0,"",$P471/$B$10))</f>
        <v/>
      </c>
      <c r="W471" s="19" t="n">
        <f aca="false">IF($T471="",1000000000000000,$T471)</f>
        <v/>
      </c>
      <c r="XFB471" s="6"/>
      <c r="XFC471" s="3"/>
    </row>
    <row r="472" s="5" collapsed="false" customFormat="true" customHeight="true" hidden="false" ht="28.5" outlineLevel="0">
      <c r="A472" s="16" t="str">
        <f aca="false">IF($T472="","",1+COUNTIF($W$15:$W$894,"&lt;"&amp;W472))</f>
        <v/>
      </c>
      <c r="B472" s="16" t="s">
        <v>12</v>
      </c>
      <c r="C472" s="16" t="s">
        <v>744</v>
      </c>
      <c r="D472" s="20" t="s">
        <v>45</v>
      </c>
      <c r="E472" s="16" t="s">
        <v>63</v>
      </c>
      <c r="F472" s="16" t="s">
        <v>949</v>
      </c>
      <c r="G472" s="17">
        <v>1865</v>
      </c>
      <c r="H472" s="17"/>
      <c r="I472" s="17"/>
      <c r="J472" s="17">
        <v>1865</v>
      </c>
      <c r="K472" s="17" t="n">
        <f aca="false">IF(AND(IFERROR(SEARCH("현대오일뱅크",$C472),0)&gt;0,IFERROR(SEARCH("직영",$C472),0)&gt;0),$B$13,0)</f>
        <v/>
      </c>
      <c r="L472" s="17" t="n">
        <f aca="false">IF($G472="","",$G472+$K472)</f>
        <v/>
      </c>
      <c r="M472" s="17" t="str">
        <f aca="false">IF($H472="","",$H472+$K472)</f>
        <v/>
      </c>
      <c r="N472" s="17" t="n">
        <f aca="false">IF($J472="","",$J472+$K472)</f>
        <v/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 t="str">
        <f aca="false">IF($B$10=0,"",IFERROR(IF($B$4&gt;0,IF($L472="",1/0,$L472*$B$4),0)+IF($B$5&gt;0,IF($M472="",1/0,$M472*$B$5),0)+IF($B$6&gt;0,IF($N472="",1/0,$N472*$B$6),0),""))</f>
        <v/>
      </c>
      <c r="Q472" s="17" t="s">
        <v>47</v>
      </c>
      <c r="R472" s="18" t="str">
        <f aca="false">IF($P472="","",IF($Q472="Y",IFERROR(VLOOKUP($B472,$C$4:$D$13,2,FALSE()),0),0))</f>
        <v/>
      </c>
      <c r="S472" s="17" t="str">
        <f aca="false">IF($P472="","",ROUNDDOWN($P472*$R472,0))</f>
        <v/>
      </c>
      <c r="T472" s="17" t="str">
        <f aca="false">IF($P472="","",$P472-$S472)</f>
        <v/>
      </c>
      <c r="U472" s="17" t="str">
        <f aca="false">IF($T472="","",IF($B$10=0,"",$T472/$B$10))</f>
        <v/>
      </c>
      <c r="V472" s="17" t="str">
        <f aca="false">IF($P472="","",IF($B$10=0,"",$P472/$B$10))</f>
        <v/>
      </c>
      <c r="W472" s="19" t="n">
        <f aca="false">IF($T472="",1000000000000000,$T472)</f>
        <v/>
      </c>
      <c r="XFB472" s="6"/>
      <c r="XFC472" s="3"/>
    </row>
    <row r="473" s="6" collapsed="false" customFormat="true" customHeight="true" hidden="false" ht="28.6" outlineLevel="0">
      <c r="A473" s="16" t="str">
        <f aca="false">IF($T473="","",1+COUNTIF($W$15:$W$894,"&lt;"&amp;W473))</f>
        <v/>
      </c>
      <c r="B473" s="16" t="s">
        <v>12</v>
      </c>
      <c r="C473" s="16" t="s">
        <v>950</v>
      </c>
      <c r="D473" s="20" t="s">
        <v>95</v>
      </c>
      <c r="E473" s="16" t="s">
        <v>26</v>
      </c>
      <c r="F473" s="16" t="s">
        <v>951</v>
      </c>
      <c r="G473" s="17">
        <v>1865</v>
      </c>
      <c r="H473" s="17"/>
      <c r="I473" s="17"/>
      <c r="J473" s="17">
        <v>1865</v>
      </c>
      <c r="K473" s="17" t="n">
        <f aca="false">IF(AND(IFERROR(SEARCH("현대오일뱅크",$C473),0)&gt;0,IFERROR(SEARCH("직영",$C473),0)&gt;0),$B$13,0)</f>
        <v/>
      </c>
      <c r="L473" s="17" t="n">
        <f aca="false">IF($G473="","",$G473+$K473)</f>
        <v/>
      </c>
      <c r="M473" s="17" t="str">
        <f aca="false">IF($H473="","",$H473+$K473)</f>
        <v/>
      </c>
      <c r="N473" s="17" t="n">
        <f aca="false">IF($J473="","",$J473+$K473)</f>
        <v/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 t="str">
        <f aca="false">IF($B$10=0,"",IFERROR(IF($B$4&gt;0,IF($L473="",1/0,$L473*$B$4),0)+IF($B$5&gt;0,IF($M473="",1/0,$M473*$B$5),0)+IF($B$6&gt;0,IF($N473="",1/0,$N473*$B$6),0),""))</f>
        <v/>
      </c>
      <c r="Q473" s="17" t="s">
        <v>47</v>
      </c>
      <c r="R473" s="18" t="str">
        <f aca="false">IF($P473="","",IF($Q473="Y",IFERROR(VLOOKUP($B473,$C$4:$D$13,2,FALSE()),0),0))</f>
        <v/>
      </c>
      <c r="S473" s="17" t="str">
        <f aca="false">IF($P473="","",ROUNDDOWN($P473*$R473,0))</f>
        <v/>
      </c>
      <c r="T473" s="17" t="str">
        <f aca="false">IF($P473="","",$P473-$S473)</f>
        <v/>
      </c>
      <c r="U473" s="17" t="str">
        <f aca="false">IF($T473="","",IF($B$10=0,"",$T473/$B$10))</f>
        <v/>
      </c>
      <c r="V473" s="17" t="str">
        <f aca="false">IF($P473="","",IF($B$10=0,"",$P473/$B$10))</f>
        <v/>
      </c>
      <c r="W473" s="19" t="n">
        <f aca="false">IF($T473="",1000000000000000,$T473)</f>
        <v/>
      </c>
      <c r="XFC473" s="3"/>
    </row>
    <row r="474" s="5" collapsed="false" customFormat="true" customHeight="true" hidden="false" ht="28.5" outlineLevel="0">
      <c r="A474" s="16" t="str">
        <f aca="false">IF($T474="","",1+COUNTIF($W$15:$W$894,"&lt;"&amp;W474))</f>
        <v/>
      </c>
      <c r="B474" s="16" t="s">
        <v>6</v>
      </c>
      <c r="C474" s="16" t="s">
        <v>952</v>
      </c>
      <c r="D474" s="16" t="s">
        <v>95</v>
      </c>
      <c r="E474" s="16" t="s">
        <v>26</v>
      </c>
      <c r="F474" s="16" t="s">
        <v>953</v>
      </c>
      <c r="G474" s="17">
        <v>1865</v>
      </c>
      <c r="H474" s="17"/>
      <c r="I474" s="17"/>
      <c r="J474" s="17">
        <v>1895</v>
      </c>
      <c r="K474" s="17" t="n">
        <f aca="false">IF(AND(IFERROR(SEARCH("현대오일뱅크",$C474),0)&gt;0,IFERROR(SEARCH("직영",$C474),0)&gt;0),$B$13,0)</f>
        <v/>
      </c>
      <c r="L474" s="17" t="n">
        <f aca="false">IF($G474="","",$G474+$K474)</f>
        <v/>
      </c>
      <c r="M474" s="17" t="str">
        <f aca="false">IF($H474="","",$H474+$K474)</f>
        <v/>
      </c>
      <c r="N474" s="17" t="n">
        <f aca="false">IF($J474="","",$J474+$K474)</f>
        <v/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 t="str">
        <f aca="false">IF($B$10=0,"",IFERROR(IF($B$4&gt;0,IF($L474="",1/0,$L474*$B$4),0)+IF($B$5&gt;0,IF($M474="",1/0,$M474*$B$5),0)+IF($B$6&gt;0,IF($N474="",1/0,$N474*$B$6),0),""))</f>
        <v/>
      </c>
      <c r="Q474" s="17" t="s">
        <v>47</v>
      </c>
      <c r="R474" s="18" t="str">
        <f aca="false">IF($P474="","",IF($Q474="Y",IFERROR(VLOOKUP($B474,$C$4:$D$13,2,FALSE()),0),0))</f>
        <v/>
      </c>
      <c r="S474" s="17" t="str">
        <f aca="false">IF($P474="","",ROUNDDOWN($P474*$R474,0))</f>
        <v/>
      </c>
      <c r="T474" s="17" t="str">
        <f aca="false">IF($P474="","",$P474-$S474)</f>
        <v/>
      </c>
      <c r="U474" s="17" t="str">
        <f aca="false">IF($T474="","",IF($B$10=0,"",$T474/$B$10))</f>
        <v/>
      </c>
      <c r="V474" s="17" t="str">
        <f aca="false">IF($P474="","",IF($B$10=0,"",$P474/$B$10))</f>
        <v/>
      </c>
      <c r="W474" s="19" t="n">
        <f aca="false">IF($T474="",1000000000000000,$T474)</f>
        <v/>
      </c>
      <c r="XFB474" s="6"/>
      <c r="XFC474" s="3"/>
    </row>
    <row r="475" s="5" collapsed="false" customFormat="true" customHeight="true" hidden="false" ht="28.5" outlineLevel="0">
      <c r="A475" s="16" t="str">
        <f aca="false">IF($T475="","",1+COUNTIF($W$15:$W$894,"&lt;"&amp;W475))</f>
        <v/>
      </c>
      <c r="B475" s="16" t="s">
        <v>10</v>
      </c>
      <c r="C475" s="16" t="s">
        <v>954</v>
      </c>
      <c r="D475" s="16" t="s">
        <v>51</v>
      </c>
      <c r="E475" s="16" t="s">
        <v>26</v>
      </c>
      <c r="F475" s="16" t="s">
        <v>955</v>
      </c>
      <c r="G475" s="17">
        <v>1866</v>
      </c>
      <c r="H475" s="17"/>
      <c r="I475" s="17"/>
      <c r="J475" s="17">
        <v>1865</v>
      </c>
      <c r="K475" s="17" t="n">
        <f aca="false">IF(AND(IFERROR(SEARCH("현대오일뱅크",$C475),0)&gt;0,IFERROR(SEARCH("직영",$C475),0)&gt;0),$B$13,0)</f>
        <v/>
      </c>
      <c r="L475" s="17" t="n">
        <f aca="false">IF($G475="","",$G475+$K475)</f>
        <v/>
      </c>
      <c r="M475" s="17" t="str">
        <f aca="false">IF($H475="","",$H475+$K475)</f>
        <v/>
      </c>
      <c r="N475" s="17" t="n">
        <f aca="false">IF($J475="","",$J475+$K475)</f>
        <v/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 t="str">
        <f aca="false">IF($B$10=0,"",IFERROR(IF($B$4&gt;0,IF($L475="",1/0,$L475*$B$4),0)+IF($B$5&gt;0,IF($M475="",1/0,$M475*$B$5),0)+IF($B$6&gt;0,IF($N475="",1/0,$N475*$B$6),0),""))</f>
        <v/>
      </c>
      <c r="Q475" s="17" t="s">
        <v>47</v>
      </c>
      <c r="R475" s="18" t="str">
        <f aca="false">IF($P475="","",IF($Q475="Y",IFERROR(VLOOKUP($B475,$C$4:$D$13,2,FALSE()),0),0))</f>
        <v/>
      </c>
      <c r="S475" s="17" t="str">
        <f aca="false">IF($P475="","",ROUNDDOWN($P475*$R475,0))</f>
        <v/>
      </c>
      <c r="T475" s="17" t="str">
        <f aca="false">IF($P475="","",$P475-$S475)</f>
        <v/>
      </c>
      <c r="U475" s="17" t="str">
        <f aca="false">IF($T475="","",IF($B$10=0,"",$T475/$B$10))</f>
        <v/>
      </c>
      <c r="V475" s="17" t="str">
        <f aca="false">IF($P475="","",IF($B$10=0,"",$P475/$B$10))</f>
        <v/>
      </c>
      <c r="W475" s="19" t="n">
        <f aca="false">IF($T475="",1000000000000000,$T475)</f>
        <v/>
      </c>
      <c r="XFB475" s="6"/>
      <c r="XFC475" s="3"/>
    </row>
    <row r="476" s="5" collapsed="false" customFormat="true" customHeight="true" hidden="false" ht="28.5" outlineLevel="0">
      <c r="A476" s="16" t="str">
        <f aca="false">IF($T476="","",1+COUNTIF($W$15:$W$894,"&lt;"&amp;W476))</f>
        <v/>
      </c>
      <c r="B476" s="16" t="s">
        <v>10</v>
      </c>
      <c r="C476" s="16" t="s">
        <v>1024</v>
      </c>
      <c r="D476" s="20" t="s">
        <v>86</v>
      </c>
      <c r="E476" s="16" t="s">
        <v>63</v>
      </c>
      <c r="F476" s="16" t="s">
        <v>1025</v>
      </c>
      <c r="G476" s="17">
        <v>1868</v>
      </c>
      <c r="H476" s="17"/>
      <c r="I476" s="17"/>
      <c r="J476" s="17">
        <v>1868</v>
      </c>
      <c r="K476" s="17" t="n">
        <f aca="false">IF(AND(IFERROR(SEARCH("현대오일뱅크",$C476),0)&gt;0,IFERROR(SEARCH("직영",$C476),0)&gt;0),$B$13,0)</f>
        <v/>
      </c>
      <c r="L476" s="17" t="n">
        <f aca="false">IF($G476="","",$G476+$K476)</f>
        <v/>
      </c>
      <c r="M476" s="17" t="str">
        <f aca="false">IF($H476="","",$H476+$K476)</f>
        <v/>
      </c>
      <c r="N476" s="17" t="n">
        <f aca="false">IF($J476="","",$J476+$K476)</f>
        <v/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 t="str">
        <f aca="false">IF($B$10=0,"",IFERROR(IF($B$4&gt;0,IF($L476="",1/0,$L476*$B$4),0)+IF($B$5&gt;0,IF($M476="",1/0,$M476*$B$5),0)+IF($B$6&gt;0,IF($N476="",1/0,$N476*$B$6),0),""))</f>
        <v/>
      </c>
      <c r="Q476" s="17" t="s">
        <v>47</v>
      </c>
      <c r="R476" s="18" t="str">
        <f aca="false">IF($P476="","",IF($Q476="Y",IFERROR(VLOOKUP($B476,$C$4:$D$13,2,FALSE()),0),0))</f>
        <v/>
      </c>
      <c r="S476" s="17" t="str">
        <f aca="false">IF($P476="","",ROUNDDOWN($P476*$R476,0))</f>
        <v/>
      </c>
      <c r="T476" s="17" t="str">
        <f aca="false">IF($P476="","",$P476-$S476)</f>
        <v/>
      </c>
      <c r="U476" s="17" t="str">
        <f aca="false">IF($T476="","",IF($B$10=0,"",$T476/$B$10))</f>
        <v/>
      </c>
      <c r="V476" s="17" t="str">
        <f aca="false">IF($P476="","",IF($B$10=0,"",$P476/$B$10))</f>
        <v/>
      </c>
      <c r="W476" s="19" t="n">
        <f aca="false">IF($T476="",1000000000000000,$T476)</f>
        <v/>
      </c>
      <c r="XFB476" s="6"/>
      <c r="XFC476" s="3"/>
    </row>
    <row r="477" s="6" collapsed="false" customFormat="true" customHeight="true" hidden="false" ht="28.6" outlineLevel="0">
      <c r="A477" s="16" t="str">
        <f aca="false">IF($T477="","",1+COUNTIF($W$15:$W$894,"&lt;"&amp;W477))</f>
        <v/>
      </c>
      <c r="B477" s="16" t="s">
        <v>6</v>
      </c>
      <c r="C477" s="16" t="s">
        <v>1060</v>
      </c>
      <c r="D477" s="16" t="s">
        <v>51</v>
      </c>
      <c r="E477" s="16" t="s">
        <v>63</v>
      </c>
      <c r="F477" s="16" t="s">
        <v>1061</v>
      </c>
      <c r="G477" s="17">
        <v>1868</v>
      </c>
      <c r="H477" s="17"/>
      <c r="I477" s="17"/>
      <c r="J477" s="17">
        <v>1898</v>
      </c>
      <c r="K477" s="17" t="n">
        <f aca="false">IF(AND(IFERROR(SEARCH("현대오일뱅크",$C477),0)&gt;0,IFERROR(SEARCH("직영",$C477),0)&gt;0),$B$13,0)</f>
        <v/>
      </c>
      <c r="L477" s="17" t="n">
        <f aca="false">IF($G477="","",$G477+$K477)</f>
        <v/>
      </c>
      <c r="M477" s="17" t="str">
        <f aca="false">IF($H477="","",$H477+$K477)</f>
        <v/>
      </c>
      <c r="N477" s="17" t="n">
        <f aca="false">IF($J477="","",$J477+$K477)</f>
        <v/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 t="str">
        <f aca="false">IF($B$10=0,"",IFERROR(IF($B$4&gt;0,IF($L477="",1/0,$L477*$B$4),0)+IF($B$5&gt;0,IF($M477="",1/0,$M477*$B$5),0)+IF($B$6&gt;0,IF($N477="",1/0,$N477*$B$6),0),""))</f>
        <v/>
      </c>
      <c r="Q477" s="17" t="s">
        <v>47</v>
      </c>
      <c r="R477" s="18" t="str">
        <f aca="false">IF($P477="","",IF($Q477="Y",IFERROR(VLOOKUP($B477,$C$4:$D$13,2,FALSE()),0),0))</f>
        <v/>
      </c>
      <c r="S477" s="17" t="str">
        <f aca="false">IF($P477="","",ROUNDDOWN($P477*$R477,0))</f>
        <v/>
      </c>
      <c r="T477" s="17" t="str">
        <f aca="false">IF($P477="","",$P477-$S477)</f>
        <v/>
      </c>
      <c r="U477" s="17" t="str">
        <f aca="false">IF($T477="","",IF($B$10=0,"",$T477/$B$10))</f>
        <v/>
      </c>
      <c r="V477" s="17" t="str">
        <f aca="false">IF($P477="","",IF($B$10=0,"",$P477/$B$10))</f>
        <v/>
      </c>
      <c r="W477" s="19" t="n">
        <f aca="false">IF($T477="",1000000000000000,$T477)</f>
        <v/>
      </c>
      <c r="XFC477" s="3"/>
    </row>
    <row r="478" s="5" collapsed="false" customFormat="true" customHeight="true" hidden="false" ht="28.5" outlineLevel="0">
      <c r="A478" s="16" t="str">
        <f aca="false">IF($T478="","",1+COUNTIF($W$15:$W$894,"&lt;"&amp;W478))</f>
        <v/>
      </c>
      <c r="B478" s="16" t="s">
        <v>14</v>
      </c>
      <c r="C478" s="16" t="s">
        <v>640</v>
      </c>
      <c r="D478" s="16" t="s">
        <v>45</v>
      </c>
      <c r="E478" s="16" t="s">
        <v>63</v>
      </c>
      <c r="F478" s="16" t="s">
        <v>956</v>
      </c>
      <c r="G478" s="17">
        <v>1889</v>
      </c>
      <c r="H478" s="17"/>
      <c r="I478" s="17"/>
      <c r="J478" s="17">
        <v>1799</v>
      </c>
      <c r="K478" s="17" t="n">
        <f aca="false">IF(AND(IFERROR(SEARCH("현대오일뱅크",$C478),0)&gt;0,IFERROR(SEARCH("직영",$C478),0)&gt;0),$B$13,0)</f>
        <v/>
      </c>
      <c r="L478" s="17" t="n">
        <f aca="false">IF($G478="","",$G478+$K478)</f>
        <v/>
      </c>
      <c r="M478" s="17" t="str">
        <f aca="false">IF($H478="","",$H478+$K478)</f>
        <v/>
      </c>
      <c r="N478" s="17" t="n">
        <f aca="false">IF($J478="","",$J478+$K478)</f>
        <v/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 t="str">
        <f aca="false">IF($B$10=0,"",IFERROR(IF($B$4&gt;0,IF($L478="",1/0,$L478*$B$4),0)+IF($B$5&gt;0,IF($M478="",1/0,$M478*$B$5),0)+IF($B$6&gt;0,IF($N478="",1/0,$N478*$B$6),0),""))</f>
        <v/>
      </c>
      <c r="Q478" s="17" t="s">
        <v>47</v>
      </c>
      <c r="R478" s="18" t="str">
        <f aca="false">IF($P478="","",IF($Q478="Y",IFERROR(VLOOKUP($B478,$C$4:$D$13,2,FALSE()),0),0))</f>
        <v/>
      </c>
      <c r="S478" s="17" t="str">
        <f aca="false">IF($P478="","",ROUNDDOWN($P478*$R478,0))</f>
        <v/>
      </c>
      <c r="T478" s="17" t="str">
        <f aca="false">IF($P478="","",$P478-$S478)</f>
        <v/>
      </c>
      <c r="U478" s="17" t="str">
        <f aca="false">IF($T478="","",IF($B$10=0,"",$T478/$B$10))</f>
        <v/>
      </c>
      <c r="V478" s="17" t="str">
        <f aca="false">IF($P478="","",IF($B$10=0,"",$P478/$B$10))</f>
        <v/>
      </c>
      <c r="W478" s="19" t="n">
        <f aca="false">IF($T478="",1000000000000000,$T478)</f>
        <v/>
      </c>
      <c r="XFB478" s="6"/>
      <c r="XFC478" s="3"/>
    </row>
    <row r="479" s="5" collapsed="false" customFormat="true" customHeight="true" hidden="false" ht="28.5" outlineLevel="0">
      <c r="A479" s="16" t="str">
        <f aca="false">IF($T479="","",1+COUNTIF($W$15:$W$894,"&lt;"&amp;W479))</f>
        <v/>
      </c>
      <c r="B479" s="16" t="s">
        <v>14</v>
      </c>
      <c r="C479" s="16" t="s">
        <v>957</v>
      </c>
      <c r="D479" s="16" t="s">
        <v>95</v>
      </c>
      <c r="E479" s="16" t="s">
        <v>63</v>
      </c>
      <c r="F479" s="16" t="s">
        <v>958</v>
      </c>
      <c r="G479" s="17">
        <v>1890</v>
      </c>
      <c r="H479" s="17"/>
      <c r="I479" s="17"/>
      <c r="J479" s="17">
        <v>1850</v>
      </c>
      <c r="K479" s="17" t="n">
        <f aca="false">IF(AND(IFERROR(SEARCH("현대오일뱅크",$C479),0)&gt;0,IFERROR(SEARCH("직영",$C479),0)&gt;0),$B$13,0)</f>
        <v/>
      </c>
      <c r="L479" s="17" t="n">
        <f aca="false">IF($G479="","",$G479+$K479)</f>
        <v/>
      </c>
      <c r="M479" s="17" t="str">
        <f aca="false">IF($H479="","",$H479+$K479)</f>
        <v/>
      </c>
      <c r="N479" s="17" t="n">
        <f aca="false">IF($J479="","",$J479+$K479)</f>
        <v/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 t="str">
        <f aca="false">IF($B$10=0,"",IFERROR(IF($B$4&gt;0,IF($L479="",1/0,$L479*$B$4),0)+IF($B$5&gt;0,IF($M479="",1/0,$M479*$B$5),0)+IF($B$6&gt;0,IF($N479="",1/0,$N479*$B$6),0),""))</f>
        <v/>
      </c>
      <c r="Q479" s="17" t="s">
        <v>47</v>
      </c>
      <c r="R479" s="18" t="str">
        <f aca="false">IF($P479="","",IF($Q479="Y",IFERROR(VLOOKUP($B479,$C$4:$D$13,2,FALSE()),0),0))</f>
        <v/>
      </c>
      <c r="S479" s="17" t="str">
        <f aca="false">IF($P479="","",ROUNDDOWN($P479*$R479,0))</f>
        <v/>
      </c>
      <c r="T479" s="17" t="str">
        <f aca="false">IF($P479="","",$P479-$S479)</f>
        <v/>
      </c>
      <c r="U479" s="17" t="str">
        <f aca="false">IF($T479="","",IF($B$10=0,"",$T479/$B$10))</f>
        <v/>
      </c>
      <c r="V479" s="17" t="str">
        <f aca="false">IF($P479="","",IF($B$10=0,"",$P479/$B$10))</f>
        <v/>
      </c>
      <c r="W479" s="19" t="n">
        <f aca="false">IF($T479="",1000000000000000,$T479)</f>
        <v/>
      </c>
      <c r="XFB479" s="6"/>
      <c r="XFC479" s="3"/>
    </row>
    <row r="480" s="5" collapsed="false" customFormat="true" customHeight="true" hidden="false" ht="28.5" outlineLevel="0">
      <c r="A480" s="16" t="str">
        <f aca="false">IF($T480="","",1+COUNTIF($W$15:$W$894,"&lt;"&amp;W480))</f>
        <v/>
      </c>
      <c r="B480" s="16" t="s">
        <v>6</v>
      </c>
      <c r="C480" s="16" t="s">
        <v>640</v>
      </c>
      <c r="D480" s="16" t="s">
        <v>51</v>
      </c>
      <c r="E480" s="16" t="s">
        <v>63</v>
      </c>
      <c r="F480" s="16" t="s">
        <v>959</v>
      </c>
      <c r="G480" s="17">
        <v>1869</v>
      </c>
      <c r="H480" s="17"/>
      <c r="I480" s="17"/>
      <c r="J480" s="17">
        <v>1869</v>
      </c>
      <c r="K480" s="17" t="n">
        <f aca="false">IF(AND(IFERROR(SEARCH("현대오일뱅크",$C480),0)&gt;0,IFERROR(SEARCH("직영",$C480),0)&gt;0),$B$13,0)</f>
        <v/>
      </c>
      <c r="L480" s="17" t="n">
        <f aca="false">IF($G480="","",$G480+$K480)</f>
        <v/>
      </c>
      <c r="M480" s="17" t="str">
        <f aca="false">IF($H480="","",$H480+$K480)</f>
        <v/>
      </c>
      <c r="N480" s="17" t="n">
        <f aca="false">IF($J480="","",$J480+$K480)</f>
        <v/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 t="str">
        <f aca="false">IF($B$10=0,"",IFERROR(IF($B$4&gt;0,IF($L480="",1/0,$L480*$B$4),0)+IF($B$5&gt;0,IF($M480="",1/0,$M480*$B$5),0)+IF($B$6&gt;0,IF($N480="",1/0,$N480*$B$6),0),""))</f>
        <v/>
      </c>
      <c r="Q480" s="17" t="s">
        <v>47</v>
      </c>
      <c r="R480" s="18" t="str">
        <f aca="false">IF($P480="","",IF($Q480="Y",IFERROR(VLOOKUP($B480,$C$4:$D$13,2,FALSE()),0),0))</f>
        <v/>
      </c>
      <c r="S480" s="17" t="str">
        <f aca="false">IF($P480="","",ROUNDDOWN($P480*$R480,0))</f>
        <v/>
      </c>
      <c r="T480" s="17" t="str">
        <f aca="false">IF($P480="","",$P480-$S480)</f>
        <v/>
      </c>
      <c r="U480" s="17" t="str">
        <f aca="false">IF($T480="","",IF($B$10=0,"",$T480/$B$10))</f>
        <v/>
      </c>
      <c r="V480" s="17" t="str">
        <f aca="false">IF($P480="","",IF($B$10=0,"",$P480/$B$10))</f>
        <v/>
      </c>
      <c r="W480" s="19" t="n">
        <f aca="false">IF($T480="",1000000000000000,$T480)</f>
        <v/>
      </c>
      <c r="XFB480" s="6"/>
      <c r="XFC480" s="3"/>
    </row>
    <row r="481" s="5" collapsed="false" customFormat="true" customHeight="true" hidden="false" ht="28.5" outlineLevel="0">
      <c r="A481" s="16" t="str">
        <f aca="false">IF($T481="","",1+COUNTIF($W$15:$W$894,"&lt;"&amp;W481))</f>
        <v/>
      </c>
      <c r="B481" s="16" t="s">
        <v>10</v>
      </c>
      <c r="C481" s="16" t="s">
        <v>960</v>
      </c>
      <c r="D481" s="20" t="s">
        <v>86</v>
      </c>
      <c r="E481" s="16" t="s">
        <v>63</v>
      </c>
      <c r="F481" s="16" t="s">
        <v>961</v>
      </c>
      <c r="G481" s="17">
        <v>1869</v>
      </c>
      <c r="H481" s="17"/>
      <c r="I481" s="17"/>
      <c r="J481" s="17">
        <v>1869</v>
      </c>
      <c r="K481" s="17" t="n">
        <f aca="false">IF(AND(IFERROR(SEARCH("현대오일뱅크",$C481),0)&gt;0,IFERROR(SEARCH("직영",$C481),0)&gt;0),$B$13,0)</f>
        <v/>
      </c>
      <c r="L481" s="17" t="n">
        <f aca="false">IF($G481="","",$G481+$K481)</f>
        <v/>
      </c>
      <c r="M481" s="17" t="str">
        <f aca="false">IF($H481="","",$H481+$K481)</f>
        <v/>
      </c>
      <c r="N481" s="17" t="n">
        <f aca="false">IF($J481="","",$J481+$K481)</f>
        <v/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 t="str">
        <f aca="false">IF($B$10=0,"",IFERROR(IF($B$4&gt;0,IF($L481="",1/0,$L481*$B$4),0)+IF($B$5&gt;0,IF($M481="",1/0,$M481*$B$5),0)+IF($B$6&gt;0,IF($N481="",1/0,$N481*$B$6),0),""))</f>
        <v/>
      </c>
      <c r="Q481" s="17" t="s">
        <v>47</v>
      </c>
      <c r="R481" s="18" t="str">
        <f aca="false">IF($P481="","",IF($Q481="Y",IFERROR(VLOOKUP($B481,$C$4:$D$13,2,FALSE()),0),0))</f>
        <v/>
      </c>
      <c r="S481" s="17" t="str">
        <f aca="false">IF($P481="","",ROUNDDOWN($P481*$R481,0))</f>
        <v/>
      </c>
      <c r="T481" s="17" t="str">
        <f aca="false">IF($P481="","",$P481-$S481)</f>
        <v/>
      </c>
      <c r="U481" s="17" t="str">
        <f aca="false">IF($T481="","",IF($B$10=0,"",$T481/$B$10))</f>
        <v/>
      </c>
      <c r="V481" s="17" t="str">
        <f aca="false">IF($P481="","",IF($B$10=0,"",$P481/$B$10))</f>
        <v/>
      </c>
      <c r="W481" s="19" t="n">
        <f aca="false">IF($T481="",1000000000000000,$T481)</f>
        <v/>
      </c>
      <c r="XFB481" s="6"/>
      <c r="XFC481" s="3"/>
    </row>
    <row r="482" s="5" collapsed="false" customFormat="true" customHeight="true" hidden="false" ht="28.5" outlineLevel="0">
      <c r="A482" s="16" t="str">
        <f aca="false">IF($T482="","",1+COUNTIF($W$15:$W$894,"&lt;"&amp;W482))</f>
        <v/>
      </c>
      <c r="B482" s="16" t="s">
        <v>10</v>
      </c>
      <c r="C482" s="16" t="s">
        <v>962</v>
      </c>
      <c r="D482" s="16" t="s">
        <v>51</v>
      </c>
      <c r="E482" s="16" t="s">
        <v>63</v>
      </c>
      <c r="F482" s="16" t="s">
        <v>963</v>
      </c>
      <c r="G482" s="17">
        <v>1869</v>
      </c>
      <c r="H482" s="17"/>
      <c r="I482" s="17"/>
      <c r="J482" s="17">
        <v>1879</v>
      </c>
      <c r="K482" s="17" t="n">
        <f aca="false">IF(AND(IFERROR(SEARCH("현대오일뱅크",$C482),0)&gt;0,IFERROR(SEARCH("직영",$C482),0)&gt;0),$B$13,0)</f>
        <v/>
      </c>
      <c r="L482" s="17" t="n">
        <f aca="false">IF($G482="","",$G482+$K482)</f>
        <v/>
      </c>
      <c r="M482" s="17" t="str">
        <f aca="false">IF($H482="","",$H482+$K482)</f>
        <v/>
      </c>
      <c r="N482" s="17" t="n">
        <f aca="false">IF($J482="","",$J482+$K482)</f>
        <v/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 t="str">
        <f aca="false">IF($B$10=0,"",IFERROR(IF($B$4&gt;0,IF($L482="",1/0,$L482*$B$4),0)+IF($B$5&gt;0,IF($M482="",1/0,$M482*$B$5),0)+IF($B$6&gt;0,IF($N482="",1/0,$N482*$B$6),0),""))</f>
        <v/>
      </c>
      <c r="Q482" s="17" t="s">
        <v>47</v>
      </c>
      <c r="R482" s="18" t="str">
        <f aca="false">IF($P482="","",IF($Q482="Y",IFERROR(VLOOKUP($B482,$C$4:$D$13,2,FALSE()),0),0))</f>
        <v/>
      </c>
      <c r="S482" s="17" t="str">
        <f aca="false">IF($P482="","",ROUNDDOWN($P482*$R482,0))</f>
        <v/>
      </c>
      <c r="T482" s="17" t="str">
        <f aca="false">IF($P482="","",$P482-$S482)</f>
        <v/>
      </c>
      <c r="U482" s="17" t="str">
        <f aca="false">IF($T482="","",IF($B$10=0,"",$T482/$B$10))</f>
        <v/>
      </c>
      <c r="V482" s="17" t="str">
        <f aca="false">IF($P482="","",IF($B$10=0,"",$P482/$B$10))</f>
        <v/>
      </c>
      <c r="W482" s="19" t="n">
        <f aca="false">IF($T482="",1000000000000000,$T482)</f>
        <v/>
      </c>
      <c r="XFB482" s="6"/>
      <c r="XFC482" s="3"/>
    </row>
    <row r="483" s="5" collapsed="false" customFormat="true" customHeight="true" hidden="false" ht="28.5" outlineLevel="0">
      <c r="A483" s="16" t="str">
        <f aca="false">IF($T483="","",1+COUNTIF($W$15:$W$894,"&lt;"&amp;W483))</f>
        <v/>
      </c>
      <c r="B483" s="16" t="s">
        <v>12</v>
      </c>
      <c r="C483" s="16" t="s">
        <v>964</v>
      </c>
      <c r="D483" s="20" t="s">
        <v>95</v>
      </c>
      <c r="E483" s="16" t="s">
        <v>26</v>
      </c>
      <c r="F483" s="16" t="s">
        <v>965</v>
      </c>
      <c r="G483" s="17">
        <v>1870</v>
      </c>
      <c r="H483" s="17"/>
      <c r="I483" s="17"/>
      <c r="J483" s="17">
        <v>1860</v>
      </c>
      <c r="K483" s="17" t="n">
        <f aca="false">IF(AND(IFERROR(SEARCH("현대오일뱅크",$C483),0)&gt;0,IFERROR(SEARCH("직영",$C483),0)&gt;0),$B$13,0)</f>
        <v/>
      </c>
      <c r="L483" s="17" t="n">
        <f aca="false">IF($G483="","",$G483+$K483)</f>
        <v/>
      </c>
      <c r="M483" s="17" t="str">
        <f aca="false">IF($H483="","",$H483+$K483)</f>
        <v/>
      </c>
      <c r="N483" s="17" t="n">
        <f aca="false">IF($J483="","",$J483+$K483)</f>
        <v/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 t="str">
        <f aca="false">IF($B$10=0,"",IFERROR(IF($B$4&gt;0,IF($L483="",1/0,$L483*$B$4),0)+IF($B$5&gt;0,IF($M483="",1/0,$M483*$B$5),0)+IF($B$6&gt;0,IF($N483="",1/0,$N483*$B$6),0),""))</f>
        <v/>
      </c>
      <c r="Q483" s="17" t="s">
        <v>47</v>
      </c>
      <c r="R483" s="18" t="str">
        <f aca="false">IF($P483="","",IF($Q483="Y",IFERROR(VLOOKUP($B483,$C$4:$D$13,2,FALSE()),0),0))</f>
        <v/>
      </c>
      <c r="S483" s="17" t="str">
        <f aca="false">IF($P483="","",ROUNDDOWN($P483*$R483,0))</f>
        <v/>
      </c>
      <c r="T483" s="17" t="str">
        <f aca="false">IF($P483="","",$P483-$S483)</f>
        <v/>
      </c>
      <c r="U483" s="17" t="str">
        <f aca="false">IF($T483="","",IF($B$10=0,"",$T483/$B$10))</f>
        <v/>
      </c>
      <c r="V483" s="17" t="str">
        <f aca="false">IF($P483="","",IF($B$10=0,"",$P483/$B$10))</f>
        <v/>
      </c>
      <c r="W483" s="19" t="n">
        <f aca="false">IF($T483="",1000000000000000,$T483)</f>
        <v/>
      </c>
      <c r="XFB483" s="6"/>
      <c r="XFC483" s="3"/>
    </row>
    <row r="484" s="5" collapsed="false" customFormat="true" customHeight="true" hidden="false" ht="28.5" outlineLevel="0">
      <c r="A484" s="16" t="str">
        <f aca="false">IF($T484="","",1+COUNTIF($W$15:$W$894,"&lt;"&amp;W484))</f>
        <v/>
      </c>
      <c r="B484" s="16" t="s">
        <v>10</v>
      </c>
      <c r="C484" s="16" t="s">
        <v>966</v>
      </c>
      <c r="D484" s="16" t="s">
        <v>95</v>
      </c>
      <c r="E484" s="16" t="s">
        <v>26</v>
      </c>
      <c r="F484" s="16" t="s">
        <v>967</v>
      </c>
      <c r="G484" s="17">
        <v>1870</v>
      </c>
      <c r="H484" s="17"/>
      <c r="I484" s="17"/>
      <c r="J484" s="17">
        <v>1880</v>
      </c>
      <c r="K484" s="17" t="n">
        <f aca="false">IF(AND(IFERROR(SEARCH("현대오일뱅크",$C484),0)&gt;0,IFERROR(SEARCH("직영",$C484),0)&gt;0),$B$13,0)</f>
        <v/>
      </c>
      <c r="L484" s="17" t="n">
        <f aca="false">IF($G484="","",$G484+$K484)</f>
        <v/>
      </c>
      <c r="M484" s="17" t="str">
        <f aca="false">IF($H484="","",$H484+$K484)</f>
        <v/>
      </c>
      <c r="N484" s="17" t="n">
        <f aca="false">IF($J484="","",$J484+$K484)</f>
        <v/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 t="str">
        <f aca="false">IF($B$10=0,"",IFERROR(IF($B$4&gt;0,IF($L484="",1/0,$L484*$B$4),0)+IF($B$5&gt;0,IF($M484="",1/0,$M484*$B$5),0)+IF($B$6&gt;0,IF($N484="",1/0,$N484*$B$6),0),""))</f>
        <v/>
      </c>
      <c r="Q484" s="17" t="s">
        <v>47</v>
      </c>
      <c r="R484" s="18" t="str">
        <f aca="false">IF($P484="","",IF($Q484="Y",IFERROR(VLOOKUP($B484,$C$4:$D$13,2,FALSE()),0),0))</f>
        <v/>
      </c>
      <c r="S484" s="17" t="str">
        <f aca="false">IF($P484="","",ROUNDDOWN($P484*$R484,0))</f>
        <v/>
      </c>
      <c r="T484" s="17" t="str">
        <f aca="false">IF($P484="","",$P484-$S484)</f>
        <v/>
      </c>
      <c r="U484" s="17" t="str">
        <f aca="false">IF($T484="","",IF($B$10=0,"",$T484/$B$10))</f>
        <v/>
      </c>
      <c r="V484" s="17" t="str">
        <f aca="false">IF($P484="","",IF($B$10=0,"",$P484/$B$10))</f>
        <v/>
      </c>
      <c r="W484" s="19" t="n">
        <f aca="false">IF($T484="",1000000000000000,$T484)</f>
        <v/>
      </c>
      <c r="XFB484" s="6"/>
      <c r="XFC484" s="3"/>
    </row>
    <row r="485" s="5" collapsed="false" customFormat="true" customHeight="true" hidden="false" ht="28.5" outlineLevel="0">
      <c r="A485" s="16" t="str">
        <f aca="false">IF($T485="","",1+COUNTIF($W$15:$W$894,"&lt;"&amp;W485))</f>
        <v/>
      </c>
      <c r="B485" s="16" t="s">
        <v>14</v>
      </c>
      <c r="C485" s="16" t="s">
        <v>968</v>
      </c>
      <c r="D485" s="16" t="s">
        <v>51</v>
      </c>
      <c r="E485" s="16" t="s">
        <v>63</v>
      </c>
      <c r="F485" s="16" t="s">
        <v>969</v>
      </c>
      <c r="G485" s="17">
        <v>1895</v>
      </c>
      <c r="H485" s="17"/>
      <c r="I485" s="17"/>
      <c r="J485" s="17">
        <v>1895</v>
      </c>
      <c r="K485" s="17" t="n">
        <f aca="false">IF(AND(IFERROR(SEARCH("현대오일뱅크",$C485),0)&gt;0,IFERROR(SEARCH("직영",$C485),0)&gt;0),$B$13,0)</f>
        <v/>
      </c>
      <c r="L485" s="17" t="n">
        <f aca="false">IF($G485="","",$G485+$K485)</f>
        <v/>
      </c>
      <c r="M485" s="17" t="str">
        <f aca="false">IF($H485="","",$H485+$K485)</f>
        <v/>
      </c>
      <c r="N485" s="17" t="n">
        <f aca="false">IF($J485="","",$J485+$K485)</f>
        <v/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 t="str">
        <f aca="false">IF($B$10=0,"",IFERROR(IF($B$4&gt;0,IF($L485="",1/0,$L485*$B$4),0)+IF($B$5&gt;0,IF($M485="",1/0,$M485*$B$5),0)+IF($B$6&gt;0,IF($N485="",1/0,$N485*$B$6),0),""))</f>
        <v/>
      </c>
      <c r="Q485" s="17" t="s">
        <v>47</v>
      </c>
      <c r="R485" s="18" t="str">
        <f aca="false">IF($P485="","",IF($Q485="Y",IFERROR(VLOOKUP($B485,$C$4:$D$13,2,FALSE()),0),0))</f>
        <v/>
      </c>
      <c r="S485" s="17" t="str">
        <f aca="false">IF($P485="","",ROUNDDOWN($P485*$R485,0))</f>
        <v/>
      </c>
      <c r="T485" s="17" t="str">
        <f aca="false">IF($P485="","",$P485-$S485)</f>
        <v/>
      </c>
      <c r="U485" s="17" t="str">
        <f aca="false">IF($T485="","",IF($B$10=0,"",$T485/$B$10))</f>
        <v/>
      </c>
      <c r="V485" s="17" t="str">
        <f aca="false">IF($P485="","",IF($B$10=0,"",$P485/$B$10))</f>
        <v/>
      </c>
      <c r="W485" s="19" t="n">
        <f aca="false">IF($T485="",1000000000000000,$T485)</f>
        <v/>
      </c>
      <c r="XFB485" s="6"/>
      <c r="XFC485" s="3"/>
    </row>
    <row r="486" s="5" collapsed="false" customFormat="true" customHeight="true" hidden="false" ht="28.5" outlineLevel="0">
      <c r="A486" s="16" t="str">
        <f aca="false">IF($T486="","",1+COUNTIF($W$15:$W$894,"&lt;"&amp;W486))</f>
        <v/>
      </c>
      <c r="B486" s="16" t="s">
        <v>12</v>
      </c>
      <c r="C486" s="16" t="s">
        <v>970</v>
      </c>
      <c r="D486" s="20" t="s">
        <v>95</v>
      </c>
      <c r="E486" s="16" t="s">
        <v>63</v>
      </c>
      <c r="F486" s="16" t="s">
        <v>971</v>
      </c>
      <c r="G486" s="17">
        <v>1874</v>
      </c>
      <c r="H486" s="17"/>
      <c r="I486" s="17"/>
      <c r="J486" s="17">
        <v>1863</v>
      </c>
      <c r="K486" s="17" t="n">
        <f aca="false">IF(AND(IFERROR(SEARCH("현대오일뱅크",$C486),0)&gt;0,IFERROR(SEARCH("직영",$C486),0)&gt;0),$B$13,0)</f>
        <v/>
      </c>
      <c r="L486" s="17" t="n">
        <f aca="false">IF($G486="","",$G486+$K486)</f>
        <v/>
      </c>
      <c r="M486" s="17" t="str">
        <f aca="false">IF($H486="","",$H486+$K486)</f>
        <v/>
      </c>
      <c r="N486" s="17" t="n">
        <f aca="false">IF($J486="","",$J486+$K486)</f>
        <v/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 t="str">
        <f aca="false">IF($B$10=0,"",IFERROR(IF($B$4&gt;0,IF($L486="",1/0,$L486*$B$4),0)+IF($B$5&gt;0,IF($M486="",1/0,$M486*$B$5),0)+IF($B$6&gt;0,IF($N486="",1/0,$N486*$B$6),0),""))</f>
        <v/>
      </c>
      <c r="Q486" s="17" t="s">
        <v>47</v>
      </c>
      <c r="R486" s="18" t="str">
        <f aca="false">IF($P486="","",IF($Q486="Y",IFERROR(VLOOKUP($B486,$C$4:$D$13,2,FALSE()),0),0))</f>
        <v/>
      </c>
      <c r="S486" s="17" t="str">
        <f aca="false">IF($P486="","",ROUNDDOWN($P486*$R486,0))</f>
        <v/>
      </c>
      <c r="T486" s="17" t="str">
        <f aca="false">IF($P486="","",$P486-$S486)</f>
        <v/>
      </c>
      <c r="U486" s="17" t="str">
        <f aca="false">IF($T486="","",IF($B$10=0,"",$T486/$B$10))</f>
        <v/>
      </c>
      <c r="V486" s="17" t="str">
        <f aca="false">IF($P486="","",IF($B$10=0,"",$P486/$B$10))</f>
        <v/>
      </c>
      <c r="W486" s="19" t="n">
        <f aca="false">IF($T486="",1000000000000000,$T486)</f>
        <v/>
      </c>
      <c r="XFB486" s="6"/>
      <c r="XFC486" s="3"/>
    </row>
    <row r="487" s="5" collapsed="false" customFormat="true" customHeight="true" hidden="false" ht="28.5" outlineLevel="0">
      <c r="A487" s="16" t="str">
        <f aca="false">IF($T487="","",1+COUNTIF($W$15:$W$894,"&lt;"&amp;W487))</f>
        <v/>
      </c>
      <c r="B487" s="16" t="s">
        <v>12</v>
      </c>
      <c r="C487" s="16" t="s">
        <v>972</v>
      </c>
      <c r="D487" s="20" t="s">
        <v>45</v>
      </c>
      <c r="E487" s="16" t="s">
        <v>26</v>
      </c>
      <c r="F487" s="16" t="s">
        <v>973</v>
      </c>
      <c r="G487" s="17">
        <v>1875</v>
      </c>
      <c r="H487" s="17"/>
      <c r="I487" s="17"/>
      <c r="J487" s="17">
        <v>1855</v>
      </c>
      <c r="K487" s="17" t="n">
        <f aca="false">IF(AND(IFERROR(SEARCH("현대오일뱅크",$C487),0)&gt;0,IFERROR(SEARCH("직영",$C487),0)&gt;0),$B$13,0)</f>
        <v/>
      </c>
      <c r="L487" s="17" t="n">
        <f aca="false">IF($G487="","",$G487+$K487)</f>
        <v/>
      </c>
      <c r="M487" s="17" t="str">
        <f aca="false">IF($H487="","",$H487+$K487)</f>
        <v/>
      </c>
      <c r="N487" s="17" t="n">
        <f aca="false">IF($J487="","",$J487+$K487)</f>
        <v/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 t="str">
        <f aca="false">IF($B$10=0,"",IFERROR(IF($B$4&gt;0,IF($L487="",1/0,$L487*$B$4),0)+IF($B$5&gt;0,IF($M487="",1/0,$M487*$B$5),0)+IF($B$6&gt;0,IF($N487="",1/0,$N487*$B$6),0),""))</f>
        <v/>
      </c>
      <c r="Q487" s="17" t="s">
        <v>47</v>
      </c>
      <c r="R487" s="18" t="str">
        <f aca="false">IF($P487="","",IF($Q487="Y",IFERROR(VLOOKUP($B487,$C$4:$D$13,2,FALSE()),0),0))</f>
        <v/>
      </c>
      <c r="S487" s="17" t="str">
        <f aca="false">IF($P487="","",ROUNDDOWN($P487*$R487,0))</f>
        <v/>
      </c>
      <c r="T487" s="17" t="str">
        <f aca="false">IF($P487="","",$P487-$S487)</f>
        <v/>
      </c>
      <c r="U487" s="17" t="str">
        <f aca="false">IF($T487="","",IF($B$10=0,"",$T487/$B$10))</f>
        <v/>
      </c>
      <c r="V487" s="17" t="str">
        <f aca="false">IF($P487="","",IF($B$10=0,"",$P487/$B$10))</f>
        <v/>
      </c>
      <c r="W487" s="19" t="n">
        <f aca="false">IF($T487="",1000000000000000,$T487)</f>
        <v/>
      </c>
      <c r="XFB487" s="6"/>
      <c r="XFC487" s="3"/>
    </row>
    <row r="488" s="5" collapsed="false" customFormat="true" customHeight="true" hidden="false" ht="28.5" outlineLevel="0">
      <c r="A488" s="16" t="str">
        <f aca="false">IF($T488="","",1+COUNTIF($W$15:$W$894,"&lt;"&amp;W488))</f>
        <v/>
      </c>
      <c r="B488" s="16" t="s">
        <v>6</v>
      </c>
      <c r="C488" s="16" t="s">
        <v>974</v>
      </c>
      <c r="D488" s="16" t="s">
        <v>45</v>
      </c>
      <c r="E488" s="16" t="s">
        <v>26</v>
      </c>
      <c r="F488" s="16" t="s">
        <v>975</v>
      </c>
      <c r="G488" s="17">
        <v>1875</v>
      </c>
      <c r="H488" s="17"/>
      <c r="I488" s="17"/>
      <c r="J488" s="17">
        <v>1865</v>
      </c>
      <c r="K488" s="17" t="n">
        <f aca="false">IF(AND(IFERROR(SEARCH("현대오일뱅크",$C488),0)&gt;0,IFERROR(SEARCH("직영",$C488),0)&gt;0),$B$13,0)</f>
        <v/>
      </c>
      <c r="L488" s="17" t="n">
        <f aca="false">IF($G488="","",$G488+$K488)</f>
        <v/>
      </c>
      <c r="M488" s="17" t="str">
        <f aca="false">IF($H488="","",$H488+$K488)</f>
        <v/>
      </c>
      <c r="N488" s="17" t="n">
        <f aca="false">IF($J488="","",$J488+$K488)</f>
        <v/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 t="str">
        <f aca="false">IF($B$10=0,"",IFERROR(IF($B$4&gt;0,IF($L488="",1/0,$L488*$B$4),0)+IF($B$5&gt;0,IF($M488="",1/0,$M488*$B$5),0)+IF($B$6&gt;0,IF($N488="",1/0,$N488*$B$6),0),""))</f>
        <v/>
      </c>
      <c r="Q488" s="17" t="s">
        <v>47</v>
      </c>
      <c r="R488" s="18" t="str">
        <f aca="false">IF($P488="","",IF($Q488="Y",IFERROR(VLOOKUP($B488,$C$4:$D$13,2,FALSE()),0),0))</f>
        <v/>
      </c>
      <c r="S488" s="17" t="str">
        <f aca="false">IF($P488="","",ROUNDDOWN($P488*$R488,0))</f>
        <v/>
      </c>
      <c r="T488" s="17" t="str">
        <f aca="false">IF($P488="","",$P488-$S488)</f>
        <v/>
      </c>
      <c r="U488" s="17" t="str">
        <f aca="false">IF($T488="","",IF($B$10=0,"",$T488/$B$10))</f>
        <v/>
      </c>
      <c r="V488" s="17" t="str">
        <f aca="false">IF($P488="","",IF($B$10=0,"",$P488/$B$10))</f>
        <v/>
      </c>
      <c r="W488" s="19" t="n">
        <f aca="false">IF($T488="",1000000000000000,$T488)</f>
        <v/>
      </c>
      <c r="XFB488" s="6"/>
      <c r="XFC488" s="3"/>
    </row>
    <row r="489" s="5" collapsed="false" customFormat="true" customHeight="true" hidden="false" ht="28.5" outlineLevel="0">
      <c r="A489" s="16" t="str">
        <f aca="false">IF($T489="","",1+COUNTIF($W$15:$W$894,"&lt;"&amp;W489))</f>
        <v/>
      </c>
      <c r="B489" s="16" t="s">
        <v>6</v>
      </c>
      <c r="C489" s="16" t="s">
        <v>976</v>
      </c>
      <c r="D489" s="16" t="s">
        <v>95</v>
      </c>
      <c r="E489" s="16" t="s">
        <v>63</v>
      </c>
      <c r="F489" s="16" t="s">
        <v>977</v>
      </c>
      <c r="G489" s="17">
        <v>1875</v>
      </c>
      <c r="H489" s="17"/>
      <c r="I489" s="17"/>
      <c r="J489" s="17">
        <v>1867</v>
      </c>
      <c r="K489" s="17" t="n">
        <f aca="false">IF(AND(IFERROR(SEARCH("현대오일뱅크",$C489),0)&gt;0,IFERROR(SEARCH("직영",$C489),0)&gt;0),$B$13,0)</f>
        <v/>
      </c>
      <c r="L489" s="17" t="n">
        <f aca="false">IF($G489="","",$G489+$K489)</f>
        <v/>
      </c>
      <c r="M489" s="17" t="str">
        <f aca="false">IF($H489="","",$H489+$K489)</f>
        <v/>
      </c>
      <c r="N489" s="17" t="n">
        <f aca="false">IF($J489="","",$J489+$K489)</f>
        <v/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 t="str">
        <f aca="false">IF($B$10=0,"",IFERROR(IF($B$4&gt;0,IF($L489="",1/0,$L489*$B$4),0)+IF($B$5&gt;0,IF($M489="",1/0,$M489*$B$5),0)+IF($B$6&gt;0,IF($N489="",1/0,$N489*$B$6),0),""))</f>
        <v/>
      </c>
      <c r="Q489" s="17" t="s">
        <v>47</v>
      </c>
      <c r="R489" s="18" t="str">
        <f aca="false">IF($P489="","",IF($Q489="Y",IFERROR(VLOOKUP($B489,$C$4:$D$13,2,FALSE()),0),0))</f>
        <v/>
      </c>
      <c r="S489" s="17" t="str">
        <f aca="false">IF($P489="","",ROUNDDOWN($P489*$R489,0))</f>
        <v/>
      </c>
      <c r="T489" s="17" t="str">
        <f aca="false">IF($P489="","",$P489-$S489)</f>
        <v/>
      </c>
      <c r="U489" s="17" t="str">
        <f aca="false">IF($T489="","",IF($B$10=0,"",$T489/$B$10))</f>
        <v/>
      </c>
      <c r="V489" s="17" t="str">
        <f aca="false">IF($P489="","",IF($B$10=0,"",$P489/$B$10))</f>
        <v/>
      </c>
      <c r="W489" s="19" t="n">
        <f aca="false">IF($T489="",1000000000000000,$T489)</f>
        <v/>
      </c>
      <c r="XFB489" s="6"/>
      <c r="XFC489" s="3"/>
    </row>
    <row r="490" s="5" collapsed="false" customFormat="true" customHeight="true" hidden="false" ht="28.5" outlineLevel="0">
      <c r="A490" s="16" t="str">
        <f aca="false">IF($T490="","",1+COUNTIF($W$15:$W$894,"&lt;"&amp;W490))</f>
        <v/>
      </c>
      <c r="B490" s="16" t="s">
        <v>10</v>
      </c>
      <c r="C490" s="16" t="s">
        <v>978</v>
      </c>
      <c r="D490" s="16" t="s">
        <v>45</v>
      </c>
      <c r="E490" s="16" t="s">
        <v>26</v>
      </c>
      <c r="F490" s="16" t="s">
        <v>979</v>
      </c>
      <c r="G490" s="17">
        <v>1876</v>
      </c>
      <c r="H490" s="17"/>
      <c r="I490" s="17"/>
      <c r="J490" s="17">
        <v>1868</v>
      </c>
      <c r="K490" s="17" t="n">
        <f aca="false">IF(AND(IFERROR(SEARCH("현대오일뱅크",$C490),0)&gt;0,IFERROR(SEARCH("직영",$C490),0)&gt;0),$B$13,0)</f>
        <v/>
      </c>
      <c r="L490" s="17" t="n">
        <f aca="false">IF($G490="","",$G490+$K490)</f>
        <v/>
      </c>
      <c r="M490" s="17" t="str">
        <f aca="false">IF($H490="","",$H490+$K490)</f>
        <v/>
      </c>
      <c r="N490" s="17" t="n">
        <f aca="false">IF($J490="","",$J490+$K490)</f>
        <v/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 t="str">
        <f aca="false">IF($B$10=0,"",IFERROR(IF($B$4&gt;0,IF($L490="",1/0,$L490*$B$4),0)+IF($B$5&gt;0,IF($M490="",1/0,$M490*$B$5),0)+IF($B$6&gt;0,IF($N490="",1/0,$N490*$B$6),0),""))</f>
        <v/>
      </c>
      <c r="Q490" s="17" t="s">
        <v>47</v>
      </c>
      <c r="R490" s="18" t="str">
        <f aca="false">IF($P490="","",IF($Q490="Y",IFERROR(VLOOKUP($B490,$C$4:$D$13,2,FALSE()),0),0))</f>
        <v/>
      </c>
      <c r="S490" s="17" t="str">
        <f aca="false">IF($P490="","",ROUNDDOWN($P490*$R490,0))</f>
        <v/>
      </c>
      <c r="T490" s="17" t="str">
        <f aca="false">IF($P490="","",$P490-$S490)</f>
        <v/>
      </c>
      <c r="U490" s="17" t="str">
        <f aca="false">IF($T490="","",IF($B$10=0,"",$T490/$B$10))</f>
        <v/>
      </c>
      <c r="V490" s="17" t="str">
        <f aca="false">IF($P490="","",IF($B$10=0,"",$P490/$B$10))</f>
        <v/>
      </c>
      <c r="W490" s="19" t="n">
        <f aca="false">IF($T490="",1000000000000000,$T490)</f>
        <v/>
      </c>
      <c r="XFB490" s="6"/>
      <c r="XFC490" s="3"/>
    </row>
    <row r="491" s="5" collapsed="false" customFormat="true" customHeight="true" hidden="false" ht="28.5" outlineLevel="0">
      <c r="A491" s="16" t="str">
        <f aca="false">IF($T491="","",1+COUNTIF($W$15:$W$894,"&lt;"&amp;W491))</f>
        <v/>
      </c>
      <c r="B491" s="16" t="s">
        <v>14</v>
      </c>
      <c r="C491" s="16" t="s">
        <v>980</v>
      </c>
      <c r="D491" s="16" t="s">
        <v>95</v>
      </c>
      <c r="E491" s="16" t="s">
        <v>26</v>
      </c>
      <c r="F491" s="16" t="s">
        <v>981</v>
      </c>
      <c r="G491" s="17">
        <v>1899</v>
      </c>
      <c r="H491" s="17"/>
      <c r="I491" s="17"/>
      <c r="J491" s="17">
        <v>1899</v>
      </c>
      <c r="K491" s="17" t="n">
        <f aca="false">IF(AND(IFERROR(SEARCH("현대오일뱅크",$C491),0)&gt;0,IFERROR(SEARCH("직영",$C491),0)&gt;0),$B$13,0)</f>
        <v/>
      </c>
      <c r="L491" s="17" t="n">
        <f aca="false">IF($G491="","",$G491+$K491)</f>
        <v/>
      </c>
      <c r="M491" s="17" t="str">
        <f aca="false">IF($H491="","",$H491+$K491)</f>
        <v/>
      </c>
      <c r="N491" s="17" t="n">
        <f aca="false">IF($J491="","",$J491+$K491)</f>
        <v/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 t="str">
        <f aca="false">IF($B$10=0,"",IFERROR(IF($B$4&gt;0,IF($L491="",1/0,$L491*$B$4),0)+IF($B$5&gt;0,IF($M491="",1/0,$M491*$B$5),0)+IF($B$6&gt;0,IF($N491="",1/0,$N491*$B$6),0),""))</f>
        <v/>
      </c>
      <c r="Q491" s="17" t="s">
        <v>47</v>
      </c>
      <c r="R491" s="18" t="str">
        <f aca="false">IF($P491="","",IF($Q491="Y",IFERROR(VLOOKUP($B491,$C$4:$D$13,2,FALSE()),0),0))</f>
        <v/>
      </c>
      <c r="S491" s="17" t="str">
        <f aca="false">IF($P491="","",ROUNDDOWN($P491*$R491,0))</f>
        <v/>
      </c>
      <c r="T491" s="17" t="str">
        <f aca="false">IF($P491="","",$P491-$S491)</f>
        <v/>
      </c>
      <c r="U491" s="17" t="str">
        <f aca="false">IF($T491="","",IF($B$10=0,"",$T491/$B$10))</f>
        <v/>
      </c>
      <c r="V491" s="17" t="str">
        <f aca="false">IF($P491="","",IF($B$10=0,"",$P491/$B$10))</f>
        <v/>
      </c>
      <c r="W491" s="19" t="n">
        <f aca="false">IF($T491="",1000000000000000,$T491)</f>
        <v/>
      </c>
      <c r="XFB491" s="6"/>
      <c r="XFC491" s="3"/>
    </row>
    <row r="492" s="5" collapsed="false" customFormat="true" customHeight="true" hidden="false" ht="28.5" outlineLevel="0">
      <c r="A492" s="16" t="str">
        <f aca="false">IF($T492="","",1+COUNTIF($W$15:$W$894,"&lt;"&amp;W492))</f>
        <v/>
      </c>
      <c r="B492" s="16" t="s">
        <v>12</v>
      </c>
      <c r="C492" s="16" t="s">
        <v>982</v>
      </c>
      <c r="D492" s="20" t="s">
        <v>95</v>
      </c>
      <c r="E492" s="16" t="s">
        <v>26</v>
      </c>
      <c r="F492" s="16" t="s">
        <v>983</v>
      </c>
      <c r="G492" s="17">
        <v>1879</v>
      </c>
      <c r="H492" s="17"/>
      <c r="I492" s="17"/>
      <c r="J492" s="17">
        <v>1829</v>
      </c>
      <c r="K492" s="17" t="n">
        <f aca="false">IF(AND(IFERROR(SEARCH("현대오일뱅크",$C492),0)&gt;0,IFERROR(SEARCH("직영",$C492),0)&gt;0),$B$13,0)</f>
        <v/>
      </c>
      <c r="L492" s="17" t="n">
        <f aca="false">IF($G492="","",$G492+$K492)</f>
        <v/>
      </c>
      <c r="M492" s="17" t="str">
        <f aca="false">IF($H492="","",$H492+$K492)</f>
        <v/>
      </c>
      <c r="N492" s="17" t="n">
        <f aca="false">IF($J492="","",$J492+$K492)</f>
        <v/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 t="str">
        <f aca="false">IF($B$10=0,"",IFERROR(IF($B$4&gt;0,IF($L492="",1/0,$L492*$B$4),0)+IF($B$5&gt;0,IF($M492="",1/0,$M492*$B$5),0)+IF($B$6&gt;0,IF($N492="",1/0,$N492*$B$6),0),""))</f>
        <v/>
      </c>
      <c r="Q492" s="17" t="s">
        <v>47</v>
      </c>
      <c r="R492" s="18" t="str">
        <f aca="false">IF($P492="","",IF($Q492="Y",IFERROR(VLOOKUP($B492,$C$4:$D$13,2,FALSE()),0),0))</f>
        <v/>
      </c>
      <c r="S492" s="17" t="str">
        <f aca="false">IF($P492="","",ROUNDDOWN($P492*$R492,0))</f>
        <v/>
      </c>
      <c r="T492" s="17" t="str">
        <f aca="false">IF($P492="","",$P492-$S492)</f>
        <v/>
      </c>
      <c r="U492" s="17" t="str">
        <f aca="false">IF($T492="","",IF($B$10=0,"",$T492/$B$10))</f>
        <v/>
      </c>
      <c r="V492" s="17" t="str">
        <f aca="false">IF($P492="","",IF($B$10=0,"",$P492/$B$10))</f>
        <v/>
      </c>
      <c r="W492" s="19" t="n">
        <f aca="false">IF($T492="",1000000000000000,$T492)</f>
        <v/>
      </c>
      <c r="XFB492" s="6"/>
      <c r="XFC492" s="3"/>
    </row>
    <row r="493" s="5" collapsed="false" customFormat="true" customHeight="true" hidden="false" ht="28.5" outlineLevel="0">
      <c r="A493" s="16" t="str">
        <f aca="false">IF($T493="","",1+COUNTIF($W$15:$W$894,"&lt;"&amp;W493))</f>
        <v/>
      </c>
      <c r="B493" s="16" t="s">
        <v>10</v>
      </c>
      <c r="C493" s="16" t="s">
        <v>984</v>
      </c>
      <c r="D493" s="16" t="s">
        <v>45</v>
      </c>
      <c r="E493" s="16" t="s">
        <v>26</v>
      </c>
      <c r="F493" s="16" t="s">
        <v>985</v>
      </c>
      <c r="G493" s="17">
        <v>1879</v>
      </c>
      <c r="H493" s="17"/>
      <c r="I493" s="17"/>
      <c r="J493" s="17">
        <v>1869</v>
      </c>
      <c r="K493" s="17" t="n">
        <f aca="false">IF(AND(IFERROR(SEARCH("현대오일뱅크",$C493),0)&gt;0,IFERROR(SEARCH("직영",$C493),0)&gt;0),$B$13,0)</f>
        <v/>
      </c>
      <c r="L493" s="17" t="n">
        <f aca="false">IF($G493="","",$G493+$K493)</f>
        <v/>
      </c>
      <c r="M493" s="17" t="str">
        <f aca="false">IF($H493="","",$H493+$K493)</f>
        <v/>
      </c>
      <c r="N493" s="17" t="n">
        <f aca="false">IF($J493="","",$J493+$K493)</f>
        <v/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 t="str">
        <f aca="false">IF($B$10=0,"",IFERROR(IF($B$4&gt;0,IF($L493="",1/0,$L493*$B$4),0)+IF($B$5&gt;0,IF($M493="",1/0,$M493*$B$5),0)+IF($B$6&gt;0,IF($N493="",1/0,$N493*$B$6),0),""))</f>
        <v/>
      </c>
      <c r="Q493" s="17" t="s">
        <v>47</v>
      </c>
      <c r="R493" s="18" t="str">
        <f aca="false">IF($P493="","",IF($Q493="Y",IFERROR(VLOOKUP($B493,$C$4:$D$13,2,FALSE()),0),0))</f>
        <v/>
      </c>
      <c r="S493" s="17" t="str">
        <f aca="false">IF($P493="","",ROUNDDOWN($P493*$R493,0))</f>
        <v/>
      </c>
      <c r="T493" s="17" t="str">
        <f aca="false">IF($P493="","",$P493-$S493)</f>
        <v/>
      </c>
      <c r="U493" s="17" t="str">
        <f aca="false">IF($T493="","",IF($B$10=0,"",$T493/$B$10))</f>
        <v/>
      </c>
      <c r="V493" s="17" t="str">
        <f aca="false">IF($P493="","",IF($B$10=0,"",$P493/$B$10))</f>
        <v/>
      </c>
      <c r="W493" s="19" t="n">
        <f aca="false">IF($T493="",1000000000000000,$T493)</f>
        <v/>
      </c>
      <c r="XFB493" s="6"/>
      <c r="XFC493" s="3"/>
    </row>
    <row r="494" s="5" collapsed="false" customFormat="true" customHeight="true" hidden="false" ht="28.5" outlineLevel="0">
      <c r="A494" s="16" t="str">
        <f aca="false">IF($T494="","",1+COUNTIF($W$15:$W$894,"&lt;"&amp;W494))</f>
        <v/>
      </c>
      <c r="B494" s="16" t="s">
        <v>12</v>
      </c>
      <c r="C494" s="16" t="s">
        <v>986</v>
      </c>
      <c r="D494" s="20" t="s">
        <v>86</v>
      </c>
      <c r="E494" s="16" t="s">
        <v>26</v>
      </c>
      <c r="F494" s="16" t="s">
        <v>987</v>
      </c>
      <c r="G494" s="17">
        <v>1880</v>
      </c>
      <c r="H494" s="17"/>
      <c r="I494" s="17"/>
      <c r="J494" s="17">
        <v>1880</v>
      </c>
      <c r="K494" s="17" t="n">
        <f aca="false">IF(AND(IFERROR(SEARCH("현대오일뱅크",$C494),0)&gt;0,IFERROR(SEARCH("직영",$C494),0)&gt;0),$B$13,0)</f>
        <v/>
      </c>
      <c r="L494" s="17" t="n">
        <f aca="false">IF($G494="","",$G494+$K494)</f>
        <v/>
      </c>
      <c r="M494" s="17" t="str">
        <f aca="false">IF($H494="","",$H494+$K494)</f>
        <v/>
      </c>
      <c r="N494" s="17" t="n">
        <f aca="false">IF($J494="","",$J494+$K494)</f>
        <v/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 t="str">
        <f aca="false">IF($B$10=0,"",IFERROR(IF($B$4&gt;0,IF($L494="",1/0,$L494*$B$4),0)+IF($B$5&gt;0,IF($M494="",1/0,$M494*$B$5),0)+IF($B$6&gt;0,IF($N494="",1/0,$N494*$B$6),0),""))</f>
        <v/>
      </c>
      <c r="Q494" s="17" t="s">
        <v>47</v>
      </c>
      <c r="R494" s="18" t="str">
        <f aca="false">IF($P494="","",IF($Q494="Y",IFERROR(VLOOKUP($B494,$C$4:$D$13,2,FALSE()),0),0))</f>
        <v/>
      </c>
      <c r="S494" s="17" t="str">
        <f aca="false">IF($P494="","",ROUNDDOWN($P494*$R494,0))</f>
        <v/>
      </c>
      <c r="T494" s="17" t="str">
        <f aca="false">IF($P494="","",$P494-$S494)</f>
        <v/>
      </c>
      <c r="U494" s="17" t="str">
        <f aca="false">IF($T494="","",IF($B$10=0,"",$T494/$B$10))</f>
        <v/>
      </c>
      <c r="V494" s="17" t="str">
        <f aca="false">IF($P494="","",IF($B$10=0,"",$P494/$B$10))</f>
        <v/>
      </c>
      <c r="W494" s="19" t="n">
        <f aca="false">IF($T494="",1000000000000000,$T494)</f>
        <v/>
      </c>
      <c r="XFB494" s="6"/>
      <c r="XFC494" s="3"/>
    </row>
    <row r="495" s="5" collapsed="false" customFormat="true" customHeight="true" hidden="false" ht="28.5" outlineLevel="0">
      <c r="A495" s="16" t="str">
        <f aca="false">IF($T495="","",1+COUNTIF($W$15:$W$894,"&lt;"&amp;W495))</f>
        <v/>
      </c>
      <c r="B495" s="16" t="s">
        <v>12</v>
      </c>
      <c r="C495" s="16" t="s">
        <v>988</v>
      </c>
      <c r="D495" s="20" t="s">
        <v>45</v>
      </c>
      <c r="E495" s="16" t="s">
        <v>63</v>
      </c>
      <c r="F495" s="16" t="s">
        <v>989</v>
      </c>
      <c r="G495" s="17">
        <v>1888</v>
      </c>
      <c r="H495" s="17"/>
      <c r="I495" s="17"/>
      <c r="J495" s="17">
        <v>1878</v>
      </c>
      <c r="K495" s="17" t="n">
        <f aca="false">IF(AND(IFERROR(SEARCH("현대오일뱅크",$C495),0)&gt;0,IFERROR(SEARCH("직영",$C495),0)&gt;0),$B$13,0)</f>
        <v/>
      </c>
      <c r="L495" s="17" t="n">
        <f aca="false">IF($G495="","",$G495+$K495)</f>
        <v/>
      </c>
      <c r="M495" s="17" t="str">
        <f aca="false">IF($H495="","",$H495+$K495)</f>
        <v/>
      </c>
      <c r="N495" s="17" t="n">
        <f aca="false">IF($J495="","",$J495+$K495)</f>
        <v/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 t="str">
        <f aca="false">IF($B$10=0,"",IFERROR(IF($B$4&gt;0,IF($L495="",1/0,$L495*$B$4),0)+IF($B$5&gt;0,IF($M495="",1/0,$M495*$B$5),0)+IF($B$6&gt;0,IF($N495="",1/0,$N495*$B$6),0),""))</f>
        <v/>
      </c>
      <c r="Q495" s="17" t="s">
        <v>47</v>
      </c>
      <c r="R495" s="18" t="str">
        <f aca="false">IF($P495="","",IF($Q495="Y",IFERROR(VLOOKUP($B495,$C$4:$D$13,2,FALSE()),0),0))</f>
        <v/>
      </c>
      <c r="S495" s="17" t="str">
        <f aca="false">IF($P495="","",ROUNDDOWN($P495*$R495,0))</f>
        <v/>
      </c>
      <c r="T495" s="17" t="str">
        <f aca="false">IF($P495="","",$P495-$S495)</f>
        <v/>
      </c>
      <c r="U495" s="17" t="str">
        <f aca="false">IF($T495="","",IF($B$10=0,"",$T495/$B$10))</f>
        <v/>
      </c>
      <c r="V495" s="17" t="str">
        <f aca="false">IF($P495="","",IF($B$10=0,"",$P495/$B$10))</f>
        <v/>
      </c>
      <c r="W495" s="19" t="n">
        <f aca="false">IF($T495="",1000000000000000,$T495)</f>
        <v/>
      </c>
      <c r="XFB495" s="6"/>
      <c r="XFC495" s="3"/>
    </row>
    <row r="496" s="5" collapsed="false" customFormat="true" customHeight="true" hidden="false" ht="28.5" outlineLevel="0">
      <c r="A496" s="16" t="str">
        <f aca="false">IF($T496="","",1+COUNTIF($W$15:$W$894,"&lt;"&amp;W496))</f>
        <v/>
      </c>
      <c r="B496" s="16" t="s">
        <v>12</v>
      </c>
      <c r="C496" s="16" t="s">
        <v>991</v>
      </c>
      <c r="D496" s="20" t="s">
        <v>86</v>
      </c>
      <c r="E496" s="16" t="s">
        <v>26</v>
      </c>
      <c r="F496" s="16" t="s">
        <v>992</v>
      </c>
      <c r="G496" s="17">
        <v>1889</v>
      </c>
      <c r="H496" s="17"/>
      <c r="I496" s="17"/>
      <c r="J496" s="17">
        <v>1879</v>
      </c>
      <c r="K496" s="17" t="n">
        <f aca="false">IF(AND(IFERROR(SEARCH("현대오일뱅크",$C496),0)&gt;0,IFERROR(SEARCH("직영",$C496),0)&gt;0),$B$13,0)</f>
        <v/>
      </c>
      <c r="L496" s="17" t="n">
        <f aca="false">IF($G496="","",$G496+$K496)</f>
        <v/>
      </c>
      <c r="M496" s="17" t="str">
        <f aca="false">IF($H496="","",$H496+$K496)</f>
        <v/>
      </c>
      <c r="N496" s="17" t="n">
        <f aca="false">IF($J496="","",$J496+$K496)</f>
        <v/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 t="str">
        <f aca="false">IF($B$10=0,"",IFERROR(IF($B$4&gt;0,IF($L496="",1/0,$L496*$B$4),0)+IF($B$5&gt;0,IF($M496="",1/0,$M496*$B$5),0)+IF($B$6&gt;0,IF($N496="",1/0,$N496*$B$6),0),""))</f>
        <v/>
      </c>
      <c r="Q496" s="17" t="s">
        <v>47</v>
      </c>
      <c r="R496" s="18" t="str">
        <f aca="false">IF($P496="","",IF($Q496="Y",IFERROR(VLOOKUP($B496,$C$4:$D$13,2,FALSE()),0),0))</f>
        <v/>
      </c>
      <c r="S496" s="17" t="str">
        <f aca="false">IF($P496="","",ROUNDDOWN($P496*$R496,0))</f>
        <v/>
      </c>
      <c r="T496" s="17" t="str">
        <f aca="false">IF($P496="","",$P496-$S496)</f>
        <v/>
      </c>
      <c r="U496" s="17" t="str">
        <f aca="false">IF($T496="","",IF($B$10=0,"",$T496/$B$10))</f>
        <v/>
      </c>
      <c r="V496" s="17" t="str">
        <f aca="false">IF($P496="","",IF($B$10=0,"",$P496/$B$10))</f>
        <v/>
      </c>
      <c r="W496" s="19" t="n">
        <f aca="false">IF($T496="",1000000000000000,$T496)</f>
        <v/>
      </c>
      <c r="XFB496" s="6"/>
      <c r="XFC496" s="3"/>
    </row>
    <row r="497" s="5" collapsed="false" customFormat="true" customHeight="true" hidden="false" ht="28.5" outlineLevel="0">
      <c r="A497" s="16" t="str">
        <f aca="false">IF($T497="","",1+COUNTIF($W$15:$W$894,"&lt;"&amp;W497))</f>
        <v/>
      </c>
      <c r="B497" s="16" t="s">
        <v>10</v>
      </c>
      <c r="C497" s="16" t="s">
        <v>993</v>
      </c>
      <c r="D497" s="16" t="s">
        <v>45</v>
      </c>
      <c r="E497" s="16" t="s">
        <v>63</v>
      </c>
      <c r="F497" s="16" t="s">
        <v>994</v>
      </c>
      <c r="G497" s="17">
        <v>1889</v>
      </c>
      <c r="H497" s="17"/>
      <c r="I497" s="17"/>
      <c r="J497" s="17">
        <v>1899</v>
      </c>
      <c r="K497" s="17" t="n">
        <f aca="false">IF(AND(IFERROR(SEARCH("현대오일뱅크",$C497),0)&gt;0,IFERROR(SEARCH("직영",$C497),0)&gt;0),$B$13,0)</f>
        <v/>
      </c>
      <c r="L497" s="17" t="n">
        <f aca="false">IF($G497="","",$G497+$K497)</f>
        <v/>
      </c>
      <c r="M497" s="17" t="str">
        <f aca="false">IF($H497="","",$H497+$K497)</f>
        <v/>
      </c>
      <c r="N497" s="17" t="n">
        <f aca="false">IF($J497="","",$J497+$K497)</f>
        <v/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 t="str">
        <f aca="false">IF($B$10=0,"",IFERROR(IF($B$4&gt;0,IF($L497="",1/0,$L497*$B$4),0)+IF($B$5&gt;0,IF($M497="",1/0,$M497*$B$5),0)+IF($B$6&gt;0,IF($N497="",1/0,$N497*$B$6),0),""))</f>
        <v/>
      </c>
      <c r="Q497" s="17" t="s">
        <v>47</v>
      </c>
      <c r="R497" s="18" t="str">
        <f aca="false">IF($P497="","",IF($Q497="Y",IFERROR(VLOOKUP($B497,$C$4:$D$13,2,FALSE()),0),0))</f>
        <v/>
      </c>
      <c r="S497" s="17" t="str">
        <f aca="false">IF($P497="","",ROUNDDOWN($P497*$R497,0))</f>
        <v/>
      </c>
      <c r="T497" s="17" t="str">
        <f aca="false">IF($P497="","",$P497-$S497)</f>
        <v/>
      </c>
      <c r="U497" s="17" t="str">
        <f aca="false">IF($T497="","",IF($B$10=0,"",$T497/$B$10))</f>
        <v/>
      </c>
      <c r="V497" s="17" t="str">
        <f aca="false">IF($P497="","",IF($B$10=0,"",$P497/$B$10))</f>
        <v/>
      </c>
      <c r="W497" s="19" t="n">
        <f aca="false">IF($T497="",1000000000000000,$T497)</f>
        <v/>
      </c>
      <c r="XFB497" s="6"/>
      <c r="XFC497" s="3"/>
    </row>
    <row r="498" s="5" collapsed="false" customFormat="true" customHeight="true" hidden="false" ht="28.5" outlineLevel="0">
      <c r="A498" s="16" t="str">
        <f aca="false">IF($T498="","",1+COUNTIF($W$15:$W$894,"&lt;"&amp;W498))</f>
        <v/>
      </c>
      <c r="B498" s="16" t="s">
        <v>10</v>
      </c>
      <c r="C498" s="16" t="s">
        <v>995</v>
      </c>
      <c r="D498" s="16" t="s">
        <v>45</v>
      </c>
      <c r="E498" s="16" t="s">
        <v>26</v>
      </c>
      <c r="F498" s="16" t="s">
        <v>996</v>
      </c>
      <c r="G498" s="17">
        <v>1890</v>
      </c>
      <c r="H498" s="17"/>
      <c r="I498" s="17"/>
      <c r="J498" s="17">
        <v>1850</v>
      </c>
      <c r="K498" s="17" t="n">
        <f aca="false">IF(AND(IFERROR(SEARCH("현대오일뱅크",$C498),0)&gt;0,IFERROR(SEARCH("직영",$C498),0)&gt;0),$B$13,0)</f>
        <v/>
      </c>
      <c r="L498" s="17" t="n">
        <f aca="false">IF($G498="","",$G498+$K498)</f>
        <v/>
      </c>
      <c r="M498" s="17" t="str">
        <f aca="false">IF($H498="","",$H498+$K498)</f>
        <v/>
      </c>
      <c r="N498" s="17" t="n">
        <f aca="false">IF($J498="","",$J498+$K498)</f>
        <v/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 t="str">
        <f aca="false">IF($B$10=0,"",IFERROR(IF($B$4&gt;0,IF($L498="",1/0,$L498*$B$4),0)+IF($B$5&gt;0,IF($M498="",1/0,$M498*$B$5),0)+IF($B$6&gt;0,IF($N498="",1/0,$N498*$B$6),0),""))</f>
        <v/>
      </c>
      <c r="Q498" s="17" t="s">
        <v>47</v>
      </c>
      <c r="R498" s="18" t="str">
        <f aca="false">IF($P498="","",IF($Q498="Y",IFERROR(VLOOKUP($B498,$C$4:$D$13,2,FALSE()),0),0))</f>
        <v/>
      </c>
      <c r="S498" s="17" t="str">
        <f aca="false">IF($P498="","",ROUNDDOWN($P498*$R498,0))</f>
        <v/>
      </c>
      <c r="T498" s="17" t="str">
        <f aca="false">IF($P498="","",$P498-$S498)</f>
        <v/>
      </c>
      <c r="U498" s="17" t="str">
        <f aca="false">IF($T498="","",IF($B$10=0,"",$T498/$B$10))</f>
        <v/>
      </c>
      <c r="V498" s="17" t="str">
        <f aca="false">IF($P498="","",IF($B$10=0,"",$P498/$B$10))</f>
        <v/>
      </c>
      <c r="W498" s="19" t="n">
        <f aca="false">IF($T498="",1000000000000000,$T498)</f>
        <v/>
      </c>
      <c r="XFB498" s="6"/>
      <c r="XFC498" s="3"/>
    </row>
    <row r="499" s="5" collapsed="false" customFormat="true" customHeight="true" hidden="false" ht="28.5" outlineLevel="0">
      <c r="A499" s="16" t="str">
        <f aca="false">IF($T499="","",1+COUNTIF($W$15:$W$894,"&lt;"&amp;W499))</f>
        <v/>
      </c>
      <c r="B499" s="16" t="s">
        <v>12</v>
      </c>
      <c r="C499" s="16" t="s">
        <v>997</v>
      </c>
      <c r="D499" s="20" t="s">
        <v>45</v>
      </c>
      <c r="E499" s="16" t="s">
        <v>63</v>
      </c>
      <c r="F499" s="16" t="s">
        <v>998</v>
      </c>
      <c r="G499" s="17">
        <v>1890</v>
      </c>
      <c r="H499" s="17"/>
      <c r="I499" s="17"/>
      <c r="J499" s="17">
        <v>1899</v>
      </c>
      <c r="K499" s="17" t="n">
        <f aca="false">IF(AND(IFERROR(SEARCH("현대오일뱅크",$C499),0)&gt;0,IFERROR(SEARCH("직영",$C499),0)&gt;0),$B$13,0)</f>
        <v/>
      </c>
      <c r="L499" s="17" t="n">
        <f aca="false">IF($G499="","",$G499+$K499)</f>
        <v/>
      </c>
      <c r="M499" s="17" t="str">
        <f aca="false">IF($H499="","",$H499+$K499)</f>
        <v/>
      </c>
      <c r="N499" s="17" t="n">
        <f aca="false">IF($J499="","",$J499+$K499)</f>
        <v/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 t="str">
        <f aca="false">IF($B$10=0,"",IFERROR(IF($B$4&gt;0,IF($L499="",1/0,$L499*$B$4),0)+IF($B$5&gt;0,IF($M499="",1/0,$M499*$B$5),0)+IF($B$6&gt;0,IF($N499="",1/0,$N499*$B$6),0),""))</f>
        <v/>
      </c>
      <c r="Q499" s="17" t="s">
        <v>47</v>
      </c>
      <c r="R499" s="18" t="str">
        <f aca="false">IF($P499="","",IF($Q499="Y",IFERROR(VLOOKUP($B499,$C$4:$D$13,2,FALSE()),0),0))</f>
        <v/>
      </c>
      <c r="S499" s="17" t="str">
        <f aca="false">IF($P499="","",ROUNDDOWN($P499*$R499,0))</f>
        <v/>
      </c>
      <c r="T499" s="17" t="str">
        <f aca="false">IF($P499="","",$P499-$S499)</f>
        <v/>
      </c>
      <c r="U499" s="17" t="str">
        <f aca="false">IF($T499="","",IF($B$10=0,"",$T499/$B$10))</f>
        <v/>
      </c>
      <c r="V499" s="17" t="str">
        <f aca="false">IF($P499="","",IF($B$10=0,"",$P499/$B$10))</f>
        <v/>
      </c>
      <c r="W499" s="19" t="n">
        <f aca="false">IF($T499="",1000000000000000,$T499)</f>
        <v/>
      </c>
      <c r="XFB499" s="6"/>
      <c r="XFC499" s="3"/>
    </row>
    <row r="500" s="5" collapsed="false" customFormat="true" customHeight="true" hidden="false" ht="28.5" outlineLevel="0">
      <c r="A500" s="16" t="str">
        <f aca="false">IF($T500="","",1+COUNTIF($W$15:$W$894,"&lt;"&amp;W500))</f>
        <v/>
      </c>
      <c r="B500" s="16" t="s">
        <v>10</v>
      </c>
      <c r="C500" s="16" t="s">
        <v>999</v>
      </c>
      <c r="D500" s="16" t="s">
        <v>51</v>
      </c>
      <c r="E500" s="16" t="s">
        <v>63</v>
      </c>
      <c r="F500" s="16" t="s">
        <v>1000</v>
      </c>
      <c r="G500" s="17">
        <v>1890</v>
      </c>
      <c r="H500" s="17"/>
      <c r="I500" s="17"/>
      <c r="J500" s="17">
        <v>1960</v>
      </c>
      <c r="K500" s="17" t="n">
        <f aca="false">IF(AND(IFERROR(SEARCH("현대오일뱅크",$C500),0)&gt;0,IFERROR(SEARCH("직영",$C500),0)&gt;0),$B$13,0)</f>
        <v/>
      </c>
      <c r="L500" s="17" t="n">
        <f aca="false">IF($G500="","",$G500+$K500)</f>
        <v/>
      </c>
      <c r="M500" s="17" t="str">
        <f aca="false">IF($H500="","",$H500+$K500)</f>
        <v/>
      </c>
      <c r="N500" s="17" t="n">
        <f aca="false">IF($J500="","",$J500+$K500)</f>
        <v/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 t="str">
        <f aca="false">IF($B$10=0,"",IFERROR(IF($B$4&gt;0,IF($L500="",1/0,$L500*$B$4),0)+IF($B$5&gt;0,IF($M500="",1/0,$M500*$B$5),0)+IF($B$6&gt;0,IF($N500="",1/0,$N500*$B$6),0),""))</f>
        <v/>
      </c>
      <c r="Q500" s="17" t="s">
        <v>47</v>
      </c>
      <c r="R500" s="18" t="str">
        <f aca="false">IF($P500="","",IF($Q500="Y",IFERROR(VLOOKUP($B500,$C$4:$D$13,2,FALSE()),0),0))</f>
        <v/>
      </c>
      <c r="S500" s="17" t="str">
        <f aca="false">IF($P500="","",ROUNDDOWN($P500*$R500,0))</f>
        <v/>
      </c>
      <c r="T500" s="17" t="str">
        <f aca="false">IF($P500="","",$P500-$S500)</f>
        <v/>
      </c>
      <c r="U500" s="17" t="str">
        <f aca="false">IF($T500="","",IF($B$10=0,"",$T500/$B$10))</f>
        <v/>
      </c>
      <c r="V500" s="17" t="str">
        <f aca="false">IF($P500="","",IF($B$10=0,"",$P500/$B$10))</f>
        <v/>
      </c>
      <c r="W500" s="19" t="n">
        <f aca="false">IF($T500="",1000000000000000,$T500)</f>
        <v/>
      </c>
      <c r="XFB500" s="6"/>
      <c r="XFC500" s="3"/>
    </row>
    <row r="501" s="5" collapsed="false" customFormat="true" customHeight="true" hidden="false" ht="28.5" outlineLevel="0">
      <c r="A501" s="16" t="str">
        <f aca="false">IF($T501="","",1+COUNTIF($W$15:$W$894,"&lt;"&amp;W501))</f>
        <v/>
      </c>
      <c r="B501" s="16" t="s">
        <v>10</v>
      </c>
      <c r="C501" s="16" t="s">
        <v>1001</v>
      </c>
      <c r="D501" s="16" t="s">
        <v>45</v>
      </c>
      <c r="E501" s="16" t="s">
        <v>63</v>
      </c>
      <c r="F501" s="16" t="s">
        <v>1002</v>
      </c>
      <c r="G501" s="17">
        <v>1895</v>
      </c>
      <c r="H501" s="17"/>
      <c r="I501" s="17"/>
      <c r="J501" s="17">
        <v>1865</v>
      </c>
      <c r="K501" s="17" t="n">
        <f aca="false">IF(AND(IFERROR(SEARCH("현대오일뱅크",$C501),0)&gt;0,IFERROR(SEARCH("직영",$C501),0)&gt;0),$B$13,0)</f>
        <v/>
      </c>
      <c r="L501" s="17" t="n">
        <f aca="false">IF($G501="","",$G501+$K501)</f>
        <v/>
      </c>
      <c r="M501" s="17" t="str">
        <f aca="false">IF($H501="","",$H501+$K501)</f>
        <v/>
      </c>
      <c r="N501" s="17" t="n">
        <f aca="false">IF($J501="","",$J501+$K501)</f>
        <v/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 t="str">
        <f aca="false">IF($B$10=0,"",IFERROR(IF($B$4&gt;0,IF($L501="",1/0,$L501*$B$4),0)+IF($B$5&gt;0,IF($M501="",1/0,$M501*$B$5),0)+IF($B$6&gt;0,IF($N501="",1/0,$N501*$B$6),0),""))</f>
        <v/>
      </c>
      <c r="Q501" s="17" t="s">
        <v>47</v>
      </c>
      <c r="R501" s="18" t="str">
        <f aca="false">IF($P501="","",IF($Q501="Y",IFERROR(VLOOKUP($B501,$C$4:$D$13,2,FALSE()),0),0))</f>
        <v/>
      </c>
      <c r="S501" s="17" t="str">
        <f aca="false">IF($P501="","",ROUNDDOWN($P501*$R501,0))</f>
        <v/>
      </c>
      <c r="T501" s="17" t="str">
        <f aca="false">IF($P501="","",$P501-$S501)</f>
        <v/>
      </c>
      <c r="U501" s="17" t="str">
        <f aca="false">IF($T501="","",IF($B$10=0,"",$T501/$B$10))</f>
        <v/>
      </c>
      <c r="V501" s="17" t="str">
        <f aca="false">IF($P501="","",IF($B$10=0,"",$P501/$B$10))</f>
        <v/>
      </c>
      <c r="W501" s="19" t="n">
        <f aca="false">IF($T501="",1000000000000000,$T501)</f>
        <v/>
      </c>
      <c r="XFB501" s="6"/>
      <c r="XFC501" s="3"/>
    </row>
    <row r="502" s="5" collapsed="false" customFormat="true" customHeight="true" hidden="false" ht="28.5" outlineLevel="0">
      <c r="A502" s="16" t="str">
        <f aca="false">IF($T502="","",1+COUNTIF($W$15:$W$894,"&lt;"&amp;W502))</f>
        <v/>
      </c>
      <c r="B502" s="16" t="s">
        <v>8</v>
      </c>
      <c r="C502" s="16" t="s">
        <v>1005</v>
      </c>
      <c r="D502" s="16" t="s">
        <v>51</v>
      </c>
      <c r="E502" s="16" t="s">
        <v>63</v>
      </c>
      <c r="F502" s="16" t="s">
        <v>1006</v>
      </c>
      <c r="G502" s="17">
        <v>1895</v>
      </c>
      <c r="H502" s="17"/>
      <c r="I502" s="17"/>
      <c r="J502" s="17">
        <v>1895</v>
      </c>
      <c r="K502" s="17" t="n">
        <f aca="false">IF(AND(IFERROR(SEARCH("현대오일뱅크",$C502),0)&gt;0,IFERROR(SEARCH("직영",$C502),0)&gt;0),$B$13,0)</f>
        <v/>
      </c>
      <c r="L502" s="17" t="n">
        <f aca="false">IF($G502="","",$G502+$K502)</f>
        <v/>
      </c>
      <c r="M502" s="17" t="str">
        <f aca="false">IF($H502="","",$H502+$K502)</f>
        <v/>
      </c>
      <c r="N502" s="17" t="n">
        <f aca="false">IF($J502="","",$J502+$K502)</f>
        <v/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 t="str">
        <f aca="false">IF($B$10=0,"",IFERROR(IF($B$4&gt;0,IF($L502="",1/0,$L502*$B$4),0)+IF($B$5&gt;0,IF($M502="",1/0,$M502*$B$5),0)+IF($B$6&gt;0,IF($N502="",1/0,$N502*$B$6),0),""))</f>
        <v/>
      </c>
      <c r="Q502" s="17" t="s">
        <v>47</v>
      </c>
      <c r="R502" s="18" t="str">
        <f aca="false">IF($P502="","",IF($Q502="Y",IFERROR(VLOOKUP($B502,$C$4:$D$13,2,FALSE()),0),0))</f>
        <v/>
      </c>
      <c r="S502" s="17" t="str">
        <f aca="false">IF($P502="","",ROUNDDOWN($P502*$R502,0))</f>
        <v/>
      </c>
      <c r="T502" s="17" t="str">
        <f aca="false">IF($P502="","",$P502-$S502)</f>
        <v/>
      </c>
      <c r="U502" s="17" t="str">
        <f aca="false">IF($T502="","",IF($B$10=0,"",$T502/$B$10))</f>
        <v/>
      </c>
      <c r="V502" s="17" t="str">
        <f aca="false">IF($P502="","",IF($B$10=0,"",$P502/$B$10))</f>
        <v/>
      </c>
      <c r="W502" s="19" t="n">
        <f aca="false">IF($T502="",1000000000000000,$T502)</f>
        <v/>
      </c>
      <c r="XFB502" s="6"/>
      <c r="XFC502" s="3"/>
    </row>
    <row r="503" s="5" collapsed="false" customFormat="true" customHeight="true" hidden="false" ht="28.5" outlineLevel="0">
      <c r="A503" s="16" t="str">
        <f aca="false">IF($T503="","",1+COUNTIF($W$15:$W$894,"&lt;"&amp;W503))</f>
        <v/>
      </c>
      <c r="B503" s="16" t="s">
        <v>12</v>
      </c>
      <c r="C503" s="16" t="s">
        <v>1007</v>
      </c>
      <c r="D503" s="20" t="s">
        <v>95</v>
      </c>
      <c r="E503" s="16" t="s">
        <v>63</v>
      </c>
      <c r="F503" s="16" t="s">
        <v>1008</v>
      </c>
      <c r="G503" s="17">
        <v>1897</v>
      </c>
      <c r="H503" s="17"/>
      <c r="I503" s="17"/>
      <c r="J503" s="17">
        <v>1877</v>
      </c>
      <c r="K503" s="17" t="n">
        <f aca="false">IF(AND(IFERROR(SEARCH("현대오일뱅크",$C503),0)&gt;0,IFERROR(SEARCH("직영",$C503),0)&gt;0),$B$13,0)</f>
        <v/>
      </c>
      <c r="L503" s="17" t="n">
        <f aca="false">IF($G503="","",$G503+$K503)</f>
        <v/>
      </c>
      <c r="M503" s="17" t="str">
        <f aca="false">IF($H503="","",$H503+$K503)</f>
        <v/>
      </c>
      <c r="N503" s="17" t="n">
        <f aca="false">IF($J503="","",$J503+$K503)</f>
        <v/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 t="str">
        <f aca="false">IF($B$10=0,"",IFERROR(IF($B$4&gt;0,IF($L503="",1/0,$L503*$B$4),0)+IF($B$5&gt;0,IF($M503="",1/0,$M503*$B$5),0)+IF($B$6&gt;0,IF($N503="",1/0,$N503*$B$6),0),""))</f>
        <v/>
      </c>
      <c r="Q503" s="17" t="s">
        <v>47</v>
      </c>
      <c r="R503" s="18" t="str">
        <f aca="false">IF($P503="","",IF($Q503="Y",IFERROR(VLOOKUP($B503,$C$4:$D$13,2,FALSE()),0),0))</f>
        <v/>
      </c>
      <c r="S503" s="17" t="str">
        <f aca="false">IF($P503="","",ROUNDDOWN($P503*$R503,0))</f>
        <v/>
      </c>
      <c r="T503" s="17" t="str">
        <f aca="false">IF($P503="","",$P503-$S503)</f>
        <v/>
      </c>
      <c r="U503" s="17" t="str">
        <f aca="false">IF($T503="","",IF($B$10=0,"",$T503/$B$10))</f>
        <v/>
      </c>
      <c r="V503" s="17" t="str">
        <f aca="false">IF($P503="","",IF($B$10=0,"",$P503/$B$10))</f>
        <v/>
      </c>
      <c r="W503" s="19" t="n">
        <f aca="false">IF($T503="",1000000000000000,$T503)</f>
        <v/>
      </c>
      <c r="XFB503" s="6"/>
      <c r="XFC503" s="3"/>
    </row>
    <row r="504" s="5" collapsed="false" customFormat="true" customHeight="true" hidden="false" ht="28.5" outlineLevel="0">
      <c r="A504" s="16" t="str">
        <f aca="false">IF($T504="","",1+COUNTIF($W$15:$W$894,"&lt;"&amp;W504))</f>
        <v/>
      </c>
      <c r="B504" s="16" t="s">
        <v>10</v>
      </c>
      <c r="C504" s="16" t="s">
        <v>1009</v>
      </c>
      <c r="D504" s="16" t="s">
        <v>45</v>
      </c>
      <c r="E504" s="16" t="s">
        <v>26</v>
      </c>
      <c r="F504" s="16" t="s">
        <v>1010</v>
      </c>
      <c r="G504" s="17">
        <v>1897</v>
      </c>
      <c r="H504" s="17"/>
      <c r="I504" s="17"/>
      <c r="J504" s="17">
        <v>1877</v>
      </c>
      <c r="K504" s="17" t="n">
        <f aca="false">IF(AND(IFERROR(SEARCH("현대오일뱅크",$C504),0)&gt;0,IFERROR(SEARCH("직영",$C504),0)&gt;0),$B$13,0)</f>
        <v/>
      </c>
      <c r="L504" s="17" t="n">
        <f aca="false">IF($G504="","",$G504+$K504)</f>
        <v/>
      </c>
      <c r="M504" s="17" t="str">
        <f aca="false">IF($H504="","",$H504+$K504)</f>
        <v/>
      </c>
      <c r="N504" s="17" t="n">
        <f aca="false">IF($J504="","",$J504+$K504)</f>
        <v/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 t="str">
        <f aca="false">IF($B$10=0,"",IFERROR(IF($B$4&gt;0,IF($L504="",1/0,$L504*$B$4),0)+IF($B$5&gt;0,IF($M504="",1/0,$M504*$B$5),0)+IF($B$6&gt;0,IF($N504="",1/0,$N504*$B$6),0),""))</f>
        <v/>
      </c>
      <c r="Q504" s="17" t="s">
        <v>47</v>
      </c>
      <c r="R504" s="18" t="str">
        <f aca="false">IF($P504="","",IF($Q504="Y",IFERROR(VLOOKUP($B504,$C$4:$D$13,2,FALSE()),0),0))</f>
        <v/>
      </c>
      <c r="S504" s="17" t="str">
        <f aca="false">IF($P504="","",ROUNDDOWN($P504*$R504,0))</f>
        <v/>
      </c>
      <c r="T504" s="17" t="str">
        <f aca="false">IF($P504="","",$P504-$S504)</f>
        <v/>
      </c>
      <c r="U504" s="17" t="str">
        <f aca="false">IF($T504="","",IF($B$10=0,"",$T504/$B$10))</f>
        <v/>
      </c>
      <c r="V504" s="17" t="str">
        <f aca="false">IF($P504="","",IF($B$10=0,"",$P504/$B$10))</f>
        <v/>
      </c>
      <c r="W504" s="19" t="n">
        <f aca="false">IF($T504="",1000000000000000,$T504)</f>
        <v/>
      </c>
      <c r="XFB504" s="6"/>
      <c r="XFC504" s="3"/>
    </row>
    <row r="505" s="5" collapsed="false" customFormat="true" customHeight="true" hidden="false" ht="28.5" outlineLevel="0">
      <c r="A505" s="16" t="str">
        <f aca="false">IF($T505="","",1+COUNTIF($W$15:$W$894,"&lt;"&amp;W505))</f>
        <v/>
      </c>
      <c r="B505" s="16" t="s">
        <v>12</v>
      </c>
      <c r="C505" s="16" t="s">
        <v>1013</v>
      </c>
      <c r="D505" s="20" t="s">
        <v>86</v>
      </c>
      <c r="E505" s="16" t="s">
        <v>63</v>
      </c>
      <c r="F505" s="16" t="s">
        <v>1014</v>
      </c>
      <c r="G505" s="17">
        <v>1897</v>
      </c>
      <c r="H505" s="17"/>
      <c r="I505" s="17"/>
      <c r="J505" s="17">
        <v>1897</v>
      </c>
      <c r="K505" s="17" t="n">
        <f aca="false">IF(AND(IFERROR(SEARCH("현대오일뱅크",$C505),0)&gt;0,IFERROR(SEARCH("직영",$C505),0)&gt;0),$B$13,0)</f>
        <v/>
      </c>
      <c r="L505" s="17" t="n">
        <f aca="false">IF($G505="","",$G505+$K505)</f>
        <v/>
      </c>
      <c r="M505" s="17" t="str">
        <f aca="false">IF($H505="","",$H505+$K505)</f>
        <v/>
      </c>
      <c r="N505" s="17" t="n">
        <f aca="false">IF($J505="","",$J505+$K505)</f>
        <v/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 t="str">
        <f aca="false">IF($B$10=0,"",IFERROR(IF($B$4&gt;0,IF($L505="",1/0,$L505*$B$4),0)+IF($B$5&gt;0,IF($M505="",1/0,$M505*$B$5),0)+IF($B$6&gt;0,IF($N505="",1/0,$N505*$B$6),0),""))</f>
        <v/>
      </c>
      <c r="Q505" s="17" t="s">
        <v>47</v>
      </c>
      <c r="R505" s="18" t="str">
        <f aca="false">IF($P505="","",IF($Q505="Y",IFERROR(VLOOKUP($B505,$C$4:$D$13,2,FALSE()),0),0))</f>
        <v/>
      </c>
      <c r="S505" s="17" t="str">
        <f aca="false">IF($P505="","",ROUNDDOWN($P505*$R505,0))</f>
        <v/>
      </c>
      <c r="T505" s="17" t="str">
        <f aca="false">IF($P505="","",$P505-$S505)</f>
        <v/>
      </c>
      <c r="U505" s="17" t="str">
        <f aca="false">IF($T505="","",IF($B$10=0,"",$T505/$B$10))</f>
        <v/>
      </c>
      <c r="V505" s="17" t="str">
        <f aca="false">IF($P505="","",IF($B$10=0,"",$P505/$B$10))</f>
        <v/>
      </c>
      <c r="W505" s="19" t="n">
        <f aca="false">IF($T505="",1000000000000000,$T505)</f>
        <v/>
      </c>
      <c r="XFB505" s="6"/>
      <c r="XFC505" s="3"/>
    </row>
    <row r="506" s="21" collapsed="false" customFormat="true" customHeight="true" hidden="false" ht="28.5" outlineLevel="0">
      <c r="A506" s="16" t="str">
        <f aca="false">IF($T506="","",1+COUNTIF($W$15:$W$894,"&lt;"&amp;W506))</f>
        <v/>
      </c>
      <c r="B506" s="16" t="s">
        <v>12</v>
      </c>
      <c r="C506" s="16" t="s">
        <v>749</v>
      </c>
      <c r="D506" s="20" t="s">
        <v>51</v>
      </c>
      <c r="E506" s="16" t="s">
        <v>63</v>
      </c>
      <c r="F506" s="16" t="s">
        <v>1015</v>
      </c>
      <c r="G506" s="17">
        <v>1897</v>
      </c>
      <c r="H506" s="17"/>
      <c r="I506" s="17"/>
      <c r="J506" s="17">
        <v>1897</v>
      </c>
      <c r="K506" s="17" t="n">
        <f aca="false">IF(AND(IFERROR(SEARCH("현대오일뱅크",$C506),0)&gt;0,IFERROR(SEARCH("직영",$C506),0)&gt;0),$B$13,0)</f>
        <v/>
      </c>
      <c r="L506" s="17" t="n">
        <f aca="false">IF($G506="","",$G506+$K506)</f>
        <v/>
      </c>
      <c r="M506" s="17" t="str">
        <f aca="false">IF($H506="","",$H506+$K506)</f>
        <v/>
      </c>
      <c r="N506" s="17" t="n">
        <f aca="false">IF($J506="","",$J506+$K506)</f>
        <v/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 t="str">
        <f aca="false">IF($B$10=0,"",IFERROR(IF($B$4&gt;0,IF($L506="",1/0,$L506*$B$4),0)+IF($B$5&gt;0,IF($M506="",1/0,$M506*$B$5),0)+IF($B$6&gt;0,IF($N506="",1/0,$N506*$B$6),0),""))</f>
        <v/>
      </c>
      <c r="Q506" s="17" t="s">
        <v>47</v>
      </c>
      <c r="R506" s="18" t="str">
        <f aca="false">IF($P506="","",IF($Q506="Y",IFERROR(VLOOKUP($B506,$C$4:$D$13,2,FALSE()),0),0))</f>
        <v/>
      </c>
      <c r="S506" s="17" t="str">
        <f aca="false">IF($P506="","",ROUNDDOWN($P506*$R506,0))</f>
        <v/>
      </c>
      <c r="T506" s="17" t="str">
        <f aca="false">IF($P506="","",$P506-$S506)</f>
        <v/>
      </c>
      <c r="U506" s="17" t="str">
        <f aca="false">IF($T506="","",IF($B$10=0,"",$T506/$B$10))</f>
        <v/>
      </c>
      <c r="V506" s="17" t="str">
        <f aca="false">IF($P506="","",IF($B$10=0,"",$P506/$B$10))</f>
        <v/>
      </c>
      <c r="W506" s="19" t="n">
        <f aca="false">IF($T506="",1000000000000000,$T506)</f>
        <v/>
      </c>
      <c r="XFB506" s="6"/>
      <c r="XFC506" s="3"/>
    </row>
    <row r="507" s="5" collapsed="false" customFormat="true" customHeight="true" hidden="false" ht="28.5" outlineLevel="0">
      <c r="A507" s="16" t="str">
        <f aca="false">IF($T507="","",1+COUNTIF($W$15:$W$894,"&lt;"&amp;W507))</f>
        <v/>
      </c>
      <c r="B507" s="16" t="s">
        <v>10</v>
      </c>
      <c r="C507" s="16" t="s">
        <v>1016</v>
      </c>
      <c r="D507" s="16" t="s">
        <v>95</v>
      </c>
      <c r="E507" s="16" t="s">
        <v>26</v>
      </c>
      <c r="F507" s="16" t="s">
        <v>1017</v>
      </c>
      <c r="G507" s="17">
        <v>1897</v>
      </c>
      <c r="H507" s="17"/>
      <c r="I507" s="17"/>
      <c r="J507" s="17">
        <v>1897</v>
      </c>
      <c r="K507" s="17" t="n">
        <f aca="false">IF(AND(IFERROR(SEARCH("현대오일뱅크",$C507),0)&gt;0,IFERROR(SEARCH("직영",$C507),0)&gt;0),$B$13,0)</f>
        <v/>
      </c>
      <c r="L507" s="17" t="n">
        <f aca="false">IF($G507="","",$G507+$K507)</f>
        <v/>
      </c>
      <c r="M507" s="17" t="str">
        <f aca="false">IF($H507="","",$H507+$K507)</f>
        <v/>
      </c>
      <c r="N507" s="17" t="n">
        <f aca="false">IF($J507="","",$J507+$K507)</f>
        <v/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 t="str">
        <f aca="false">IF($B$10=0,"",IFERROR(IF($B$4&gt;0,IF($L507="",1/0,$L507*$B$4),0)+IF($B$5&gt;0,IF($M507="",1/0,$M507*$B$5),0)+IF($B$6&gt;0,IF($N507="",1/0,$N507*$B$6),0),""))</f>
        <v/>
      </c>
      <c r="Q507" s="17" t="s">
        <v>47</v>
      </c>
      <c r="R507" s="18" t="str">
        <f aca="false">IF($P507="","",IF($Q507="Y",IFERROR(VLOOKUP($B507,$C$4:$D$13,2,FALSE()),0),0))</f>
        <v/>
      </c>
      <c r="S507" s="17" t="str">
        <f aca="false">IF($P507="","",ROUNDDOWN($P507*$R507,0))</f>
        <v/>
      </c>
      <c r="T507" s="17" t="str">
        <f aca="false">IF($P507="","",$P507-$S507)</f>
        <v/>
      </c>
      <c r="U507" s="17" t="str">
        <f aca="false">IF($T507="","",IF($B$10=0,"",$T507/$B$10))</f>
        <v/>
      </c>
      <c r="V507" s="17" t="str">
        <f aca="false">IF($P507="","",IF($B$10=0,"",$P507/$B$10))</f>
        <v/>
      </c>
      <c r="W507" s="19" t="n">
        <f aca="false">IF($T507="",1000000000000000,$T507)</f>
        <v/>
      </c>
      <c r="XFB507" s="6"/>
      <c r="XFC507" s="3"/>
    </row>
    <row r="508" s="5" collapsed="false" customFormat="true" customHeight="true" hidden="false" ht="28.5" outlineLevel="0">
      <c r="A508" s="16" t="str">
        <f aca="false">IF($T508="","",1+COUNTIF($W$15:$W$894,"&lt;"&amp;W508))</f>
        <v/>
      </c>
      <c r="B508" s="16" t="s">
        <v>10</v>
      </c>
      <c r="C508" s="16" t="s">
        <v>1011</v>
      </c>
      <c r="D508" s="20" t="s">
        <v>86</v>
      </c>
      <c r="E508" s="16" t="s">
        <v>26</v>
      </c>
      <c r="F508" s="16" t="s">
        <v>1012</v>
      </c>
      <c r="G508" s="17">
        <v>1897</v>
      </c>
      <c r="H508" s="17"/>
      <c r="I508" s="17"/>
      <c r="J508" s="17">
        <v>1999</v>
      </c>
      <c r="K508" s="17" t="n">
        <f aca="false">IF(AND(IFERROR(SEARCH("현대오일뱅크",$C508),0)&gt;0,IFERROR(SEARCH("직영",$C508),0)&gt;0),$B$13,0)</f>
        <v/>
      </c>
      <c r="L508" s="17" t="n">
        <f aca="false">IF($G508="","",$G508+$K508)</f>
        <v/>
      </c>
      <c r="M508" s="17" t="str">
        <f aca="false">IF($H508="","",$H508+$K508)</f>
        <v/>
      </c>
      <c r="N508" s="17" t="n">
        <f aca="false">IF($J508="","",$J508+$K508)</f>
        <v/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 t="str">
        <f aca="false">IF($B$10=0,"",IFERROR(IF($B$4&gt;0,IF($L508="",1/0,$L508*$B$4),0)+IF($B$5&gt;0,IF($M508="",1/0,$M508*$B$5),0)+IF($B$6&gt;0,IF($N508="",1/0,$N508*$B$6),0),""))</f>
        <v/>
      </c>
      <c r="Q508" s="17" t="s">
        <v>47</v>
      </c>
      <c r="R508" s="18" t="str">
        <f aca="false">IF($P508="","",IF($Q508="Y",IFERROR(VLOOKUP($B508,$C$4:$D$13,2,FALSE()),0),0))</f>
        <v/>
      </c>
      <c r="S508" s="17" t="str">
        <f aca="false">IF($P508="","",ROUNDDOWN($P508*$R508,0))</f>
        <v/>
      </c>
      <c r="T508" s="17" t="str">
        <f aca="false">IF($P508="","",$P508-$S508)</f>
        <v/>
      </c>
      <c r="U508" s="17" t="str">
        <f aca="false">IF($T508="","",IF($B$10=0,"",$T508/$B$10))</f>
        <v/>
      </c>
      <c r="V508" s="17" t="str">
        <f aca="false">IF($P508="","",IF($B$10=0,"",$P508/$B$10))</f>
        <v/>
      </c>
      <c r="W508" s="19" t="n">
        <f aca="false">IF($T508="",1000000000000000,$T508)</f>
        <v/>
      </c>
      <c r="XFB508" s="6"/>
      <c r="XFC508" s="3"/>
    </row>
    <row r="509" s="5" collapsed="false" customFormat="true" customHeight="true" hidden="false" ht="28.5" outlineLevel="0">
      <c r="A509" s="16" t="str">
        <f aca="false">IF($T509="","",1+COUNTIF($W$15:$W$894,"&lt;"&amp;W509))</f>
        <v/>
      </c>
      <c r="B509" s="16" t="s">
        <v>10</v>
      </c>
      <c r="C509" s="16" t="s">
        <v>1018</v>
      </c>
      <c r="D509" s="16" t="s">
        <v>95</v>
      </c>
      <c r="E509" s="16" t="s">
        <v>63</v>
      </c>
      <c r="F509" s="16" t="s">
        <v>1019</v>
      </c>
      <c r="G509" s="17">
        <v>1898</v>
      </c>
      <c r="H509" s="17"/>
      <c r="I509" s="17"/>
      <c r="J509" s="17">
        <v>1868</v>
      </c>
      <c r="K509" s="17" t="n">
        <f aca="false">IF(AND(IFERROR(SEARCH("현대오일뱅크",$C509),0)&gt;0,IFERROR(SEARCH("직영",$C509),0)&gt;0),$B$13,0)</f>
        <v/>
      </c>
      <c r="L509" s="17" t="n">
        <f aca="false">IF($G509="","",$G509+$K509)</f>
        <v/>
      </c>
      <c r="M509" s="17" t="str">
        <f aca="false">IF($H509="","",$H509+$K509)</f>
        <v/>
      </c>
      <c r="N509" s="17" t="n">
        <f aca="false">IF($J509="","",$J509+$K509)</f>
        <v/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 t="str">
        <f aca="false">IF($B$10=0,"",IFERROR(IF($B$4&gt;0,IF($L509="",1/0,$L509*$B$4),0)+IF($B$5&gt;0,IF($M509="",1/0,$M509*$B$5),0)+IF($B$6&gt;0,IF($N509="",1/0,$N509*$B$6),0),""))</f>
        <v/>
      </c>
      <c r="Q509" s="17" t="s">
        <v>47</v>
      </c>
      <c r="R509" s="18" t="str">
        <f aca="false">IF($P509="","",IF($Q509="Y",IFERROR(VLOOKUP($B509,$C$4:$D$13,2,FALSE()),0),0))</f>
        <v/>
      </c>
      <c r="S509" s="17" t="str">
        <f aca="false">IF($P509="","",ROUNDDOWN($P509*$R509,0))</f>
        <v/>
      </c>
      <c r="T509" s="17" t="str">
        <f aca="false">IF($P509="","",$P509-$S509)</f>
        <v/>
      </c>
      <c r="U509" s="17" t="str">
        <f aca="false">IF($T509="","",IF($B$10=0,"",$T509/$B$10))</f>
        <v/>
      </c>
      <c r="V509" s="17" t="str">
        <f aca="false">IF($P509="","",IF($B$10=0,"",$P509/$B$10))</f>
        <v/>
      </c>
      <c r="W509" s="19" t="n">
        <f aca="false">IF($T509="",1000000000000000,$T509)</f>
        <v/>
      </c>
      <c r="XFB509" s="6"/>
      <c r="XFC509" s="3"/>
    </row>
    <row r="510" s="5" collapsed="false" customFormat="true" customHeight="true" hidden="false" ht="28.5" outlineLevel="0">
      <c r="A510" s="16" t="str">
        <f aca="false">IF($T510="","",1+COUNTIF($W$15:$W$894,"&lt;"&amp;W510))</f>
        <v/>
      </c>
      <c r="B510" s="16" t="s">
        <v>12</v>
      </c>
      <c r="C510" s="16" t="s">
        <v>1020</v>
      </c>
      <c r="D510" s="20" t="s">
        <v>51</v>
      </c>
      <c r="E510" s="16" t="s">
        <v>26</v>
      </c>
      <c r="F510" s="16" t="s">
        <v>1021</v>
      </c>
      <c r="G510" s="17">
        <v>1898</v>
      </c>
      <c r="H510" s="17"/>
      <c r="I510" s="17"/>
      <c r="J510" s="17">
        <v>1898</v>
      </c>
      <c r="K510" s="17" t="n">
        <f aca="false">IF(AND(IFERROR(SEARCH("현대오일뱅크",$C510),0)&gt;0,IFERROR(SEARCH("직영",$C510),0)&gt;0),$B$13,0)</f>
        <v/>
      </c>
      <c r="L510" s="17" t="n">
        <f aca="false">IF($G510="","",$G510+$K510)</f>
        <v/>
      </c>
      <c r="M510" s="17" t="str">
        <f aca="false">IF($H510="","",$H510+$K510)</f>
        <v/>
      </c>
      <c r="N510" s="17" t="n">
        <f aca="false">IF($J510="","",$J510+$K510)</f>
        <v/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 t="str">
        <f aca="false">IF($B$10=0,"",IFERROR(IF($B$4&gt;0,IF($L510="",1/0,$L510*$B$4),0)+IF($B$5&gt;0,IF($M510="",1/0,$M510*$B$5),0)+IF($B$6&gt;0,IF($N510="",1/0,$N510*$B$6),0),""))</f>
        <v/>
      </c>
      <c r="Q510" s="17" t="s">
        <v>47</v>
      </c>
      <c r="R510" s="18" t="str">
        <f aca="false">IF($P510="","",IF($Q510="Y",IFERROR(VLOOKUP($B510,$C$4:$D$13,2,FALSE()),0),0))</f>
        <v/>
      </c>
      <c r="S510" s="17" t="str">
        <f aca="false">IF($P510="","",ROUNDDOWN($P510*$R510,0))</f>
        <v/>
      </c>
      <c r="T510" s="17" t="str">
        <f aca="false">IF($P510="","",$P510-$S510)</f>
        <v/>
      </c>
      <c r="U510" s="17" t="str">
        <f aca="false">IF($T510="","",IF($B$10=0,"",$T510/$B$10))</f>
        <v/>
      </c>
      <c r="V510" s="17" t="str">
        <f aca="false">IF($P510="","",IF($B$10=0,"",$P510/$B$10))</f>
        <v/>
      </c>
      <c r="W510" s="19" t="n">
        <f aca="false">IF($T510="",1000000000000000,$T510)</f>
        <v/>
      </c>
      <c r="XFB510" s="6"/>
      <c r="XFC510" s="3"/>
    </row>
    <row r="511" s="5" collapsed="false" customFormat="true" customHeight="true" hidden="false" ht="28.5" outlineLevel="0">
      <c r="A511" s="16" t="str">
        <f aca="false">IF($T511="","",1+COUNTIF($W$15:$W$894,"&lt;"&amp;W511))</f>
        <v/>
      </c>
      <c r="B511" s="16" t="s">
        <v>12</v>
      </c>
      <c r="C511" s="16" t="s">
        <v>1022</v>
      </c>
      <c r="D511" s="20" t="s">
        <v>45</v>
      </c>
      <c r="E511" s="16" t="s">
        <v>63</v>
      </c>
      <c r="F511" s="16" t="s">
        <v>1023</v>
      </c>
      <c r="G511" s="17">
        <v>1898</v>
      </c>
      <c r="H511" s="17"/>
      <c r="I511" s="17"/>
      <c r="J511" s="17">
        <v>1898</v>
      </c>
      <c r="K511" s="17" t="n">
        <f aca="false">IF(AND(IFERROR(SEARCH("현대오일뱅크",$C511),0)&gt;0,IFERROR(SEARCH("직영",$C511),0)&gt;0),$B$13,0)</f>
        <v/>
      </c>
      <c r="L511" s="17" t="n">
        <f aca="false">IF($G511="","",$G511+$K511)</f>
        <v/>
      </c>
      <c r="M511" s="17" t="str">
        <f aca="false">IF($H511="","",$H511+$K511)</f>
        <v/>
      </c>
      <c r="N511" s="17" t="n">
        <f aca="false">IF($J511="","",$J511+$K511)</f>
        <v/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 t="str">
        <f aca="false">IF($B$10=0,"",IFERROR(IF($B$4&gt;0,IF($L511="",1/0,$L511*$B$4),0)+IF($B$5&gt;0,IF($M511="",1/0,$M511*$B$5),0)+IF($B$6&gt;0,IF($N511="",1/0,$N511*$B$6),0),""))</f>
        <v/>
      </c>
      <c r="Q511" s="17" t="s">
        <v>47</v>
      </c>
      <c r="R511" s="18" t="str">
        <f aca="false">IF($P511="","",IF($Q511="Y",IFERROR(VLOOKUP($B511,$C$4:$D$13,2,FALSE()),0),0))</f>
        <v/>
      </c>
      <c r="S511" s="17" t="str">
        <f aca="false">IF($P511="","",ROUNDDOWN($P511*$R511,0))</f>
        <v/>
      </c>
      <c r="T511" s="17" t="str">
        <f aca="false">IF($P511="","",$P511-$S511)</f>
        <v/>
      </c>
      <c r="U511" s="17" t="str">
        <f aca="false">IF($T511="","",IF($B$10=0,"",$T511/$B$10))</f>
        <v/>
      </c>
      <c r="V511" s="17" t="str">
        <f aca="false">IF($P511="","",IF($B$10=0,"",$P511/$B$10))</f>
        <v/>
      </c>
      <c r="W511" s="19" t="n">
        <f aca="false">IF($T511="",1000000000000000,$T511)</f>
        <v/>
      </c>
      <c r="XFB511" s="6"/>
      <c r="XFC511" s="3"/>
    </row>
    <row r="512" s="5" collapsed="false" customFormat="true" customHeight="true" hidden="false" ht="28.5" outlineLevel="0">
      <c r="A512" s="16" t="str">
        <f aca="false">IF($T512="","",1+COUNTIF($W$15:$W$894,"&lt;"&amp;W512))</f>
        <v/>
      </c>
      <c r="B512" s="16" t="s">
        <v>12</v>
      </c>
      <c r="C512" s="16" t="s">
        <v>1047</v>
      </c>
      <c r="D512" s="20" t="s">
        <v>51</v>
      </c>
      <c r="E512" s="16" t="s">
        <v>63</v>
      </c>
      <c r="F512" s="16" t="s">
        <v>1048</v>
      </c>
      <c r="G512" s="17">
        <v>1898</v>
      </c>
      <c r="H512" s="17"/>
      <c r="I512" s="17"/>
      <c r="J512" s="17">
        <v>1898</v>
      </c>
      <c r="K512" s="17" t="n">
        <f aca="false">IF(AND(IFERROR(SEARCH("현대오일뱅크",$C512),0)&gt;0,IFERROR(SEARCH("직영",$C512),0)&gt;0),$B$13,0)</f>
        <v/>
      </c>
      <c r="L512" s="17" t="n">
        <f aca="false">IF($G512="","",$G512+$K512)</f>
        <v/>
      </c>
      <c r="M512" s="17" t="str">
        <f aca="false">IF($H512="","",$H512+$K512)</f>
        <v/>
      </c>
      <c r="N512" s="17" t="n">
        <f aca="false">IF($J512="","",$J512+$K512)</f>
        <v/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 t="str">
        <f aca="false">IF($B$10=0,"",IFERROR(IF($B$4&gt;0,IF($L512="",1/0,$L512*$B$4),0)+IF($B$5&gt;0,IF($M512="",1/0,$M512*$B$5),0)+IF($B$6&gt;0,IF($N512="",1/0,$N512*$B$6),0),""))</f>
        <v/>
      </c>
      <c r="Q512" s="17" t="s">
        <v>47</v>
      </c>
      <c r="R512" s="18" t="str">
        <f aca="false">IF($P512="","",IF($Q512="Y",IFERROR(VLOOKUP($B512,$C$4:$D$13,2,FALSE()),0),0))</f>
        <v/>
      </c>
      <c r="S512" s="17" t="str">
        <f aca="false">IF($P512="","",ROUNDDOWN($P512*$R512,0))</f>
        <v/>
      </c>
      <c r="T512" s="17" t="str">
        <f aca="false">IF($P512="","",$P512-$S512)</f>
        <v/>
      </c>
      <c r="U512" s="17" t="str">
        <f aca="false">IF($T512="","",IF($B$10=0,"",$T512/$B$10))</f>
        <v/>
      </c>
      <c r="V512" s="17" t="str">
        <f aca="false">IF($P512="","",IF($B$10=0,"",$P512/$B$10))</f>
        <v/>
      </c>
      <c r="W512" s="19" t="n">
        <f aca="false">IF($T512="",1000000000000000,$T512)</f>
        <v/>
      </c>
      <c r="XFB512" s="6"/>
      <c r="XFC512" s="3"/>
    </row>
    <row r="513" s="5" collapsed="false" customFormat="true" customHeight="true" hidden="false" ht="28.5" outlineLevel="0">
      <c r="A513" s="16" t="str">
        <f aca="false">IF($T513="","",1+COUNTIF($W$15:$W$894,"&lt;"&amp;W513))</f>
        <v/>
      </c>
      <c r="B513" s="16" t="s">
        <v>12</v>
      </c>
      <c r="C513" s="16" t="s">
        <v>1026</v>
      </c>
      <c r="D513" s="20" t="s">
        <v>86</v>
      </c>
      <c r="E513" s="16" t="s">
        <v>26</v>
      </c>
      <c r="F513" s="16" t="s">
        <v>1027</v>
      </c>
      <c r="G513" s="17">
        <v>1899</v>
      </c>
      <c r="H513" s="17"/>
      <c r="I513" s="17"/>
      <c r="J513" s="17">
        <v>1829</v>
      </c>
      <c r="K513" s="17" t="n">
        <f aca="false">IF(AND(IFERROR(SEARCH("현대오일뱅크",$C513),0)&gt;0,IFERROR(SEARCH("직영",$C513),0)&gt;0),$B$13,0)</f>
        <v/>
      </c>
      <c r="L513" s="17" t="n">
        <f aca="false">IF($G513="","",$G513+$K513)</f>
        <v/>
      </c>
      <c r="M513" s="17" t="str">
        <f aca="false">IF($H513="","",$H513+$K513)</f>
        <v/>
      </c>
      <c r="N513" s="17" t="n">
        <f aca="false">IF($J513="","",$J513+$K513)</f>
        <v/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 t="str">
        <f aca="false">IF($B$10=0,"",IFERROR(IF($B$4&gt;0,IF($L513="",1/0,$L513*$B$4),0)+IF($B$5&gt;0,IF($M513="",1/0,$M513*$B$5),0)+IF($B$6&gt;0,IF($N513="",1/0,$N513*$B$6),0),""))</f>
        <v/>
      </c>
      <c r="Q513" s="17" t="s">
        <v>47</v>
      </c>
      <c r="R513" s="18" t="str">
        <f aca="false">IF($P513="","",IF($Q513="Y",IFERROR(VLOOKUP($B513,$C$4:$D$13,2,FALSE()),0),0))</f>
        <v/>
      </c>
      <c r="S513" s="17" t="str">
        <f aca="false">IF($P513="","",ROUNDDOWN($P513*$R513,0))</f>
        <v/>
      </c>
      <c r="T513" s="17" t="str">
        <f aca="false">IF($P513="","",$P513-$S513)</f>
        <v/>
      </c>
      <c r="U513" s="17" t="str">
        <f aca="false">IF($T513="","",IF($B$10=0,"",$T513/$B$10))</f>
        <v/>
      </c>
      <c r="V513" s="17" t="str">
        <f aca="false">IF($P513="","",IF($B$10=0,"",$P513/$B$10))</f>
        <v/>
      </c>
      <c r="W513" s="19" t="n">
        <f aca="false">IF($T513="",1000000000000000,$T513)</f>
        <v/>
      </c>
      <c r="XFB513" s="6"/>
      <c r="XFC513" s="3"/>
    </row>
    <row r="514" s="5" collapsed="false" customFormat="true" customHeight="true" hidden="false" ht="28.5" outlineLevel="0">
      <c r="A514" s="16" t="str">
        <f aca="false">IF($T514="","",1+COUNTIF($W$15:$W$894,"&lt;"&amp;W514))</f>
        <v/>
      </c>
      <c r="B514" s="16" t="s">
        <v>12</v>
      </c>
      <c r="C514" s="16" t="s">
        <v>1028</v>
      </c>
      <c r="D514" s="20" t="s">
        <v>86</v>
      </c>
      <c r="E514" s="16" t="s">
        <v>26</v>
      </c>
      <c r="F514" s="16" t="s">
        <v>1029</v>
      </c>
      <c r="G514" s="17">
        <v>1899</v>
      </c>
      <c r="H514" s="17"/>
      <c r="I514" s="17"/>
      <c r="J514" s="17">
        <v>1859</v>
      </c>
      <c r="K514" s="17" t="n">
        <f aca="false">IF(AND(IFERROR(SEARCH("현대오일뱅크",$C514),0)&gt;0,IFERROR(SEARCH("직영",$C514),0)&gt;0),$B$13,0)</f>
        <v/>
      </c>
      <c r="L514" s="17" t="n">
        <f aca="false">IF($G514="","",$G514+$K514)</f>
        <v/>
      </c>
      <c r="M514" s="17" t="str">
        <f aca="false">IF($H514="","",$H514+$K514)</f>
        <v/>
      </c>
      <c r="N514" s="17" t="n">
        <f aca="false">IF($J514="","",$J514+$K514)</f>
        <v/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 t="str">
        <f aca="false">IF($B$10=0,"",IFERROR(IF($B$4&gt;0,IF($L514="",1/0,$L514*$B$4),0)+IF($B$5&gt;0,IF($M514="",1/0,$M514*$B$5),0)+IF($B$6&gt;0,IF($N514="",1/0,$N514*$B$6),0),""))</f>
        <v/>
      </c>
      <c r="Q514" s="17" t="s">
        <v>47</v>
      </c>
      <c r="R514" s="18" t="str">
        <f aca="false">IF($P514="","",IF($Q514="Y",IFERROR(VLOOKUP($B514,$C$4:$D$13,2,FALSE()),0),0))</f>
        <v/>
      </c>
      <c r="S514" s="17" t="str">
        <f aca="false">IF($P514="","",ROUNDDOWN($P514*$R514,0))</f>
        <v/>
      </c>
      <c r="T514" s="17" t="str">
        <f aca="false">IF($P514="","",$P514-$S514)</f>
        <v/>
      </c>
      <c r="U514" s="17" t="str">
        <f aca="false">IF($T514="","",IF($B$10=0,"",$T514/$B$10))</f>
        <v/>
      </c>
      <c r="V514" s="17" t="str">
        <f aca="false">IF($P514="","",IF($B$10=0,"",$P514/$B$10))</f>
        <v/>
      </c>
      <c r="W514" s="19" t="n">
        <f aca="false">IF($T514="",1000000000000000,$T514)</f>
        <v/>
      </c>
      <c r="XFB514" s="6"/>
      <c r="XFC514" s="3"/>
    </row>
    <row r="515" s="5" collapsed="false" customFormat="true" customHeight="true" hidden="false" ht="28.5" outlineLevel="0">
      <c r="A515" s="16" t="str">
        <f aca="false">IF($T515="","",1+COUNTIF($W$15:$W$894,"&lt;"&amp;W515))</f>
        <v/>
      </c>
      <c r="B515" s="16" t="s">
        <v>10</v>
      </c>
      <c r="C515" s="16" t="s">
        <v>1030</v>
      </c>
      <c r="D515" s="20" t="s">
        <v>86</v>
      </c>
      <c r="E515" s="16" t="s">
        <v>63</v>
      </c>
      <c r="F515" s="16" t="s">
        <v>1031</v>
      </c>
      <c r="G515" s="17">
        <v>1899</v>
      </c>
      <c r="H515" s="17"/>
      <c r="I515" s="17"/>
      <c r="J515" s="17">
        <v>1869</v>
      </c>
      <c r="K515" s="17" t="n">
        <f aca="false">IF(AND(IFERROR(SEARCH("현대오일뱅크",$C515),0)&gt;0,IFERROR(SEARCH("직영",$C515),0)&gt;0),$B$13,0)</f>
        <v/>
      </c>
      <c r="L515" s="17" t="n">
        <f aca="false">IF($G515="","",$G515+$K515)</f>
        <v/>
      </c>
      <c r="M515" s="17" t="str">
        <f aca="false">IF($H515="","",$H515+$K515)</f>
        <v/>
      </c>
      <c r="N515" s="17" t="n">
        <f aca="false">IF($J515="","",$J515+$K515)</f>
        <v/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 t="str">
        <f aca="false">IF($B$10=0,"",IFERROR(IF($B$4&gt;0,IF($L515="",1/0,$L515*$B$4),0)+IF($B$5&gt;0,IF($M515="",1/0,$M515*$B$5),0)+IF($B$6&gt;0,IF($N515="",1/0,$N515*$B$6),0),""))</f>
        <v/>
      </c>
      <c r="Q515" s="17" t="s">
        <v>47</v>
      </c>
      <c r="R515" s="18" t="str">
        <f aca="false">IF($P515="","",IF($Q515="Y",IFERROR(VLOOKUP($B515,$C$4:$D$13,2,FALSE()),0),0))</f>
        <v/>
      </c>
      <c r="S515" s="17" t="str">
        <f aca="false">IF($P515="","",ROUNDDOWN($P515*$R515,0))</f>
        <v/>
      </c>
      <c r="T515" s="17" t="str">
        <f aca="false">IF($P515="","",$P515-$S515)</f>
        <v/>
      </c>
      <c r="U515" s="17" t="str">
        <f aca="false">IF($T515="","",IF($B$10=0,"",$T515/$B$10))</f>
        <v/>
      </c>
      <c r="V515" s="17" t="str">
        <f aca="false">IF($P515="","",IF($B$10=0,"",$P515/$B$10))</f>
        <v/>
      </c>
      <c r="W515" s="19" t="n">
        <f aca="false">IF($T515="",1000000000000000,$T515)</f>
        <v/>
      </c>
      <c r="XFB515" s="6"/>
      <c r="XFC515" s="3"/>
    </row>
    <row r="516" s="5" collapsed="false" customFormat="true" customHeight="true" hidden="false" ht="28.5" outlineLevel="0">
      <c r="A516" s="16" t="str">
        <f aca="false">IF($T516="","",1+COUNTIF($W$15:$W$894,"&lt;"&amp;W516))</f>
        <v/>
      </c>
      <c r="B516" s="16" t="s">
        <v>10</v>
      </c>
      <c r="C516" s="16" t="s">
        <v>1032</v>
      </c>
      <c r="D516" s="16" t="s">
        <v>51</v>
      </c>
      <c r="E516" s="16" t="s">
        <v>63</v>
      </c>
      <c r="F516" s="16" t="s">
        <v>1033</v>
      </c>
      <c r="G516" s="17">
        <v>1899</v>
      </c>
      <c r="H516" s="17"/>
      <c r="I516" s="17"/>
      <c r="J516" s="17">
        <v>1869</v>
      </c>
      <c r="K516" s="17" t="n">
        <f aca="false">IF(AND(IFERROR(SEARCH("현대오일뱅크",$C516),0)&gt;0,IFERROR(SEARCH("직영",$C516),0)&gt;0),$B$13,0)</f>
        <v/>
      </c>
      <c r="L516" s="17" t="n">
        <f aca="false">IF($G516="","",$G516+$K516)</f>
        <v/>
      </c>
      <c r="M516" s="17" t="str">
        <f aca="false">IF($H516="","",$H516+$K516)</f>
        <v/>
      </c>
      <c r="N516" s="17" t="n">
        <f aca="false">IF($J516="","",$J516+$K516)</f>
        <v/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 t="str">
        <f aca="false">IF($B$10=0,"",IFERROR(IF($B$4&gt;0,IF($L516="",1/0,$L516*$B$4),0)+IF($B$5&gt;0,IF($M516="",1/0,$M516*$B$5),0)+IF($B$6&gt;0,IF($N516="",1/0,$N516*$B$6),0),""))</f>
        <v/>
      </c>
      <c r="Q516" s="17" t="s">
        <v>47</v>
      </c>
      <c r="R516" s="18" t="str">
        <f aca="false">IF($P516="","",IF($Q516="Y",IFERROR(VLOOKUP($B516,$C$4:$D$13,2,FALSE()),0),0))</f>
        <v/>
      </c>
      <c r="S516" s="17" t="str">
        <f aca="false">IF($P516="","",ROUNDDOWN($P516*$R516,0))</f>
        <v/>
      </c>
      <c r="T516" s="17" t="str">
        <f aca="false">IF($P516="","",$P516-$S516)</f>
        <v/>
      </c>
      <c r="U516" s="17" t="str">
        <f aca="false">IF($T516="","",IF($B$10=0,"",$T516/$B$10))</f>
        <v/>
      </c>
      <c r="V516" s="17" t="str">
        <f aca="false">IF($P516="","",IF($B$10=0,"",$P516/$B$10))</f>
        <v/>
      </c>
      <c r="W516" s="19" t="n">
        <f aca="false">IF($T516="",1000000000000000,$T516)</f>
        <v/>
      </c>
      <c r="XFB516" s="6"/>
      <c r="XFC516" s="3"/>
    </row>
    <row r="517" s="5" collapsed="false" customFormat="true" customHeight="true" hidden="false" ht="28.5" outlineLevel="0">
      <c r="A517" s="16" t="str">
        <f aca="false">IF($T517="","",1+COUNTIF($W$15:$W$894,"&lt;"&amp;W517))</f>
        <v/>
      </c>
      <c r="B517" s="16" t="s">
        <v>6</v>
      </c>
      <c r="C517" s="16" t="s">
        <v>1051</v>
      </c>
      <c r="D517" s="16" t="s">
        <v>51</v>
      </c>
      <c r="E517" s="16" t="s">
        <v>63</v>
      </c>
      <c r="F517" s="16" t="s">
        <v>1052</v>
      </c>
      <c r="G517" s="17">
        <v>1899</v>
      </c>
      <c r="H517" s="17"/>
      <c r="I517" s="17"/>
      <c r="J517" s="17">
        <v>1899</v>
      </c>
      <c r="K517" s="17" t="n">
        <f aca="false">IF(AND(IFERROR(SEARCH("현대오일뱅크",$C517),0)&gt;0,IFERROR(SEARCH("직영",$C517),0)&gt;0),$B$13,0)</f>
        <v/>
      </c>
      <c r="L517" s="17" t="n">
        <f aca="false">IF($G517="","",$G517+$K517)</f>
        <v/>
      </c>
      <c r="M517" s="17" t="str">
        <f aca="false">IF($H517="","",$H517+$K517)</f>
        <v/>
      </c>
      <c r="N517" s="17" t="n">
        <f aca="false">IF($J517="","",$J517+$K517)</f>
        <v/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 t="str">
        <f aca="false">IF($B$10=0,"",IFERROR(IF($B$4&gt;0,IF($L517="",1/0,$L517*$B$4),0)+IF($B$5&gt;0,IF($M517="",1/0,$M517*$B$5),0)+IF($B$6&gt;0,IF($N517="",1/0,$N517*$B$6),0),""))</f>
        <v/>
      </c>
      <c r="Q517" s="17" t="s">
        <v>47</v>
      </c>
      <c r="R517" s="18" t="str">
        <f aca="false">IF($P517="","",IF($Q517="Y",IFERROR(VLOOKUP($B517,$C$4:$D$13,2,FALSE()),0),0))</f>
        <v/>
      </c>
      <c r="S517" s="17" t="str">
        <f aca="false">IF($P517="","",ROUNDDOWN($P517*$R517,0))</f>
        <v/>
      </c>
      <c r="T517" s="17" t="str">
        <f aca="false">IF($P517="","",$P517-$S517)</f>
        <v/>
      </c>
      <c r="U517" s="17" t="str">
        <f aca="false">IF($T517="","",IF($B$10=0,"",$T517/$B$10))</f>
        <v/>
      </c>
      <c r="V517" s="17" t="str">
        <f aca="false">IF($P517="","",IF($B$10=0,"",$P517/$B$10))</f>
        <v/>
      </c>
      <c r="W517" s="19" t="n">
        <f aca="false">IF($T517="",1000000000000000,$T517)</f>
        <v/>
      </c>
      <c r="XFB517" s="6"/>
      <c r="XFC517" s="3"/>
    </row>
    <row r="518" s="5" collapsed="false" customFormat="true" customHeight="true" hidden="false" ht="28.5" outlineLevel="0">
      <c r="A518" s="16" t="str">
        <f aca="false">IF($T518="","",1+COUNTIF($W$15:$W$894,"&lt;"&amp;W518))</f>
        <v/>
      </c>
      <c r="B518" s="16" t="s">
        <v>10</v>
      </c>
      <c r="C518" s="16" t="s">
        <v>1034</v>
      </c>
      <c r="D518" s="16" t="s">
        <v>45</v>
      </c>
      <c r="E518" s="16" t="s">
        <v>63</v>
      </c>
      <c r="F518" s="16" t="s">
        <v>1035</v>
      </c>
      <c r="G518" s="17">
        <v>1899</v>
      </c>
      <c r="H518" s="17"/>
      <c r="I518" s="17"/>
      <c r="J518" s="17">
        <v>1899</v>
      </c>
      <c r="K518" s="17" t="n">
        <f aca="false">IF(AND(IFERROR(SEARCH("현대오일뱅크",$C518),0)&gt;0,IFERROR(SEARCH("직영",$C518),0)&gt;0),$B$13,0)</f>
        <v/>
      </c>
      <c r="L518" s="17" t="n">
        <f aca="false">IF($G518="","",$G518+$K518)</f>
        <v/>
      </c>
      <c r="M518" s="17" t="str">
        <f aca="false">IF($H518="","",$H518+$K518)</f>
        <v/>
      </c>
      <c r="N518" s="17" t="n">
        <f aca="false">IF($J518="","",$J518+$K518)</f>
        <v/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 t="str">
        <f aca="false">IF($B$10=0,"",IFERROR(IF($B$4&gt;0,IF($L518="",1/0,$L518*$B$4),0)+IF($B$5&gt;0,IF($M518="",1/0,$M518*$B$5),0)+IF($B$6&gt;0,IF($N518="",1/0,$N518*$B$6),0),""))</f>
        <v/>
      </c>
      <c r="Q518" s="17" t="s">
        <v>47</v>
      </c>
      <c r="R518" s="18" t="str">
        <f aca="false">IF($P518="","",IF($Q518="Y",IFERROR(VLOOKUP($B518,$C$4:$D$13,2,FALSE()),0),0))</f>
        <v/>
      </c>
      <c r="S518" s="17" t="str">
        <f aca="false">IF($P518="","",ROUNDDOWN($P518*$R518,0))</f>
        <v/>
      </c>
      <c r="T518" s="17" t="str">
        <f aca="false">IF($P518="","",$P518-$S518)</f>
        <v/>
      </c>
      <c r="U518" s="17" t="str">
        <f aca="false">IF($T518="","",IF($B$10=0,"",$T518/$B$10))</f>
        <v/>
      </c>
      <c r="V518" s="17" t="str">
        <f aca="false">IF($P518="","",IF($B$10=0,"",$P518/$B$10))</f>
        <v/>
      </c>
      <c r="W518" s="19" t="n">
        <f aca="false">IF($T518="",1000000000000000,$T518)</f>
        <v/>
      </c>
      <c r="XFB518" s="6"/>
      <c r="XFC518" s="3"/>
    </row>
    <row r="519" s="5" collapsed="false" customFormat="true" customHeight="true" hidden="false" ht="28.5" outlineLevel="0">
      <c r="A519" s="16" t="str">
        <f aca="false">IF($T519="","",1+COUNTIF($W$15:$W$894,"&lt;"&amp;W519))</f>
        <v/>
      </c>
      <c r="B519" s="16" t="s">
        <v>10</v>
      </c>
      <c r="C519" s="16" t="s">
        <v>950</v>
      </c>
      <c r="D519" s="16" t="s">
        <v>51</v>
      </c>
      <c r="E519" s="16" t="s">
        <v>63</v>
      </c>
      <c r="F519" s="16" t="s">
        <v>1036</v>
      </c>
      <c r="G519" s="17">
        <v>1899</v>
      </c>
      <c r="H519" s="17"/>
      <c r="I519" s="17"/>
      <c r="J519" s="17">
        <v>1899</v>
      </c>
      <c r="K519" s="17" t="n">
        <f aca="false">IF(AND(IFERROR(SEARCH("현대오일뱅크",$C519),0)&gt;0,IFERROR(SEARCH("직영",$C519),0)&gt;0),$B$13,0)</f>
        <v/>
      </c>
      <c r="L519" s="17" t="n">
        <f aca="false">IF($G519="","",$G519+$K519)</f>
        <v/>
      </c>
      <c r="M519" s="17" t="str">
        <f aca="false">IF($H519="","",$H519+$K519)</f>
        <v/>
      </c>
      <c r="N519" s="17" t="n">
        <f aca="false">IF($J519="","",$J519+$K519)</f>
        <v/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 t="str">
        <f aca="false">IF($B$10=0,"",IFERROR(IF($B$4&gt;0,IF($L519="",1/0,$L519*$B$4),0)+IF($B$5&gt;0,IF($M519="",1/0,$M519*$B$5),0)+IF($B$6&gt;0,IF($N519="",1/0,$N519*$B$6),0),""))</f>
        <v/>
      </c>
      <c r="Q519" s="17" t="s">
        <v>47</v>
      </c>
      <c r="R519" s="18" t="str">
        <f aca="false">IF($P519="","",IF($Q519="Y",IFERROR(VLOOKUP($B519,$C$4:$D$13,2,FALSE()),0),0))</f>
        <v/>
      </c>
      <c r="S519" s="17" t="str">
        <f aca="false">IF($P519="","",ROUNDDOWN($P519*$R519,0))</f>
        <v/>
      </c>
      <c r="T519" s="17" t="str">
        <f aca="false">IF($P519="","",$P519-$S519)</f>
        <v/>
      </c>
      <c r="U519" s="17" t="str">
        <f aca="false">IF($T519="","",IF($B$10=0,"",$T519/$B$10))</f>
        <v/>
      </c>
      <c r="V519" s="17" t="str">
        <f aca="false">IF($P519="","",IF($B$10=0,"",$P519/$B$10))</f>
        <v/>
      </c>
      <c r="W519" s="19" t="n">
        <f aca="false">IF($T519="",1000000000000000,$T519)</f>
        <v/>
      </c>
      <c r="XFB519" s="6"/>
      <c r="XFC519" s="3"/>
    </row>
    <row r="520" s="5" collapsed="false" customFormat="true" customHeight="true" hidden="false" ht="28.5" outlineLevel="0">
      <c r="A520" s="16" t="str">
        <f aca="false">IF($T520="","",1+COUNTIF($W$15:$W$894,"&lt;"&amp;W520))</f>
        <v/>
      </c>
      <c r="B520" s="16" t="s">
        <v>10</v>
      </c>
      <c r="C520" s="16" t="s">
        <v>1037</v>
      </c>
      <c r="D520" s="16" t="s">
        <v>95</v>
      </c>
      <c r="E520" s="16" t="s">
        <v>63</v>
      </c>
      <c r="F520" s="16" t="s">
        <v>1038</v>
      </c>
      <c r="G520" s="17">
        <v>1899</v>
      </c>
      <c r="H520" s="17"/>
      <c r="I520" s="17"/>
      <c r="J520" s="17">
        <v>1899</v>
      </c>
      <c r="K520" s="17" t="n">
        <f aca="false">IF(AND(IFERROR(SEARCH("현대오일뱅크",$C520),0)&gt;0,IFERROR(SEARCH("직영",$C520),0)&gt;0),$B$13,0)</f>
        <v/>
      </c>
      <c r="L520" s="17" t="n">
        <f aca="false">IF($G520="","",$G520+$K520)</f>
        <v/>
      </c>
      <c r="M520" s="17" t="str">
        <f aca="false">IF($H520="","",$H520+$K520)</f>
        <v/>
      </c>
      <c r="N520" s="17" t="n">
        <f aca="false">IF($J520="","",$J520+$K520)</f>
        <v/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 t="str">
        <f aca="false">IF($B$10=0,"",IFERROR(IF($B$4&gt;0,IF($L520="",1/0,$L520*$B$4),0)+IF($B$5&gt;0,IF($M520="",1/0,$M520*$B$5),0)+IF($B$6&gt;0,IF($N520="",1/0,$N520*$B$6),0),""))</f>
        <v/>
      </c>
      <c r="Q520" s="17" t="s">
        <v>47</v>
      </c>
      <c r="R520" s="18" t="str">
        <f aca="false">IF($P520="","",IF($Q520="Y",IFERROR(VLOOKUP($B520,$C$4:$D$13,2,FALSE()),0),0))</f>
        <v/>
      </c>
      <c r="S520" s="17" t="str">
        <f aca="false">IF($P520="","",ROUNDDOWN($P520*$R520,0))</f>
        <v/>
      </c>
      <c r="T520" s="17" t="str">
        <f aca="false">IF($P520="","",$P520-$S520)</f>
        <v/>
      </c>
      <c r="U520" s="17" t="str">
        <f aca="false">IF($T520="","",IF($B$10=0,"",$T520/$B$10))</f>
        <v/>
      </c>
      <c r="V520" s="17" t="str">
        <f aca="false">IF($P520="","",IF($B$10=0,"",$P520/$B$10))</f>
        <v/>
      </c>
      <c r="W520" s="19" t="n">
        <f aca="false">IF($T520="",1000000000000000,$T520)</f>
        <v/>
      </c>
      <c r="XFB520" s="6"/>
      <c r="XFC520" s="3"/>
    </row>
    <row r="521" s="5" collapsed="false" customFormat="true" customHeight="true" hidden="false" ht="28.5" outlineLevel="0">
      <c r="A521" s="16" t="str">
        <f aca="false">IF($T521="","",1+COUNTIF($W$15:$W$894,"&lt;"&amp;W521))</f>
        <v/>
      </c>
      <c r="B521" s="16" t="s">
        <v>10</v>
      </c>
      <c r="C521" s="16" t="s">
        <v>1039</v>
      </c>
      <c r="D521" s="20" t="s">
        <v>86</v>
      </c>
      <c r="E521" s="16" t="s">
        <v>63</v>
      </c>
      <c r="F521" s="16" t="s">
        <v>1040</v>
      </c>
      <c r="G521" s="17">
        <v>1899</v>
      </c>
      <c r="H521" s="17"/>
      <c r="I521" s="17"/>
      <c r="J521" s="17">
        <v>1899</v>
      </c>
      <c r="K521" s="17" t="n">
        <f aca="false">IF(AND(IFERROR(SEARCH("현대오일뱅크",$C521),0)&gt;0,IFERROR(SEARCH("직영",$C521),0)&gt;0),$B$13,0)</f>
        <v/>
      </c>
      <c r="L521" s="17" t="n">
        <f aca="false">IF($G521="","",$G521+$K521)</f>
        <v/>
      </c>
      <c r="M521" s="17" t="str">
        <f aca="false">IF($H521="","",$H521+$K521)</f>
        <v/>
      </c>
      <c r="N521" s="17" t="n">
        <f aca="false">IF($J521="","",$J521+$K521)</f>
        <v/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 t="str">
        <f aca="false">IF($B$10=0,"",IFERROR(IF($B$4&gt;0,IF($L521="",1/0,$L521*$B$4),0)+IF($B$5&gt;0,IF($M521="",1/0,$M521*$B$5),0)+IF($B$6&gt;0,IF($N521="",1/0,$N521*$B$6),0),""))</f>
        <v/>
      </c>
      <c r="Q521" s="17" t="s">
        <v>47</v>
      </c>
      <c r="R521" s="18" t="str">
        <f aca="false">IF($P521="","",IF($Q521="Y",IFERROR(VLOOKUP($B521,$C$4:$D$13,2,FALSE()),0),0))</f>
        <v/>
      </c>
      <c r="S521" s="17" t="str">
        <f aca="false">IF($P521="","",ROUNDDOWN($P521*$R521,0))</f>
        <v/>
      </c>
      <c r="T521" s="17" t="str">
        <f aca="false">IF($P521="","",$P521-$S521)</f>
        <v/>
      </c>
      <c r="U521" s="17" t="str">
        <f aca="false">IF($T521="","",IF($B$10=0,"",$T521/$B$10))</f>
        <v/>
      </c>
      <c r="V521" s="17" t="str">
        <f aca="false">IF($P521="","",IF($B$10=0,"",$P521/$B$10))</f>
        <v/>
      </c>
      <c r="W521" s="19" t="n">
        <f aca="false">IF($T521="",1000000000000000,$T521)</f>
        <v/>
      </c>
      <c r="XFB521" s="6"/>
      <c r="XFC521" s="3"/>
    </row>
    <row r="522" s="5" collapsed="false" customFormat="true" customHeight="true" hidden="false" ht="28.5" outlineLevel="0">
      <c r="A522" s="16" t="str">
        <f aca="false">IF($T522="","",1+COUNTIF($W$15:$W$894,"&lt;"&amp;W522))</f>
        <v/>
      </c>
      <c r="B522" s="16" t="s">
        <v>14</v>
      </c>
      <c r="C522" s="16" t="s">
        <v>1041</v>
      </c>
      <c r="D522" s="16" t="s">
        <v>51</v>
      </c>
      <c r="E522" s="16" t="s">
        <v>63</v>
      </c>
      <c r="F522" s="16" t="s">
        <v>1042</v>
      </c>
      <c r="G522" s="17">
        <v>1950</v>
      </c>
      <c r="H522" s="17"/>
      <c r="I522" s="17"/>
      <c r="J522" s="17">
        <v>1950</v>
      </c>
      <c r="K522" s="17" t="n">
        <f aca="false">IF(AND(IFERROR(SEARCH("현대오일뱅크",$C522),0)&gt;0,IFERROR(SEARCH("직영",$C522),0)&gt;0),$B$13,0)</f>
        <v/>
      </c>
      <c r="L522" s="17" t="n">
        <f aca="false">IF($G522="","",$G522+$K522)</f>
        <v/>
      </c>
      <c r="M522" s="17" t="str">
        <f aca="false">IF($H522="","",$H522+$K522)</f>
        <v/>
      </c>
      <c r="N522" s="17" t="n">
        <f aca="false">IF($J522="","",$J522+$K522)</f>
        <v/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 t="str">
        <f aca="false">IF($B$10=0,"",IFERROR(IF($B$4&gt;0,IF($L522="",1/0,$L522*$B$4),0)+IF($B$5&gt;0,IF($M522="",1/0,$M522*$B$5),0)+IF($B$6&gt;0,IF($N522="",1/0,$N522*$B$6),0),""))</f>
        <v/>
      </c>
      <c r="Q522" s="17" t="s">
        <v>47</v>
      </c>
      <c r="R522" s="18" t="str">
        <f aca="false">IF($P522="","",IF($Q522="Y",IFERROR(VLOOKUP($B522,$C$4:$D$13,2,FALSE()),0),0))</f>
        <v/>
      </c>
      <c r="S522" s="17" t="str">
        <f aca="false">IF($P522="","",ROUNDDOWN($P522*$R522,0))</f>
        <v/>
      </c>
      <c r="T522" s="17" t="str">
        <f aca="false">IF($P522="","",$P522-$S522)</f>
        <v/>
      </c>
      <c r="U522" s="17" t="str">
        <f aca="false">IF($T522="","",IF($B$10=0,"",$T522/$B$10))</f>
        <v/>
      </c>
      <c r="V522" s="17" t="str">
        <f aca="false">IF($P522="","",IF($B$10=0,"",$P522/$B$10))</f>
        <v/>
      </c>
      <c r="W522" s="19" t="n">
        <f aca="false">IF($T522="",1000000000000000,$T522)</f>
        <v/>
      </c>
      <c r="XFB522" s="6"/>
      <c r="XFC522" s="3"/>
    </row>
    <row r="523" s="5" collapsed="false" customFormat="true" customHeight="true" hidden="false" ht="28.5" outlineLevel="0">
      <c r="A523" s="16" t="str">
        <f aca="false">IF($T523="","",1+COUNTIF($W$15:$W$894,"&lt;"&amp;W523))</f>
        <v/>
      </c>
      <c r="B523" s="16" t="s">
        <v>10</v>
      </c>
      <c r="C523" s="16" t="s">
        <v>1043</v>
      </c>
      <c r="D523" s="16" t="s">
        <v>45</v>
      </c>
      <c r="E523" s="16" t="s">
        <v>26</v>
      </c>
      <c r="F523" s="16" t="s">
        <v>1044</v>
      </c>
      <c r="G523" s="17">
        <v>1936</v>
      </c>
      <c r="H523" s="17"/>
      <c r="I523" s="17"/>
      <c r="J523" s="17">
        <v>1869</v>
      </c>
      <c r="K523" s="17" t="n">
        <f aca="false">IF(AND(IFERROR(SEARCH("현대오일뱅크",$C523),0)&gt;0,IFERROR(SEARCH("직영",$C523),0)&gt;0),$B$13,0)</f>
        <v/>
      </c>
      <c r="L523" s="17" t="n">
        <f aca="false">IF($G523="","",$G523+$K523)</f>
        <v/>
      </c>
      <c r="M523" s="17" t="str">
        <f aca="false">IF($H523="","",$H523+$K523)</f>
        <v/>
      </c>
      <c r="N523" s="17" t="n">
        <f aca="false">IF($J523="","",$J523+$K523)</f>
        <v/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 t="str">
        <f aca="false">IF($B$10=0,"",IFERROR(IF($B$4&gt;0,IF($L523="",1/0,$L523*$B$4),0)+IF($B$5&gt;0,IF($M523="",1/0,$M523*$B$5),0)+IF($B$6&gt;0,IF($N523="",1/0,$N523*$B$6),0),""))</f>
        <v/>
      </c>
      <c r="Q523" s="17" t="s">
        <v>47</v>
      </c>
      <c r="R523" s="18" t="str">
        <f aca="false">IF($P523="","",IF($Q523="Y",IFERROR(VLOOKUP($B523,$C$4:$D$13,2,FALSE()),0),0))</f>
        <v/>
      </c>
      <c r="S523" s="17" t="str">
        <f aca="false">IF($P523="","",ROUNDDOWN($P523*$R523,0))</f>
        <v/>
      </c>
      <c r="T523" s="17" t="str">
        <f aca="false">IF($P523="","",$P523-$S523)</f>
        <v/>
      </c>
      <c r="U523" s="17" t="str">
        <f aca="false">IF($T523="","",IF($B$10=0,"",$T523/$B$10))</f>
        <v/>
      </c>
      <c r="V523" s="17" t="str">
        <f aca="false">IF($P523="","",IF($B$10=0,"",$P523/$B$10))</f>
        <v/>
      </c>
      <c r="W523" s="19" t="n">
        <f aca="false">IF($T523="",1000000000000000,$T523)</f>
        <v/>
      </c>
      <c r="XFB523" s="6"/>
      <c r="XFC523" s="3"/>
    </row>
    <row r="524" s="5" collapsed="false" customFormat="true" customHeight="true" hidden="false" ht="28.5" outlineLevel="0">
      <c r="A524" s="16" t="str">
        <f aca="false">IF($T524="","",1+COUNTIF($W$15:$W$894,"&lt;"&amp;W524))</f>
        <v/>
      </c>
      <c r="B524" s="16" t="s">
        <v>16</v>
      </c>
      <c r="C524" s="16" t="s">
        <v>1045</v>
      </c>
      <c r="D524" s="16" t="s">
        <v>500</v>
      </c>
      <c r="E524" s="16" t="s">
        <v>26</v>
      </c>
      <c r="F524" s="16" t="s">
        <v>1046</v>
      </c>
      <c r="G524" s="17">
        <v>1750</v>
      </c>
      <c r="H524" s="17"/>
      <c r="I524" s="17"/>
      <c r="J524" s="17">
        <v>1760</v>
      </c>
      <c r="K524" s="17" t="n">
        <f aca="false">IF(AND(IFERROR(SEARCH("현대오일뱅크",$C524),0)&gt;0,IFERROR(SEARCH("직영",$C524),0)&gt;0),$B$13,0)</f>
        <v/>
      </c>
      <c r="L524" s="17" t="n">
        <f aca="false">IF($G524="","",$G524+$K524)</f>
        <v/>
      </c>
      <c r="M524" s="17" t="str">
        <f aca="false">IF($H524="","",$H524+$K524)</f>
        <v/>
      </c>
      <c r="N524" s="17" t="n">
        <f aca="false">IF($J524="","",$J524+$K524)</f>
        <v/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 t="str">
        <f aca="false">IF($B$10=0,"",IFERROR(IF($B$4&gt;0,IF($L524="",1/0,$L524*$B$4),0)+IF($B$5&gt;0,IF($M524="",1/0,$M524*$B$5),0)+IF($B$6&gt;0,IF($N524="",1/0,$N524*$B$6),0),""))</f>
        <v/>
      </c>
      <c r="Q524" s="17"/>
      <c r="R524" s="18" t="str">
        <f aca="false">IF($P524="","",IF($Q524="Y",IFERROR(VLOOKUP($B524,$C$4:$D$13,2,FALSE()),0),0))</f>
        <v/>
      </c>
      <c r="S524" s="17" t="str">
        <f aca="false">IF($P524="","",ROUNDDOWN($P524*$R524,0))</f>
        <v/>
      </c>
      <c r="T524" s="17" t="str">
        <f aca="false">IF($P524="","",$P524-$S524)</f>
        <v/>
      </c>
      <c r="U524" s="17" t="str">
        <f aca="false">IF($T524="","",IF($B$10=0,"",$T524/$B$10))</f>
        <v/>
      </c>
      <c r="V524" s="17" t="str">
        <f aca="false">IF($P524="","",IF($B$10=0,"",$P524/$B$10))</f>
        <v/>
      </c>
      <c r="W524" s="19" t="n">
        <f aca="false">IF($T524="",1000000000000000,$T524)</f>
        <v/>
      </c>
      <c r="XFB524" s="6"/>
      <c r="XFC524" s="3"/>
    </row>
    <row r="525" s="5" collapsed="false" customFormat="true" customHeight="true" hidden="false" ht="28.5" outlineLevel="0">
      <c r="A525" s="16" t="str">
        <f aca="false">IF($T525="","",1+COUNTIF($W$15:$W$894,"&lt;"&amp;W525))</f>
        <v/>
      </c>
      <c r="B525" s="16" t="s">
        <v>12</v>
      </c>
      <c r="C525" s="16" t="s">
        <v>1241</v>
      </c>
      <c r="D525" s="20" t="s">
        <v>45</v>
      </c>
      <c r="E525" s="16" t="s">
        <v>63</v>
      </c>
      <c r="F525" s="16" t="s">
        <v>1242</v>
      </c>
      <c r="G525" s="17">
        <v>1948</v>
      </c>
      <c r="H525" s="17"/>
      <c r="I525" s="17"/>
      <c r="J525" s="17">
        <v>1928</v>
      </c>
      <c r="K525" s="17" t="n">
        <f aca="false">IF(AND(IFERROR(SEARCH("현대오일뱅크",$C525),0)&gt;0,IFERROR(SEARCH("직영",$C525),0)&gt;0),$B$13,0)</f>
        <v/>
      </c>
      <c r="L525" s="17" t="n">
        <f aca="false">IF($G525="","",$G525+$K525)</f>
        <v/>
      </c>
      <c r="M525" s="17" t="str">
        <f aca="false">IF($H525="","",$H525+$K525)</f>
        <v/>
      </c>
      <c r="N525" s="17" t="n">
        <f aca="false">IF($J525="","",$J525+$K525)</f>
        <v/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 t="str">
        <f aca="false">IF($B$10=0,"",IFERROR(IF($B$4&gt;0,IF($L525="",1/0,$L525*$B$4),0)+IF($B$5&gt;0,IF($M525="",1/0,$M525*$B$5),0)+IF($B$6&gt;0,IF($N525="",1/0,$N525*$B$6),0),""))</f>
        <v/>
      </c>
      <c r="Q525" s="17" t="s">
        <v>47</v>
      </c>
      <c r="R525" s="18" t="str">
        <f aca="false">IF($P525="","",IF($Q525="Y",IFERROR(VLOOKUP($B525,$C$4:$D$13,2,FALSE()),0),0))</f>
        <v/>
      </c>
      <c r="S525" s="17" t="str">
        <f aca="false">IF($P525="","",ROUNDDOWN($P525*$R525,0))</f>
        <v/>
      </c>
      <c r="T525" s="17" t="str">
        <f aca="false">IF($P525="","",$P525-$S525)</f>
        <v/>
      </c>
      <c r="U525" s="17" t="str">
        <f aca="false">IF($T525="","",IF($B$10=0,"",$T525/$B$10))</f>
        <v/>
      </c>
      <c r="V525" s="17" t="str">
        <f aca="false">IF($P525="","",IF($B$10=0,"",$P525/$B$10))</f>
        <v/>
      </c>
      <c r="W525" s="19" t="n">
        <f aca="false">IF($T525="",1000000000000000,$T525)</f>
        <v/>
      </c>
      <c r="XFB525" s="6"/>
      <c r="XFC525" s="3"/>
    </row>
    <row r="526" s="5" collapsed="false" customFormat="true" customHeight="true" hidden="false" ht="28.5" outlineLevel="0">
      <c r="A526" s="16" t="str">
        <f aca="false">IF($T526="","",1+COUNTIF($W$15:$W$894,"&lt;"&amp;W526))</f>
        <v/>
      </c>
      <c r="B526" s="16" t="s">
        <v>10</v>
      </c>
      <c r="C526" s="16" t="s">
        <v>1049</v>
      </c>
      <c r="D526" s="16" t="s">
        <v>45</v>
      </c>
      <c r="E526" s="16" t="s">
        <v>63</v>
      </c>
      <c r="F526" s="16" t="s">
        <v>1050</v>
      </c>
      <c r="G526" s="17">
        <v>1764</v>
      </c>
      <c r="H526" s="17"/>
      <c r="I526" s="17"/>
      <c r="J526" s="17">
        <v>1754</v>
      </c>
      <c r="K526" s="17" t="n">
        <v>0</v>
      </c>
      <c r="L526" s="17" t="n">
        <f aca="false">IF($G526="","",$G526+$K526)</f>
        <v/>
      </c>
      <c r="M526" s="17" t="str">
        <f aca="false">IF($H526="","",$H526+$K526)</f>
        <v/>
      </c>
      <c r="N526" s="17" t="n">
        <f aca="false">IF($J526="","",$J526+$K526)</f>
        <v/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 t="str">
        <f aca="false">IF($B$10=0,"",IFERROR(IF($B$4&gt;0,IF($L526="",1/0,$L526*$B$4),0)+IF($B$5&gt;0,IF($M526="",1/0,$M526*$B$5),0)+IF($B$6&gt;0,IF($N526="",1/0,$N526*$B$6),0),""))</f>
        <v/>
      </c>
      <c r="Q526" s="17"/>
      <c r="R526" s="18" t="str">
        <f aca="false">IF($P526="","",IF($Q526="Y",IFERROR(VLOOKUP($B526,$C$4:$D$13,2,FALSE()),0),0))</f>
        <v/>
      </c>
      <c r="S526" s="17" t="str">
        <f aca="false">IF($P526="","",ROUNDDOWN($P526*$R526,0))</f>
        <v/>
      </c>
      <c r="T526" s="17" t="str">
        <f aca="false">IF($P526="","",$P526-$S526)</f>
        <v/>
      </c>
      <c r="U526" s="17" t="str">
        <f aca="false">IF($T526="","",IF($B$10=0,"",$T526/$B$10))</f>
        <v/>
      </c>
      <c r="V526" s="17" t="str">
        <f aca="false">IF($P526="","",IF($B$10=0,"",$P526/$B$10))</f>
        <v/>
      </c>
      <c r="W526" s="19" t="n">
        <f aca="false">IF($T526="",1000000000000000,$T526)</f>
        <v/>
      </c>
      <c r="XFB526" s="6"/>
      <c r="XFC526" s="3"/>
    </row>
    <row r="527" s="5" collapsed="false" customFormat="true" customHeight="true" hidden="false" ht="28.5" outlineLevel="0">
      <c r="A527" s="16" t="str">
        <f aca="false">IF($T527="","",1+COUNTIF($W$15:$W$894,"&lt;"&amp;W527))</f>
        <v/>
      </c>
      <c r="B527" s="16" t="s">
        <v>12</v>
      </c>
      <c r="C527" s="16" t="s">
        <v>1053</v>
      </c>
      <c r="D527" s="20" t="s">
        <v>45</v>
      </c>
      <c r="E527" s="16" t="s">
        <v>63</v>
      </c>
      <c r="F527" s="16" t="s">
        <v>1054</v>
      </c>
      <c r="G527" s="17">
        <v>1950</v>
      </c>
      <c r="H527" s="17"/>
      <c r="I527" s="17"/>
      <c r="J527" s="17">
        <v>1940</v>
      </c>
      <c r="K527" s="17" t="n">
        <f aca="false">IF(AND(IFERROR(SEARCH("현대오일뱅크",$C527),0)&gt;0,IFERROR(SEARCH("직영",$C527),0)&gt;0),$B$13,0)</f>
        <v/>
      </c>
      <c r="L527" s="17" t="n">
        <f aca="false">IF($G527="","",$G527+$K527)</f>
        <v/>
      </c>
      <c r="M527" s="17" t="str">
        <f aca="false">IF($H527="","",$H527+$K527)</f>
        <v/>
      </c>
      <c r="N527" s="17" t="n">
        <f aca="false">IF($J527="","",$J527+$K527)</f>
        <v/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 t="str">
        <f aca="false">IF($B$10=0,"",IFERROR(IF($B$4&gt;0,IF($L527="",1/0,$L527*$B$4),0)+IF($B$5&gt;0,IF($M527="",1/0,$M527*$B$5),0)+IF($B$6&gt;0,IF($N527="",1/0,$N527*$B$6),0),""))</f>
        <v/>
      </c>
      <c r="Q527" s="17" t="s">
        <v>47</v>
      </c>
      <c r="R527" s="18" t="str">
        <f aca="false">IF($P527="","",IF($Q527="Y",IFERROR(VLOOKUP($B527,$C$4:$D$13,2,FALSE()),0),0))</f>
        <v/>
      </c>
      <c r="S527" s="17" t="str">
        <f aca="false">IF($P527="","",ROUNDDOWN($P527*$R527,0))</f>
        <v/>
      </c>
      <c r="T527" s="17" t="str">
        <f aca="false">IF($P527="","",$P527-$S527)</f>
        <v/>
      </c>
      <c r="U527" s="17" t="str">
        <f aca="false">IF($T527="","",IF($B$10=0,"",$T527/$B$10))</f>
        <v/>
      </c>
      <c r="V527" s="17" t="str">
        <f aca="false">IF($P527="","",IF($B$10=0,"",$P527/$B$10))</f>
        <v/>
      </c>
      <c r="W527" s="19" t="n">
        <f aca="false">IF($T527="",1000000000000000,$T527)</f>
        <v/>
      </c>
      <c r="XFB527" s="6"/>
      <c r="XFC527" s="3"/>
    </row>
    <row r="528" s="5" collapsed="false" customFormat="true" customHeight="true" hidden="false" ht="28.5" outlineLevel="0">
      <c r="A528" s="16" t="str">
        <f aca="false">IF($T528="","",1+COUNTIF($W$15:$W$894,"&lt;"&amp;W528))</f>
        <v/>
      </c>
      <c r="B528" s="16" t="s">
        <v>12</v>
      </c>
      <c r="C528" s="16" t="s">
        <v>980</v>
      </c>
      <c r="D528" s="20" t="s">
        <v>86</v>
      </c>
      <c r="E528" s="16" t="s">
        <v>26</v>
      </c>
      <c r="F528" s="16" t="s">
        <v>1055</v>
      </c>
      <c r="G528" s="17">
        <v>1954</v>
      </c>
      <c r="H528" s="17"/>
      <c r="I528" s="17"/>
      <c r="J528" s="17">
        <v>1899</v>
      </c>
      <c r="K528" s="17" t="n">
        <f aca="false">IF(AND(IFERROR(SEARCH("현대오일뱅크",$C528),0)&gt;0,IFERROR(SEARCH("직영",$C528),0)&gt;0),$B$13,0)</f>
        <v/>
      </c>
      <c r="L528" s="17" t="n">
        <f aca="false">IF($G528="","",$G528+$K528)</f>
        <v/>
      </c>
      <c r="M528" s="17" t="str">
        <f aca="false">IF($H528="","",$H528+$K528)</f>
        <v/>
      </c>
      <c r="N528" s="17" t="n">
        <f aca="false">IF($J528="","",$J528+$K528)</f>
        <v/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 t="str">
        <f aca="false">IF($B$10=0,"",IFERROR(IF($B$4&gt;0,IF($L528="",1/0,$L528*$B$4),0)+IF($B$5&gt;0,IF($M528="",1/0,$M528*$B$5),0)+IF($B$6&gt;0,IF($N528="",1/0,$N528*$B$6),0),""))</f>
        <v/>
      </c>
      <c r="Q528" s="17" t="s">
        <v>47</v>
      </c>
      <c r="R528" s="18" t="str">
        <f aca="false">IF($P528="","",IF($Q528="Y",IFERROR(VLOOKUP($B528,$C$4:$D$13,2,FALSE()),0),0))</f>
        <v/>
      </c>
      <c r="S528" s="17" t="str">
        <f aca="false">IF($P528="","",ROUNDDOWN($P528*$R528,0))</f>
        <v/>
      </c>
      <c r="T528" s="17" t="str">
        <f aca="false">IF($P528="","",$P528-$S528)</f>
        <v/>
      </c>
      <c r="U528" s="17" t="str">
        <f aca="false">IF($T528="","",IF($B$10=0,"",$T528/$B$10))</f>
        <v/>
      </c>
      <c r="V528" s="17" t="str">
        <f aca="false">IF($P528="","",IF($B$10=0,"",$P528/$B$10))</f>
        <v/>
      </c>
      <c r="W528" s="19" t="n">
        <f aca="false">IF($T528="",1000000000000000,$T528)</f>
        <v/>
      </c>
      <c r="XFB528" s="6"/>
      <c r="XFC528" s="3"/>
    </row>
    <row r="529" s="6" collapsed="false" customFormat="true" customHeight="true" hidden="false" ht="28.6" outlineLevel="0">
      <c r="A529" s="16" t="str">
        <f aca="false">IF($T529="","",1+COUNTIF($W$15:$W$894,"&lt;"&amp;W529))</f>
        <v/>
      </c>
      <c r="B529" s="16" t="s">
        <v>10</v>
      </c>
      <c r="C529" s="16" t="s">
        <v>1056</v>
      </c>
      <c r="D529" s="16" t="s">
        <v>45</v>
      </c>
      <c r="E529" s="16" t="s">
        <v>26</v>
      </c>
      <c r="F529" s="16" t="s">
        <v>1057</v>
      </c>
      <c r="G529" s="17">
        <v>1759</v>
      </c>
      <c r="H529" s="17"/>
      <c r="I529" s="17"/>
      <c r="J529" s="17">
        <v>1744</v>
      </c>
      <c r="K529" s="17" t="n">
        <f aca="false">IF(AND(IFERROR(SEARCH("현대오일뱅크",$C529),0)&gt;0,IFERROR(SEARCH("직영",$C529),0)&gt;0),$B$13,0)</f>
        <v/>
      </c>
      <c r="L529" s="17" t="n">
        <f aca="false">IF($G529="","",$G529+$K529)</f>
        <v/>
      </c>
      <c r="M529" s="17" t="str">
        <f aca="false">IF($H529="","",$H529+$K529)</f>
        <v/>
      </c>
      <c r="N529" s="17" t="n">
        <f aca="false">IF($J529="","",$J529+$K529)</f>
        <v/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 t="str">
        <f aca="false">IF($B$10=0,"",IFERROR(IF($B$4&gt;0,IF($L529="",1/0,$L529*$B$4),0)+IF($B$5&gt;0,IF($M529="",1/0,$M529*$B$5),0)+IF($B$6&gt;0,IF($N529="",1/0,$N529*$B$6),0),""))</f>
        <v/>
      </c>
      <c r="Q529" s="17"/>
      <c r="R529" s="18" t="str">
        <f aca="false">IF($P529="","",IF($Q529="Y",IFERROR(VLOOKUP($B529,$C$4:$D$13,2,FALSE()),0),0))</f>
        <v/>
      </c>
      <c r="S529" s="17" t="str">
        <f aca="false">IF($P529="","",ROUNDDOWN($P529*$R529,0))</f>
        <v/>
      </c>
      <c r="T529" s="17" t="str">
        <f aca="false">IF($P529="","",$P529-$S529)</f>
        <v/>
      </c>
      <c r="U529" s="17" t="str">
        <f aca="false">IF($T529="","",IF($B$10=0,"",$T529/$B$10))</f>
        <v/>
      </c>
      <c r="V529" s="17" t="str">
        <f aca="false">IF($P529="","",IF($B$10=0,"",$P529/$B$10))</f>
        <v/>
      </c>
      <c r="W529" s="19" t="n">
        <f aca="false">IF($T529="",1000000000000000,$T529)</f>
        <v/>
      </c>
      <c r="XFC529" s="3"/>
    </row>
    <row r="530" s="5" collapsed="false" customFormat="true" customHeight="true" hidden="false" ht="28.5" outlineLevel="0">
      <c r="A530" s="16" t="str">
        <f aca="false">IF($T530="","",1+COUNTIF($W$15:$W$894,"&lt;"&amp;W530))</f>
        <v/>
      </c>
      <c r="B530" s="16" t="s">
        <v>10</v>
      </c>
      <c r="C530" s="16" t="s">
        <v>1062</v>
      </c>
      <c r="D530" s="16" t="s">
        <v>45</v>
      </c>
      <c r="E530" s="16" t="s">
        <v>26</v>
      </c>
      <c r="F530" s="16" t="s">
        <v>1063</v>
      </c>
      <c r="G530" s="17">
        <v>1774</v>
      </c>
      <c r="H530" s="17"/>
      <c r="I530" s="17"/>
      <c r="J530" s="17">
        <v>1774</v>
      </c>
      <c r="K530" s="17" t="n">
        <v>0</v>
      </c>
      <c r="L530" s="17" t="n">
        <f aca="false">IF($G530="","",$G530+$K530)</f>
        <v/>
      </c>
      <c r="M530" s="17" t="str">
        <f aca="false">IF($H530="","",$H530+$K530)</f>
        <v/>
      </c>
      <c r="N530" s="17" t="n">
        <f aca="false">IF($J530="","",$J530+$K530)</f>
        <v/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 t="str">
        <f aca="false">IF($B$10=0,"",IFERROR(IF($B$4&gt;0,IF($L530="",1/0,$L530*$B$4),0)+IF($B$5&gt;0,IF($M530="",1/0,$M530*$B$5),0)+IF($B$6&gt;0,IF($N530="",1/0,$N530*$B$6),0),""))</f>
        <v/>
      </c>
      <c r="Q530" s="17"/>
      <c r="R530" s="18" t="str">
        <f aca="false">IF($P530="","",IF($Q530="Y",IFERROR(VLOOKUP($B530,$C$4:$D$13,2,FALSE()),0),0))</f>
        <v/>
      </c>
      <c r="S530" s="17" t="str">
        <f aca="false">IF($P530="","",ROUNDDOWN($P530*$R530,0))</f>
        <v/>
      </c>
      <c r="T530" s="17" t="str">
        <f aca="false">IF($P530="","",$P530-$S530)</f>
        <v/>
      </c>
      <c r="U530" s="17" t="str">
        <f aca="false">IF($T530="","",IF($B$10=0,"",$T530/$B$10))</f>
        <v/>
      </c>
      <c r="V530" s="17" t="str">
        <f aca="false">IF($P530="","",IF($B$10=0,"",$P530/$B$10))</f>
        <v/>
      </c>
      <c r="W530" s="19" t="n">
        <f aca="false">IF($T530="",1000000000000000,$T530)</f>
        <v/>
      </c>
      <c r="XFB530" s="6"/>
      <c r="XFC530" s="3"/>
    </row>
    <row r="531" s="6" collapsed="false" customFormat="true" customHeight="true" hidden="false" ht="28.6" outlineLevel="0">
      <c r="A531" s="16" t="str">
        <f aca="false">IF($T531="","",1+COUNTIF($W$15:$W$894,"&lt;"&amp;W531))</f>
        <v/>
      </c>
      <c r="B531" s="16" t="s">
        <v>12</v>
      </c>
      <c r="C531" s="16" t="s">
        <v>1260</v>
      </c>
      <c r="D531" s="20" t="s">
        <v>95</v>
      </c>
      <c r="E531" s="16" t="s">
        <v>26</v>
      </c>
      <c r="F531" s="16" t="s">
        <v>1261</v>
      </c>
      <c r="G531" s="17">
        <v>1765</v>
      </c>
      <c r="H531" s="17"/>
      <c r="I531" s="17"/>
      <c r="J531" s="17">
        <v>1765</v>
      </c>
      <c r="K531" s="17" t="n">
        <f aca="false">IF(AND(IFERROR(SEARCH("현대오일뱅크",$C531),0)&gt;0,IFERROR(SEARCH("직영",$C531),0)&gt;0),$B$13,0)</f>
        <v/>
      </c>
      <c r="L531" s="17" t="n">
        <f aca="false">IF($G531="","",$G531+$K531)</f>
        <v/>
      </c>
      <c r="M531" s="17" t="str">
        <f aca="false">IF($H531="","",$H531+$K531)</f>
        <v/>
      </c>
      <c r="N531" s="17" t="n">
        <f aca="false">IF($J531="","",$J531+$K531)</f>
        <v/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 t="str">
        <f aca="false">IF($B$10=0,"",IFERROR(IF($B$4&gt;0,IF($L531="",1/0,$L531*$B$4),0)+IF($B$5&gt;0,IF($M531="",1/0,$M531*$B$5),0)+IF($B$6&gt;0,IF($N531="",1/0,$N531*$B$6),0),""))</f>
        <v/>
      </c>
      <c r="Q531" s="17"/>
      <c r="R531" s="18" t="str">
        <f aca="false">IF($P531="","",IF($Q531="Y",IFERROR(VLOOKUP($B531,$C$4:$D$13,2,FALSE()),0),0))</f>
        <v/>
      </c>
      <c r="S531" s="17" t="str">
        <f aca="false">IF($P531="","",ROUNDDOWN($P531*$R531,0))</f>
        <v/>
      </c>
      <c r="T531" s="17" t="str">
        <f aca="false">IF($P531="","",$P531-$S531)</f>
        <v/>
      </c>
      <c r="U531" s="17" t="str">
        <f aca="false">IF($T531="","",IF($B$10=0,"",$T531/$B$10))</f>
        <v/>
      </c>
      <c r="V531" s="17" t="str">
        <f aca="false">IF($P531="","",IF($B$10=0,"",$P531/$B$10))</f>
        <v/>
      </c>
      <c r="W531" s="19" t="n">
        <f aca="false">IF($T531="",1000000000000000,$T531)</f>
        <v/>
      </c>
      <c r="XFC531" s="3"/>
    </row>
    <row r="532" s="6" collapsed="false" customFormat="true" customHeight="true" hidden="false" ht="28.6" outlineLevel="0">
      <c r="A532" s="16" t="str">
        <f aca="false">IF($T532="","",1+COUNTIF($W$15:$W$894,"&lt;"&amp;W532))</f>
        <v/>
      </c>
      <c r="B532" s="16" t="s">
        <v>12</v>
      </c>
      <c r="C532" s="16" t="s">
        <v>1064</v>
      </c>
      <c r="D532" s="20" t="s">
        <v>95</v>
      </c>
      <c r="E532" s="16" t="s">
        <v>26</v>
      </c>
      <c r="F532" s="16" t="s">
        <v>1065</v>
      </c>
      <c r="G532" s="17">
        <v>1765</v>
      </c>
      <c r="H532" s="17"/>
      <c r="I532" s="17"/>
      <c r="J532" s="17">
        <v>1765</v>
      </c>
      <c r="K532" s="17" t="n">
        <f aca="false">IF(AND(IFERROR(SEARCH("현대오일뱅크",$C532),0)&gt;0,IFERROR(SEARCH("직영",$C532),0)&gt;0),$B$13,0)</f>
        <v/>
      </c>
      <c r="L532" s="17" t="n">
        <f aca="false">IF($G532="","",$G532+$K532)</f>
        <v/>
      </c>
      <c r="M532" s="17" t="str">
        <f aca="false">IF($H532="","",$H532+$K532)</f>
        <v/>
      </c>
      <c r="N532" s="17" t="n">
        <f aca="false">IF($J532="","",$J532+$K532)</f>
        <v/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 t="str">
        <f aca="false">IF($B$10=0,"",IFERROR(IF($B$4&gt;0,IF($L532="",1/0,$L532*$B$4),0)+IF($B$5&gt;0,IF($M532="",1/0,$M532*$B$5),0)+IF($B$6&gt;0,IF($N532="",1/0,$N532*$B$6),0),""))</f>
        <v/>
      </c>
      <c r="Q532" s="17"/>
      <c r="R532" s="18" t="str">
        <f aca="false">IF($P532="","",IF($Q532="Y",IFERROR(VLOOKUP($B532,$C$4:$D$13,2,FALSE()),0),0))</f>
        <v/>
      </c>
      <c r="S532" s="17" t="str">
        <f aca="false">IF($P532="","",ROUNDDOWN($P532*$R532,0))</f>
        <v/>
      </c>
      <c r="T532" s="17" t="str">
        <f aca="false">IF($P532="","",$P532-$S532)</f>
        <v/>
      </c>
      <c r="U532" s="17" t="str">
        <f aca="false">IF($T532="","",IF($B$10=0,"",$T532/$B$10))</f>
        <v/>
      </c>
      <c r="V532" s="17" t="str">
        <f aca="false">IF($P532="","",IF($B$10=0,"",$P532/$B$10))</f>
        <v/>
      </c>
      <c r="W532" s="19" t="n">
        <f aca="false">IF($T532="",1000000000000000,$T532)</f>
        <v/>
      </c>
      <c r="XFC532" s="3"/>
    </row>
    <row r="533" s="6" collapsed="false" customFormat="true" customHeight="true" hidden="false" ht="28.6" outlineLevel="0">
      <c r="A533" s="16" t="str">
        <f aca="false">IF($T533="","",1+COUNTIF($W$15:$W$894,"&lt;"&amp;W533))</f>
        <v/>
      </c>
      <c r="B533" s="16" t="s">
        <v>12</v>
      </c>
      <c r="C533" s="16" t="s">
        <v>1066</v>
      </c>
      <c r="D533" s="20" t="s">
        <v>95</v>
      </c>
      <c r="E533" s="16" t="s">
        <v>26</v>
      </c>
      <c r="F533" s="16" t="s">
        <v>1067</v>
      </c>
      <c r="G533" s="17">
        <v>1765</v>
      </c>
      <c r="H533" s="17"/>
      <c r="I533" s="17"/>
      <c r="J533" s="17">
        <v>1765</v>
      </c>
      <c r="K533" s="17" t="n">
        <f aca="false">IF(AND(IFERROR(SEARCH("현대오일뱅크",$C533),0)&gt;0,IFERROR(SEARCH("직영",$C533),0)&gt;0),$B$13,0)</f>
        <v/>
      </c>
      <c r="L533" s="17" t="n">
        <f aca="false">IF($G533="","",$G533+$K533)</f>
        <v/>
      </c>
      <c r="M533" s="17" t="str">
        <f aca="false">IF($H533="","",$H533+$K533)</f>
        <v/>
      </c>
      <c r="N533" s="17" t="n">
        <f aca="false">IF($J533="","",$J533+$K533)</f>
        <v/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 t="str">
        <f aca="false">IF($B$10=0,"",IFERROR(IF($B$4&gt;0,IF($L533="",1/0,$L533*$B$4),0)+IF($B$5&gt;0,IF($M533="",1/0,$M533*$B$5),0)+IF($B$6&gt;0,IF($N533="",1/0,$N533*$B$6),0),""))</f>
        <v/>
      </c>
      <c r="Q533" s="17"/>
      <c r="R533" s="18" t="str">
        <f aca="false">IF($P533="","",IF($Q533="Y",IFERROR(VLOOKUP($B533,$C$4:$D$13,2,FALSE()),0),0))</f>
        <v/>
      </c>
      <c r="S533" s="17" t="str">
        <f aca="false">IF($P533="","",ROUNDDOWN($P533*$R533,0))</f>
        <v/>
      </c>
      <c r="T533" s="17" t="str">
        <f aca="false">IF($P533="","",$P533-$S533)</f>
        <v/>
      </c>
      <c r="U533" s="17" t="str">
        <f aca="false">IF($T533="","",IF($B$10=0,"",$T533/$B$10))</f>
        <v/>
      </c>
      <c r="V533" s="17" t="str">
        <f aca="false">IF($P533="","",IF($B$10=0,"",$P533/$B$10))</f>
        <v/>
      </c>
      <c r="W533" s="19" t="n">
        <f aca="false">IF($T533="",1000000000000000,$T533)</f>
        <v/>
      </c>
      <c r="XFC533" s="3"/>
    </row>
    <row r="534" s="21" collapsed="false" customFormat="true" customHeight="true" hidden="false" ht="28.5" outlineLevel="0">
      <c r="A534" s="16" t="str">
        <f aca="false">IF($T534="","",1+COUNTIF($W$15:$W$894,"&lt;"&amp;W534))</f>
        <v/>
      </c>
      <c r="B534" s="16" t="s">
        <v>12</v>
      </c>
      <c r="C534" s="16" t="s">
        <v>1068</v>
      </c>
      <c r="D534" s="20" t="s">
        <v>45</v>
      </c>
      <c r="E534" s="16" t="s">
        <v>26</v>
      </c>
      <c r="F534" s="16" t="s">
        <v>1069</v>
      </c>
      <c r="G534" s="17">
        <v>1765</v>
      </c>
      <c r="H534" s="17"/>
      <c r="I534" s="17"/>
      <c r="J534" s="17">
        <v>1768</v>
      </c>
      <c r="K534" s="17" t="n">
        <f aca="false">IF(AND(IFERROR(SEARCH("현대오일뱅크",$C534),0)&gt;0,IFERROR(SEARCH("직영",$C534),0)&gt;0),$B$13,0)</f>
        <v/>
      </c>
      <c r="L534" s="17" t="n">
        <f aca="false">IF($G534="","",$G534+$K534)</f>
        <v/>
      </c>
      <c r="M534" s="17" t="str">
        <f aca="false">IF($H534="","",$H534+$K534)</f>
        <v/>
      </c>
      <c r="N534" s="17" t="n">
        <f aca="false">IF($J534="","",$J534+$K534)</f>
        <v/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 t="str">
        <f aca="false">IF($B$10=0,"",IFERROR(IF($B$4&gt;0,IF($L534="",1/0,$L534*$B$4),0)+IF($B$5&gt;0,IF($M534="",1/0,$M534*$B$5),0)+IF($B$6&gt;0,IF($N534="",1/0,$N534*$B$6),0),""))</f>
        <v/>
      </c>
      <c r="Q534" s="17"/>
      <c r="R534" s="18" t="str">
        <f aca="false">IF($P534="","",IF($Q534="Y",IFERROR(VLOOKUP($B534,$C$4:$D$13,2,FALSE()),0),0))</f>
        <v/>
      </c>
      <c r="S534" s="17" t="str">
        <f aca="false">IF($P534="","",ROUNDDOWN($P534*$R534,0))</f>
        <v/>
      </c>
      <c r="T534" s="17" t="str">
        <f aca="false">IF($P534="","",$P534-$S534)</f>
        <v/>
      </c>
      <c r="U534" s="17" t="str">
        <f aca="false">IF($T534="","",IF($B$10=0,"",$T534/$B$10))</f>
        <v/>
      </c>
      <c r="V534" s="17" t="str">
        <f aca="false">IF($P534="","",IF($B$10=0,"",$P534/$B$10))</f>
        <v/>
      </c>
      <c r="W534" s="19" t="n">
        <f aca="false">IF($T534="",1000000000000000,$T534)</f>
        <v/>
      </c>
      <c r="XFB534" s="6"/>
      <c r="XFC534" s="3"/>
    </row>
    <row r="535" s="5" collapsed="false" customFormat="true" customHeight="true" hidden="false" ht="28.5" outlineLevel="0">
      <c r="A535" s="16" t="str">
        <f aca="false">IF($T535="","",1+COUNTIF($W$15:$W$894,"&lt;"&amp;W535))</f>
        <v/>
      </c>
      <c r="B535" s="16" t="s">
        <v>10</v>
      </c>
      <c r="C535" s="16" t="s">
        <v>684</v>
      </c>
      <c r="D535" s="16" t="s">
        <v>56</v>
      </c>
      <c r="E535" s="16" t="s">
        <v>26</v>
      </c>
      <c r="F535" s="16" t="s">
        <v>1072</v>
      </c>
      <c r="G535" s="17">
        <v>1769</v>
      </c>
      <c r="H535" s="17"/>
      <c r="I535" s="17"/>
      <c r="J535" s="17">
        <v>1759</v>
      </c>
      <c r="K535" s="17" t="n">
        <f aca="false">IF(AND(IFERROR(SEARCH("현대오일뱅크",$C535),0)&gt;0,IFERROR(SEARCH("직영",$C535),0)&gt;0),$B$13,0)</f>
        <v/>
      </c>
      <c r="L535" s="17" t="n">
        <f aca="false">IF($G535="","",$G535+$K535)</f>
        <v/>
      </c>
      <c r="M535" s="17" t="str">
        <f aca="false">IF($H535="","",$H535+$K535)</f>
        <v/>
      </c>
      <c r="N535" s="17" t="n">
        <f aca="false">IF($J535="","",$J535+$K535)</f>
        <v/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 t="str">
        <f aca="false">IF($B$10=0,"",IFERROR(IF($B$4&gt;0,IF($L535="",1/0,$L535*$B$4),0)+IF($B$5&gt;0,IF($M535="",1/0,$M535*$B$5),0)+IF($B$6&gt;0,IF($N535="",1/0,$N535*$B$6),0),""))</f>
        <v/>
      </c>
      <c r="Q535" s="17"/>
      <c r="R535" s="18" t="str">
        <f aca="false">IF($P535="","",IF($Q535="Y",IFERROR(VLOOKUP($B535,$C$4:$D$13,2,FALSE()),0),0))</f>
        <v/>
      </c>
      <c r="S535" s="17" t="str">
        <f aca="false">IF($P535="","",ROUNDDOWN($P535*$R535,0))</f>
        <v/>
      </c>
      <c r="T535" s="17" t="str">
        <f aca="false">IF($P535="","",$P535-$S535)</f>
        <v/>
      </c>
      <c r="U535" s="17" t="str">
        <f aca="false">IF($T535="","",IF($B$10=0,"",$T535/$B$10))</f>
        <v/>
      </c>
      <c r="V535" s="17" t="str">
        <f aca="false">IF($P535="","",IF($B$10=0,"",$P535/$B$10))</f>
        <v/>
      </c>
      <c r="W535" s="19" t="n">
        <f aca="false">IF($T535="",1000000000000000,$T535)</f>
        <v/>
      </c>
      <c r="XFB535" s="6"/>
      <c r="XFC535" s="3"/>
    </row>
    <row r="536" s="21" collapsed="false" customFormat="true" customHeight="true" hidden="false" ht="28.5" outlineLevel="0">
      <c r="A536" s="16" t="str">
        <f aca="false">IF($T536="","",1+COUNTIF($W$15:$W$894,"&lt;"&amp;W536))</f>
        <v/>
      </c>
      <c r="B536" s="16" t="s">
        <v>8</v>
      </c>
      <c r="C536" s="16" t="s">
        <v>1058</v>
      </c>
      <c r="D536" s="20" t="s">
        <v>86</v>
      </c>
      <c r="E536" s="16" t="s">
        <v>26</v>
      </c>
      <c r="F536" s="16" t="s">
        <v>1059</v>
      </c>
      <c r="G536" s="17">
        <v>1769</v>
      </c>
      <c r="H536" s="17"/>
      <c r="I536" s="17"/>
      <c r="J536" s="17">
        <v>1769</v>
      </c>
      <c r="K536" s="17" t="n">
        <f aca="false">IF(AND(IFERROR(SEARCH("현대오일뱅크",$C536),0)&gt;0,IFERROR(SEARCH("직영",$C536),0)&gt;0),$B$13,0)</f>
        <v/>
      </c>
      <c r="L536" s="17" t="n">
        <f aca="false">IF($G536="","",$G536+$K536)</f>
        <v/>
      </c>
      <c r="M536" s="17" t="str">
        <f aca="false">IF($H536="","",$H536+$K536)</f>
        <v/>
      </c>
      <c r="N536" s="17" t="n">
        <f aca="false">IF($J536="","",$J536+$K536)</f>
        <v/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 t="str">
        <f aca="false">IF($B$10=0,"",IFERROR(IF($B$4&gt;0,IF($L536="",1/0,$L536*$B$4),0)+IF($B$5&gt;0,IF($M536="",1/0,$M536*$B$5),0)+IF($B$6&gt;0,IF($N536="",1/0,$N536*$B$6),0),""))</f>
        <v/>
      </c>
      <c r="Q536" s="17"/>
      <c r="R536" s="18" t="str">
        <f aca="false">IF($P536="","",IF($Q536="Y",IFERROR(VLOOKUP($B536,$C$4:$D$13,2,FALSE()),0),0))</f>
        <v/>
      </c>
      <c r="S536" s="17" t="str">
        <f aca="false">IF($P536="","",ROUNDDOWN($P536*$R536,0))</f>
        <v/>
      </c>
      <c r="T536" s="17" t="str">
        <f aca="false">IF($P536="","",$P536-$S536)</f>
        <v/>
      </c>
      <c r="U536" s="17" t="str">
        <f aca="false">IF($T536="","",IF($B$10=0,"",$T536/$B$10))</f>
        <v/>
      </c>
      <c r="V536" s="17" t="str">
        <f aca="false">IF($P536="","",IF($B$10=0,"",$P536/$B$10))</f>
        <v/>
      </c>
      <c r="W536" s="19" t="n">
        <f aca="false">IF($T536="",1000000000000000,$T536)</f>
        <v/>
      </c>
      <c r="XFB536" s="6"/>
      <c r="XFC536" s="3"/>
    </row>
    <row r="537" s="5" collapsed="false" customFormat="true" customHeight="true" hidden="false" ht="28.5" outlineLevel="0">
      <c r="A537" s="16" t="str">
        <f aca="false">IF($T537="","",1+COUNTIF($W$15:$W$894,"&lt;"&amp;W537))</f>
        <v/>
      </c>
      <c r="B537" s="16" t="s">
        <v>10</v>
      </c>
      <c r="C537" s="16" t="s">
        <v>1073</v>
      </c>
      <c r="D537" s="16" t="s">
        <v>51</v>
      </c>
      <c r="E537" s="16" t="s">
        <v>63</v>
      </c>
      <c r="F537" s="16" t="s">
        <v>1074</v>
      </c>
      <c r="G537" s="17">
        <v>1770</v>
      </c>
      <c r="H537" s="17"/>
      <c r="I537" s="17"/>
      <c r="J537" s="17">
        <v>1750</v>
      </c>
      <c r="K537" s="17" t="n">
        <f aca="false">IF(AND(IFERROR(SEARCH("현대오일뱅크",$C537),0)&gt;0,IFERROR(SEARCH("직영",$C537),0)&gt;0),$B$13,0)</f>
        <v/>
      </c>
      <c r="L537" s="17" t="n">
        <f aca="false">IF($G537="","",$G537+$K537)</f>
        <v/>
      </c>
      <c r="M537" s="17" t="str">
        <f aca="false">IF($H537="","",$H537+$K537)</f>
        <v/>
      </c>
      <c r="N537" s="17" t="n">
        <f aca="false">IF($J537="","",$J537+$K537)</f>
        <v/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 t="str">
        <f aca="false">IF($B$10=0,"",IFERROR(IF($B$4&gt;0,IF($L537="",1/0,$L537*$B$4),0)+IF($B$5&gt;0,IF($M537="",1/0,$M537*$B$5),0)+IF($B$6&gt;0,IF($N537="",1/0,$N537*$B$6),0),""))</f>
        <v/>
      </c>
      <c r="Q537" s="17"/>
      <c r="R537" s="18" t="str">
        <f aca="false">IF($P537="","",IF($Q537="Y",IFERROR(VLOOKUP($B537,$C$4:$D$13,2,FALSE()),0),0))</f>
        <v/>
      </c>
      <c r="S537" s="17" t="str">
        <f aca="false">IF($P537="","",ROUNDDOWN($P537*$R537,0))</f>
        <v/>
      </c>
      <c r="T537" s="17" t="str">
        <f aca="false">IF($P537="","",$P537-$S537)</f>
        <v/>
      </c>
      <c r="U537" s="17" t="str">
        <f aca="false">IF($T537="","",IF($B$10=0,"",$T537/$B$10))</f>
        <v/>
      </c>
      <c r="V537" s="17" t="str">
        <f aca="false">IF($P537="","",IF($B$10=0,"",$P537/$B$10))</f>
        <v/>
      </c>
      <c r="W537" s="19" t="n">
        <f aca="false">IF($T537="",1000000000000000,$T537)</f>
        <v/>
      </c>
      <c r="XFB537" s="6"/>
      <c r="XFC537" s="3"/>
    </row>
    <row r="538" s="21" collapsed="false" customFormat="true" customHeight="true" hidden="false" ht="28.5" outlineLevel="0">
      <c r="A538" s="16" t="str">
        <f aca="false">IF($T538="","",1+COUNTIF($W$15:$W$894,"&lt;"&amp;W538))</f>
        <v/>
      </c>
      <c r="B538" s="16" t="s">
        <v>8</v>
      </c>
      <c r="C538" s="16" t="s">
        <v>1075</v>
      </c>
      <c r="D538" s="16" t="s">
        <v>45</v>
      </c>
      <c r="E538" s="16" t="s">
        <v>26</v>
      </c>
      <c r="F538" s="16" t="s">
        <v>1076</v>
      </c>
      <c r="G538" s="17">
        <v>1770</v>
      </c>
      <c r="H538" s="17"/>
      <c r="I538" s="17"/>
      <c r="J538" s="17">
        <v>1765</v>
      </c>
      <c r="K538" s="17" t="n">
        <f aca="false">IF(AND(IFERROR(SEARCH("현대오일뱅크",$C538),0)&gt;0,IFERROR(SEARCH("직영",$C538),0)&gt;0),$B$13,0)</f>
        <v/>
      </c>
      <c r="L538" s="17" t="n">
        <f aca="false">IF($G538="","",$G538+$K538)</f>
        <v/>
      </c>
      <c r="M538" s="17" t="str">
        <f aca="false">IF($H538="","",$H538+$K538)</f>
        <v/>
      </c>
      <c r="N538" s="17" t="n">
        <f aca="false">IF($J538="","",$J538+$K538)</f>
        <v/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 t="str">
        <f aca="false">IF($B$10=0,"",IFERROR(IF($B$4&gt;0,IF($L538="",1/0,$L538*$B$4),0)+IF($B$5&gt;0,IF($M538="",1/0,$M538*$B$5),0)+IF($B$6&gt;0,IF($N538="",1/0,$N538*$B$6),0),""))</f>
        <v/>
      </c>
      <c r="Q538" s="17"/>
      <c r="R538" s="18" t="str">
        <f aca="false">IF($P538="","",IF($Q538="Y",IFERROR(VLOOKUP($B538,$C$4:$D$13,2,FALSE()),0),0))</f>
        <v/>
      </c>
      <c r="S538" s="17" t="str">
        <f aca="false">IF($P538="","",ROUNDDOWN($P538*$R538,0))</f>
        <v/>
      </c>
      <c r="T538" s="17" t="str">
        <f aca="false">IF($P538="","",$P538-$S538)</f>
        <v/>
      </c>
      <c r="U538" s="17" t="str">
        <f aca="false">IF($T538="","",IF($B$10=0,"",$T538/$B$10))</f>
        <v/>
      </c>
      <c r="V538" s="17" t="str">
        <f aca="false">IF($P538="","",IF($B$10=0,"",$P538/$B$10))</f>
        <v/>
      </c>
      <c r="W538" s="19" t="n">
        <f aca="false">IF($T538="",1000000000000000,$T538)</f>
        <v/>
      </c>
      <c r="XFB538" s="6"/>
      <c r="XFC538" s="3"/>
    </row>
    <row r="539" s="5" collapsed="false" customFormat="true" customHeight="true" hidden="false" ht="28.5" outlineLevel="0">
      <c r="A539" s="16" t="str">
        <f aca="false">IF($T539="","",1+COUNTIF($W$15:$W$894,"&lt;"&amp;W539))</f>
        <v/>
      </c>
      <c r="B539" s="16" t="s">
        <v>8</v>
      </c>
      <c r="C539" s="16" t="s">
        <v>1077</v>
      </c>
      <c r="D539" s="16" t="s">
        <v>51</v>
      </c>
      <c r="E539" s="16" t="s">
        <v>26</v>
      </c>
      <c r="F539" s="16" t="s">
        <v>1078</v>
      </c>
      <c r="G539" s="17">
        <v>1770</v>
      </c>
      <c r="H539" s="17"/>
      <c r="I539" s="17"/>
      <c r="J539" s="17">
        <v>1765</v>
      </c>
      <c r="K539" s="17" t="n">
        <f aca="false">IF(AND(IFERROR(SEARCH("현대오일뱅크",$C539),0)&gt;0,IFERROR(SEARCH("직영",$C539),0)&gt;0),$B$13,0)</f>
        <v/>
      </c>
      <c r="L539" s="17" t="n">
        <f aca="false">IF($G539="","",$G539+$K539)</f>
        <v/>
      </c>
      <c r="M539" s="17" t="str">
        <f aca="false">IF($H539="","",$H539+$K539)</f>
        <v/>
      </c>
      <c r="N539" s="17" t="n">
        <f aca="false">IF($J539="","",$J539+$K539)</f>
        <v/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 t="str">
        <f aca="false">IF($B$10=0,"",IFERROR(IF($B$4&gt;0,IF($L539="",1/0,$L539*$B$4),0)+IF($B$5&gt;0,IF($M539="",1/0,$M539*$B$5),0)+IF($B$6&gt;0,IF($N539="",1/0,$N539*$B$6),0),""))</f>
        <v/>
      </c>
      <c r="Q539" s="17"/>
      <c r="R539" s="18" t="str">
        <f aca="false">IF($P539="","",IF($Q539="Y",IFERROR(VLOOKUP($B539,$C$4:$D$13,2,FALSE()),0),0))</f>
        <v/>
      </c>
      <c r="S539" s="17" t="str">
        <f aca="false">IF($P539="","",ROUNDDOWN($P539*$R539,0))</f>
        <v/>
      </c>
      <c r="T539" s="17" t="str">
        <f aca="false">IF($P539="","",$P539-$S539)</f>
        <v/>
      </c>
      <c r="U539" s="17" t="str">
        <f aca="false">IF($T539="","",IF($B$10=0,"",$T539/$B$10))</f>
        <v/>
      </c>
      <c r="V539" s="17" t="str">
        <f aca="false">IF($P539="","",IF($B$10=0,"",$P539/$B$10))</f>
        <v/>
      </c>
      <c r="W539" s="19" t="n">
        <f aca="false">IF($T539="",1000000000000000,$T539)</f>
        <v/>
      </c>
      <c r="XFB539" s="6"/>
      <c r="XFC539" s="3"/>
    </row>
    <row r="540" s="5" collapsed="false" customFormat="true" customHeight="true" hidden="false" ht="28.5" outlineLevel="0">
      <c r="A540" s="16" t="str">
        <f aca="false">IF($T540="","",1+COUNTIF($W$15:$W$894,"&lt;"&amp;W540))</f>
        <v/>
      </c>
      <c r="B540" s="16" t="s">
        <v>8</v>
      </c>
      <c r="C540" s="16" t="s">
        <v>1079</v>
      </c>
      <c r="D540" s="16" t="s">
        <v>56</v>
      </c>
      <c r="E540" s="16" t="s">
        <v>26</v>
      </c>
      <c r="F540" s="16" t="s">
        <v>1080</v>
      </c>
      <c r="G540" s="17">
        <v>1770</v>
      </c>
      <c r="H540" s="17"/>
      <c r="I540" s="17"/>
      <c r="J540" s="17">
        <v>1765</v>
      </c>
      <c r="K540" s="17" t="n">
        <f aca="false">IF(AND(IFERROR(SEARCH("현대오일뱅크",$C540),0)&gt;0,IFERROR(SEARCH("직영",$C540),0)&gt;0),$B$13,0)</f>
        <v/>
      </c>
      <c r="L540" s="17" t="n">
        <f aca="false">IF($G540="","",$G540+$K540)</f>
        <v/>
      </c>
      <c r="M540" s="17" t="str">
        <f aca="false">IF($H540="","",$H540+$K540)</f>
        <v/>
      </c>
      <c r="N540" s="17" t="n">
        <f aca="false">IF($J540="","",$J540+$K540)</f>
        <v/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 t="str">
        <f aca="false">IF($B$10=0,"",IFERROR(IF($B$4&gt;0,IF($L540="",1/0,$L540*$B$4),0)+IF($B$5&gt;0,IF($M540="",1/0,$M540*$B$5),0)+IF($B$6&gt;0,IF($N540="",1/0,$N540*$B$6),0),""))</f>
        <v/>
      </c>
      <c r="Q540" s="17"/>
      <c r="R540" s="18" t="str">
        <f aca="false">IF($P540="","",IF($Q540="Y",IFERROR(VLOOKUP($B540,$C$4:$D$13,2,FALSE()),0),0))</f>
        <v/>
      </c>
      <c r="S540" s="17" t="str">
        <f aca="false">IF($P540="","",ROUNDDOWN($P540*$R540,0))</f>
        <v/>
      </c>
      <c r="T540" s="17" t="str">
        <f aca="false">IF($P540="","",$P540-$S540)</f>
        <v/>
      </c>
      <c r="U540" s="17" t="str">
        <f aca="false">IF($T540="","",IF($B$10=0,"",$T540/$B$10))</f>
        <v/>
      </c>
      <c r="V540" s="17" t="str">
        <f aca="false">IF($P540="","",IF($B$10=0,"",$P540/$B$10))</f>
        <v/>
      </c>
      <c r="W540" s="19" t="n">
        <f aca="false">IF($T540="",1000000000000000,$T540)</f>
        <v/>
      </c>
      <c r="XFB540" s="6"/>
      <c r="XFC540" s="3"/>
    </row>
    <row r="541" s="21" collapsed="false" customFormat="true" customHeight="true" hidden="false" ht="28.5" outlineLevel="0">
      <c r="A541" s="16" t="str">
        <f aca="false">IF($T541="","",1+COUNTIF($W$15:$W$894,"&lt;"&amp;W541))</f>
        <v/>
      </c>
      <c r="B541" s="16" t="s">
        <v>12</v>
      </c>
      <c r="C541" s="16" t="s">
        <v>1083</v>
      </c>
      <c r="D541" s="20" t="s">
        <v>51</v>
      </c>
      <c r="E541" s="16" t="s">
        <v>26</v>
      </c>
      <c r="F541" s="16" t="s">
        <v>1084</v>
      </c>
      <c r="G541" s="17">
        <v>1772</v>
      </c>
      <c r="H541" s="17"/>
      <c r="I541" s="17"/>
      <c r="J541" s="17">
        <v>1775</v>
      </c>
      <c r="K541" s="17" t="n">
        <f aca="false">IF(AND(IFERROR(SEARCH("현대오일뱅크",$C541),0)&gt;0,IFERROR(SEARCH("직영",$C541),0)&gt;0),$B$13,0)</f>
        <v/>
      </c>
      <c r="L541" s="17" t="n">
        <f aca="false">IF($G541="","",$G541+$K541)</f>
        <v/>
      </c>
      <c r="M541" s="17" t="str">
        <f aca="false">IF($H541="","",$H541+$K541)</f>
        <v/>
      </c>
      <c r="N541" s="17" t="n">
        <f aca="false">IF($J541="","",$J541+$K541)</f>
        <v/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 t="str">
        <f aca="false">IF($B$10=0,"",IFERROR(IF($B$4&gt;0,IF($L541="",1/0,$L541*$B$4),0)+IF($B$5&gt;0,IF($M541="",1/0,$M541*$B$5),0)+IF($B$6&gt;0,IF($N541="",1/0,$N541*$B$6),0),""))</f>
        <v/>
      </c>
      <c r="Q541" s="17"/>
      <c r="R541" s="18" t="str">
        <f aca="false">IF($P541="","",IF($Q541="Y",IFERROR(VLOOKUP($B541,$C$4:$D$13,2,FALSE()),0),0))</f>
        <v/>
      </c>
      <c r="S541" s="17" t="str">
        <f aca="false">IF($P541="","",ROUNDDOWN($P541*$R541,0))</f>
        <v/>
      </c>
      <c r="T541" s="17" t="str">
        <f aca="false">IF($P541="","",$P541-$S541)</f>
        <v/>
      </c>
      <c r="U541" s="17" t="str">
        <f aca="false">IF($T541="","",IF($B$10=0,"",$T541/$B$10))</f>
        <v/>
      </c>
      <c r="V541" s="17" t="str">
        <f aca="false">IF($P541="","",IF($B$10=0,"",$P541/$B$10))</f>
        <v/>
      </c>
      <c r="W541" s="19" t="n">
        <f aca="false">IF($T541="",1000000000000000,$T541)</f>
        <v/>
      </c>
      <c r="XFB541" s="6"/>
      <c r="XFC541" s="3"/>
    </row>
    <row r="542" s="6" collapsed="false" customFormat="true" customHeight="true" hidden="false" ht="28.6" outlineLevel="0">
      <c r="A542" s="16" t="str">
        <f aca="false">IF($T542="","",1+COUNTIF($W$15:$W$894,"&lt;"&amp;W542))</f>
        <v/>
      </c>
      <c r="B542" s="16" t="s">
        <v>12</v>
      </c>
      <c r="C542" s="16" t="s">
        <v>1085</v>
      </c>
      <c r="D542" s="20" t="s">
        <v>45</v>
      </c>
      <c r="E542" s="16" t="s">
        <v>26</v>
      </c>
      <c r="F542" s="16" t="s">
        <v>1086</v>
      </c>
      <c r="G542" s="17">
        <v>1773</v>
      </c>
      <c r="H542" s="17"/>
      <c r="I542" s="17"/>
      <c r="J542" s="17">
        <v>1775</v>
      </c>
      <c r="K542" s="17" t="n">
        <f aca="false">IF(AND(IFERROR(SEARCH("현대오일뱅크",$C542),0)&gt;0,IFERROR(SEARCH("직영",$C542),0)&gt;0),$B$13,0)</f>
        <v/>
      </c>
      <c r="L542" s="17" t="n">
        <f aca="false">IF($G542="","",$G542+$K542)</f>
        <v/>
      </c>
      <c r="M542" s="17" t="str">
        <f aca="false">IF($H542="","",$H542+$K542)</f>
        <v/>
      </c>
      <c r="N542" s="17" t="n">
        <f aca="false">IF($J542="","",$J542+$K542)</f>
        <v/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 t="str">
        <f aca="false">IF($B$10=0,"",IFERROR(IF($B$4&gt;0,IF($L542="",1/0,$L542*$B$4),0)+IF($B$5&gt;0,IF($M542="",1/0,$M542*$B$5),0)+IF($B$6&gt;0,IF($N542="",1/0,$N542*$B$6),0),""))</f>
        <v/>
      </c>
      <c r="Q542" s="17"/>
      <c r="R542" s="18" t="str">
        <f aca="false">IF($P542="","",IF($Q542="Y",IFERROR(VLOOKUP($B542,$C$4:$D$13,2,FALSE()),0),0))</f>
        <v/>
      </c>
      <c r="S542" s="17" t="str">
        <f aca="false">IF($P542="","",ROUNDDOWN($P542*$R542,0))</f>
        <v/>
      </c>
      <c r="T542" s="17" t="str">
        <f aca="false">IF($P542="","",$P542-$S542)</f>
        <v/>
      </c>
      <c r="U542" s="17" t="str">
        <f aca="false">IF($T542="","",IF($B$10=0,"",$T542/$B$10))</f>
        <v/>
      </c>
      <c r="V542" s="17" t="str">
        <f aca="false">IF($P542="","",IF($B$10=0,"",$P542/$B$10))</f>
        <v/>
      </c>
      <c r="W542" s="19" t="n">
        <f aca="false">IF($T542="",1000000000000000,$T542)</f>
        <v/>
      </c>
      <c r="XFC542" s="3"/>
    </row>
    <row r="543" s="21" collapsed="false" customFormat="true" customHeight="true" hidden="false" ht="28.5" outlineLevel="0">
      <c r="A543" s="16" t="str">
        <f aca="false">IF($T543="","",1+COUNTIF($W$15:$W$894,"&lt;"&amp;W543))</f>
        <v/>
      </c>
      <c r="B543" s="16" t="s">
        <v>18</v>
      </c>
      <c r="C543" s="16" t="s">
        <v>1089</v>
      </c>
      <c r="D543" s="16" t="s">
        <v>95</v>
      </c>
      <c r="E543" s="16" t="s">
        <v>26</v>
      </c>
      <c r="F543" s="16" t="s">
        <v>1090</v>
      </c>
      <c r="G543" s="17">
        <v>1774</v>
      </c>
      <c r="H543" s="17"/>
      <c r="I543" s="17"/>
      <c r="J543" s="17">
        <v>1774</v>
      </c>
      <c r="K543" s="17" t="n">
        <f aca="false">IF(AND(IFERROR(SEARCH("현대오일뱅크",$C543),0)&gt;0,IFERROR(SEARCH("직영",$C543),0)&gt;0),$B$13,0)</f>
        <v/>
      </c>
      <c r="L543" s="17" t="n">
        <f aca="false">IF($G543="","",$G543+$K543)</f>
        <v/>
      </c>
      <c r="M543" s="17" t="str">
        <f aca="false">IF($H543="","",$H543+$K543)</f>
        <v/>
      </c>
      <c r="N543" s="17" t="n">
        <f aca="false">IF($J543="","",$J543+$K543)</f>
        <v/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 t="str">
        <f aca="false">IF($B$10=0,"",IFERROR(IF($B$4&gt;0,IF($L543="",1/0,$L543*$B$4),0)+IF($B$5&gt;0,IF($M543="",1/0,$M543*$B$5),0)+IF($B$6&gt;0,IF($N543="",1/0,$N543*$B$6),0),""))</f>
        <v/>
      </c>
      <c r="Q543" s="17"/>
      <c r="R543" s="18" t="str">
        <f aca="false">IF($P543="","",IF($Q543="Y",IFERROR(VLOOKUP($B543,$C$4:$D$13,2,FALSE()),0),0))</f>
        <v/>
      </c>
      <c r="S543" s="17" t="str">
        <f aca="false">IF($P543="","",ROUNDDOWN($P543*$R543,0))</f>
        <v/>
      </c>
      <c r="T543" s="17" t="str">
        <f aca="false">IF($P543="","",$P543-$S543)</f>
        <v/>
      </c>
      <c r="U543" s="17" t="str">
        <f aca="false">IF($T543="","",IF($B$10=0,"",$T543/$B$10))</f>
        <v/>
      </c>
      <c r="V543" s="17" t="str">
        <f aca="false">IF($P543="","",IF($B$10=0,"",$P543/$B$10))</f>
        <v/>
      </c>
      <c r="W543" s="19" t="n">
        <f aca="false">IF($T543="",1000000000000000,$T543)</f>
        <v/>
      </c>
      <c r="XFB543" s="6"/>
      <c r="XFC543" s="3"/>
    </row>
    <row r="544" s="6" collapsed="false" customFormat="true" customHeight="true" hidden="false" ht="28.6" outlineLevel="0">
      <c r="A544" s="16" t="str">
        <f aca="false">IF($T544="","",1+COUNTIF($W$15:$W$894,"&lt;"&amp;W544))</f>
        <v/>
      </c>
      <c r="B544" s="16" t="s">
        <v>18</v>
      </c>
      <c r="C544" s="16" t="s">
        <v>1091</v>
      </c>
      <c r="D544" s="16" t="s">
        <v>45</v>
      </c>
      <c r="E544" s="16" t="s">
        <v>26</v>
      </c>
      <c r="F544" s="16" t="s">
        <v>1092</v>
      </c>
      <c r="G544" s="17">
        <v>1774</v>
      </c>
      <c r="H544" s="17"/>
      <c r="I544" s="17"/>
      <c r="J544" s="17">
        <v>1774</v>
      </c>
      <c r="K544" s="17" t="n">
        <f aca="false">IF(AND(IFERROR(SEARCH("현대오일뱅크",$C544),0)&gt;0,IFERROR(SEARCH("직영",$C544),0)&gt;0),$B$13,0)</f>
        <v/>
      </c>
      <c r="L544" s="17" t="n">
        <f aca="false">IF($G544="","",$G544+$K544)</f>
        <v/>
      </c>
      <c r="M544" s="17" t="str">
        <f aca="false">IF($H544="","",$H544+$K544)</f>
        <v/>
      </c>
      <c r="N544" s="17" t="n">
        <f aca="false">IF($J544="","",$J544+$K544)</f>
        <v/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 t="str">
        <f aca="false">IF($B$10=0,"",IFERROR(IF($B$4&gt;0,IF($L544="",1/0,$L544*$B$4),0)+IF($B$5&gt;0,IF($M544="",1/0,$M544*$B$5),0)+IF($B$6&gt;0,IF($N544="",1/0,$N544*$B$6),0),""))</f>
        <v/>
      </c>
      <c r="Q544" s="17"/>
      <c r="R544" s="18" t="str">
        <f aca="false">IF($P544="","",IF($Q544="Y",IFERROR(VLOOKUP($B544,$C$4:$D$13,2,FALSE()),0),0))</f>
        <v/>
      </c>
      <c r="S544" s="17" t="str">
        <f aca="false">IF($P544="","",ROUNDDOWN($P544*$R544,0))</f>
        <v/>
      </c>
      <c r="T544" s="17" t="str">
        <f aca="false">IF($P544="","",$P544-$S544)</f>
        <v/>
      </c>
      <c r="U544" s="17" t="str">
        <f aca="false">IF($T544="","",IF($B$10=0,"",$T544/$B$10))</f>
        <v/>
      </c>
      <c r="V544" s="17" t="str">
        <f aca="false">IF($P544="","",IF($B$10=0,"",$P544/$B$10))</f>
        <v/>
      </c>
      <c r="W544" s="19" t="n">
        <f aca="false">IF($T544="",1000000000000000,$T544)</f>
        <v/>
      </c>
      <c r="XFC544" s="3"/>
    </row>
    <row r="545" s="6" collapsed="false" customFormat="true" customHeight="true" hidden="false" ht="28.6" outlineLevel="0">
      <c r="A545" s="16" t="str">
        <f aca="false">IF($T545="","",1+COUNTIF($W$15:$W$894,"&lt;"&amp;W545))</f>
        <v/>
      </c>
      <c r="B545" s="16" t="s">
        <v>18</v>
      </c>
      <c r="C545" s="16" t="s">
        <v>1194</v>
      </c>
      <c r="D545" s="16" t="s">
        <v>45</v>
      </c>
      <c r="E545" s="16" t="s">
        <v>26</v>
      </c>
      <c r="F545" s="16" t="s">
        <v>1195</v>
      </c>
      <c r="G545" s="17">
        <v>1774</v>
      </c>
      <c r="H545" s="17"/>
      <c r="I545" s="17"/>
      <c r="J545" s="17">
        <v>1774</v>
      </c>
      <c r="K545" s="17" t="n">
        <f aca="false">IF(AND(IFERROR(SEARCH("현대오일뱅크",$C545),0)&gt;0,IFERROR(SEARCH("직영",$C545),0)&gt;0),$B$13,0)</f>
        <v/>
      </c>
      <c r="L545" s="17" t="n">
        <f aca="false">IF($G545="","",$G545+$K545)</f>
        <v/>
      </c>
      <c r="M545" s="17" t="str">
        <f aca="false">IF($H545="","",$H545+$K545)</f>
        <v/>
      </c>
      <c r="N545" s="17" t="n">
        <f aca="false">IF($J545="","",$J545+$K545)</f>
        <v/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 t="str">
        <f aca="false">IF($B$10=0,"",IFERROR(IF($B$4&gt;0,IF($L545="",1/0,$L545*$B$4),0)+IF($B$5&gt;0,IF($M545="",1/0,$M545*$B$5),0)+IF($B$6&gt;0,IF($N545="",1/0,$N545*$B$6),0),""))</f>
        <v/>
      </c>
      <c r="Q545" s="17"/>
      <c r="R545" s="18" t="str">
        <f aca="false">IF($P545="","",IF($Q545="Y",IFERROR(VLOOKUP($B545,$C$4:$D$13,2,FALSE()),0),0))</f>
        <v/>
      </c>
      <c r="S545" s="17" t="str">
        <f aca="false">IF($P545="","",ROUNDDOWN($P545*$R545,0))</f>
        <v/>
      </c>
      <c r="T545" s="17" t="str">
        <f aca="false">IF($P545="","",$P545-$S545)</f>
        <v/>
      </c>
      <c r="U545" s="17" t="str">
        <f aca="false">IF($T545="","",IF($B$10=0,"",$T545/$B$10))</f>
        <v/>
      </c>
      <c r="V545" s="17" t="str">
        <f aca="false">IF($P545="","",IF($B$10=0,"",$P545/$B$10))</f>
        <v/>
      </c>
      <c r="W545" s="19" t="n">
        <f aca="false">IF($T545="",1000000000000000,$T545)</f>
        <v/>
      </c>
      <c r="XFC545" s="3"/>
    </row>
    <row r="546" s="6" collapsed="false" customFormat="true" customHeight="true" hidden="false" ht="28.6" outlineLevel="0">
      <c r="A546" s="16" t="str">
        <f aca="false">IF($T546="","",1+COUNTIF($W$15:$W$894,"&lt;"&amp;W546))</f>
        <v/>
      </c>
      <c r="B546" s="16" t="s">
        <v>18</v>
      </c>
      <c r="C546" s="16" t="s">
        <v>1093</v>
      </c>
      <c r="D546" s="16" t="s">
        <v>95</v>
      </c>
      <c r="E546" s="16" t="s">
        <v>26</v>
      </c>
      <c r="F546" s="16" t="s">
        <v>1094</v>
      </c>
      <c r="G546" s="17">
        <v>1774</v>
      </c>
      <c r="H546" s="17"/>
      <c r="I546" s="17"/>
      <c r="J546" s="17">
        <v>1774</v>
      </c>
      <c r="K546" s="17" t="n">
        <f aca="false">IF(AND(IFERROR(SEARCH("현대오일뱅크",$C546),0)&gt;0,IFERROR(SEARCH("직영",$C546),0)&gt;0),$B$13,0)</f>
        <v/>
      </c>
      <c r="L546" s="17" t="n">
        <f aca="false">IF($G546="","",$G546+$K546)</f>
        <v/>
      </c>
      <c r="M546" s="17" t="str">
        <f aca="false">IF($H546="","",$H546+$K546)</f>
        <v/>
      </c>
      <c r="N546" s="17" t="n">
        <f aca="false">IF($J546="","",$J546+$K546)</f>
        <v/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 t="str">
        <f aca="false">IF($B$10=0,"",IFERROR(IF($B$4&gt;0,IF($L546="",1/0,$L546*$B$4),0)+IF($B$5&gt;0,IF($M546="",1/0,$M546*$B$5),0)+IF($B$6&gt;0,IF($N546="",1/0,$N546*$B$6),0),""))</f>
        <v/>
      </c>
      <c r="Q546" s="17"/>
      <c r="R546" s="18" t="str">
        <f aca="false">IF($P546="","",IF($Q546="Y",IFERROR(VLOOKUP($B546,$C$4:$D$13,2,FALSE()),0),0))</f>
        <v/>
      </c>
      <c r="S546" s="17" t="str">
        <f aca="false">IF($P546="","",ROUNDDOWN($P546*$R546,0))</f>
        <v/>
      </c>
      <c r="T546" s="17" t="str">
        <f aca="false">IF($P546="","",$P546-$S546)</f>
        <v/>
      </c>
      <c r="U546" s="17" t="str">
        <f aca="false">IF($T546="","",IF($B$10=0,"",$T546/$B$10))</f>
        <v/>
      </c>
      <c r="V546" s="17" t="str">
        <f aca="false">IF($P546="","",IF($B$10=0,"",$P546/$B$10))</f>
        <v/>
      </c>
      <c r="W546" s="19" t="n">
        <f aca="false">IF($T546="",1000000000000000,$T546)</f>
        <v/>
      </c>
      <c r="XFC546" s="3"/>
    </row>
    <row r="547" s="21" collapsed="false" customFormat="true" customHeight="true" hidden="false" ht="28.5" outlineLevel="0">
      <c r="A547" s="16" t="str">
        <f aca="false">IF($T547="","",1+COUNTIF($W$15:$W$894,"&lt;"&amp;W547))</f>
        <v/>
      </c>
      <c r="B547" s="16" t="s">
        <v>12</v>
      </c>
      <c r="C547" s="16" t="s">
        <v>1095</v>
      </c>
      <c r="D547" s="20" t="s">
        <v>95</v>
      </c>
      <c r="E547" s="16" t="s">
        <v>26</v>
      </c>
      <c r="F547" s="16" t="s">
        <v>1096</v>
      </c>
      <c r="G547" s="17">
        <v>1774</v>
      </c>
      <c r="H547" s="17"/>
      <c r="I547" s="17"/>
      <c r="J547" s="17">
        <v>1774</v>
      </c>
      <c r="K547" s="17" t="n">
        <f aca="false">IF(AND(IFERROR(SEARCH("현대오일뱅크",$C547),0)&gt;0,IFERROR(SEARCH("직영",$C547),0)&gt;0),$B$13,0)</f>
        <v/>
      </c>
      <c r="L547" s="17" t="n">
        <f aca="false">IF($G547="","",$G547+$K547)</f>
        <v/>
      </c>
      <c r="M547" s="17" t="str">
        <f aca="false">IF($H547="","",$H547+$K547)</f>
        <v/>
      </c>
      <c r="N547" s="17" t="n">
        <f aca="false">IF($J547="","",$J547+$K547)</f>
        <v/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 t="str">
        <f aca="false">IF($B$10=0,"",IFERROR(IF($B$4&gt;0,IF($L547="",1/0,$L547*$B$4),0)+IF($B$5&gt;0,IF($M547="",1/0,$M547*$B$5),0)+IF($B$6&gt;0,IF($N547="",1/0,$N547*$B$6),0),""))</f>
        <v/>
      </c>
      <c r="Q547" s="17"/>
      <c r="R547" s="18" t="str">
        <f aca="false">IF($P547="","",IF($Q547="Y",IFERROR(VLOOKUP($B547,$C$4:$D$13,2,FALSE()),0),0))</f>
        <v/>
      </c>
      <c r="S547" s="17" t="str">
        <f aca="false">IF($P547="","",ROUNDDOWN($P547*$R547,0))</f>
        <v/>
      </c>
      <c r="T547" s="17" t="str">
        <f aca="false">IF($P547="","",$P547-$S547)</f>
        <v/>
      </c>
      <c r="U547" s="17" t="str">
        <f aca="false">IF($T547="","",IF($B$10=0,"",$T547/$B$10))</f>
        <v/>
      </c>
      <c r="V547" s="17" t="str">
        <f aca="false">IF($P547="","",IF($B$10=0,"",$P547/$B$10))</f>
        <v/>
      </c>
      <c r="W547" s="19" t="n">
        <f aca="false">IF($T547="",1000000000000000,$T547)</f>
        <v/>
      </c>
      <c r="XFB547" s="6"/>
      <c r="XFC547" s="3"/>
    </row>
    <row r="548" s="6" collapsed="false" customFormat="true" customHeight="true" hidden="false" ht="28.6" outlineLevel="0">
      <c r="A548" s="16" t="str">
        <f aca="false">IF($T548="","",1+COUNTIF($W$15:$W$894,"&lt;"&amp;W548))</f>
        <v/>
      </c>
      <c r="B548" s="16" t="s">
        <v>14</v>
      </c>
      <c r="C548" s="16" t="s">
        <v>1097</v>
      </c>
      <c r="D548" s="16" t="s">
        <v>45</v>
      </c>
      <c r="E548" s="16" t="s">
        <v>26</v>
      </c>
      <c r="F548" s="16" t="s">
        <v>1098</v>
      </c>
      <c r="G548" s="17">
        <v>1775</v>
      </c>
      <c r="H548" s="17"/>
      <c r="I548" s="17"/>
      <c r="J548" s="17">
        <v>1769</v>
      </c>
      <c r="K548" s="17" t="n">
        <f aca="false">IF(AND(IFERROR(SEARCH("현대오일뱅크",$C548),0)&gt;0,IFERROR(SEARCH("직영",$C548),0)&gt;0),$B$13,0)</f>
        <v/>
      </c>
      <c r="L548" s="17" t="n">
        <f aca="false">IF($G548="","",$G548+$K548)</f>
        <v/>
      </c>
      <c r="M548" s="17" t="str">
        <f aca="false">IF($H548="","",$H548+$K548)</f>
        <v/>
      </c>
      <c r="N548" s="17" t="n">
        <f aca="false">IF($J548="","",$J548+$K548)</f>
        <v/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 t="str">
        <f aca="false">IF($B$10=0,"",IFERROR(IF($B$4&gt;0,IF($L548="",1/0,$L548*$B$4),0)+IF($B$5&gt;0,IF($M548="",1/0,$M548*$B$5),0)+IF($B$6&gt;0,IF($N548="",1/0,$N548*$B$6),0),""))</f>
        <v/>
      </c>
      <c r="Q548" s="17"/>
      <c r="R548" s="18" t="str">
        <f aca="false">IF($P548="","",IF($Q548="Y",IFERROR(VLOOKUP($B548,$C$4:$D$13,2,FALSE()),0),0))</f>
        <v/>
      </c>
      <c r="S548" s="17" t="str">
        <f aca="false">IF($P548="","",ROUNDDOWN($P548*$R548,0))</f>
        <v/>
      </c>
      <c r="T548" s="17" t="str">
        <f aca="false">IF($P548="","",$P548-$S548)</f>
        <v/>
      </c>
      <c r="U548" s="17" t="str">
        <f aca="false">IF($T548="","",IF($B$10=0,"",$T548/$B$10))</f>
        <v/>
      </c>
      <c r="V548" s="17" t="str">
        <f aca="false">IF($P548="","",IF($B$10=0,"",$P548/$B$10))</f>
        <v/>
      </c>
      <c r="W548" s="19" t="n">
        <f aca="false">IF($T548="",1000000000000000,$T548)</f>
        <v/>
      </c>
      <c r="XFC548" s="3"/>
    </row>
    <row r="549" s="6" collapsed="false" customFormat="true" customHeight="true" hidden="false" ht="28.6" outlineLevel="0">
      <c r="A549" s="16" t="str">
        <f aca="false">IF($T549="","",1+COUNTIF($W$15:$W$894,"&lt;"&amp;W549))</f>
        <v/>
      </c>
      <c r="B549" s="16" t="s">
        <v>14</v>
      </c>
      <c r="C549" s="16" t="s">
        <v>1099</v>
      </c>
      <c r="D549" s="16" t="s">
        <v>45</v>
      </c>
      <c r="E549" s="16" t="s">
        <v>26</v>
      </c>
      <c r="F549" s="16" t="s">
        <v>1100</v>
      </c>
      <c r="G549" s="17">
        <v>1775</v>
      </c>
      <c r="H549" s="17"/>
      <c r="I549" s="17"/>
      <c r="J549" s="17">
        <v>1769</v>
      </c>
      <c r="K549" s="17" t="n">
        <f aca="false">IF(AND(IFERROR(SEARCH("현대오일뱅크",$C549),0)&gt;0,IFERROR(SEARCH("직영",$C549),0)&gt;0),$B$13,0)</f>
        <v/>
      </c>
      <c r="L549" s="17" t="n">
        <f aca="false">IF($G549="","",$G549+$K549)</f>
        <v/>
      </c>
      <c r="M549" s="17" t="str">
        <f aca="false">IF($H549="","",$H549+$K549)</f>
        <v/>
      </c>
      <c r="N549" s="17" t="n">
        <f aca="false">IF($J549="","",$J549+$K549)</f>
        <v/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 t="str">
        <f aca="false">IF($B$10=0,"",IFERROR(IF($B$4&gt;0,IF($L549="",1/0,$L549*$B$4),0)+IF($B$5&gt;0,IF($M549="",1/0,$M549*$B$5),0)+IF($B$6&gt;0,IF($N549="",1/0,$N549*$B$6),0),""))</f>
        <v/>
      </c>
      <c r="Q549" s="17"/>
      <c r="R549" s="18" t="str">
        <f aca="false">IF($P549="","",IF($Q549="Y",IFERROR(VLOOKUP($B549,$C$4:$D$13,2,FALSE()),0),0))</f>
        <v/>
      </c>
      <c r="S549" s="17" t="str">
        <f aca="false">IF($P549="","",ROUNDDOWN($P549*$R549,0))</f>
        <v/>
      </c>
      <c r="T549" s="17" t="str">
        <f aca="false">IF($P549="","",$P549-$S549)</f>
        <v/>
      </c>
      <c r="U549" s="17" t="str">
        <f aca="false">IF($T549="","",IF($B$10=0,"",$T549/$B$10))</f>
        <v/>
      </c>
      <c r="V549" s="17" t="str">
        <f aca="false">IF($P549="","",IF($B$10=0,"",$P549/$B$10))</f>
        <v/>
      </c>
      <c r="W549" s="19" t="n">
        <f aca="false">IF($T549="",1000000000000000,$T549)</f>
        <v/>
      </c>
      <c r="XFC549" s="3"/>
    </row>
    <row r="550" s="6" collapsed="false" customFormat="true" customHeight="true" hidden="false" ht="28.6" outlineLevel="0">
      <c r="A550" s="16" t="str">
        <f aca="false">IF($T550="","",1+COUNTIF($W$15:$W$894,"&lt;"&amp;W550))</f>
        <v/>
      </c>
      <c r="B550" s="16" t="s">
        <v>12</v>
      </c>
      <c r="C550" s="16" t="s">
        <v>1305</v>
      </c>
      <c r="D550" s="20" t="s">
        <v>51</v>
      </c>
      <c r="E550" s="16" t="s">
        <v>26</v>
      </c>
      <c r="F550" s="16" t="s">
        <v>1306</v>
      </c>
      <c r="G550" s="17">
        <v>1775</v>
      </c>
      <c r="H550" s="17"/>
      <c r="I550" s="17"/>
      <c r="J550" s="17">
        <v>1769</v>
      </c>
      <c r="K550" s="17" t="n">
        <f aca="false">IF(AND(IFERROR(SEARCH("현대오일뱅크",$C550),0)&gt;0,IFERROR(SEARCH("직영",$C550),0)&gt;0),$B$13,0)</f>
        <v/>
      </c>
      <c r="L550" s="17" t="n">
        <f aca="false">IF($G550="","",$G550+$K550)</f>
        <v/>
      </c>
      <c r="M550" s="17" t="str">
        <f aca="false">IF($H550="","",$H550+$K550)</f>
        <v/>
      </c>
      <c r="N550" s="17" t="n">
        <f aca="false">IF($J550="","",$J550+$K550)</f>
        <v/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 t="str">
        <f aca="false">IF($B$10=0,"",IFERROR(IF($B$4&gt;0,IF($L550="",1/0,$L550*$B$4),0)+IF($B$5&gt;0,IF($M550="",1/0,$M550*$B$5),0)+IF($B$6&gt;0,IF($N550="",1/0,$N550*$B$6),0),""))</f>
        <v/>
      </c>
      <c r="Q550" s="17"/>
      <c r="R550" s="18" t="str">
        <f aca="false">IF($P550="","",IF($Q550="Y",IFERROR(VLOOKUP($B550,$C$4:$D$13,2,FALSE()),0),0))</f>
        <v/>
      </c>
      <c r="S550" s="17" t="str">
        <f aca="false">IF($P550="","",ROUNDDOWN($P550*$R550,0))</f>
        <v/>
      </c>
      <c r="T550" s="17" t="str">
        <f aca="false">IF($P550="","",$P550-$S550)</f>
        <v/>
      </c>
      <c r="U550" s="17" t="str">
        <f aca="false">IF($T550="","",IF($B$10=0,"",$T550/$B$10))</f>
        <v/>
      </c>
      <c r="V550" s="17" t="str">
        <f aca="false">IF($P550="","",IF($B$10=0,"",$P550/$B$10))</f>
        <v/>
      </c>
      <c r="W550" s="19" t="n">
        <f aca="false">IF($T550="",1000000000000000,$T550)</f>
        <v/>
      </c>
      <c r="XFC550" s="3"/>
    </row>
    <row r="551" s="6" collapsed="false" customFormat="true" customHeight="true" hidden="false" ht="28.6" outlineLevel="0">
      <c r="A551" s="16" t="str">
        <f aca="false">IF($T551="","",1+COUNTIF($W$15:$W$894,"&lt;"&amp;W551))</f>
        <v/>
      </c>
      <c r="B551" s="16" t="s">
        <v>12</v>
      </c>
      <c r="C551" s="16" t="s">
        <v>1107</v>
      </c>
      <c r="D551" s="20" t="s">
        <v>95</v>
      </c>
      <c r="E551" s="16" t="s">
        <v>26</v>
      </c>
      <c r="F551" s="16" t="s">
        <v>1108</v>
      </c>
      <c r="G551" s="17">
        <v>1775</v>
      </c>
      <c r="H551" s="17"/>
      <c r="I551" s="17"/>
      <c r="J551" s="17">
        <v>1775</v>
      </c>
      <c r="K551" s="17" t="n">
        <f aca="false">IF(AND(IFERROR(SEARCH("현대오일뱅크",$C551),0)&gt;0,IFERROR(SEARCH("직영",$C551),0)&gt;0),$B$13,0)</f>
        <v/>
      </c>
      <c r="L551" s="17" t="n">
        <f aca="false">IF($G551="","",$G551+$K551)</f>
        <v/>
      </c>
      <c r="M551" s="17" t="str">
        <f aca="false">IF($H551="","",$H551+$K551)</f>
        <v/>
      </c>
      <c r="N551" s="17" t="n">
        <f aca="false">IF($J551="","",$J551+$K551)</f>
        <v/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 t="str">
        <f aca="false">IF($B$10=0,"",IFERROR(IF($B$4&gt;0,IF($L551="",1/0,$L551*$B$4),0)+IF($B$5&gt;0,IF($M551="",1/0,$M551*$B$5),0)+IF($B$6&gt;0,IF($N551="",1/0,$N551*$B$6),0),""))</f>
        <v/>
      </c>
      <c r="Q551" s="17"/>
      <c r="R551" s="18" t="str">
        <f aca="false">IF($P551="","",IF($Q551="Y",IFERROR(VLOOKUP($B551,$C$4:$D$13,2,FALSE()),0),0))</f>
        <v/>
      </c>
      <c r="S551" s="17" t="str">
        <f aca="false">IF($P551="","",ROUNDDOWN($P551*$R551,0))</f>
        <v/>
      </c>
      <c r="T551" s="17" t="str">
        <f aca="false">IF($P551="","",$P551-$S551)</f>
        <v/>
      </c>
      <c r="U551" s="17" t="str">
        <f aca="false">IF($T551="","",IF($B$10=0,"",$T551/$B$10))</f>
        <v/>
      </c>
      <c r="V551" s="17" t="str">
        <f aca="false">IF($P551="","",IF($B$10=0,"",$P551/$B$10))</f>
        <v/>
      </c>
      <c r="W551" s="19" t="n">
        <f aca="false">IF($T551="",1000000000000000,$T551)</f>
        <v/>
      </c>
      <c r="XFC551" s="3"/>
    </row>
    <row r="552" s="21" collapsed="false" customFormat="true" customHeight="true" hidden="false" ht="28.5" outlineLevel="0">
      <c r="A552" s="16" t="str">
        <f aca="false">IF($T552="","",1+COUNTIF($W$15:$W$894,"&lt;"&amp;W552))</f>
        <v/>
      </c>
      <c r="B552" s="16" t="s">
        <v>12</v>
      </c>
      <c r="C552" s="16" t="s">
        <v>1101</v>
      </c>
      <c r="D552" s="20" t="s">
        <v>500</v>
      </c>
      <c r="E552" s="16" t="s">
        <v>26</v>
      </c>
      <c r="F552" s="16" t="s">
        <v>1102</v>
      </c>
      <c r="G552" s="17">
        <v>1775</v>
      </c>
      <c r="H552" s="17"/>
      <c r="I552" s="17"/>
      <c r="J552" s="17">
        <v>1775</v>
      </c>
      <c r="K552" s="17" t="n">
        <f aca="false">IF(AND(IFERROR(SEARCH("현대오일뱅크",$C552),0)&gt;0,IFERROR(SEARCH("직영",$C552),0)&gt;0),$B$13,0)</f>
        <v/>
      </c>
      <c r="L552" s="17" t="n">
        <f aca="false">IF($G552="","",$G552+$K552)</f>
        <v/>
      </c>
      <c r="M552" s="17" t="str">
        <f aca="false">IF($H552="","",$H552+$K552)</f>
        <v/>
      </c>
      <c r="N552" s="17" t="n">
        <f aca="false">IF($J552="","",$J552+$K552)</f>
        <v/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 t="str">
        <f aca="false">IF($B$10=0,"",IFERROR(IF($B$4&gt;0,IF($L552="",1/0,$L552*$B$4),0)+IF($B$5&gt;0,IF($M552="",1/0,$M552*$B$5),0)+IF($B$6&gt;0,IF($N552="",1/0,$N552*$B$6),0),""))</f>
        <v/>
      </c>
      <c r="Q552" s="17"/>
      <c r="R552" s="18" t="str">
        <f aca="false">IF($P552="","",IF($Q552="Y",IFERROR(VLOOKUP($B552,$C$4:$D$13,2,FALSE()),0),0))</f>
        <v/>
      </c>
      <c r="S552" s="17" t="str">
        <f aca="false">IF($P552="","",ROUNDDOWN($P552*$R552,0))</f>
        <v/>
      </c>
      <c r="T552" s="17" t="str">
        <f aca="false">IF($P552="","",$P552-$S552)</f>
        <v/>
      </c>
      <c r="U552" s="17" t="str">
        <f aca="false">IF($T552="","",IF($B$10=0,"",$T552/$B$10))</f>
        <v/>
      </c>
      <c r="V552" s="17" t="str">
        <f aca="false">IF($P552="","",IF($B$10=0,"",$P552/$B$10))</f>
        <v/>
      </c>
      <c r="W552" s="19" t="n">
        <f aca="false">IF($T552="",1000000000000000,$T552)</f>
        <v/>
      </c>
      <c r="XFB552" s="6"/>
      <c r="XFC552" s="3"/>
    </row>
    <row r="553" s="6" collapsed="false" customFormat="true" customHeight="true" hidden="false" ht="28.6" outlineLevel="0">
      <c r="A553" s="16" t="str">
        <f aca="false">IF($T553="","",1+COUNTIF($W$15:$W$894,"&lt;"&amp;W553))</f>
        <v/>
      </c>
      <c r="B553" s="16" t="s">
        <v>12</v>
      </c>
      <c r="C553" s="16" t="s">
        <v>1103</v>
      </c>
      <c r="D553" s="20" t="s">
        <v>45</v>
      </c>
      <c r="E553" s="16" t="s">
        <v>26</v>
      </c>
      <c r="F553" s="16" t="s">
        <v>1104</v>
      </c>
      <c r="G553" s="17">
        <v>1775</v>
      </c>
      <c r="H553" s="17"/>
      <c r="I553" s="17"/>
      <c r="J553" s="17">
        <v>1775</v>
      </c>
      <c r="K553" s="17" t="n">
        <f aca="false">IF(AND(IFERROR(SEARCH("현대오일뱅크",$C553),0)&gt;0,IFERROR(SEARCH("직영",$C553),0)&gt;0),$B$13,0)</f>
        <v/>
      </c>
      <c r="L553" s="17" t="n">
        <f aca="false">IF($G553="","",$G553+$K553)</f>
        <v/>
      </c>
      <c r="M553" s="17" t="str">
        <f aca="false">IF($H553="","",$H553+$K553)</f>
        <v/>
      </c>
      <c r="N553" s="17" t="n">
        <f aca="false">IF($J553="","",$J553+$K553)</f>
        <v/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 t="str">
        <f aca="false">IF($B$10=0,"",IFERROR(IF($B$4&gt;0,IF($L553="",1/0,$L553*$B$4),0)+IF($B$5&gt;0,IF($M553="",1/0,$M553*$B$5),0)+IF($B$6&gt;0,IF($N553="",1/0,$N553*$B$6),0),""))</f>
        <v/>
      </c>
      <c r="Q553" s="17"/>
      <c r="R553" s="18" t="str">
        <f aca="false">IF($P553="","",IF($Q553="Y",IFERROR(VLOOKUP($B553,$C$4:$D$13,2,FALSE()),0),0))</f>
        <v/>
      </c>
      <c r="S553" s="17" t="str">
        <f aca="false">IF($P553="","",ROUNDDOWN($P553*$R553,0))</f>
        <v/>
      </c>
      <c r="T553" s="17" t="str">
        <f aca="false">IF($P553="","",$P553-$S553)</f>
        <v/>
      </c>
      <c r="U553" s="17" t="str">
        <f aca="false">IF($T553="","",IF($B$10=0,"",$T553/$B$10))</f>
        <v/>
      </c>
      <c r="V553" s="17" t="str">
        <f aca="false">IF($P553="","",IF($B$10=0,"",$P553/$B$10))</f>
        <v/>
      </c>
      <c r="W553" s="19" t="n">
        <f aca="false">IF($T553="",1000000000000000,$T553)</f>
        <v/>
      </c>
      <c r="XFC553" s="3"/>
    </row>
    <row r="554" s="21" collapsed="false" customFormat="true" customHeight="true" hidden="false" ht="28.5" outlineLevel="0">
      <c r="A554" s="16" t="str">
        <f aca="false">IF($T554="","",1+COUNTIF($W$15:$W$894,"&lt;"&amp;W554))</f>
        <v/>
      </c>
      <c r="B554" s="16" t="s">
        <v>12</v>
      </c>
      <c r="C554" s="16" t="s">
        <v>1281</v>
      </c>
      <c r="D554" s="20" t="s">
        <v>45</v>
      </c>
      <c r="E554" s="16" t="s">
        <v>26</v>
      </c>
      <c r="F554" s="16" t="s">
        <v>1282</v>
      </c>
      <c r="G554" s="17">
        <v>1775</v>
      </c>
      <c r="H554" s="17"/>
      <c r="I554" s="17"/>
      <c r="J554" s="17">
        <v>1785</v>
      </c>
      <c r="K554" s="17" t="n">
        <f aca="false">IF(AND(IFERROR(SEARCH("현대오일뱅크",$C554),0)&gt;0,IFERROR(SEARCH("직영",$C554),0)&gt;0),$B$13,0)</f>
        <v/>
      </c>
      <c r="L554" s="17" t="n">
        <f aca="false">IF($G554="","",$G554+$K554)</f>
        <v/>
      </c>
      <c r="M554" s="17" t="str">
        <f aca="false">IF($H554="","",$H554+$K554)</f>
        <v/>
      </c>
      <c r="N554" s="17" t="n">
        <f aca="false">IF($J554="","",$J554+$K554)</f>
        <v/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 t="str">
        <f aca="false">IF($B$10=0,"",IFERROR(IF($B$4&gt;0,IF($L554="",1/0,$L554*$B$4),0)+IF($B$5&gt;0,IF($M554="",1/0,$M554*$B$5),0)+IF($B$6&gt;0,IF($N554="",1/0,$N554*$B$6),0),""))</f>
        <v/>
      </c>
      <c r="Q554" s="17"/>
      <c r="R554" s="18" t="str">
        <f aca="false">IF($P554="","",IF($Q554="Y",IFERROR(VLOOKUP($B554,$C$4:$D$13,2,FALSE()),0),0))</f>
        <v/>
      </c>
      <c r="S554" s="17" t="str">
        <f aca="false">IF($P554="","",ROUNDDOWN($P554*$R554,0))</f>
        <v/>
      </c>
      <c r="T554" s="17" t="str">
        <f aca="false">IF($P554="","",$P554-$S554)</f>
        <v/>
      </c>
      <c r="U554" s="17" t="str">
        <f aca="false">IF($T554="","",IF($B$10=0,"",$T554/$B$10))</f>
        <v/>
      </c>
      <c r="V554" s="17" t="str">
        <f aca="false">IF($P554="","",IF($B$10=0,"",$P554/$B$10))</f>
        <v/>
      </c>
      <c r="W554" s="19" t="n">
        <f aca="false">IF($T554="",1000000000000000,$T554)</f>
        <v/>
      </c>
      <c r="XFB554" s="6"/>
      <c r="XFC554" s="3"/>
    </row>
    <row r="555" s="6" collapsed="false" customFormat="true" customHeight="true" hidden="false" ht="28.6" outlineLevel="0">
      <c r="A555" s="16" t="str">
        <f aca="false">IF($T555="","",1+COUNTIF($W$15:$W$894,"&lt;"&amp;W555))</f>
        <v/>
      </c>
      <c r="B555" s="16" t="s">
        <v>12</v>
      </c>
      <c r="C555" s="16" t="s">
        <v>1105</v>
      </c>
      <c r="D555" s="20" t="s">
        <v>86</v>
      </c>
      <c r="E555" s="16" t="s">
        <v>26</v>
      </c>
      <c r="F555" s="16" t="s">
        <v>1106</v>
      </c>
      <c r="G555" s="17">
        <v>1775</v>
      </c>
      <c r="H555" s="17"/>
      <c r="I555" s="17"/>
      <c r="J555" s="17">
        <v>1785</v>
      </c>
      <c r="K555" s="17" t="n">
        <f aca="false">IF(AND(IFERROR(SEARCH("현대오일뱅크",$C555),0)&gt;0,IFERROR(SEARCH("직영",$C555),0)&gt;0),$B$13,0)</f>
        <v/>
      </c>
      <c r="L555" s="17" t="n">
        <f aca="false">IF($G555="","",$G555+$K555)</f>
        <v/>
      </c>
      <c r="M555" s="17" t="str">
        <f aca="false">IF($H555="","",$H555+$K555)</f>
        <v/>
      </c>
      <c r="N555" s="17" t="n">
        <f aca="false">IF($J555="","",$J555+$K555)</f>
        <v/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 t="str">
        <f aca="false">IF($B$10=0,"",IFERROR(IF($B$4&gt;0,IF($L555="",1/0,$L555*$B$4),0)+IF($B$5&gt;0,IF($M555="",1/0,$M555*$B$5),0)+IF($B$6&gt;0,IF($N555="",1/0,$N555*$B$6),0),""))</f>
        <v/>
      </c>
      <c r="Q555" s="17"/>
      <c r="R555" s="18" t="str">
        <f aca="false">IF($P555="","",IF($Q555="Y",IFERROR(VLOOKUP($B555,$C$4:$D$13,2,FALSE()),0),0))</f>
        <v/>
      </c>
      <c r="S555" s="17" t="str">
        <f aca="false">IF($P555="","",ROUNDDOWN($P555*$R555,0))</f>
        <v/>
      </c>
      <c r="T555" s="17" t="str">
        <f aca="false">IF($P555="","",$P555-$S555)</f>
        <v/>
      </c>
      <c r="U555" s="17" t="str">
        <f aca="false">IF($T555="","",IF($B$10=0,"",$T555/$B$10))</f>
        <v/>
      </c>
      <c r="V555" s="17" t="str">
        <f aca="false">IF($P555="","",IF($B$10=0,"",$P555/$B$10))</f>
        <v/>
      </c>
      <c r="W555" s="19" t="n">
        <f aca="false">IF($T555="",1000000000000000,$T555)</f>
        <v/>
      </c>
      <c r="XFC555" s="3"/>
    </row>
    <row r="556" s="6" collapsed="false" customFormat="true" customHeight="true" hidden="false" ht="28.6" outlineLevel="0">
      <c r="A556" s="16" t="str">
        <f aca="false">IF($T556="","",1+COUNTIF($W$15:$W$894,"&lt;"&amp;W556))</f>
        <v/>
      </c>
      <c r="B556" s="16" t="s">
        <v>12</v>
      </c>
      <c r="C556" s="16" t="s">
        <v>1109</v>
      </c>
      <c r="D556" s="20" t="s">
        <v>45</v>
      </c>
      <c r="E556" s="16" t="s">
        <v>26</v>
      </c>
      <c r="F556" s="16" t="s">
        <v>1110</v>
      </c>
      <c r="G556" s="17">
        <v>1775</v>
      </c>
      <c r="H556" s="17"/>
      <c r="I556" s="17"/>
      <c r="J556" s="17">
        <v>1785</v>
      </c>
      <c r="K556" s="17" t="n">
        <f aca="false">IF(AND(IFERROR(SEARCH("현대오일뱅크",$C556),0)&gt;0,IFERROR(SEARCH("직영",$C556),0)&gt;0),$B$13,0)</f>
        <v/>
      </c>
      <c r="L556" s="17" t="n">
        <f aca="false">IF($G556="","",$G556+$K556)</f>
        <v/>
      </c>
      <c r="M556" s="17" t="str">
        <f aca="false">IF($H556="","",$H556+$K556)</f>
        <v/>
      </c>
      <c r="N556" s="17" t="n">
        <f aca="false">IF($J556="","",$J556+$K556)</f>
        <v/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 t="str">
        <f aca="false">IF($B$10=0,"",IFERROR(IF($B$4&gt;0,IF($L556="",1/0,$L556*$B$4),0)+IF($B$5&gt;0,IF($M556="",1/0,$M556*$B$5),0)+IF($B$6&gt;0,IF($N556="",1/0,$N556*$B$6),0),""))</f>
        <v/>
      </c>
      <c r="Q556" s="17"/>
      <c r="R556" s="18" t="str">
        <f aca="false">IF($P556="","",IF($Q556="Y",IFERROR(VLOOKUP($B556,$C$4:$D$13,2,FALSE()),0),0))</f>
        <v/>
      </c>
      <c r="S556" s="17" t="str">
        <f aca="false">IF($P556="","",ROUNDDOWN($P556*$R556,0))</f>
        <v/>
      </c>
      <c r="T556" s="17" t="str">
        <f aca="false">IF($P556="","",$P556-$S556)</f>
        <v/>
      </c>
      <c r="U556" s="17" t="str">
        <f aca="false">IF($T556="","",IF($B$10=0,"",$T556/$B$10))</f>
        <v/>
      </c>
      <c r="V556" s="17" t="str">
        <f aca="false">IF($P556="","",IF($B$10=0,"",$P556/$B$10))</f>
        <v/>
      </c>
      <c r="W556" s="19" t="n">
        <f aca="false">IF($T556="",1000000000000000,$T556)</f>
        <v/>
      </c>
      <c r="XFC556" s="3"/>
    </row>
    <row r="557" s="6" collapsed="false" customFormat="true" customHeight="true" hidden="false" ht="28.6" outlineLevel="0">
      <c r="A557" s="16" t="str">
        <f aca="false">IF($T557="","",1+COUNTIF($W$15:$W$894,"&lt;"&amp;W557))</f>
        <v/>
      </c>
      <c r="B557" s="16" t="s">
        <v>14</v>
      </c>
      <c r="C557" s="16" t="s">
        <v>1111</v>
      </c>
      <c r="D557" s="20" t="s">
        <v>86</v>
      </c>
      <c r="E557" s="16" t="s">
        <v>63</v>
      </c>
      <c r="F557" s="16" t="s">
        <v>1112</v>
      </c>
      <c r="G557" s="17">
        <v>1776</v>
      </c>
      <c r="H557" s="17"/>
      <c r="I557" s="17"/>
      <c r="J557" s="17">
        <v>1787</v>
      </c>
      <c r="K557" s="17" t="n">
        <f aca="false">IF(AND(IFERROR(SEARCH("현대오일뱅크",$C557),0)&gt;0,IFERROR(SEARCH("직영",$C557),0)&gt;0),$B$13,0)</f>
        <v/>
      </c>
      <c r="L557" s="17" t="n">
        <f aca="false">IF($G557="","",$G557+$K557)</f>
        <v/>
      </c>
      <c r="M557" s="17" t="str">
        <f aca="false">IF($H557="","",$H557+$K557)</f>
        <v/>
      </c>
      <c r="N557" s="17" t="n">
        <f aca="false">IF($J557="","",$J557+$K557)</f>
        <v/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 t="str">
        <f aca="false">IF($B$10=0,"",IFERROR(IF($B$4&gt;0,IF($L557="",1/0,$L557*$B$4),0)+IF($B$5&gt;0,IF($M557="",1/0,$M557*$B$5),0)+IF($B$6&gt;0,IF($N557="",1/0,$N557*$B$6),0),""))</f>
        <v/>
      </c>
      <c r="Q557" s="17"/>
      <c r="R557" s="18" t="str">
        <f aca="false">IF($P557="","",IF($Q557="Y",IFERROR(VLOOKUP($B557,$C$4:$D$13,2,FALSE()),0),0))</f>
        <v/>
      </c>
      <c r="S557" s="17" t="str">
        <f aca="false">IF($P557="","",ROUNDDOWN($P557*$R557,0))</f>
        <v/>
      </c>
      <c r="T557" s="17" t="str">
        <f aca="false">IF($P557="","",$P557-$S557)</f>
        <v/>
      </c>
      <c r="U557" s="17" t="str">
        <f aca="false">IF($T557="","",IF($B$10=0,"",$T557/$B$10))</f>
        <v/>
      </c>
      <c r="V557" s="17" t="str">
        <f aca="false">IF($P557="","",IF($B$10=0,"",$P557/$B$10))</f>
        <v/>
      </c>
      <c r="W557" s="19" t="n">
        <f aca="false">IF($T557="",1000000000000000,$T557)</f>
        <v/>
      </c>
      <c r="XFC557" s="3"/>
    </row>
    <row r="558" s="6" collapsed="false" customFormat="true" customHeight="true" hidden="false" ht="28.6" outlineLevel="0">
      <c r="A558" s="16" t="str">
        <f aca="false">IF($T558="","",1+COUNTIF($W$15:$W$894,"&lt;"&amp;W558))</f>
        <v/>
      </c>
      <c r="B558" s="16" t="s">
        <v>14</v>
      </c>
      <c r="C558" s="16" t="s">
        <v>1113</v>
      </c>
      <c r="D558" s="16" t="s">
        <v>45</v>
      </c>
      <c r="E558" s="16" t="s">
        <v>26</v>
      </c>
      <c r="F558" s="16" t="s">
        <v>1114</v>
      </c>
      <c r="G558" s="17">
        <v>1776</v>
      </c>
      <c r="H558" s="17"/>
      <c r="I558" s="17"/>
      <c r="J558" s="17">
        <v>1787</v>
      </c>
      <c r="K558" s="17" t="n">
        <f aca="false">IF(AND(IFERROR(SEARCH("현대오일뱅크",$C558),0)&gt;0,IFERROR(SEARCH("직영",$C558),0)&gt;0),$B$13,0)</f>
        <v/>
      </c>
      <c r="L558" s="17" t="n">
        <f aca="false">IF($G558="","",$G558+$K558)</f>
        <v/>
      </c>
      <c r="M558" s="17" t="str">
        <f aca="false">IF($H558="","",$H558+$K558)</f>
        <v/>
      </c>
      <c r="N558" s="17" t="n">
        <f aca="false">IF($J558="","",$J558+$K558)</f>
        <v/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 t="str">
        <f aca="false">IF($B$10=0,"",IFERROR(IF($B$4&gt;0,IF($L558="",1/0,$L558*$B$4),0)+IF($B$5&gt;0,IF($M558="",1/0,$M558*$B$5),0)+IF($B$6&gt;0,IF($N558="",1/0,$N558*$B$6),0),""))</f>
        <v/>
      </c>
      <c r="Q558" s="17"/>
      <c r="R558" s="18" t="str">
        <f aca="false">IF($P558="","",IF($Q558="Y",IFERROR(VLOOKUP($B558,$C$4:$D$13,2,FALSE()),0),0))</f>
        <v/>
      </c>
      <c r="S558" s="17" t="str">
        <f aca="false">IF($P558="","",ROUNDDOWN($P558*$R558,0))</f>
        <v/>
      </c>
      <c r="T558" s="17" t="str">
        <f aca="false">IF($P558="","",$P558-$S558)</f>
        <v/>
      </c>
      <c r="U558" s="17" t="str">
        <f aca="false">IF($T558="","",IF($B$10=0,"",$T558/$B$10))</f>
        <v/>
      </c>
      <c r="V558" s="17" t="str">
        <f aca="false">IF($P558="","",IF($B$10=0,"",$P558/$B$10))</f>
        <v/>
      </c>
      <c r="W558" s="19" t="n">
        <f aca="false">IF($T558="",1000000000000000,$T558)</f>
        <v/>
      </c>
      <c r="XFC558" s="3"/>
    </row>
    <row r="559" s="5" collapsed="false" customFormat="true" customHeight="true" hidden="false" ht="28.5" outlineLevel="0">
      <c r="A559" s="16" t="str">
        <f aca="false">IF($T559="","",1+COUNTIF($W$15:$W$894,"&lt;"&amp;W559))</f>
        <v/>
      </c>
      <c r="B559" s="16" t="s">
        <v>8</v>
      </c>
      <c r="C559" s="16" t="s">
        <v>1117</v>
      </c>
      <c r="D559" s="16" t="s">
        <v>51</v>
      </c>
      <c r="E559" s="16" t="s">
        <v>26</v>
      </c>
      <c r="F559" s="16" t="s">
        <v>1118</v>
      </c>
      <c r="G559" s="17">
        <v>1777</v>
      </c>
      <c r="H559" s="17"/>
      <c r="I559" s="17"/>
      <c r="J559" s="17">
        <v>1738</v>
      </c>
      <c r="K559" s="17" t="n">
        <f aca="false">IF(AND(IFERROR(SEARCH("현대오일뱅크",$C559),0)&gt;0,IFERROR(SEARCH("직영",$C559),0)&gt;0),$B$13,0)</f>
        <v/>
      </c>
      <c r="L559" s="17" t="n">
        <f aca="false">IF($G559="","",$G559+$K559)</f>
        <v/>
      </c>
      <c r="M559" s="17" t="str">
        <f aca="false">IF($H559="","",$H559+$K559)</f>
        <v/>
      </c>
      <c r="N559" s="17" t="n">
        <f aca="false">IF($J559="","",$J559+$K559)</f>
        <v/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 t="str">
        <f aca="false">IF($B$10=0,"",IFERROR(IF($B$4&gt;0,IF($L559="",1/0,$L559*$B$4),0)+IF($B$5&gt;0,IF($M559="",1/0,$M559*$B$5),0)+IF($B$6&gt;0,IF($N559="",1/0,$N559*$B$6),0),""))</f>
        <v/>
      </c>
      <c r="Q559" s="17"/>
      <c r="R559" s="18" t="str">
        <f aca="false">IF($P559="","",IF($Q559="Y",IFERROR(VLOOKUP($B559,$C$4:$D$13,2,FALSE()),0),0))</f>
        <v/>
      </c>
      <c r="S559" s="17" t="str">
        <f aca="false">IF($P559="","",ROUNDDOWN($P559*$R559,0))</f>
        <v/>
      </c>
      <c r="T559" s="17" t="str">
        <f aca="false">IF($P559="","",$P559-$S559)</f>
        <v/>
      </c>
      <c r="U559" s="17" t="str">
        <f aca="false">IF($T559="","",IF($B$10=0,"",$T559/$B$10))</f>
        <v/>
      </c>
      <c r="V559" s="17" t="str">
        <f aca="false">IF($P559="","",IF($B$10=0,"",$P559/$B$10))</f>
        <v/>
      </c>
      <c r="W559" s="19" t="n">
        <f aca="false">IF($T559="",1000000000000000,$T559)</f>
        <v/>
      </c>
      <c r="XFB559" s="6"/>
      <c r="XFC559" s="3"/>
    </row>
    <row r="560" s="21" collapsed="false" customFormat="true" customHeight="true" hidden="false" ht="28.5" outlineLevel="0">
      <c r="A560" s="16" t="str">
        <f aca="false">IF($T560="","",1+COUNTIF($W$15:$W$894,"&lt;"&amp;W560))</f>
        <v/>
      </c>
      <c r="B560" s="16" t="s">
        <v>18</v>
      </c>
      <c r="C560" s="16" t="s">
        <v>1115</v>
      </c>
      <c r="D560" s="20" t="s">
        <v>45</v>
      </c>
      <c r="E560" s="16" t="s">
        <v>26</v>
      </c>
      <c r="F560" s="16" t="s">
        <v>1116</v>
      </c>
      <c r="G560" s="17">
        <v>1777</v>
      </c>
      <c r="H560" s="17"/>
      <c r="I560" s="17"/>
      <c r="J560" s="17">
        <v>1777</v>
      </c>
      <c r="K560" s="17" t="n">
        <f aca="false">IF(AND(IFERROR(SEARCH("현대오일뱅크",$C560),0)&gt;0,IFERROR(SEARCH("직영",$C560),0)&gt;0),$B$13,0)</f>
        <v/>
      </c>
      <c r="L560" s="17" t="n">
        <f aca="false">IF($G560="","",$G560+$K560)</f>
        <v/>
      </c>
      <c r="M560" s="17" t="str">
        <f aca="false">IF($H560="","",$H560+$K560)</f>
        <v/>
      </c>
      <c r="N560" s="17" t="n">
        <f aca="false">IF($J560="","",$J560+$K560)</f>
        <v/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 t="str">
        <f aca="false">IF($B$10=0,"",IFERROR(IF($B$4&gt;0,IF($L560="",1/0,$L560*$B$4),0)+IF($B$5&gt;0,IF($M560="",1/0,$M560*$B$5),0)+IF($B$6&gt;0,IF($N560="",1/0,$N560*$B$6),0),""))</f>
        <v/>
      </c>
      <c r="Q560" s="17"/>
      <c r="R560" s="18" t="str">
        <f aca="false">IF($P560="","",IF($Q560="Y",IFERROR(VLOOKUP($B560,$C$4:$D$13,2,FALSE()),0),0))</f>
        <v/>
      </c>
      <c r="S560" s="17" t="str">
        <f aca="false">IF($P560="","",ROUNDDOWN($P560*$R560,0))</f>
        <v/>
      </c>
      <c r="T560" s="17" t="str">
        <f aca="false">IF($P560="","",$P560-$S560)</f>
        <v/>
      </c>
      <c r="U560" s="17" t="str">
        <f aca="false">IF($T560="","",IF($B$10=0,"",$T560/$B$10))</f>
        <v/>
      </c>
      <c r="V560" s="17" t="str">
        <f aca="false">IF($P560="","",IF($B$10=0,"",$P560/$B$10))</f>
        <v/>
      </c>
      <c r="W560" s="19" t="n">
        <f aca="false">IF($T560="",1000000000000000,$T560)</f>
        <v/>
      </c>
      <c r="XFB560" s="6"/>
      <c r="XFC560" s="3"/>
    </row>
    <row r="561" s="21" collapsed="false" customFormat="true" customHeight="true" hidden="false" ht="28.5" outlineLevel="0">
      <c r="A561" s="16" t="str">
        <f aca="false">IF($T561="","",1+COUNTIF($W$15:$W$894,"&lt;"&amp;W561))</f>
        <v/>
      </c>
      <c r="B561" s="16" t="s">
        <v>8</v>
      </c>
      <c r="C561" s="16" t="s">
        <v>1395</v>
      </c>
      <c r="D561" s="16" t="s">
        <v>500</v>
      </c>
      <c r="E561" s="16" t="s">
        <v>26</v>
      </c>
      <c r="F561" s="16" t="s">
        <v>1396</v>
      </c>
      <c r="G561" s="17">
        <v>1777</v>
      </c>
      <c r="H561" s="17"/>
      <c r="I561" s="17"/>
      <c r="J561" s="17">
        <v>1777</v>
      </c>
      <c r="K561" s="17" t="n">
        <f aca="false">IF(AND(IFERROR(SEARCH("현대오일뱅크",$C561),0)&gt;0,IFERROR(SEARCH("직영",$C561),0)&gt;0),$B$13,0)</f>
        <v/>
      </c>
      <c r="L561" s="17" t="n">
        <f aca="false">IF($G561="","",$G561+$K561)</f>
        <v/>
      </c>
      <c r="M561" s="17" t="str">
        <f aca="false">IF($H561="","",$H561+$K561)</f>
        <v/>
      </c>
      <c r="N561" s="17" t="n">
        <f aca="false">IF($J561="","",$J561+$K561)</f>
        <v/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 t="str">
        <f aca="false">IF($B$10=0,"",IFERROR(IF($B$4&gt;0,IF($L561="",1/0,$L561*$B$4),0)+IF($B$5&gt;0,IF($M561="",1/0,$M561*$B$5),0)+IF($B$6&gt;0,IF($N561="",1/0,$N561*$B$6),0),""))</f>
        <v/>
      </c>
      <c r="Q561" s="17"/>
      <c r="R561" s="18" t="str">
        <f aca="false">IF($P561="","",IF($Q561="Y",IFERROR(VLOOKUP($B561,$C$4:$D$13,2,FALSE()),0),0))</f>
        <v/>
      </c>
      <c r="S561" s="17" t="str">
        <f aca="false">IF($P561="","",ROUNDDOWN($P561*$R561,0))</f>
        <v/>
      </c>
      <c r="T561" s="17" t="str">
        <f aca="false">IF($P561="","",$P561-$S561)</f>
        <v/>
      </c>
      <c r="U561" s="17" t="str">
        <f aca="false">IF($T561="","",IF($B$10=0,"",$T561/$B$10))</f>
        <v/>
      </c>
      <c r="V561" s="17" t="str">
        <f aca="false">IF($P561="","",IF($B$10=0,"",$P561/$B$10))</f>
        <v/>
      </c>
      <c r="W561" s="19" t="n">
        <f aca="false">IF($T561="",1000000000000000,$T561)</f>
        <v/>
      </c>
      <c r="XFB561" s="6"/>
      <c r="XFC561" s="3"/>
    </row>
    <row r="562" s="5" collapsed="false" customFormat="true" customHeight="true" hidden="false" ht="28.5" outlineLevel="0">
      <c r="A562" s="16" t="str">
        <f aca="false">IF($T562="","",1+COUNTIF($W$15:$W$894,"&lt;"&amp;W562))</f>
        <v/>
      </c>
      <c r="B562" s="16" t="s">
        <v>10</v>
      </c>
      <c r="C562" s="16" t="s">
        <v>1164</v>
      </c>
      <c r="D562" s="16" t="s">
        <v>296</v>
      </c>
      <c r="E562" s="16" t="s">
        <v>26</v>
      </c>
      <c r="F562" s="16" t="s">
        <v>1165</v>
      </c>
      <c r="G562" s="17">
        <v>1777</v>
      </c>
      <c r="H562" s="17"/>
      <c r="I562" s="17"/>
      <c r="J562" s="17">
        <v>1777</v>
      </c>
      <c r="K562" s="17" t="n">
        <f aca="false">IF(AND(IFERROR(SEARCH("현대오일뱅크",$C562),0)&gt;0,IFERROR(SEARCH("직영",$C562),0)&gt;0),$B$13,0)</f>
        <v/>
      </c>
      <c r="L562" s="17" t="n">
        <f aca="false">IF($G562="","",$G562+$K562)</f>
        <v/>
      </c>
      <c r="M562" s="17" t="str">
        <f aca="false">IF($H562="","",$H562+$K562)</f>
        <v/>
      </c>
      <c r="N562" s="17" t="n">
        <f aca="false">IF($J562="","",$J562+$K562)</f>
        <v/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 t="str">
        <f aca="false">IF($B$10=0,"",IFERROR(IF($B$4&gt;0,IF($L562="",1/0,$L562*$B$4),0)+IF($B$5&gt;0,IF($M562="",1/0,$M562*$B$5),0)+IF($B$6&gt;0,IF($N562="",1/0,$N562*$B$6),0),""))</f>
        <v/>
      </c>
      <c r="Q562" s="17"/>
      <c r="R562" s="18" t="str">
        <f aca="false">IF($P562="","",IF($Q562="Y",IFERROR(VLOOKUP($B562,$C$4:$D$13,2,FALSE()),0),0))</f>
        <v/>
      </c>
      <c r="S562" s="17" t="str">
        <f aca="false">IF($P562="","",ROUNDDOWN($P562*$R562,0))</f>
        <v/>
      </c>
      <c r="T562" s="17" t="str">
        <f aca="false">IF($P562="","",$P562-$S562)</f>
        <v/>
      </c>
      <c r="U562" s="17" t="str">
        <f aca="false">IF($T562="","",IF($B$10=0,"",$T562/$B$10))</f>
        <v/>
      </c>
      <c r="V562" s="17" t="str">
        <f aca="false">IF($P562="","",IF($B$10=0,"",$P562/$B$10))</f>
        <v/>
      </c>
      <c r="W562" s="19" t="n">
        <f aca="false">IF($T562="",1000000000000000,$T562)</f>
        <v/>
      </c>
      <c r="XFB562" s="6"/>
      <c r="XFC562" s="3"/>
    </row>
    <row r="563" s="5" collapsed="false" customFormat="true" customHeight="true" hidden="false" ht="28.5" outlineLevel="0">
      <c r="A563" s="16" t="str">
        <f aca="false">IF($T563="","",1+COUNTIF($W$15:$W$894,"&lt;"&amp;W563))</f>
        <v/>
      </c>
      <c r="B563" s="16" t="s">
        <v>12</v>
      </c>
      <c r="C563" s="16" t="s">
        <v>1119</v>
      </c>
      <c r="D563" s="20" t="s">
        <v>95</v>
      </c>
      <c r="E563" s="16" t="s">
        <v>26</v>
      </c>
      <c r="F563" s="16" t="s">
        <v>1120</v>
      </c>
      <c r="G563" s="17">
        <v>1975</v>
      </c>
      <c r="H563" s="17"/>
      <c r="I563" s="17"/>
      <c r="J563" s="17">
        <v>1975</v>
      </c>
      <c r="K563" s="17" t="n">
        <f aca="false">IF(AND(IFERROR(SEARCH("현대오일뱅크",$C563),0)&gt;0,IFERROR(SEARCH("직영",$C563),0)&gt;0),$B$13,0)</f>
        <v/>
      </c>
      <c r="L563" s="17" t="n">
        <f aca="false">IF($G563="","",$G563+$K563)</f>
        <v/>
      </c>
      <c r="M563" s="17" t="str">
        <f aca="false">IF($H563="","",$H563+$K563)</f>
        <v/>
      </c>
      <c r="N563" s="17" t="n">
        <f aca="false">IF($J563="","",$J563+$K563)</f>
        <v/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 t="str">
        <f aca="false">IF($B$10=0,"",IFERROR(IF($B$4&gt;0,IF($L563="",1/0,$L563*$B$4),0)+IF($B$5&gt;0,IF($M563="",1/0,$M563*$B$5),0)+IF($B$6&gt;0,IF($N563="",1/0,$N563*$B$6),0),""))</f>
        <v/>
      </c>
      <c r="Q563" s="17" t="s">
        <v>47</v>
      </c>
      <c r="R563" s="18" t="str">
        <f aca="false">IF($P563="","",IF($Q563="Y",IFERROR(VLOOKUP($B563,$C$4:$D$13,2,FALSE()),0),0))</f>
        <v/>
      </c>
      <c r="S563" s="17" t="str">
        <f aca="false">IF($P563="","",ROUNDDOWN($P563*$R563,0))</f>
        <v/>
      </c>
      <c r="T563" s="17" t="str">
        <f aca="false">IF($P563="","",$P563-$S563)</f>
        <v/>
      </c>
      <c r="U563" s="17" t="str">
        <f aca="false">IF($T563="","",IF($B$10=0,"",$T563/$B$10))</f>
        <v/>
      </c>
      <c r="V563" s="17" t="str">
        <f aca="false">IF($P563="","",IF($B$10=0,"",$P563/$B$10))</f>
        <v/>
      </c>
      <c r="W563" s="19" t="n">
        <f aca="false">IF($T563="",1000000000000000,$T563)</f>
        <v/>
      </c>
      <c r="XFB563" s="6"/>
      <c r="XFC563" s="3"/>
    </row>
    <row r="564" s="6" collapsed="false" customFormat="true" customHeight="true" hidden="false" ht="28.6" outlineLevel="0">
      <c r="A564" s="16" t="str">
        <f aca="false">IF($T564="","",1+COUNTIF($W$15:$W$894,"&lt;"&amp;W564))</f>
        <v/>
      </c>
      <c r="B564" s="16" t="s">
        <v>12</v>
      </c>
      <c r="C564" s="16" t="s">
        <v>1192</v>
      </c>
      <c r="D564" s="20" t="s">
        <v>45</v>
      </c>
      <c r="E564" s="16" t="s">
        <v>26</v>
      </c>
      <c r="F564" s="16" t="s">
        <v>1193</v>
      </c>
      <c r="G564" s="17">
        <v>1778</v>
      </c>
      <c r="H564" s="17"/>
      <c r="I564" s="17"/>
      <c r="J564" s="17">
        <v>1765</v>
      </c>
      <c r="K564" s="17" t="n">
        <f aca="false">IF(AND(IFERROR(SEARCH("현대오일뱅크",$C564),0)&gt;0,IFERROR(SEARCH("직영",$C564),0)&gt;0),$B$13,0)</f>
        <v/>
      </c>
      <c r="L564" s="17" t="n">
        <f aca="false">IF($G564="","",$G564+$K564)</f>
        <v/>
      </c>
      <c r="M564" s="17" t="str">
        <f aca="false">IF($H564="","",$H564+$K564)</f>
        <v/>
      </c>
      <c r="N564" s="17" t="n">
        <f aca="false">IF($J564="","",$J564+$K564)</f>
        <v/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 t="str">
        <f aca="false">IF($B$10=0,"",IFERROR(IF($B$4&gt;0,IF($L564="",1/0,$L564*$B$4),0)+IF($B$5&gt;0,IF($M564="",1/0,$M564*$B$5),0)+IF($B$6&gt;0,IF($N564="",1/0,$N564*$B$6),0),""))</f>
        <v/>
      </c>
      <c r="Q564" s="17"/>
      <c r="R564" s="18" t="str">
        <f aca="false">IF($P564="","",IF($Q564="Y",IFERROR(VLOOKUP($B564,$C$4:$D$13,2,FALSE()),0),0))</f>
        <v/>
      </c>
      <c r="S564" s="17" t="str">
        <f aca="false">IF($P564="","",ROUNDDOWN($P564*$R564,0))</f>
        <v/>
      </c>
      <c r="T564" s="17" t="str">
        <f aca="false">IF($P564="","",$P564-$S564)</f>
        <v/>
      </c>
      <c r="U564" s="17" t="str">
        <f aca="false">IF($T564="","",IF($B$10=0,"",$T564/$B$10))</f>
        <v/>
      </c>
      <c r="V564" s="17" t="str">
        <f aca="false">IF($P564="","",IF($B$10=0,"",$P564/$B$10))</f>
        <v/>
      </c>
      <c r="W564" s="19" t="n">
        <f aca="false">IF($T564="",1000000000000000,$T564)</f>
        <v/>
      </c>
      <c r="XFC564" s="3"/>
    </row>
    <row r="565" s="21" collapsed="false" customFormat="true" customHeight="true" hidden="false" ht="28.5" outlineLevel="0">
      <c r="A565" s="16" t="str">
        <f aca="false">IF($T565="","",1+COUNTIF($W$15:$W$894,"&lt;"&amp;W565))</f>
        <v/>
      </c>
      <c r="B565" s="16" t="s">
        <v>14</v>
      </c>
      <c r="C565" s="16" t="s">
        <v>1121</v>
      </c>
      <c r="D565" s="16" t="s">
        <v>51</v>
      </c>
      <c r="E565" s="16" t="s">
        <v>26</v>
      </c>
      <c r="F565" s="16" t="s">
        <v>1122</v>
      </c>
      <c r="G565" s="17">
        <v>1778</v>
      </c>
      <c r="H565" s="17"/>
      <c r="I565" s="17"/>
      <c r="J565" s="17">
        <v>1868</v>
      </c>
      <c r="K565" s="17" t="n">
        <f aca="false">IF(AND(IFERROR(SEARCH("현대오일뱅크",$C565),0)&gt;0,IFERROR(SEARCH("직영",$C565),0)&gt;0),$B$13,0)</f>
        <v/>
      </c>
      <c r="L565" s="17" t="n">
        <f aca="false">IF($G565="","",$G565+$K565)</f>
        <v/>
      </c>
      <c r="M565" s="17" t="str">
        <f aca="false">IF($H565="","",$H565+$K565)</f>
        <v/>
      </c>
      <c r="N565" s="17" t="n">
        <f aca="false">IF($J565="","",$J565+$K565)</f>
        <v/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 t="str">
        <f aca="false">IF($B$10=0,"",IFERROR(IF($B$4&gt;0,IF($L565="",1/0,$L565*$B$4),0)+IF($B$5&gt;0,IF($M565="",1/0,$M565*$B$5),0)+IF($B$6&gt;0,IF($N565="",1/0,$N565*$B$6),0),""))</f>
        <v/>
      </c>
      <c r="Q565" s="17"/>
      <c r="R565" s="18" t="str">
        <f aca="false">IF($P565="","",IF($Q565="Y",IFERROR(VLOOKUP($B565,$C$4:$D$13,2,FALSE()),0),0))</f>
        <v/>
      </c>
      <c r="S565" s="17" t="str">
        <f aca="false">IF($P565="","",ROUNDDOWN($P565*$R565,0))</f>
        <v/>
      </c>
      <c r="T565" s="17" t="str">
        <f aca="false">IF($P565="","",$P565-$S565)</f>
        <v/>
      </c>
      <c r="U565" s="17" t="str">
        <f aca="false">IF($T565="","",IF($B$10=0,"",$T565/$B$10))</f>
        <v/>
      </c>
      <c r="V565" s="17" t="str">
        <f aca="false">IF($P565="","",IF($B$10=0,"",$P565/$B$10))</f>
        <v/>
      </c>
      <c r="W565" s="19" t="n">
        <f aca="false">IF($T565="",1000000000000000,$T565)</f>
        <v/>
      </c>
      <c r="XFB565" s="6"/>
      <c r="XFC565" s="3"/>
    </row>
    <row r="566" s="6" collapsed="false" customFormat="true" customHeight="true" hidden="false" ht="28.6" outlineLevel="0">
      <c r="A566" s="16" t="str">
        <f aca="false">IF($T566="","",1+COUNTIF($W$15:$W$894,"&lt;"&amp;W566))</f>
        <v/>
      </c>
      <c r="B566" s="16" t="s">
        <v>18</v>
      </c>
      <c r="C566" s="16" t="s">
        <v>1123</v>
      </c>
      <c r="D566" s="16" t="s">
        <v>45</v>
      </c>
      <c r="E566" s="16" t="s">
        <v>26</v>
      </c>
      <c r="F566" s="16" t="s">
        <v>1124</v>
      </c>
      <c r="G566" s="17">
        <v>1779</v>
      </c>
      <c r="H566" s="17"/>
      <c r="I566" s="17"/>
      <c r="J566" s="17">
        <v>1779</v>
      </c>
      <c r="K566" s="17" t="n">
        <f aca="false">IF(AND(IFERROR(SEARCH("현대오일뱅크",$C566),0)&gt;0,IFERROR(SEARCH("직영",$C566),0)&gt;0),$B$13,0)</f>
        <v/>
      </c>
      <c r="L566" s="17" t="n">
        <f aca="false">IF($G566="","",$G566+$K566)</f>
        <v/>
      </c>
      <c r="M566" s="17" t="str">
        <f aca="false">IF($H566="","",$H566+$K566)</f>
        <v/>
      </c>
      <c r="N566" s="17" t="n">
        <f aca="false">IF($J566="","",$J566+$K566)</f>
        <v/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 t="str">
        <f aca="false">IF($B$10=0,"",IFERROR(IF($B$4&gt;0,IF($L566="",1/0,$L566*$B$4),0)+IF($B$5&gt;0,IF($M566="",1/0,$M566*$B$5),0)+IF($B$6&gt;0,IF($N566="",1/0,$N566*$B$6),0),""))</f>
        <v/>
      </c>
      <c r="Q566" s="17"/>
      <c r="R566" s="18" t="str">
        <f aca="false">IF($P566="","",IF($Q566="Y",IFERROR(VLOOKUP($B566,$C$4:$D$13,2,FALSE()),0),0))</f>
        <v/>
      </c>
      <c r="S566" s="17" t="str">
        <f aca="false">IF($P566="","",ROUNDDOWN($P566*$R566,0))</f>
        <v/>
      </c>
      <c r="T566" s="17" t="str">
        <f aca="false">IF($P566="","",$P566-$S566)</f>
        <v/>
      </c>
      <c r="U566" s="17" t="str">
        <f aca="false">IF($T566="","",IF($B$10=0,"",$T566/$B$10))</f>
        <v/>
      </c>
      <c r="V566" s="17" t="str">
        <f aca="false">IF($P566="","",IF($B$10=0,"",$P566/$B$10))</f>
        <v/>
      </c>
      <c r="W566" s="19" t="n">
        <f aca="false">IF($T566="",1000000000000000,$T566)</f>
        <v/>
      </c>
      <c r="XFC566" s="3"/>
    </row>
    <row r="567" s="21" collapsed="false" customFormat="true" customHeight="true" hidden="false" ht="28.5" outlineLevel="0">
      <c r="A567" s="16" t="str">
        <f aca="false">IF($T567="","",1+COUNTIF($W$15:$W$894,"&lt;"&amp;W567))</f>
        <v/>
      </c>
      <c r="B567" s="16" t="s">
        <v>18</v>
      </c>
      <c r="C567" s="16" t="s">
        <v>1125</v>
      </c>
      <c r="D567" s="16" t="s">
        <v>56</v>
      </c>
      <c r="E567" s="16" t="s">
        <v>26</v>
      </c>
      <c r="F567" s="16" t="s">
        <v>1126</v>
      </c>
      <c r="G567" s="17">
        <v>1779</v>
      </c>
      <c r="H567" s="17"/>
      <c r="I567" s="17"/>
      <c r="J567" s="17">
        <v>1779</v>
      </c>
      <c r="K567" s="17" t="n">
        <f aca="false">IF(AND(IFERROR(SEARCH("현대오일뱅크",$C567),0)&gt;0,IFERROR(SEARCH("직영",$C567),0)&gt;0),$B$13,0)</f>
        <v/>
      </c>
      <c r="L567" s="17" t="n">
        <f aca="false">IF($G567="","",$G567+$K567)</f>
        <v/>
      </c>
      <c r="M567" s="17" t="str">
        <f aca="false">IF($H567="","",$H567+$K567)</f>
        <v/>
      </c>
      <c r="N567" s="17" t="n">
        <f aca="false">IF($J567="","",$J567+$K567)</f>
        <v/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 t="str">
        <f aca="false">IF($B$10=0,"",IFERROR(IF($B$4&gt;0,IF($L567="",1/0,$L567*$B$4),0)+IF($B$5&gt;0,IF($M567="",1/0,$M567*$B$5),0)+IF($B$6&gt;0,IF($N567="",1/0,$N567*$B$6),0),""))</f>
        <v/>
      </c>
      <c r="Q567" s="17"/>
      <c r="R567" s="18" t="str">
        <f aca="false">IF($P567="","",IF($Q567="Y",IFERROR(VLOOKUP($B567,$C$4:$D$13,2,FALSE()),0),0))</f>
        <v/>
      </c>
      <c r="S567" s="17" t="str">
        <f aca="false">IF($P567="","",ROUNDDOWN($P567*$R567,0))</f>
        <v/>
      </c>
      <c r="T567" s="17" t="str">
        <f aca="false">IF($P567="","",$P567-$S567)</f>
        <v/>
      </c>
      <c r="U567" s="17" t="str">
        <f aca="false">IF($T567="","",IF($B$10=0,"",$T567/$B$10))</f>
        <v/>
      </c>
      <c r="V567" s="17" t="str">
        <f aca="false">IF($P567="","",IF($B$10=0,"",$P567/$B$10))</f>
        <v/>
      </c>
      <c r="W567" s="19" t="n">
        <f aca="false">IF($T567="",1000000000000000,$T567)</f>
        <v/>
      </c>
      <c r="XFB567" s="6"/>
      <c r="XFC567" s="3"/>
    </row>
    <row r="568" s="5" collapsed="false" customFormat="true" customHeight="true" hidden="false" ht="28.5" outlineLevel="0">
      <c r="A568" s="16" t="str">
        <f aca="false">IF($T568="","",1+COUNTIF($W$15:$W$894,"&lt;"&amp;W568))</f>
        <v/>
      </c>
      <c r="B568" s="16" t="s">
        <v>10</v>
      </c>
      <c r="C568" s="16" t="s">
        <v>1180</v>
      </c>
      <c r="D568" s="16" t="s">
        <v>296</v>
      </c>
      <c r="E568" s="16" t="s">
        <v>26</v>
      </c>
      <c r="F568" s="16" t="s">
        <v>1181</v>
      </c>
      <c r="G568" s="17">
        <v>1779</v>
      </c>
      <c r="H568" s="17"/>
      <c r="I568" s="17"/>
      <c r="J568" s="17">
        <v>1779</v>
      </c>
      <c r="K568" s="17" t="n">
        <f aca="false">IF(AND(IFERROR(SEARCH("현대오일뱅크",$C568),0)&gt;0,IFERROR(SEARCH("직영",$C568),0)&gt;0),$B$13,0)</f>
        <v/>
      </c>
      <c r="L568" s="17" t="n">
        <f aca="false">IF($G568="","",$G568+$K568)</f>
        <v/>
      </c>
      <c r="M568" s="17" t="str">
        <f aca="false">IF($H568="","",$H568+$K568)</f>
        <v/>
      </c>
      <c r="N568" s="17" t="n">
        <f aca="false">IF($J568="","",$J568+$K568)</f>
        <v/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 t="str">
        <f aca="false">IF($B$10=0,"",IFERROR(IF($B$4&gt;0,IF($L568="",1/0,$L568*$B$4),0)+IF($B$5&gt;0,IF($M568="",1/0,$M568*$B$5),0)+IF($B$6&gt;0,IF($N568="",1/0,$N568*$B$6),0),""))</f>
        <v/>
      </c>
      <c r="Q568" s="17"/>
      <c r="R568" s="18" t="str">
        <f aca="false">IF($P568="","",IF($Q568="Y",IFERROR(VLOOKUP($B568,$C$4:$D$13,2,FALSE()),0),0))</f>
        <v/>
      </c>
      <c r="S568" s="17" t="str">
        <f aca="false">IF($P568="","",ROUNDDOWN($P568*$R568,0))</f>
        <v/>
      </c>
      <c r="T568" s="17" t="str">
        <f aca="false">IF($P568="","",$P568-$S568)</f>
        <v/>
      </c>
      <c r="U568" s="17" t="str">
        <f aca="false">IF($T568="","",IF($B$10=0,"",$T568/$B$10))</f>
        <v/>
      </c>
      <c r="V568" s="17" t="str">
        <f aca="false">IF($P568="","",IF($B$10=0,"",$P568/$B$10))</f>
        <v/>
      </c>
      <c r="W568" s="19" t="n">
        <f aca="false">IF($T568="",1000000000000000,$T568)</f>
        <v/>
      </c>
      <c r="XFB568" s="6"/>
      <c r="XFC568" s="3"/>
    </row>
    <row r="569" s="5" collapsed="false" customFormat="true" customHeight="true" hidden="false" ht="28.5" outlineLevel="0">
      <c r="A569" s="16" t="str">
        <f aca="false">IF($T569="","",1+COUNTIF($W$15:$W$894,"&lt;"&amp;W569))</f>
        <v/>
      </c>
      <c r="B569" s="16" t="s">
        <v>10</v>
      </c>
      <c r="C569" s="16" t="s">
        <v>1182</v>
      </c>
      <c r="D569" s="16" t="s">
        <v>296</v>
      </c>
      <c r="E569" s="16" t="s">
        <v>26</v>
      </c>
      <c r="F569" s="16" t="s">
        <v>1183</v>
      </c>
      <c r="G569" s="17">
        <v>1779</v>
      </c>
      <c r="H569" s="17"/>
      <c r="I569" s="17"/>
      <c r="J569" s="17">
        <v>1779</v>
      </c>
      <c r="K569" s="17" t="n">
        <f aca="false">IF(AND(IFERROR(SEARCH("현대오일뱅크",$C569),0)&gt;0,IFERROR(SEARCH("직영",$C569),0)&gt;0),$B$13,0)</f>
        <v/>
      </c>
      <c r="L569" s="17" t="n">
        <f aca="false">IF($G569="","",$G569+$K569)</f>
        <v/>
      </c>
      <c r="M569" s="17" t="str">
        <f aca="false">IF($H569="","",$H569+$K569)</f>
        <v/>
      </c>
      <c r="N569" s="17" t="n">
        <f aca="false">IF($J569="","",$J569+$K569)</f>
        <v/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 t="str">
        <f aca="false">IF($B$10=0,"",IFERROR(IF($B$4&gt;0,IF($L569="",1/0,$L569*$B$4),0)+IF($B$5&gt;0,IF($M569="",1/0,$M569*$B$5),0)+IF($B$6&gt;0,IF($N569="",1/0,$N569*$B$6),0),""))</f>
        <v/>
      </c>
      <c r="Q569" s="17"/>
      <c r="R569" s="18" t="str">
        <f aca="false">IF($P569="","",IF($Q569="Y",IFERROR(VLOOKUP($B569,$C$4:$D$13,2,FALSE()),0),0))</f>
        <v/>
      </c>
      <c r="S569" s="17" t="str">
        <f aca="false">IF($P569="","",ROUNDDOWN($P569*$R569,0))</f>
        <v/>
      </c>
      <c r="T569" s="17" t="str">
        <f aca="false">IF($P569="","",$P569-$S569)</f>
        <v/>
      </c>
      <c r="U569" s="17" t="str">
        <f aca="false">IF($T569="","",IF($B$10=0,"",$T569/$B$10))</f>
        <v/>
      </c>
      <c r="V569" s="17" t="str">
        <f aca="false">IF($P569="","",IF($B$10=0,"",$P569/$B$10))</f>
        <v/>
      </c>
      <c r="W569" s="19" t="n">
        <f aca="false">IF($T569="",1000000000000000,$T569)</f>
        <v/>
      </c>
      <c r="XFB569" s="6"/>
      <c r="XFC569" s="3"/>
    </row>
    <row r="570" s="5" collapsed="false" customFormat="true" customHeight="true" hidden="false" ht="28.5" outlineLevel="0">
      <c r="A570" s="16" t="str">
        <f aca="false">IF($T570="","",1+COUNTIF($W$15:$W$894,"&lt;"&amp;W570))</f>
        <v/>
      </c>
      <c r="B570" s="16" t="s">
        <v>10</v>
      </c>
      <c r="C570" s="16" t="s">
        <v>1127</v>
      </c>
      <c r="D570" s="16" t="s">
        <v>56</v>
      </c>
      <c r="E570" s="16" t="s">
        <v>26</v>
      </c>
      <c r="F570" s="16" t="s">
        <v>1128</v>
      </c>
      <c r="G570" s="17">
        <v>1779</v>
      </c>
      <c r="H570" s="17"/>
      <c r="I570" s="17"/>
      <c r="J570" s="17">
        <v>1779</v>
      </c>
      <c r="K570" s="17" t="n">
        <f aca="false">IF(AND(IFERROR(SEARCH("현대오일뱅크",$C570),0)&gt;0,IFERROR(SEARCH("직영",$C570),0)&gt;0),$B$13,0)</f>
        <v/>
      </c>
      <c r="L570" s="17" t="n">
        <f aca="false">IF($G570="","",$G570+$K570)</f>
        <v/>
      </c>
      <c r="M570" s="17" t="str">
        <f aca="false">IF($H570="","",$H570+$K570)</f>
        <v/>
      </c>
      <c r="N570" s="17" t="n">
        <f aca="false">IF($J570="","",$J570+$K570)</f>
        <v/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 t="str">
        <f aca="false">IF($B$10=0,"",IFERROR(IF($B$4&gt;0,IF($L570="",1/0,$L570*$B$4),0)+IF($B$5&gt;0,IF($M570="",1/0,$M570*$B$5),0)+IF($B$6&gt;0,IF($N570="",1/0,$N570*$B$6),0),""))</f>
        <v/>
      </c>
      <c r="Q570" s="17"/>
      <c r="R570" s="18" t="str">
        <f aca="false">IF($P570="","",IF($Q570="Y",IFERROR(VLOOKUP($B570,$C$4:$D$13,2,FALSE()),0),0))</f>
        <v/>
      </c>
      <c r="S570" s="17" t="str">
        <f aca="false">IF($P570="","",ROUNDDOWN($P570*$R570,0))</f>
        <v/>
      </c>
      <c r="T570" s="17" t="str">
        <f aca="false">IF($P570="","",$P570-$S570)</f>
        <v/>
      </c>
      <c r="U570" s="17" t="str">
        <f aca="false">IF($T570="","",IF($B$10=0,"",$T570/$B$10))</f>
        <v/>
      </c>
      <c r="V570" s="17" t="str">
        <f aca="false">IF($P570="","",IF($B$10=0,"",$P570/$B$10))</f>
        <v/>
      </c>
      <c r="W570" s="19" t="n">
        <f aca="false">IF($T570="",1000000000000000,$T570)</f>
        <v/>
      </c>
      <c r="XFB570" s="6"/>
      <c r="XFC570" s="3"/>
    </row>
    <row r="571" s="6" collapsed="false" customFormat="true" customHeight="true" hidden="false" ht="28.6" outlineLevel="0">
      <c r="A571" s="16" t="str">
        <f aca="false">IF($T571="","",1+COUNTIF($W$15:$W$894,"&lt;"&amp;W571))</f>
        <v/>
      </c>
      <c r="B571" s="16" t="s">
        <v>6</v>
      </c>
      <c r="C571" s="16" t="s">
        <v>1129</v>
      </c>
      <c r="D571" s="16" t="s">
        <v>95</v>
      </c>
      <c r="E571" s="16" t="s">
        <v>26</v>
      </c>
      <c r="F571" s="16" t="s">
        <v>1130</v>
      </c>
      <c r="G571" s="17">
        <v>1779</v>
      </c>
      <c r="H571" s="17"/>
      <c r="I571" s="17"/>
      <c r="J571" s="17">
        <v>1780</v>
      </c>
      <c r="K571" s="17" t="n">
        <f aca="false">IF(AND(IFERROR(SEARCH("현대오일뱅크",$C571),0)&gt;0,IFERROR(SEARCH("직영",$C571),0)&gt;0),$B$13,0)</f>
        <v/>
      </c>
      <c r="L571" s="17" t="n">
        <f aca="false">IF($G571="","",$G571+$K571)</f>
        <v/>
      </c>
      <c r="M571" s="17" t="str">
        <f aca="false">IF($H571="","",$H571+$K571)</f>
        <v/>
      </c>
      <c r="N571" s="17" t="n">
        <f aca="false">IF($J571="","",$J571+$K571)</f>
        <v/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 t="str">
        <f aca="false">IF($B$10=0,"",IFERROR(IF($B$4&gt;0,IF($L571="",1/0,$L571*$B$4),0)+IF($B$5&gt;0,IF($M571="",1/0,$M571*$B$5),0)+IF($B$6&gt;0,IF($N571="",1/0,$N571*$B$6),0),""))</f>
        <v/>
      </c>
      <c r="Q571" s="17"/>
      <c r="R571" s="18" t="str">
        <f aca="false">IF($P571="","",IF($Q571="Y",IFERROR(VLOOKUP($B571,$C$4:$D$13,2,FALSE()),0),0))</f>
        <v/>
      </c>
      <c r="S571" s="17" t="str">
        <f aca="false">IF($P571="","",ROUNDDOWN($P571*$R571,0))</f>
        <v/>
      </c>
      <c r="T571" s="17" t="str">
        <f aca="false">IF($P571="","",$P571-$S571)</f>
        <v/>
      </c>
      <c r="U571" s="17" t="str">
        <f aca="false">IF($T571="","",IF($B$10=0,"",$T571/$B$10))</f>
        <v/>
      </c>
      <c r="V571" s="17" t="str">
        <f aca="false">IF($P571="","",IF($B$10=0,"",$P571/$B$10))</f>
        <v/>
      </c>
      <c r="W571" s="19" t="n">
        <f aca="false">IF($T571="",1000000000000000,$T571)</f>
        <v/>
      </c>
      <c r="XFC571" s="3"/>
    </row>
    <row r="572" s="5" collapsed="false" customFormat="true" customHeight="true" hidden="false" ht="28.5" outlineLevel="0">
      <c r="A572" s="16" t="str">
        <f aca="false">IF($T572="","",1+COUNTIF($W$15:$W$894,"&lt;"&amp;W572))</f>
        <v/>
      </c>
      <c r="B572" s="16" t="s">
        <v>10</v>
      </c>
      <c r="C572" s="16" t="s">
        <v>1131</v>
      </c>
      <c r="D572" s="16" t="s">
        <v>500</v>
      </c>
      <c r="E572" s="16" t="s">
        <v>26</v>
      </c>
      <c r="F572" s="16" t="s">
        <v>1132</v>
      </c>
      <c r="G572" s="17">
        <v>1780</v>
      </c>
      <c r="H572" s="17"/>
      <c r="I572" s="17"/>
      <c r="J572" s="17">
        <v>1780</v>
      </c>
      <c r="K572" s="17" t="n">
        <f aca="false">IF(AND(IFERROR(SEARCH("현대오일뱅크",$C572),0)&gt;0,IFERROR(SEARCH("직영",$C572),0)&gt;0),$B$13,0)</f>
        <v/>
      </c>
      <c r="L572" s="17" t="n">
        <f aca="false">IF($G572="","",$G572+$K572)</f>
        <v/>
      </c>
      <c r="M572" s="17" t="str">
        <f aca="false">IF($H572="","",$H572+$K572)</f>
        <v/>
      </c>
      <c r="N572" s="17" t="n">
        <f aca="false">IF($J572="","",$J572+$K572)</f>
        <v/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 t="str">
        <f aca="false">IF($B$10=0,"",IFERROR(IF($B$4&gt;0,IF($L572="",1/0,$L572*$B$4),0)+IF($B$5&gt;0,IF($M572="",1/0,$M572*$B$5),0)+IF($B$6&gt;0,IF($N572="",1/0,$N572*$B$6),0),""))</f>
        <v/>
      </c>
      <c r="Q572" s="17"/>
      <c r="R572" s="18" t="str">
        <f aca="false">IF($P572="","",IF($Q572="Y",IFERROR(VLOOKUP($B572,$C$4:$D$13,2,FALSE()),0),0))</f>
        <v/>
      </c>
      <c r="S572" s="17" t="str">
        <f aca="false">IF($P572="","",ROUNDDOWN($P572*$R572,0))</f>
        <v/>
      </c>
      <c r="T572" s="17" t="str">
        <f aca="false">IF($P572="","",$P572-$S572)</f>
        <v/>
      </c>
      <c r="U572" s="17" t="str">
        <f aca="false">IF($T572="","",IF($B$10=0,"",$T572/$B$10))</f>
        <v/>
      </c>
      <c r="V572" s="17" t="str">
        <f aca="false">IF($P572="","",IF($B$10=0,"",$P572/$B$10))</f>
        <v/>
      </c>
      <c r="W572" s="19" t="n">
        <f aca="false">IF($T572="",1000000000000000,$T572)</f>
        <v/>
      </c>
      <c r="XFB572" s="6"/>
      <c r="XFC572" s="3"/>
    </row>
    <row r="573" s="6" collapsed="false" customFormat="true" customHeight="true" hidden="false" ht="28.6" outlineLevel="0">
      <c r="A573" s="16" t="str">
        <f aca="false">IF($T573="","",1+COUNTIF($W$15:$W$894,"&lt;"&amp;W573))</f>
        <v/>
      </c>
      <c r="B573" s="16" t="s">
        <v>12</v>
      </c>
      <c r="C573" s="16" t="s">
        <v>1133</v>
      </c>
      <c r="D573" s="20" t="s">
        <v>45</v>
      </c>
      <c r="E573" s="16" t="s">
        <v>26</v>
      </c>
      <c r="F573" s="16" t="s">
        <v>1134</v>
      </c>
      <c r="G573" s="17">
        <v>1780</v>
      </c>
      <c r="H573" s="17"/>
      <c r="I573" s="17"/>
      <c r="J573" s="17">
        <v>1820</v>
      </c>
      <c r="K573" s="17" t="n">
        <f aca="false">IF(AND(IFERROR(SEARCH("현대오일뱅크",$C573),0)&gt;0,IFERROR(SEARCH("직영",$C573),0)&gt;0),$B$13,0)</f>
        <v/>
      </c>
      <c r="L573" s="17" t="n">
        <f aca="false">IF($G573="","",$G573+$K573)</f>
        <v/>
      </c>
      <c r="M573" s="17" t="str">
        <f aca="false">IF($H573="","",$H573+$K573)</f>
        <v/>
      </c>
      <c r="N573" s="17" t="n">
        <f aca="false">IF($J573="","",$J573+$K573)</f>
        <v/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 t="str">
        <f aca="false">IF($B$10=0,"",IFERROR(IF($B$4&gt;0,IF($L573="",1/0,$L573*$B$4),0)+IF($B$5&gt;0,IF($M573="",1/0,$M573*$B$5),0)+IF($B$6&gt;0,IF($N573="",1/0,$N573*$B$6),0),""))</f>
        <v/>
      </c>
      <c r="Q573" s="17"/>
      <c r="R573" s="18" t="str">
        <f aca="false">IF($P573="","",IF($Q573="Y",IFERROR(VLOOKUP($B573,$C$4:$D$13,2,FALSE()),0),0))</f>
        <v/>
      </c>
      <c r="S573" s="17" t="str">
        <f aca="false">IF($P573="","",ROUNDDOWN($P573*$R573,0))</f>
        <v/>
      </c>
      <c r="T573" s="17" t="str">
        <f aca="false">IF($P573="","",$P573-$S573)</f>
        <v/>
      </c>
      <c r="U573" s="17" t="str">
        <f aca="false">IF($T573="","",IF($B$10=0,"",$T573/$B$10))</f>
        <v/>
      </c>
      <c r="V573" s="17" t="str">
        <f aca="false">IF($P573="","",IF($B$10=0,"",$P573/$B$10))</f>
        <v/>
      </c>
      <c r="W573" s="19" t="n">
        <f aca="false">IF($T573="",1000000000000000,$T573)</f>
        <v/>
      </c>
      <c r="XFC573" s="3"/>
    </row>
    <row r="574" s="6" collapsed="false" customFormat="true" customHeight="true" hidden="false" ht="28.6" outlineLevel="0">
      <c r="A574" s="16" t="str">
        <f aca="false">IF($T574="","",1+COUNTIF($W$15:$W$894,"&lt;"&amp;W574))</f>
        <v/>
      </c>
      <c r="B574" s="16" t="s">
        <v>12</v>
      </c>
      <c r="C574" s="16" t="s">
        <v>1135</v>
      </c>
      <c r="D574" s="20" t="s">
        <v>500</v>
      </c>
      <c r="E574" s="16" t="s">
        <v>26</v>
      </c>
      <c r="F574" s="16" t="s">
        <v>1136</v>
      </c>
      <c r="G574" s="17">
        <v>1780</v>
      </c>
      <c r="H574" s="17"/>
      <c r="I574" s="17"/>
      <c r="J574" s="17">
        <v>1820</v>
      </c>
      <c r="K574" s="17" t="n">
        <f aca="false">IF(AND(IFERROR(SEARCH("현대오일뱅크",$C574),0)&gt;0,IFERROR(SEARCH("직영",$C574),0)&gt;0),$B$13,0)</f>
        <v/>
      </c>
      <c r="L574" s="17" t="n">
        <f aca="false">IF($G574="","",$G574+$K574)</f>
        <v/>
      </c>
      <c r="M574" s="17" t="str">
        <f aca="false">IF($H574="","",$H574+$K574)</f>
        <v/>
      </c>
      <c r="N574" s="17" t="n">
        <f aca="false">IF($J574="","",$J574+$K574)</f>
        <v/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 t="str">
        <f aca="false">IF($B$10=0,"",IFERROR(IF($B$4&gt;0,IF($L574="",1/0,$L574*$B$4),0)+IF($B$5&gt;0,IF($M574="",1/0,$M574*$B$5),0)+IF($B$6&gt;0,IF($N574="",1/0,$N574*$B$6),0),""))</f>
        <v/>
      </c>
      <c r="Q574" s="17"/>
      <c r="R574" s="18" t="str">
        <f aca="false">IF($P574="","",IF($Q574="Y",IFERROR(VLOOKUP($B574,$C$4:$D$13,2,FALSE()),0),0))</f>
        <v/>
      </c>
      <c r="S574" s="17" t="str">
        <f aca="false">IF($P574="","",ROUNDDOWN($P574*$R574,0))</f>
        <v/>
      </c>
      <c r="T574" s="17" t="str">
        <f aca="false">IF($P574="","",$P574-$S574)</f>
        <v/>
      </c>
      <c r="U574" s="17" t="str">
        <f aca="false">IF($T574="","",IF($B$10=0,"",$T574/$B$10))</f>
        <v/>
      </c>
      <c r="V574" s="17" t="str">
        <f aca="false">IF($P574="","",IF($B$10=0,"",$P574/$B$10))</f>
        <v/>
      </c>
      <c r="W574" s="19" t="n">
        <f aca="false">IF($T574="",1000000000000000,$T574)</f>
        <v/>
      </c>
      <c r="XFC574" s="3"/>
    </row>
    <row r="575" s="6" collapsed="false" customFormat="true" customHeight="true" hidden="false" ht="28.6" outlineLevel="0">
      <c r="A575" s="16" t="str">
        <f aca="false">IF($T575="","",1+COUNTIF($W$15:$W$894,"&lt;"&amp;W575))</f>
        <v/>
      </c>
      <c r="B575" s="16" t="s">
        <v>12</v>
      </c>
      <c r="C575" s="16" t="s">
        <v>1137</v>
      </c>
      <c r="D575" s="20" t="s">
        <v>500</v>
      </c>
      <c r="E575" s="16" t="s">
        <v>26</v>
      </c>
      <c r="F575" s="16" t="s">
        <v>1138</v>
      </c>
      <c r="G575" s="17">
        <v>1780</v>
      </c>
      <c r="H575" s="17"/>
      <c r="I575" s="17"/>
      <c r="J575" s="17">
        <v>1820</v>
      </c>
      <c r="K575" s="17" t="n">
        <f aca="false">IF(AND(IFERROR(SEARCH("현대오일뱅크",$C575),0)&gt;0,IFERROR(SEARCH("직영",$C575),0)&gt;0),$B$13,0)</f>
        <v/>
      </c>
      <c r="L575" s="17" t="n">
        <f aca="false">IF($G575="","",$G575+$K575)</f>
        <v/>
      </c>
      <c r="M575" s="17" t="str">
        <f aca="false">IF($H575="","",$H575+$K575)</f>
        <v/>
      </c>
      <c r="N575" s="17" t="n">
        <f aca="false">IF($J575="","",$J575+$K575)</f>
        <v/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 t="str">
        <f aca="false">IF($B$10=0,"",IFERROR(IF($B$4&gt;0,IF($L575="",1/0,$L575*$B$4),0)+IF($B$5&gt;0,IF($M575="",1/0,$M575*$B$5),0)+IF($B$6&gt;0,IF($N575="",1/0,$N575*$B$6),0),""))</f>
        <v/>
      </c>
      <c r="Q575" s="17"/>
      <c r="R575" s="18" t="str">
        <f aca="false">IF($P575="","",IF($Q575="Y",IFERROR(VLOOKUP($B575,$C$4:$D$13,2,FALSE()),0),0))</f>
        <v/>
      </c>
      <c r="S575" s="17" t="str">
        <f aca="false">IF($P575="","",ROUNDDOWN($P575*$R575,0))</f>
        <v/>
      </c>
      <c r="T575" s="17" t="str">
        <f aca="false">IF($P575="","",$P575-$S575)</f>
        <v/>
      </c>
      <c r="U575" s="17" t="str">
        <f aca="false">IF($T575="","",IF($B$10=0,"",$T575/$B$10))</f>
        <v/>
      </c>
      <c r="V575" s="17" t="str">
        <f aca="false">IF($P575="","",IF($B$10=0,"",$P575/$B$10))</f>
        <v/>
      </c>
      <c r="W575" s="19" t="n">
        <f aca="false">IF($T575="",1000000000000000,$T575)</f>
        <v/>
      </c>
      <c r="XFC575" s="3"/>
    </row>
    <row r="576" s="5" collapsed="false" customFormat="true" customHeight="true" hidden="false" ht="28.5" outlineLevel="0">
      <c r="A576" s="16" t="str">
        <f aca="false">IF($T576="","",1+COUNTIF($W$15:$W$894,"&lt;"&amp;W576))</f>
        <v/>
      </c>
      <c r="B576" s="16" t="s">
        <v>8</v>
      </c>
      <c r="C576" s="16" t="s">
        <v>1139</v>
      </c>
      <c r="D576" s="16" t="s">
        <v>51</v>
      </c>
      <c r="E576" s="16" t="s">
        <v>26</v>
      </c>
      <c r="F576" s="16" t="s">
        <v>1140</v>
      </c>
      <c r="G576" s="17">
        <v>1781</v>
      </c>
      <c r="H576" s="17"/>
      <c r="I576" s="17"/>
      <c r="J576" s="17">
        <v>1736</v>
      </c>
      <c r="K576" s="17" t="n">
        <f aca="false">IF(AND(IFERROR(SEARCH("현대오일뱅크",$C576),0)&gt;0,IFERROR(SEARCH("직영",$C576),0)&gt;0),$B$13,0)</f>
        <v/>
      </c>
      <c r="L576" s="17" t="n">
        <f aca="false">IF($G576="","",$G576+$K576)</f>
        <v/>
      </c>
      <c r="M576" s="17" t="str">
        <f aca="false">IF($H576="","",$H576+$K576)</f>
        <v/>
      </c>
      <c r="N576" s="17" t="n">
        <f aca="false">IF($J576="","",$J576+$K576)</f>
        <v/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 t="str">
        <f aca="false">IF($B$10=0,"",IFERROR(IF($B$4&gt;0,IF($L576="",1/0,$L576*$B$4),0)+IF($B$5&gt;0,IF($M576="",1/0,$M576*$B$5),0)+IF($B$6&gt;0,IF($N576="",1/0,$N576*$B$6),0),""))</f>
        <v/>
      </c>
      <c r="Q576" s="17"/>
      <c r="R576" s="18" t="str">
        <f aca="false">IF($P576="","",IF($Q576="Y",IFERROR(VLOOKUP($B576,$C$4:$D$13,2,FALSE()),0),0))</f>
        <v/>
      </c>
      <c r="S576" s="17" t="str">
        <f aca="false">IF($P576="","",ROUNDDOWN($P576*$R576,0))</f>
        <v/>
      </c>
      <c r="T576" s="17" t="str">
        <f aca="false">IF($P576="","",$P576-$S576)</f>
        <v/>
      </c>
      <c r="U576" s="17" t="str">
        <f aca="false">IF($T576="","",IF($B$10=0,"",$T576/$B$10))</f>
        <v/>
      </c>
      <c r="V576" s="17" t="str">
        <f aca="false">IF($P576="","",IF($B$10=0,"",$P576/$B$10))</f>
        <v/>
      </c>
      <c r="W576" s="19" t="n">
        <f aca="false">IF($T576="",1000000000000000,$T576)</f>
        <v/>
      </c>
      <c r="XFB576" s="6"/>
      <c r="XFC576" s="3"/>
    </row>
    <row r="577" s="5" collapsed="false" customFormat="true" customHeight="true" hidden="false" ht="28.5" outlineLevel="0">
      <c r="A577" s="16" t="str">
        <f aca="false">IF($T577="","",1+COUNTIF($W$15:$W$894,"&lt;"&amp;W577))</f>
        <v/>
      </c>
      <c r="B577" s="16" t="s">
        <v>18</v>
      </c>
      <c r="C577" s="16" t="s">
        <v>1212</v>
      </c>
      <c r="D577" s="16" t="s">
        <v>95</v>
      </c>
      <c r="E577" s="16" t="s">
        <v>26</v>
      </c>
      <c r="F577" s="16" t="s">
        <v>1213</v>
      </c>
      <c r="G577" s="17">
        <v>1781</v>
      </c>
      <c r="H577" s="17"/>
      <c r="I577" s="17"/>
      <c r="J577" s="17">
        <v>1779</v>
      </c>
      <c r="K577" s="17" t="n">
        <f aca="false">IF(AND(IFERROR(SEARCH("현대오일뱅크",$C577),0)&gt;0,IFERROR(SEARCH("직영",$C577),0)&gt;0),$B$13,0)</f>
        <v/>
      </c>
      <c r="L577" s="17" t="n">
        <f aca="false">IF($G577="","",$G577+$K577)</f>
        <v/>
      </c>
      <c r="M577" s="17" t="str">
        <f aca="false">IF($H577="","",$H577+$K577)</f>
        <v/>
      </c>
      <c r="N577" s="17" t="n">
        <f aca="false">IF($J577="","",$J577+$K577)</f>
        <v/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 t="str">
        <f aca="false">IF($B$10=0,"",IFERROR(IF($B$4&gt;0,IF($L577="",1/0,$L577*$B$4),0)+IF($B$5&gt;0,IF($M577="",1/0,$M577*$B$5),0)+IF($B$6&gt;0,IF($N577="",1/0,$N577*$B$6),0),""))</f>
        <v/>
      </c>
      <c r="Q577" s="17"/>
      <c r="R577" s="18" t="str">
        <f aca="false">IF($P577="","",IF($Q577="Y",IFERROR(VLOOKUP($B577,$C$4:$D$13,2,FALSE()),0),0))</f>
        <v/>
      </c>
      <c r="S577" s="17" t="str">
        <f aca="false">IF($P577="","",ROUNDDOWN($P577*$R577,0))</f>
        <v/>
      </c>
      <c r="T577" s="17" t="str">
        <f aca="false">IF($P577="","",$P577-$S577)</f>
        <v/>
      </c>
      <c r="U577" s="17" t="str">
        <f aca="false">IF($T577="","",IF($B$10=0,"",$T577/$B$10))</f>
        <v/>
      </c>
      <c r="V577" s="17" t="str">
        <f aca="false">IF($P577="","",IF($B$10=0,"",$P577/$B$10))</f>
        <v/>
      </c>
      <c r="W577" s="19" t="n">
        <f aca="false">IF($T577="",1000000000000000,$T577)</f>
        <v/>
      </c>
      <c r="XFB577" s="6"/>
      <c r="XFC577" s="3"/>
    </row>
    <row r="578" s="5" collapsed="false" customFormat="true" customHeight="true" hidden="false" ht="28.5" outlineLevel="0">
      <c r="A578" s="16" t="str">
        <f aca="false">IF($T578="","",1+COUNTIF($W$15:$W$894,"&lt;"&amp;W578))</f>
        <v/>
      </c>
      <c r="B578" s="16" t="s">
        <v>18</v>
      </c>
      <c r="C578" s="16" t="s">
        <v>1214</v>
      </c>
      <c r="D578" s="16" t="s">
        <v>95</v>
      </c>
      <c r="E578" s="16" t="s">
        <v>26</v>
      </c>
      <c r="F578" s="16" t="s">
        <v>1215</v>
      </c>
      <c r="G578" s="17">
        <v>1781</v>
      </c>
      <c r="H578" s="17"/>
      <c r="I578" s="17"/>
      <c r="J578" s="17">
        <v>1779</v>
      </c>
      <c r="K578" s="17" t="n">
        <f aca="false">IF(AND(IFERROR(SEARCH("현대오일뱅크",$C578),0)&gt;0,IFERROR(SEARCH("직영",$C578),0)&gt;0),$B$13,0)</f>
        <v/>
      </c>
      <c r="L578" s="17" t="n">
        <f aca="false">IF($G578="","",$G578+$K578)</f>
        <v/>
      </c>
      <c r="M578" s="17" t="str">
        <f aca="false">IF($H578="","",$H578+$K578)</f>
        <v/>
      </c>
      <c r="N578" s="17" t="n">
        <f aca="false">IF($J578="","",$J578+$K578)</f>
        <v/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 t="str">
        <f aca="false">IF($B$10=0,"",IFERROR(IF($B$4&gt;0,IF($L578="",1/0,$L578*$B$4),0)+IF($B$5&gt;0,IF($M578="",1/0,$M578*$B$5),0)+IF($B$6&gt;0,IF($N578="",1/0,$N578*$B$6),0),""))</f>
        <v/>
      </c>
      <c r="Q578" s="17"/>
      <c r="R578" s="18" t="str">
        <f aca="false">IF($P578="","",IF($Q578="Y",IFERROR(VLOOKUP($B578,$C$4:$D$13,2,FALSE()),0),0))</f>
        <v/>
      </c>
      <c r="S578" s="17" t="str">
        <f aca="false">IF($P578="","",ROUNDDOWN($P578*$R578,0))</f>
        <v/>
      </c>
      <c r="T578" s="17" t="str">
        <f aca="false">IF($P578="","",$P578-$S578)</f>
        <v/>
      </c>
      <c r="U578" s="17" t="str">
        <f aca="false">IF($T578="","",IF($B$10=0,"",$T578/$B$10))</f>
        <v/>
      </c>
      <c r="V578" s="17" t="str">
        <f aca="false">IF($P578="","",IF($B$10=0,"",$P578/$B$10))</f>
        <v/>
      </c>
      <c r="W578" s="19" t="n">
        <f aca="false">IF($T578="",1000000000000000,$T578)</f>
        <v/>
      </c>
      <c r="XFB578" s="6"/>
      <c r="XFC578" s="3"/>
    </row>
    <row r="579" s="5" collapsed="false" customFormat="true" customHeight="true" hidden="false" ht="28.5" outlineLevel="0">
      <c r="A579" s="16" t="str">
        <f aca="false">IF($T579="","",1+COUNTIF($W$15:$W$894,"&lt;"&amp;W579))</f>
        <v/>
      </c>
      <c r="B579" s="16" t="s">
        <v>12</v>
      </c>
      <c r="C579" s="16" t="s">
        <v>1204</v>
      </c>
      <c r="D579" s="16" t="s">
        <v>296</v>
      </c>
      <c r="E579" s="16" t="s">
        <v>26</v>
      </c>
      <c r="F579" s="16" t="s">
        <v>1205</v>
      </c>
      <c r="G579" s="17">
        <v>1781</v>
      </c>
      <c r="H579" s="17"/>
      <c r="I579" s="17"/>
      <c r="J579" s="17">
        <v>1779</v>
      </c>
      <c r="K579" s="17" t="n">
        <f aca="false">IF(AND(IFERROR(SEARCH("현대오일뱅크",$C579),0)&gt;0,IFERROR(SEARCH("직영",$C579),0)&gt;0),$B$13,0)</f>
        <v/>
      </c>
      <c r="L579" s="17" t="n">
        <f aca="false">IF($G579="","",$G579+$K579)</f>
        <v/>
      </c>
      <c r="M579" s="17" t="str">
        <f aca="false">IF($H579="","",$H579+$K579)</f>
        <v/>
      </c>
      <c r="N579" s="17" t="n">
        <f aca="false">IF($J579="","",$J579+$K579)</f>
        <v/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 t="str">
        <f aca="false">IF($B$10=0,"",IFERROR(IF($B$4&gt;0,IF($L579="",1/0,$L579*$B$4),0)+IF($B$5&gt;0,IF($M579="",1/0,$M579*$B$5),0)+IF($B$6&gt;0,IF($N579="",1/0,$N579*$B$6),0),""))</f>
        <v/>
      </c>
      <c r="Q579" s="17"/>
      <c r="R579" s="18" t="str">
        <f aca="false">IF($P579="","",IF($Q579="Y",IFERROR(VLOOKUP($B579,$C$4:$D$13,2,FALSE()),0),0))</f>
        <v/>
      </c>
      <c r="S579" s="17" t="str">
        <f aca="false">IF($P579="","",ROUNDDOWN($P579*$R579,0))</f>
        <v/>
      </c>
      <c r="T579" s="17" t="str">
        <f aca="false">IF($P579="","",$P579-$S579)</f>
        <v/>
      </c>
      <c r="U579" s="17" t="str">
        <f aca="false">IF($T579="","",IF($B$10=0,"",$T579/$B$10))</f>
        <v/>
      </c>
      <c r="V579" s="17" t="str">
        <f aca="false">IF($P579="","",IF($B$10=0,"",$P579/$B$10))</f>
        <v/>
      </c>
      <c r="W579" s="19" t="n">
        <f aca="false">IF($T579="",1000000000000000,$T579)</f>
        <v/>
      </c>
      <c r="XFB579" s="6"/>
      <c r="XFC579" s="3"/>
    </row>
    <row r="580" s="21" collapsed="false" customFormat="true" customHeight="true" hidden="false" ht="28.5" outlineLevel="0">
      <c r="A580" s="16" t="str">
        <f aca="false">IF($T580="","",1+COUNTIF($W$15:$W$894,"&lt;"&amp;W580))</f>
        <v/>
      </c>
      <c r="B580" s="16" t="s">
        <v>12</v>
      </c>
      <c r="C580" s="16" t="s">
        <v>1141</v>
      </c>
      <c r="D580" s="20" t="s">
        <v>86</v>
      </c>
      <c r="E580" s="16" t="s">
        <v>63</v>
      </c>
      <c r="F580" s="16" t="s">
        <v>1142</v>
      </c>
      <c r="G580" s="17">
        <v>1979</v>
      </c>
      <c r="H580" s="17"/>
      <c r="I580" s="17"/>
      <c r="J580" s="17">
        <v>1979</v>
      </c>
      <c r="K580" s="17" t="n">
        <f aca="false">IF(AND(IFERROR(SEARCH("현대오일뱅크",$C580),0)&gt;0,IFERROR(SEARCH("직영",$C580),0)&gt;0),$B$13,0)</f>
        <v/>
      </c>
      <c r="L580" s="17" t="n">
        <f aca="false">IF($G580="","",$G580+$K580)</f>
        <v/>
      </c>
      <c r="M580" s="17" t="str">
        <f aca="false">IF($H580="","",$H580+$K580)</f>
        <v/>
      </c>
      <c r="N580" s="17" t="n">
        <f aca="false">IF($J580="","",$J580+$K580)</f>
        <v/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 t="str">
        <f aca="false">IF($B$10=0,"",IFERROR(IF($B$4&gt;0,IF($L580="",1/0,$L580*$B$4),0)+IF($B$5&gt;0,IF($M580="",1/0,$M580*$B$5),0)+IF($B$6&gt;0,IF($N580="",1/0,$N580*$B$6),0),""))</f>
        <v/>
      </c>
      <c r="Q580" s="17" t="s">
        <v>47</v>
      </c>
      <c r="R580" s="18" t="str">
        <f aca="false">IF($P580="","",IF($Q580="Y",IFERROR(VLOOKUP($B580,$C$4:$D$13,2,FALSE()),0),0))</f>
        <v/>
      </c>
      <c r="S580" s="17" t="str">
        <f aca="false">IF($P580="","",ROUNDDOWN($P580*$R580,0))</f>
        <v/>
      </c>
      <c r="T580" s="17" t="str">
        <f aca="false">IF($P580="","",$P580-$S580)</f>
        <v/>
      </c>
      <c r="U580" s="17" t="str">
        <f aca="false">IF($T580="","",IF($B$10=0,"",$T580/$B$10))</f>
        <v/>
      </c>
      <c r="V580" s="17" t="str">
        <f aca="false">IF($P580="","",IF($B$10=0,"",$P580/$B$10))</f>
        <v/>
      </c>
      <c r="W580" s="19" t="n">
        <f aca="false">IF($T580="",1000000000000000,$T580)</f>
        <v/>
      </c>
      <c r="XFB580" s="6"/>
      <c r="XFC580" s="3"/>
    </row>
    <row r="581" s="6" collapsed="false" customFormat="true" customHeight="true" hidden="false" ht="28.6" outlineLevel="0">
      <c r="A581" s="16" t="str">
        <f aca="false">IF($T581="","",1+COUNTIF($W$15:$W$894,"&lt;"&amp;W581))</f>
        <v/>
      </c>
      <c r="B581" s="16" t="s">
        <v>18</v>
      </c>
      <c r="C581" s="16" t="s">
        <v>1143</v>
      </c>
      <c r="D581" s="16" t="s">
        <v>51</v>
      </c>
      <c r="E581" s="16" t="s">
        <v>26</v>
      </c>
      <c r="F581" s="16" t="s">
        <v>1144</v>
      </c>
      <c r="G581" s="17">
        <v>1782</v>
      </c>
      <c r="H581" s="17"/>
      <c r="I581" s="17"/>
      <c r="J581" s="17">
        <v>1772</v>
      </c>
      <c r="K581" s="17" t="n">
        <f aca="false">IF(AND(IFERROR(SEARCH("현대오일뱅크",$C581),0)&gt;0,IFERROR(SEARCH("직영",$C581),0)&gt;0),$B$13,0)</f>
        <v/>
      </c>
      <c r="L581" s="17" t="n">
        <f aca="false">IF($G581="","",$G581+$K581)</f>
        <v/>
      </c>
      <c r="M581" s="17" t="str">
        <f aca="false">IF($H581="","",$H581+$K581)</f>
        <v/>
      </c>
      <c r="N581" s="17" t="n">
        <f aca="false">IF($J581="","",$J581+$K581)</f>
        <v/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 t="str">
        <f aca="false">IF($B$10=0,"",IFERROR(IF($B$4&gt;0,IF($L581="",1/0,$L581*$B$4),0)+IF($B$5&gt;0,IF($M581="",1/0,$M581*$B$5),0)+IF($B$6&gt;0,IF($N581="",1/0,$N581*$B$6),0),""))</f>
        <v/>
      </c>
      <c r="Q581" s="17"/>
      <c r="R581" s="18" t="str">
        <f aca="false">IF($P581="","",IF($Q581="Y",IFERROR(VLOOKUP($B581,$C$4:$D$13,2,FALSE()),0),0))</f>
        <v/>
      </c>
      <c r="S581" s="17" t="str">
        <f aca="false">IF($P581="","",ROUNDDOWN($P581*$R581,0))</f>
        <v/>
      </c>
      <c r="T581" s="17" t="str">
        <f aca="false">IF($P581="","",$P581-$S581)</f>
        <v/>
      </c>
      <c r="U581" s="17" t="str">
        <f aca="false">IF($T581="","",IF($B$10=0,"",$T581/$B$10))</f>
        <v/>
      </c>
      <c r="V581" s="17" t="str">
        <f aca="false">IF($P581="","",IF($B$10=0,"",$P581/$B$10))</f>
        <v/>
      </c>
      <c r="W581" s="19" t="n">
        <f aca="false">IF($T581="",1000000000000000,$T581)</f>
        <v/>
      </c>
      <c r="XFC581" s="3"/>
    </row>
    <row r="582" s="6" collapsed="false" customFormat="true" customHeight="true" hidden="false" ht="28.6" outlineLevel="0">
      <c r="A582" s="16" t="str">
        <f aca="false">IF($T582="","",1+COUNTIF($W$15:$W$894,"&lt;"&amp;W582))</f>
        <v/>
      </c>
      <c r="B582" s="16" t="s">
        <v>18</v>
      </c>
      <c r="C582" s="16" t="s">
        <v>1145</v>
      </c>
      <c r="D582" s="16" t="s">
        <v>45</v>
      </c>
      <c r="E582" s="16" t="s">
        <v>26</v>
      </c>
      <c r="F582" s="16" t="s">
        <v>1146</v>
      </c>
      <c r="G582" s="17">
        <v>1782</v>
      </c>
      <c r="H582" s="17"/>
      <c r="I582" s="17"/>
      <c r="J582" s="17">
        <v>1772</v>
      </c>
      <c r="K582" s="17" t="n">
        <f aca="false">IF(AND(IFERROR(SEARCH("현대오일뱅크",$C582),0)&gt;0,IFERROR(SEARCH("직영",$C582),0)&gt;0),$B$13,0)</f>
        <v/>
      </c>
      <c r="L582" s="17" t="n">
        <f aca="false">IF($G582="","",$G582+$K582)</f>
        <v/>
      </c>
      <c r="M582" s="17" t="str">
        <f aca="false">IF($H582="","",$H582+$K582)</f>
        <v/>
      </c>
      <c r="N582" s="17" t="n">
        <f aca="false">IF($J582="","",$J582+$K582)</f>
        <v/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 t="str">
        <f aca="false">IF($B$10=0,"",IFERROR(IF($B$4&gt;0,IF($L582="",1/0,$L582*$B$4),0)+IF($B$5&gt;0,IF($M582="",1/0,$M582*$B$5),0)+IF($B$6&gt;0,IF($N582="",1/0,$N582*$B$6),0),""))</f>
        <v/>
      </c>
      <c r="Q582" s="17"/>
      <c r="R582" s="18" t="str">
        <f aca="false">IF($P582="","",IF($Q582="Y",IFERROR(VLOOKUP($B582,$C$4:$D$13,2,FALSE()),0),0))</f>
        <v/>
      </c>
      <c r="S582" s="17" t="str">
        <f aca="false">IF($P582="","",ROUNDDOWN($P582*$R582,0))</f>
        <v/>
      </c>
      <c r="T582" s="17" t="str">
        <f aca="false">IF($P582="","",$P582-$S582)</f>
        <v/>
      </c>
      <c r="U582" s="17" t="str">
        <f aca="false">IF($T582="","",IF($B$10=0,"",$T582/$B$10))</f>
        <v/>
      </c>
      <c r="V582" s="17" t="str">
        <f aca="false">IF($P582="","",IF($B$10=0,"",$P582/$B$10))</f>
        <v/>
      </c>
      <c r="W582" s="19" t="n">
        <f aca="false">IF($T582="",1000000000000000,$T582)</f>
        <v/>
      </c>
      <c r="XFC582" s="3"/>
    </row>
    <row r="583" s="6" collapsed="false" customFormat="true" customHeight="true" hidden="false" ht="28.6" outlineLevel="0">
      <c r="A583" s="16" t="str">
        <f aca="false">IF($T583="","",1+COUNTIF($W$15:$W$894,"&lt;"&amp;W583))</f>
        <v/>
      </c>
      <c r="B583" s="16" t="s">
        <v>10</v>
      </c>
      <c r="C583" s="16" t="s">
        <v>1361</v>
      </c>
      <c r="D583" s="16" t="s">
        <v>45</v>
      </c>
      <c r="E583" s="16" t="s">
        <v>26</v>
      </c>
      <c r="F583" s="16" t="s">
        <v>1362</v>
      </c>
      <c r="G583" s="17">
        <v>1782</v>
      </c>
      <c r="H583" s="17"/>
      <c r="I583" s="17"/>
      <c r="J583" s="17">
        <v>1772</v>
      </c>
      <c r="K583" s="17" t="n">
        <f aca="false">IF(AND(IFERROR(SEARCH("현대오일뱅크",$C583),0)&gt;0,IFERROR(SEARCH("직영",$C583),0)&gt;0),$B$13,0)</f>
        <v/>
      </c>
      <c r="L583" s="17" t="n">
        <f aca="false">IF($G583="","",$G583+$K583)</f>
        <v/>
      </c>
      <c r="M583" s="17" t="str">
        <f aca="false">IF($H583="","",$H583+$K583)</f>
        <v/>
      </c>
      <c r="N583" s="17" t="n">
        <f aca="false">IF($J583="","",$J583+$K583)</f>
        <v/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 t="str">
        <f aca="false">IF($B$10=0,"",IFERROR(IF($B$4&gt;0,IF($L583="",1/0,$L583*$B$4),0)+IF($B$5&gt;0,IF($M583="",1/0,$M583*$B$5),0)+IF($B$6&gt;0,IF($N583="",1/0,$N583*$B$6),0),""))</f>
        <v/>
      </c>
      <c r="Q583" s="17"/>
      <c r="R583" s="18" t="str">
        <f aca="false">IF($P583="","",IF($Q583="Y",IFERROR(VLOOKUP($B583,$C$4:$D$13,2,FALSE()),0),0))</f>
        <v/>
      </c>
      <c r="S583" s="17" t="str">
        <f aca="false">IF($P583="","",ROUNDDOWN($P583*$R583,0))</f>
        <v/>
      </c>
      <c r="T583" s="17" t="str">
        <f aca="false">IF($P583="","",$P583-$S583)</f>
        <v/>
      </c>
      <c r="U583" s="17" t="str">
        <f aca="false">IF($T583="","",IF($B$10=0,"",$T583/$B$10))</f>
        <v/>
      </c>
      <c r="V583" s="17" t="str">
        <f aca="false">IF($P583="","",IF($B$10=0,"",$P583/$B$10))</f>
        <v/>
      </c>
      <c r="W583" s="19" t="n">
        <f aca="false">IF($T583="",1000000000000000,$T583)</f>
        <v/>
      </c>
      <c r="XFC583" s="3"/>
    </row>
    <row r="584" s="21" collapsed="false" customFormat="true" customHeight="true" hidden="false" ht="28.5" outlineLevel="0">
      <c r="A584" s="16" t="str">
        <f aca="false">IF($T584="","",1+COUNTIF($W$15:$W$894,"&lt;"&amp;W584))</f>
        <v/>
      </c>
      <c r="B584" s="16" t="s">
        <v>10</v>
      </c>
      <c r="C584" s="16" t="s">
        <v>1149</v>
      </c>
      <c r="D584" s="16" t="s">
        <v>45</v>
      </c>
      <c r="E584" s="16" t="s">
        <v>26</v>
      </c>
      <c r="F584" s="16" t="s">
        <v>1150</v>
      </c>
      <c r="G584" s="17">
        <v>1782</v>
      </c>
      <c r="H584" s="17"/>
      <c r="I584" s="17"/>
      <c r="J584" s="17">
        <v>1779</v>
      </c>
      <c r="K584" s="17" t="n">
        <f aca="false">IF(AND(IFERROR(SEARCH("현대오일뱅크",$C584),0)&gt;0,IFERROR(SEARCH("직영",$C584),0)&gt;0),$B$13,0)</f>
        <v/>
      </c>
      <c r="L584" s="17" t="n">
        <f aca="false">IF($G584="","",$G584+$K584)</f>
        <v/>
      </c>
      <c r="M584" s="17" t="str">
        <f aca="false">IF($H584="","",$H584+$K584)</f>
        <v/>
      </c>
      <c r="N584" s="17" t="n">
        <f aca="false">IF($J584="","",$J584+$K584)</f>
        <v/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 t="str">
        <f aca="false">IF($B$10=0,"",IFERROR(IF($B$4&gt;0,IF($L584="",1/0,$L584*$B$4),0)+IF($B$5&gt;0,IF($M584="",1/0,$M584*$B$5),0)+IF($B$6&gt;0,IF($N584="",1/0,$N584*$B$6),0),""))</f>
        <v/>
      </c>
      <c r="Q584" s="17"/>
      <c r="R584" s="18" t="str">
        <f aca="false">IF($P584="","",IF($Q584="Y",IFERROR(VLOOKUP($B584,$C$4:$D$13,2,FALSE()),0),0))</f>
        <v/>
      </c>
      <c r="S584" s="17" t="str">
        <f aca="false">IF($P584="","",ROUNDDOWN($P584*$R584,0))</f>
        <v/>
      </c>
      <c r="T584" s="17" t="str">
        <f aca="false">IF($P584="","",$P584-$S584)</f>
        <v/>
      </c>
      <c r="U584" s="17" t="str">
        <f aca="false">IF($T584="","",IF($B$10=0,"",$T584/$B$10))</f>
        <v/>
      </c>
      <c r="V584" s="17" t="str">
        <f aca="false">IF($P584="","",IF($B$10=0,"",$P584/$B$10))</f>
        <v/>
      </c>
      <c r="W584" s="19" t="n">
        <f aca="false">IF($T584="",1000000000000000,$T584)</f>
        <v/>
      </c>
      <c r="XFB584" s="6"/>
      <c r="XFC584" s="3"/>
    </row>
    <row r="585" s="5" collapsed="false" customFormat="true" customHeight="true" hidden="false" ht="28.5" outlineLevel="0">
      <c r="A585" s="16" t="str">
        <f aca="false">IF($T585="","",1+COUNTIF($W$15:$W$894,"&lt;"&amp;W585))</f>
        <v/>
      </c>
      <c r="B585" s="16" t="s">
        <v>10</v>
      </c>
      <c r="C585" s="16" t="s">
        <v>1151</v>
      </c>
      <c r="D585" s="16" t="s">
        <v>56</v>
      </c>
      <c r="E585" s="16" t="s">
        <v>26</v>
      </c>
      <c r="F585" s="16" t="s">
        <v>1152</v>
      </c>
      <c r="G585" s="17">
        <v>1782</v>
      </c>
      <c r="H585" s="17"/>
      <c r="I585" s="17"/>
      <c r="J585" s="17">
        <v>1779</v>
      </c>
      <c r="K585" s="17" t="n">
        <f aca="false">IF(AND(IFERROR(SEARCH("현대오일뱅크",$C585),0)&gt;0,IFERROR(SEARCH("직영",$C585),0)&gt;0),$B$13,0)</f>
        <v/>
      </c>
      <c r="L585" s="17" t="n">
        <f aca="false">IF($G585="","",$G585+$K585)</f>
        <v/>
      </c>
      <c r="M585" s="17" t="str">
        <f aca="false">IF($H585="","",$H585+$K585)</f>
        <v/>
      </c>
      <c r="N585" s="17" t="n">
        <f aca="false">IF($J585="","",$J585+$K585)</f>
        <v/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 t="str">
        <f aca="false">IF($B$10=0,"",IFERROR(IF($B$4&gt;0,IF($L585="",1/0,$L585*$B$4),0)+IF($B$5&gt;0,IF($M585="",1/0,$M585*$B$5),0)+IF($B$6&gt;0,IF($N585="",1/0,$N585*$B$6),0),""))</f>
        <v/>
      </c>
      <c r="Q585" s="17"/>
      <c r="R585" s="18" t="str">
        <f aca="false">IF($P585="","",IF($Q585="Y",IFERROR(VLOOKUP($B585,$C$4:$D$13,2,FALSE()),0),0))</f>
        <v/>
      </c>
      <c r="S585" s="17" t="str">
        <f aca="false">IF($P585="","",ROUNDDOWN($P585*$R585,0))</f>
        <v/>
      </c>
      <c r="T585" s="17" t="str">
        <f aca="false">IF($P585="","",$P585-$S585)</f>
        <v/>
      </c>
      <c r="U585" s="17" t="str">
        <f aca="false">IF($T585="","",IF($B$10=0,"",$T585/$B$10))</f>
        <v/>
      </c>
      <c r="V585" s="17" t="str">
        <f aca="false">IF($P585="","",IF($B$10=0,"",$P585/$B$10))</f>
        <v/>
      </c>
      <c r="W585" s="19" t="n">
        <f aca="false">IF($T585="",1000000000000000,$T585)</f>
        <v/>
      </c>
      <c r="XFB585" s="6"/>
      <c r="XFC585" s="3"/>
    </row>
    <row r="586" s="6" collapsed="false" customFormat="true" customHeight="true" hidden="false" ht="28.6" outlineLevel="0">
      <c r="A586" s="16" t="str">
        <f aca="false">IF($T586="","",1+COUNTIF($W$15:$W$894,"&lt;"&amp;W586))</f>
        <v/>
      </c>
      <c r="B586" s="16" t="s">
        <v>18</v>
      </c>
      <c r="C586" s="16" t="s">
        <v>1153</v>
      </c>
      <c r="D586" s="16" t="s">
        <v>95</v>
      </c>
      <c r="E586" s="16" t="s">
        <v>26</v>
      </c>
      <c r="F586" s="16" t="s">
        <v>1154</v>
      </c>
      <c r="G586" s="17">
        <v>1782</v>
      </c>
      <c r="H586" s="17"/>
      <c r="I586" s="17"/>
      <c r="J586" s="17">
        <v>1782</v>
      </c>
      <c r="K586" s="17" t="n">
        <f aca="false">IF(AND(IFERROR(SEARCH("현대오일뱅크",$C586),0)&gt;0,IFERROR(SEARCH("직영",$C586),0)&gt;0),$B$13,0)</f>
        <v/>
      </c>
      <c r="L586" s="17" t="n">
        <f aca="false">IF($G586="","",$G586+$K586)</f>
        <v/>
      </c>
      <c r="M586" s="17" t="str">
        <f aca="false">IF($H586="","",$H586+$K586)</f>
        <v/>
      </c>
      <c r="N586" s="17" t="n">
        <f aca="false">IF($J586="","",$J586+$K586)</f>
        <v/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 t="str">
        <f aca="false">IF($B$10=0,"",IFERROR(IF($B$4&gt;0,IF($L586="",1/0,$L586*$B$4),0)+IF($B$5&gt;0,IF($M586="",1/0,$M586*$B$5),0)+IF($B$6&gt;0,IF($N586="",1/0,$N586*$B$6),0),""))</f>
        <v/>
      </c>
      <c r="Q586" s="17"/>
      <c r="R586" s="18" t="str">
        <f aca="false">IF($P586="","",IF($Q586="Y",IFERROR(VLOOKUP($B586,$C$4:$D$13,2,FALSE()),0),0))</f>
        <v/>
      </c>
      <c r="S586" s="17" t="str">
        <f aca="false">IF($P586="","",ROUNDDOWN($P586*$R586,0))</f>
        <v/>
      </c>
      <c r="T586" s="17" t="str">
        <f aca="false">IF($P586="","",$P586-$S586)</f>
        <v/>
      </c>
      <c r="U586" s="17" t="str">
        <f aca="false">IF($T586="","",IF($B$10=0,"",$T586/$B$10))</f>
        <v/>
      </c>
      <c r="V586" s="17" t="str">
        <f aca="false">IF($P586="","",IF($B$10=0,"",$P586/$B$10))</f>
        <v/>
      </c>
      <c r="W586" s="19" t="n">
        <f aca="false">IF($T586="",1000000000000000,$T586)</f>
        <v/>
      </c>
      <c r="XFC586" s="3"/>
    </row>
    <row r="587" s="6" collapsed="false" customFormat="true" customHeight="true" hidden="false" ht="28.6" outlineLevel="0">
      <c r="A587" s="16" t="str">
        <f aca="false">IF($T587="","",1+COUNTIF($W$15:$W$894,"&lt;"&amp;W587))</f>
        <v/>
      </c>
      <c r="B587" s="16" t="s">
        <v>18</v>
      </c>
      <c r="C587" s="16" t="s">
        <v>1155</v>
      </c>
      <c r="D587" s="16" t="s">
        <v>95</v>
      </c>
      <c r="E587" s="16" t="s">
        <v>26</v>
      </c>
      <c r="F587" s="16" t="s">
        <v>1156</v>
      </c>
      <c r="G587" s="17">
        <v>1782</v>
      </c>
      <c r="H587" s="17"/>
      <c r="I587" s="17"/>
      <c r="J587" s="17">
        <v>1782</v>
      </c>
      <c r="K587" s="17" t="n">
        <f aca="false">IF(AND(IFERROR(SEARCH("현대오일뱅크",$C587),0)&gt;0,IFERROR(SEARCH("직영",$C587),0)&gt;0),$B$13,0)</f>
        <v/>
      </c>
      <c r="L587" s="17" t="n">
        <f aca="false">IF($G587="","",$G587+$K587)</f>
        <v/>
      </c>
      <c r="M587" s="17" t="str">
        <f aca="false">IF($H587="","",$H587+$K587)</f>
        <v/>
      </c>
      <c r="N587" s="17" t="n">
        <f aca="false">IF($J587="","",$J587+$K587)</f>
        <v/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 t="str">
        <f aca="false">IF($B$10=0,"",IFERROR(IF($B$4&gt;0,IF($L587="",1/0,$L587*$B$4),0)+IF($B$5&gt;0,IF($M587="",1/0,$M587*$B$5),0)+IF($B$6&gt;0,IF($N587="",1/0,$N587*$B$6),0),""))</f>
        <v/>
      </c>
      <c r="Q587" s="17"/>
      <c r="R587" s="18" t="str">
        <f aca="false">IF($P587="","",IF($Q587="Y",IFERROR(VLOOKUP($B587,$C$4:$D$13,2,FALSE()),0),0))</f>
        <v/>
      </c>
      <c r="S587" s="17" t="str">
        <f aca="false">IF($P587="","",ROUNDDOWN($P587*$R587,0))</f>
        <v/>
      </c>
      <c r="T587" s="17" t="str">
        <f aca="false">IF($P587="","",$P587-$S587)</f>
        <v/>
      </c>
      <c r="U587" s="17" t="str">
        <f aca="false">IF($T587="","",IF($B$10=0,"",$T587/$B$10))</f>
        <v/>
      </c>
      <c r="V587" s="17" t="str">
        <f aca="false">IF($P587="","",IF($B$10=0,"",$P587/$B$10))</f>
        <v/>
      </c>
      <c r="W587" s="19" t="n">
        <f aca="false">IF($T587="",1000000000000000,$T587)</f>
        <v/>
      </c>
      <c r="XFC587" s="3"/>
    </row>
    <row r="588" s="6" collapsed="false" customFormat="true" customHeight="true" hidden="false" ht="28.6" outlineLevel="0">
      <c r="A588" s="16" t="str">
        <f aca="false">IF($T588="","",1+COUNTIF($W$15:$W$894,"&lt;"&amp;W588))</f>
        <v/>
      </c>
      <c r="B588" s="16" t="s">
        <v>18</v>
      </c>
      <c r="C588" s="16" t="s">
        <v>1157</v>
      </c>
      <c r="D588" s="16" t="s">
        <v>45</v>
      </c>
      <c r="E588" s="16" t="s">
        <v>26</v>
      </c>
      <c r="F588" s="16" t="s">
        <v>1158</v>
      </c>
      <c r="G588" s="17">
        <v>1782</v>
      </c>
      <c r="H588" s="17"/>
      <c r="I588" s="17"/>
      <c r="J588" s="17">
        <v>1782</v>
      </c>
      <c r="K588" s="17" t="n">
        <f aca="false">IF(AND(IFERROR(SEARCH("현대오일뱅크",$C588),0)&gt;0,IFERROR(SEARCH("직영",$C588),0)&gt;0),$B$13,0)</f>
        <v/>
      </c>
      <c r="L588" s="17" t="n">
        <f aca="false">IF($G588="","",$G588+$K588)</f>
        <v/>
      </c>
      <c r="M588" s="17" t="str">
        <f aca="false">IF($H588="","",$H588+$K588)</f>
        <v/>
      </c>
      <c r="N588" s="17" t="n">
        <f aca="false">IF($J588="","",$J588+$K588)</f>
        <v/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 t="str">
        <f aca="false">IF($B$10=0,"",IFERROR(IF($B$4&gt;0,IF($L588="",1/0,$L588*$B$4),0)+IF($B$5&gt;0,IF($M588="",1/0,$M588*$B$5),0)+IF($B$6&gt;0,IF($N588="",1/0,$N588*$B$6),0),""))</f>
        <v/>
      </c>
      <c r="Q588" s="17"/>
      <c r="R588" s="18" t="str">
        <f aca="false">IF($P588="","",IF($Q588="Y",IFERROR(VLOOKUP($B588,$C$4:$D$13,2,FALSE()),0),0))</f>
        <v/>
      </c>
      <c r="S588" s="17" t="str">
        <f aca="false">IF($P588="","",ROUNDDOWN($P588*$R588,0))</f>
        <v/>
      </c>
      <c r="T588" s="17" t="str">
        <f aca="false">IF($P588="","",$P588-$S588)</f>
        <v/>
      </c>
      <c r="U588" s="17" t="str">
        <f aca="false">IF($T588="","",IF($B$10=0,"",$T588/$B$10))</f>
        <v/>
      </c>
      <c r="V588" s="17" t="str">
        <f aca="false">IF($P588="","",IF($B$10=0,"",$P588/$B$10))</f>
        <v/>
      </c>
      <c r="W588" s="19" t="n">
        <f aca="false">IF($T588="",1000000000000000,$T588)</f>
        <v/>
      </c>
      <c r="XFC588" s="3"/>
    </row>
    <row r="589" s="6" collapsed="false" customFormat="true" customHeight="true" hidden="false" ht="28.6" outlineLevel="0">
      <c r="A589" s="16" t="str">
        <f aca="false">IF($T589="","",1+COUNTIF($W$15:$W$894,"&lt;"&amp;W589))</f>
        <v/>
      </c>
      <c r="B589" s="16" t="s">
        <v>18</v>
      </c>
      <c r="C589" s="16" t="s">
        <v>192</v>
      </c>
      <c r="D589" s="16" t="s">
        <v>95</v>
      </c>
      <c r="E589" s="16" t="s">
        <v>26</v>
      </c>
      <c r="F589" s="16" t="s">
        <v>1159</v>
      </c>
      <c r="G589" s="17">
        <v>1782</v>
      </c>
      <c r="H589" s="17"/>
      <c r="I589" s="17"/>
      <c r="J589" s="17">
        <v>1782</v>
      </c>
      <c r="K589" s="17" t="n">
        <f aca="false">IF(AND(IFERROR(SEARCH("현대오일뱅크",$C589),0)&gt;0,IFERROR(SEARCH("직영",$C589),0)&gt;0),$B$13,0)</f>
        <v/>
      </c>
      <c r="L589" s="17" t="n">
        <f aca="false">IF($G589="","",$G589+$K589)</f>
        <v/>
      </c>
      <c r="M589" s="17" t="str">
        <f aca="false">IF($H589="","",$H589+$K589)</f>
        <v/>
      </c>
      <c r="N589" s="17" t="n">
        <f aca="false">IF($J589="","",$J589+$K589)</f>
        <v/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 t="str">
        <f aca="false">IF($B$10=0,"",IFERROR(IF($B$4&gt;0,IF($L589="",1/0,$L589*$B$4),0)+IF($B$5&gt;0,IF($M589="",1/0,$M589*$B$5),0)+IF($B$6&gt;0,IF($N589="",1/0,$N589*$B$6),0),""))</f>
        <v/>
      </c>
      <c r="Q589" s="17"/>
      <c r="R589" s="18" t="str">
        <f aca="false">IF($P589="","",IF($Q589="Y",IFERROR(VLOOKUP($B589,$C$4:$D$13,2,FALSE()),0),0))</f>
        <v/>
      </c>
      <c r="S589" s="17" t="str">
        <f aca="false">IF($P589="","",ROUNDDOWN($P589*$R589,0))</f>
        <v/>
      </c>
      <c r="T589" s="17" t="str">
        <f aca="false">IF($P589="","",$P589-$S589)</f>
        <v/>
      </c>
      <c r="U589" s="17" t="str">
        <f aca="false">IF($T589="","",IF($B$10=0,"",$T589/$B$10))</f>
        <v/>
      </c>
      <c r="V589" s="17" t="str">
        <f aca="false">IF($P589="","",IF($B$10=0,"",$P589/$B$10))</f>
        <v/>
      </c>
      <c r="W589" s="19" t="n">
        <f aca="false">IF($T589="",1000000000000000,$T589)</f>
        <v/>
      </c>
      <c r="XFC589" s="3"/>
    </row>
    <row r="590" s="21" collapsed="false" customFormat="true" customHeight="true" hidden="false" ht="28.5" outlineLevel="0">
      <c r="A590" s="16" t="str">
        <f aca="false">IF($T590="","",1+COUNTIF($W$15:$W$894,"&lt;"&amp;W590))</f>
        <v/>
      </c>
      <c r="B590" s="16" t="s">
        <v>18</v>
      </c>
      <c r="C590" s="16" t="s">
        <v>1186</v>
      </c>
      <c r="D590" s="16" t="s">
        <v>296</v>
      </c>
      <c r="E590" s="16" t="s">
        <v>26</v>
      </c>
      <c r="F590" s="16" t="s">
        <v>1187</v>
      </c>
      <c r="G590" s="17">
        <v>1782</v>
      </c>
      <c r="H590" s="17"/>
      <c r="I590" s="17"/>
      <c r="J590" s="17">
        <v>1782</v>
      </c>
      <c r="K590" s="17" t="n">
        <f aca="false">IF(AND(IFERROR(SEARCH("현대오일뱅크",$C590),0)&gt;0,IFERROR(SEARCH("직영",$C590),0)&gt;0),$B$13,0)</f>
        <v/>
      </c>
      <c r="L590" s="17" t="n">
        <f aca="false">IF($G590="","",$G590+$K590)</f>
        <v/>
      </c>
      <c r="M590" s="17" t="str">
        <f aca="false">IF($H590="","",$H590+$K590)</f>
        <v/>
      </c>
      <c r="N590" s="17" t="n">
        <f aca="false">IF($J590="","",$J590+$K590)</f>
        <v/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 t="str">
        <f aca="false">IF($B$10=0,"",IFERROR(IF($B$4&gt;0,IF($L590="",1/0,$L590*$B$4),0)+IF($B$5&gt;0,IF($M590="",1/0,$M590*$B$5),0)+IF($B$6&gt;0,IF($N590="",1/0,$N590*$B$6),0),""))</f>
        <v/>
      </c>
      <c r="Q590" s="17"/>
      <c r="R590" s="18" t="str">
        <f aca="false">IF($P590="","",IF($Q590="Y",IFERROR(VLOOKUP($B590,$C$4:$D$13,2,FALSE()),0),0))</f>
        <v/>
      </c>
      <c r="S590" s="17" t="str">
        <f aca="false">IF($P590="","",ROUNDDOWN($P590*$R590,0))</f>
        <v/>
      </c>
      <c r="T590" s="17" t="str">
        <f aca="false">IF($P590="","",$P590-$S590)</f>
        <v/>
      </c>
      <c r="U590" s="17" t="str">
        <f aca="false">IF($T590="","",IF($B$10=0,"",$T590/$B$10))</f>
        <v/>
      </c>
      <c r="V590" s="17" t="str">
        <f aca="false">IF($P590="","",IF($B$10=0,"",$P590/$B$10))</f>
        <v/>
      </c>
      <c r="W590" s="19" t="n">
        <f aca="false">IF($T590="",1000000000000000,$T590)</f>
        <v/>
      </c>
      <c r="XFB590" s="6"/>
      <c r="XFC590" s="3"/>
    </row>
    <row r="591" s="21" collapsed="false" customFormat="true" customHeight="true" hidden="false" ht="28.5" outlineLevel="0">
      <c r="A591" s="16" t="str">
        <f aca="false">IF($T591="","",1+COUNTIF($W$15:$W$894,"&lt;"&amp;W591))</f>
        <v/>
      </c>
      <c r="B591" s="16" t="s">
        <v>18</v>
      </c>
      <c r="C591" s="16" t="s">
        <v>1188</v>
      </c>
      <c r="D591" s="16" t="s">
        <v>296</v>
      </c>
      <c r="E591" s="16" t="s">
        <v>26</v>
      </c>
      <c r="F591" s="16" t="s">
        <v>1189</v>
      </c>
      <c r="G591" s="17">
        <v>1782</v>
      </c>
      <c r="H591" s="17"/>
      <c r="I591" s="17"/>
      <c r="J591" s="17">
        <v>1782</v>
      </c>
      <c r="K591" s="17" t="n">
        <f aca="false">IF(AND(IFERROR(SEARCH("현대오일뱅크",$C591),0)&gt;0,IFERROR(SEARCH("직영",$C591),0)&gt;0),$B$13,0)</f>
        <v/>
      </c>
      <c r="L591" s="17" t="n">
        <f aca="false">IF($G591="","",$G591+$K591)</f>
        <v/>
      </c>
      <c r="M591" s="17" t="str">
        <f aca="false">IF($H591="","",$H591+$K591)</f>
        <v/>
      </c>
      <c r="N591" s="17" t="n">
        <f aca="false">IF($J591="","",$J591+$K591)</f>
        <v/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 t="str">
        <f aca="false">IF($B$10=0,"",IFERROR(IF($B$4&gt;0,IF($L591="",1/0,$L591*$B$4),0)+IF($B$5&gt;0,IF($M591="",1/0,$M591*$B$5),0)+IF($B$6&gt;0,IF($N591="",1/0,$N591*$B$6),0),""))</f>
        <v/>
      </c>
      <c r="Q591" s="17"/>
      <c r="R591" s="18" t="str">
        <f aca="false">IF($P591="","",IF($Q591="Y",IFERROR(VLOOKUP($B591,$C$4:$D$13,2,FALSE()),0),0))</f>
        <v/>
      </c>
      <c r="S591" s="17" t="str">
        <f aca="false">IF($P591="","",ROUNDDOWN($P591*$R591,0))</f>
        <v/>
      </c>
      <c r="T591" s="17" t="str">
        <f aca="false">IF($P591="","",$P591-$S591)</f>
        <v/>
      </c>
      <c r="U591" s="17" t="str">
        <f aca="false">IF($T591="","",IF($B$10=0,"",$T591/$B$10))</f>
        <v/>
      </c>
      <c r="V591" s="17" t="str">
        <f aca="false">IF($P591="","",IF($B$10=0,"",$P591/$B$10))</f>
        <v/>
      </c>
      <c r="W591" s="19" t="n">
        <f aca="false">IF($T591="",1000000000000000,$T591)</f>
        <v/>
      </c>
      <c r="XFB591" s="6"/>
      <c r="XFC591" s="3"/>
    </row>
    <row r="592" s="6" collapsed="false" customFormat="true" customHeight="true" hidden="false" ht="28.6" outlineLevel="0">
      <c r="A592" s="16" t="str">
        <f aca="false">IF($T592="","",1+COUNTIF($W$15:$W$894,"&lt;"&amp;W592))</f>
        <v/>
      </c>
      <c r="B592" s="16" t="s">
        <v>18</v>
      </c>
      <c r="C592" s="16" t="s">
        <v>1160</v>
      </c>
      <c r="D592" s="16" t="s">
        <v>95</v>
      </c>
      <c r="E592" s="16" t="s">
        <v>26</v>
      </c>
      <c r="F592" s="16" t="s">
        <v>1161</v>
      </c>
      <c r="G592" s="17">
        <v>1782</v>
      </c>
      <c r="H592" s="17"/>
      <c r="I592" s="17"/>
      <c r="J592" s="17">
        <v>1800</v>
      </c>
      <c r="K592" s="17" t="n">
        <f aca="false">IF(AND(IFERROR(SEARCH("현대오일뱅크",$C592),0)&gt;0,IFERROR(SEARCH("직영",$C592),0)&gt;0),$B$13,0)</f>
        <v/>
      </c>
      <c r="L592" s="17" t="n">
        <f aca="false">IF($G592="","",$G592+$K592)</f>
        <v/>
      </c>
      <c r="M592" s="17" t="str">
        <f aca="false">IF($H592="","",$H592+$K592)</f>
        <v/>
      </c>
      <c r="N592" s="17" t="n">
        <f aca="false">IF($J592="","",$J592+$K592)</f>
        <v/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 t="str">
        <f aca="false">IF($B$10=0,"",IFERROR(IF($B$4&gt;0,IF($L592="",1/0,$L592*$B$4),0)+IF($B$5&gt;0,IF($M592="",1/0,$M592*$B$5),0)+IF($B$6&gt;0,IF($N592="",1/0,$N592*$B$6),0),""))</f>
        <v/>
      </c>
      <c r="Q592" s="17"/>
      <c r="R592" s="18" t="str">
        <f aca="false">IF($P592="","",IF($Q592="Y",IFERROR(VLOOKUP($B592,$C$4:$D$13,2,FALSE()),0),0))</f>
        <v/>
      </c>
      <c r="S592" s="17" t="str">
        <f aca="false">IF($P592="","",ROUNDDOWN($P592*$R592,0))</f>
        <v/>
      </c>
      <c r="T592" s="17" t="str">
        <f aca="false">IF($P592="","",$P592-$S592)</f>
        <v/>
      </c>
      <c r="U592" s="17" t="str">
        <f aca="false">IF($T592="","",IF($B$10=0,"",$T592/$B$10))</f>
        <v/>
      </c>
      <c r="V592" s="17" t="str">
        <f aca="false">IF($P592="","",IF($B$10=0,"",$P592/$B$10))</f>
        <v/>
      </c>
      <c r="W592" s="19" t="n">
        <f aca="false">IF($T592="",1000000000000000,$T592)</f>
        <v/>
      </c>
      <c r="XFC592" s="3"/>
    </row>
    <row r="593" s="21" collapsed="false" customFormat="true" customHeight="true" hidden="false" ht="28.5" outlineLevel="0">
      <c r="A593" s="16" t="str">
        <f aca="false">IF($T593="","",1+COUNTIF($W$15:$W$894,"&lt;"&amp;W593))</f>
        <v/>
      </c>
      <c r="B593" s="16" t="s">
        <v>10</v>
      </c>
      <c r="C593" s="16" t="s">
        <v>1162</v>
      </c>
      <c r="D593" s="20" t="s">
        <v>86</v>
      </c>
      <c r="E593" s="16" t="s">
        <v>26</v>
      </c>
      <c r="F593" s="16" t="s">
        <v>1163</v>
      </c>
      <c r="G593" s="17">
        <v>1782</v>
      </c>
      <c r="H593" s="17"/>
      <c r="I593" s="17"/>
      <c r="J593" s="17">
        <v>1829</v>
      </c>
      <c r="K593" s="17" t="n">
        <f aca="false">IF(AND(IFERROR(SEARCH("현대오일뱅크",$C593),0)&gt;0,IFERROR(SEARCH("직영",$C593),0)&gt;0),$B$13,0)</f>
        <v/>
      </c>
      <c r="L593" s="17" t="n">
        <f aca="false">IF($G593="","",$G593+$K593)</f>
        <v/>
      </c>
      <c r="M593" s="17" t="str">
        <f aca="false">IF($H593="","",$H593+$K593)</f>
        <v/>
      </c>
      <c r="N593" s="17" t="n">
        <f aca="false">IF($J593="","",$J593+$K593)</f>
        <v/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 t="str">
        <f aca="false">IF($B$10=0,"",IFERROR(IF($B$4&gt;0,IF($L593="",1/0,$L593*$B$4),0)+IF($B$5&gt;0,IF($M593="",1/0,$M593*$B$5),0)+IF($B$6&gt;0,IF($N593="",1/0,$N593*$B$6),0),""))</f>
        <v/>
      </c>
      <c r="Q593" s="17"/>
      <c r="R593" s="18" t="str">
        <f aca="false">IF($P593="","",IF($Q593="Y",IFERROR(VLOOKUP($B593,$C$4:$D$13,2,FALSE()),0),0))</f>
        <v/>
      </c>
      <c r="S593" s="17" t="str">
        <f aca="false">IF($P593="","",ROUNDDOWN($P593*$R593,0))</f>
        <v/>
      </c>
      <c r="T593" s="17" t="str">
        <f aca="false">IF($P593="","",$P593-$S593)</f>
        <v/>
      </c>
      <c r="U593" s="17" t="str">
        <f aca="false">IF($T593="","",IF($B$10=0,"",$T593/$B$10))</f>
        <v/>
      </c>
      <c r="V593" s="17" t="str">
        <f aca="false">IF($P593="","",IF($B$10=0,"",$P593/$B$10))</f>
        <v/>
      </c>
      <c r="W593" s="19" t="n">
        <f aca="false">IF($T593="",1000000000000000,$T593)</f>
        <v/>
      </c>
      <c r="XFB593" s="6"/>
      <c r="XFC593" s="3"/>
    </row>
    <row r="594" s="21" collapsed="false" customFormat="true" customHeight="true" hidden="false" ht="28.5" outlineLevel="0">
      <c r="A594" s="16" t="str">
        <f aca="false">IF($T594="","",1+COUNTIF($W$15:$W$894,"&lt;"&amp;W594))</f>
        <v/>
      </c>
      <c r="B594" s="16" t="s">
        <v>10</v>
      </c>
      <c r="C594" s="16" t="s">
        <v>1355</v>
      </c>
      <c r="D594" s="16" t="s">
        <v>45</v>
      </c>
      <c r="E594" s="16" t="s">
        <v>26</v>
      </c>
      <c r="F594" s="16" t="s">
        <v>1356</v>
      </c>
      <c r="G594" s="17">
        <v>1783</v>
      </c>
      <c r="H594" s="17"/>
      <c r="I594" s="17"/>
      <c r="J594" s="17">
        <v>1744</v>
      </c>
      <c r="K594" s="17" t="n">
        <f aca="false">IF(AND(IFERROR(SEARCH("현대오일뱅크",$C594),0)&gt;0,IFERROR(SEARCH("직영",$C594),0)&gt;0),$B$13,0)</f>
        <v/>
      </c>
      <c r="L594" s="17" t="n">
        <f aca="false">IF($G594="","",$G594+$K594)</f>
        <v/>
      </c>
      <c r="M594" s="17" t="str">
        <f aca="false">IF($H594="","",$H594+$K594)</f>
        <v/>
      </c>
      <c r="N594" s="17" t="n">
        <f aca="false">IF($J594="","",$J594+$K594)</f>
        <v/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 t="str">
        <f aca="false">IF($B$10=0,"",IFERROR(IF($B$4&gt;0,IF($L594="",1/0,$L594*$B$4),0)+IF($B$5&gt;0,IF($M594="",1/0,$M594*$B$5),0)+IF($B$6&gt;0,IF($N594="",1/0,$N594*$B$6),0),""))</f>
        <v/>
      </c>
      <c r="Q594" s="17"/>
      <c r="R594" s="18" t="str">
        <f aca="false">IF($P594="","",IF($Q594="Y",IFERROR(VLOOKUP($B594,$C$4:$D$13,2,FALSE()),0),0))</f>
        <v/>
      </c>
      <c r="S594" s="17" t="str">
        <f aca="false">IF($P594="","",ROUNDDOWN($P594*$R594,0))</f>
        <v/>
      </c>
      <c r="T594" s="17" t="str">
        <f aca="false">IF($P594="","",$P594-$S594)</f>
        <v/>
      </c>
      <c r="U594" s="17" t="str">
        <f aca="false">IF($T594="","",IF($B$10=0,"",$T594/$B$10))</f>
        <v/>
      </c>
      <c r="V594" s="17" t="str">
        <f aca="false">IF($P594="","",IF($B$10=0,"",$P594/$B$10))</f>
        <v/>
      </c>
      <c r="W594" s="19" t="n">
        <f aca="false">IF($T594="",1000000000000000,$T594)</f>
        <v/>
      </c>
      <c r="XFB594" s="6"/>
      <c r="XFC594" s="3"/>
    </row>
    <row r="595" s="21" collapsed="false" customFormat="true" customHeight="true" hidden="false" ht="28.5" outlineLevel="0">
      <c r="A595" s="16" t="str">
        <f aca="false">IF($T595="","",1+COUNTIF($W$15:$W$894,"&lt;"&amp;W595))</f>
        <v/>
      </c>
      <c r="B595" s="16" t="s">
        <v>10</v>
      </c>
      <c r="C595" s="16" t="s">
        <v>1359</v>
      </c>
      <c r="D595" s="16" t="s">
        <v>45</v>
      </c>
      <c r="E595" s="16" t="s">
        <v>26</v>
      </c>
      <c r="F595" s="16" t="s">
        <v>1360</v>
      </c>
      <c r="G595" s="17">
        <v>1783</v>
      </c>
      <c r="H595" s="17"/>
      <c r="I595" s="17"/>
      <c r="J595" s="17">
        <v>1778</v>
      </c>
      <c r="K595" s="17" t="n">
        <f aca="false">IF(AND(IFERROR(SEARCH("현대오일뱅크",$C595),0)&gt;0,IFERROR(SEARCH("직영",$C595),0)&gt;0),$B$13,0)</f>
        <v/>
      </c>
      <c r="L595" s="17" t="n">
        <f aca="false">IF($G595="","",$G595+$K595)</f>
        <v/>
      </c>
      <c r="M595" s="17" t="str">
        <f aca="false">IF($H595="","",$H595+$K595)</f>
        <v/>
      </c>
      <c r="N595" s="17" t="n">
        <f aca="false">IF($J595="","",$J595+$K595)</f>
        <v/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 t="str">
        <f aca="false">IF($B$10=0,"",IFERROR(IF($B$4&gt;0,IF($L595="",1/0,$L595*$B$4),0)+IF($B$5&gt;0,IF($M595="",1/0,$M595*$B$5),0)+IF($B$6&gt;0,IF($N595="",1/0,$N595*$B$6),0),""))</f>
        <v/>
      </c>
      <c r="Q595" s="17"/>
      <c r="R595" s="18" t="str">
        <f aca="false">IF($P595="","",IF($Q595="Y",IFERROR(VLOOKUP($B595,$C$4:$D$13,2,FALSE()),0),0))</f>
        <v/>
      </c>
      <c r="S595" s="17" t="str">
        <f aca="false">IF($P595="","",ROUNDDOWN($P595*$R595,0))</f>
        <v/>
      </c>
      <c r="T595" s="17" t="str">
        <f aca="false">IF($P595="","",$P595-$S595)</f>
        <v/>
      </c>
      <c r="U595" s="17" t="str">
        <f aca="false">IF($T595="","",IF($B$10=0,"",$T595/$B$10))</f>
        <v/>
      </c>
      <c r="V595" s="17" t="str">
        <f aca="false">IF($P595="","",IF($B$10=0,"",$P595/$B$10))</f>
        <v/>
      </c>
      <c r="W595" s="19" t="n">
        <f aca="false">IF($T595="",1000000000000000,$T595)</f>
        <v/>
      </c>
      <c r="XFB595" s="6"/>
      <c r="XFC595" s="3"/>
    </row>
    <row r="596" s="5" collapsed="false" customFormat="true" customHeight="true" hidden="false" ht="28.5" outlineLevel="0">
      <c r="A596" s="16" t="str">
        <f aca="false">IF($T596="","",1+COUNTIF($W$15:$W$894,"&lt;"&amp;W596))</f>
        <v/>
      </c>
      <c r="B596" s="16" t="s">
        <v>12</v>
      </c>
      <c r="C596" s="16" t="s">
        <v>1210</v>
      </c>
      <c r="D596" s="16" t="s">
        <v>296</v>
      </c>
      <c r="E596" s="16" t="s">
        <v>26</v>
      </c>
      <c r="F596" s="16" t="s">
        <v>1211</v>
      </c>
      <c r="G596" s="17">
        <v>1783</v>
      </c>
      <c r="H596" s="17"/>
      <c r="I596" s="17"/>
      <c r="J596" s="17">
        <v>1781</v>
      </c>
      <c r="K596" s="17" t="n">
        <f aca="false">IF(AND(IFERROR(SEARCH("현대오일뱅크",$C596),0)&gt;0,IFERROR(SEARCH("직영",$C596),0)&gt;0),$B$13,0)</f>
        <v/>
      </c>
      <c r="L596" s="17" t="n">
        <f aca="false">IF($G596="","",$G596+$K596)</f>
        <v/>
      </c>
      <c r="M596" s="17" t="str">
        <f aca="false">IF($H596="","",$H596+$K596)</f>
        <v/>
      </c>
      <c r="N596" s="17" t="n">
        <f aca="false">IF($J596="","",$J596+$K596)</f>
        <v/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 t="str">
        <f aca="false">IF($B$10=0,"",IFERROR(IF($B$4&gt;0,IF($L596="",1/0,$L596*$B$4),0)+IF($B$5&gt;0,IF($M596="",1/0,$M596*$B$5),0)+IF($B$6&gt;0,IF($N596="",1/0,$N596*$B$6),0),""))</f>
        <v/>
      </c>
      <c r="Q596" s="17"/>
      <c r="R596" s="18" t="str">
        <f aca="false">IF($P596="","",IF($Q596="Y",IFERROR(VLOOKUP($B596,$C$4:$D$13,2,FALSE()),0),0))</f>
        <v/>
      </c>
      <c r="S596" s="17" t="str">
        <f aca="false">IF($P596="","",ROUNDDOWN($P596*$R596,0))</f>
        <v/>
      </c>
      <c r="T596" s="17" t="str">
        <f aca="false">IF($P596="","",$P596-$S596)</f>
        <v/>
      </c>
      <c r="U596" s="17" t="str">
        <f aca="false">IF($T596="","",IF($B$10=0,"",$T596/$B$10))</f>
        <v/>
      </c>
      <c r="V596" s="17" t="str">
        <f aca="false">IF($P596="","",IF($B$10=0,"",$P596/$B$10))</f>
        <v/>
      </c>
      <c r="W596" s="19" t="n">
        <f aca="false">IF($T596="",1000000000000000,$T596)</f>
        <v/>
      </c>
      <c r="XFB596" s="6"/>
      <c r="XFC596" s="3"/>
    </row>
    <row r="597" s="5" collapsed="false" customFormat="true" customHeight="true" hidden="false" ht="28.5" outlineLevel="0">
      <c r="A597" s="16" t="str">
        <f aca="false">IF($T597="","",1+COUNTIF($W$15:$W$894,"&lt;"&amp;W597))</f>
        <v/>
      </c>
      <c r="B597" s="16" t="s">
        <v>10</v>
      </c>
      <c r="C597" s="16" t="s">
        <v>1166</v>
      </c>
      <c r="D597" s="16" t="s">
        <v>296</v>
      </c>
      <c r="E597" s="16" t="s">
        <v>26</v>
      </c>
      <c r="F597" s="16" t="s">
        <v>1167</v>
      </c>
      <c r="G597" s="17">
        <v>1783</v>
      </c>
      <c r="H597" s="17"/>
      <c r="I597" s="17"/>
      <c r="J597" s="17">
        <v>1783</v>
      </c>
      <c r="K597" s="17" t="n">
        <f aca="false">IF(AND(IFERROR(SEARCH("현대오일뱅크",$C597),0)&gt;0,IFERROR(SEARCH("직영",$C597),0)&gt;0),$B$13,0)</f>
        <v/>
      </c>
      <c r="L597" s="17" t="n">
        <f aca="false">IF($G597="","",$G597+$K597)</f>
        <v/>
      </c>
      <c r="M597" s="17" t="str">
        <f aca="false">IF($H597="","",$H597+$K597)</f>
        <v/>
      </c>
      <c r="N597" s="17" t="n">
        <f aca="false">IF($J597="","",$J597+$K597)</f>
        <v/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 t="str">
        <f aca="false">IF($B$10=0,"",IFERROR(IF($B$4&gt;0,IF($L597="",1/0,$L597*$B$4),0)+IF($B$5&gt;0,IF($M597="",1/0,$M597*$B$5),0)+IF($B$6&gt;0,IF($N597="",1/0,$N597*$B$6),0),""))</f>
        <v/>
      </c>
      <c r="Q597" s="17"/>
      <c r="R597" s="18" t="str">
        <f aca="false">IF($P597="","",IF($Q597="Y",IFERROR(VLOOKUP($B597,$C$4:$D$13,2,FALSE()),0),0))</f>
        <v/>
      </c>
      <c r="S597" s="17" t="str">
        <f aca="false">IF($P597="","",ROUNDDOWN($P597*$R597,0))</f>
        <v/>
      </c>
      <c r="T597" s="17" t="str">
        <f aca="false">IF($P597="","",$P597-$S597)</f>
        <v/>
      </c>
      <c r="U597" s="17" t="str">
        <f aca="false">IF($T597="","",IF($B$10=0,"",$T597/$B$10))</f>
        <v/>
      </c>
      <c r="V597" s="17" t="str">
        <f aca="false">IF($P597="","",IF($B$10=0,"",$P597/$B$10))</f>
        <v/>
      </c>
      <c r="W597" s="19" t="n">
        <f aca="false">IF($T597="",1000000000000000,$T597)</f>
        <v/>
      </c>
      <c r="XFB597" s="6"/>
      <c r="XFC597" s="3"/>
    </row>
    <row r="598" s="5" collapsed="false" customFormat="true" customHeight="true" hidden="false" ht="28.5" outlineLevel="0">
      <c r="A598" s="16" t="str">
        <f aca="false">IF($T598="","",1+COUNTIF($W$15:$W$894,"&lt;"&amp;W598))</f>
        <v/>
      </c>
      <c r="B598" s="16" t="s">
        <v>10</v>
      </c>
      <c r="C598" s="16" t="s">
        <v>1168</v>
      </c>
      <c r="D598" s="16" t="s">
        <v>296</v>
      </c>
      <c r="E598" s="16" t="s">
        <v>26</v>
      </c>
      <c r="F598" s="16" t="s">
        <v>1169</v>
      </c>
      <c r="G598" s="17">
        <v>1783</v>
      </c>
      <c r="H598" s="17"/>
      <c r="I598" s="17"/>
      <c r="J598" s="17">
        <v>1783</v>
      </c>
      <c r="K598" s="17" t="n">
        <f aca="false">IF(AND(IFERROR(SEARCH("현대오일뱅크",$C598),0)&gt;0,IFERROR(SEARCH("직영",$C598),0)&gt;0),$B$13,0)</f>
        <v/>
      </c>
      <c r="L598" s="17" t="n">
        <f aca="false">IF($G598="","",$G598+$K598)</f>
        <v/>
      </c>
      <c r="M598" s="17" t="str">
        <f aca="false">IF($H598="","",$H598+$K598)</f>
        <v/>
      </c>
      <c r="N598" s="17" t="n">
        <f aca="false">IF($J598="","",$J598+$K598)</f>
        <v/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 t="str">
        <f aca="false">IF($B$10=0,"",IFERROR(IF($B$4&gt;0,IF($L598="",1/0,$L598*$B$4),0)+IF($B$5&gt;0,IF($M598="",1/0,$M598*$B$5),0)+IF($B$6&gt;0,IF($N598="",1/0,$N598*$B$6),0),""))</f>
        <v/>
      </c>
      <c r="Q598" s="17"/>
      <c r="R598" s="18" t="str">
        <f aca="false">IF($P598="","",IF($Q598="Y",IFERROR(VLOOKUP($B598,$C$4:$D$13,2,FALSE()),0),0))</f>
        <v/>
      </c>
      <c r="S598" s="17" t="str">
        <f aca="false">IF($P598="","",ROUNDDOWN($P598*$R598,0))</f>
        <v/>
      </c>
      <c r="T598" s="17" t="str">
        <f aca="false">IF($P598="","",$P598-$S598)</f>
        <v/>
      </c>
      <c r="U598" s="17" t="str">
        <f aca="false">IF($T598="","",IF($B$10=0,"",$T598/$B$10))</f>
        <v/>
      </c>
      <c r="V598" s="17" t="str">
        <f aca="false">IF($P598="","",IF($B$10=0,"",$P598/$B$10))</f>
        <v/>
      </c>
      <c r="W598" s="19" t="n">
        <f aca="false">IF($T598="",1000000000000000,$T598)</f>
        <v/>
      </c>
      <c r="XFB598" s="6"/>
      <c r="XFC598" s="3"/>
    </row>
    <row r="599" s="21" collapsed="false" customFormat="true" customHeight="true" hidden="false" ht="28.5" outlineLevel="0">
      <c r="A599" s="16" t="str">
        <f aca="false">IF($T599="","",1+COUNTIF($W$15:$W$894,"&lt;"&amp;W599))</f>
        <v/>
      </c>
      <c r="B599" s="16" t="s">
        <v>10</v>
      </c>
      <c r="C599" s="16" t="s">
        <v>1170</v>
      </c>
      <c r="D599" s="16" t="s">
        <v>95</v>
      </c>
      <c r="E599" s="16" t="s">
        <v>26</v>
      </c>
      <c r="F599" s="16" t="s">
        <v>1171</v>
      </c>
      <c r="G599" s="17">
        <v>1783</v>
      </c>
      <c r="H599" s="17"/>
      <c r="I599" s="17"/>
      <c r="J599" s="17">
        <v>1783</v>
      </c>
      <c r="K599" s="17" t="n">
        <f aca="false">IF(AND(IFERROR(SEARCH("현대오일뱅크",$C599),0)&gt;0,IFERROR(SEARCH("직영",$C599),0)&gt;0),$B$13,0)</f>
        <v/>
      </c>
      <c r="L599" s="17" t="n">
        <f aca="false">IF($G599="","",$G599+$K599)</f>
        <v/>
      </c>
      <c r="M599" s="17" t="str">
        <f aca="false">IF($H599="","",$H599+$K599)</f>
        <v/>
      </c>
      <c r="N599" s="17" t="n">
        <f aca="false">IF($J599="","",$J599+$K599)</f>
        <v/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 t="str">
        <f aca="false">IF($B$10=0,"",IFERROR(IF($B$4&gt;0,IF($L599="",1/0,$L599*$B$4),0)+IF($B$5&gt;0,IF($M599="",1/0,$M599*$B$5),0)+IF($B$6&gt;0,IF($N599="",1/0,$N599*$B$6),0),""))</f>
        <v/>
      </c>
      <c r="Q599" s="17"/>
      <c r="R599" s="18" t="str">
        <f aca="false">IF($P599="","",IF($Q599="Y",IFERROR(VLOOKUP($B599,$C$4:$D$13,2,FALSE()),0),0))</f>
        <v/>
      </c>
      <c r="S599" s="17" t="str">
        <f aca="false">IF($P599="","",ROUNDDOWN($P599*$R599,0))</f>
        <v/>
      </c>
      <c r="T599" s="17" t="str">
        <f aca="false">IF($P599="","",$P599-$S599)</f>
        <v/>
      </c>
      <c r="U599" s="17" t="str">
        <f aca="false">IF($T599="","",IF($B$10=0,"",$T599/$B$10))</f>
        <v/>
      </c>
      <c r="V599" s="17" t="str">
        <f aca="false">IF($P599="","",IF($B$10=0,"",$P599/$B$10))</f>
        <v/>
      </c>
      <c r="W599" s="19" t="n">
        <f aca="false">IF($T599="",1000000000000000,$T599)</f>
        <v/>
      </c>
      <c r="XFB599" s="6"/>
      <c r="XFC599" s="3"/>
    </row>
    <row r="600" s="21" collapsed="false" customFormat="true" customHeight="true" hidden="false" ht="28.5" outlineLevel="0">
      <c r="A600" s="16" t="str">
        <f aca="false">IF($T600="","",1+COUNTIF($W$15:$W$894,"&lt;"&amp;W600))</f>
        <v/>
      </c>
      <c r="B600" s="16" t="s">
        <v>10</v>
      </c>
      <c r="C600" s="16" t="s">
        <v>1172</v>
      </c>
      <c r="D600" s="16" t="s">
        <v>51</v>
      </c>
      <c r="E600" s="16" t="s">
        <v>26</v>
      </c>
      <c r="F600" s="16" t="s">
        <v>1173</v>
      </c>
      <c r="G600" s="17">
        <v>1783</v>
      </c>
      <c r="H600" s="17"/>
      <c r="I600" s="17"/>
      <c r="J600" s="17">
        <v>1783</v>
      </c>
      <c r="K600" s="17" t="n">
        <f aca="false">IF(AND(IFERROR(SEARCH("현대오일뱅크",$C600),0)&gt;0,IFERROR(SEARCH("직영",$C600),0)&gt;0),$B$13,0)</f>
        <v/>
      </c>
      <c r="L600" s="17" t="n">
        <f aca="false">IF($G600="","",$G600+$K600)</f>
        <v/>
      </c>
      <c r="M600" s="17" t="str">
        <f aca="false">IF($H600="","",$H600+$K600)</f>
        <v/>
      </c>
      <c r="N600" s="17" t="n">
        <f aca="false">IF($J600="","",$J600+$K600)</f>
        <v/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 t="str">
        <f aca="false">IF($B$10=0,"",IFERROR(IF($B$4&gt;0,IF($L600="",1/0,$L600*$B$4),0)+IF($B$5&gt;0,IF($M600="",1/0,$M600*$B$5),0)+IF($B$6&gt;0,IF($N600="",1/0,$N600*$B$6),0),""))</f>
        <v/>
      </c>
      <c r="Q600" s="17"/>
      <c r="R600" s="18" t="str">
        <f aca="false">IF($P600="","",IF($Q600="Y",IFERROR(VLOOKUP($B600,$C$4:$D$13,2,FALSE()),0),0))</f>
        <v/>
      </c>
      <c r="S600" s="17" t="str">
        <f aca="false">IF($P600="","",ROUNDDOWN($P600*$R600,0))</f>
        <v/>
      </c>
      <c r="T600" s="17" t="str">
        <f aca="false">IF($P600="","",$P600-$S600)</f>
        <v/>
      </c>
      <c r="U600" s="17" t="str">
        <f aca="false">IF($T600="","",IF($B$10=0,"",$T600/$B$10))</f>
        <v/>
      </c>
      <c r="V600" s="17" t="str">
        <f aca="false">IF($P600="","",IF($B$10=0,"",$P600/$B$10))</f>
        <v/>
      </c>
      <c r="W600" s="19" t="n">
        <f aca="false">IF($T600="",1000000000000000,$T600)</f>
        <v/>
      </c>
      <c r="XFB600" s="6"/>
      <c r="XFC600" s="3"/>
    </row>
    <row r="601" s="6" collapsed="false" customFormat="true" customHeight="true" hidden="false" ht="28.6" outlineLevel="0">
      <c r="A601" s="16" t="str">
        <f aca="false">IF($T601="","",1+COUNTIF($W$15:$W$894,"&lt;"&amp;W601))</f>
        <v/>
      </c>
      <c r="B601" s="16" t="s">
        <v>12</v>
      </c>
      <c r="C601" s="16" t="s">
        <v>1174</v>
      </c>
      <c r="D601" s="20" t="s">
        <v>51</v>
      </c>
      <c r="E601" s="16" t="s">
        <v>26</v>
      </c>
      <c r="F601" s="16" t="s">
        <v>1175</v>
      </c>
      <c r="G601" s="17">
        <v>1784</v>
      </c>
      <c r="H601" s="17"/>
      <c r="I601" s="17"/>
      <c r="J601" s="17">
        <v>1770</v>
      </c>
      <c r="K601" s="17" t="n">
        <f aca="false">IF(AND(IFERROR(SEARCH("현대오일뱅크",$C601),0)&gt;0,IFERROR(SEARCH("직영",$C601),0)&gt;0),$B$13,0)</f>
        <v/>
      </c>
      <c r="L601" s="17" t="n">
        <f aca="false">IF($G601="","",$G601+$K601)</f>
        <v/>
      </c>
      <c r="M601" s="17" t="str">
        <f aca="false">IF($H601="","",$H601+$K601)</f>
        <v/>
      </c>
      <c r="N601" s="17" t="n">
        <f aca="false">IF($J601="","",$J601+$K601)</f>
        <v/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 t="str">
        <f aca="false">IF($B$10=0,"",IFERROR(IF($B$4&gt;0,IF($L601="",1/0,$L601*$B$4),0)+IF($B$5&gt;0,IF($M601="",1/0,$M601*$B$5),0)+IF($B$6&gt;0,IF($N601="",1/0,$N601*$B$6),0),""))</f>
        <v/>
      </c>
      <c r="Q601" s="17"/>
      <c r="R601" s="18" t="str">
        <f aca="false">IF($P601="","",IF($Q601="Y",IFERROR(VLOOKUP($B601,$C$4:$D$13,2,FALSE()),0),0))</f>
        <v/>
      </c>
      <c r="S601" s="17" t="str">
        <f aca="false">IF($P601="","",ROUNDDOWN($P601*$R601,0))</f>
        <v/>
      </c>
      <c r="T601" s="17" t="str">
        <f aca="false">IF($P601="","",$P601-$S601)</f>
        <v/>
      </c>
      <c r="U601" s="17" t="str">
        <f aca="false">IF($T601="","",IF($B$10=0,"",$T601/$B$10))</f>
        <v/>
      </c>
      <c r="V601" s="17" t="str">
        <f aca="false">IF($P601="","",IF($B$10=0,"",$P601/$B$10))</f>
        <v/>
      </c>
      <c r="W601" s="19" t="n">
        <f aca="false">IF($T601="",1000000000000000,$T601)</f>
        <v/>
      </c>
      <c r="XFC601" s="3"/>
    </row>
    <row r="602" s="21" collapsed="false" customFormat="true" customHeight="true" hidden="false" ht="28.5" outlineLevel="0">
      <c r="A602" s="16" t="str">
        <f aca="false">IF($T602="","",1+COUNTIF($W$15:$W$894,"&lt;"&amp;W602))</f>
        <v/>
      </c>
      <c r="B602" s="16" t="s">
        <v>10</v>
      </c>
      <c r="C602" s="16" t="s">
        <v>1176</v>
      </c>
      <c r="D602" s="16" t="s">
        <v>45</v>
      </c>
      <c r="E602" s="16" t="s">
        <v>26</v>
      </c>
      <c r="F602" s="16" t="s">
        <v>1177</v>
      </c>
      <c r="G602" s="17">
        <v>1784</v>
      </c>
      <c r="H602" s="17"/>
      <c r="I602" s="17"/>
      <c r="J602" s="17">
        <v>1779</v>
      </c>
      <c r="K602" s="17" t="n">
        <f aca="false">IF(AND(IFERROR(SEARCH("현대오일뱅크",$C602),0)&gt;0,IFERROR(SEARCH("직영",$C602),0)&gt;0),$B$13,0)</f>
        <v/>
      </c>
      <c r="L602" s="17" t="n">
        <f aca="false">IF($G602="","",$G602+$K602)</f>
        <v/>
      </c>
      <c r="M602" s="17" t="str">
        <f aca="false">IF($H602="","",$H602+$K602)</f>
        <v/>
      </c>
      <c r="N602" s="17" t="n">
        <f aca="false">IF($J602="","",$J602+$K602)</f>
        <v/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 t="str">
        <f aca="false">IF($B$10=0,"",IFERROR(IF($B$4&gt;0,IF($L602="",1/0,$L602*$B$4),0)+IF($B$5&gt;0,IF($M602="",1/0,$M602*$B$5),0)+IF($B$6&gt;0,IF($N602="",1/0,$N602*$B$6),0),""))</f>
        <v/>
      </c>
      <c r="Q602" s="17"/>
      <c r="R602" s="18" t="str">
        <f aca="false">IF($P602="","",IF($Q602="Y",IFERROR(VLOOKUP($B602,$C$4:$D$13,2,FALSE()),0),0))</f>
        <v/>
      </c>
      <c r="S602" s="17" t="str">
        <f aca="false">IF($P602="","",ROUNDDOWN($P602*$R602,0))</f>
        <v/>
      </c>
      <c r="T602" s="17" t="str">
        <f aca="false">IF($P602="","",$P602-$S602)</f>
        <v/>
      </c>
      <c r="U602" s="17" t="str">
        <f aca="false">IF($T602="","",IF($B$10=0,"",$T602/$B$10))</f>
        <v/>
      </c>
      <c r="V602" s="17" t="str">
        <f aca="false">IF($P602="","",IF($B$10=0,"",$P602/$B$10))</f>
        <v/>
      </c>
      <c r="W602" s="19" t="n">
        <f aca="false">IF($T602="",1000000000000000,$T602)</f>
        <v/>
      </c>
      <c r="XFB602" s="6"/>
      <c r="XFC602" s="3"/>
    </row>
    <row r="603" s="21" collapsed="false" customFormat="true" customHeight="true" hidden="false" ht="28.5" outlineLevel="0">
      <c r="A603" s="16" t="str">
        <f aca="false">IF($T603="","",1+COUNTIF($W$15:$W$894,"&lt;"&amp;W603))</f>
        <v/>
      </c>
      <c r="B603" s="16" t="s">
        <v>10</v>
      </c>
      <c r="C603" s="16" t="s">
        <v>1178</v>
      </c>
      <c r="D603" s="16" t="s">
        <v>56</v>
      </c>
      <c r="E603" s="16" t="s">
        <v>26</v>
      </c>
      <c r="F603" s="16" t="s">
        <v>1179</v>
      </c>
      <c r="G603" s="17">
        <v>1784</v>
      </c>
      <c r="H603" s="17"/>
      <c r="I603" s="17"/>
      <c r="J603" s="17">
        <v>1779</v>
      </c>
      <c r="K603" s="17" t="n">
        <f aca="false">IF(AND(IFERROR(SEARCH("현대오일뱅크",$C603),0)&gt;0,IFERROR(SEARCH("직영",$C603),0)&gt;0),$B$13,0)</f>
        <v/>
      </c>
      <c r="L603" s="17" t="n">
        <f aca="false">IF($G603="","",$G603+$K603)</f>
        <v/>
      </c>
      <c r="M603" s="17" t="str">
        <f aca="false">IF($H603="","",$H603+$K603)</f>
        <v/>
      </c>
      <c r="N603" s="17" t="n">
        <f aca="false">IF($J603="","",$J603+$K603)</f>
        <v/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 t="str">
        <f aca="false">IF($B$10=0,"",IFERROR(IF($B$4&gt;0,IF($L603="",1/0,$L603*$B$4),0)+IF($B$5&gt;0,IF($M603="",1/0,$M603*$B$5),0)+IF($B$6&gt;0,IF($N603="",1/0,$N603*$B$6),0),""))</f>
        <v/>
      </c>
      <c r="Q603" s="17"/>
      <c r="R603" s="18" t="str">
        <f aca="false">IF($P603="","",IF($Q603="Y",IFERROR(VLOOKUP($B603,$C$4:$D$13,2,FALSE()),0),0))</f>
        <v/>
      </c>
      <c r="S603" s="17" t="str">
        <f aca="false">IF($P603="","",ROUNDDOWN($P603*$R603,0))</f>
        <v/>
      </c>
      <c r="T603" s="17" t="str">
        <f aca="false">IF($P603="","",$P603-$S603)</f>
        <v/>
      </c>
      <c r="U603" s="17" t="str">
        <f aca="false">IF($T603="","",IF($B$10=0,"",$T603/$B$10))</f>
        <v/>
      </c>
      <c r="V603" s="17" t="str">
        <f aca="false">IF($P603="","",IF($B$10=0,"",$P603/$B$10))</f>
        <v/>
      </c>
      <c r="W603" s="19" t="n">
        <f aca="false">IF($T603="",1000000000000000,$T603)</f>
        <v/>
      </c>
      <c r="XFB603" s="6"/>
      <c r="XFC603" s="3"/>
    </row>
    <row r="604" s="21" collapsed="false" customFormat="true" customHeight="true" hidden="false" ht="28.5" outlineLevel="0">
      <c r="A604" s="16" t="str">
        <f aca="false">IF($T604="","",1+COUNTIF($W$15:$W$894,"&lt;"&amp;W604))</f>
        <v/>
      </c>
      <c r="B604" s="16" t="s">
        <v>10</v>
      </c>
      <c r="C604" s="16" t="s">
        <v>1184</v>
      </c>
      <c r="D604" s="16" t="s">
        <v>95</v>
      </c>
      <c r="E604" s="16" t="s">
        <v>26</v>
      </c>
      <c r="F604" s="16" t="s">
        <v>1185</v>
      </c>
      <c r="G604" s="17">
        <v>1784</v>
      </c>
      <c r="H604" s="17"/>
      <c r="I604" s="17"/>
      <c r="J604" s="17">
        <v>1782</v>
      </c>
      <c r="K604" s="17" t="n">
        <f aca="false">IF(AND(IFERROR(SEARCH("현대오일뱅크",$C604),0)&gt;0,IFERROR(SEARCH("직영",$C604),0)&gt;0),$B$13,0)</f>
        <v/>
      </c>
      <c r="L604" s="17" t="n">
        <f aca="false">IF($G604="","",$G604+$K604)</f>
        <v/>
      </c>
      <c r="M604" s="17" t="str">
        <f aca="false">IF($H604="","",$H604+$K604)</f>
        <v/>
      </c>
      <c r="N604" s="17" t="n">
        <f aca="false">IF($J604="","",$J604+$K604)</f>
        <v/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 t="str">
        <f aca="false">IF($B$10=0,"",IFERROR(IF($B$4&gt;0,IF($L604="",1/0,$L604*$B$4),0)+IF($B$5&gt;0,IF($M604="",1/0,$M604*$B$5),0)+IF($B$6&gt;0,IF($N604="",1/0,$N604*$B$6),0),""))</f>
        <v/>
      </c>
      <c r="Q604" s="17"/>
      <c r="R604" s="18" t="str">
        <f aca="false">IF($P604="","",IF($Q604="Y",IFERROR(VLOOKUP($B604,$C$4:$D$13,2,FALSE()),0),0))</f>
        <v/>
      </c>
      <c r="S604" s="17" t="str">
        <f aca="false">IF($P604="","",ROUNDDOWN($P604*$R604,0))</f>
        <v/>
      </c>
      <c r="T604" s="17" t="str">
        <f aca="false">IF($P604="","",$P604-$S604)</f>
        <v/>
      </c>
      <c r="U604" s="17" t="str">
        <f aca="false">IF($T604="","",IF($B$10=0,"",$T604/$B$10))</f>
        <v/>
      </c>
      <c r="V604" s="17" t="str">
        <f aca="false">IF($P604="","",IF($B$10=0,"",$P604/$B$10))</f>
        <v/>
      </c>
      <c r="W604" s="19" t="n">
        <f aca="false">IF($T604="",1000000000000000,$T604)</f>
        <v/>
      </c>
      <c r="XFB604" s="6"/>
      <c r="XFC604" s="3"/>
    </row>
    <row r="605" s="21" collapsed="false" customFormat="true" customHeight="true" hidden="false" ht="28.5" outlineLevel="0">
      <c r="A605" s="16" t="str">
        <f aca="false">IF($T605="","",1+COUNTIF($W$15:$W$894,"&lt;"&amp;W605))</f>
        <v/>
      </c>
      <c r="B605" s="16" t="s">
        <v>10</v>
      </c>
      <c r="C605" s="16" t="s">
        <v>1190</v>
      </c>
      <c r="D605" s="16" t="s">
        <v>56</v>
      </c>
      <c r="E605" s="16" t="s">
        <v>63</v>
      </c>
      <c r="F605" s="16" t="s">
        <v>1191</v>
      </c>
      <c r="G605" s="17">
        <v>1784</v>
      </c>
      <c r="H605" s="17"/>
      <c r="I605" s="17"/>
      <c r="J605" s="17">
        <v>1784</v>
      </c>
      <c r="K605" s="17" t="n">
        <f aca="false">IF(AND(IFERROR(SEARCH("현대오일뱅크",$C605),0)&gt;0,IFERROR(SEARCH("직영",$C605),0)&gt;0),$B$13,0)</f>
        <v/>
      </c>
      <c r="L605" s="17" t="n">
        <f aca="false">IF($G605="","",$G605+$K605)</f>
        <v/>
      </c>
      <c r="M605" s="17" t="str">
        <f aca="false">IF($H605="","",$H605+$K605)</f>
        <v/>
      </c>
      <c r="N605" s="17" t="n">
        <f aca="false">IF($J605="","",$J605+$K605)</f>
        <v/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 t="str">
        <f aca="false">IF($B$10=0,"",IFERROR(IF($B$4&gt;0,IF($L605="",1/0,$L605*$B$4),0)+IF($B$5&gt;0,IF($M605="",1/0,$M605*$B$5),0)+IF($B$6&gt;0,IF($N605="",1/0,$N605*$B$6),0),""))</f>
        <v/>
      </c>
      <c r="Q605" s="17"/>
      <c r="R605" s="18" t="str">
        <f aca="false">IF($P605="","",IF($Q605="Y",IFERROR(VLOOKUP($B605,$C$4:$D$13,2,FALSE()),0),0))</f>
        <v/>
      </c>
      <c r="S605" s="17" t="str">
        <f aca="false">IF($P605="","",ROUNDDOWN($P605*$R605,0))</f>
        <v/>
      </c>
      <c r="T605" s="17" t="str">
        <f aca="false">IF($P605="","",$P605-$S605)</f>
        <v/>
      </c>
      <c r="U605" s="17" t="str">
        <f aca="false">IF($T605="","",IF($B$10=0,"",$T605/$B$10))</f>
        <v/>
      </c>
      <c r="V605" s="17" t="str">
        <f aca="false">IF($P605="","",IF($B$10=0,"",$P605/$B$10))</f>
        <v/>
      </c>
      <c r="W605" s="19" t="n">
        <f aca="false">IF($T605="",1000000000000000,$T605)</f>
        <v/>
      </c>
      <c r="XFB605" s="6"/>
      <c r="XFC605" s="3"/>
    </row>
    <row r="606" s="21" collapsed="false" customFormat="true" customHeight="true" hidden="false" ht="28.5" outlineLevel="0">
      <c r="A606" s="16" t="str">
        <f aca="false">IF($T606="","",1+COUNTIF($W$15:$W$894,"&lt;"&amp;W606))</f>
        <v/>
      </c>
      <c r="B606" s="16" t="s">
        <v>12</v>
      </c>
      <c r="C606" s="16" t="s">
        <v>1548</v>
      </c>
      <c r="D606" s="20" t="s">
        <v>45</v>
      </c>
      <c r="E606" s="16" t="s">
        <v>63</v>
      </c>
      <c r="F606" s="16" t="s">
        <v>1549</v>
      </c>
      <c r="G606" s="17">
        <v>1794</v>
      </c>
      <c r="H606" s="17"/>
      <c r="I606" s="17"/>
      <c r="J606" s="17">
        <v>1824</v>
      </c>
      <c r="K606" s="17" t="n">
        <v>0</v>
      </c>
      <c r="L606" s="17" t="n">
        <f aca="false">IF($G606="","",$G606+$K606)</f>
        <v/>
      </c>
      <c r="M606" s="17" t="str">
        <f aca="false">IF($H606="","",$H606+$K606)</f>
        <v/>
      </c>
      <c r="N606" s="17" t="n">
        <f aca="false">IF($J606="","",$J606+$K606)</f>
        <v/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 t="str">
        <f aca="false">IF($B$10=0,"",IFERROR(IF($B$4&gt;0,IF($L606="",1/0,$L606*$B$4),0)+IF($B$5&gt;0,IF($M606="",1/0,$M606*$B$5),0)+IF($B$6&gt;0,IF($N606="",1/0,$N606*$B$6),0),""))</f>
        <v/>
      </c>
      <c r="Q606" s="17"/>
      <c r="R606" s="18" t="str">
        <f aca="false">IF($P606="","",IF($Q606="Y",IFERROR(VLOOKUP($B606,$C$4:$D$13,2,FALSE()),0),0))</f>
        <v/>
      </c>
      <c r="S606" s="17" t="str">
        <f aca="false">IF($P606="","",ROUNDDOWN($P606*$R606,0))</f>
        <v/>
      </c>
      <c r="T606" s="17" t="str">
        <f aca="false">IF($P606="","",$P606-$S606)</f>
        <v/>
      </c>
      <c r="U606" s="17" t="str">
        <f aca="false">IF($T606="","",IF($B$10=0,"",$T606/$B$10))</f>
        <v/>
      </c>
      <c r="V606" s="17" t="str">
        <f aca="false">IF($P606="","",IF($B$10=0,"",$P606/$B$10))</f>
        <v/>
      </c>
      <c r="W606" s="19" t="n">
        <f aca="false">IF($T606="",1000000000000000,$T606)</f>
        <v/>
      </c>
      <c r="XFB606" s="6"/>
      <c r="XFC606" s="3"/>
    </row>
    <row r="607" s="21" collapsed="false" customFormat="true" customHeight="true" hidden="false" ht="28.5" outlineLevel="0">
      <c r="A607" s="16" t="str">
        <f aca="false">IF($T607="","",1+COUNTIF($W$15:$W$894,"&lt;"&amp;W607))</f>
        <v/>
      </c>
      <c r="B607" s="16" t="s">
        <v>6</v>
      </c>
      <c r="C607" s="16" t="s">
        <v>1196</v>
      </c>
      <c r="D607" s="16" t="s">
        <v>51</v>
      </c>
      <c r="E607" s="16" t="s">
        <v>26</v>
      </c>
      <c r="F607" s="16" t="s">
        <v>1197</v>
      </c>
      <c r="G607" s="17">
        <v>1785</v>
      </c>
      <c r="H607" s="17"/>
      <c r="I607" s="17"/>
      <c r="J607" s="17">
        <v>1785</v>
      </c>
      <c r="K607" s="17" t="n">
        <f aca="false">IF(AND(IFERROR(SEARCH("현대오일뱅크",$C607),0)&gt;0,IFERROR(SEARCH("직영",$C607),0)&gt;0),$B$13,0)</f>
        <v/>
      </c>
      <c r="L607" s="17" t="n">
        <f aca="false">IF($G607="","",$G607+$K607)</f>
        <v/>
      </c>
      <c r="M607" s="17" t="str">
        <f aca="false">IF($H607="","",$H607+$K607)</f>
        <v/>
      </c>
      <c r="N607" s="17" t="n">
        <f aca="false">IF($J607="","",$J607+$K607)</f>
        <v/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 t="str">
        <f aca="false">IF($B$10=0,"",IFERROR(IF($B$4&gt;0,IF($L607="",1/0,$L607*$B$4),0)+IF($B$5&gt;0,IF($M607="",1/0,$M607*$B$5),0)+IF($B$6&gt;0,IF($N607="",1/0,$N607*$B$6),0),""))</f>
        <v/>
      </c>
      <c r="Q607" s="17"/>
      <c r="R607" s="18" t="str">
        <f aca="false">IF($P607="","",IF($Q607="Y",IFERROR(VLOOKUP($B607,$C$4:$D$13,2,FALSE()),0),0))</f>
        <v/>
      </c>
      <c r="S607" s="17" t="str">
        <f aca="false">IF($P607="","",ROUNDDOWN($P607*$R607,0))</f>
        <v/>
      </c>
      <c r="T607" s="17" t="str">
        <f aca="false">IF($P607="","",$P607-$S607)</f>
        <v/>
      </c>
      <c r="U607" s="17" t="str">
        <f aca="false">IF($T607="","",IF($B$10=0,"",$T607/$B$10))</f>
        <v/>
      </c>
      <c r="V607" s="17" t="str">
        <f aca="false">IF($P607="","",IF($B$10=0,"",$P607/$B$10))</f>
        <v/>
      </c>
      <c r="W607" s="19" t="n">
        <f aca="false">IF($T607="",1000000000000000,$T607)</f>
        <v/>
      </c>
      <c r="XFB607" s="6"/>
      <c r="XFC607" s="3"/>
    </row>
    <row r="608" s="21" collapsed="false" customFormat="true" customHeight="true" hidden="false" ht="28.5" outlineLevel="0">
      <c r="A608" s="16" t="str">
        <f aca="false">IF($T608="","",1+COUNTIF($W$15:$W$894,"&lt;"&amp;W608))</f>
        <v/>
      </c>
      <c r="B608" s="16" t="s">
        <v>14</v>
      </c>
      <c r="C608" s="16" t="s">
        <v>1566</v>
      </c>
      <c r="D608" s="16" t="s">
        <v>95</v>
      </c>
      <c r="E608" s="16" t="s">
        <v>63</v>
      </c>
      <c r="F608" s="16" t="s">
        <v>1567</v>
      </c>
      <c r="G608" s="17">
        <v>1785</v>
      </c>
      <c r="H608" s="17"/>
      <c r="I608" s="17"/>
      <c r="J608" s="17">
        <v>1787</v>
      </c>
      <c r="K608" s="17" t="n">
        <f aca="false">IF(AND(IFERROR(SEARCH("현대오일뱅크",$C608),0)&gt;0,IFERROR(SEARCH("직영",$C608),0)&gt;0),$B$13,0)</f>
        <v/>
      </c>
      <c r="L608" s="17" t="n">
        <f aca="false">IF($G608="","",$G608+$K608)</f>
        <v/>
      </c>
      <c r="M608" s="17" t="str">
        <f aca="false">IF($H608="","",$H608+$K608)</f>
        <v/>
      </c>
      <c r="N608" s="17" t="n">
        <f aca="false">IF($J608="","",$J608+$K608)</f>
        <v/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 t="str">
        <f aca="false">IF($B$10=0,"",IFERROR(IF($B$4&gt;0,IF($L608="",1/0,$L608*$B$4),0)+IF($B$5&gt;0,IF($M608="",1/0,$M608*$B$5),0)+IF($B$6&gt;0,IF($N608="",1/0,$N608*$B$6),0),""))</f>
        <v/>
      </c>
      <c r="Q608" s="17"/>
      <c r="R608" s="18" t="str">
        <f aca="false">IF($P608="","",IF($Q608="Y",IFERROR(VLOOKUP($B608,$C$4:$D$13,2,FALSE()),0),0))</f>
        <v/>
      </c>
      <c r="S608" s="17" t="str">
        <f aca="false">IF($P608="","",ROUNDDOWN($P608*$R608,0))</f>
        <v/>
      </c>
      <c r="T608" s="17" t="str">
        <f aca="false">IF($P608="","",$P608-$S608)</f>
        <v/>
      </c>
      <c r="U608" s="17" t="str">
        <f aca="false">IF($T608="","",IF($B$10=0,"",$T608/$B$10))</f>
        <v/>
      </c>
      <c r="V608" s="17" t="str">
        <f aca="false">IF($P608="","",IF($B$10=0,"",$P608/$B$10))</f>
        <v/>
      </c>
      <c r="W608" s="19" t="n">
        <f aca="false">IF($T608="",1000000000000000,$T608)</f>
        <v/>
      </c>
      <c r="XFB608" s="6"/>
      <c r="XFC608" s="3"/>
    </row>
    <row r="609" s="21" collapsed="false" customFormat="true" customHeight="true" hidden="false" ht="28.5" outlineLevel="0">
      <c r="A609" s="16" t="str">
        <f aca="false">IF($T609="","",1+COUNTIF($W$15:$W$894,"&lt;"&amp;W609))</f>
        <v/>
      </c>
      <c r="B609" s="16" t="s">
        <v>14</v>
      </c>
      <c r="C609" s="16" t="s">
        <v>1568</v>
      </c>
      <c r="D609" s="20" t="s">
        <v>86</v>
      </c>
      <c r="E609" s="16" t="s">
        <v>26</v>
      </c>
      <c r="F609" s="16" t="s">
        <v>1569</v>
      </c>
      <c r="G609" s="17">
        <v>1785</v>
      </c>
      <c r="H609" s="17"/>
      <c r="I609" s="17"/>
      <c r="J609" s="17">
        <v>1787</v>
      </c>
      <c r="K609" s="17" t="n">
        <f aca="false">IF(AND(IFERROR(SEARCH("현대오일뱅크",$C609),0)&gt;0,IFERROR(SEARCH("직영",$C609),0)&gt;0),$B$13,0)</f>
        <v/>
      </c>
      <c r="L609" s="17" t="n">
        <f aca="false">IF($G609="","",$G609+$K609)</f>
        <v/>
      </c>
      <c r="M609" s="17" t="str">
        <f aca="false">IF($H609="","",$H609+$K609)</f>
        <v/>
      </c>
      <c r="N609" s="17" t="n">
        <f aca="false">IF($J609="","",$J609+$K609)</f>
        <v/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 t="str">
        <f aca="false">IF($B$10=0,"",IFERROR(IF($B$4&gt;0,IF($L609="",1/0,$L609*$B$4),0)+IF($B$5&gt;0,IF($M609="",1/0,$M609*$B$5),0)+IF($B$6&gt;0,IF($N609="",1/0,$N609*$B$6),0),""))</f>
        <v/>
      </c>
      <c r="Q609" s="17"/>
      <c r="R609" s="18" t="str">
        <f aca="false">IF($P609="","",IF($Q609="Y",IFERROR(VLOOKUP($B609,$C$4:$D$13,2,FALSE()),0),0))</f>
        <v/>
      </c>
      <c r="S609" s="17" t="str">
        <f aca="false">IF($P609="","",ROUNDDOWN($P609*$R609,0))</f>
        <v/>
      </c>
      <c r="T609" s="17" t="str">
        <f aca="false">IF($P609="","",$P609-$S609)</f>
        <v/>
      </c>
      <c r="U609" s="17" t="str">
        <f aca="false">IF($T609="","",IF($B$10=0,"",$T609/$B$10))</f>
        <v/>
      </c>
      <c r="V609" s="17" t="str">
        <f aca="false">IF($P609="","",IF($B$10=0,"",$P609/$B$10))</f>
        <v/>
      </c>
      <c r="W609" s="19" t="n">
        <f aca="false">IF($T609="",1000000000000000,$T609)</f>
        <v/>
      </c>
      <c r="XFB609" s="6"/>
      <c r="XFC609" s="3"/>
    </row>
    <row r="610" s="21" collapsed="false" customFormat="true" customHeight="true" hidden="false" ht="28.5" outlineLevel="0">
      <c r="A610" s="16" t="str">
        <f aca="false">IF($T610="","",1+COUNTIF($W$15:$W$894,"&lt;"&amp;W610))</f>
        <v/>
      </c>
      <c r="B610" s="16" t="s">
        <v>14</v>
      </c>
      <c r="C610" s="16" t="s">
        <v>1198</v>
      </c>
      <c r="D610" s="16" t="s">
        <v>45</v>
      </c>
      <c r="E610" s="16" t="s">
        <v>26</v>
      </c>
      <c r="F610" s="16" t="s">
        <v>1199</v>
      </c>
      <c r="G610" s="17">
        <v>1785</v>
      </c>
      <c r="H610" s="17"/>
      <c r="I610" s="17"/>
      <c r="J610" s="17">
        <v>1789</v>
      </c>
      <c r="K610" s="17" t="n">
        <f aca="false">IF(AND(IFERROR(SEARCH("현대오일뱅크",$C610),0)&gt;0,IFERROR(SEARCH("직영",$C610),0)&gt;0),$B$13,0)</f>
        <v/>
      </c>
      <c r="L610" s="17" t="n">
        <f aca="false">IF($G610="","",$G610+$K610)</f>
        <v/>
      </c>
      <c r="M610" s="17" t="str">
        <f aca="false">IF($H610="","",$H610+$K610)</f>
        <v/>
      </c>
      <c r="N610" s="17" t="n">
        <f aca="false">IF($J610="","",$J610+$K610)</f>
        <v/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 t="str">
        <f aca="false">IF($B$10=0,"",IFERROR(IF($B$4&gt;0,IF($L610="",1/0,$L610*$B$4),0)+IF($B$5&gt;0,IF($M610="",1/0,$M610*$B$5),0)+IF($B$6&gt;0,IF($N610="",1/0,$N610*$B$6),0),""))</f>
        <v/>
      </c>
      <c r="Q610" s="17"/>
      <c r="R610" s="18" t="str">
        <f aca="false">IF($P610="","",IF($Q610="Y",IFERROR(VLOOKUP($B610,$C$4:$D$13,2,FALSE()),0),0))</f>
        <v/>
      </c>
      <c r="S610" s="17" t="str">
        <f aca="false">IF($P610="","",ROUNDDOWN($P610*$R610,0))</f>
        <v/>
      </c>
      <c r="T610" s="17" t="str">
        <f aca="false">IF($P610="","",$P610-$S610)</f>
        <v/>
      </c>
      <c r="U610" s="17" t="str">
        <f aca="false">IF($T610="","",IF($B$10=0,"",$T610/$B$10))</f>
        <v/>
      </c>
      <c r="V610" s="17" t="str">
        <f aca="false">IF($P610="","",IF($B$10=0,"",$P610/$B$10))</f>
        <v/>
      </c>
      <c r="W610" s="19" t="n">
        <f aca="false">IF($T610="",1000000000000000,$T610)</f>
        <v/>
      </c>
      <c r="XFB610" s="6"/>
      <c r="XFC610" s="3"/>
    </row>
    <row r="611" s="21" collapsed="false" customFormat="true" customHeight="true" hidden="false" ht="28.5" outlineLevel="0">
      <c r="A611" s="16" t="str">
        <f aca="false">IF($T611="","",1+COUNTIF($W$15:$W$894,"&lt;"&amp;W611))</f>
        <v/>
      </c>
      <c r="B611" s="16" t="s">
        <v>14</v>
      </c>
      <c r="C611" s="16" t="s">
        <v>1200</v>
      </c>
      <c r="D611" s="16" t="s">
        <v>51</v>
      </c>
      <c r="E611" s="16" t="s">
        <v>26</v>
      </c>
      <c r="F611" s="16" t="s">
        <v>1201</v>
      </c>
      <c r="G611" s="17">
        <v>1786</v>
      </c>
      <c r="H611" s="17"/>
      <c r="I611" s="17"/>
      <c r="J611" s="17">
        <v>1787</v>
      </c>
      <c r="K611" s="17" t="n">
        <f aca="false">IF(AND(IFERROR(SEARCH("현대오일뱅크",$C611),0)&gt;0,IFERROR(SEARCH("직영",$C611),0)&gt;0),$B$13,0)</f>
        <v/>
      </c>
      <c r="L611" s="17" t="n">
        <f aca="false">IF($G611="","",$G611+$K611)</f>
        <v/>
      </c>
      <c r="M611" s="17" t="str">
        <f aca="false">IF($H611="","",$H611+$K611)</f>
        <v/>
      </c>
      <c r="N611" s="17" t="n">
        <f aca="false">IF($J611="","",$J611+$K611)</f>
        <v/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 t="str">
        <f aca="false">IF($B$10=0,"",IFERROR(IF($B$4&gt;0,IF($L611="",1/0,$L611*$B$4),0)+IF($B$5&gt;0,IF($M611="",1/0,$M611*$B$5),0)+IF($B$6&gt;0,IF($N611="",1/0,$N611*$B$6),0),""))</f>
        <v/>
      </c>
      <c r="Q611" s="17"/>
      <c r="R611" s="18" t="str">
        <f aca="false">IF($P611="","",IF($Q611="Y",IFERROR(VLOOKUP($B611,$C$4:$D$13,2,FALSE()),0),0))</f>
        <v/>
      </c>
      <c r="S611" s="17" t="str">
        <f aca="false">IF($P611="","",ROUNDDOWN($P611*$R611,0))</f>
        <v/>
      </c>
      <c r="T611" s="17" t="str">
        <f aca="false">IF($P611="","",$P611-$S611)</f>
        <v/>
      </c>
      <c r="U611" s="17" t="str">
        <f aca="false">IF($T611="","",IF($B$10=0,"",$T611/$B$10))</f>
        <v/>
      </c>
      <c r="V611" s="17" t="str">
        <f aca="false">IF($P611="","",IF($B$10=0,"",$P611/$B$10))</f>
        <v/>
      </c>
      <c r="W611" s="19" t="n">
        <f aca="false">IF($T611="",1000000000000000,$T611)</f>
        <v/>
      </c>
      <c r="XFB611" s="6"/>
      <c r="XFC611" s="3"/>
    </row>
    <row r="612" s="6" collapsed="false" customFormat="true" customHeight="true" hidden="false" ht="28.6" outlineLevel="0">
      <c r="A612" s="16" t="str">
        <f aca="false">IF($T612="","",1+COUNTIF($W$15:$W$894,"&lt;"&amp;W612))</f>
        <v/>
      </c>
      <c r="B612" s="16" t="s">
        <v>12</v>
      </c>
      <c r="C612" s="16" t="s">
        <v>1202</v>
      </c>
      <c r="D612" s="20" t="s">
        <v>86</v>
      </c>
      <c r="E612" s="16" t="s">
        <v>26</v>
      </c>
      <c r="F612" s="16" t="s">
        <v>1203</v>
      </c>
      <c r="G612" s="17">
        <v>1787</v>
      </c>
      <c r="H612" s="17"/>
      <c r="I612" s="17"/>
      <c r="J612" s="17">
        <v>1757</v>
      </c>
      <c r="K612" s="17" t="n">
        <f aca="false">IF(AND(IFERROR(SEARCH("현대오일뱅크",$C612),0)&gt;0,IFERROR(SEARCH("직영",$C612),0)&gt;0),$B$13,0)</f>
        <v/>
      </c>
      <c r="L612" s="17" t="n">
        <f aca="false">IF($G612="","",$G612+$K612)</f>
        <v/>
      </c>
      <c r="M612" s="17" t="str">
        <f aca="false">IF($H612="","",$H612+$K612)</f>
        <v/>
      </c>
      <c r="N612" s="17" t="n">
        <f aca="false">IF($J612="","",$J612+$K612)</f>
        <v/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 t="str">
        <f aca="false">IF($B$10=0,"",IFERROR(IF($B$4&gt;0,IF($L612="",1/0,$L612*$B$4),0)+IF($B$5&gt;0,IF($M612="",1/0,$M612*$B$5),0)+IF($B$6&gt;0,IF($N612="",1/0,$N612*$B$6),0),""))</f>
        <v/>
      </c>
      <c r="Q612" s="17"/>
      <c r="R612" s="18" t="str">
        <f aca="false">IF($P612="","",IF($Q612="Y",IFERROR(VLOOKUP($B612,$C$4:$D$13,2,FALSE()),0),0))</f>
        <v/>
      </c>
      <c r="S612" s="17" t="str">
        <f aca="false">IF($P612="","",ROUNDDOWN($P612*$R612,0))</f>
        <v/>
      </c>
      <c r="T612" s="17" t="str">
        <f aca="false">IF($P612="","",$P612-$S612)</f>
        <v/>
      </c>
      <c r="U612" s="17" t="str">
        <f aca="false">IF($T612="","",IF($B$10=0,"",$T612/$B$10))</f>
        <v/>
      </c>
      <c r="V612" s="17" t="str">
        <f aca="false">IF($P612="","",IF($B$10=0,"",$P612/$B$10))</f>
        <v/>
      </c>
      <c r="W612" s="19" t="n">
        <f aca="false">IF($T612="",1000000000000000,$T612)</f>
        <v/>
      </c>
      <c r="XFC612" s="3"/>
    </row>
    <row r="613" s="5" collapsed="false" customFormat="true" customHeight="true" hidden="false" ht="28.5" outlineLevel="0">
      <c r="A613" s="16" t="str">
        <f aca="false">IF($T613="","",1+COUNTIF($W$15:$W$894,"&lt;"&amp;W613))</f>
        <v/>
      </c>
      <c r="B613" s="16" t="s">
        <v>10</v>
      </c>
      <c r="C613" s="16" t="s">
        <v>1206</v>
      </c>
      <c r="D613" s="16" t="s">
        <v>296</v>
      </c>
      <c r="E613" s="16" t="s">
        <v>26</v>
      </c>
      <c r="F613" s="16" t="s">
        <v>1207</v>
      </c>
      <c r="G613" s="17">
        <v>1787</v>
      </c>
      <c r="H613" s="17"/>
      <c r="I613" s="17"/>
      <c r="J613" s="17">
        <v>1783</v>
      </c>
      <c r="K613" s="17" t="n">
        <f aca="false">IF(AND(IFERROR(SEARCH("현대오일뱅크",$C613),0)&gt;0,IFERROR(SEARCH("직영",$C613),0)&gt;0),$B$13,0)</f>
        <v/>
      </c>
      <c r="L613" s="17" t="n">
        <f aca="false">IF($G613="","",$G613+$K613)</f>
        <v/>
      </c>
      <c r="M613" s="17" t="str">
        <f aca="false">IF($H613="","",$H613+$K613)</f>
        <v/>
      </c>
      <c r="N613" s="17" t="n">
        <f aca="false">IF($J613="","",$J613+$K613)</f>
        <v/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 t="str">
        <f aca="false">IF($B$10=0,"",IFERROR(IF($B$4&gt;0,IF($L613="",1/0,$L613*$B$4),0)+IF($B$5&gt;0,IF($M613="",1/0,$M613*$B$5),0)+IF($B$6&gt;0,IF($N613="",1/0,$N613*$B$6),0),""))</f>
        <v/>
      </c>
      <c r="Q613" s="17"/>
      <c r="R613" s="18" t="str">
        <f aca="false">IF($P613="","",IF($Q613="Y",IFERROR(VLOOKUP($B613,$C$4:$D$13,2,FALSE()),0),0))</f>
        <v/>
      </c>
      <c r="S613" s="17" t="str">
        <f aca="false">IF($P613="","",ROUNDDOWN($P613*$R613,0))</f>
        <v/>
      </c>
      <c r="T613" s="17" t="str">
        <f aca="false">IF($P613="","",$P613-$S613)</f>
        <v/>
      </c>
      <c r="U613" s="17" t="str">
        <f aca="false">IF($T613="","",IF($B$10=0,"",$T613/$B$10))</f>
        <v/>
      </c>
      <c r="V613" s="17" t="str">
        <f aca="false">IF($P613="","",IF($B$10=0,"",$P613/$B$10))</f>
        <v/>
      </c>
      <c r="W613" s="19" t="n">
        <f aca="false">IF($T613="",1000000000000000,$T613)</f>
        <v/>
      </c>
      <c r="XFB613" s="6"/>
      <c r="XFC613" s="3"/>
    </row>
    <row r="614" s="5" collapsed="false" customFormat="true" customHeight="true" hidden="false" ht="28.5" outlineLevel="0">
      <c r="A614" s="16" t="str">
        <f aca="false">IF($T614="","",1+COUNTIF($W$15:$W$894,"&lt;"&amp;W614))</f>
        <v/>
      </c>
      <c r="B614" s="16" t="s">
        <v>10</v>
      </c>
      <c r="C614" s="16" t="s">
        <v>1208</v>
      </c>
      <c r="D614" s="16" t="s">
        <v>296</v>
      </c>
      <c r="E614" s="16" t="s">
        <v>26</v>
      </c>
      <c r="F614" s="16" t="s">
        <v>1209</v>
      </c>
      <c r="G614" s="17">
        <v>1787</v>
      </c>
      <c r="H614" s="17"/>
      <c r="I614" s="17"/>
      <c r="J614" s="17">
        <v>1783</v>
      </c>
      <c r="K614" s="17" t="n">
        <f aca="false">IF(AND(IFERROR(SEARCH("현대오일뱅크",$C614),0)&gt;0,IFERROR(SEARCH("직영",$C614),0)&gt;0),$B$13,0)</f>
        <v/>
      </c>
      <c r="L614" s="17" t="n">
        <f aca="false">IF($G614="","",$G614+$K614)</f>
        <v/>
      </c>
      <c r="M614" s="17" t="str">
        <f aca="false">IF($H614="","",$H614+$K614)</f>
        <v/>
      </c>
      <c r="N614" s="17" t="n">
        <f aca="false">IF($J614="","",$J614+$K614)</f>
        <v/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 t="str">
        <f aca="false">IF($B$10=0,"",IFERROR(IF($B$4&gt;0,IF($L614="",1/0,$L614*$B$4),0)+IF($B$5&gt;0,IF($M614="",1/0,$M614*$B$5),0)+IF($B$6&gt;0,IF($N614="",1/0,$N614*$B$6),0),""))</f>
        <v/>
      </c>
      <c r="Q614" s="17"/>
      <c r="R614" s="18" t="str">
        <f aca="false">IF($P614="","",IF($Q614="Y",IFERROR(VLOOKUP($B614,$C$4:$D$13,2,FALSE()),0),0))</f>
        <v/>
      </c>
      <c r="S614" s="17" t="str">
        <f aca="false">IF($P614="","",ROUNDDOWN($P614*$R614,0))</f>
        <v/>
      </c>
      <c r="T614" s="17" t="str">
        <f aca="false">IF($P614="","",$P614-$S614)</f>
        <v/>
      </c>
      <c r="U614" s="17" t="str">
        <f aca="false">IF($T614="","",IF($B$10=0,"",$T614/$B$10))</f>
        <v/>
      </c>
      <c r="V614" s="17" t="str">
        <f aca="false">IF($P614="","",IF($B$10=0,"",$P614/$B$10))</f>
        <v/>
      </c>
      <c r="W614" s="19" t="n">
        <f aca="false">IF($T614="",1000000000000000,$T614)</f>
        <v/>
      </c>
      <c r="XFB614" s="6"/>
      <c r="XFC614" s="3"/>
    </row>
    <row r="615" s="5" collapsed="false" customFormat="true" customHeight="true" hidden="false" ht="28.5" outlineLevel="0">
      <c r="A615" s="16" t="str">
        <f aca="false">IF($T615="","",1+COUNTIF($W$15:$W$894,"&lt;"&amp;W615))</f>
        <v/>
      </c>
      <c r="B615" s="16" t="s">
        <v>10</v>
      </c>
      <c r="C615" s="16" t="s">
        <v>1253</v>
      </c>
      <c r="D615" s="16" t="s">
        <v>296</v>
      </c>
      <c r="E615" s="16" t="s">
        <v>26</v>
      </c>
      <c r="F615" s="16" t="s">
        <v>1254</v>
      </c>
      <c r="G615" s="17">
        <v>1787</v>
      </c>
      <c r="H615" s="17"/>
      <c r="I615" s="17"/>
      <c r="J615" s="17">
        <v>1785</v>
      </c>
      <c r="K615" s="17" t="n">
        <f aca="false">IF(AND(IFERROR(SEARCH("현대오일뱅크",$C615),0)&gt;0,IFERROR(SEARCH("직영",$C615),0)&gt;0),$B$13,0)</f>
        <v/>
      </c>
      <c r="L615" s="17" t="n">
        <f aca="false">IF($G615="","",$G615+$K615)</f>
        <v/>
      </c>
      <c r="M615" s="17" t="str">
        <f aca="false">IF($H615="","",$H615+$K615)</f>
        <v/>
      </c>
      <c r="N615" s="17" t="n">
        <f aca="false">IF($J615="","",$J615+$K615)</f>
        <v/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 t="str">
        <f aca="false">IF($B$10=0,"",IFERROR(IF($B$4&gt;0,IF($L615="",1/0,$L615*$B$4),0)+IF($B$5&gt;0,IF($M615="",1/0,$M615*$B$5),0)+IF($B$6&gt;0,IF($N615="",1/0,$N615*$B$6),0),""))</f>
        <v/>
      </c>
      <c r="Q615" s="17"/>
      <c r="R615" s="18" t="str">
        <f aca="false">IF($P615="","",IF($Q615="Y",IFERROR(VLOOKUP($B615,$C$4:$D$13,2,FALSE()),0),0))</f>
        <v/>
      </c>
      <c r="S615" s="17" t="str">
        <f aca="false">IF($P615="","",ROUNDDOWN($P615*$R615,0))</f>
        <v/>
      </c>
      <c r="T615" s="17" t="str">
        <f aca="false">IF($P615="","",$P615-$S615)</f>
        <v/>
      </c>
      <c r="U615" s="17" t="str">
        <f aca="false">IF($T615="","",IF($B$10=0,"",$T615/$B$10))</f>
        <v/>
      </c>
      <c r="V615" s="17" t="str">
        <f aca="false">IF($P615="","",IF($B$10=0,"",$P615/$B$10))</f>
        <v/>
      </c>
      <c r="W615" s="19" t="n">
        <f aca="false">IF($T615="",1000000000000000,$T615)</f>
        <v/>
      </c>
      <c r="XFB615" s="6"/>
      <c r="XFC615" s="3"/>
    </row>
    <row r="616" s="6" collapsed="false" customFormat="true" customHeight="true" hidden="false" ht="28.6" outlineLevel="0">
      <c r="A616" s="16" t="str">
        <f aca="false">IF($T616="","",1+COUNTIF($W$15:$W$894,"&lt;"&amp;W616))</f>
        <v/>
      </c>
      <c r="B616" s="16" t="s">
        <v>18</v>
      </c>
      <c r="C616" s="16" t="s">
        <v>1695</v>
      </c>
      <c r="D616" s="20" t="s">
        <v>86</v>
      </c>
      <c r="E616" s="16" t="s">
        <v>26</v>
      </c>
      <c r="F616" s="16" t="s">
        <v>1696</v>
      </c>
      <c r="G616" s="17">
        <v>1787</v>
      </c>
      <c r="H616" s="17"/>
      <c r="I616" s="17"/>
      <c r="J616" s="17">
        <v>1787</v>
      </c>
      <c r="K616" s="17" t="n">
        <f aca="false">IF(AND(IFERROR(SEARCH("현대오일뱅크",$C616),0)&gt;0,IFERROR(SEARCH("직영",$C616),0)&gt;0),$B$13,0)</f>
        <v/>
      </c>
      <c r="L616" s="17" t="n">
        <f aca="false">IF($G616="","",$G616+$K616)</f>
        <v/>
      </c>
      <c r="M616" s="17" t="str">
        <f aca="false">IF($H616="","",$H616+$K616)</f>
        <v/>
      </c>
      <c r="N616" s="17" t="n">
        <f aca="false">IF($J616="","",$J616+$K616)</f>
        <v/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 t="str">
        <f aca="false">IF($B$10=0,"",IFERROR(IF($B$4&gt;0,IF($L616="",1/0,$L616*$B$4),0)+IF($B$5&gt;0,IF($M616="",1/0,$M616*$B$5),0)+IF($B$6&gt;0,IF($N616="",1/0,$N616*$B$6),0),""))</f>
        <v/>
      </c>
      <c r="Q616" s="17"/>
      <c r="R616" s="18" t="str">
        <f aca="false">IF($P616="","",IF($Q616="Y",IFERROR(VLOOKUP($B616,$C$4:$D$13,2,FALSE()),0),0))</f>
        <v/>
      </c>
      <c r="S616" s="17" t="str">
        <f aca="false">IF($P616="","",ROUNDDOWN($P616*$R616,0))</f>
        <v/>
      </c>
      <c r="T616" s="17" t="str">
        <f aca="false">IF($P616="","",$P616-$S616)</f>
        <v/>
      </c>
      <c r="U616" s="17" t="str">
        <f aca="false">IF($T616="","",IF($B$10=0,"",$T616/$B$10))</f>
        <v/>
      </c>
      <c r="V616" s="17" t="str">
        <f aca="false">IF($P616="","",IF($B$10=0,"",$P616/$B$10))</f>
        <v/>
      </c>
      <c r="W616" s="19" t="n">
        <f aca="false">IF($T616="",1000000000000000,$T616)</f>
        <v/>
      </c>
      <c r="XFC616" s="3"/>
    </row>
    <row r="617" s="21" collapsed="false" customFormat="true" customHeight="true" hidden="false" ht="28.5" outlineLevel="0">
      <c r="A617" s="16" t="str">
        <f aca="false">IF($T617="","",1+COUNTIF($W$15:$W$894,"&lt;"&amp;W617))</f>
        <v/>
      </c>
      <c r="B617" s="16" t="s">
        <v>14</v>
      </c>
      <c r="C617" s="16" t="s">
        <v>1224</v>
      </c>
      <c r="D617" s="16" t="s">
        <v>45</v>
      </c>
      <c r="E617" s="16" t="s">
        <v>26</v>
      </c>
      <c r="F617" s="16" t="s">
        <v>1225</v>
      </c>
      <c r="G617" s="17">
        <v>1787</v>
      </c>
      <c r="H617" s="17"/>
      <c r="I617" s="17"/>
      <c r="J617" s="17">
        <v>1797</v>
      </c>
      <c r="K617" s="17" t="n">
        <f aca="false">IF(AND(IFERROR(SEARCH("현대오일뱅크",$C617),0)&gt;0,IFERROR(SEARCH("직영",$C617),0)&gt;0),$B$13,0)</f>
        <v/>
      </c>
      <c r="L617" s="17" t="n">
        <f aca="false">IF($G617="","",$G617+$K617)</f>
        <v/>
      </c>
      <c r="M617" s="17" t="str">
        <f aca="false">IF($H617="","",$H617+$K617)</f>
        <v/>
      </c>
      <c r="N617" s="17" t="n">
        <f aca="false">IF($J617="","",$J617+$K617)</f>
        <v/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 t="str">
        <f aca="false">IF($B$10=0,"",IFERROR(IF($B$4&gt;0,IF($L617="",1/0,$L617*$B$4),0)+IF($B$5&gt;0,IF($M617="",1/0,$M617*$B$5),0)+IF($B$6&gt;0,IF($N617="",1/0,$N617*$B$6),0),""))</f>
        <v/>
      </c>
      <c r="Q617" s="17"/>
      <c r="R617" s="18" t="str">
        <f aca="false">IF($P617="","",IF($Q617="Y",IFERROR(VLOOKUP($B617,$C$4:$D$13,2,FALSE()),0),0))</f>
        <v/>
      </c>
      <c r="S617" s="17" t="str">
        <f aca="false">IF($P617="","",ROUNDDOWN($P617*$R617,0))</f>
        <v/>
      </c>
      <c r="T617" s="17" t="str">
        <f aca="false">IF($P617="","",$P617-$S617)</f>
        <v/>
      </c>
      <c r="U617" s="17" t="str">
        <f aca="false">IF($T617="","",IF($B$10=0,"",$T617/$B$10))</f>
        <v/>
      </c>
      <c r="V617" s="17" t="str">
        <f aca="false">IF($P617="","",IF($B$10=0,"",$P617/$B$10))</f>
        <v/>
      </c>
      <c r="W617" s="19" t="n">
        <f aca="false">IF($T617="",1000000000000000,$T617)</f>
        <v/>
      </c>
      <c r="XFB617" s="6"/>
      <c r="XFC617" s="3"/>
    </row>
    <row r="618" s="21" collapsed="false" customFormat="true" customHeight="true" hidden="false" ht="28.5" outlineLevel="0">
      <c r="A618" s="16" t="str">
        <f aca="false">IF($T618="","",1+COUNTIF($W$15:$W$894,"&lt;"&amp;W618))</f>
        <v/>
      </c>
      <c r="B618" s="16" t="s">
        <v>14</v>
      </c>
      <c r="C618" s="16" t="s">
        <v>1216</v>
      </c>
      <c r="D618" s="16" t="s">
        <v>95</v>
      </c>
      <c r="E618" s="16" t="s">
        <v>26</v>
      </c>
      <c r="F618" s="16" t="s">
        <v>1217</v>
      </c>
      <c r="G618" s="17">
        <v>1788</v>
      </c>
      <c r="H618" s="17"/>
      <c r="I618" s="17"/>
      <c r="J618" s="17">
        <v>1787</v>
      </c>
      <c r="K618" s="17" t="n">
        <f aca="false">IF(AND(IFERROR(SEARCH("현대오일뱅크",$C618),0)&gt;0,IFERROR(SEARCH("직영",$C618),0)&gt;0),$B$13,0)</f>
        <v/>
      </c>
      <c r="L618" s="17" t="n">
        <f aca="false">IF($G618="","",$G618+$K618)</f>
        <v/>
      </c>
      <c r="M618" s="17" t="str">
        <f aca="false">IF($H618="","",$H618+$K618)</f>
        <v/>
      </c>
      <c r="N618" s="17" t="n">
        <f aca="false">IF($J618="","",$J618+$K618)</f>
        <v/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 t="str">
        <f aca="false">IF($B$10=0,"",IFERROR(IF($B$4&gt;0,IF($L618="",1/0,$L618*$B$4),0)+IF($B$5&gt;0,IF($M618="",1/0,$M618*$B$5),0)+IF($B$6&gt;0,IF($N618="",1/0,$N618*$B$6),0),""))</f>
        <v/>
      </c>
      <c r="Q618" s="17"/>
      <c r="R618" s="18" t="str">
        <f aca="false">IF($P618="","",IF($Q618="Y",IFERROR(VLOOKUP($B618,$C$4:$D$13,2,FALSE()),0),0))</f>
        <v/>
      </c>
      <c r="S618" s="17" t="str">
        <f aca="false">IF($P618="","",ROUNDDOWN($P618*$R618,0))</f>
        <v/>
      </c>
      <c r="T618" s="17" t="str">
        <f aca="false">IF($P618="","",$P618-$S618)</f>
        <v/>
      </c>
      <c r="U618" s="17" t="str">
        <f aca="false">IF($T618="","",IF($B$10=0,"",$T618/$B$10))</f>
        <v/>
      </c>
      <c r="V618" s="17" t="str">
        <f aca="false">IF($P618="","",IF($B$10=0,"",$P618/$B$10))</f>
        <v/>
      </c>
      <c r="W618" s="19" t="n">
        <f aca="false">IF($T618="",1000000000000000,$T618)</f>
        <v/>
      </c>
      <c r="XFB618" s="6"/>
      <c r="XFC618" s="3"/>
    </row>
    <row r="619" s="21" collapsed="false" customFormat="true" customHeight="true" hidden="false" ht="28.5" outlineLevel="0">
      <c r="A619" s="16" t="str">
        <f aca="false">IF($T619="","",1+COUNTIF($W$15:$W$894,"&lt;"&amp;W619))</f>
        <v/>
      </c>
      <c r="B619" s="16" t="s">
        <v>10</v>
      </c>
      <c r="C619" s="16" t="s">
        <v>1353</v>
      </c>
      <c r="D619" s="16" t="s">
        <v>393</v>
      </c>
      <c r="E619" s="16" t="s">
        <v>26</v>
      </c>
      <c r="F619" s="16" t="s">
        <v>1354</v>
      </c>
      <c r="G619" s="17">
        <v>1789</v>
      </c>
      <c r="H619" s="17"/>
      <c r="I619" s="17"/>
      <c r="J619" s="17">
        <v>1743</v>
      </c>
      <c r="K619" s="17" t="n">
        <f aca="false">IF(AND(IFERROR(SEARCH("현대오일뱅크",$C619),0)&gt;0,IFERROR(SEARCH("직영",$C619),0)&gt;0),$B$13,0)</f>
        <v/>
      </c>
      <c r="L619" s="17" t="n">
        <f aca="false">IF($G619="","",$G619+$K619)</f>
        <v/>
      </c>
      <c r="M619" s="17" t="str">
        <f aca="false">IF($H619="","",$H619+$K619)</f>
        <v/>
      </c>
      <c r="N619" s="17" t="n">
        <f aca="false">IF($J619="","",$J619+$K619)</f>
        <v/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 t="str">
        <f aca="false">IF($B$10=0,"",IFERROR(IF($B$4&gt;0,IF($L619="",1/0,$L619*$B$4),0)+IF($B$5&gt;0,IF($M619="",1/0,$M619*$B$5),0)+IF($B$6&gt;0,IF($N619="",1/0,$N619*$B$6),0),""))</f>
        <v/>
      </c>
      <c r="Q619" s="17"/>
      <c r="R619" s="18" t="str">
        <f aca="false">IF($P619="","",IF($Q619="Y",IFERROR(VLOOKUP($B619,$C$4:$D$13,2,FALSE()),0),0))</f>
        <v/>
      </c>
      <c r="S619" s="17" t="str">
        <f aca="false">IF($P619="","",ROUNDDOWN($P619*$R619,0))</f>
        <v/>
      </c>
      <c r="T619" s="17" t="str">
        <f aca="false">IF($P619="","",$P619-$S619)</f>
        <v/>
      </c>
      <c r="U619" s="17" t="str">
        <f aca="false">IF($T619="","",IF($B$10=0,"",$T619/$B$10))</f>
        <v/>
      </c>
      <c r="V619" s="17" t="str">
        <f aca="false">IF($P619="","",IF($B$10=0,"",$P619/$B$10))</f>
        <v/>
      </c>
      <c r="W619" s="19" t="n">
        <f aca="false">IF($T619="",1000000000000000,$T619)</f>
        <v/>
      </c>
      <c r="XFB619" s="6"/>
      <c r="XFC619" s="3"/>
    </row>
    <row r="620" s="21" collapsed="false" customFormat="true" customHeight="true" hidden="false" ht="28.5" outlineLevel="0">
      <c r="A620" s="16" t="str">
        <f aca="false">IF($T620="","",1+COUNTIF($W$15:$W$894,"&lt;"&amp;W620))</f>
        <v/>
      </c>
      <c r="B620" s="16" t="s">
        <v>18</v>
      </c>
      <c r="C620" s="16" t="s">
        <v>1218</v>
      </c>
      <c r="D620" s="16" t="s">
        <v>500</v>
      </c>
      <c r="E620" s="16" t="s">
        <v>26</v>
      </c>
      <c r="F620" s="16" t="s">
        <v>1219</v>
      </c>
      <c r="G620" s="17">
        <v>1789</v>
      </c>
      <c r="H620" s="17"/>
      <c r="I620" s="17"/>
      <c r="J620" s="17">
        <v>1779</v>
      </c>
      <c r="K620" s="17" t="n">
        <f aca="false">IF(AND(IFERROR(SEARCH("현대오일뱅크",$C620),0)&gt;0,IFERROR(SEARCH("직영",$C620),0)&gt;0),$B$13,0)</f>
        <v/>
      </c>
      <c r="L620" s="17" t="n">
        <f aca="false">IF($G620="","",$G620+$K620)</f>
        <v/>
      </c>
      <c r="M620" s="17" t="str">
        <f aca="false">IF($H620="","",$H620+$K620)</f>
        <v/>
      </c>
      <c r="N620" s="17" t="n">
        <f aca="false">IF($J620="","",$J620+$K620)</f>
        <v/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 t="str">
        <f aca="false">IF($B$10=0,"",IFERROR(IF($B$4&gt;0,IF($L620="",1/0,$L620*$B$4),0)+IF($B$5&gt;0,IF($M620="",1/0,$M620*$B$5),0)+IF($B$6&gt;0,IF($N620="",1/0,$N620*$B$6),0),""))</f>
        <v/>
      </c>
      <c r="Q620" s="17"/>
      <c r="R620" s="18" t="str">
        <f aca="false">IF($P620="","",IF($Q620="Y",IFERROR(VLOOKUP($B620,$C$4:$D$13,2,FALSE()),0),0))</f>
        <v/>
      </c>
      <c r="S620" s="17" t="str">
        <f aca="false">IF($P620="","",ROUNDDOWN($P620*$R620,0))</f>
        <v/>
      </c>
      <c r="T620" s="17" t="str">
        <f aca="false">IF($P620="","",$P620-$S620)</f>
        <v/>
      </c>
      <c r="U620" s="17" t="str">
        <f aca="false">IF($T620="","",IF($B$10=0,"",$T620/$B$10))</f>
        <v/>
      </c>
      <c r="V620" s="17" t="str">
        <f aca="false">IF($P620="","",IF($B$10=0,"",$P620/$B$10))</f>
        <v/>
      </c>
      <c r="W620" s="19" t="n">
        <f aca="false">IF($T620="",1000000000000000,$T620)</f>
        <v/>
      </c>
      <c r="XFB620" s="6"/>
      <c r="XFC620" s="3"/>
    </row>
    <row r="621" s="6" collapsed="false" customFormat="true" customHeight="true" hidden="false" ht="28.6" outlineLevel="0">
      <c r="A621" s="16" t="str">
        <f aca="false">IF($T621="","",1+COUNTIF($W$15:$W$894,"&lt;"&amp;W621))</f>
        <v/>
      </c>
      <c r="B621" s="16" t="s">
        <v>6</v>
      </c>
      <c r="C621" s="16" t="s">
        <v>1220</v>
      </c>
      <c r="D621" s="20" t="s">
        <v>86</v>
      </c>
      <c r="E621" s="16" t="s">
        <v>26</v>
      </c>
      <c r="F621" s="16" t="s">
        <v>1221</v>
      </c>
      <c r="G621" s="17">
        <v>1789</v>
      </c>
      <c r="H621" s="17"/>
      <c r="I621" s="17"/>
      <c r="J621" s="17">
        <v>1779</v>
      </c>
      <c r="K621" s="17" t="n">
        <f aca="false">IF(AND(IFERROR(SEARCH("현대오일뱅크",$C621),0)&gt;0,IFERROR(SEARCH("직영",$C621),0)&gt;0),$B$13,0)</f>
        <v/>
      </c>
      <c r="L621" s="17" t="n">
        <f aca="false">IF($G621="","",$G621+$K621)</f>
        <v/>
      </c>
      <c r="M621" s="17" t="str">
        <f aca="false">IF($H621="","",$H621+$K621)</f>
        <v/>
      </c>
      <c r="N621" s="17" t="n">
        <f aca="false">IF($J621="","",$J621+$K621)</f>
        <v/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 t="str">
        <f aca="false">IF($B$10=0,"",IFERROR(IF($B$4&gt;0,IF($L621="",1/0,$L621*$B$4),0)+IF($B$5&gt;0,IF($M621="",1/0,$M621*$B$5),0)+IF($B$6&gt;0,IF($N621="",1/0,$N621*$B$6),0),""))</f>
        <v/>
      </c>
      <c r="Q621" s="17"/>
      <c r="R621" s="18" t="str">
        <f aca="false">IF($P621="","",IF($Q621="Y",IFERROR(VLOOKUP($B621,$C$4:$D$13,2,FALSE()),0),0))</f>
        <v/>
      </c>
      <c r="S621" s="17" t="str">
        <f aca="false">IF($P621="","",ROUNDDOWN($P621*$R621,0))</f>
        <v/>
      </c>
      <c r="T621" s="17" t="str">
        <f aca="false">IF($P621="","",$P621-$S621)</f>
        <v/>
      </c>
      <c r="U621" s="17" t="str">
        <f aca="false">IF($T621="","",IF($B$10=0,"",$T621/$B$10))</f>
        <v/>
      </c>
      <c r="V621" s="17" t="str">
        <f aca="false">IF($P621="","",IF($B$10=0,"",$P621/$B$10))</f>
        <v/>
      </c>
      <c r="W621" s="19" t="n">
        <f aca="false">IF($T621="",1000000000000000,$T621)</f>
        <v/>
      </c>
      <c r="XFC621" s="3"/>
    </row>
    <row r="622" s="6" collapsed="false" customFormat="true" customHeight="true" hidden="false" ht="28.6" outlineLevel="0">
      <c r="A622" s="16" t="str">
        <f aca="false">IF($T622="","",1+COUNTIF($W$15:$W$894,"&lt;"&amp;W622))</f>
        <v/>
      </c>
      <c r="B622" s="16" t="s">
        <v>14</v>
      </c>
      <c r="C622" s="16" t="s">
        <v>1327</v>
      </c>
      <c r="D622" s="16" t="s">
        <v>45</v>
      </c>
      <c r="E622" s="16" t="s">
        <v>26</v>
      </c>
      <c r="F622" s="16" t="s">
        <v>1328</v>
      </c>
      <c r="G622" s="17">
        <v>1789</v>
      </c>
      <c r="H622" s="17"/>
      <c r="I622" s="17"/>
      <c r="J622" s="17">
        <v>1785</v>
      </c>
      <c r="K622" s="17" t="n">
        <f aca="false">IF(AND(IFERROR(SEARCH("현대오일뱅크",$C622),0)&gt;0,IFERROR(SEARCH("직영",$C622),0)&gt;0),$B$13,0)</f>
        <v/>
      </c>
      <c r="L622" s="17" t="n">
        <f aca="false">IF($G622="","",$G622+$K622)</f>
        <v/>
      </c>
      <c r="M622" s="17" t="str">
        <f aca="false">IF($H622="","",$H622+$K622)</f>
        <v/>
      </c>
      <c r="N622" s="17" t="n">
        <f aca="false">IF($J622="","",$J622+$K622)</f>
        <v/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 t="str">
        <f aca="false">IF($B$10=0,"",IFERROR(IF($B$4&gt;0,IF($L622="",1/0,$L622*$B$4),0)+IF($B$5&gt;0,IF($M622="",1/0,$M622*$B$5),0)+IF($B$6&gt;0,IF($N622="",1/0,$N622*$B$6),0),""))</f>
        <v/>
      </c>
      <c r="Q622" s="17"/>
      <c r="R622" s="18" t="str">
        <f aca="false">IF($P622="","",IF($Q622="Y",IFERROR(VLOOKUP($B622,$C$4:$D$13,2,FALSE()),0),0))</f>
        <v/>
      </c>
      <c r="S622" s="17" t="str">
        <f aca="false">IF($P622="","",ROUNDDOWN($P622*$R622,0))</f>
        <v/>
      </c>
      <c r="T622" s="17" t="str">
        <f aca="false">IF($P622="","",$P622-$S622)</f>
        <v/>
      </c>
      <c r="U622" s="17" t="str">
        <f aca="false">IF($T622="","",IF($B$10=0,"",$T622/$B$10))</f>
        <v/>
      </c>
      <c r="V622" s="17" t="str">
        <f aca="false">IF($P622="","",IF($B$10=0,"",$P622/$B$10))</f>
        <v/>
      </c>
      <c r="W622" s="19" t="n">
        <f aca="false">IF($T622="",1000000000000000,$T622)</f>
        <v/>
      </c>
      <c r="XFC622" s="3"/>
    </row>
    <row r="623" s="21" collapsed="false" customFormat="true" customHeight="true" hidden="false" ht="28.5" outlineLevel="0">
      <c r="A623" s="16" t="str">
        <f aca="false">IF($T623="","",1+COUNTIF($W$15:$W$894,"&lt;"&amp;W623))</f>
        <v/>
      </c>
      <c r="B623" s="16" t="s">
        <v>6</v>
      </c>
      <c r="C623" s="16" t="s">
        <v>1226</v>
      </c>
      <c r="D623" s="16" t="s">
        <v>500</v>
      </c>
      <c r="E623" s="16" t="s">
        <v>26</v>
      </c>
      <c r="F623" s="16" t="s">
        <v>1227</v>
      </c>
      <c r="G623" s="17">
        <v>1789</v>
      </c>
      <c r="H623" s="17"/>
      <c r="I623" s="17"/>
      <c r="J623" s="17">
        <v>1789</v>
      </c>
      <c r="K623" s="17" t="n">
        <f aca="false">IF(AND(IFERROR(SEARCH("현대오일뱅크",$C623),0)&gt;0,IFERROR(SEARCH("직영",$C623),0)&gt;0),$B$13,0)</f>
        <v/>
      </c>
      <c r="L623" s="17" t="n">
        <f aca="false">IF($G623="","",$G623+$K623)</f>
        <v/>
      </c>
      <c r="M623" s="17" t="str">
        <f aca="false">IF($H623="","",$H623+$K623)</f>
        <v/>
      </c>
      <c r="N623" s="17" t="n">
        <f aca="false">IF($J623="","",$J623+$K623)</f>
        <v/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 t="str">
        <f aca="false">IF($B$10=0,"",IFERROR(IF($B$4&gt;0,IF($L623="",1/0,$L623*$B$4),0)+IF($B$5&gt;0,IF($M623="",1/0,$M623*$B$5),0)+IF($B$6&gt;0,IF($N623="",1/0,$N623*$B$6),0),""))</f>
        <v/>
      </c>
      <c r="Q623" s="17"/>
      <c r="R623" s="18" t="str">
        <f aca="false">IF($P623="","",IF($Q623="Y",IFERROR(VLOOKUP($B623,$C$4:$D$13,2,FALSE()),0),0))</f>
        <v/>
      </c>
      <c r="S623" s="17" t="str">
        <f aca="false">IF($P623="","",ROUNDDOWN($P623*$R623,0))</f>
        <v/>
      </c>
      <c r="T623" s="17" t="str">
        <f aca="false">IF($P623="","",$P623-$S623)</f>
        <v/>
      </c>
      <c r="U623" s="17" t="str">
        <f aca="false">IF($T623="","",IF($B$10=0,"",$T623/$B$10))</f>
        <v/>
      </c>
      <c r="V623" s="17" t="str">
        <f aca="false">IF($P623="","",IF($B$10=0,"",$P623/$B$10))</f>
        <v/>
      </c>
      <c r="W623" s="19" t="n">
        <f aca="false">IF($T623="",1000000000000000,$T623)</f>
        <v/>
      </c>
      <c r="XFB623" s="6"/>
      <c r="XFC623" s="3"/>
    </row>
    <row r="624" s="6" collapsed="false" customFormat="true" customHeight="true" hidden="false" ht="28.6" outlineLevel="0">
      <c r="A624" s="16" t="str">
        <f aca="false">IF($T624="","",1+COUNTIF($W$15:$W$894,"&lt;"&amp;W624))</f>
        <v/>
      </c>
      <c r="B624" s="16" t="s">
        <v>6</v>
      </c>
      <c r="C624" s="16" t="s">
        <v>1160</v>
      </c>
      <c r="D624" s="16" t="s">
        <v>95</v>
      </c>
      <c r="E624" s="16" t="s">
        <v>26</v>
      </c>
      <c r="F624" s="16" t="s">
        <v>1228</v>
      </c>
      <c r="G624" s="17">
        <v>1789</v>
      </c>
      <c r="H624" s="17"/>
      <c r="I624" s="17"/>
      <c r="J624" s="17">
        <v>1789</v>
      </c>
      <c r="K624" s="17" t="n">
        <f aca="false">IF(AND(IFERROR(SEARCH("현대오일뱅크",$C624),0)&gt;0,IFERROR(SEARCH("직영",$C624),0)&gt;0),$B$13,0)</f>
        <v/>
      </c>
      <c r="L624" s="17" t="n">
        <f aca="false">IF($G624="","",$G624+$K624)</f>
        <v/>
      </c>
      <c r="M624" s="17" t="str">
        <f aca="false">IF($H624="","",$H624+$K624)</f>
        <v/>
      </c>
      <c r="N624" s="17" t="n">
        <f aca="false">IF($J624="","",$J624+$K624)</f>
        <v/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 t="str">
        <f aca="false">IF($B$10=0,"",IFERROR(IF($B$4&gt;0,IF($L624="",1/0,$L624*$B$4),0)+IF($B$5&gt;0,IF($M624="",1/0,$M624*$B$5),0)+IF($B$6&gt;0,IF($N624="",1/0,$N624*$B$6),0),""))</f>
        <v/>
      </c>
      <c r="Q624" s="17"/>
      <c r="R624" s="18" t="str">
        <f aca="false">IF($P624="","",IF($Q624="Y",IFERROR(VLOOKUP($B624,$C$4:$D$13,2,FALSE()),0),0))</f>
        <v/>
      </c>
      <c r="S624" s="17" t="str">
        <f aca="false">IF($P624="","",ROUNDDOWN($P624*$R624,0))</f>
        <v/>
      </c>
      <c r="T624" s="17" t="str">
        <f aca="false">IF($P624="","",$P624-$S624)</f>
        <v/>
      </c>
      <c r="U624" s="17" t="str">
        <f aca="false">IF($T624="","",IF($B$10=0,"",$T624/$B$10))</f>
        <v/>
      </c>
      <c r="V624" s="17" t="str">
        <f aca="false">IF($P624="","",IF($B$10=0,"",$P624/$B$10))</f>
        <v/>
      </c>
      <c r="W624" s="19" t="n">
        <f aca="false">IF($T624="",1000000000000000,$T624)</f>
        <v/>
      </c>
      <c r="XFC624" s="3"/>
    </row>
    <row r="625" s="21" collapsed="false" customFormat="true" customHeight="true" hidden="false" ht="28.5" outlineLevel="0">
      <c r="A625" s="16" t="str">
        <f aca="false">IF($T625="","",1+COUNTIF($W$15:$W$894,"&lt;"&amp;W625))</f>
        <v/>
      </c>
      <c r="B625" s="16" t="s">
        <v>10</v>
      </c>
      <c r="C625" s="16" t="s">
        <v>1231</v>
      </c>
      <c r="D625" s="16" t="s">
        <v>56</v>
      </c>
      <c r="E625" s="16" t="s">
        <v>26</v>
      </c>
      <c r="F625" s="16" t="s">
        <v>1232</v>
      </c>
      <c r="G625" s="17">
        <v>1789</v>
      </c>
      <c r="H625" s="17"/>
      <c r="I625" s="17"/>
      <c r="J625" s="17">
        <v>1789</v>
      </c>
      <c r="K625" s="17" t="n">
        <f aca="false">IF(AND(IFERROR(SEARCH("현대오일뱅크",$C625),0)&gt;0,IFERROR(SEARCH("직영",$C625),0)&gt;0),$B$13,0)</f>
        <v/>
      </c>
      <c r="L625" s="17" t="n">
        <f aca="false">IF($G625="","",$G625+$K625)</f>
        <v/>
      </c>
      <c r="M625" s="17" t="str">
        <f aca="false">IF($H625="","",$H625+$K625)</f>
        <v/>
      </c>
      <c r="N625" s="17" t="n">
        <f aca="false">IF($J625="","",$J625+$K625)</f>
        <v/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 t="str">
        <f aca="false">IF($B$10=0,"",IFERROR(IF($B$4&gt;0,IF($L625="",1/0,$L625*$B$4),0)+IF($B$5&gt;0,IF($M625="",1/0,$M625*$B$5),0)+IF($B$6&gt;0,IF($N625="",1/0,$N625*$B$6),0),""))</f>
        <v/>
      </c>
      <c r="Q625" s="17"/>
      <c r="R625" s="18" t="str">
        <f aca="false">IF($P625="","",IF($Q625="Y",IFERROR(VLOOKUP($B625,$C$4:$D$13,2,FALSE()),0),0))</f>
        <v/>
      </c>
      <c r="S625" s="17" t="str">
        <f aca="false">IF($P625="","",ROUNDDOWN($P625*$R625,0))</f>
        <v/>
      </c>
      <c r="T625" s="17" t="str">
        <f aca="false">IF($P625="","",$P625-$S625)</f>
        <v/>
      </c>
      <c r="U625" s="17" t="str">
        <f aca="false">IF($T625="","",IF($B$10=0,"",$T625/$B$10))</f>
        <v/>
      </c>
      <c r="V625" s="17" t="str">
        <f aca="false">IF($P625="","",IF($B$10=0,"",$P625/$B$10))</f>
        <v/>
      </c>
      <c r="W625" s="19" t="n">
        <f aca="false">IF($T625="",1000000000000000,$T625)</f>
        <v/>
      </c>
      <c r="XFB625" s="6"/>
      <c r="XFC625" s="3"/>
    </row>
    <row r="626" s="21" collapsed="false" customFormat="true" customHeight="true" hidden="false" ht="28.5" outlineLevel="0">
      <c r="A626" s="16" t="str">
        <f aca="false">IF($T626="","",1+COUNTIF($W$15:$W$894,"&lt;"&amp;W626))</f>
        <v/>
      </c>
      <c r="B626" s="16" t="s">
        <v>10</v>
      </c>
      <c r="C626" s="16" t="s">
        <v>1233</v>
      </c>
      <c r="D626" s="16" t="s">
        <v>56</v>
      </c>
      <c r="E626" s="16" t="s">
        <v>26</v>
      </c>
      <c r="F626" s="16" t="s">
        <v>1234</v>
      </c>
      <c r="G626" s="17">
        <v>1789</v>
      </c>
      <c r="H626" s="17"/>
      <c r="I626" s="17"/>
      <c r="J626" s="17">
        <v>1789</v>
      </c>
      <c r="K626" s="17" t="n">
        <f aca="false">IF(AND(IFERROR(SEARCH("현대오일뱅크",$C626),0)&gt;0,IFERROR(SEARCH("직영",$C626),0)&gt;0),$B$13,0)</f>
        <v/>
      </c>
      <c r="L626" s="17" t="n">
        <f aca="false">IF($G626="","",$G626+$K626)</f>
        <v/>
      </c>
      <c r="M626" s="17" t="str">
        <f aca="false">IF($H626="","",$H626+$K626)</f>
        <v/>
      </c>
      <c r="N626" s="17" t="n">
        <f aca="false">IF($J626="","",$J626+$K626)</f>
        <v/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 t="str">
        <f aca="false">IF($B$10=0,"",IFERROR(IF($B$4&gt;0,IF($L626="",1/0,$L626*$B$4),0)+IF($B$5&gt;0,IF($M626="",1/0,$M626*$B$5),0)+IF($B$6&gt;0,IF($N626="",1/0,$N626*$B$6),0),""))</f>
        <v/>
      </c>
      <c r="Q626" s="17"/>
      <c r="R626" s="18" t="str">
        <f aca="false">IF($P626="","",IF($Q626="Y",IFERROR(VLOOKUP($B626,$C$4:$D$13,2,FALSE()),0),0))</f>
        <v/>
      </c>
      <c r="S626" s="17" t="str">
        <f aca="false">IF($P626="","",ROUNDDOWN($P626*$R626,0))</f>
        <v/>
      </c>
      <c r="T626" s="17" t="str">
        <f aca="false">IF($P626="","",$P626-$S626)</f>
        <v/>
      </c>
      <c r="U626" s="17" t="str">
        <f aca="false">IF($T626="","",IF($B$10=0,"",$T626/$B$10))</f>
        <v/>
      </c>
      <c r="V626" s="17" t="str">
        <f aca="false">IF($P626="","",IF($B$10=0,"",$P626/$B$10))</f>
        <v/>
      </c>
      <c r="W626" s="19" t="n">
        <f aca="false">IF($T626="",1000000000000000,$T626)</f>
        <v/>
      </c>
      <c r="XFB626" s="6"/>
      <c r="XFC626" s="3"/>
    </row>
    <row r="627" s="6" collapsed="false" customFormat="true" customHeight="true" hidden="false" ht="28.6" outlineLevel="0">
      <c r="A627" s="16" t="str">
        <f aca="false">IF($T627="","",1+COUNTIF($W$15:$W$894,"&lt;"&amp;W627))</f>
        <v/>
      </c>
      <c r="B627" s="16" t="s">
        <v>10</v>
      </c>
      <c r="C627" s="16" t="s">
        <v>1235</v>
      </c>
      <c r="D627" s="16" t="s">
        <v>95</v>
      </c>
      <c r="E627" s="16" t="s">
        <v>26</v>
      </c>
      <c r="F627" s="16" t="s">
        <v>1236</v>
      </c>
      <c r="G627" s="17">
        <v>1789</v>
      </c>
      <c r="H627" s="17"/>
      <c r="I627" s="17"/>
      <c r="J627" s="17">
        <v>1789</v>
      </c>
      <c r="K627" s="17" t="n">
        <f aca="false">IF(AND(IFERROR(SEARCH("현대오일뱅크",$C627),0)&gt;0,IFERROR(SEARCH("직영",$C627),0)&gt;0),$B$13,0)</f>
        <v/>
      </c>
      <c r="L627" s="17" t="n">
        <f aca="false">IF($G627="","",$G627+$K627)</f>
        <v/>
      </c>
      <c r="M627" s="17" t="str">
        <f aca="false">IF($H627="","",$H627+$K627)</f>
        <v/>
      </c>
      <c r="N627" s="17" t="n">
        <f aca="false">IF($J627="","",$J627+$K627)</f>
        <v/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 t="str">
        <f aca="false">IF($B$10=0,"",IFERROR(IF($B$4&gt;0,IF($L627="",1/0,$L627*$B$4),0)+IF($B$5&gt;0,IF($M627="",1/0,$M627*$B$5),0)+IF($B$6&gt;0,IF($N627="",1/0,$N627*$B$6),0),""))</f>
        <v/>
      </c>
      <c r="Q627" s="17"/>
      <c r="R627" s="18" t="str">
        <f aca="false">IF($P627="","",IF($Q627="Y",IFERROR(VLOOKUP($B627,$C$4:$D$13,2,FALSE()),0),0))</f>
        <v/>
      </c>
      <c r="S627" s="17" t="str">
        <f aca="false">IF($P627="","",ROUNDDOWN($P627*$R627,0))</f>
        <v/>
      </c>
      <c r="T627" s="17" t="str">
        <f aca="false">IF($P627="","",$P627-$S627)</f>
        <v/>
      </c>
      <c r="U627" s="17" t="str">
        <f aca="false">IF($T627="","",IF($B$10=0,"",$T627/$B$10))</f>
        <v/>
      </c>
      <c r="V627" s="17" t="str">
        <f aca="false">IF($P627="","",IF($B$10=0,"",$P627/$B$10))</f>
        <v/>
      </c>
      <c r="W627" s="19" t="n">
        <f aca="false">IF($T627="",1000000000000000,$T627)</f>
        <v/>
      </c>
      <c r="XFC627" s="3"/>
    </row>
    <row r="628" s="21" collapsed="false" customFormat="true" customHeight="true" hidden="false" ht="28.5" outlineLevel="0">
      <c r="A628" s="16" t="str">
        <f aca="false">IF($T628="","",1+COUNTIF($W$15:$W$894,"&lt;"&amp;W628))</f>
        <v/>
      </c>
      <c r="B628" s="16" t="s">
        <v>10</v>
      </c>
      <c r="C628" s="16" t="s">
        <v>1237</v>
      </c>
      <c r="D628" s="16" t="s">
        <v>56</v>
      </c>
      <c r="E628" s="16" t="s">
        <v>26</v>
      </c>
      <c r="F628" s="16" t="s">
        <v>1238</v>
      </c>
      <c r="G628" s="17">
        <v>1789</v>
      </c>
      <c r="H628" s="17"/>
      <c r="I628" s="17"/>
      <c r="J628" s="17">
        <v>1789</v>
      </c>
      <c r="K628" s="17" t="n">
        <f aca="false">IF(AND(IFERROR(SEARCH("현대오일뱅크",$C628),0)&gt;0,IFERROR(SEARCH("직영",$C628),0)&gt;0),$B$13,0)</f>
        <v/>
      </c>
      <c r="L628" s="17" t="n">
        <f aca="false">IF($G628="","",$G628+$K628)</f>
        <v/>
      </c>
      <c r="M628" s="17" t="str">
        <f aca="false">IF($H628="","",$H628+$K628)</f>
        <v/>
      </c>
      <c r="N628" s="17" t="n">
        <f aca="false">IF($J628="","",$J628+$K628)</f>
        <v/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 t="str">
        <f aca="false">IF($B$10=0,"",IFERROR(IF($B$4&gt;0,IF($L628="",1/0,$L628*$B$4),0)+IF($B$5&gt;0,IF($M628="",1/0,$M628*$B$5),0)+IF($B$6&gt;0,IF($N628="",1/0,$N628*$B$6),0),""))</f>
        <v/>
      </c>
      <c r="Q628" s="17"/>
      <c r="R628" s="18" t="str">
        <f aca="false">IF($P628="","",IF($Q628="Y",IFERROR(VLOOKUP($B628,$C$4:$D$13,2,FALSE()),0),0))</f>
        <v/>
      </c>
      <c r="S628" s="17" t="str">
        <f aca="false">IF($P628="","",ROUNDDOWN($P628*$R628,0))</f>
        <v/>
      </c>
      <c r="T628" s="17" t="str">
        <f aca="false">IF($P628="","",$P628-$S628)</f>
        <v/>
      </c>
      <c r="U628" s="17" t="str">
        <f aca="false">IF($T628="","",IF($B$10=0,"",$T628/$B$10))</f>
        <v/>
      </c>
      <c r="V628" s="17" t="str">
        <f aca="false">IF($P628="","",IF($B$10=0,"",$P628/$B$10))</f>
        <v/>
      </c>
      <c r="W628" s="19" t="n">
        <f aca="false">IF($T628="",1000000000000000,$T628)</f>
        <v/>
      </c>
      <c r="XFB628" s="6"/>
      <c r="XFC628" s="3"/>
    </row>
    <row r="629" s="5" collapsed="false" customFormat="true" customHeight="true" hidden="false" ht="28.5" outlineLevel="0">
      <c r="A629" s="16" t="str">
        <f aca="false">IF($T629="","",1+COUNTIF($W$15:$W$894,"&lt;"&amp;W629))</f>
        <v/>
      </c>
      <c r="B629" s="16" t="s">
        <v>8</v>
      </c>
      <c r="C629" s="16" t="s">
        <v>1239</v>
      </c>
      <c r="D629" s="16" t="s">
        <v>500</v>
      </c>
      <c r="E629" s="16" t="s">
        <v>26</v>
      </c>
      <c r="F629" s="16" t="s">
        <v>1240</v>
      </c>
      <c r="G629" s="17">
        <v>1789</v>
      </c>
      <c r="H629" s="17"/>
      <c r="I629" s="17"/>
      <c r="J629" s="17">
        <v>1795</v>
      </c>
      <c r="K629" s="17" t="n">
        <f aca="false">IF(AND(IFERROR(SEARCH("현대오일뱅크",$C629),0)&gt;0,IFERROR(SEARCH("직영",$C629),0)&gt;0),$B$13,0)</f>
        <v/>
      </c>
      <c r="L629" s="17" t="n">
        <f aca="false">IF($G629="","",$G629+$K629)</f>
        <v/>
      </c>
      <c r="M629" s="17" t="str">
        <f aca="false">IF($H629="","",$H629+$K629)</f>
        <v/>
      </c>
      <c r="N629" s="17" t="n">
        <f aca="false">IF($J629="","",$J629+$K629)</f>
        <v/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 t="str">
        <f aca="false">IF($B$10=0,"",IFERROR(IF($B$4&gt;0,IF($L629="",1/0,$L629*$B$4),0)+IF($B$5&gt;0,IF($M629="",1/0,$M629*$B$5),0)+IF($B$6&gt;0,IF($N629="",1/0,$N629*$B$6),0),""))</f>
        <v/>
      </c>
      <c r="Q629" s="17"/>
      <c r="R629" s="18" t="str">
        <f aca="false">IF($P629="","",IF($Q629="Y",IFERROR(VLOOKUP($B629,$C$4:$D$13,2,FALSE()),0),0))</f>
        <v/>
      </c>
      <c r="S629" s="17" t="str">
        <f aca="false">IF($P629="","",ROUNDDOWN($P629*$R629,0))</f>
        <v/>
      </c>
      <c r="T629" s="17" t="str">
        <f aca="false">IF($P629="","",$P629-$S629)</f>
        <v/>
      </c>
      <c r="U629" s="17" t="str">
        <f aca="false">IF($T629="","",IF($B$10=0,"",$T629/$B$10))</f>
        <v/>
      </c>
      <c r="V629" s="17" t="str">
        <f aca="false">IF($P629="","",IF($B$10=0,"",$P629/$B$10))</f>
        <v/>
      </c>
      <c r="W629" s="19" t="n">
        <f aca="false">IF($T629="",1000000000000000,$T629)</f>
        <v/>
      </c>
      <c r="XFB629" s="6"/>
      <c r="XFC629" s="3"/>
    </row>
    <row r="630" s="5" collapsed="false" customFormat="true" customHeight="true" hidden="false" ht="28.5" outlineLevel="0">
      <c r="A630" s="16" t="str">
        <f aca="false">IF($T630="","",1+COUNTIF($W$15:$W$894,"&lt;"&amp;W630))</f>
        <v/>
      </c>
      <c r="B630" s="16" t="s">
        <v>8</v>
      </c>
      <c r="C630" s="16" t="s">
        <v>1243</v>
      </c>
      <c r="D630" s="16" t="s">
        <v>500</v>
      </c>
      <c r="E630" s="16" t="s">
        <v>26</v>
      </c>
      <c r="F630" s="16" t="s">
        <v>1244</v>
      </c>
      <c r="G630" s="17">
        <v>1790</v>
      </c>
      <c r="H630" s="17"/>
      <c r="I630" s="17"/>
      <c r="J630" s="17">
        <v>1770</v>
      </c>
      <c r="K630" s="17" t="n">
        <f aca="false">IF(AND(IFERROR(SEARCH("현대오일뱅크",$C630),0)&gt;0,IFERROR(SEARCH("직영",$C630),0)&gt;0),$B$13,0)</f>
        <v/>
      </c>
      <c r="L630" s="17" t="n">
        <f aca="false">IF($G630="","",$G630+$K630)</f>
        <v/>
      </c>
      <c r="M630" s="17" t="str">
        <f aca="false">IF($H630="","",$H630+$K630)</f>
        <v/>
      </c>
      <c r="N630" s="17" t="n">
        <f aca="false">IF($J630="","",$J630+$K630)</f>
        <v/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 t="str">
        <f aca="false">IF($B$10=0,"",IFERROR(IF($B$4&gt;0,IF($L630="",1/0,$L630*$B$4),0)+IF($B$5&gt;0,IF($M630="",1/0,$M630*$B$5),0)+IF($B$6&gt;0,IF($N630="",1/0,$N630*$B$6),0),""))</f>
        <v/>
      </c>
      <c r="Q630" s="17"/>
      <c r="R630" s="18" t="str">
        <f aca="false">IF($P630="","",IF($Q630="Y",IFERROR(VLOOKUP($B630,$C$4:$D$13,2,FALSE()),0),0))</f>
        <v/>
      </c>
      <c r="S630" s="17" t="str">
        <f aca="false">IF($P630="","",ROUNDDOWN($P630*$R630,0))</f>
        <v/>
      </c>
      <c r="T630" s="17" t="str">
        <f aca="false">IF($P630="","",$P630-$S630)</f>
        <v/>
      </c>
      <c r="U630" s="17" t="str">
        <f aca="false">IF($T630="","",IF($B$10=0,"",$T630/$B$10))</f>
        <v/>
      </c>
      <c r="V630" s="17" t="str">
        <f aca="false">IF($P630="","",IF($B$10=0,"",$P630/$B$10))</f>
        <v/>
      </c>
      <c r="W630" s="19" t="n">
        <f aca="false">IF($T630="",1000000000000000,$T630)</f>
        <v/>
      </c>
      <c r="XFB630" s="6"/>
      <c r="XFC630" s="3"/>
    </row>
    <row r="631" s="5" collapsed="false" customFormat="true" customHeight="true" hidden="false" ht="28.5" outlineLevel="0">
      <c r="A631" s="16" t="str">
        <f aca="false">IF($T631="","",1+COUNTIF($W$15:$W$894,"&lt;"&amp;W631))</f>
        <v/>
      </c>
      <c r="B631" s="16" t="s">
        <v>10</v>
      </c>
      <c r="C631" s="16" t="s">
        <v>1245</v>
      </c>
      <c r="D631" s="16" t="s">
        <v>500</v>
      </c>
      <c r="E631" s="16" t="s">
        <v>26</v>
      </c>
      <c r="F631" s="16" t="s">
        <v>1246</v>
      </c>
      <c r="G631" s="17">
        <v>1790</v>
      </c>
      <c r="H631" s="17"/>
      <c r="I631" s="17"/>
      <c r="J631" s="17">
        <v>1780</v>
      </c>
      <c r="K631" s="17" t="n">
        <f aca="false">IF(AND(IFERROR(SEARCH("현대오일뱅크",$C631),0)&gt;0,IFERROR(SEARCH("직영",$C631),0)&gt;0),$B$13,0)</f>
        <v/>
      </c>
      <c r="L631" s="17" t="n">
        <f aca="false">IF($G631="","",$G631+$K631)</f>
        <v/>
      </c>
      <c r="M631" s="17" t="str">
        <f aca="false">IF($H631="","",$H631+$K631)</f>
        <v/>
      </c>
      <c r="N631" s="17" t="n">
        <f aca="false">IF($J631="","",$J631+$K631)</f>
        <v/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 t="str">
        <f aca="false">IF($B$10=0,"",IFERROR(IF($B$4&gt;0,IF($L631="",1/0,$L631*$B$4),0)+IF($B$5&gt;0,IF($M631="",1/0,$M631*$B$5),0)+IF($B$6&gt;0,IF($N631="",1/0,$N631*$B$6),0),""))</f>
        <v/>
      </c>
      <c r="Q631" s="17"/>
      <c r="R631" s="18" t="str">
        <f aca="false">IF($P631="","",IF($Q631="Y",IFERROR(VLOOKUP($B631,$C$4:$D$13,2,FALSE()),0),0))</f>
        <v/>
      </c>
      <c r="S631" s="17" t="str">
        <f aca="false">IF($P631="","",ROUNDDOWN($P631*$R631,0))</f>
        <v/>
      </c>
      <c r="T631" s="17" t="str">
        <f aca="false">IF($P631="","",$P631-$S631)</f>
        <v/>
      </c>
      <c r="U631" s="17" t="str">
        <f aca="false">IF($T631="","",IF($B$10=0,"",$T631/$B$10))</f>
        <v/>
      </c>
      <c r="V631" s="17" t="str">
        <f aca="false">IF($P631="","",IF($B$10=0,"",$P631/$B$10))</f>
        <v/>
      </c>
      <c r="W631" s="19" t="n">
        <f aca="false">IF($T631="",1000000000000000,$T631)</f>
        <v/>
      </c>
      <c r="XFB631" s="6"/>
      <c r="XFC631" s="3"/>
    </row>
    <row r="632" s="5" collapsed="false" customFormat="true" customHeight="true" hidden="false" ht="28.5" outlineLevel="0">
      <c r="A632" s="16" t="str">
        <f aca="false">IF($T632="","",1+COUNTIF($W$15:$W$894,"&lt;"&amp;W632))</f>
        <v/>
      </c>
      <c r="B632" s="16" t="s">
        <v>16</v>
      </c>
      <c r="C632" s="16" t="s">
        <v>1247</v>
      </c>
      <c r="D632" s="16" t="s">
        <v>56</v>
      </c>
      <c r="E632" s="16" t="s">
        <v>26</v>
      </c>
      <c r="F632" s="16" t="s">
        <v>1248</v>
      </c>
      <c r="G632" s="17">
        <v>1790</v>
      </c>
      <c r="H632" s="17"/>
      <c r="I632" s="17"/>
      <c r="J632" s="17">
        <v>1790</v>
      </c>
      <c r="K632" s="17" t="n">
        <f aca="false">IF(AND(IFERROR(SEARCH("현대오일뱅크",$C632),0)&gt;0,IFERROR(SEARCH("직영",$C632),0)&gt;0),$B$13,0)</f>
        <v/>
      </c>
      <c r="L632" s="17" t="n">
        <f aca="false">IF($G632="","",$G632+$K632)</f>
        <v/>
      </c>
      <c r="M632" s="17" t="str">
        <f aca="false">IF($H632="","",$H632+$K632)</f>
        <v/>
      </c>
      <c r="N632" s="17" t="n">
        <f aca="false">IF($J632="","",$J632+$K632)</f>
        <v/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 t="str">
        <f aca="false">IF($B$10=0,"",IFERROR(IF($B$4&gt;0,IF($L632="",1/0,$L632*$B$4),0)+IF($B$5&gt;0,IF($M632="",1/0,$M632*$B$5),0)+IF($B$6&gt;0,IF($N632="",1/0,$N632*$B$6),0),""))</f>
        <v/>
      </c>
      <c r="Q632" s="17"/>
      <c r="R632" s="18" t="str">
        <f aca="false">IF($P632="","",IF($Q632="Y",IFERROR(VLOOKUP($B632,$C$4:$D$13,2,FALSE()),0),0))</f>
        <v/>
      </c>
      <c r="S632" s="17" t="str">
        <f aca="false">IF($P632="","",ROUNDDOWN($P632*$R632,0))</f>
        <v/>
      </c>
      <c r="T632" s="17" t="str">
        <f aca="false">IF($P632="","",$P632-$S632)</f>
        <v/>
      </c>
      <c r="U632" s="17" t="str">
        <f aca="false">IF($T632="","",IF($B$10=0,"",$T632/$B$10))</f>
        <v/>
      </c>
      <c r="V632" s="17" t="str">
        <f aca="false">IF($P632="","",IF($B$10=0,"",$P632/$B$10))</f>
        <v/>
      </c>
      <c r="W632" s="19" t="n">
        <f aca="false">IF($T632="",1000000000000000,$T632)</f>
        <v/>
      </c>
      <c r="XFB632" s="6"/>
      <c r="XFC632" s="3"/>
    </row>
    <row r="633" s="6" collapsed="false" customFormat="true" customHeight="true" hidden="false" ht="28.6" outlineLevel="0">
      <c r="A633" s="16" t="str">
        <f aca="false">IF($T633="","",1+COUNTIF($W$15:$W$894,"&lt;"&amp;W633))</f>
        <v/>
      </c>
      <c r="B633" s="16" t="s">
        <v>16</v>
      </c>
      <c r="C633" s="16" t="s">
        <v>1251</v>
      </c>
      <c r="D633" s="16" t="s">
        <v>393</v>
      </c>
      <c r="E633" s="16" t="s">
        <v>26</v>
      </c>
      <c r="F633" s="16" t="s">
        <v>1252</v>
      </c>
      <c r="G633" s="17">
        <v>1790</v>
      </c>
      <c r="H633" s="17"/>
      <c r="I633" s="17"/>
      <c r="J633" s="17">
        <v>1790</v>
      </c>
      <c r="K633" s="17" t="n">
        <f aca="false">IF(AND(IFERROR(SEARCH("현대오일뱅크",$C633),0)&gt;0,IFERROR(SEARCH("직영",$C633),0)&gt;0),$B$13,0)</f>
        <v/>
      </c>
      <c r="L633" s="17" t="n">
        <f aca="false">IF($G633="","",$G633+$K633)</f>
        <v/>
      </c>
      <c r="M633" s="17" t="str">
        <f aca="false">IF($H633="","",$H633+$K633)</f>
        <v/>
      </c>
      <c r="N633" s="17" t="n">
        <f aca="false">IF($J633="","",$J633+$K633)</f>
        <v/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 t="str">
        <f aca="false">IF($B$10=0,"",IFERROR(IF($B$4&gt;0,IF($L633="",1/0,$L633*$B$4),0)+IF($B$5&gt;0,IF($M633="",1/0,$M633*$B$5),0)+IF($B$6&gt;0,IF($N633="",1/0,$N633*$B$6),0),""))</f>
        <v/>
      </c>
      <c r="Q633" s="17"/>
      <c r="R633" s="18" t="str">
        <f aca="false">IF($P633="","",IF($Q633="Y",IFERROR(VLOOKUP($B633,$C$4:$D$13,2,FALSE()),0),0))</f>
        <v/>
      </c>
      <c r="S633" s="17" t="str">
        <f aca="false">IF($P633="","",ROUNDDOWN($P633*$R633,0))</f>
        <v/>
      </c>
      <c r="T633" s="17" t="str">
        <f aca="false">IF($P633="","",$P633-$S633)</f>
        <v/>
      </c>
      <c r="U633" s="17" t="str">
        <f aca="false">IF($T633="","",IF($B$10=0,"",$T633/$B$10))</f>
        <v/>
      </c>
      <c r="V633" s="17" t="str">
        <f aca="false">IF($P633="","",IF($B$10=0,"",$P633/$B$10))</f>
        <v/>
      </c>
      <c r="W633" s="19" t="n">
        <f aca="false">IF($T633="",1000000000000000,$T633)</f>
        <v/>
      </c>
      <c r="XFC633" s="3"/>
    </row>
    <row r="634" s="6" collapsed="false" customFormat="true" customHeight="true" hidden="false" ht="28.6" outlineLevel="0">
      <c r="A634" s="16" t="str">
        <f aca="false">IF($T634="","",1+COUNTIF($W$15:$W$894,"&lt;"&amp;W634))</f>
        <v/>
      </c>
      <c r="B634" s="16" t="s">
        <v>18</v>
      </c>
      <c r="C634" s="16" t="s">
        <v>1081</v>
      </c>
      <c r="D634" s="16" t="s">
        <v>45</v>
      </c>
      <c r="E634" s="16" t="s">
        <v>26</v>
      </c>
      <c r="F634" s="16" t="s">
        <v>1082</v>
      </c>
      <c r="G634" s="17">
        <v>1792</v>
      </c>
      <c r="H634" s="17"/>
      <c r="I634" s="17"/>
      <c r="J634" s="17">
        <v>1792</v>
      </c>
      <c r="K634" s="17" t="n">
        <f aca="false">IF(AND(IFERROR(SEARCH("현대오일뱅크",$C634),0)&gt;0,IFERROR(SEARCH("직영",$C634),0)&gt;0),$B$13,0)</f>
        <v/>
      </c>
      <c r="L634" s="17" t="n">
        <f aca="false">IF($G634="","",$G634+$K634)</f>
        <v/>
      </c>
      <c r="M634" s="17" t="str">
        <f aca="false">IF($H634="","",$H634+$K634)</f>
        <v/>
      </c>
      <c r="N634" s="17" t="n">
        <f aca="false">IF($J634="","",$J634+$K634)</f>
        <v/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 t="str">
        <f aca="false">IF($B$10=0,"",IFERROR(IF($B$4&gt;0,IF($L634="",1/0,$L634*$B$4),0)+IF($B$5&gt;0,IF($M634="",1/0,$M634*$B$5),0)+IF($B$6&gt;0,IF($N634="",1/0,$N634*$B$6),0),""))</f>
        <v/>
      </c>
      <c r="Q634" s="17"/>
      <c r="R634" s="18" t="str">
        <f aca="false">IF($P634="","",IF($Q634="Y",IFERROR(VLOOKUP($B634,$C$4:$D$13,2,FALSE()),0),0))</f>
        <v/>
      </c>
      <c r="S634" s="17" t="str">
        <f aca="false">IF($P634="","",ROUNDDOWN($P634*$R634,0))</f>
        <v/>
      </c>
      <c r="T634" s="17" t="str">
        <f aca="false">IF($P634="","",$P634-$S634)</f>
        <v/>
      </c>
      <c r="U634" s="17" t="str">
        <f aca="false">IF($T634="","",IF($B$10=0,"",$T634/$B$10))</f>
        <v/>
      </c>
      <c r="V634" s="17" t="str">
        <f aca="false">IF($P634="","",IF($B$10=0,"",$P634/$B$10))</f>
        <v/>
      </c>
      <c r="W634" s="19" t="n">
        <f aca="false">IF($T634="",1000000000000000,$T634)</f>
        <v/>
      </c>
      <c r="XFC634" s="3"/>
    </row>
    <row r="635" s="6" collapsed="false" customFormat="true" customHeight="true" hidden="false" ht="28.6" outlineLevel="0">
      <c r="A635" s="16" t="str">
        <f aca="false">IF($T635="","",1+COUNTIF($W$15:$W$894,"&lt;"&amp;W635))</f>
        <v/>
      </c>
      <c r="B635" s="16" t="s">
        <v>12</v>
      </c>
      <c r="C635" s="16" t="s">
        <v>1070</v>
      </c>
      <c r="D635" s="20" t="s">
        <v>45</v>
      </c>
      <c r="E635" s="16" t="s">
        <v>26</v>
      </c>
      <c r="F635" s="16" t="s">
        <v>1071</v>
      </c>
      <c r="G635" s="17">
        <v>1792</v>
      </c>
      <c r="H635" s="17"/>
      <c r="I635" s="17"/>
      <c r="J635" s="17">
        <v>1834</v>
      </c>
      <c r="K635" s="17" t="n">
        <f aca="false">IF(AND(IFERROR(SEARCH("현대오일뱅크",$C635),0)&gt;0,IFERROR(SEARCH("직영",$C635),0)&gt;0),$B$13,0)</f>
        <v/>
      </c>
      <c r="L635" s="17" t="n">
        <f aca="false">IF($G635="","",$G635+$K635)</f>
        <v/>
      </c>
      <c r="M635" s="17" t="str">
        <f aca="false">IF($H635="","",$H635+$K635)</f>
        <v/>
      </c>
      <c r="N635" s="17" t="n">
        <f aca="false">IF($J635="","",$J635+$K635)</f>
        <v/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 t="str">
        <f aca="false">IF($B$10=0,"",IFERROR(IF($B$4&gt;0,IF($L635="",1/0,$L635*$B$4),0)+IF($B$5&gt;0,IF($M635="",1/0,$M635*$B$5),0)+IF($B$6&gt;0,IF($N635="",1/0,$N635*$B$6),0),""))</f>
        <v/>
      </c>
      <c r="Q635" s="17"/>
      <c r="R635" s="18" t="str">
        <f aca="false">IF($P635="","",IF($Q635="Y",IFERROR(VLOOKUP($B635,$C$4:$D$13,2,FALSE()),0),0))</f>
        <v/>
      </c>
      <c r="S635" s="17" t="str">
        <f aca="false">IF($P635="","",ROUNDDOWN($P635*$R635,0))</f>
        <v/>
      </c>
      <c r="T635" s="17" t="str">
        <f aca="false">IF($P635="","",$P635-$S635)</f>
        <v/>
      </c>
      <c r="U635" s="17" t="str">
        <f aca="false">IF($T635="","",IF($B$10=0,"",$T635/$B$10))</f>
        <v/>
      </c>
      <c r="V635" s="17" t="str">
        <f aca="false">IF($P635="","",IF($B$10=0,"",$P635/$B$10))</f>
        <v/>
      </c>
      <c r="W635" s="19" t="n">
        <f aca="false">IF($T635="",1000000000000000,$T635)</f>
        <v/>
      </c>
      <c r="XFC635" s="3"/>
    </row>
    <row r="636" s="21" collapsed="false" customFormat="true" customHeight="true" hidden="false" ht="28.5" outlineLevel="0">
      <c r="A636" s="16" t="str">
        <f aca="false">IF($T636="","",1+COUNTIF($W$15:$W$894,"&lt;"&amp;W636))</f>
        <v/>
      </c>
      <c r="B636" s="16" t="s">
        <v>8</v>
      </c>
      <c r="C636" s="16" t="s">
        <v>624</v>
      </c>
      <c r="D636" s="16" t="s">
        <v>393</v>
      </c>
      <c r="E636" s="16" t="s">
        <v>63</v>
      </c>
      <c r="F636" s="16" t="s">
        <v>1255</v>
      </c>
      <c r="G636" s="17">
        <v>1793</v>
      </c>
      <c r="H636" s="17"/>
      <c r="I636" s="17"/>
      <c r="J636" s="17">
        <v>1793</v>
      </c>
      <c r="K636" s="17" t="n">
        <f aca="false">IF(AND(IFERROR(SEARCH("현대오일뱅크",$C636),0)&gt;0,IFERROR(SEARCH("직영",$C636),0)&gt;0),$B$13,0)</f>
        <v/>
      </c>
      <c r="L636" s="17" t="n">
        <f aca="false">IF($G636="","",$G636+$K636)</f>
        <v/>
      </c>
      <c r="M636" s="17" t="str">
        <f aca="false">IF($H636="","",$H636+$K636)</f>
        <v/>
      </c>
      <c r="N636" s="17" t="n">
        <f aca="false">IF($J636="","",$J636+$K636)</f>
        <v/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 t="str">
        <f aca="false">IF($B$10=0,"",IFERROR(IF($B$4&gt;0,IF($L636="",1/0,$L636*$B$4),0)+IF($B$5&gt;0,IF($M636="",1/0,$M636*$B$5),0)+IF($B$6&gt;0,IF($N636="",1/0,$N636*$B$6),0),""))</f>
        <v/>
      </c>
      <c r="Q636" s="17"/>
      <c r="R636" s="18" t="str">
        <f aca="false">IF($P636="","",IF($Q636="Y",IFERROR(VLOOKUP($B636,$C$4:$D$13,2,FALSE()),0),0))</f>
        <v/>
      </c>
      <c r="S636" s="17" t="str">
        <f aca="false">IF($P636="","",ROUNDDOWN($P636*$R636,0))</f>
        <v/>
      </c>
      <c r="T636" s="17" t="str">
        <f aca="false">IF($P636="","",$P636-$S636)</f>
        <v/>
      </c>
      <c r="U636" s="17" t="str">
        <f aca="false">IF($T636="","",IF($B$10=0,"",$T636/$B$10))</f>
        <v/>
      </c>
      <c r="V636" s="17" t="str">
        <f aca="false">IF($P636="","",IF($B$10=0,"",$P636/$B$10))</f>
        <v/>
      </c>
      <c r="W636" s="19" t="n">
        <f aca="false">IF($T636="",1000000000000000,$T636)</f>
        <v/>
      </c>
      <c r="XFB636" s="6"/>
      <c r="XFC636" s="3"/>
    </row>
    <row r="637" s="21" collapsed="false" customFormat="true" customHeight="true" hidden="false" ht="28.5" outlineLevel="0">
      <c r="A637" s="16" t="str">
        <f aca="false">IF($T637="","",1+COUNTIF($W$15:$W$894,"&lt;"&amp;W637))</f>
        <v/>
      </c>
      <c r="B637" s="16" t="s">
        <v>8</v>
      </c>
      <c r="C637" s="16" t="s">
        <v>1256</v>
      </c>
      <c r="D637" s="16" t="s">
        <v>56</v>
      </c>
      <c r="E637" s="16" t="s">
        <v>26</v>
      </c>
      <c r="F637" s="16" t="s">
        <v>1257</v>
      </c>
      <c r="G637" s="17">
        <v>1793</v>
      </c>
      <c r="H637" s="17"/>
      <c r="I637" s="17"/>
      <c r="J637" s="17">
        <v>1793</v>
      </c>
      <c r="K637" s="17" t="n">
        <f aca="false">IF(AND(IFERROR(SEARCH("현대오일뱅크",$C637),0)&gt;0,IFERROR(SEARCH("직영",$C637),0)&gt;0),$B$13,0)</f>
        <v/>
      </c>
      <c r="L637" s="17" t="n">
        <f aca="false">IF($G637="","",$G637+$K637)</f>
        <v/>
      </c>
      <c r="M637" s="17" t="str">
        <f aca="false">IF($H637="","",$H637+$K637)</f>
        <v/>
      </c>
      <c r="N637" s="17" t="n">
        <f aca="false">IF($J637="","",$J637+$K637)</f>
        <v/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 t="str">
        <f aca="false">IF($B$10=0,"",IFERROR(IF($B$4&gt;0,IF($L637="",1/0,$L637*$B$4),0)+IF($B$5&gt;0,IF($M637="",1/0,$M637*$B$5),0)+IF($B$6&gt;0,IF($N637="",1/0,$N637*$B$6),0),""))</f>
        <v/>
      </c>
      <c r="Q637" s="17"/>
      <c r="R637" s="18" t="str">
        <f aca="false">IF($P637="","",IF($Q637="Y",IFERROR(VLOOKUP($B637,$C$4:$D$13,2,FALSE()),0),0))</f>
        <v/>
      </c>
      <c r="S637" s="17" t="str">
        <f aca="false">IF($P637="","",ROUNDDOWN($P637*$R637,0))</f>
        <v/>
      </c>
      <c r="T637" s="17" t="str">
        <f aca="false">IF($P637="","",$P637-$S637)</f>
        <v/>
      </c>
      <c r="U637" s="17" t="str">
        <f aca="false">IF($T637="","",IF($B$10=0,"",$T637/$B$10))</f>
        <v/>
      </c>
      <c r="V637" s="17" t="str">
        <f aca="false">IF($P637="","",IF($B$10=0,"",$P637/$B$10))</f>
        <v/>
      </c>
      <c r="W637" s="19" t="n">
        <f aca="false">IF($T637="",1000000000000000,$T637)</f>
        <v/>
      </c>
      <c r="XFB637" s="6"/>
      <c r="XFC637" s="3"/>
    </row>
    <row r="638" s="21" collapsed="false" customFormat="true" customHeight="true" hidden="false" ht="28.5" outlineLevel="0">
      <c r="A638" s="16" t="str">
        <f aca="false">IF($T638="","",1+COUNTIF($W$15:$W$894,"&lt;"&amp;W638))</f>
        <v/>
      </c>
      <c r="B638" s="16" t="s">
        <v>8</v>
      </c>
      <c r="C638" s="16" t="s">
        <v>1258</v>
      </c>
      <c r="D638" s="16" t="s">
        <v>51</v>
      </c>
      <c r="E638" s="16" t="s">
        <v>26</v>
      </c>
      <c r="F638" s="16" t="s">
        <v>1259</v>
      </c>
      <c r="G638" s="17">
        <v>1793</v>
      </c>
      <c r="H638" s="17"/>
      <c r="I638" s="17"/>
      <c r="J638" s="17">
        <v>1798</v>
      </c>
      <c r="K638" s="17" t="n">
        <f aca="false">IF(AND(IFERROR(SEARCH("현대오일뱅크",$C638),0)&gt;0,IFERROR(SEARCH("직영",$C638),0)&gt;0),$B$13,0)</f>
        <v/>
      </c>
      <c r="L638" s="17" t="n">
        <f aca="false">IF($G638="","",$G638+$K638)</f>
        <v/>
      </c>
      <c r="M638" s="17" t="str">
        <f aca="false">IF($H638="","",$H638+$K638)</f>
        <v/>
      </c>
      <c r="N638" s="17" t="n">
        <f aca="false">IF($J638="","",$J638+$K638)</f>
        <v/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 t="str">
        <f aca="false">IF($B$10=0,"",IFERROR(IF($B$4&gt;0,IF($L638="",1/0,$L638*$B$4),0)+IF($B$5&gt;0,IF($M638="",1/0,$M638*$B$5),0)+IF($B$6&gt;0,IF($N638="",1/0,$N638*$B$6),0),""))</f>
        <v/>
      </c>
      <c r="Q638" s="17"/>
      <c r="R638" s="18" t="str">
        <f aca="false">IF($P638="","",IF($Q638="Y",IFERROR(VLOOKUP($B638,$C$4:$D$13,2,FALSE()),0),0))</f>
        <v/>
      </c>
      <c r="S638" s="17" t="str">
        <f aca="false">IF($P638="","",ROUNDDOWN($P638*$R638,0))</f>
        <v/>
      </c>
      <c r="T638" s="17" t="str">
        <f aca="false">IF($P638="","",$P638-$S638)</f>
        <v/>
      </c>
      <c r="U638" s="17" t="str">
        <f aca="false">IF($T638="","",IF($B$10=0,"",$T638/$B$10))</f>
        <v/>
      </c>
      <c r="V638" s="17" t="str">
        <f aca="false">IF($P638="","",IF($B$10=0,"",$P638/$B$10))</f>
        <v/>
      </c>
      <c r="W638" s="19" t="n">
        <f aca="false">IF($T638="",1000000000000000,$T638)</f>
        <v/>
      </c>
      <c r="XFB638" s="6"/>
      <c r="XFC638" s="3"/>
    </row>
    <row r="639" s="6" collapsed="false" customFormat="true" customHeight="true" hidden="false" ht="28.6" outlineLevel="0">
      <c r="A639" s="16" t="str">
        <f aca="false">IF($T639="","",1+COUNTIF($W$15:$W$894,"&lt;"&amp;W639))</f>
        <v/>
      </c>
      <c r="B639" s="16" t="s">
        <v>6</v>
      </c>
      <c r="C639" s="16" t="s">
        <v>1262</v>
      </c>
      <c r="D639" s="16" t="s">
        <v>45</v>
      </c>
      <c r="E639" s="16" t="s">
        <v>26</v>
      </c>
      <c r="F639" s="16" t="s">
        <v>1263</v>
      </c>
      <c r="G639" s="17">
        <v>1794</v>
      </c>
      <c r="H639" s="17"/>
      <c r="I639" s="17"/>
      <c r="J639" s="17">
        <v>1774</v>
      </c>
      <c r="K639" s="17" t="n">
        <f aca="false">IF(AND(IFERROR(SEARCH("현대오일뱅크",$C639),0)&gt;0,IFERROR(SEARCH("직영",$C639),0)&gt;0),$B$13,0)</f>
        <v/>
      </c>
      <c r="L639" s="17" t="n">
        <f aca="false">IF($G639="","",$G639+$K639)</f>
        <v/>
      </c>
      <c r="M639" s="17" t="str">
        <f aca="false">IF($H639="","",$H639+$K639)</f>
        <v/>
      </c>
      <c r="N639" s="17" t="n">
        <f aca="false">IF($J639="","",$J639+$K639)</f>
        <v/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 t="str">
        <f aca="false">IF($B$10=0,"",IFERROR(IF($B$4&gt;0,IF($L639="",1/0,$L639*$B$4),0)+IF($B$5&gt;0,IF($M639="",1/0,$M639*$B$5),0)+IF($B$6&gt;0,IF($N639="",1/0,$N639*$B$6),0),""))</f>
        <v/>
      </c>
      <c r="Q639" s="17"/>
      <c r="R639" s="18" t="str">
        <f aca="false">IF($P639="","",IF($Q639="Y",IFERROR(VLOOKUP($B639,$C$4:$D$13,2,FALSE()),0),0))</f>
        <v/>
      </c>
      <c r="S639" s="17" t="str">
        <f aca="false">IF($P639="","",ROUNDDOWN($P639*$R639,0))</f>
        <v/>
      </c>
      <c r="T639" s="17" t="str">
        <f aca="false">IF($P639="","",$P639-$S639)</f>
        <v/>
      </c>
      <c r="U639" s="17" t="str">
        <f aca="false">IF($T639="","",IF($B$10=0,"",$T639/$B$10))</f>
        <v/>
      </c>
      <c r="V639" s="17" t="str">
        <f aca="false">IF($P639="","",IF($B$10=0,"",$P639/$B$10))</f>
        <v/>
      </c>
      <c r="W639" s="19" t="n">
        <f aca="false">IF($T639="",1000000000000000,$T639)</f>
        <v/>
      </c>
      <c r="XFC639" s="3"/>
    </row>
    <row r="640" s="5" collapsed="false" customFormat="true" customHeight="true" hidden="false" ht="28.5" outlineLevel="0">
      <c r="A640" s="16" t="str">
        <f aca="false">IF($T640="","",1+COUNTIF($W$15:$W$894,"&lt;"&amp;W640))</f>
        <v/>
      </c>
      <c r="B640" s="16" t="s">
        <v>12</v>
      </c>
      <c r="C640" s="16" t="s">
        <v>1264</v>
      </c>
      <c r="D640" s="20" t="s">
        <v>51</v>
      </c>
      <c r="E640" s="16" t="s">
        <v>26</v>
      </c>
      <c r="F640" s="16" t="s">
        <v>1265</v>
      </c>
      <c r="G640" s="17">
        <v>1794</v>
      </c>
      <c r="H640" s="17"/>
      <c r="I640" s="17"/>
      <c r="J640" s="17">
        <v>1780</v>
      </c>
      <c r="K640" s="17" t="n">
        <f aca="false">IF(AND(IFERROR(SEARCH("현대오일뱅크",$C640),0)&gt;0,IFERROR(SEARCH("직영",$C640),0)&gt;0),$B$13,0)</f>
        <v/>
      </c>
      <c r="L640" s="17" t="n">
        <f aca="false">IF($G640="","",$G640+$K640)</f>
        <v/>
      </c>
      <c r="M640" s="17" t="str">
        <f aca="false">IF($H640="","",$H640+$K640)</f>
        <v/>
      </c>
      <c r="N640" s="17" t="n">
        <f aca="false">IF($J640="","",$J640+$K640)</f>
        <v/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 t="str">
        <f aca="false">IF($B$10=0,"",IFERROR(IF($B$4&gt;0,IF($L640="",1/0,$L640*$B$4),0)+IF($B$5&gt;0,IF($M640="",1/0,$M640*$B$5),0)+IF($B$6&gt;0,IF($N640="",1/0,$N640*$B$6),0),""))</f>
        <v/>
      </c>
      <c r="Q640" s="17"/>
      <c r="R640" s="18" t="str">
        <f aca="false">IF($P640="","",IF($Q640="Y",IFERROR(VLOOKUP($B640,$C$4:$D$13,2,FALSE()),0),0))</f>
        <v/>
      </c>
      <c r="S640" s="17" t="str">
        <f aca="false">IF($P640="","",ROUNDDOWN($P640*$R640,0))</f>
        <v/>
      </c>
      <c r="T640" s="17" t="str">
        <f aca="false">IF($P640="","",$P640-$S640)</f>
        <v/>
      </c>
      <c r="U640" s="17" t="str">
        <f aca="false">IF($T640="","",IF($B$10=0,"",$T640/$B$10))</f>
        <v/>
      </c>
      <c r="V640" s="17" t="str">
        <f aca="false">IF($P640="","",IF($B$10=0,"",$P640/$B$10))</f>
        <v/>
      </c>
      <c r="W640" s="19" t="n">
        <f aca="false">IF($T640="",1000000000000000,$T640)</f>
        <v/>
      </c>
      <c r="XFB640" s="6"/>
      <c r="XFC640" s="3"/>
    </row>
    <row r="641" s="6" collapsed="false" customFormat="true" customHeight="true" hidden="false" ht="28.6" outlineLevel="0">
      <c r="A641" s="16" t="str">
        <f aca="false">IF($T641="","",1+COUNTIF($W$15:$W$894,"&lt;"&amp;W641))</f>
        <v/>
      </c>
      <c r="B641" s="16" t="s">
        <v>12</v>
      </c>
      <c r="C641" s="16" t="s">
        <v>1266</v>
      </c>
      <c r="D641" s="20" t="s">
        <v>51</v>
      </c>
      <c r="E641" s="16" t="s">
        <v>26</v>
      </c>
      <c r="F641" s="16" t="s">
        <v>1267</v>
      </c>
      <c r="G641" s="17">
        <v>1794</v>
      </c>
      <c r="H641" s="17"/>
      <c r="I641" s="17"/>
      <c r="J641" s="17">
        <v>1780</v>
      </c>
      <c r="K641" s="17" t="n">
        <f aca="false">IF(AND(IFERROR(SEARCH("현대오일뱅크",$C641),0)&gt;0,IFERROR(SEARCH("직영",$C641),0)&gt;0),$B$13,0)</f>
        <v/>
      </c>
      <c r="L641" s="17" t="n">
        <f aca="false">IF($G641="","",$G641+$K641)</f>
        <v/>
      </c>
      <c r="M641" s="17" t="str">
        <f aca="false">IF($H641="","",$H641+$K641)</f>
        <v/>
      </c>
      <c r="N641" s="17" t="n">
        <f aca="false">IF($J641="","",$J641+$K641)</f>
        <v/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 t="str">
        <f aca="false">IF($B$10=0,"",IFERROR(IF($B$4&gt;0,IF($L641="",1/0,$L641*$B$4),0)+IF($B$5&gt;0,IF($M641="",1/0,$M641*$B$5),0)+IF($B$6&gt;0,IF($N641="",1/0,$N641*$B$6),0),""))</f>
        <v/>
      </c>
      <c r="Q641" s="17"/>
      <c r="R641" s="18" t="str">
        <f aca="false">IF($P641="","",IF($Q641="Y",IFERROR(VLOOKUP($B641,$C$4:$D$13,2,FALSE()),0),0))</f>
        <v/>
      </c>
      <c r="S641" s="17" t="str">
        <f aca="false">IF($P641="","",ROUNDDOWN($P641*$R641,0))</f>
        <v/>
      </c>
      <c r="T641" s="17" t="str">
        <f aca="false">IF($P641="","",$P641-$S641)</f>
        <v/>
      </c>
      <c r="U641" s="17" t="str">
        <f aca="false">IF($T641="","",IF($B$10=0,"",$T641/$B$10))</f>
        <v/>
      </c>
      <c r="V641" s="17" t="str">
        <f aca="false">IF($P641="","",IF($B$10=0,"",$P641/$B$10))</f>
        <v/>
      </c>
      <c r="W641" s="19" t="n">
        <f aca="false">IF($T641="",1000000000000000,$T641)</f>
        <v/>
      </c>
      <c r="XFC641" s="3"/>
    </row>
    <row r="642" s="6" collapsed="false" customFormat="true" customHeight="true" hidden="false" ht="28.6" outlineLevel="0">
      <c r="A642" s="16" t="str">
        <f aca="false">IF($T642="","",1+COUNTIF($W$15:$W$894,"&lt;"&amp;W642))</f>
        <v/>
      </c>
      <c r="B642" s="16" t="s">
        <v>6</v>
      </c>
      <c r="C642" s="16" t="s">
        <v>1268</v>
      </c>
      <c r="D642" s="20" t="s">
        <v>86</v>
      </c>
      <c r="E642" s="16" t="s">
        <v>26</v>
      </c>
      <c r="F642" s="16" t="s">
        <v>1269</v>
      </c>
      <c r="G642" s="17">
        <v>1794</v>
      </c>
      <c r="H642" s="17"/>
      <c r="I642" s="17"/>
      <c r="J642" s="17">
        <v>1784</v>
      </c>
      <c r="K642" s="17" t="n">
        <f aca="false">IF(AND(IFERROR(SEARCH("현대오일뱅크",$C642),0)&gt;0,IFERROR(SEARCH("직영",$C642),0)&gt;0),$B$13,0)</f>
        <v/>
      </c>
      <c r="L642" s="17" t="n">
        <f aca="false">IF($G642="","",$G642+$K642)</f>
        <v/>
      </c>
      <c r="M642" s="17" t="str">
        <f aca="false">IF($H642="","",$H642+$K642)</f>
        <v/>
      </c>
      <c r="N642" s="17" t="n">
        <f aca="false">IF($J642="","",$J642+$K642)</f>
        <v/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 t="str">
        <f aca="false">IF($B$10=0,"",IFERROR(IF($B$4&gt;0,IF($L642="",1/0,$L642*$B$4),0)+IF($B$5&gt;0,IF($M642="",1/0,$M642*$B$5),0)+IF($B$6&gt;0,IF($N642="",1/0,$N642*$B$6),0),""))</f>
        <v/>
      </c>
      <c r="Q642" s="17"/>
      <c r="R642" s="18" t="str">
        <f aca="false">IF($P642="","",IF($Q642="Y",IFERROR(VLOOKUP($B642,$C$4:$D$13,2,FALSE()),0),0))</f>
        <v/>
      </c>
      <c r="S642" s="17" t="str">
        <f aca="false">IF($P642="","",ROUNDDOWN($P642*$R642,0))</f>
        <v/>
      </c>
      <c r="T642" s="17" t="str">
        <f aca="false">IF($P642="","",$P642-$S642)</f>
        <v/>
      </c>
      <c r="U642" s="17" t="str">
        <f aca="false">IF($T642="","",IF($B$10=0,"",$T642/$B$10))</f>
        <v/>
      </c>
      <c r="V642" s="17" t="str">
        <f aca="false">IF($P642="","",IF($B$10=0,"",$P642/$B$10))</f>
        <v/>
      </c>
      <c r="W642" s="19" t="n">
        <f aca="false">IF($T642="",1000000000000000,$T642)</f>
        <v/>
      </c>
      <c r="XFC642" s="3"/>
    </row>
    <row r="643" s="6" collapsed="false" customFormat="true" customHeight="true" hidden="false" ht="28.6" outlineLevel="0">
      <c r="A643" s="16" t="str">
        <f aca="false">IF($T643="","",1+COUNTIF($W$15:$W$894,"&lt;"&amp;W643))</f>
        <v/>
      </c>
      <c r="B643" s="16" t="s">
        <v>12</v>
      </c>
      <c r="C643" s="16" t="s">
        <v>624</v>
      </c>
      <c r="D643" s="20" t="s">
        <v>45</v>
      </c>
      <c r="E643" s="16" t="s">
        <v>63</v>
      </c>
      <c r="F643" s="16" t="s">
        <v>1270</v>
      </c>
      <c r="G643" s="17">
        <v>1794</v>
      </c>
      <c r="H643" s="17"/>
      <c r="I643" s="17"/>
      <c r="J643" s="17">
        <v>1794</v>
      </c>
      <c r="K643" s="17" t="n">
        <f aca="false">IF(AND(IFERROR(SEARCH("현대오일뱅크",$C643),0)&gt;0,IFERROR(SEARCH("직영",$C643),0)&gt;0),$B$13,0)</f>
        <v/>
      </c>
      <c r="L643" s="17" t="n">
        <f aca="false">IF($G643="","",$G643+$K643)</f>
        <v/>
      </c>
      <c r="M643" s="17" t="str">
        <f aca="false">IF($H643="","",$H643+$K643)</f>
        <v/>
      </c>
      <c r="N643" s="17" t="n">
        <f aca="false">IF($J643="","",$J643+$K643)</f>
        <v/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 t="str">
        <f aca="false">IF($B$10=0,"",IFERROR(IF($B$4&gt;0,IF($L643="",1/0,$L643*$B$4),0)+IF($B$5&gt;0,IF($M643="",1/0,$M643*$B$5),0)+IF($B$6&gt;0,IF($N643="",1/0,$N643*$B$6),0),""))</f>
        <v/>
      </c>
      <c r="Q643" s="17"/>
      <c r="R643" s="18" t="str">
        <f aca="false">IF($P643="","",IF($Q643="Y",IFERROR(VLOOKUP($B643,$C$4:$D$13,2,FALSE()),0),0))</f>
        <v/>
      </c>
      <c r="S643" s="17" t="str">
        <f aca="false">IF($P643="","",ROUNDDOWN($P643*$R643,0))</f>
        <v/>
      </c>
      <c r="T643" s="17" t="str">
        <f aca="false">IF($P643="","",$P643-$S643)</f>
        <v/>
      </c>
      <c r="U643" s="17" t="str">
        <f aca="false">IF($T643="","",IF($B$10=0,"",$T643/$B$10))</f>
        <v/>
      </c>
      <c r="V643" s="17" t="str">
        <f aca="false">IF($P643="","",IF($B$10=0,"",$P643/$B$10))</f>
        <v/>
      </c>
      <c r="W643" s="19" t="n">
        <f aca="false">IF($T643="",1000000000000000,$T643)</f>
        <v/>
      </c>
      <c r="XFC643" s="3"/>
    </row>
    <row r="644" s="21" collapsed="false" customFormat="true" customHeight="true" hidden="false" ht="28.5" outlineLevel="0">
      <c r="A644" s="16" t="str">
        <f aca="false">IF($T644="","",1+COUNTIF($W$15:$W$894,"&lt;"&amp;W644))</f>
        <v/>
      </c>
      <c r="B644" s="16" t="s">
        <v>12</v>
      </c>
      <c r="C644" s="16" t="s">
        <v>1271</v>
      </c>
      <c r="D644" s="20" t="s">
        <v>45</v>
      </c>
      <c r="E644" s="16" t="s">
        <v>26</v>
      </c>
      <c r="F644" s="16" t="s">
        <v>1272</v>
      </c>
      <c r="G644" s="17">
        <v>1794</v>
      </c>
      <c r="H644" s="17"/>
      <c r="I644" s="17"/>
      <c r="J644" s="17">
        <v>1794</v>
      </c>
      <c r="K644" s="17" t="n">
        <f aca="false">IF(AND(IFERROR(SEARCH("현대오일뱅크",$C644),0)&gt;0,IFERROR(SEARCH("직영",$C644),0)&gt;0),$B$13,0)</f>
        <v/>
      </c>
      <c r="L644" s="17" t="n">
        <f aca="false">IF($G644="","",$G644+$K644)</f>
        <v/>
      </c>
      <c r="M644" s="17" t="str">
        <f aca="false">IF($H644="","",$H644+$K644)</f>
        <v/>
      </c>
      <c r="N644" s="17" t="n">
        <f aca="false">IF($J644="","",$J644+$K644)</f>
        <v/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 t="str">
        <f aca="false">IF($B$10=0,"",IFERROR(IF($B$4&gt;0,IF($L644="",1/0,$L644*$B$4),0)+IF($B$5&gt;0,IF($M644="",1/0,$M644*$B$5),0)+IF($B$6&gt;0,IF($N644="",1/0,$N644*$B$6),0),""))</f>
        <v/>
      </c>
      <c r="Q644" s="17"/>
      <c r="R644" s="18" t="str">
        <f aca="false">IF($P644="","",IF($Q644="Y",IFERROR(VLOOKUP($B644,$C$4:$D$13,2,FALSE()),0),0))</f>
        <v/>
      </c>
      <c r="S644" s="17" t="str">
        <f aca="false">IF($P644="","",ROUNDDOWN($P644*$R644,0))</f>
        <v/>
      </c>
      <c r="T644" s="17" t="str">
        <f aca="false">IF($P644="","",$P644-$S644)</f>
        <v/>
      </c>
      <c r="U644" s="17" t="str">
        <f aca="false">IF($T644="","",IF($B$10=0,"",$T644/$B$10))</f>
        <v/>
      </c>
      <c r="V644" s="17" t="str">
        <f aca="false">IF($P644="","",IF($B$10=0,"",$P644/$B$10))</f>
        <v/>
      </c>
      <c r="W644" s="19" t="n">
        <f aca="false">IF($T644="",1000000000000000,$T644)</f>
        <v/>
      </c>
      <c r="XFB644" s="6"/>
      <c r="XFC644" s="3"/>
    </row>
    <row r="645" s="6" collapsed="false" customFormat="true" customHeight="true" hidden="false" ht="28.6" outlineLevel="0">
      <c r="A645" s="16" t="str">
        <f aca="false">IF($T645="","",1+COUNTIF($W$15:$W$894,"&lt;"&amp;W645))</f>
        <v/>
      </c>
      <c r="B645" s="16" t="s">
        <v>12</v>
      </c>
      <c r="C645" s="16" t="s">
        <v>1273</v>
      </c>
      <c r="D645" s="20" t="s">
        <v>45</v>
      </c>
      <c r="E645" s="16" t="s">
        <v>26</v>
      </c>
      <c r="F645" s="16" t="s">
        <v>1274</v>
      </c>
      <c r="G645" s="17">
        <v>1794</v>
      </c>
      <c r="H645" s="17"/>
      <c r="I645" s="17"/>
      <c r="J645" s="17">
        <v>1794</v>
      </c>
      <c r="K645" s="17" t="n">
        <f aca="false">IF(AND(IFERROR(SEARCH("현대오일뱅크",$C645),0)&gt;0,IFERROR(SEARCH("직영",$C645),0)&gt;0),$B$13,0)</f>
        <v/>
      </c>
      <c r="L645" s="17" t="n">
        <f aca="false">IF($G645="","",$G645+$K645)</f>
        <v/>
      </c>
      <c r="M645" s="17" t="str">
        <f aca="false">IF($H645="","",$H645+$K645)</f>
        <v/>
      </c>
      <c r="N645" s="17" t="n">
        <f aca="false">IF($J645="","",$J645+$K645)</f>
        <v/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 t="str">
        <f aca="false">IF($B$10=0,"",IFERROR(IF($B$4&gt;0,IF($L645="",1/0,$L645*$B$4),0)+IF($B$5&gt;0,IF($M645="",1/0,$M645*$B$5),0)+IF($B$6&gt;0,IF($N645="",1/0,$N645*$B$6),0),""))</f>
        <v/>
      </c>
      <c r="Q645" s="17"/>
      <c r="R645" s="18" t="str">
        <f aca="false">IF($P645="","",IF($Q645="Y",IFERROR(VLOOKUP($B645,$C$4:$D$13,2,FALSE()),0),0))</f>
        <v/>
      </c>
      <c r="S645" s="17" t="str">
        <f aca="false">IF($P645="","",ROUNDDOWN($P645*$R645,0))</f>
        <v/>
      </c>
      <c r="T645" s="17" t="str">
        <f aca="false">IF($P645="","",$P645-$S645)</f>
        <v/>
      </c>
      <c r="U645" s="17" t="str">
        <f aca="false">IF($T645="","",IF($B$10=0,"",$T645/$B$10))</f>
        <v/>
      </c>
      <c r="V645" s="17" t="str">
        <f aca="false">IF($P645="","",IF($B$10=0,"",$P645/$B$10))</f>
        <v/>
      </c>
      <c r="W645" s="19" t="n">
        <f aca="false">IF($T645="",1000000000000000,$T645)</f>
        <v/>
      </c>
      <c r="XFC645" s="3"/>
    </row>
    <row r="646" s="6" collapsed="false" customFormat="true" customHeight="true" hidden="false" ht="28.6" outlineLevel="0">
      <c r="A646" s="16" t="str">
        <f aca="false">IF($T646="","",1+COUNTIF($W$15:$W$894,"&lt;"&amp;W646))</f>
        <v/>
      </c>
      <c r="B646" s="16" t="s">
        <v>8</v>
      </c>
      <c r="C646" s="16" t="s">
        <v>1275</v>
      </c>
      <c r="D646" s="16" t="s">
        <v>45</v>
      </c>
      <c r="E646" s="16" t="s">
        <v>26</v>
      </c>
      <c r="F646" s="16" t="s">
        <v>1276</v>
      </c>
      <c r="G646" s="17">
        <v>1794</v>
      </c>
      <c r="H646" s="17"/>
      <c r="I646" s="17"/>
      <c r="J646" s="17">
        <v>1814</v>
      </c>
      <c r="K646" s="17" t="n">
        <f aca="false">IF(AND(IFERROR(SEARCH("현대오일뱅크",$C646),0)&gt;0,IFERROR(SEARCH("직영",$C646),0)&gt;0),$B$13,0)</f>
        <v/>
      </c>
      <c r="L646" s="17" t="n">
        <f aca="false">IF($G646="","",$G646+$K646)</f>
        <v/>
      </c>
      <c r="M646" s="17" t="str">
        <f aca="false">IF($H646="","",$H646+$K646)</f>
        <v/>
      </c>
      <c r="N646" s="17" t="n">
        <f aca="false">IF($J646="","",$J646+$K646)</f>
        <v/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 t="str">
        <f aca="false">IF($B$10=0,"",IFERROR(IF($B$4&gt;0,IF($L646="",1/0,$L646*$B$4),0)+IF($B$5&gt;0,IF($M646="",1/0,$M646*$B$5),0)+IF($B$6&gt;0,IF($N646="",1/0,$N646*$B$6),0),""))</f>
        <v/>
      </c>
      <c r="Q646" s="17"/>
      <c r="R646" s="18" t="str">
        <f aca="false">IF($P646="","",IF($Q646="Y",IFERROR(VLOOKUP($B646,$C$4:$D$13,2,FALSE()),0),0))</f>
        <v/>
      </c>
      <c r="S646" s="17" t="str">
        <f aca="false">IF($P646="","",ROUNDDOWN($P646*$R646,0))</f>
        <v/>
      </c>
      <c r="T646" s="17" t="str">
        <f aca="false">IF($P646="","",$P646-$S646)</f>
        <v/>
      </c>
      <c r="U646" s="17" t="str">
        <f aca="false">IF($T646="","",IF($B$10=0,"",$T646/$B$10))</f>
        <v/>
      </c>
      <c r="V646" s="17" t="str">
        <f aca="false">IF($P646="","",IF($B$10=0,"",$P646/$B$10))</f>
        <v/>
      </c>
      <c r="W646" s="19" t="n">
        <f aca="false">IF($T646="",1000000000000000,$T646)</f>
        <v/>
      </c>
      <c r="XFC646" s="3"/>
    </row>
    <row r="647" s="6" collapsed="false" customFormat="true" customHeight="true" hidden="false" ht="28.6" outlineLevel="0">
      <c r="A647" s="16" t="str">
        <f aca="false">IF($T647="","",1+COUNTIF($W$15:$W$894,"&lt;"&amp;W647))</f>
        <v/>
      </c>
      <c r="B647" s="16" t="s">
        <v>6</v>
      </c>
      <c r="C647" s="16" t="s">
        <v>1277</v>
      </c>
      <c r="D647" s="16" t="s">
        <v>51</v>
      </c>
      <c r="E647" s="16" t="s">
        <v>26</v>
      </c>
      <c r="F647" s="16" t="s">
        <v>1278</v>
      </c>
      <c r="G647" s="17">
        <v>1795</v>
      </c>
      <c r="H647" s="17"/>
      <c r="I647" s="17"/>
      <c r="J647" s="17">
        <v>1785</v>
      </c>
      <c r="K647" s="17" t="n">
        <f aca="false">IF(AND(IFERROR(SEARCH("현대오일뱅크",$C647),0)&gt;0,IFERROR(SEARCH("직영",$C647),0)&gt;0),$B$13,0)</f>
        <v/>
      </c>
      <c r="L647" s="17" t="n">
        <f aca="false">IF($G647="","",$G647+$K647)</f>
        <v/>
      </c>
      <c r="M647" s="17" t="str">
        <f aca="false">IF($H647="","",$H647+$K647)</f>
        <v/>
      </c>
      <c r="N647" s="17" t="n">
        <f aca="false">IF($J647="","",$J647+$K647)</f>
        <v/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 t="str">
        <f aca="false">IF($B$10=0,"",IFERROR(IF($B$4&gt;0,IF($L647="",1/0,$L647*$B$4),0)+IF($B$5&gt;0,IF($M647="",1/0,$M647*$B$5),0)+IF($B$6&gt;0,IF($N647="",1/0,$N647*$B$6),0),""))</f>
        <v/>
      </c>
      <c r="Q647" s="17"/>
      <c r="R647" s="18" t="str">
        <f aca="false">IF($P647="","",IF($Q647="Y",IFERROR(VLOOKUP($B647,$C$4:$D$13,2,FALSE()),0),0))</f>
        <v/>
      </c>
      <c r="S647" s="17" t="str">
        <f aca="false">IF($P647="","",ROUNDDOWN($P647*$R647,0))</f>
        <v/>
      </c>
      <c r="T647" s="17" t="str">
        <f aca="false">IF($P647="","",$P647-$S647)</f>
        <v/>
      </c>
      <c r="U647" s="17" t="str">
        <f aca="false">IF($T647="","",IF($B$10=0,"",$T647/$B$10))</f>
        <v/>
      </c>
      <c r="V647" s="17" t="str">
        <f aca="false">IF($P647="","",IF($B$10=0,"",$P647/$B$10))</f>
        <v/>
      </c>
      <c r="W647" s="19" t="n">
        <f aca="false">IF($T647="",1000000000000000,$T647)</f>
        <v/>
      </c>
      <c r="XFC647" s="3"/>
    </row>
    <row r="648" s="6" collapsed="false" customFormat="true" customHeight="true" hidden="false" ht="28.6" outlineLevel="0">
      <c r="A648" s="16" t="str">
        <f aca="false">IF($T648="","",1+COUNTIF($W$15:$W$894,"&lt;"&amp;W648))</f>
        <v/>
      </c>
      <c r="B648" s="16" t="s">
        <v>14</v>
      </c>
      <c r="C648" s="16" t="s">
        <v>1279</v>
      </c>
      <c r="D648" s="16" t="s">
        <v>45</v>
      </c>
      <c r="E648" s="16" t="s">
        <v>26</v>
      </c>
      <c r="F648" s="16" t="s">
        <v>1280</v>
      </c>
      <c r="G648" s="17">
        <v>1795</v>
      </c>
      <c r="H648" s="17"/>
      <c r="I648" s="17"/>
      <c r="J648" s="17">
        <v>1785</v>
      </c>
      <c r="K648" s="17" t="n">
        <f aca="false">IF(AND(IFERROR(SEARCH("현대오일뱅크",$C648),0)&gt;0,IFERROR(SEARCH("직영",$C648),0)&gt;0),$B$13,0)</f>
        <v/>
      </c>
      <c r="L648" s="17" t="n">
        <f aca="false">IF($G648="","",$G648+$K648)</f>
        <v/>
      </c>
      <c r="M648" s="17" t="str">
        <f aca="false">IF($H648="","",$H648+$K648)</f>
        <v/>
      </c>
      <c r="N648" s="17" t="n">
        <f aca="false">IF($J648="","",$J648+$K648)</f>
        <v/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 t="str">
        <f aca="false">IF($B$10=0,"",IFERROR(IF($B$4&gt;0,IF($L648="",1/0,$L648*$B$4),0)+IF($B$5&gt;0,IF($M648="",1/0,$M648*$B$5),0)+IF($B$6&gt;0,IF($N648="",1/0,$N648*$B$6),0),""))</f>
        <v/>
      </c>
      <c r="Q648" s="17"/>
      <c r="R648" s="18" t="str">
        <f aca="false">IF($P648="","",IF($Q648="Y",IFERROR(VLOOKUP($B648,$C$4:$D$13,2,FALSE()),0),0))</f>
        <v/>
      </c>
      <c r="S648" s="17" t="str">
        <f aca="false">IF($P648="","",ROUNDDOWN($P648*$R648,0))</f>
        <v/>
      </c>
      <c r="T648" s="17" t="str">
        <f aca="false">IF($P648="","",$P648-$S648)</f>
        <v/>
      </c>
      <c r="U648" s="17" t="str">
        <f aca="false">IF($T648="","",IF($B$10=0,"",$T648/$B$10))</f>
        <v/>
      </c>
      <c r="V648" s="17" t="str">
        <f aca="false">IF($P648="","",IF($B$10=0,"",$P648/$B$10))</f>
        <v/>
      </c>
      <c r="W648" s="19" t="n">
        <f aca="false">IF($T648="",1000000000000000,$T648)</f>
        <v/>
      </c>
      <c r="XFC648" s="3"/>
    </row>
    <row r="649" s="6" collapsed="false" customFormat="true" customHeight="true" hidden="false" ht="28.6" outlineLevel="0">
      <c r="A649" s="16" t="str">
        <f aca="false">IF($T649="","",1+COUNTIF($W$15:$W$894,"&lt;"&amp;W649))</f>
        <v/>
      </c>
      <c r="B649" s="16" t="s">
        <v>6</v>
      </c>
      <c r="C649" s="16" t="s">
        <v>1283</v>
      </c>
      <c r="D649" s="20" t="s">
        <v>86</v>
      </c>
      <c r="E649" s="16" t="s">
        <v>26</v>
      </c>
      <c r="F649" s="16" t="s">
        <v>1284</v>
      </c>
      <c r="G649" s="17">
        <v>1795</v>
      </c>
      <c r="H649" s="17"/>
      <c r="I649" s="17"/>
      <c r="J649" s="17">
        <v>1795</v>
      </c>
      <c r="K649" s="17" t="n">
        <f aca="false">IF(AND(IFERROR(SEARCH("현대오일뱅크",$C649),0)&gt;0,IFERROR(SEARCH("직영",$C649),0)&gt;0),$B$13,0)</f>
        <v/>
      </c>
      <c r="L649" s="17" t="n">
        <f aca="false">IF($G649="","",$G649+$K649)</f>
        <v/>
      </c>
      <c r="M649" s="17" t="str">
        <f aca="false">IF($H649="","",$H649+$K649)</f>
        <v/>
      </c>
      <c r="N649" s="17" t="n">
        <f aca="false">IF($J649="","",$J649+$K649)</f>
        <v/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 t="str">
        <f aca="false">IF($B$10=0,"",IFERROR(IF($B$4&gt;0,IF($L649="",1/0,$L649*$B$4),0)+IF($B$5&gt;0,IF($M649="",1/0,$M649*$B$5),0)+IF($B$6&gt;0,IF($N649="",1/0,$N649*$B$6),0),""))</f>
        <v/>
      </c>
      <c r="Q649" s="17"/>
      <c r="R649" s="18" t="str">
        <f aca="false">IF($P649="","",IF($Q649="Y",IFERROR(VLOOKUP($B649,$C$4:$D$13,2,FALSE()),0),0))</f>
        <v/>
      </c>
      <c r="S649" s="17" t="str">
        <f aca="false">IF($P649="","",ROUNDDOWN($P649*$R649,0))</f>
        <v/>
      </c>
      <c r="T649" s="17" t="str">
        <f aca="false">IF($P649="","",$P649-$S649)</f>
        <v/>
      </c>
      <c r="U649" s="17" t="str">
        <f aca="false">IF($T649="","",IF($B$10=0,"",$T649/$B$10))</f>
        <v/>
      </c>
      <c r="V649" s="17" t="str">
        <f aca="false">IF($P649="","",IF($B$10=0,"",$P649/$B$10))</f>
        <v/>
      </c>
      <c r="W649" s="19" t="n">
        <f aca="false">IF($T649="",1000000000000000,$T649)</f>
        <v/>
      </c>
      <c r="XFC649" s="3"/>
    </row>
    <row r="650" s="21" collapsed="false" customFormat="true" customHeight="true" hidden="false" ht="28.5" outlineLevel="0">
      <c r="A650" s="16" t="str">
        <f aca="false">IF($T650="","",1+COUNTIF($W$15:$W$894,"&lt;"&amp;W650))</f>
        <v/>
      </c>
      <c r="B650" s="16" t="s">
        <v>8</v>
      </c>
      <c r="C650" s="16" t="s">
        <v>758</v>
      </c>
      <c r="D650" s="16" t="s">
        <v>95</v>
      </c>
      <c r="E650" s="16" t="s">
        <v>26</v>
      </c>
      <c r="F650" s="16" t="s">
        <v>1298</v>
      </c>
      <c r="G650" s="17">
        <v>1795</v>
      </c>
      <c r="H650" s="17"/>
      <c r="I650" s="17"/>
      <c r="J650" s="17">
        <v>1795</v>
      </c>
      <c r="K650" s="17" t="n">
        <f aca="false">IF(AND(IFERROR(SEARCH("현대오일뱅크",$C650),0)&gt;0,IFERROR(SEARCH("직영",$C650),0)&gt;0),$B$13,0)</f>
        <v/>
      </c>
      <c r="L650" s="17" t="n">
        <f aca="false">IF($G650="","",$G650+$K650)</f>
        <v/>
      </c>
      <c r="M650" s="17" t="str">
        <f aca="false">IF($H650="","",$H650+$K650)</f>
        <v/>
      </c>
      <c r="N650" s="17" t="n">
        <f aca="false">IF($J650="","",$J650+$K650)</f>
        <v/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 t="str">
        <f aca="false">IF($B$10=0,"",IFERROR(IF($B$4&gt;0,IF($L650="",1/0,$L650*$B$4),0)+IF($B$5&gt;0,IF($M650="",1/0,$M650*$B$5),0)+IF($B$6&gt;0,IF($N650="",1/0,$N650*$B$6),0),""))</f>
        <v/>
      </c>
      <c r="Q650" s="17"/>
      <c r="R650" s="18" t="str">
        <f aca="false">IF($P650="","",IF($Q650="Y",IFERROR(VLOOKUP($B650,$C$4:$D$13,2,FALSE()),0),0))</f>
        <v/>
      </c>
      <c r="S650" s="17" t="str">
        <f aca="false">IF($P650="","",ROUNDDOWN($P650*$R650,0))</f>
        <v/>
      </c>
      <c r="T650" s="17" t="str">
        <f aca="false">IF($P650="","",$P650-$S650)</f>
        <v/>
      </c>
      <c r="U650" s="17" t="str">
        <f aca="false">IF($T650="","",IF($B$10=0,"",$T650/$B$10))</f>
        <v/>
      </c>
      <c r="V650" s="17" t="str">
        <f aca="false">IF($P650="","",IF($B$10=0,"",$P650/$B$10))</f>
        <v/>
      </c>
      <c r="W650" s="19" t="n">
        <f aca="false">IF($T650="",1000000000000000,$T650)</f>
        <v/>
      </c>
      <c r="XFB650" s="6"/>
      <c r="XFC650" s="3"/>
    </row>
    <row r="651" s="21" collapsed="false" customFormat="true" customHeight="true" hidden="false" ht="28.5" outlineLevel="0">
      <c r="A651" s="16" t="str">
        <f aca="false">IF($T651="","",1+COUNTIF($W$15:$W$894,"&lt;"&amp;W651))</f>
        <v/>
      </c>
      <c r="B651" s="16" t="s">
        <v>8</v>
      </c>
      <c r="C651" s="16" t="s">
        <v>1285</v>
      </c>
      <c r="D651" s="20" t="s">
        <v>86</v>
      </c>
      <c r="E651" s="16" t="s">
        <v>26</v>
      </c>
      <c r="F651" s="16" t="s">
        <v>1286</v>
      </c>
      <c r="G651" s="17">
        <v>1795</v>
      </c>
      <c r="H651" s="17"/>
      <c r="I651" s="17"/>
      <c r="J651" s="17">
        <v>1795</v>
      </c>
      <c r="K651" s="17" t="n">
        <f aca="false">IF(AND(IFERROR(SEARCH("현대오일뱅크",$C651),0)&gt;0,IFERROR(SEARCH("직영",$C651),0)&gt;0),$B$13,0)</f>
        <v/>
      </c>
      <c r="L651" s="17" t="n">
        <f aca="false">IF($G651="","",$G651+$K651)</f>
        <v/>
      </c>
      <c r="M651" s="17" t="str">
        <f aca="false">IF($H651="","",$H651+$K651)</f>
        <v/>
      </c>
      <c r="N651" s="17" t="n">
        <f aca="false">IF($J651="","",$J651+$K651)</f>
        <v/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 t="str">
        <f aca="false">IF($B$10=0,"",IFERROR(IF($B$4&gt;0,IF($L651="",1/0,$L651*$B$4),0)+IF($B$5&gt;0,IF($M651="",1/0,$M651*$B$5),0)+IF($B$6&gt;0,IF($N651="",1/0,$N651*$B$6),0),""))</f>
        <v/>
      </c>
      <c r="Q651" s="17"/>
      <c r="R651" s="18" t="str">
        <f aca="false">IF($P651="","",IF($Q651="Y",IFERROR(VLOOKUP($B651,$C$4:$D$13,2,FALSE()),0),0))</f>
        <v/>
      </c>
      <c r="S651" s="17" t="str">
        <f aca="false">IF($P651="","",ROUNDDOWN($P651*$R651,0))</f>
        <v/>
      </c>
      <c r="T651" s="17" t="str">
        <f aca="false">IF($P651="","",$P651-$S651)</f>
        <v/>
      </c>
      <c r="U651" s="17" t="str">
        <f aca="false">IF($T651="","",IF($B$10=0,"",$T651/$B$10))</f>
        <v/>
      </c>
      <c r="V651" s="17" t="str">
        <f aca="false">IF($P651="","",IF($B$10=0,"",$P651/$B$10))</f>
        <v/>
      </c>
      <c r="W651" s="19" t="n">
        <f aca="false">IF($T651="",1000000000000000,$T651)</f>
        <v/>
      </c>
      <c r="XFB651" s="6"/>
      <c r="XFC651" s="3"/>
    </row>
    <row r="652" s="6" collapsed="false" customFormat="true" customHeight="true" hidden="false" ht="28.6" outlineLevel="0">
      <c r="A652" s="16" t="str">
        <f aca="false">IF($T652="","",1+COUNTIF($W$15:$W$894,"&lt;"&amp;W652))</f>
        <v/>
      </c>
      <c r="B652" s="16" t="s">
        <v>14</v>
      </c>
      <c r="C652" s="16" t="s">
        <v>1287</v>
      </c>
      <c r="D652" s="20" t="s">
        <v>86</v>
      </c>
      <c r="E652" s="16" t="s">
        <v>26</v>
      </c>
      <c r="F652" s="16" t="s">
        <v>1288</v>
      </c>
      <c r="G652" s="17">
        <v>1795</v>
      </c>
      <c r="H652" s="17"/>
      <c r="I652" s="17"/>
      <c r="J652" s="17">
        <v>1795</v>
      </c>
      <c r="K652" s="17" t="n">
        <f aca="false">IF(AND(IFERROR(SEARCH("현대오일뱅크",$C652),0)&gt;0,IFERROR(SEARCH("직영",$C652),0)&gt;0),$B$13,0)</f>
        <v/>
      </c>
      <c r="L652" s="17" t="n">
        <f aca="false">IF($G652="","",$G652+$K652)</f>
        <v/>
      </c>
      <c r="M652" s="17" t="str">
        <f aca="false">IF($H652="","",$H652+$K652)</f>
        <v/>
      </c>
      <c r="N652" s="17" t="n">
        <f aca="false">IF($J652="","",$J652+$K652)</f>
        <v/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 t="str">
        <f aca="false">IF($B$10=0,"",IFERROR(IF($B$4&gt;0,IF($L652="",1/0,$L652*$B$4),0)+IF($B$5&gt;0,IF($M652="",1/0,$M652*$B$5),0)+IF($B$6&gt;0,IF($N652="",1/0,$N652*$B$6),0),""))</f>
        <v/>
      </c>
      <c r="Q652" s="17"/>
      <c r="R652" s="18" t="str">
        <f aca="false">IF($P652="","",IF($Q652="Y",IFERROR(VLOOKUP($B652,$C$4:$D$13,2,FALSE()),0),0))</f>
        <v/>
      </c>
      <c r="S652" s="17" t="str">
        <f aca="false">IF($P652="","",ROUNDDOWN($P652*$R652,0))</f>
        <v/>
      </c>
      <c r="T652" s="17" t="str">
        <f aca="false">IF($P652="","",$P652-$S652)</f>
        <v/>
      </c>
      <c r="U652" s="17" t="str">
        <f aca="false">IF($T652="","",IF($B$10=0,"",$T652/$B$10))</f>
        <v/>
      </c>
      <c r="V652" s="17" t="str">
        <f aca="false">IF($P652="","",IF($B$10=0,"",$P652/$B$10))</f>
        <v/>
      </c>
      <c r="W652" s="19" t="n">
        <f aca="false">IF($T652="",1000000000000000,$T652)</f>
        <v/>
      </c>
      <c r="XFC652" s="3"/>
    </row>
    <row r="653" s="6" collapsed="false" customFormat="true" customHeight="true" hidden="false" ht="28.6" outlineLevel="0">
      <c r="A653" s="16" t="str">
        <f aca="false">IF($T653="","",1+COUNTIF($W$15:$W$894,"&lt;"&amp;W653))</f>
        <v/>
      </c>
      <c r="B653" s="16" t="s">
        <v>12</v>
      </c>
      <c r="C653" s="16" t="s">
        <v>1289</v>
      </c>
      <c r="D653" s="20" t="s">
        <v>95</v>
      </c>
      <c r="E653" s="16" t="s">
        <v>26</v>
      </c>
      <c r="F653" s="16" t="s">
        <v>1290</v>
      </c>
      <c r="G653" s="17">
        <v>1795</v>
      </c>
      <c r="H653" s="17"/>
      <c r="I653" s="17"/>
      <c r="J653" s="17">
        <v>1795</v>
      </c>
      <c r="K653" s="17" t="n">
        <f aca="false">IF(AND(IFERROR(SEARCH("현대오일뱅크",$C653),0)&gt;0,IFERROR(SEARCH("직영",$C653),0)&gt;0),$B$13,0)</f>
        <v/>
      </c>
      <c r="L653" s="17" t="n">
        <f aca="false">IF($G653="","",$G653+$K653)</f>
        <v/>
      </c>
      <c r="M653" s="17" t="str">
        <f aca="false">IF($H653="","",$H653+$K653)</f>
        <v/>
      </c>
      <c r="N653" s="17" t="n">
        <f aca="false">IF($J653="","",$J653+$K653)</f>
        <v/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 t="str">
        <f aca="false">IF($B$10=0,"",IFERROR(IF($B$4&gt;0,IF($L653="",1/0,$L653*$B$4),0)+IF($B$5&gt;0,IF($M653="",1/0,$M653*$B$5),0)+IF($B$6&gt;0,IF($N653="",1/0,$N653*$B$6),0),""))</f>
        <v/>
      </c>
      <c r="Q653" s="17"/>
      <c r="R653" s="18" t="str">
        <f aca="false">IF($P653="","",IF($Q653="Y",IFERROR(VLOOKUP($B653,$C$4:$D$13,2,FALSE()),0),0))</f>
        <v/>
      </c>
      <c r="S653" s="17" t="str">
        <f aca="false">IF($P653="","",ROUNDDOWN($P653*$R653,0))</f>
        <v/>
      </c>
      <c r="T653" s="17" t="str">
        <f aca="false">IF($P653="","",$P653-$S653)</f>
        <v/>
      </c>
      <c r="U653" s="17" t="str">
        <f aca="false">IF($T653="","",IF($B$10=0,"",$T653/$B$10))</f>
        <v/>
      </c>
      <c r="V653" s="17" t="str">
        <f aca="false">IF($P653="","",IF($B$10=0,"",$P653/$B$10))</f>
        <v/>
      </c>
      <c r="W653" s="19" t="n">
        <f aca="false">IF($T653="",1000000000000000,$T653)</f>
        <v/>
      </c>
      <c r="XFC653" s="3"/>
    </row>
    <row r="654" s="6" collapsed="false" customFormat="true" customHeight="true" hidden="false" ht="28.6" outlineLevel="0">
      <c r="A654" s="16" t="str">
        <f aca="false">IF($T654="","",1+COUNTIF($W$15:$W$894,"&lt;"&amp;W654))</f>
        <v/>
      </c>
      <c r="B654" s="16" t="s">
        <v>12</v>
      </c>
      <c r="C654" s="16" t="s">
        <v>368</v>
      </c>
      <c r="D654" s="20" t="s">
        <v>51</v>
      </c>
      <c r="E654" s="16" t="s">
        <v>26</v>
      </c>
      <c r="F654" s="16" t="s">
        <v>1291</v>
      </c>
      <c r="G654" s="17">
        <v>1795</v>
      </c>
      <c r="H654" s="17"/>
      <c r="I654" s="17"/>
      <c r="J654" s="17">
        <v>1795</v>
      </c>
      <c r="K654" s="17" t="n">
        <f aca="false">IF(AND(IFERROR(SEARCH("현대오일뱅크",$C654),0)&gt;0,IFERROR(SEARCH("직영",$C654),0)&gt;0),$B$13,0)</f>
        <v/>
      </c>
      <c r="L654" s="17" t="n">
        <f aca="false">IF($G654="","",$G654+$K654)</f>
        <v/>
      </c>
      <c r="M654" s="17" t="str">
        <f aca="false">IF($H654="","",$H654+$K654)</f>
        <v/>
      </c>
      <c r="N654" s="17" t="n">
        <f aca="false">IF($J654="","",$J654+$K654)</f>
        <v/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 t="str">
        <f aca="false">IF($B$10=0,"",IFERROR(IF($B$4&gt;0,IF($L654="",1/0,$L654*$B$4),0)+IF($B$5&gt;0,IF($M654="",1/0,$M654*$B$5),0)+IF($B$6&gt;0,IF($N654="",1/0,$N654*$B$6),0),""))</f>
        <v/>
      </c>
      <c r="Q654" s="17"/>
      <c r="R654" s="18" t="str">
        <f aca="false">IF($P654="","",IF($Q654="Y",IFERROR(VLOOKUP($B654,$C$4:$D$13,2,FALSE()),0),0))</f>
        <v/>
      </c>
      <c r="S654" s="17" t="str">
        <f aca="false">IF($P654="","",ROUNDDOWN($P654*$R654,0))</f>
        <v/>
      </c>
      <c r="T654" s="17" t="str">
        <f aca="false">IF($P654="","",$P654-$S654)</f>
        <v/>
      </c>
      <c r="U654" s="17" t="str">
        <f aca="false">IF($T654="","",IF($B$10=0,"",$T654/$B$10))</f>
        <v/>
      </c>
      <c r="V654" s="17" t="str">
        <f aca="false">IF($P654="","",IF($B$10=0,"",$P654/$B$10))</f>
        <v/>
      </c>
      <c r="W654" s="19" t="n">
        <f aca="false">IF($T654="",1000000000000000,$T654)</f>
        <v/>
      </c>
      <c r="XFC654" s="3"/>
    </row>
    <row r="655" s="21" collapsed="false" customFormat="true" customHeight="true" hidden="false" ht="28.5" outlineLevel="0">
      <c r="A655" s="16" t="str">
        <f aca="false">IF($T655="","",1+COUNTIF($W$15:$W$894,"&lt;"&amp;W655))</f>
        <v/>
      </c>
      <c r="B655" s="16" t="s">
        <v>10</v>
      </c>
      <c r="C655" s="16" t="s">
        <v>1292</v>
      </c>
      <c r="D655" s="16" t="s">
        <v>95</v>
      </c>
      <c r="E655" s="16" t="s">
        <v>26</v>
      </c>
      <c r="F655" s="16" t="s">
        <v>1293</v>
      </c>
      <c r="G655" s="17">
        <v>1795</v>
      </c>
      <c r="H655" s="17"/>
      <c r="I655" s="17"/>
      <c r="J655" s="17">
        <v>1795</v>
      </c>
      <c r="K655" s="17" t="n">
        <f aca="false">IF(AND(IFERROR(SEARCH("현대오일뱅크",$C655),0)&gt;0,IFERROR(SEARCH("직영",$C655),0)&gt;0),$B$13,0)</f>
        <v/>
      </c>
      <c r="L655" s="17" t="n">
        <f aca="false">IF($G655="","",$G655+$K655)</f>
        <v/>
      </c>
      <c r="M655" s="17" t="str">
        <f aca="false">IF($H655="","",$H655+$K655)</f>
        <v/>
      </c>
      <c r="N655" s="17" t="n">
        <f aca="false">IF($J655="","",$J655+$K655)</f>
        <v/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 t="str">
        <f aca="false">IF($B$10=0,"",IFERROR(IF($B$4&gt;0,IF($L655="",1/0,$L655*$B$4),0)+IF($B$5&gt;0,IF($M655="",1/0,$M655*$B$5),0)+IF($B$6&gt;0,IF($N655="",1/0,$N655*$B$6),0),""))</f>
        <v/>
      </c>
      <c r="Q655" s="17"/>
      <c r="R655" s="18" t="str">
        <f aca="false">IF($P655="","",IF($Q655="Y",IFERROR(VLOOKUP($B655,$C$4:$D$13,2,FALSE()),0),0))</f>
        <v/>
      </c>
      <c r="S655" s="17" t="str">
        <f aca="false">IF($P655="","",ROUNDDOWN($P655*$R655,0))</f>
        <v/>
      </c>
      <c r="T655" s="17" t="str">
        <f aca="false">IF($P655="","",$P655-$S655)</f>
        <v/>
      </c>
      <c r="U655" s="17" t="str">
        <f aca="false">IF($T655="","",IF($B$10=0,"",$T655/$B$10))</f>
        <v/>
      </c>
      <c r="V655" s="17" t="str">
        <f aca="false">IF($P655="","",IF($B$10=0,"",$P655/$B$10))</f>
        <v/>
      </c>
      <c r="W655" s="19" t="n">
        <f aca="false">IF($T655="",1000000000000000,$T655)</f>
        <v/>
      </c>
      <c r="XFB655" s="6"/>
      <c r="XFC655" s="3"/>
    </row>
    <row r="656" s="6" collapsed="false" customFormat="true" customHeight="true" hidden="false" ht="28.6" outlineLevel="0">
      <c r="A656" s="16" t="str">
        <f aca="false">IF($T656="","",1+COUNTIF($W$15:$W$894,"&lt;"&amp;W656))</f>
        <v/>
      </c>
      <c r="B656" s="16" t="s">
        <v>10</v>
      </c>
      <c r="C656" s="16" t="s">
        <v>1525</v>
      </c>
      <c r="D656" s="20" t="s">
        <v>86</v>
      </c>
      <c r="E656" s="16" t="s">
        <v>26</v>
      </c>
      <c r="F656" s="16" t="s">
        <v>1526</v>
      </c>
      <c r="G656" s="17">
        <v>1795</v>
      </c>
      <c r="H656" s="17"/>
      <c r="I656" s="17"/>
      <c r="J656" s="17">
        <v>1795</v>
      </c>
      <c r="K656" s="17" t="n">
        <f aca="false">IF(AND(IFERROR(SEARCH("현대오일뱅크",$C656),0)&gt;0,IFERROR(SEARCH("직영",$C656),0)&gt;0),$B$13,0)</f>
        <v/>
      </c>
      <c r="L656" s="17" t="n">
        <f aca="false">IF($G656="","",$G656+$K656)</f>
        <v/>
      </c>
      <c r="M656" s="17" t="str">
        <f aca="false">IF($H656="","",$H656+$K656)</f>
        <v/>
      </c>
      <c r="N656" s="17" t="n">
        <f aca="false">IF($J656="","",$J656+$K656)</f>
        <v/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 t="str">
        <f aca="false">IF($B$10=0,"",IFERROR(IF($B$4&gt;0,IF($L656="",1/0,$L656*$B$4),0)+IF($B$5&gt;0,IF($M656="",1/0,$M656*$B$5),0)+IF($B$6&gt;0,IF($N656="",1/0,$N656*$B$6),0),""))</f>
        <v/>
      </c>
      <c r="Q656" s="17"/>
      <c r="R656" s="18" t="str">
        <f aca="false">IF($P656="","",IF($Q656="Y",IFERROR(VLOOKUP($B656,$C$4:$D$13,2,FALSE()),0),0))</f>
        <v/>
      </c>
      <c r="S656" s="17" t="str">
        <f aca="false">IF($P656="","",ROUNDDOWN($P656*$R656,0))</f>
        <v/>
      </c>
      <c r="T656" s="17" t="str">
        <f aca="false">IF($P656="","",$P656-$S656)</f>
        <v/>
      </c>
      <c r="U656" s="17" t="str">
        <f aca="false">IF($T656="","",IF($B$10=0,"",$T656/$B$10))</f>
        <v/>
      </c>
      <c r="V656" s="17" t="str">
        <f aca="false">IF($P656="","",IF($B$10=0,"",$P656/$B$10))</f>
        <v/>
      </c>
      <c r="W656" s="19" t="n">
        <f aca="false">IF($T656="",1000000000000000,$T656)</f>
        <v/>
      </c>
      <c r="XFC656" s="3"/>
    </row>
    <row r="657" s="21" collapsed="false" customFormat="true" customHeight="true" hidden="false" ht="28.5" outlineLevel="0">
      <c r="A657" s="16" t="str">
        <f aca="false">IF($T657="","",1+COUNTIF($W$15:$W$894,"&lt;"&amp;W657))</f>
        <v/>
      </c>
      <c r="B657" s="16" t="s">
        <v>10</v>
      </c>
      <c r="C657" s="16" t="s">
        <v>1294</v>
      </c>
      <c r="D657" s="16" t="s">
        <v>95</v>
      </c>
      <c r="E657" s="16" t="s">
        <v>26</v>
      </c>
      <c r="F657" s="16" t="s">
        <v>1295</v>
      </c>
      <c r="G657" s="17">
        <v>1795</v>
      </c>
      <c r="H657" s="17"/>
      <c r="I657" s="17"/>
      <c r="J657" s="17">
        <v>1795</v>
      </c>
      <c r="K657" s="17" t="n">
        <f aca="false">IF(AND(IFERROR(SEARCH("현대오일뱅크",$C657),0)&gt;0,IFERROR(SEARCH("직영",$C657),0)&gt;0),$B$13,0)</f>
        <v/>
      </c>
      <c r="L657" s="17" t="n">
        <f aca="false">IF($G657="","",$G657+$K657)</f>
        <v/>
      </c>
      <c r="M657" s="17" t="str">
        <f aca="false">IF($H657="","",$H657+$K657)</f>
        <v/>
      </c>
      <c r="N657" s="17" t="n">
        <f aca="false">IF($J657="","",$J657+$K657)</f>
        <v/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 t="str">
        <f aca="false">IF($B$10=0,"",IFERROR(IF($B$4&gt;0,IF($L657="",1/0,$L657*$B$4),0)+IF($B$5&gt;0,IF($M657="",1/0,$M657*$B$5),0)+IF($B$6&gt;0,IF($N657="",1/0,$N657*$B$6),0),""))</f>
        <v/>
      </c>
      <c r="Q657" s="17"/>
      <c r="R657" s="18" t="str">
        <f aca="false">IF($P657="","",IF($Q657="Y",IFERROR(VLOOKUP($B657,$C$4:$D$13,2,FALSE()),0),0))</f>
        <v/>
      </c>
      <c r="S657" s="17" t="str">
        <f aca="false">IF($P657="","",ROUNDDOWN($P657*$R657,0))</f>
        <v/>
      </c>
      <c r="T657" s="17" t="str">
        <f aca="false">IF($P657="","",$P657-$S657)</f>
        <v/>
      </c>
      <c r="U657" s="17" t="str">
        <f aca="false">IF($T657="","",IF($B$10=0,"",$T657/$B$10))</f>
        <v/>
      </c>
      <c r="V657" s="17" t="str">
        <f aca="false">IF($P657="","",IF($B$10=0,"",$P657/$B$10))</f>
        <v/>
      </c>
      <c r="W657" s="19" t="n">
        <f aca="false">IF($T657="",1000000000000000,$T657)</f>
        <v/>
      </c>
      <c r="XFB657" s="6"/>
      <c r="XFC657" s="3"/>
    </row>
    <row r="658" s="21" collapsed="false" customFormat="true" customHeight="true" hidden="false" ht="28.5" outlineLevel="0">
      <c r="A658" s="16" t="str">
        <f aca="false">IF($T658="","",1+COUNTIF($W$15:$W$894,"&lt;"&amp;W658))</f>
        <v/>
      </c>
      <c r="B658" s="16" t="s">
        <v>10</v>
      </c>
      <c r="C658" s="16" t="s">
        <v>1296</v>
      </c>
      <c r="D658" s="20" t="s">
        <v>86</v>
      </c>
      <c r="E658" s="16" t="s">
        <v>26</v>
      </c>
      <c r="F658" s="16" t="s">
        <v>1297</v>
      </c>
      <c r="G658" s="17">
        <v>1795</v>
      </c>
      <c r="H658" s="17"/>
      <c r="I658" s="17"/>
      <c r="J658" s="17">
        <v>1795</v>
      </c>
      <c r="K658" s="17" t="n">
        <f aca="false">IF(AND(IFERROR(SEARCH("현대오일뱅크",$C658),0)&gt;0,IFERROR(SEARCH("직영",$C658),0)&gt;0),$B$13,0)</f>
        <v/>
      </c>
      <c r="L658" s="17" t="n">
        <f aca="false">IF($G658="","",$G658+$K658)</f>
        <v/>
      </c>
      <c r="M658" s="17" t="str">
        <f aca="false">IF($H658="","",$H658+$K658)</f>
        <v/>
      </c>
      <c r="N658" s="17" t="n">
        <f aca="false">IF($J658="","",$J658+$K658)</f>
        <v/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 t="str">
        <f aca="false">IF($B$10=0,"",IFERROR(IF($B$4&gt;0,IF($L658="",1/0,$L658*$B$4),0)+IF($B$5&gt;0,IF($M658="",1/0,$M658*$B$5),0)+IF($B$6&gt;0,IF($N658="",1/0,$N658*$B$6),0),""))</f>
        <v/>
      </c>
      <c r="Q658" s="17"/>
      <c r="R658" s="18" t="str">
        <f aca="false">IF($P658="","",IF($Q658="Y",IFERROR(VLOOKUP($B658,$C$4:$D$13,2,FALSE()),0),0))</f>
        <v/>
      </c>
      <c r="S658" s="17" t="str">
        <f aca="false">IF($P658="","",ROUNDDOWN($P658*$R658,0))</f>
        <v/>
      </c>
      <c r="T658" s="17" t="str">
        <f aca="false">IF($P658="","",$P658-$S658)</f>
        <v/>
      </c>
      <c r="U658" s="17" t="str">
        <f aca="false">IF($T658="","",IF($B$10=0,"",$T658/$B$10))</f>
        <v/>
      </c>
      <c r="V658" s="17" t="str">
        <f aca="false">IF($P658="","",IF($B$10=0,"",$P658/$B$10))</f>
        <v/>
      </c>
      <c r="W658" s="19" t="n">
        <f aca="false">IF($T658="",1000000000000000,$T658)</f>
        <v/>
      </c>
      <c r="XFB658" s="6"/>
      <c r="XFC658" s="3"/>
    </row>
    <row r="659" s="21" collapsed="false" customFormat="true" customHeight="true" hidden="false" ht="28.5" outlineLevel="0">
      <c r="A659" s="16" t="str">
        <f aca="false">IF($T659="","",1+COUNTIF($W$15:$W$894,"&lt;"&amp;W659))</f>
        <v/>
      </c>
      <c r="B659" s="16" t="s">
        <v>12</v>
      </c>
      <c r="C659" s="16" t="s">
        <v>1299</v>
      </c>
      <c r="D659" s="20" t="s">
        <v>45</v>
      </c>
      <c r="E659" s="16" t="s">
        <v>63</v>
      </c>
      <c r="F659" s="16" t="s">
        <v>1300</v>
      </c>
      <c r="G659" s="17">
        <v>1995</v>
      </c>
      <c r="H659" s="17"/>
      <c r="I659" s="17"/>
      <c r="J659" s="17">
        <v>1895</v>
      </c>
      <c r="K659" s="17" t="n">
        <f aca="false">IF(AND(IFERROR(SEARCH("현대오일뱅크",$C659),0)&gt;0,IFERROR(SEARCH("직영",$C659),0)&gt;0),$B$13,0)</f>
        <v/>
      </c>
      <c r="L659" s="17" t="n">
        <f aca="false">IF($G659="","",$G659+$K659)</f>
        <v/>
      </c>
      <c r="M659" s="17" t="str">
        <f aca="false">IF($H659="","",$H659+$K659)</f>
        <v/>
      </c>
      <c r="N659" s="17" t="n">
        <f aca="false">IF($J659="","",$J659+$K659)</f>
        <v/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 t="str">
        <f aca="false">IF($B$10=0,"",IFERROR(IF($B$4&gt;0,IF($L659="",1/0,$L659*$B$4),0)+IF($B$5&gt;0,IF($M659="",1/0,$M659*$B$5),0)+IF($B$6&gt;0,IF($N659="",1/0,$N659*$B$6),0),""))</f>
        <v/>
      </c>
      <c r="Q659" s="17" t="s">
        <v>47</v>
      </c>
      <c r="R659" s="18" t="str">
        <f aca="false">IF($P659="","",IF($Q659="Y",IFERROR(VLOOKUP($B659,$C$4:$D$13,2,FALSE()),0),0))</f>
        <v/>
      </c>
      <c r="S659" s="17" t="str">
        <f aca="false">IF($P659="","",ROUNDDOWN($P659*$R659,0))</f>
        <v/>
      </c>
      <c r="T659" s="17" t="str">
        <f aca="false">IF($P659="","",$P659-$S659)</f>
        <v/>
      </c>
      <c r="U659" s="17" t="str">
        <f aca="false">IF($T659="","",IF($B$10=0,"",$T659/$B$10))</f>
        <v/>
      </c>
      <c r="V659" s="17" t="str">
        <f aca="false">IF($P659="","",IF($B$10=0,"",$P659/$B$10))</f>
        <v/>
      </c>
      <c r="W659" s="19" t="n">
        <f aca="false">IF($T659="",1000000000000000,$T659)</f>
        <v/>
      </c>
      <c r="XFB659" s="6"/>
      <c r="XFC659" s="3"/>
    </row>
    <row r="660" s="5" collapsed="false" customFormat="true" customHeight="true" hidden="false" ht="28.5" outlineLevel="0">
      <c r="A660" s="16" t="str">
        <f aca="false">IF($T660="","",1+COUNTIF($W$15:$W$894,"&lt;"&amp;W660))</f>
        <v/>
      </c>
      <c r="B660" s="16" t="s">
        <v>6</v>
      </c>
      <c r="C660" s="16" t="s">
        <v>1301</v>
      </c>
      <c r="D660" s="16" t="s">
        <v>95</v>
      </c>
      <c r="E660" s="16" t="s">
        <v>26</v>
      </c>
      <c r="F660" s="16" t="s">
        <v>1302</v>
      </c>
      <c r="G660" s="17">
        <v>1995</v>
      </c>
      <c r="H660" s="17"/>
      <c r="I660" s="17"/>
      <c r="J660" s="17">
        <v>2045</v>
      </c>
      <c r="K660" s="17" t="n">
        <f aca="false">IF(AND(IFERROR(SEARCH("현대오일뱅크",$C660),0)&gt;0,IFERROR(SEARCH("직영",$C660),0)&gt;0),$B$13,0)</f>
        <v/>
      </c>
      <c r="L660" s="17" t="n">
        <f aca="false">IF($G660="","",$G660+$K660)</f>
        <v/>
      </c>
      <c r="M660" s="17" t="str">
        <f aca="false">IF($H660="","",$H660+$K660)</f>
        <v/>
      </c>
      <c r="N660" s="17" t="n">
        <f aca="false">IF($J660="","",$J660+$K660)</f>
        <v/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 t="str">
        <f aca="false">IF($B$10=0,"",IFERROR(IF($B$4&gt;0,IF($L660="",1/0,$L660*$B$4),0)+IF($B$5&gt;0,IF($M660="",1/0,$M660*$B$5),0)+IF($B$6&gt;0,IF($N660="",1/0,$N660*$B$6),0),""))</f>
        <v/>
      </c>
      <c r="Q660" s="17" t="s">
        <v>47</v>
      </c>
      <c r="R660" s="18" t="str">
        <f aca="false">IF($P660="","",IF($Q660="Y",IFERROR(VLOOKUP($B660,$C$4:$D$13,2,FALSE()),0),0))</f>
        <v/>
      </c>
      <c r="S660" s="17" t="str">
        <f aca="false">IF($P660="","",ROUNDDOWN($P660*$R660,0))</f>
        <v/>
      </c>
      <c r="T660" s="17" t="str">
        <f aca="false">IF($P660="","",$P660-$S660)</f>
        <v/>
      </c>
      <c r="U660" s="17" t="str">
        <f aca="false">IF($T660="","",IF($B$10=0,"",$T660/$B$10))</f>
        <v/>
      </c>
      <c r="V660" s="17" t="str">
        <f aca="false">IF($P660="","",IF($B$10=0,"",$P660/$B$10))</f>
        <v/>
      </c>
      <c r="W660" s="19" t="n">
        <f aca="false">IF($T660="",1000000000000000,$T660)</f>
        <v/>
      </c>
      <c r="XFB660" s="6"/>
      <c r="XFC660" s="3"/>
    </row>
    <row r="661" s="5" collapsed="false" customFormat="true" customHeight="true" hidden="false" ht="28.5" outlineLevel="0">
      <c r="A661" s="16" t="str">
        <f aca="false">IF($T661="","",1+COUNTIF($W$15:$W$894,"&lt;"&amp;W661))</f>
        <v/>
      </c>
      <c r="B661" s="16" t="s">
        <v>10</v>
      </c>
      <c r="C661" s="16" t="s">
        <v>1303</v>
      </c>
      <c r="D661" s="16" t="s">
        <v>45</v>
      </c>
      <c r="E661" s="16" t="s">
        <v>26</v>
      </c>
      <c r="F661" s="16" t="s">
        <v>1304</v>
      </c>
      <c r="G661" s="17">
        <v>1796</v>
      </c>
      <c r="H661" s="17"/>
      <c r="I661" s="17"/>
      <c r="J661" s="17">
        <v>1776</v>
      </c>
      <c r="K661" s="17" t="n">
        <f aca="false">IF(AND(IFERROR(SEARCH("현대오일뱅크",$C661),0)&gt;0,IFERROR(SEARCH("직영",$C661),0)&gt;0),$B$13,0)</f>
        <v/>
      </c>
      <c r="L661" s="17" t="n">
        <f aca="false">IF($G661="","",$G661+$K661)</f>
        <v/>
      </c>
      <c r="M661" s="17" t="str">
        <f aca="false">IF($H661="","",$H661+$K661)</f>
        <v/>
      </c>
      <c r="N661" s="17" t="n">
        <f aca="false">IF($J661="","",$J661+$K661)</f>
        <v/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 t="str">
        <f aca="false">IF($B$10=0,"",IFERROR(IF($B$4&gt;0,IF($L661="",1/0,$L661*$B$4),0)+IF($B$5&gt;0,IF($M661="",1/0,$M661*$B$5),0)+IF($B$6&gt;0,IF($N661="",1/0,$N661*$B$6),0),""))</f>
        <v/>
      </c>
      <c r="Q661" s="17"/>
      <c r="R661" s="18" t="str">
        <f aca="false">IF($P661="","",IF($Q661="Y",IFERROR(VLOOKUP($B661,$C$4:$D$13,2,FALSE()),0),0))</f>
        <v/>
      </c>
      <c r="S661" s="17" t="str">
        <f aca="false">IF($P661="","",ROUNDDOWN($P661*$R661,0))</f>
        <v/>
      </c>
      <c r="T661" s="17" t="str">
        <f aca="false">IF($P661="","",$P661-$S661)</f>
        <v/>
      </c>
      <c r="U661" s="17" t="str">
        <f aca="false">IF($T661="","",IF($B$10=0,"",$T661/$B$10))</f>
        <v/>
      </c>
      <c r="V661" s="17" t="str">
        <f aca="false">IF($P661="","",IF($B$10=0,"",$P661/$B$10))</f>
        <v/>
      </c>
      <c r="W661" s="19" t="n">
        <f aca="false">IF($T661="",1000000000000000,$T661)</f>
        <v/>
      </c>
      <c r="XFB661" s="6"/>
      <c r="XFC661" s="3"/>
    </row>
    <row r="662" s="6" collapsed="false" customFormat="true" customHeight="true" hidden="false" ht="28.6" outlineLevel="0">
      <c r="A662" s="16" t="str">
        <f aca="false">IF($T662="","",1+COUNTIF($W$15:$W$894,"&lt;"&amp;W662))</f>
        <v/>
      </c>
      <c r="B662" s="16" t="s">
        <v>8</v>
      </c>
      <c r="C662" s="16" t="s">
        <v>1307</v>
      </c>
      <c r="D662" s="16" t="s">
        <v>500</v>
      </c>
      <c r="E662" s="16" t="s">
        <v>26</v>
      </c>
      <c r="F662" s="16" t="s">
        <v>1308</v>
      </c>
      <c r="G662" s="17">
        <v>1797</v>
      </c>
      <c r="H662" s="17"/>
      <c r="I662" s="17"/>
      <c r="J662" s="17">
        <v>1795</v>
      </c>
      <c r="K662" s="17" t="n">
        <f aca="false">IF(AND(IFERROR(SEARCH("현대오일뱅크",$C662),0)&gt;0,IFERROR(SEARCH("직영",$C662),0)&gt;0),$B$13,0)</f>
        <v/>
      </c>
      <c r="L662" s="17" t="n">
        <f aca="false">IF($G662="","",$G662+$K662)</f>
        <v/>
      </c>
      <c r="M662" s="17" t="str">
        <f aca="false">IF($H662="","",$H662+$K662)</f>
        <v/>
      </c>
      <c r="N662" s="17" t="n">
        <f aca="false">IF($J662="","",$J662+$K662)</f>
        <v/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 t="str">
        <f aca="false">IF($B$10=0,"",IFERROR(IF($B$4&gt;0,IF($L662="",1/0,$L662*$B$4),0)+IF($B$5&gt;0,IF($M662="",1/0,$M662*$B$5),0)+IF($B$6&gt;0,IF($N662="",1/0,$N662*$B$6),0),""))</f>
        <v/>
      </c>
      <c r="Q662" s="17"/>
      <c r="R662" s="18" t="str">
        <f aca="false">IF($P662="","",IF($Q662="Y",IFERROR(VLOOKUP($B662,$C$4:$D$13,2,FALSE()),0),0))</f>
        <v/>
      </c>
      <c r="S662" s="17" t="str">
        <f aca="false">IF($P662="","",ROUNDDOWN($P662*$R662,0))</f>
        <v/>
      </c>
      <c r="T662" s="17" t="str">
        <f aca="false">IF($P662="","",$P662-$S662)</f>
        <v/>
      </c>
      <c r="U662" s="17" t="str">
        <f aca="false">IF($T662="","",IF($B$10=0,"",$T662/$B$10))</f>
        <v/>
      </c>
      <c r="V662" s="17" t="str">
        <f aca="false">IF($P662="","",IF($B$10=0,"",$P662/$B$10))</f>
        <v/>
      </c>
      <c r="W662" s="19" t="n">
        <f aca="false">IF($T662="",1000000000000000,$T662)</f>
        <v/>
      </c>
      <c r="XFC662" s="3"/>
    </row>
    <row r="663" s="21" collapsed="false" customFormat="true" customHeight="true" hidden="false" ht="28.5" outlineLevel="0">
      <c r="A663" s="16" t="str">
        <f aca="false">IF($T663="","",1+COUNTIF($W$15:$W$894,"&lt;"&amp;W663))</f>
        <v/>
      </c>
      <c r="B663" s="16" t="s">
        <v>18</v>
      </c>
      <c r="C663" s="16" t="s">
        <v>1309</v>
      </c>
      <c r="D663" s="16" t="s">
        <v>95</v>
      </c>
      <c r="E663" s="16" t="s">
        <v>63</v>
      </c>
      <c r="F663" s="16" t="s">
        <v>1310</v>
      </c>
      <c r="G663" s="17">
        <v>1797</v>
      </c>
      <c r="H663" s="17"/>
      <c r="I663" s="17"/>
      <c r="J663" s="17">
        <v>1797</v>
      </c>
      <c r="K663" s="17" t="n">
        <f aca="false">IF(AND(IFERROR(SEARCH("현대오일뱅크",$C663),0)&gt;0,IFERROR(SEARCH("직영",$C663),0)&gt;0),$B$13,0)</f>
        <v/>
      </c>
      <c r="L663" s="17" t="n">
        <f aca="false">IF($G663="","",$G663+$K663)</f>
        <v/>
      </c>
      <c r="M663" s="17" t="str">
        <f aca="false">IF($H663="","",$H663+$K663)</f>
        <v/>
      </c>
      <c r="N663" s="17" t="n">
        <f aca="false">IF($J663="","",$J663+$K663)</f>
        <v/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 t="str">
        <f aca="false">IF($B$10=0,"",IFERROR(IF($B$4&gt;0,IF($L663="",1/0,$L663*$B$4),0)+IF($B$5&gt;0,IF($M663="",1/0,$M663*$B$5),0)+IF($B$6&gt;0,IF($N663="",1/0,$N663*$B$6),0),""))</f>
        <v/>
      </c>
      <c r="Q663" s="17"/>
      <c r="R663" s="18" t="str">
        <f aca="false">IF($P663="","",IF($Q663="Y",IFERROR(VLOOKUP($B663,$C$4:$D$13,2,FALSE()),0),0))</f>
        <v/>
      </c>
      <c r="S663" s="17" t="str">
        <f aca="false">IF($P663="","",ROUNDDOWN($P663*$R663,0))</f>
        <v/>
      </c>
      <c r="T663" s="17" t="str">
        <f aca="false">IF($P663="","",$P663-$S663)</f>
        <v/>
      </c>
      <c r="U663" s="17" t="str">
        <f aca="false">IF($T663="","",IF($B$10=0,"",$T663/$B$10))</f>
        <v/>
      </c>
      <c r="V663" s="17" t="str">
        <f aca="false">IF($P663="","",IF($B$10=0,"",$P663/$B$10))</f>
        <v/>
      </c>
      <c r="W663" s="19" t="n">
        <f aca="false">IF($T663="",1000000000000000,$T663)</f>
        <v/>
      </c>
      <c r="XFB663" s="6"/>
      <c r="XFC663" s="3"/>
    </row>
    <row r="664" s="6" collapsed="false" customFormat="true" customHeight="true" hidden="false" ht="28.6" outlineLevel="0">
      <c r="A664" s="16" t="str">
        <f aca="false">IF($T664="","",1+COUNTIF($W$15:$W$894,"&lt;"&amp;W664))</f>
        <v/>
      </c>
      <c r="B664" s="16" t="s">
        <v>8</v>
      </c>
      <c r="C664" s="16" t="s">
        <v>1311</v>
      </c>
      <c r="D664" s="16" t="s">
        <v>45</v>
      </c>
      <c r="E664" s="16" t="s">
        <v>26</v>
      </c>
      <c r="F664" s="16" t="s">
        <v>1312</v>
      </c>
      <c r="G664" s="17">
        <v>1797</v>
      </c>
      <c r="H664" s="17"/>
      <c r="I664" s="17"/>
      <c r="J664" s="17">
        <v>1797</v>
      </c>
      <c r="K664" s="17" t="n">
        <f aca="false">IF(AND(IFERROR(SEARCH("현대오일뱅크",$C664),0)&gt;0,IFERROR(SEARCH("직영",$C664),0)&gt;0),$B$13,0)</f>
        <v/>
      </c>
      <c r="L664" s="17" t="n">
        <f aca="false">IF($G664="","",$G664+$K664)</f>
        <v/>
      </c>
      <c r="M664" s="17" t="str">
        <f aca="false">IF($H664="","",$H664+$K664)</f>
        <v/>
      </c>
      <c r="N664" s="17" t="n">
        <f aca="false">IF($J664="","",$J664+$K664)</f>
        <v/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 t="str">
        <f aca="false">IF($B$10=0,"",IFERROR(IF($B$4&gt;0,IF($L664="",1/0,$L664*$B$4),0)+IF($B$5&gt;0,IF($M664="",1/0,$M664*$B$5),0)+IF($B$6&gt;0,IF($N664="",1/0,$N664*$B$6),0),""))</f>
        <v/>
      </c>
      <c r="Q664" s="17"/>
      <c r="R664" s="18" t="str">
        <f aca="false">IF($P664="","",IF($Q664="Y",IFERROR(VLOOKUP($B664,$C$4:$D$13,2,FALSE()),0),0))</f>
        <v/>
      </c>
      <c r="S664" s="17" t="str">
        <f aca="false">IF($P664="","",ROUNDDOWN($P664*$R664,0))</f>
        <v/>
      </c>
      <c r="T664" s="17" t="str">
        <f aca="false">IF($P664="","",$P664-$S664)</f>
        <v/>
      </c>
      <c r="U664" s="17" t="str">
        <f aca="false">IF($T664="","",IF($B$10=0,"",$T664/$B$10))</f>
        <v/>
      </c>
      <c r="V664" s="17" t="str">
        <f aca="false">IF($P664="","",IF($B$10=0,"",$P664/$B$10))</f>
        <v/>
      </c>
      <c r="W664" s="19" t="n">
        <f aca="false">IF($T664="",1000000000000000,$T664)</f>
        <v/>
      </c>
      <c r="XFC664" s="3"/>
    </row>
    <row r="665" s="21" collapsed="false" customFormat="true" customHeight="true" hidden="false" ht="28.5" outlineLevel="0">
      <c r="A665" s="16" t="str">
        <f aca="false">IF($T665="","",1+COUNTIF($W$15:$W$894,"&lt;"&amp;W665))</f>
        <v/>
      </c>
      <c r="B665" s="16" t="s">
        <v>14</v>
      </c>
      <c r="C665" s="16" t="s">
        <v>1313</v>
      </c>
      <c r="D665" s="20" t="s">
        <v>86</v>
      </c>
      <c r="E665" s="16" t="s">
        <v>26</v>
      </c>
      <c r="F665" s="16" t="s">
        <v>1314</v>
      </c>
      <c r="G665" s="17">
        <v>1797</v>
      </c>
      <c r="H665" s="17"/>
      <c r="I665" s="17"/>
      <c r="J665" s="17">
        <v>1798</v>
      </c>
      <c r="K665" s="17" t="n">
        <f aca="false">IF(AND(IFERROR(SEARCH("현대오일뱅크",$C665),0)&gt;0,IFERROR(SEARCH("직영",$C665),0)&gt;0),$B$13,0)</f>
        <v/>
      </c>
      <c r="L665" s="17" t="n">
        <f aca="false">IF($G665="","",$G665+$K665)</f>
        <v/>
      </c>
      <c r="M665" s="17" t="str">
        <f aca="false">IF($H665="","",$H665+$K665)</f>
        <v/>
      </c>
      <c r="N665" s="17" t="n">
        <f aca="false">IF($J665="","",$J665+$K665)</f>
        <v/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 t="str">
        <f aca="false">IF($B$10=0,"",IFERROR(IF($B$4&gt;0,IF($L665="",1/0,$L665*$B$4),0)+IF($B$5&gt;0,IF($M665="",1/0,$M665*$B$5),0)+IF($B$6&gt;0,IF($N665="",1/0,$N665*$B$6),0),""))</f>
        <v/>
      </c>
      <c r="Q665" s="17"/>
      <c r="R665" s="18" t="str">
        <f aca="false">IF($P665="","",IF($Q665="Y",IFERROR(VLOOKUP($B665,$C$4:$D$13,2,FALSE()),0),0))</f>
        <v/>
      </c>
      <c r="S665" s="17" t="str">
        <f aca="false">IF($P665="","",ROUNDDOWN($P665*$R665,0))</f>
        <v/>
      </c>
      <c r="T665" s="17" t="str">
        <f aca="false">IF($P665="","",$P665-$S665)</f>
        <v/>
      </c>
      <c r="U665" s="17" t="str">
        <f aca="false">IF($T665="","",IF($B$10=0,"",$T665/$B$10))</f>
        <v/>
      </c>
      <c r="V665" s="17" t="str">
        <f aca="false">IF($P665="","",IF($B$10=0,"",$P665/$B$10))</f>
        <v/>
      </c>
      <c r="W665" s="19" t="n">
        <f aca="false">IF($T665="",1000000000000000,$T665)</f>
        <v/>
      </c>
      <c r="XFB665" s="6"/>
      <c r="XFC665" s="3"/>
    </row>
    <row r="666" s="21" collapsed="false" customFormat="true" customHeight="true" hidden="false" ht="28.5" outlineLevel="0">
      <c r="A666" s="16" t="str">
        <f aca="false">IF($T666="","",1+COUNTIF($W$15:$W$894,"&lt;"&amp;W666))</f>
        <v/>
      </c>
      <c r="B666" s="16" t="s">
        <v>14</v>
      </c>
      <c r="C666" s="16" t="s">
        <v>1315</v>
      </c>
      <c r="D666" s="16" t="s">
        <v>95</v>
      </c>
      <c r="E666" s="16" t="s">
        <v>26</v>
      </c>
      <c r="F666" s="16" t="s">
        <v>1316</v>
      </c>
      <c r="G666" s="17">
        <v>1797</v>
      </c>
      <c r="H666" s="17"/>
      <c r="I666" s="17"/>
      <c r="J666" s="17">
        <v>1822</v>
      </c>
      <c r="K666" s="17" t="n">
        <f aca="false">IF(AND(IFERROR(SEARCH("현대오일뱅크",$C666),0)&gt;0,IFERROR(SEARCH("직영",$C666),0)&gt;0),$B$13,0)</f>
        <v/>
      </c>
      <c r="L666" s="17" t="n">
        <f aca="false">IF($G666="","",$G666+$K666)</f>
        <v/>
      </c>
      <c r="M666" s="17" t="str">
        <f aca="false">IF($H666="","",$H666+$K666)</f>
        <v/>
      </c>
      <c r="N666" s="17" t="n">
        <f aca="false">IF($J666="","",$J666+$K666)</f>
        <v/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 t="str">
        <f aca="false">IF($B$10=0,"",IFERROR(IF($B$4&gt;0,IF($L666="",1/0,$L666*$B$4),0)+IF($B$5&gt;0,IF($M666="",1/0,$M666*$B$5),0)+IF($B$6&gt;0,IF($N666="",1/0,$N666*$B$6),0),""))</f>
        <v/>
      </c>
      <c r="Q666" s="17"/>
      <c r="R666" s="18" t="str">
        <f aca="false">IF($P666="","",IF($Q666="Y",IFERROR(VLOOKUP($B666,$C$4:$D$13,2,FALSE()),0),0))</f>
        <v/>
      </c>
      <c r="S666" s="17" t="str">
        <f aca="false">IF($P666="","",ROUNDDOWN($P666*$R666,0))</f>
        <v/>
      </c>
      <c r="T666" s="17" t="str">
        <f aca="false">IF($P666="","",$P666-$S666)</f>
        <v/>
      </c>
      <c r="U666" s="17" t="str">
        <f aca="false">IF($T666="","",IF($B$10=0,"",$T666/$B$10))</f>
        <v/>
      </c>
      <c r="V666" s="17" t="str">
        <f aca="false">IF($P666="","",IF($B$10=0,"",$P666/$B$10))</f>
        <v/>
      </c>
      <c r="W666" s="19" t="n">
        <f aca="false">IF($T666="",1000000000000000,$T666)</f>
        <v/>
      </c>
      <c r="XFB666" s="6"/>
      <c r="XFC666" s="3"/>
    </row>
    <row r="667" s="5" collapsed="false" customFormat="true" customHeight="true" hidden="false" ht="28.5" outlineLevel="0">
      <c r="A667" s="16" t="str">
        <f aca="false">IF($T667="","",1+COUNTIF($W$15:$W$894,"&lt;"&amp;W667))</f>
        <v/>
      </c>
      <c r="B667" s="16" t="s">
        <v>12</v>
      </c>
      <c r="C667" s="16" t="s">
        <v>1317</v>
      </c>
      <c r="D667" s="20" t="s">
        <v>86</v>
      </c>
      <c r="E667" s="16" t="s">
        <v>26</v>
      </c>
      <c r="F667" s="16" t="s">
        <v>1318</v>
      </c>
      <c r="G667" s="17">
        <v>1798</v>
      </c>
      <c r="H667" s="17"/>
      <c r="I667" s="17"/>
      <c r="J667" s="17">
        <v>1748</v>
      </c>
      <c r="K667" s="17" t="n">
        <f aca="false">IF(AND(IFERROR(SEARCH("현대오일뱅크",$C667),0)&gt;0,IFERROR(SEARCH("직영",$C667),0)&gt;0),$B$13,0)</f>
        <v/>
      </c>
      <c r="L667" s="17" t="n">
        <f aca="false">IF($G667="","",$G667+$K667)</f>
        <v/>
      </c>
      <c r="M667" s="17" t="str">
        <f aca="false">IF($H667="","",$H667+$K667)</f>
        <v/>
      </c>
      <c r="N667" s="17" t="n">
        <f aca="false">IF($J667="","",$J667+$K667)</f>
        <v/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 t="str">
        <f aca="false">IF($B$10=0,"",IFERROR(IF($B$4&gt;0,IF($L667="",1/0,$L667*$B$4),0)+IF($B$5&gt;0,IF($M667="",1/0,$M667*$B$5),0)+IF($B$6&gt;0,IF($N667="",1/0,$N667*$B$6),0),""))</f>
        <v/>
      </c>
      <c r="Q667" s="17"/>
      <c r="R667" s="18" t="str">
        <f aca="false">IF($P667="","",IF($Q667="Y",IFERROR(VLOOKUP($B667,$C$4:$D$13,2,FALSE()),0),0))</f>
        <v/>
      </c>
      <c r="S667" s="17" t="str">
        <f aca="false">IF($P667="","",ROUNDDOWN($P667*$R667,0))</f>
        <v/>
      </c>
      <c r="T667" s="17" t="str">
        <f aca="false">IF($P667="","",$P667-$S667)</f>
        <v/>
      </c>
      <c r="U667" s="17" t="str">
        <f aca="false">IF($T667="","",IF($B$10=0,"",$T667/$B$10))</f>
        <v/>
      </c>
      <c r="V667" s="17" t="str">
        <f aca="false">IF($P667="","",IF($B$10=0,"",$P667/$B$10))</f>
        <v/>
      </c>
      <c r="W667" s="19" t="n">
        <f aca="false">IF($T667="",1000000000000000,$T667)</f>
        <v/>
      </c>
      <c r="XFB667" s="6"/>
      <c r="XFC667" s="3"/>
    </row>
    <row r="668" s="5" collapsed="false" customFormat="true" customHeight="true" hidden="false" ht="28.5" outlineLevel="0">
      <c r="A668" s="16" t="str">
        <f aca="false">IF($T668="","",1+COUNTIF($W$15:$W$894,"&lt;"&amp;W668))</f>
        <v/>
      </c>
      <c r="B668" s="16" t="s">
        <v>10</v>
      </c>
      <c r="C668" s="16" t="s">
        <v>1319</v>
      </c>
      <c r="D668" s="16" t="s">
        <v>51</v>
      </c>
      <c r="E668" s="16" t="s">
        <v>63</v>
      </c>
      <c r="F668" s="16" t="s">
        <v>1320</v>
      </c>
      <c r="G668" s="17">
        <v>1798</v>
      </c>
      <c r="H668" s="17"/>
      <c r="I668" s="17"/>
      <c r="J668" s="17">
        <v>1749</v>
      </c>
      <c r="K668" s="17" t="n">
        <f aca="false">IF(AND(IFERROR(SEARCH("현대오일뱅크",$C668),0)&gt;0,IFERROR(SEARCH("직영",$C668),0)&gt;0),$B$13,0)</f>
        <v/>
      </c>
      <c r="L668" s="17" t="n">
        <f aca="false">IF($G668="","",$G668+$K668)</f>
        <v/>
      </c>
      <c r="M668" s="17" t="str">
        <f aca="false">IF($H668="","",$H668+$K668)</f>
        <v/>
      </c>
      <c r="N668" s="17" t="n">
        <f aca="false">IF($J668="","",$J668+$K668)</f>
        <v/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 t="str">
        <f aca="false">IF($B$10=0,"",IFERROR(IF($B$4&gt;0,IF($L668="",1/0,$L668*$B$4),0)+IF($B$5&gt;0,IF($M668="",1/0,$M668*$B$5),0)+IF($B$6&gt;0,IF($N668="",1/0,$N668*$B$6),0),""))</f>
        <v/>
      </c>
      <c r="Q668" s="17"/>
      <c r="R668" s="18" t="str">
        <f aca="false">IF($P668="","",IF($Q668="Y",IFERROR(VLOOKUP($B668,$C$4:$D$13,2,FALSE()),0),0))</f>
        <v/>
      </c>
      <c r="S668" s="17" t="str">
        <f aca="false">IF($P668="","",ROUNDDOWN($P668*$R668,0))</f>
        <v/>
      </c>
      <c r="T668" s="17" t="str">
        <f aca="false">IF($P668="","",$P668-$S668)</f>
        <v/>
      </c>
      <c r="U668" s="17" t="str">
        <f aca="false">IF($T668="","",IF($B$10=0,"",$T668/$B$10))</f>
        <v/>
      </c>
      <c r="V668" s="17" t="str">
        <f aca="false">IF($P668="","",IF($B$10=0,"",$P668/$B$10))</f>
        <v/>
      </c>
      <c r="W668" s="19" t="n">
        <f aca="false">IF($T668="",1000000000000000,$T668)</f>
        <v/>
      </c>
      <c r="XFB668" s="6"/>
      <c r="XFC668" s="3"/>
    </row>
    <row r="669" s="5" collapsed="false" customFormat="true" customHeight="true" hidden="false" ht="28.5" outlineLevel="0">
      <c r="A669" s="16" t="str">
        <f aca="false">IF($T669="","",1+COUNTIF($W$15:$W$894,"&lt;"&amp;W669))</f>
        <v/>
      </c>
      <c r="B669" s="16" t="s">
        <v>10</v>
      </c>
      <c r="C669" s="16" t="s">
        <v>1321</v>
      </c>
      <c r="D669" s="20" t="s">
        <v>86</v>
      </c>
      <c r="E669" s="16" t="s">
        <v>26</v>
      </c>
      <c r="F669" s="16" t="s">
        <v>1322</v>
      </c>
      <c r="G669" s="17">
        <v>1798</v>
      </c>
      <c r="H669" s="17"/>
      <c r="I669" s="17"/>
      <c r="J669" s="17">
        <v>1758</v>
      </c>
      <c r="K669" s="17" t="n">
        <f aca="false">IF(AND(IFERROR(SEARCH("현대오일뱅크",$C669),0)&gt;0,IFERROR(SEARCH("직영",$C669),0)&gt;0),$B$13,0)</f>
        <v/>
      </c>
      <c r="L669" s="17" t="n">
        <f aca="false">IF($G669="","",$G669+$K669)</f>
        <v/>
      </c>
      <c r="M669" s="17" t="str">
        <f aca="false">IF($H669="","",$H669+$K669)</f>
        <v/>
      </c>
      <c r="N669" s="17" t="n">
        <f aca="false">IF($J669="","",$J669+$K669)</f>
        <v/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 t="str">
        <f aca="false">IF($B$10=0,"",IFERROR(IF($B$4&gt;0,IF($L669="",1/0,$L669*$B$4),0)+IF($B$5&gt;0,IF($M669="",1/0,$M669*$B$5),0)+IF($B$6&gt;0,IF($N669="",1/0,$N669*$B$6),0),""))</f>
        <v/>
      </c>
      <c r="Q669" s="17"/>
      <c r="R669" s="18" t="str">
        <f aca="false">IF($P669="","",IF($Q669="Y",IFERROR(VLOOKUP($B669,$C$4:$D$13,2,FALSE()),0),0))</f>
        <v/>
      </c>
      <c r="S669" s="17" t="str">
        <f aca="false">IF($P669="","",ROUNDDOWN($P669*$R669,0))</f>
        <v/>
      </c>
      <c r="T669" s="17" t="str">
        <f aca="false">IF($P669="","",$P669-$S669)</f>
        <v/>
      </c>
      <c r="U669" s="17" t="str">
        <f aca="false">IF($T669="","",IF($B$10=0,"",$T669/$B$10))</f>
        <v/>
      </c>
      <c r="V669" s="17" t="str">
        <f aca="false">IF($P669="","",IF($B$10=0,"",$P669/$B$10))</f>
        <v/>
      </c>
      <c r="W669" s="19" t="n">
        <f aca="false">IF($T669="",1000000000000000,$T669)</f>
        <v/>
      </c>
      <c r="XFB669" s="6"/>
      <c r="XFC669" s="3"/>
    </row>
    <row r="670" s="6" collapsed="false" customFormat="true" customHeight="true" hidden="false" ht="28.6" outlineLevel="0">
      <c r="A670" s="16" t="str">
        <f aca="false">IF($T670="","",1+COUNTIF($W$15:$W$894,"&lt;"&amp;W670))</f>
        <v/>
      </c>
      <c r="B670" s="16" t="s">
        <v>14</v>
      </c>
      <c r="C670" s="16" t="s">
        <v>1323</v>
      </c>
      <c r="D670" s="16" t="s">
        <v>95</v>
      </c>
      <c r="E670" s="16" t="s">
        <v>26</v>
      </c>
      <c r="F670" s="16" t="s">
        <v>1324</v>
      </c>
      <c r="G670" s="17">
        <v>1798</v>
      </c>
      <c r="H670" s="17"/>
      <c r="I670" s="17"/>
      <c r="J670" s="17">
        <v>1785</v>
      </c>
      <c r="K670" s="17" t="n">
        <f aca="false">IF(AND(IFERROR(SEARCH("현대오일뱅크",$C670),0)&gt;0,IFERROR(SEARCH("직영",$C670),0)&gt;0),$B$13,0)</f>
        <v/>
      </c>
      <c r="L670" s="17" t="n">
        <f aca="false">IF($G670="","",$G670+$K670)</f>
        <v/>
      </c>
      <c r="M670" s="17" t="str">
        <f aca="false">IF($H670="","",$H670+$K670)</f>
        <v/>
      </c>
      <c r="N670" s="17" t="n">
        <f aca="false">IF($J670="","",$J670+$K670)</f>
        <v/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 t="str">
        <f aca="false">IF($B$10=0,"",IFERROR(IF($B$4&gt;0,IF($L670="",1/0,$L670*$B$4),0)+IF($B$5&gt;0,IF($M670="",1/0,$M670*$B$5),0)+IF($B$6&gt;0,IF($N670="",1/0,$N670*$B$6),0),""))</f>
        <v/>
      </c>
      <c r="Q670" s="17"/>
      <c r="R670" s="18" t="str">
        <f aca="false">IF($P670="","",IF($Q670="Y",IFERROR(VLOOKUP($B670,$C$4:$D$13,2,FALSE()),0),0))</f>
        <v/>
      </c>
      <c r="S670" s="17" t="str">
        <f aca="false">IF($P670="","",ROUNDDOWN($P670*$R670,0))</f>
        <v/>
      </c>
      <c r="T670" s="17" t="str">
        <f aca="false">IF($P670="","",$P670-$S670)</f>
        <v/>
      </c>
      <c r="U670" s="17" t="str">
        <f aca="false">IF($T670="","",IF($B$10=0,"",$T670/$B$10))</f>
        <v/>
      </c>
      <c r="V670" s="17" t="str">
        <f aca="false">IF($P670="","",IF($B$10=0,"",$P670/$B$10))</f>
        <v/>
      </c>
      <c r="W670" s="19" t="n">
        <f aca="false">IF($T670="",1000000000000000,$T670)</f>
        <v/>
      </c>
      <c r="XFC670" s="3"/>
    </row>
    <row r="671" s="6" collapsed="false" customFormat="true" customHeight="true" hidden="false" ht="28.6" outlineLevel="0">
      <c r="A671" s="16" t="str">
        <f aca="false">IF($T671="","",1+COUNTIF($W$15:$W$894,"&lt;"&amp;W671))</f>
        <v/>
      </c>
      <c r="B671" s="16" t="s">
        <v>14</v>
      </c>
      <c r="C671" s="16" t="s">
        <v>1325</v>
      </c>
      <c r="D671" s="16" t="s">
        <v>95</v>
      </c>
      <c r="E671" s="16" t="s">
        <v>26</v>
      </c>
      <c r="F671" s="16" t="s">
        <v>1326</v>
      </c>
      <c r="G671" s="17">
        <v>1798</v>
      </c>
      <c r="H671" s="17"/>
      <c r="I671" s="17"/>
      <c r="J671" s="17">
        <v>1785</v>
      </c>
      <c r="K671" s="17" t="n">
        <f aca="false">IF(AND(IFERROR(SEARCH("현대오일뱅크",$C671),0)&gt;0,IFERROR(SEARCH("직영",$C671),0)&gt;0),$B$13,0)</f>
        <v/>
      </c>
      <c r="L671" s="17" t="n">
        <f aca="false">IF($G671="","",$G671+$K671)</f>
        <v/>
      </c>
      <c r="M671" s="17" t="str">
        <f aca="false">IF($H671="","",$H671+$K671)</f>
        <v/>
      </c>
      <c r="N671" s="17" t="n">
        <f aca="false">IF($J671="","",$J671+$K671)</f>
        <v/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 t="str">
        <f aca="false">IF($B$10=0,"",IFERROR(IF($B$4&gt;0,IF($L671="",1/0,$L671*$B$4),0)+IF($B$5&gt;0,IF($M671="",1/0,$M671*$B$5),0)+IF($B$6&gt;0,IF($N671="",1/0,$N671*$B$6),0),""))</f>
        <v/>
      </c>
      <c r="Q671" s="17"/>
      <c r="R671" s="18" t="str">
        <f aca="false">IF($P671="","",IF($Q671="Y",IFERROR(VLOOKUP($B671,$C$4:$D$13,2,FALSE()),0),0))</f>
        <v/>
      </c>
      <c r="S671" s="17" t="str">
        <f aca="false">IF($P671="","",ROUNDDOWN($P671*$R671,0))</f>
        <v/>
      </c>
      <c r="T671" s="17" t="str">
        <f aca="false">IF($P671="","",$P671-$S671)</f>
        <v/>
      </c>
      <c r="U671" s="17" t="str">
        <f aca="false">IF($T671="","",IF($B$10=0,"",$T671/$B$10))</f>
        <v/>
      </c>
      <c r="V671" s="17" t="str">
        <f aca="false">IF($P671="","",IF($B$10=0,"",$P671/$B$10))</f>
        <v/>
      </c>
      <c r="W671" s="19" t="n">
        <f aca="false">IF($T671="",1000000000000000,$T671)</f>
        <v/>
      </c>
      <c r="XFC671" s="3"/>
    </row>
    <row r="672" s="21" collapsed="false" customFormat="true" customHeight="true" hidden="false" ht="28.5" outlineLevel="0">
      <c r="A672" s="16" t="str">
        <f aca="false">IF($T672="","",1+COUNTIF($W$15:$W$894,"&lt;"&amp;W672))</f>
        <v/>
      </c>
      <c r="B672" s="16" t="s">
        <v>12</v>
      </c>
      <c r="C672" s="16" t="s">
        <v>1329</v>
      </c>
      <c r="D672" s="20" t="s">
        <v>500</v>
      </c>
      <c r="E672" s="16" t="s">
        <v>26</v>
      </c>
      <c r="F672" s="16" t="s">
        <v>1330</v>
      </c>
      <c r="G672" s="17">
        <v>1798</v>
      </c>
      <c r="H672" s="17"/>
      <c r="I672" s="17"/>
      <c r="J672" s="17">
        <v>1788</v>
      </c>
      <c r="K672" s="17" t="n">
        <f aca="false">IF(AND(IFERROR(SEARCH("현대오일뱅크",$C672),0)&gt;0,IFERROR(SEARCH("직영",$C672),0)&gt;0),$B$13,0)</f>
        <v/>
      </c>
      <c r="L672" s="17" t="n">
        <f aca="false">IF($G672="","",$G672+$K672)</f>
        <v/>
      </c>
      <c r="M672" s="17" t="str">
        <f aca="false">IF($H672="","",$H672+$K672)</f>
        <v/>
      </c>
      <c r="N672" s="17" t="n">
        <f aca="false">IF($J672="","",$J672+$K672)</f>
        <v/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 t="str">
        <f aca="false">IF($B$10=0,"",IFERROR(IF($B$4&gt;0,IF($L672="",1/0,$L672*$B$4),0)+IF($B$5&gt;0,IF($M672="",1/0,$M672*$B$5),0)+IF($B$6&gt;0,IF($N672="",1/0,$N672*$B$6),0),""))</f>
        <v/>
      </c>
      <c r="Q672" s="17"/>
      <c r="R672" s="18" t="str">
        <f aca="false">IF($P672="","",IF($Q672="Y",IFERROR(VLOOKUP($B672,$C$4:$D$13,2,FALSE()),0),0))</f>
        <v/>
      </c>
      <c r="S672" s="17" t="str">
        <f aca="false">IF($P672="","",ROUNDDOWN($P672*$R672,0))</f>
        <v/>
      </c>
      <c r="T672" s="17" t="str">
        <f aca="false">IF($P672="","",$P672-$S672)</f>
        <v/>
      </c>
      <c r="U672" s="17" t="str">
        <f aca="false">IF($T672="","",IF($B$10=0,"",$T672/$B$10))</f>
        <v/>
      </c>
      <c r="V672" s="17" t="str">
        <f aca="false">IF($P672="","",IF($B$10=0,"",$P672/$B$10))</f>
        <v/>
      </c>
      <c r="W672" s="19" t="n">
        <f aca="false">IF($T672="",1000000000000000,$T672)</f>
        <v/>
      </c>
      <c r="XFB672" s="6"/>
      <c r="XFC672" s="3"/>
    </row>
    <row r="673" s="21" collapsed="false" customFormat="true" customHeight="true" hidden="false" ht="28.5" outlineLevel="0">
      <c r="A673" s="16" t="str">
        <f aca="false">IF($T673="","",1+COUNTIF($W$15:$W$894,"&lt;"&amp;W673))</f>
        <v/>
      </c>
      <c r="B673" s="16" t="s">
        <v>12</v>
      </c>
      <c r="C673" s="16" t="s">
        <v>1331</v>
      </c>
      <c r="D673" s="20" t="s">
        <v>86</v>
      </c>
      <c r="E673" s="16" t="s">
        <v>63</v>
      </c>
      <c r="F673" s="16" t="s">
        <v>1332</v>
      </c>
      <c r="G673" s="17">
        <v>1798</v>
      </c>
      <c r="H673" s="17"/>
      <c r="I673" s="17"/>
      <c r="J673" s="17">
        <v>1788</v>
      </c>
      <c r="K673" s="17" t="n">
        <f aca="false">IF(AND(IFERROR(SEARCH("현대오일뱅크",$C673),0)&gt;0,IFERROR(SEARCH("직영",$C673),0)&gt;0),$B$13,0)</f>
        <v/>
      </c>
      <c r="L673" s="17" t="n">
        <f aca="false">IF($G673="","",$G673+$K673)</f>
        <v/>
      </c>
      <c r="M673" s="17" t="str">
        <f aca="false">IF($H673="","",$H673+$K673)</f>
        <v/>
      </c>
      <c r="N673" s="17" t="n">
        <f aca="false">IF($J673="","",$J673+$K673)</f>
        <v/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 t="str">
        <f aca="false">IF($B$10=0,"",IFERROR(IF($B$4&gt;0,IF($L673="",1/0,$L673*$B$4),0)+IF($B$5&gt;0,IF($M673="",1/0,$M673*$B$5),0)+IF($B$6&gt;0,IF($N673="",1/0,$N673*$B$6),0),""))</f>
        <v/>
      </c>
      <c r="Q673" s="17"/>
      <c r="R673" s="18" t="str">
        <f aca="false">IF($P673="","",IF($Q673="Y",IFERROR(VLOOKUP($B673,$C$4:$D$13,2,FALSE()),0),0))</f>
        <v/>
      </c>
      <c r="S673" s="17" t="str">
        <f aca="false">IF($P673="","",ROUNDDOWN($P673*$R673,0))</f>
        <v/>
      </c>
      <c r="T673" s="17" t="str">
        <f aca="false">IF($P673="","",$P673-$S673)</f>
        <v/>
      </c>
      <c r="U673" s="17" t="str">
        <f aca="false">IF($T673="","",IF($B$10=0,"",$T673/$B$10))</f>
        <v/>
      </c>
      <c r="V673" s="17" t="str">
        <f aca="false">IF($P673="","",IF($B$10=0,"",$P673/$B$10))</f>
        <v/>
      </c>
      <c r="W673" s="19" t="n">
        <f aca="false">IF($T673="",1000000000000000,$T673)</f>
        <v/>
      </c>
      <c r="XFB673" s="6"/>
      <c r="XFC673" s="3"/>
    </row>
    <row r="674" s="6" collapsed="false" customFormat="true" customHeight="true" hidden="false" ht="28.6" outlineLevel="0">
      <c r="A674" s="16" t="str">
        <f aca="false">IF($T674="","",1+COUNTIF($W$15:$W$894,"&lt;"&amp;W674))</f>
        <v/>
      </c>
      <c r="B674" s="16" t="s">
        <v>10</v>
      </c>
      <c r="C674" s="16" t="s">
        <v>1333</v>
      </c>
      <c r="D674" s="16" t="s">
        <v>95</v>
      </c>
      <c r="E674" s="16" t="s">
        <v>26</v>
      </c>
      <c r="F674" s="16" t="s">
        <v>1334</v>
      </c>
      <c r="G674" s="17">
        <v>1798</v>
      </c>
      <c r="H674" s="17"/>
      <c r="I674" s="17"/>
      <c r="J674" s="17">
        <v>1789</v>
      </c>
      <c r="K674" s="17" t="n">
        <f aca="false">IF(AND(IFERROR(SEARCH("현대오일뱅크",$C674),0)&gt;0,IFERROR(SEARCH("직영",$C674),0)&gt;0),$B$13,0)</f>
        <v/>
      </c>
      <c r="L674" s="17" t="n">
        <f aca="false">IF($G674="","",$G674+$K674)</f>
        <v/>
      </c>
      <c r="M674" s="17" t="str">
        <f aca="false">IF($H674="","",$H674+$K674)</f>
        <v/>
      </c>
      <c r="N674" s="17" t="n">
        <f aca="false">IF($J674="","",$J674+$K674)</f>
        <v/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 t="str">
        <f aca="false">IF($B$10=0,"",IFERROR(IF($B$4&gt;0,IF($L674="",1/0,$L674*$B$4),0)+IF($B$5&gt;0,IF($M674="",1/0,$M674*$B$5),0)+IF($B$6&gt;0,IF($N674="",1/0,$N674*$B$6),0),""))</f>
        <v/>
      </c>
      <c r="Q674" s="17"/>
      <c r="R674" s="18" t="str">
        <f aca="false">IF($P674="","",IF($Q674="Y",IFERROR(VLOOKUP($B674,$C$4:$D$13,2,FALSE()),0),0))</f>
        <v/>
      </c>
      <c r="S674" s="17" t="str">
        <f aca="false">IF($P674="","",ROUNDDOWN($P674*$R674,0))</f>
        <v/>
      </c>
      <c r="T674" s="17" t="str">
        <f aca="false">IF($P674="","",$P674-$S674)</f>
        <v/>
      </c>
      <c r="U674" s="17" t="str">
        <f aca="false">IF($T674="","",IF($B$10=0,"",$T674/$B$10))</f>
        <v/>
      </c>
      <c r="V674" s="17" t="str">
        <f aca="false">IF($P674="","",IF($B$10=0,"",$P674/$B$10))</f>
        <v/>
      </c>
      <c r="W674" s="19" t="n">
        <f aca="false">IF($T674="",1000000000000000,$T674)</f>
        <v/>
      </c>
      <c r="XFC674" s="3"/>
    </row>
    <row r="675" s="21" collapsed="false" customFormat="true" customHeight="true" hidden="false" ht="28.5" outlineLevel="0">
      <c r="A675" s="16" t="str">
        <f aca="false">IF($T675="","",1+COUNTIF($W$15:$W$894,"&lt;"&amp;W675))</f>
        <v/>
      </c>
      <c r="B675" s="16" t="s">
        <v>8</v>
      </c>
      <c r="C675" s="16" t="s">
        <v>1335</v>
      </c>
      <c r="D675" s="16" t="s">
        <v>45</v>
      </c>
      <c r="E675" s="16" t="s">
        <v>26</v>
      </c>
      <c r="F675" s="16" t="s">
        <v>1336</v>
      </c>
      <c r="G675" s="17">
        <v>1798</v>
      </c>
      <c r="H675" s="17"/>
      <c r="I675" s="17"/>
      <c r="J675" s="17">
        <v>1798</v>
      </c>
      <c r="K675" s="17" t="n">
        <f aca="false">IF(AND(IFERROR(SEARCH("현대오일뱅크",$C675),0)&gt;0,IFERROR(SEARCH("직영",$C675),0)&gt;0),$B$13,0)</f>
        <v/>
      </c>
      <c r="L675" s="17" t="n">
        <f aca="false">IF($G675="","",$G675+$K675)</f>
        <v/>
      </c>
      <c r="M675" s="17" t="str">
        <f aca="false">IF($H675="","",$H675+$K675)</f>
        <v/>
      </c>
      <c r="N675" s="17" t="n">
        <f aca="false">IF($J675="","",$J675+$K675)</f>
        <v/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 t="str">
        <f aca="false">IF($B$10=0,"",IFERROR(IF($B$4&gt;0,IF($L675="",1/0,$L675*$B$4),0)+IF($B$5&gt;0,IF($M675="",1/0,$M675*$B$5),0)+IF($B$6&gt;0,IF($N675="",1/0,$N675*$B$6),0),""))</f>
        <v/>
      </c>
      <c r="Q675" s="17"/>
      <c r="R675" s="18" t="str">
        <f aca="false">IF($P675="","",IF($Q675="Y",IFERROR(VLOOKUP($B675,$C$4:$D$13,2,FALSE()),0),0))</f>
        <v/>
      </c>
      <c r="S675" s="17" t="str">
        <f aca="false">IF($P675="","",ROUNDDOWN($P675*$R675,0))</f>
        <v/>
      </c>
      <c r="T675" s="17" t="str">
        <f aca="false">IF($P675="","",$P675-$S675)</f>
        <v/>
      </c>
      <c r="U675" s="17" t="str">
        <f aca="false">IF($T675="","",IF($B$10=0,"",$T675/$B$10))</f>
        <v/>
      </c>
      <c r="V675" s="17" t="str">
        <f aca="false">IF($P675="","",IF($B$10=0,"",$P675/$B$10))</f>
        <v/>
      </c>
      <c r="W675" s="19" t="n">
        <f aca="false">IF($T675="",1000000000000000,$T675)</f>
        <v/>
      </c>
      <c r="XFB675" s="6"/>
      <c r="XFC675" s="3"/>
    </row>
    <row r="676" s="21" collapsed="false" customFormat="true" customHeight="true" hidden="false" ht="28.5" outlineLevel="0">
      <c r="A676" s="16" t="str">
        <f aca="false">IF($T676="","",1+COUNTIF($W$15:$W$894,"&lt;"&amp;W676))</f>
        <v/>
      </c>
      <c r="B676" s="16" t="s">
        <v>12</v>
      </c>
      <c r="C676" s="16" t="s">
        <v>1337</v>
      </c>
      <c r="D676" s="20" t="s">
        <v>51</v>
      </c>
      <c r="E676" s="16" t="s">
        <v>26</v>
      </c>
      <c r="F676" s="16" t="s">
        <v>1338</v>
      </c>
      <c r="G676" s="17">
        <v>1798</v>
      </c>
      <c r="H676" s="17"/>
      <c r="I676" s="17"/>
      <c r="J676" s="17">
        <v>1798</v>
      </c>
      <c r="K676" s="17" t="n">
        <f aca="false">IF(AND(IFERROR(SEARCH("현대오일뱅크",$C676),0)&gt;0,IFERROR(SEARCH("직영",$C676),0)&gt;0),$B$13,0)</f>
        <v/>
      </c>
      <c r="L676" s="17" t="n">
        <f aca="false">IF($G676="","",$G676+$K676)</f>
        <v/>
      </c>
      <c r="M676" s="17" t="str">
        <f aca="false">IF($H676="","",$H676+$K676)</f>
        <v/>
      </c>
      <c r="N676" s="17" t="n">
        <f aca="false">IF($J676="","",$J676+$K676)</f>
        <v/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 t="str">
        <f aca="false">IF($B$10=0,"",IFERROR(IF($B$4&gt;0,IF($L676="",1/0,$L676*$B$4),0)+IF($B$5&gt;0,IF($M676="",1/0,$M676*$B$5),0)+IF($B$6&gt;0,IF($N676="",1/0,$N676*$B$6),0),""))</f>
        <v/>
      </c>
      <c r="Q676" s="17"/>
      <c r="R676" s="18" t="str">
        <f aca="false">IF($P676="","",IF($Q676="Y",IFERROR(VLOOKUP($B676,$C$4:$D$13,2,FALSE()),0),0))</f>
        <v/>
      </c>
      <c r="S676" s="17" t="str">
        <f aca="false">IF($P676="","",ROUNDDOWN($P676*$R676,0))</f>
        <v/>
      </c>
      <c r="T676" s="17" t="str">
        <f aca="false">IF($P676="","",$P676-$S676)</f>
        <v/>
      </c>
      <c r="U676" s="17" t="str">
        <f aca="false">IF($T676="","",IF($B$10=0,"",$T676/$B$10))</f>
        <v/>
      </c>
      <c r="V676" s="17" t="str">
        <f aca="false">IF($P676="","",IF($B$10=0,"",$P676/$B$10))</f>
        <v/>
      </c>
      <c r="W676" s="19" t="n">
        <f aca="false">IF($T676="",1000000000000000,$T676)</f>
        <v/>
      </c>
      <c r="XFB676" s="6"/>
      <c r="XFC676" s="3"/>
    </row>
    <row r="677" s="6" collapsed="false" customFormat="true" customHeight="true" hidden="false" ht="28.6" outlineLevel="0">
      <c r="A677" s="16" t="str">
        <f aca="false">IF($T677="","",1+COUNTIF($W$15:$W$894,"&lt;"&amp;W677))</f>
        <v/>
      </c>
      <c r="B677" s="16" t="s">
        <v>12</v>
      </c>
      <c r="C677" s="16" t="s">
        <v>1339</v>
      </c>
      <c r="D677" s="20" t="s">
        <v>95</v>
      </c>
      <c r="E677" s="16" t="s">
        <v>26</v>
      </c>
      <c r="F677" s="16" t="s">
        <v>1340</v>
      </c>
      <c r="G677" s="17">
        <v>1798</v>
      </c>
      <c r="H677" s="17"/>
      <c r="I677" s="17"/>
      <c r="J677" s="17">
        <v>1798</v>
      </c>
      <c r="K677" s="17" t="n">
        <f aca="false">IF(AND(IFERROR(SEARCH("현대오일뱅크",$C677),0)&gt;0,IFERROR(SEARCH("직영",$C677),0)&gt;0),$B$13,0)</f>
        <v/>
      </c>
      <c r="L677" s="17" t="n">
        <f aca="false">IF($G677="","",$G677+$K677)</f>
        <v/>
      </c>
      <c r="M677" s="17" t="str">
        <f aca="false">IF($H677="","",$H677+$K677)</f>
        <v/>
      </c>
      <c r="N677" s="17" t="n">
        <f aca="false">IF($J677="","",$J677+$K677)</f>
        <v/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 t="str">
        <f aca="false">IF($B$10=0,"",IFERROR(IF($B$4&gt;0,IF($L677="",1/0,$L677*$B$4),0)+IF($B$5&gt;0,IF($M677="",1/0,$M677*$B$5),0)+IF($B$6&gt;0,IF($N677="",1/0,$N677*$B$6),0),""))</f>
        <v/>
      </c>
      <c r="Q677" s="17"/>
      <c r="R677" s="18" t="str">
        <f aca="false">IF($P677="","",IF($Q677="Y",IFERROR(VLOOKUP($B677,$C$4:$D$13,2,FALSE()),0),0))</f>
        <v/>
      </c>
      <c r="S677" s="17" t="str">
        <f aca="false">IF($P677="","",ROUNDDOWN($P677*$R677,0))</f>
        <v/>
      </c>
      <c r="T677" s="17" t="str">
        <f aca="false">IF($P677="","",$P677-$S677)</f>
        <v/>
      </c>
      <c r="U677" s="17" t="str">
        <f aca="false">IF($T677="","",IF($B$10=0,"",$T677/$B$10))</f>
        <v/>
      </c>
      <c r="V677" s="17" t="str">
        <f aca="false">IF($P677="","",IF($B$10=0,"",$P677/$B$10))</f>
        <v/>
      </c>
      <c r="W677" s="19" t="n">
        <f aca="false">IF($T677="",1000000000000000,$T677)</f>
        <v/>
      </c>
      <c r="XFC677" s="3"/>
    </row>
    <row r="678" s="21" collapsed="false" customFormat="true" customHeight="true" hidden="false" ht="28.5" outlineLevel="0">
      <c r="A678" s="16" t="str">
        <f aca="false">IF($T678="","",1+COUNTIF($W$15:$W$894,"&lt;"&amp;W678))</f>
        <v/>
      </c>
      <c r="B678" s="16" t="s">
        <v>10</v>
      </c>
      <c r="C678" s="16" t="s">
        <v>1341</v>
      </c>
      <c r="D678" s="16" t="s">
        <v>51</v>
      </c>
      <c r="E678" s="16" t="s">
        <v>26</v>
      </c>
      <c r="F678" s="16" t="s">
        <v>1342</v>
      </c>
      <c r="G678" s="17">
        <v>1798</v>
      </c>
      <c r="H678" s="17"/>
      <c r="I678" s="17"/>
      <c r="J678" s="17">
        <v>1798</v>
      </c>
      <c r="K678" s="17" t="n">
        <f aca="false">IF(AND(IFERROR(SEARCH("현대오일뱅크",$C678),0)&gt;0,IFERROR(SEARCH("직영",$C678),0)&gt;0),$B$13,0)</f>
        <v/>
      </c>
      <c r="L678" s="17" t="n">
        <f aca="false">IF($G678="","",$G678+$K678)</f>
        <v/>
      </c>
      <c r="M678" s="17" t="str">
        <f aca="false">IF($H678="","",$H678+$K678)</f>
        <v/>
      </c>
      <c r="N678" s="17" t="n">
        <f aca="false">IF($J678="","",$J678+$K678)</f>
        <v/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 t="str">
        <f aca="false">IF($B$10=0,"",IFERROR(IF($B$4&gt;0,IF($L678="",1/0,$L678*$B$4),0)+IF($B$5&gt;0,IF($M678="",1/0,$M678*$B$5),0)+IF($B$6&gt;0,IF($N678="",1/0,$N678*$B$6),0),""))</f>
        <v/>
      </c>
      <c r="Q678" s="17"/>
      <c r="R678" s="18" t="str">
        <f aca="false">IF($P678="","",IF($Q678="Y",IFERROR(VLOOKUP($B678,$C$4:$D$13,2,FALSE()),0),0))</f>
        <v/>
      </c>
      <c r="S678" s="17" t="str">
        <f aca="false">IF($P678="","",ROUNDDOWN($P678*$R678,0))</f>
        <v/>
      </c>
      <c r="T678" s="17" t="str">
        <f aca="false">IF($P678="","",$P678-$S678)</f>
        <v/>
      </c>
      <c r="U678" s="17" t="str">
        <f aca="false">IF($T678="","",IF($B$10=0,"",$T678/$B$10))</f>
        <v/>
      </c>
      <c r="V678" s="17" t="str">
        <f aca="false">IF($P678="","",IF($B$10=0,"",$P678/$B$10))</f>
        <v/>
      </c>
      <c r="W678" s="19" t="n">
        <f aca="false">IF($T678="",1000000000000000,$T678)</f>
        <v/>
      </c>
      <c r="XFB678" s="6"/>
      <c r="XFC678" s="3"/>
    </row>
    <row r="679" s="21" collapsed="false" customFormat="true" customHeight="true" hidden="false" ht="28.5" outlineLevel="0">
      <c r="A679" s="16" t="str">
        <f aca="false">IF($T679="","",1+COUNTIF($W$15:$W$894,"&lt;"&amp;W679))</f>
        <v/>
      </c>
      <c r="B679" s="16" t="s">
        <v>10</v>
      </c>
      <c r="C679" s="16" t="s">
        <v>1343</v>
      </c>
      <c r="D679" s="16" t="s">
        <v>95</v>
      </c>
      <c r="E679" s="16" t="s">
        <v>26</v>
      </c>
      <c r="F679" s="16" t="s">
        <v>1344</v>
      </c>
      <c r="G679" s="17">
        <v>1798</v>
      </c>
      <c r="H679" s="17"/>
      <c r="I679" s="17"/>
      <c r="J679" s="17">
        <v>1798</v>
      </c>
      <c r="K679" s="17" t="n">
        <f aca="false">IF(AND(IFERROR(SEARCH("현대오일뱅크",$C679),0)&gt;0,IFERROR(SEARCH("직영",$C679),0)&gt;0),$B$13,0)</f>
        <v/>
      </c>
      <c r="L679" s="17" t="n">
        <f aca="false">IF($G679="","",$G679+$K679)</f>
        <v/>
      </c>
      <c r="M679" s="17" t="str">
        <f aca="false">IF($H679="","",$H679+$K679)</f>
        <v/>
      </c>
      <c r="N679" s="17" t="n">
        <f aca="false">IF($J679="","",$J679+$K679)</f>
        <v/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 t="str">
        <f aca="false">IF($B$10=0,"",IFERROR(IF($B$4&gt;0,IF($L679="",1/0,$L679*$B$4),0)+IF($B$5&gt;0,IF($M679="",1/0,$M679*$B$5),0)+IF($B$6&gt;0,IF($N679="",1/0,$N679*$B$6),0),""))</f>
        <v/>
      </c>
      <c r="Q679" s="17"/>
      <c r="R679" s="18" t="str">
        <f aca="false">IF($P679="","",IF($Q679="Y",IFERROR(VLOOKUP($B679,$C$4:$D$13,2,FALSE()),0),0))</f>
        <v/>
      </c>
      <c r="S679" s="17" t="str">
        <f aca="false">IF($P679="","",ROUNDDOWN($P679*$R679,0))</f>
        <v/>
      </c>
      <c r="T679" s="17" t="str">
        <f aca="false">IF($P679="","",$P679-$S679)</f>
        <v/>
      </c>
      <c r="U679" s="17" t="str">
        <f aca="false">IF($T679="","",IF($B$10=0,"",$T679/$B$10))</f>
        <v/>
      </c>
      <c r="V679" s="17" t="str">
        <f aca="false">IF($P679="","",IF($B$10=0,"",$P679/$B$10))</f>
        <v/>
      </c>
      <c r="W679" s="19" t="n">
        <f aca="false">IF($T679="",1000000000000000,$T679)</f>
        <v/>
      </c>
      <c r="XFB679" s="6"/>
      <c r="XFC679" s="3"/>
    </row>
    <row r="680" s="21" collapsed="false" customFormat="true" customHeight="true" hidden="false" ht="28.5" outlineLevel="0">
      <c r="A680" s="16" t="str">
        <f aca="false">IF($T680="","",1+COUNTIF($W$15:$W$894,"&lt;"&amp;W680))</f>
        <v/>
      </c>
      <c r="B680" s="16" t="s">
        <v>10</v>
      </c>
      <c r="C680" s="16" t="s">
        <v>1345</v>
      </c>
      <c r="D680" s="16" t="s">
        <v>51</v>
      </c>
      <c r="E680" s="16" t="s">
        <v>26</v>
      </c>
      <c r="F680" s="16" t="s">
        <v>1346</v>
      </c>
      <c r="G680" s="17">
        <v>1798</v>
      </c>
      <c r="H680" s="17"/>
      <c r="I680" s="17"/>
      <c r="J680" s="17">
        <v>1798</v>
      </c>
      <c r="K680" s="17" t="n">
        <f aca="false">IF(AND(IFERROR(SEARCH("현대오일뱅크",$C680),0)&gt;0,IFERROR(SEARCH("직영",$C680),0)&gt;0),$B$13,0)</f>
        <v/>
      </c>
      <c r="L680" s="17" t="n">
        <f aca="false">IF($G680="","",$G680+$K680)</f>
        <v/>
      </c>
      <c r="M680" s="17" t="str">
        <f aca="false">IF($H680="","",$H680+$K680)</f>
        <v/>
      </c>
      <c r="N680" s="17" t="n">
        <f aca="false">IF($J680="","",$J680+$K680)</f>
        <v/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 t="str">
        <f aca="false">IF($B$10=0,"",IFERROR(IF($B$4&gt;0,IF($L680="",1/0,$L680*$B$4),0)+IF($B$5&gt;0,IF($M680="",1/0,$M680*$B$5),0)+IF($B$6&gt;0,IF($N680="",1/0,$N680*$B$6),0),""))</f>
        <v/>
      </c>
      <c r="Q680" s="17"/>
      <c r="R680" s="18" t="str">
        <f aca="false">IF($P680="","",IF($Q680="Y",IFERROR(VLOOKUP($B680,$C$4:$D$13,2,FALSE()),0),0))</f>
        <v/>
      </c>
      <c r="S680" s="17" t="str">
        <f aca="false">IF($P680="","",ROUNDDOWN($P680*$R680,0))</f>
        <v/>
      </c>
      <c r="T680" s="17" t="str">
        <f aca="false">IF($P680="","",$P680-$S680)</f>
        <v/>
      </c>
      <c r="U680" s="17" t="str">
        <f aca="false">IF($T680="","",IF($B$10=0,"",$T680/$B$10))</f>
        <v/>
      </c>
      <c r="V680" s="17" t="str">
        <f aca="false">IF($P680="","",IF($B$10=0,"",$P680/$B$10))</f>
        <v/>
      </c>
      <c r="W680" s="19" t="n">
        <f aca="false">IF($T680="",1000000000000000,$T680)</f>
        <v/>
      </c>
      <c r="XFB680" s="6"/>
      <c r="XFC680" s="3"/>
    </row>
    <row r="681" s="21" collapsed="false" customFormat="true" customHeight="true" hidden="false" ht="28.5" outlineLevel="0">
      <c r="A681" s="16" t="str">
        <f aca="false">IF($T681="","",1+COUNTIF($W$15:$W$894,"&lt;"&amp;W681))</f>
        <v/>
      </c>
      <c r="B681" s="16" t="s">
        <v>10</v>
      </c>
      <c r="C681" s="16" t="s">
        <v>1347</v>
      </c>
      <c r="D681" s="16" t="s">
        <v>56</v>
      </c>
      <c r="E681" s="16" t="s">
        <v>26</v>
      </c>
      <c r="F681" s="16" t="s">
        <v>1348</v>
      </c>
      <c r="G681" s="17">
        <v>1798</v>
      </c>
      <c r="H681" s="17"/>
      <c r="I681" s="17"/>
      <c r="J681" s="17">
        <v>1798</v>
      </c>
      <c r="K681" s="17" t="n">
        <f aca="false">IF(AND(IFERROR(SEARCH("현대오일뱅크",$C681),0)&gt;0,IFERROR(SEARCH("직영",$C681),0)&gt;0),$B$13,0)</f>
        <v/>
      </c>
      <c r="L681" s="17" t="n">
        <f aca="false">IF($G681="","",$G681+$K681)</f>
        <v/>
      </c>
      <c r="M681" s="17" t="str">
        <f aca="false">IF($H681="","",$H681+$K681)</f>
        <v/>
      </c>
      <c r="N681" s="17" t="n">
        <f aca="false">IF($J681="","",$J681+$K681)</f>
        <v/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 t="str">
        <f aca="false">IF($B$10=0,"",IFERROR(IF($B$4&gt;0,IF($L681="",1/0,$L681*$B$4),0)+IF($B$5&gt;0,IF($M681="",1/0,$M681*$B$5),0)+IF($B$6&gt;0,IF($N681="",1/0,$N681*$B$6),0),""))</f>
        <v/>
      </c>
      <c r="Q681" s="17"/>
      <c r="R681" s="18" t="str">
        <f aca="false">IF($P681="","",IF($Q681="Y",IFERROR(VLOOKUP($B681,$C$4:$D$13,2,FALSE()),0),0))</f>
        <v/>
      </c>
      <c r="S681" s="17" t="str">
        <f aca="false">IF($P681="","",ROUNDDOWN($P681*$R681,0))</f>
        <v/>
      </c>
      <c r="T681" s="17" t="str">
        <f aca="false">IF($P681="","",$P681-$S681)</f>
        <v/>
      </c>
      <c r="U681" s="17" t="str">
        <f aca="false">IF($T681="","",IF($B$10=0,"",$T681/$B$10))</f>
        <v/>
      </c>
      <c r="V681" s="17" t="str">
        <f aca="false">IF($P681="","",IF($B$10=0,"",$P681/$B$10))</f>
        <v/>
      </c>
      <c r="W681" s="19" t="n">
        <f aca="false">IF($T681="",1000000000000000,$T681)</f>
        <v/>
      </c>
      <c r="XFB681" s="6"/>
      <c r="XFC681" s="3"/>
    </row>
    <row r="682" s="21" collapsed="false" customFormat="true" customHeight="true" hidden="false" ht="28.5" outlineLevel="0">
      <c r="A682" s="16" t="str">
        <f aca="false">IF($T682="","",1+COUNTIF($W$15:$W$894,"&lt;"&amp;W682))</f>
        <v/>
      </c>
      <c r="B682" s="16" t="s">
        <v>10</v>
      </c>
      <c r="C682" s="16" t="s">
        <v>1349</v>
      </c>
      <c r="D682" s="16" t="s">
        <v>45</v>
      </c>
      <c r="E682" s="16" t="s">
        <v>26</v>
      </c>
      <c r="F682" s="16" t="s">
        <v>1350</v>
      </c>
      <c r="G682" s="17">
        <v>1798</v>
      </c>
      <c r="H682" s="17"/>
      <c r="I682" s="17"/>
      <c r="J682" s="17">
        <v>1798</v>
      </c>
      <c r="K682" s="17" t="n">
        <f aca="false">IF(AND(IFERROR(SEARCH("현대오일뱅크",$C682),0)&gt;0,IFERROR(SEARCH("직영",$C682),0)&gt;0),$B$13,0)</f>
        <v/>
      </c>
      <c r="L682" s="17" t="n">
        <f aca="false">IF($G682="","",$G682+$K682)</f>
        <v/>
      </c>
      <c r="M682" s="17" t="str">
        <f aca="false">IF($H682="","",$H682+$K682)</f>
        <v/>
      </c>
      <c r="N682" s="17" t="n">
        <f aca="false">IF($J682="","",$J682+$K682)</f>
        <v/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 t="str">
        <f aca="false">IF($B$10=0,"",IFERROR(IF($B$4&gt;0,IF($L682="",1/0,$L682*$B$4),0)+IF($B$5&gt;0,IF($M682="",1/0,$M682*$B$5),0)+IF($B$6&gt;0,IF($N682="",1/0,$N682*$B$6),0),""))</f>
        <v/>
      </c>
      <c r="Q682" s="17"/>
      <c r="R682" s="18" t="str">
        <f aca="false">IF($P682="","",IF($Q682="Y",IFERROR(VLOOKUP($B682,$C$4:$D$13,2,FALSE()),0),0))</f>
        <v/>
      </c>
      <c r="S682" s="17" t="str">
        <f aca="false">IF($P682="","",ROUNDDOWN($P682*$R682,0))</f>
        <v/>
      </c>
      <c r="T682" s="17" t="str">
        <f aca="false">IF($P682="","",$P682-$S682)</f>
        <v/>
      </c>
      <c r="U682" s="17" t="str">
        <f aca="false">IF($T682="","",IF($B$10=0,"",$T682/$B$10))</f>
        <v/>
      </c>
      <c r="V682" s="17" t="str">
        <f aca="false">IF($P682="","",IF($B$10=0,"",$P682/$B$10))</f>
        <v/>
      </c>
      <c r="W682" s="19" t="n">
        <f aca="false">IF($T682="",1000000000000000,$T682)</f>
        <v/>
      </c>
      <c r="XFB682" s="6"/>
      <c r="XFC682" s="3"/>
    </row>
    <row r="683" s="21" collapsed="false" customFormat="true" customHeight="true" hidden="false" ht="28.5" outlineLevel="0">
      <c r="A683" s="16" t="str">
        <f aca="false">IF($T683="","",1+COUNTIF($W$15:$W$894,"&lt;"&amp;W683))</f>
        <v/>
      </c>
      <c r="B683" s="16" t="s">
        <v>18</v>
      </c>
      <c r="C683" s="16" t="s">
        <v>1351</v>
      </c>
      <c r="D683" s="16" t="s">
        <v>95</v>
      </c>
      <c r="E683" s="16" t="s">
        <v>63</v>
      </c>
      <c r="F683" s="16" t="s">
        <v>1352</v>
      </c>
      <c r="G683" s="17">
        <v>1798</v>
      </c>
      <c r="H683" s="17"/>
      <c r="I683" s="17"/>
      <c r="J683" s="17">
        <v>1799</v>
      </c>
      <c r="K683" s="17" t="n">
        <f aca="false">IF(AND(IFERROR(SEARCH("현대오일뱅크",$C683),0)&gt;0,IFERROR(SEARCH("직영",$C683),0)&gt;0),$B$13,0)</f>
        <v/>
      </c>
      <c r="L683" s="17" t="n">
        <f aca="false">IF($G683="","",$G683+$K683)</f>
        <v/>
      </c>
      <c r="M683" s="17" t="str">
        <f aca="false">IF($H683="","",$H683+$K683)</f>
        <v/>
      </c>
      <c r="N683" s="17" t="n">
        <f aca="false">IF($J683="","",$J683+$K683)</f>
        <v/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 t="str">
        <f aca="false">IF($B$10=0,"",IFERROR(IF($B$4&gt;0,IF($L683="",1/0,$L683*$B$4),0)+IF($B$5&gt;0,IF($M683="",1/0,$M683*$B$5),0)+IF($B$6&gt;0,IF($N683="",1/0,$N683*$B$6),0),""))</f>
        <v/>
      </c>
      <c r="Q683" s="17"/>
      <c r="R683" s="18" t="str">
        <f aca="false">IF($P683="","",IF($Q683="Y",IFERROR(VLOOKUP($B683,$C$4:$D$13,2,FALSE()),0),0))</f>
        <v/>
      </c>
      <c r="S683" s="17" t="str">
        <f aca="false">IF($P683="","",ROUNDDOWN($P683*$R683,0))</f>
        <v/>
      </c>
      <c r="T683" s="17" t="str">
        <f aca="false">IF($P683="","",$P683-$S683)</f>
        <v/>
      </c>
      <c r="U683" s="17" t="str">
        <f aca="false">IF($T683="","",IF($B$10=0,"",$T683/$B$10))</f>
        <v/>
      </c>
      <c r="V683" s="17" t="str">
        <f aca="false">IF($P683="","",IF($B$10=0,"",$P683/$B$10))</f>
        <v/>
      </c>
      <c r="W683" s="19" t="n">
        <f aca="false">IF($T683="",1000000000000000,$T683)</f>
        <v/>
      </c>
      <c r="XFB683" s="6"/>
      <c r="XFC683" s="3"/>
    </row>
    <row r="684" s="21" collapsed="false" customFormat="true" customHeight="true" hidden="false" ht="28.5" outlineLevel="0">
      <c r="A684" s="16" t="str">
        <f aca="false">IF($T684="","",1+COUNTIF($W$15:$W$894,"&lt;"&amp;W684))</f>
        <v/>
      </c>
      <c r="B684" s="16" t="s">
        <v>10</v>
      </c>
      <c r="C684" s="16" t="s">
        <v>1357</v>
      </c>
      <c r="D684" s="16" t="s">
        <v>45</v>
      </c>
      <c r="E684" s="16" t="s">
        <v>26</v>
      </c>
      <c r="F684" s="16" t="s">
        <v>1358</v>
      </c>
      <c r="G684" s="17">
        <v>1799</v>
      </c>
      <c r="H684" s="17"/>
      <c r="I684" s="17"/>
      <c r="J684" s="17">
        <v>1745</v>
      </c>
      <c r="K684" s="17" t="n">
        <f aca="false">IF(AND(IFERROR(SEARCH("현대오일뱅크",$C684),0)&gt;0,IFERROR(SEARCH("직영",$C684),0)&gt;0),$B$13,0)</f>
        <v/>
      </c>
      <c r="L684" s="17" t="n">
        <f aca="false">IF($G684="","",$G684+$K684)</f>
        <v/>
      </c>
      <c r="M684" s="17" t="str">
        <f aca="false">IF($H684="","",$H684+$K684)</f>
        <v/>
      </c>
      <c r="N684" s="17" t="n">
        <f aca="false">IF($J684="","",$J684+$K684)</f>
        <v/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 t="str">
        <f aca="false">IF($B$10=0,"",IFERROR(IF($B$4&gt;0,IF($L684="",1/0,$L684*$B$4),0)+IF($B$5&gt;0,IF($M684="",1/0,$M684*$B$5),0)+IF($B$6&gt;0,IF($N684="",1/0,$N684*$B$6),0),""))</f>
        <v/>
      </c>
      <c r="Q684" s="17"/>
      <c r="R684" s="18" t="str">
        <f aca="false">IF($P684="","",IF($Q684="Y",IFERROR(VLOOKUP($B684,$C$4:$D$13,2,FALSE()),0),0))</f>
        <v/>
      </c>
      <c r="S684" s="17" t="str">
        <f aca="false">IF($P684="","",ROUNDDOWN($P684*$R684,0))</f>
        <v/>
      </c>
      <c r="T684" s="17" t="str">
        <f aca="false">IF($P684="","",$P684-$S684)</f>
        <v/>
      </c>
      <c r="U684" s="17" t="str">
        <f aca="false">IF($T684="","",IF($B$10=0,"",$T684/$B$10))</f>
        <v/>
      </c>
      <c r="V684" s="17" t="str">
        <f aca="false">IF($P684="","",IF($B$10=0,"",$P684/$B$10))</f>
        <v/>
      </c>
      <c r="W684" s="19" t="n">
        <f aca="false">IF($T684="",1000000000000000,$T684)</f>
        <v/>
      </c>
      <c r="XFB684" s="6"/>
      <c r="XFC684" s="3"/>
    </row>
    <row r="685" s="21" collapsed="false" customFormat="true" customHeight="true" hidden="false" ht="28.5" outlineLevel="0">
      <c r="A685" s="16" t="str">
        <f aca="false">IF($T685="","",1+COUNTIF($W$15:$W$894,"&lt;"&amp;W685))</f>
        <v/>
      </c>
      <c r="B685" s="16" t="s">
        <v>6</v>
      </c>
      <c r="C685" s="16" t="s">
        <v>1087</v>
      </c>
      <c r="D685" s="16" t="s">
        <v>45</v>
      </c>
      <c r="E685" s="16" t="s">
        <v>26</v>
      </c>
      <c r="F685" s="16" t="s">
        <v>1088</v>
      </c>
      <c r="G685" s="17">
        <v>1799</v>
      </c>
      <c r="H685" s="17"/>
      <c r="I685" s="17"/>
      <c r="J685" s="17">
        <v>1779</v>
      </c>
      <c r="K685" s="17" t="n">
        <f aca="false">IF(AND(IFERROR(SEARCH("현대오일뱅크",$C685),0)&gt;0,IFERROR(SEARCH("직영",$C685),0)&gt;0),$B$13,0)</f>
        <v/>
      </c>
      <c r="L685" s="17" t="n">
        <f aca="false">IF($G685="","",$G685+$K685)</f>
        <v/>
      </c>
      <c r="M685" s="17" t="str">
        <f aca="false">IF($H685="","",$H685+$K685)</f>
        <v/>
      </c>
      <c r="N685" s="17" t="n">
        <f aca="false">IF($J685="","",$J685+$K685)</f>
        <v/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 t="str">
        <f aca="false">IF($B$10=0,"",IFERROR(IF($B$4&gt;0,IF($L685="",1/0,$L685*$B$4),0)+IF($B$5&gt;0,IF($M685="",1/0,$M685*$B$5),0)+IF($B$6&gt;0,IF($N685="",1/0,$N685*$B$6),0),""))</f>
        <v/>
      </c>
      <c r="Q685" s="17"/>
      <c r="R685" s="18" t="str">
        <f aca="false">IF($P685="","",IF($Q685="Y",IFERROR(VLOOKUP($B685,$C$4:$D$13,2,FALSE()),0),0))</f>
        <v/>
      </c>
      <c r="S685" s="17" t="str">
        <f aca="false">IF($P685="","",ROUNDDOWN($P685*$R685,0))</f>
        <v/>
      </c>
      <c r="T685" s="17" t="str">
        <f aca="false">IF($P685="","",$P685-$S685)</f>
        <v/>
      </c>
      <c r="U685" s="17" t="str">
        <f aca="false">IF($T685="","",IF($B$10=0,"",$T685/$B$10))</f>
        <v/>
      </c>
      <c r="V685" s="17" t="str">
        <f aca="false">IF($P685="","",IF($B$10=0,"",$P685/$B$10))</f>
        <v/>
      </c>
      <c r="W685" s="19" t="n">
        <f aca="false">IF($T685="",1000000000000000,$T685)</f>
        <v/>
      </c>
      <c r="XFB685" s="6"/>
      <c r="XFC685" s="3"/>
    </row>
    <row r="686" s="21" collapsed="false" customFormat="true" customHeight="true" hidden="false" ht="28.5" outlineLevel="0">
      <c r="A686" s="16" t="str">
        <f aca="false">IF($T686="","",1+COUNTIF($W$15:$W$894,"&lt;"&amp;W686))</f>
        <v/>
      </c>
      <c r="B686" s="16" t="s">
        <v>14</v>
      </c>
      <c r="C686" s="16" t="s">
        <v>1363</v>
      </c>
      <c r="D686" s="16" t="s">
        <v>95</v>
      </c>
      <c r="E686" s="16" t="s">
        <v>63</v>
      </c>
      <c r="F686" s="16" t="s">
        <v>1364</v>
      </c>
      <c r="G686" s="17">
        <v>1799</v>
      </c>
      <c r="H686" s="17"/>
      <c r="I686" s="17"/>
      <c r="J686" s="17">
        <v>1783</v>
      </c>
      <c r="K686" s="17" t="n">
        <f aca="false">IF(AND(IFERROR(SEARCH("현대오일뱅크",$C686),0)&gt;0,IFERROR(SEARCH("직영",$C686),0)&gt;0),$B$13,0)</f>
        <v/>
      </c>
      <c r="L686" s="17" t="n">
        <f aca="false">IF($G686="","",$G686+$K686)</f>
        <v/>
      </c>
      <c r="M686" s="17" t="str">
        <f aca="false">IF($H686="","",$H686+$K686)</f>
        <v/>
      </c>
      <c r="N686" s="17" t="n">
        <f aca="false">IF($J686="","",$J686+$K686)</f>
        <v/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 t="str">
        <f aca="false">IF($B$10=0,"",IFERROR(IF($B$4&gt;0,IF($L686="",1/0,$L686*$B$4),0)+IF($B$5&gt;0,IF($M686="",1/0,$M686*$B$5),0)+IF($B$6&gt;0,IF($N686="",1/0,$N686*$B$6),0),""))</f>
        <v/>
      </c>
      <c r="Q686" s="17"/>
      <c r="R686" s="18" t="str">
        <f aca="false">IF($P686="","",IF($Q686="Y",IFERROR(VLOOKUP($B686,$C$4:$D$13,2,FALSE()),0),0))</f>
        <v/>
      </c>
      <c r="S686" s="17" t="str">
        <f aca="false">IF($P686="","",ROUNDDOWN($P686*$R686,0))</f>
        <v/>
      </c>
      <c r="T686" s="17" t="str">
        <f aca="false">IF($P686="","",$P686-$S686)</f>
        <v/>
      </c>
      <c r="U686" s="17" t="str">
        <f aca="false">IF($T686="","",IF($B$10=0,"",$T686/$B$10))</f>
        <v/>
      </c>
      <c r="V686" s="17" t="str">
        <f aca="false">IF($P686="","",IF($B$10=0,"",$P686/$B$10))</f>
        <v/>
      </c>
      <c r="W686" s="19" t="n">
        <f aca="false">IF($T686="",1000000000000000,$T686)</f>
        <v/>
      </c>
      <c r="XFB686" s="6"/>
      <c r="XFC686" s="3"/>
    </row>
    <row r="687" s="6" collapsed="false" customFormat="true" customHeight="true" hidden="false" ht="28.6" outlineLevel="0">
      <c r="A687" s="16" t="str">
        <f aca="false">IF($T687="","",1+COUNTIF($W$15:$W$894,"&lt;"&amp;W687))</f>
        <v/>
      </c>
      <c r="B687" s="16" t="s">
        <v>18</v>
      </c>
      <c r="C687" s="16" t="s">
        <v>1365</v>
      </c>
      <c r="D687" s="16" t="s">
        <v>95</v>
      </c>
      <c r="E687" s="16" t="s">
        <v>63</v>
      </c>
      <c r="F687" s="16" t="s">
        <v>1366</v>
      </c>
      <c r="G687" s="17">
        <v>1799</v>
      </c>
      <c r="H687" s="17"/>
      <c r="I687" s="17"/>
      <c r="J687" s="17">
        <v>1795</v>
      </c>
      <c r="K687" s="17" t="n">
        <f aca="false">IF(AND(IFERROR(SEARCH("현대오일뱅크",$C687),0)&gt;0,IFERROR(SEARCH("직영",$C687),0)&gt;0),$B$13,0)</f>
        <v/>
      </c>
      <c r="L687" s="17" t="n">
        <f aca="false">IF($G687="","",$G687+$K687)</f>
        <v/>
      </c>
      <c r="M687" s="17" t="str">
        <f aca="false">IF($H687="","",$H687+$K687)</f>
        <v/>
      </c>
      <c r="N687" s="17" t="n">
        <f aca="false">IF($J687="","",$J687+$K687)</f>
        <v/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 t="str">
        <f aca="false">IF($B$10=0,"",IFERROR(IF($B$4&gt;0,IF($L687="",1/0,$L687*$B$4),0)+IF($B$5&gt;0,IF($M687="",1/0,$M687*$B$5),0)+IF($B$6&gt;0,IF($N687="",1/0,$N687*$B$6),0),""))</f>
        <v/>
      </c>
      <c r="Q687" s="17"/>
      <c r="R687" s="18" t="str">
        <f aca="false">IF($P687="","",IF($Q687="Y",IFERROR(VLOOKUP($B687,$C$4:$D$13,2,FALSE()),0),0))</f>
        <v/>
      </c>
      <c r="S687" s="17" t="str">
        <f aca="false">IF($P687="","",ROUNDDOWN($P687*$R687,0))</f>
        <v/>
      </c>
      <c r="T687" s="17" t="str">
        <f aca="false">IF($P687="","",$P687-$S687)</f>
        <v/>
      </c>
      <c r="U687" s="17" t="str">
        <f aca="false">IF($T687="","",IF($B$10=0,"",$T687/$B$10))</f>
        <v/>
      </c>
      <c r="V687" s="17" t="str">
        <f aca="false">IF($P687="","",IF($B$10=0,"",$P687/$B$10))</f>
        <v/>
      </c>
      <c r="W687" s="19" t="n">
        <f aca="false">IF($T687="",1000000000000000,$T687)</f>
        <v/>
      </c>
      <c r="XFC687" s="3"/>
    </row>
    <row r="688" s="6" collapsed="false" customFormat="true" customHeight="true" hidden="false" ht="28.6" outlineLevel="0">
      <c r="A688" s="16" t="str">
        <f aca="false">IF($T688="","",1+COUNTIF($W$15:$W$894,"&lt;"&amp;W688))</f>
        <v/>
      </c>
      <c r="B688" s="16" t="s">
        <v>12</v>
      </c>
      <c r="C688" s="16" t="s">
        <v>1367</v>
      </c>
      <c r="D688" s="20" t="s">
        <v>95</v>
      </c>
      <c r="E688" s="16" t="s">
        <v>26</v>
      </c>
      <c r="F688" s="16" t="s">
        <v>1368</v>
      </c>
      <c r="G688" s="17">
        <v>1799</v>
      </c>
      <c r="H688" s="17"/>
      <c r="I688" s="17"/>
      <c r="J688" s="17">
        <v>1795</v>
      </c>
      <c r="K688" s="17" t="n">
        <f aca="false">IF(AND(IFERROR(SEARCH("현대오일뱅크",$C688),0)&gt;0,IFERROR(SEARCH("직영",$C688),0)&gt;0),$B$13,0)</f>
        <v/>
      </c>
      <c r="L688" s="17" t="n">
        <f aca="false">IF($G688="","",$G688+$K688)</f>
        <v/>
      </c>
      <c r="M688" s="17" t="str">
        <f aca="false">IF($H688="","",$H688+$K688)</f>
        <v/>
      </c>
      <c r="N688" s="17" t="n">
        <f aca="false">IF($J688="","",$J688+$K688)</f>
        <v/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 t="str">
        <f aca="false">IF($B$10=0,"",IFERROR(IF($B$4&gt;0,IF($L688="",1/0,$L688*$B$4),0)+IF($B$5&gt;0,IF($M688="",1/0,$M688*$B$5),0)+IF($B$6&gt;0,IF($N688="",1/0,$N688*$B$6),0),""))</f>
        <v/>
      </c>
      <c r="Q688" s="17"/>
      <c r="R688" s="18" t="str">
        <f aca="false">IF($P688="","",IF($Q688="Y",IFERROR(VLOOKUP($B688,$C$4:$D$13,2,FALSE()),0),0))</f>
        <v/>
      </c>
      <c r="S688" s="17" t="str">
        <f aca="false">IF($P688="","",ROUNDDOWN($P688*$R688,0))</f>
        <v/>
      </c>
      <c r="T688" s="17" t="str">
        <f aca="false">IF($P688="","",$P688-$S688)</f>
        <v/>
      </c>
      <c r="U688" s="17" t="str">
        <f aca="false">IF($T688="","",IF($B$10=0,"",$T688/$B$10))</f>
        <v/>
      </c>
      <c r="V688" s="17" t="str">
        <f aca="false">IF($P688="","",IF($B$10=0,"",$P688/$B$10))</f>
        <v/>
      </c>
      <c r="W688" s="19" t="n">
        <f aca="false">IF($T688="",1000000000000000,$T688)</f>
        <v/>
      </c>
      <c r="XFC688" s="3"/>
    </row>
    <row r="689" s="21" collapsed="false" customFormat="true" customHeight="true" hidden="false" ht="28.5" outlineLevel="0">
      <c r="A689" s="16" t="str">
        <f aca="false">IF($T689="","",1+COUNTIF($W$15:$W$894,"&lt;"&amp;W689))</f>
        <v/>
      </c>
      <c r="B689" s="16" t="s">
        <v>14</v>
      </c>
      <c r="C689" s="16" t="s">
        <v>1369</v>
      </c>
      <c r="D689" s="20" t="s">
        <v>86</v>
      </c>
      <c r="E689" s="16" t="s">
        <v>26</v>
      </c>
      <c r="F689" s="16" t="s">
        <v>1370</v>
      </c>
      <c r="G689" s="17">
        <v>1799</v>
      </c>
      <c r="H689" s="17"/>
      <c r="I689" s="17"/>
      <c r="J689" s="17">
        <v>1797</v>
      </c>
      <c r="K689" s="17" t="n">
        <f aca="false">IF(AND(IFERROR(SEARCH("현대오일뱅크",$C689),0)&gt;0,IFERROR(SEARCH("직영",$C689),0)&gt;0),$B$13,0)</f>
        <v/>
      </c>
      <c r="L689" s="17" t="n">
        <f aca="false">IF($G689="","",$G689+$K689)</f>
        <v/>
      </c>
      <c r="M689" s="17" t="str">
        <f aca="false">IF($H689="","",$H689+$K689)</f>
        <v/>
      </c>
      <c r="N689" s="17" t="n">
        <f aca="false">IF($J689="","",$J689+$K689)</f>
        <v/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 t="str">
        <f aca="false">IF($B$10=0,"",IFERROR(IF($B$4&gt;0,IF($L689="",1/0,$L689*$B$4),0)+IF($B$5&gt;0,IF($M689="",1/0,$M689*$B$5),0)+IF($B$6&gt;0,IF($N689="",1/0,$N689*$B$6),0),""))</f>
        <v/>
      </c>
      <c r="Q689" s="17"/>
      <c r="R689" s="18" t="str">
        <f aca="false">IF($P689="","",IF($Q689="Y",IFERROR(VLOOKUP($B689,$C$4:$D$13,2,FALSE()),0),0))</f>
        <v/>
      </c>
      <c r="S689" s="17" t="str">
        <f aca="false">IF($P689="","",ROUNDDOWN($P689*$R689,0))</f>
        <v/>
      </c>
      <c r="T689" s="17" t="str">
        <f aca="false">IF($P689="","",$P689-$S689)</f>
        <v/>
      </c>
      <c r="U689" s="17" t="str">
        <f aca="false">IF($T689="","",IF($B$10=0,"",$T689/$B$10))</f>
        <v/>
      </c>
      <c r="V689" s="17" t="str">
        <f aca="false">IF($P689="","",IF($B$10=0,"",$P689/$B$10))</f>
        <v/>
      </c>
      <c r="W689" s="19" t="n">
        <f aca="false">IF($T689="",1000000000000000,$T689)</f>
        <v/>
      </c>
      <c r="XFB689" s="6"/>
      <c r="XFC689" s="3"/>
    </row>
    <row r="690" s="21" collapsed="false" customFormat="true" customHeight="true" hidden="false" ht="28.5" outlineLevel="0">
      <c r="A690" s="16" t="str">
        <f aca="false">IF($T690="","",1+COUNTIF($W$15:$W$894,"&lt;"&amp;W690))</f>
        <v/>
      </c>
      <c r="B690" s="16" t="s">
        <v>10</v>
      </c>
      <c r="C690" s="16" t="s">
        <v>1147</v>
      </c>
      <c r="D690" s="20" t="s">
        <v>86</v>
      </c>
      <c r="E690" s="16" t="s">
        <v>26</v>
      </c>
      <c r="F690" s="16" t="s">
        <v>1148</v>
      </c>
      <c r="G690" s="17">
        <v>1799</v>
      </c>
      <c r="H690" s="17"/>
      <c r="I690" s="17"/>
      <c r="J690" s="17">
        <v>1798</v>
      </c>
      <c r="K690" s="17" t="n">
        <f aca="false">IF(AND(IFERROR(SEARCH("현대오일뱅크",$C690),0)&gt;0,IFERROR(SEARCH("직영",$C690),0)&gt;0),$B$13,0)</f>
        <v/>
      </c>
      <c r="L690" s="17" t="n">
        <f aca="false">IF($G690="","",$G690+$K690)</f>
        <v/>
      </c>
      <c r="M690" s="17" t="str">
        <f aca="false">IF($H690="","",$H690+$K690)</f>
        <v/>
      </c>
      <c r="N690" s="17" t="n">
        <f aca="false">IF($J690="","",$J690+$K690)</f>
        <v/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 t="str">
        <f aca="false">IF($B$10=0,"",IFERROR(IF($B$4&gt;0,IF($L690="",1/0,$L690*$B$4),0)+IF($B$5&gt;0,IF($M690="",1/0,$M690*$B$5),0)+IF($B$6&gt;0,IF($N690="",1/0,$N690*$B$6),0),""))</f>
        <v/>
      </c>
      <c r="Q690" s="17"/>
      <c r="R690" s="18" t="str">
        <f aca="false">IF($P690="","",IF($Q690="Y",IFERROR(VLOOKUP($B690,$C$4:$D$13,2,FALSE()),0),0))</f>
        <v/>
      </c>
      <c r="S690" s="17" t="str">
        <f aca="false">IF($P690="","",ROUNDDOWN($P690*$R690,0))</f>
        <v/>
      </c>
      <c r="T690" s="17" t="str">
        <f aca="false">IF($P690="","",$P690-$S690)</f>
        <v/>
      </c>
      <c r="U690" s="17" t="str">
        <f aca="false">IF($T690="","",IF($B$10=0,"",$T690/$B$10))</f>
        <v/>
      </c>
      <c r="V690" s="17" t="str">
        <f aca="false">IF($P690="","",IF($B$10=0,"",$P690/$B$10))</f>
        <v/>
      </c>
      <c r="W690" s="19" t="n">
        <f aca="false">IF($T690="",1000000000000000,$T690)</f>
        <v/>
      </c>
      <c r="XFB690" s="6"/>
      <c r="XFC690" s="3"/>
    </row>
    <row r="691" s="21" collapsed="false" customFormat="true" customHeight="true" hidden="false" ht="28.5" outlineLevel="0">
      <c r="A691" s="16" t="str">
        <f aca="false">IF($T691="","",1+COUNTIF($W$15:$W$894,"&lt;"&amp;W691))</f>
        <v/>
      </c>
      <c r="B691" s="16" t="s">
        <v>10</v>
      </c>
      <c r="C691" s="16" t="s">
        <v>1371</v>
      </c>
      <c r="D691" s="16" t="s">
        <v>56</v>
      </c>
      <c r="E691" s="16" t="s">
        <v>63</v>
      </c>
      <c r="F691" s="16" t="s">
        <v>1372</v>
      </c>
      <c r="G691" s="17">
        <v>1799</v>
      </c>
      <c r="H691" s="17"/>
      <c r="I691" s="17"/>
      <c r="J691" s="17">
        <v>1798</v>
      </c>
      <c r="K691" s="17" t="n">
        <f aca="false">IF(AND(IFERROR(SEARCH("현대오일뱅크",$C691),0)&gt;0,IFERROR(SEARCH("직영",$C691),0)&gt;0),$B$13,0)</f>
        <v/>
      </c>
      <c r="L691" s="17" t="n">
        <f aca="false">IF($G691="","",$G691+$K691)</f>
        <v/>
      </c>
      <c r="M691" s="17" t="str">
        <f aca="false">IF($H691="","",$H691+$K691)</f>
        <v/>
      </c>
      <c r="N691" s="17" t="n">
        <f aca="false">IF($J691="","",$J691+$K691)</f>
        <v/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 t="str">
        <f aca="false">IF($B$10=0,"",IFERROR(IF($B$4&gt;0,IF($L691="",1/0,$L691*$B$4),0)+IF($B$5&gt;0,IF($M691="",1/0,$M691*$B$5),0)+IF($B$6&gt;0,IF($N691="",1/0,$N691*$B$6),0),""))</f>
        <v/>
      </c>
      <c r="Q691" s="17"/>
      <c r="R691" s="18" t="str">
        <f aca="false">IF($P691="","",IF($Q691="Y",IFERROR(VLOOKUP($B691,$C$4:$D$13,2,FALSE()),0),0))</f>
        <v/>
      </c>
      <c r="S691" s="17" t="str">
        <f aca="false">IF($P691="","",ROUNDDOWN($P691*$R691,0))</f>
        <v/>
      </c>
      <c r="T691" s="17" t="str">
        <f aca="false">IF($P691="","",$P691-$S691)</f>
        <v/>
      </c>
      <c r="U691" s="17" t="str">
        <f aca="false">IF($T691="","",IF($B$10=0,"",$T691/$B$10))</f>
        <v/>
      </c>
      <c r="V691" s="17" t="str">
        <f aca="false">IF($P691="","",IF($B$10=0,"",$P691/$B$10))</f>
        <v/>
      </c>
      <c r="W691" s="19" t="n">
        <f aca="false">IF($T691="",1000000000000000,$T691)</f>
        <v/>
      </c>
      <c r="XFB691" s="6"/>
      <c r="XFC691" s="3"/>
    </row>
    <row r="692" s="21" collapsed="false" customFormat="true" customHeight="true" hidden="false" ht="28.5" outlineLevel="0">
      <c r="A692" s="16" t="str">
        <f aca="false">IF($T692="","",1+COUNTIF($W$15:$W$894,"&lt;"&amp;W692))</f>
        <v/>
      </c>
      <c r="B692" s="16" t="s">
        <v>10</v>
      </c>
      <c r="C692" s="16" t="s">
        <v>1373</v>
      </c>
      <c r="D692" s="16" t="s">
        <v>51</v>
      </c>
      <c r="E692" s="16" t="s">
        <v>26</v>
      </c>
      <c r="F692" s="16" t="s">
        <v>1374</v>
      </c>
      <c r="G692" s="17">
        <v>1799</v>
      </c>
      <c r="H692" s="17"/>
      <c r="I692" s="17"/>
      <c r="J692" s="17">
        <v>1798</v>
      </c>
      <c r="K692" s="17" t="n">
        <f aca="false">IF(AND(IFERROR(SEARCH("현대오일뱅크",$C692),0)&gt;0,IFERROR(SEARCH("직영",$C692),0)&gt;0),$B$13,0)</f>
        <v/>
      </c>
      <c r="L692" s="17" t="n">
        <f aca="false">IF($G692="","",$G692+$K692)</f>
        <v/>
      </c>
      <c r="M692" s="17" t="str">
        <f aca="false">IF($H692="","",$H692+$K692)</f>
        <v/>
      </c>
      <c r="N692" s="17" t="n">
        <f aca="false">IF($J692="","",$J692+$K692)</f>
        <v/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 t="str">
        <f aca="false">IF($B$10=0,"",IFERROR(IF($B$4&gt;0,IF($L692="",1/0,$L692*$B$4),0)+IF($B$5&gt;0,IF($M692="",1/0,$M692*$B$5),0)+IF($B$6&gt;0,IF($N692="",1/0,$N692*$B$6),0),""))</f>
        <v/>
      </c>
      <c r="Q692" s="17"/>
      <c r="R692" s="18" t="str">
        <f aca="false">IF($P692="","",IF($Q692="Y",IFERROR(VLOOKUP($B692,$C$4:$D$13,2,FALSE()),0),0))</f>
        <v/>
      </c>
      <c r="S692" s="17" t="str">
        <f aca="false">IF($P692="","",ROUNDDOWN($P692*$R692,0))</f>
        <v/>
      </c>
      <c r="T692" s="17" t="str">
        <f aca="false">IF($P692="","",$P692-$S692)</f>
        <v/>
      </c>
      <c r="U692" s="17" t="str">
        <f aca="false">IF($T692="","",IF($B$10=0,"",$T692/$B$10))</f>
        <v/>
      </c>
      <c r="V692" s="17" t="str">
        <f aca="false">IF($P692="","",IF($B$10=0,"",$P692/$B$10))</f>
        <v/>
      </c>
      <c r="W692" s="19" t="n">
        <f aca="false">IF($T692="",1000000000000000,$T692)</f>
        <v/>
      </c>
      <c r="XFB692" s="6"/>
      <c r="XFC692" s="3"/>
    </row>
    <row r="693" s="21" collapsed="false" customFormat="true" customHeight="true" hidden="false" ht="28.5" outlineLevel="0">
      <c r="A693" s="16" t="str">
        <f aca="false">IF($T693="","",1+COUNTIF($W$15:$W$894,"&lt;"&amp;W693))</f>
        <v/>
      </c>
      <c r="B693" s="16" t="s">
        <v>18</v>
      </c>
      <c r="C693" s="16" t="s">
        <v>1375</v>
      </c>
      <c r="D693" s="20" t="s">
        <v>86</v>
      </c>
      <c r="E693" s="16" t="s">
        <v>63</v>
      </c>
      <c r="F693" s="16" t="s">
        <v>1376</v>
      </c>
      <c r="G693" s="17">
        <v>1799</v>
      </c>
      <c r="H693" s="17"/>
      <c r="I693" s="17"/>
      <c r="J693" s="17">
        <v>1799</v>
      </c>
      <c r="K693" s="17" t="n">
        <f aca="false">IF(AND(IFERROR(SEARCH("현대오일뱅크",$C693),0)&gt;0,IFERROR(SEARCH("직영",$C693),0)&gt;0),$B$13,0)</f>
        <v/>
      </c>
      <c r="L693" s="17" t="n">
        <f aca="false">IF($G693="","",$G693+$K693)</f>
        <v/>
      </c>
      <c r="M693" s="17" t="str">
        <f aca="false">IF($H693="","",$H693+$K693)</f>
        <v/>
      </c>
      <c r="N693" s="17" t="n">
        <f aca="false">IF($J693="","",$J693+$K693)</f>
        <v/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 t="str">
        <f aca="false">IF($B$10=0,"",IFERROR(IF($B$4&gt;0,IF($L693="",1/0,$L693*$B$4),0)+IF($B$5&gt;0,IF($M693="",1/0,$M693*$B$5),0)+IF($B$6&gt;0,IF($N693="",1/0,$N693*$B$6),0),""))</f>
        <v/>
      </c>
      <c r="Q693" s="17"/>
      <c r="R693" s="18" t="str">
        <f aca="false">IF($P693="","",IF($Q693="Y",IFERROR(VLOOKUP($B693,$C$4:$D$13,2,FALSE()),0),0))</f>
        <v/>
      </c>
      <c r="S693" s="17" t="str">
        <f aca="false">IF($P693="","",ROUNDDOWN($P693*$R693,0))</f>
        <v/>
      </c>
      <c r="T693" s="17" t="str">
        <f aca="false">IF($P693="","",$P693-$S693)</f>
        <v/>
      </c>
      <c r="U693" s="17" t="str">
        <f aca="false">IF($T693="","",IF($B$10=0,"",$T693/$B$10))</f>
        <v/>
      </c>
      <c r="V693" s="17" t="str">
        <f aca="false">IF($P693="","",IF($B$10=0,"",$P693/$B$10))</f>
        <v/>
      </c>
      <c r="W693" s="19" t="n">
        <f aca="false">IF($T693="",1000000000000000,$T693)</f>
        <v/>
      </c>
      <c r="XFB693" s="6"/>
      <c r="XFC693" s="3"/>
    </row>
    <row r="694" s="21" collapsed="false" customFormat="true" customHeight="true" hidden="false" ht="28.5" outlineLevel="0">
      <c r="A694" s="16" t="str">
        <f aca="false">IF($T694="","",1+COUNTIF($W$15:$W$894,"&lt;"&amp;W694))</f>
        <v/>
      </c>
      <c r="B694" s="16" t="s">
        <v>18</v>
      </c>
      <c r="C694" s="16" t="s">
        <v>1377</v>
      </c>
      <c r="D694" s="16" t="s">
        <v>500</v>
      </c>
      <c r="E694" s="16" t="s">
        <v>63</v>
      </c>
      <c r="F694" s="16" t="s">
        <v>1378</v>
      </c>
      <c r="G694" s="17">
        <v>1799</v>
      </c>
      <c r="H694" s="17"/>
      <c r="I694" s="17"/>
      <c r="J694" s="17">
        <v>1799</v>
      </c>
      <c r="K694" s="17" t="n">
        <f aca="false">IF(AND(IFERROR(SEARCH("현대오일뱅크",$C694),0)&gt;0,IFERROR(SEARCH("직영",$C694),0)&gt;0),$B$13,0)</f>
        <v/>
      </c>
      <c r="L694" s="17" t="n">
        <f aca="false">IF($G694="","",$G694+$K694)</f>
        <v/>
      </c>
      <c r="M694" s="17" t="str">
        <f aca="false">IF($H694="","",$H694+$K694)</f>
        <v/>
      </c>
      <c r="N694" s="17" t="n">
        <f aca="false">IF($J694="","",$J694+$K694)</f>
        <v/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 t="str">
        <f aca="false">IF($B$10=0,"",IFERROR(IF($B$4&gt;0,IF($L694="",1/0,$L694*$B$4),0)+IF($B$5&gt;0,IF($M694="",1/0,$M694*$B$5),0)+IF($B$6&gt;0,IF($N694="",1/0,$N694*$B$6),0),""))</f>
        <v/>
      </c>
      <c r="Q694" s="17"/>
      <c r="R694" s="18" t="str">
        <f aca="false">IF($P694="","",IF($Q694="Y",IFERROR(VLOOKUP($B694,$C$4:$D$13,2,FALSE()),0),0))</f>
        <v/>
      </c>
      <c r="S694" s="17" t="str">
        <f aca="false">IF($P694="","",ROUNDDOWN($P694*$R694,0))</f>
        <v/>
      </c>
      <c r="T694" s="17" t="str">
        <f aca="false">IF($P694="","",$P694-$S694)</f>
        <v/>
      </c>
      <c r="U694" s="17" t="str">
        <f aca="false">IF($T694="","",IF($B$10=0,"",$T694/$B$10))</f>
        <v/>
      </c>
      <c r="V694" s="17" t="str">
        <f aca="false">IF($P694="","",IF($B$10=0,"",$P694/$B$10))</f>
        <v/>
      </c>
      <c r="W694" s="19" t="n">
        <f aca="false">IF($T694="",1000000000000000,$T694)</f>
        <v/>
      </c>
      <c r="XFB694" s="6"/>
      <c r="XFC694" s="3"/>
    </row>
    <row r="695" s="6" collapsed="false" customFormat="true" customHeight="true" hidden="false" ht="28.6" outlineLevel="0">
      <c r="A695" s="16" t="str">
        <f aca="false">IF($T695="","",1+COUNTIF($W$15:$W$894,"&lt;"&amp;W695))</f>
        <v/>
      </c>
      <c r="B695" s="16" t="s">
        <v>6</v>
      </c>
      <c r="C695" s="16" t="s">
        <v>1379</v>
      </c>
      <c r="D695" s="16" t="s">
        <v>95</v>
      </c>
      <c r="E695" s="16" t="s">
        <v>26</v>
      </c>
      <c r="F695" s="16" t="s">
        <v>1380</v>
      </c>
      <c r="G695" s="17">
        <v>1799</v>
      </c>
      <c r="H695" s="17"/>
      <c r="I695" s="17"/>
      <c r="J695" s="17">
        <v>1799</v>
      </c>
      <c r="K695" s="17" t="n">
        <f aca="false">IF(AND(IFERROR(SEARCH("현대오일뱅크",$C695),0)&gt;0,IFERROR(SEARCH("직영",$C695),0)&gt;0),$B$13,0)</f>
        <v/>
      </c>
      <c r="L695" s="17" t="n">
        <f aca="false">IF($G695="","",$G695+$K695)</f>
        <v/>
      </c>
      <c r="M695" s="17" t="str">
        <f aca="false">IF($H695="","",$H695+$K695)</f>
        <v/>
      </c>
      <c r="N695" s="17" t="n">
        <f aca="false">IF($J695="","",$J695+$K695)</f>
        <v/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 t="str">
        <f aca="false">IF($B$10=0,"",IFERROR(IF($B$4&gt;0,IF($L695="",1/0,$L695*$B$4),0)+IF($B$5&gt;0,IF($M695="",1/0,$M695*$B$5),0)+IF($B$6&gt;0,IF($N695="",1/0,$N695*$B$6),0),""))</f>
        <v/>
      </c>
      <c r="Q695" s="17"/>
      <c r="R695" s="18" t="str">
        <f aca="false">IF($P695="","",IF($Q695="Y",IFERROR(VLOOKUP($B695,$C$4:$D$13,2,FALSE()),0),0))</f>
        <v/>
      </c>
      <c r="S695" s="17" t="str">
        <f aca="false">IF($P695="","",ROUNDDOWN($P695*$R695,0))</f>
        <v/>
      </c>
      <c r="T695" s="17" t="str">
        <f aca="false">IF($P695="","",$P695-$S695)</f>
        <v/>
      </c>
      <c r="U695" s="17" t="str">
        <f aca="false">IF($T695="","",IF($B$10=0,"",$T695/$B$10))</f>
        <v/>
      </c>
      <c r="V695" s="17" t="str">
        <f aca="false">IF($P695="","",IF($B$10=0,"",$P695/$B$10))</f>
        <v/>
      </c>
      <c r="W695" s="19" t="n">
        <f aca="false">IF($T695="",1000000000000000,$T695)</f>
        <v/>
      </c>
      <c r="XFC695" s="3"/>
    </row>
    <row r="696" s="5" collapsed="false" customFormat="true" customHeight="true" hidden="false" ht="28.5" outlineLevel="0">
      <c r="A696" s="16" t="str">
        <f aca="false">IF($T696="","",1+COUNTIF($W$15:$W$894,"&lt;"&amp;W696))</f>
        <v/>
      </c>
      <c r="B696" s="16" t="s">
        <v>16</v>
      </c>
      <c r="C696" s="16" t="s">
        <v>1381</v>
      </c>
      <c r="D696" s="20" t="s">
        <v>86</v>
      </c>
      <c r="E696" s="16" t="s">
        <v>63</v>
      </c>
      <c r="F696" s="16" t="s">
        <v>1382</v>
      </c>
      <c r="G696" s="17">
        <v>1799</v>
      </c>
      <c r="H696" s="17"/>
      <c r="I696" s="17"/>
      <c r="J696" s="17">
        <v>1799</v>
      </c>
      <c r="K696" s="17" t="n">
        <f aca="false">IF(AND(IFERROR(SEARCH("현대오일뱅크",$C696),0)&gt;0,IFERROR(SEARCH("직영",$C696),0)&gt;0),$B$13,0)</f>
        <v/>
      </c>
      <c r="L696" s="17" t="n">
        <f aca="false">IF($G696="","",$G696+$K696)</f>
        <v/>
      </c>
      <c r="M696" s="17" t="str">
        <f aca="false">IF($H696="","",$H696+$K696)</f>
        <v/>
      </c>
      <c r="N696" s="17" t="n">
        <f aca="false">IF($J696="","",$J696+$K696)</f>
        <v/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 t="str">
        <f aca="false">IF($B$10=0,"",IFERROR(IF($B$4&gt;0,IF($L696="",1/0,$L696*$B$4),0)+IF($B$5&gt;0,IF($M696="",1/0,$M696*$B$5),0)+IF($B$6&gt;0,IF($N696="",1/0,$N696*$B$6),0),""))</f>
        <v/>
      </c>
      <c r="Q696" s="17"/>
      <c r="R696" s="18" t="str">
        <f aca="false">IF($P696="","",IF($Q696="Y",IFERROR(VLOOKUP($B696,$C$4:$D$13,2,FALSE()),0),0))</f>
        <v/>
      </c>
      <c r="S696" s="17" t="str">
        <f aca="false">IF($P696="","",ROUNDDOWN($P696*$R696,0))</f>
        <v/>
      </c>
      <c r="T696" s="17" t="str">
        <f aca="false">IF($P696="","",$P696-$S696)</f>
        <v/>
      </c>
      <c r="U696" s="17" t="str">
        <f aca="false">IF($T696="","",IF($B$10=0,"",$T696/$B$10))</f>
        <v/>
      </c>
      <c r="V696" s="17" t="str">
        <f aca="false">IF($P696="","",IF($B$10=0,"",$P696/$B$10))</f>
        <v/>
      </c>
      <c r="W696" s="19" t="n">
        <f aca="false">IF($T696="",1000000000000000,$T696)</f>
        <v/>
      </c>
      <c r="XFB696" s="6"/>
      <c r="XFC696" s="3"/>
    </row>
    <row r="697" s="5" collapsed="false" customFormat="true" customHeight="true" hidden="false" ht="28.5" outlineLevel="0">
      <c r="A697" s="16" t="str">
        <f aca="false">IF($T697="","",1+COUNTIF($W$15:$W$894,"&lt;"&amp;W697))</f>
        <v/>
      </c>
      <c r="B697" s="16" t="s">
        <v>16</v>
      </c>
      <c r="C697" s="16" t="s">
        <v>1383</v>
      </c>
      <c r="D697" s="20" t="s">
        <v>86</v>
      </c>
      <c r="E697" s="16" t="s">
        <v>63</v>
      </c>
      <c r="F697" s="16" t="s">
        <v>1384</v>
      </c>
      <c r="G697" s="17">
        <v>1799</v>
      </c>
      <c r="H697" s="17"/>
      <c r="I697" s="17"/>
      <c r="J697" s="17">
        <v>1799</v>
      </c>
      <c r="K697" s="17" t="n">
        <f aca="false">IF(AND(IFERROR(SEARCH("현대오일뱅크",$C697),0)&gt;0,IFERROR(SEARCH("직영",$C697),0)&gt;0),$B$13,0)</f>
        <v/>
      </c>
      <c r="L697" s="17" t="n">
        <f aca="false">IF($G697="","",$G697+$K697)</f>
        <v/>
      </c>
      <c r="M697" s="17" t="str">
        <f aca="false">IF($H697="","",$H697+$K697)</f>
        <v/>
      </c>
      <c r="N697" s="17" t="n">
        <f aca="false">IF($J697="","",$J697+$K697)</f>
        <v/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 t="str">
        <f aca="false">IF($B$10=0,"",IFERROR(IF($B$4&gt;0,IF($L697="",1/0,$L697*$B$4),0)+IF($B$5&gt;0,IF($M697="",1/0,$M697*$B$5),0)+IF($B$6&gt;0,IF($N697="",1/0,$N697*$B$6),0),""))</f>
        <v/>
      </c>
      <c r="Q697" s="17"/>
      <c r="R697" s="18" t="str">
        <f aca="false">IF($P697="","",IF($Q697="Y",IFERROR(VLOOKUP($B697,$C$4:$D$13,2,FALSE()),0),0))</f>
        <v/>
      </c>
      <c r="S697" s="17" t="str">
        <f aca="false">IF($P697="","",ROUNDDOWN($P697*$R697,0))</f>
        <v/>
      </c>
      <c r="T697" s="17" t="str">
        <f aca="false">IF($P697="","",$P697-$S697)</f>
        <v/>
      </c>
      <c r="U697" s="17" t="str">
        <f aca="false">IF($T697="","",IF($B$10=0,"",$T697/$B$10))</f>
        <v/>
      </c>
      <c r="V697" s="17" t="str">
        <f aca="false">IF($P697="","",IF($B$10=0,"",$P697/$B$10))</f>
        <v/>
      </c>
      <c r="W697" s="19" t="n">
        <f aca="false">IF($T697="",1000000000000000,$T697)</f>
        <v/>
      </c>
      <c r="XFB697" s="6"/>
      <c r="XFC697" s="3"/>
    </row>
    <row r="698" s="21" collapsed="false" customFormat="true" customHeight="true" hidden="false" ht="28.5" outlineLevel="0">
      <c r="A698" s="16" t="str">
        <f aca="false">IF($T698="","",1+COUNTIF($W$15:$W$894,"&lt;"&amp;W698))</f>
        <v/>
      </c>
      <c r="B698" s="16" t="s">
        <v>8</v>
      </c>
      <c r="C698" s="16" t="s">
        <v>1385</v>
      </c>
      <c r="D698" s="20" t="s">
        <v>86</v>
      </c>
      <c r="E698" s="16" t="s">
        <v>26</v>
      </c>
      <c r="F698" s="16" t="s">
        <v>1386</v>
      </c>
      <c r="G698" s="17">
        <v>1799</v>
      </c>
      <c r="H698" s="17"/>
      <c r="I698" s="17"/>
      <c r="J698" s="17">
        <v>1799</v>
      </c>
      <c r="K698" s="17" t="n">
        <f aca="false">IF(AND(IFERROR(SEARCH("현대오일뱅크",$C698),0)&gt;0,IFERROR(SEARCH("직영",$C698),0)&gt;0),$B$13,0)</f>
        <v/>
      </c>
      <c r="L698" s="17" t="n">
        <f aca="false">IF($G698="","",$G698+$K698)</f>
        <v/>
      </c>
      <c r="M698" s="17" t="str">
        <f aca="false">IF($H698="","",$H698+$K698)</f>
        <v/>
      </c>
      <c r="N698" s="17" t="n">
        <f aca="false">IF($J698="","",$J698+$K698)</f>
        <v/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 t="str">
        <f aca="false">IF($B$10=0,"",IFERROR(IF($B$4&gt;0,IF($L698="",1/0,$L698*$B$4),0)+IF($B$5&gt;0,IF($M698="",1/0,$M698*$B$5),0)+IF($B$6&gt;0,IF($N698="",1/0,$N698*$B$6),0),""))</f>
        <v/>
      </c>
      <c r="Q698" s="17"/>
      <c r="R698" s="18" t="str">
        <f aca="false">IF($P698="","",IF($Q698="Y",IFERROR(VLOOKUP($B698,$C$4:$D$13,2,FALSE()),0),0))</f>
        <v/>
      </c>
      <c r="S698" s="17" t="str">
        <f aca="false">IF($P698="","",ROUNDDOWN($P698*$R698,0))</f>
        <v/>
      </c>
      <c r="T698" s="17" t="str">
        <f aca="false">IF($P698="","",$P698-$S698)</f>
        <v/>
      </c>
      <c r="U698" s="17" t="str">
        <f aca="false">IF($T698="","",IF($B$10=0,"",$T698/$B$10))</f>
        <v/>
      </c>
      <c r="V698" s="17" t="str">
        <f aca="false">IF($P698="","",IF($B$10=0,"",$P698/$B$10))</f>
        <v/>
      </c>
      <c r="W698" s="19" t="n">
        <f aca="false">IF($T698="",1000000000000000,$T698)</f>
        <v/>
      </c>
      <c r="XFB698" s="6"/>
      <c r="XFC698" s="3"/>
    </row>
    <row r="699" s="21" collapsed="false" customFormat="true" customHeight="true" hidden="false" ht="28.5" outlineLevel="0">
      <c r="A699" s="16" t="str">
        <f aca="false">IF($T699="","",1+COUNTIF($W$15:$W$894,"&lt;"&amp;W699))</f>
        <v/>
      </c>
      <c r="B699" s="16" t="s">
        <v>8</v>
      </c>
      <c r="C699" s="16" t="s">
        <v>1387</v>
      </c>
      <c r="D699" s="16" t="s">
        <v>56</v>
      </c>
      <c r="E699" s="16" t="s">
        <v>26</v>
      </c>
      <c r="F699" s="16" t="s">
        <v>1388</v>
      </c>
      <c r="G699" s="17">
        <v>1799</v>
      </c>
      <c r="H699" s="17"/>
      <c r="I699" s="17"/>
      <c r="J699" s="17">
        <v>1799</v>
      </c>
      <c r="K699" s="17" t="n">
        <f aca="false">IF(AND(IFERROR(SEARCH("현대오일뱅크",$C699),0)&gt;0,IFERROR(SEARCH("직영",$C699),0)&gt;0),$B$13,0)</f>
        <v/>
      </c>
      <c r="L699" s="17" t="n">
        <f aca="false">IF($G699="","",$G699+$K699)</f>
        <v/>
      </c>
      <c r="M699" s="17" t="str">
        <f aca="false">IF($H699="","",$H699+$K699)</f>
        <v/>
      </c>
      <c r="N699" s="17" t="n">
        <f aca="false">IF($J699="","",$J699+$K699)</f>
        <v/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 t="str">
        <f aca="false">IF($B$10=0,"",IFERROR(IF($B$4&gt;0,IF($L699="",1/0,$L699*$B$4),0)+IF($B$5&gt;0,IF($M699="",1/0,$M699*$B$5),0)+IF($B$6&gt;0,IF($N699="",1/0,$N699*$B$6),0),""))</f>
        <v/>
      </c>
      <c r="Q699" s="17"/>
      <c r="R699" s="18" t="str">
        <f aca="false">IF($P699="","",IF($Q699="Y",IFERROR(VLOOKUP($B699,$C$4:$D$13,2,FALSE()),0),0))</f>
        <v/>
      </c>
      <c r="S699" s="17" t="str">
        <f aca="false">IF($P699="","",ROUNDDOWN($P699*$R699,0))</f>
        <v/>
      </c>
      <c r="T699" s="17" t="str">
        <f aca="false">IF($P699="","",$P699-$S699)</f>
        <v/>
      </c>
      <c r="U699" s="17" t="str">
        <f aca="false">IF($T699="","",IF($B$10=0,"",$T699/$B$10))</f>
        <v/>
      </c>
      <c r="V699" s="17" t="str">
        <f aca="false">IF($P699="","",IF($B$10=0,"",$P699/$B$10))</f>
        <v/>
      </c>
      <c r="W699" s="19" t="n">
        <f aca="false">IF($T699="",1000000000000000,$T699)</f>
        <v/>
      </c>
      <c r="XFB699" s="6"/>
      <c r="XFC699" s="3"/>
    </row>
    <row r="700" s="21" collapsed="false" customFormat="true" customHeight="true" hidden="false" ht="28.5" outlineLevel="0">
      <c r="A700" s="16" t="str">
        <f aca="false">IF($T700="","",1+COUNTIF($W$15:$W$894,"&lt;"&amp;W700))</f>
        <v/>
      </c>
      <c r="B700" s="16" t="s">
        <v>8</v>
      </c>
      <c r="C700" s="16" t="s">
        <v>1389</v>
      </c>
      <c r="D700" s="16" t="s">
        <v>500</v>
      </c>
      <c r="E700" s="16" t="s">
        <v>63</v>
      </c>
      <c r="F700" s="16" t="s">
        <v>1390</v>
      </c>
      <c r="G700" s="17">
        <v>1799</v>
      </c>
      <c r="H700" s="17"/>
      <c r="I700" s="17"/>
      <c r="J700" s="17">
        <v>1799</v>
      </c>
      <c r="K700" s="17" t="n">
        <f aca="false">IF(AND(IFERROR(SEARCH("현대오일뱅크",$C700),0)&gt;0,IFERROR(SEARCH("직영",$C700),0)&gt;0),$B$13,0)</f>
        <v/>
      </c>
      <c r="L700" s="17" t="n">
        <f aca="false">IF($G700="","",$G700+$K700)</f>
        <v/>
      </c>
      <c r="M700" s="17" t="str">
        <f aca="false">IF($H700="","",$H700+$K700)</f>
        <v/>
      </c>
      <c r="N700" s="17" t="n">
        <f aca="false">IF($J700="","",$J700+$K700)</f>
        <v/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 t="str">
        <f aca="false">IF($B$10=0,"",IFERROR(IF($B$4&gt;0,IF($L700="",1/0,$L700*$B$4),0)+IF($B$5&gt;0,IF($M700="",1/0,$M700*$B$5),0)+IF($B$6&gt;0,IF($N700="",1/0,$N700*$B$6),0),""))</f>
        <v/>
      </c>
      <c r="Q700" s="17"/>
      <c r="R700" s="18" t="str">
        <f aca="false">IF($P700="","",IF($Q700="Y",IFERROR(VLOOKUP($B700,$C$4:$D$13,2,FALSE()),0),0))</f>
        <v/>
      </c>
      <c r="S700" s="17" t="str">
        <f aca="false">IF($P700="","",ROUNDDOWN($P700*$R700,0))</f>
        <v/>
      </c>
      <c r="T700" s="17" t="str">
        <f aca="false">IF($P700="","",$P700-$S700)</f>
        <v/>
      </c>
      <c r="U700" s="17" t="str">
        <f aca="false">IF($T700="","",IF($B$10=0,"",$T700/$B$10))</f>
        <v/>
      </c>
      <c r="V700" s="17" t="str">
        <f aca="false">IF($P700="","",IF($B$10=0,"",$P700/$B$10))</f>
        <v/>
      </c>
      <c r="W700" s="19" t="n">
        <f aca="false">IF($T700="",1000000000000000,$T700)</f>
        <v/>
      </c>
      <c r="XFB700" s="6"/>
      <c r="XFC700" s="3"/>
    </row>
    <row r="701" s="21" collapsed="false" customFormat="true" customHeight="true" hidden="false" ht="28.5" outlineLevel="0">
      <c r="A701" s="16" t="str">
        <f aca="false">IF($T701="","",1+COUNTIF($W$15:$W$894,"&lt;"&amp;W701))</f>
        <v/>
      </c>
      <c r="B701" s="16" t="s">
        <v>8</v>
      </c>
      <c r="C701" s="16" t="s">
        <v>1391</v>
      </c>
      <c r="D701" s="20" t="s">
        <v>86</v>
      </c>
      <c r="E701" s="16" t="s">
        <v>26</v>
      </c>
      <c r="F701" s="16" t="s">
        <v>1392</v>
      </c>
      <c r="G701" s="17">
        <v>1799</v>
      </c>
      <c r="H701" s="17"/>
      <c r="I701" s="17"/>
      <c r="J701" s="17">
        <v>1799</v>
      </c>
      <c r="K701" s="17" t="n">
        <f aca="false">IF(AND(IFERROR(SEARCH("현대오일뱅크",$C701),0)&gt;0,IFERROR(SEARCH("직영",$C701),0)&gt;0),$B$13,0)</f>
        <v/>
      </c>
      <c r="L701" s="17" t="n">
        <f aca="false">IF($G701="","",$G701+$K701)</f>
        <v/>
      </c>
      <c r="M701" s="17" t="str">
        <f aca="false">IF($H701="","",$H701+$K701)</f>
        <v/>
      </c>
      <c r="N701" s="17" t="n">
        <f aca="false">IF($J701="","",$J701+$K701)</f>
        <v/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 t="str">
        <f aca="false">IF($B$10=0,"",IFERROR(IF($B$4&gt;0,IF($L701="",1/0,$L701*$B$4),0)+IF($B$5&gt;0,IF($M701="",1/0,$M701*$B$5),0)+IF($B$6&gt;0,IF($N701="",1/0,$N701*$B$6),0),""))</f>
        <v/>
      </c>
      <c r="Q701" s="17"/>
      <c r="R701" s="18" t="str">
        <f aca="false">IF($P701="","",IF($Q701="Y",IFERROR(VLOOKUP($B701,$C$4:$D$13,2,FALSE()),0),0))</f>
        <v/>
      </c>
      <c r="S701" s="17" t="str">
        <f aca="false">IF($P701="","",ROUNDDOWN($P701*$R701,0))</f>
        <v/>
      </c>
      <c r="T701" s="17" t="str">
        <f aca="false">IF($P701="","",$P701-$S701)</f>
        <v/>
      </c>
      <c r="U701" s="17" t="str">
        <f aca="false">IF($T701="","",IF($B$10=0,"",$T701/$B$10))</f>
        <v/>
      </c>
      <c r="V701" s="17" t="str">
        <f aca="false">IF($P701="","",IF($B$10=0,"",$P701/$B$10))</f>
        <v/>
      </c>
      <c r="W701" s="19" t="n">
        <f aca="false">IF($T701="",1000000000000000,$T701)</f>
        <v/>
      </c>
      <c r="XFB701" s="6"/>
      <c r="XFC701" s="3"/>
    </row>
    <row r="702" s="6" collapsed="false" customFormat="true" customHeight="true" hidden="false" ht="28.6" outlineLevel="0">
      <c r="A702" s="16" t="str">
        <f aca="false">IF($T702="","",1+COUNTIF($W$15:$W$894,"&lt;"&amp;W702))</f>
        <v/>
      </c>
      <c r="B702" s="16" t="s">
        <v>8</v>
      </c>
      <c r="C702" s="16" t="s">
        <v>1393</v>
      </c>
      <c r="D702" s="16" t="s">
        <v>95</v>
      </c>
      <c r="E702" s="16" t="s">
        <v>26</v>
      </c>
      <c r="F702" s="16" t="s">
        <v>1394</v>
      </c>
      <c r="G702" s="17">
        <v>1799</v>
      </c>
      <c r="H702" s="17"/>
      <c r="I702" s="17"/>
      <c r="J702" s="17">
        <v>1799</v>
      </c>
      <c r="K702" s="17" t="n">
        <f aca="false">IF(AND(IFERROR(SEARCH("현대오일뱅크",$C702),0)&gt;0,IFERROR(SEARCH("직영",$C702),0)&gt;0),$B$13,0)</f>
        <v/>
      </c>
      <c r="L702" s="17" t="n">
        <f aca="false">IF($G702="","",$G702+$K702)</f>
        <v/>
      </c>
      <c r="M702" s="17" t="str">
        <f aca="false">IF($H702="","",$H702+$K702)</f>
        <v/>
      </c>
      <c r="N702" s="17" t="n">
        <f aca="false">IF($J702="","",$J702+$K702)</f>
        <v/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 t="str">
        <f aca="false">IF($B$10=0,"",IFERROR(IF($B$4&gt;0,IF($L702="",1/0,$L702*$B$4),0)+IF($B$5&gt;0,IF($M702="",1/0,$M702*$B$5),0)+IF($B$6&gt;0,IF($N702="",1/0,$N702*$B$6),0),""))</f>
        <v/>
      </c>
      <c r="Q702" s="17"/>
      <c r="R702" s="18" t="str">
        <f aca="false">IF($P702="","",IF($Q702="Y",IFERROR(VLOOKUP($B702,$C$4:$D$13,2,FALSE()),0),0))</f>
        <v/>
      </c>
      <c r="S702" s="17" t="str">
        <f aca="false">IF($P702="","",ROUNDDOWN($P702*$R702,0))</f>
        <v/>
      </c>
      <c r="T702" s="17" t="str">
        <f aca="false">IF($P702="","",$P702-$S702)</f>
        <v/>
      </c>
      <c r="U702" s="17" t="str">
        <f aca="false">IF($T702="","",IF($B$10=0,"",$T702/$B$10))</f>
        <v/>
      </c>
      <c r="V702" s="17" t="str">
        <f aca="false">IF($P702="","",IF($B$10=0,"",$P702/$B$10))</f>
        <v/>
      </c>
      <c r="W702" s="19" t="n">
        <f aca="false">IF($T702="",1000000000000000,$T702)</f>
        <v/>
      </c>
      <c r="XFC702" s="3"/>
    </row>
    <row r="703" s="6" collapsed="false" customFormat="true" customHeight="true" hidden="false" ht="28.6" outlineLevel="0">
      <c r="A703" s="16" t="str">
        <f aca="false">IF($T703="","",1+COUNTIF($W$15:$W$894,"&lt;"&amp;W703))</f>
        <v/>
      </c>
      <c r="B703" s="16" t="s">
        <v>8</v>
      </c>
      <c r="C703" s="16" t="s">
        <v>1397</v>
      </c>
      <c r="D703" s="16" t="s">
        <v>95</v>
      </c>
      <c r="E703" s="16" t="s">
        <v>26</v>
      </c>
      <c r="F703" s="16" t="s">
        <v>1398</v>
      </c>
      <c r="G703" s="17">
        <v>1799</v>
      </c>
      <c r="H703" s="17"/>
      <c r="I703" s="17"/>
      <c r="J703" s="17">
        <v>1799</v>
      </c>
      <c r="K703" s="17" t="n">
        <f aca="false">IF(AND(IFERROR(SEARCH("현대오일뱅크",$C703),0)&gt;0,IFERROR(SEARCH("직영",$C703),0)&gt;0),$B$13,0)</f>
        <v/>
      </c>
      <c r="L703" s="17" t="n">
        <f aca="false">IF($G703="","",$G703+$K703)</f>
        <v/>
      </c>
      <c r="M703" s="17" t="str">
        <f aca="false">IF($H703="","",$H703+$K703)</f>
        <v/>
      </c>
      <c r="N703" s="17" t="n">
        <f aca="false">IF($J703="","",$J703+$K703)</f>
        <v/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 t="str">
        <f aca="false">IF($B$10=0,"",IFERROR(IF($B$4&gt;0,IF($L703="",1/0,$L703*$B$4),0)+IF($B$5&gt;0,IF($M703="",1/0,$M703*$B$5),0)+IF($B$6&gt;0,IF($N703="",1/0,$N703*$B$6),0),""))</f>
        <v/>
      </c>
      <c r="Q703" s="17"/>
      <c r="R703" s="18" t="str">
        <f aca="false">IF($P703="","",IF($Q703="Y",IFERROR(VLOOKUP($B703,$C$4:$D$13,2,FALSE()),0),0))</f>
        <v/>
      </c>
      <c r="S703" s="17" t="str">
        <f aca="false">IF($P703="","",ROUNDDOWN($P703*$R703,0))</f>
        <v/>
      </c>
      <c r="T703" s="17" t="str">
        <f aca="false">IF($P703="","",$P703-$S703)</f>
        <v/>
      </c>
      <c r="U703" s="17" t="str">
        <f aca="false">IF($T703="","",IF($B$10=0,"",$T703/$B$10))</f>
        <v/>
      </c>
      <c r="V703" s="17" t="str">
        <f aca="false">IF($P703="","",IF($B$10=0,"",$P703/$B$10))</f>
        <v/>
      </c>
      <c r="W703" s="19" t="n">
        <f aca="false">IF($T703="",1000000000000000,$T703)</f>
        <v/>
      </c>
      <c r="XFC703" s="3"/>
    </row>
    <row r="704" s="21" collapsed="false" customFormat="true" customHeight="true" hidden="false" ht="28.5" outlineLevel="0">
      <c r="A704" s="16" t="str">
        <f aca="false">IF($T704="","",1+COUNTIF($W$15:$W$894,"&lt;"&amp;W704))</f>
        <v/>
      </c>
      <c r="B704" s="16" t="s">
        <v>8</v>
      </c>
      <c r="C704" s="16" t="s">
        <v>1399</v>
      </c>
      <c r="D704" s="16" t="s">
        <v>56</v>
      </c>
      <c r="E704" s="16" t="s">
        <v>26</v>
      </c>
      <c r="F704" s="16" t="s">
        <v>1400</v>
      </c>
      <c r="G704" s="17">
        <v>1799</v>
      </c>
      <c r="H704" s="17"/>
      <c r="I704" s="17"/>
      <c r="J704" s="17">
        <v>1799</v>
      </c>
      <c r="K704" s="17" t="n">
        <f aca="false">IF(AND(IFERROR(SEARCH("현대오일뱅크",$C704),0)&gt;0,IFERROR(SEARCH("직영",$C704),0)&gt;0),$B$13,0)</f>
        <v/>
      </c>
      <c r="L704" s="17" t="n">
        <f aca="false">IF($G704="","",$G704+$K704)</f>
        <v/>
      </c>
      <c r="M704" s="17" t="str">
        <f aca="false">IF($H704="","",$H704+$K704)</f>
        <v/>
      </c>
      <c r="N704" s="17" t="n">
        <f aca="false">IF($J704="","",$J704+$K704)</f>
        <v/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 t="str">
        <f aca="false">IF($B$10=0,"",IFERROR(IF($B$4&gt;0,IF($L704="",1/0,$L704*$B$4),0)+IF($B$5&gt;0,IF($M704="",1/0,$M704*$B$5),0)+IF($B$6&gt;0,IF($N704="",1/0,$N704*$B$6),0),""))</f>
        <v/>
      </c>
      <c r="Q704" s="17"/>
      <c r="R704" s="18" t="str">
        <f aca="false">IF($P704="","",IF($Q704="Y",IFERROR(VLOOKUP($B704,$C$4:$D$13,2,FALSE()),0),0))</f>
        <v/>
      </c>
      <c r="S704" s="17" t="str">
        <f aca="false">IF($P704="","",ROUNDDOWN($P704*$R704,0))</f>
        <v/>
      </c>
      <c r="T704" s="17" t="str">
        <f aca="false">IF($P704="","",$P704-$S704)</f>
        <v/>
      </c>
      <c r="U704" s="17" t="str">
        <f aca="false">IF($T704="","",IF($B$10=0,"",$T704/$B$10))</f>
        <v/>
      </c>
      <c r="V704" s="17" t="str">
        <f aca="false">IF($P704="","",IF($B$10=0,"",$P704/$B$10))</f>
        <v/>
      </c>
      <c r="W704" s="19" t="n">
        <f aca="false">IF($T704="",1000000000000000,$T704)</f>
        <v/>
      </c>
      <c r="XFB704" s="6"/>
      <c r="XFC704" s="3"/>
    </row>
    <row r="705" s="21" collapsed="false" customFormat="true" customHeight="true" hidden="false" ht="28.5" outlineLevel="0">
      <c r="A705" s="16" t="str">
        <f aca="false">IF($T705="","",1+COUNTIF($W$15:$W$894,"&lt;"&amp;W705))</f>
        <v/>
      </c>
      <c r="B705" s="16" t="s">
        <v>14</v>
      </c>
      <c r="C705" s="16" t="s">
        <v>1401</v>
      </c>
      <c r="D705" s="16" t="s">
        <v>95</v>
      </c>
      <c r="E705" s="16" t="s">
        <v>26</v>
      </c>
      <c r="F705" s="16" t="s">
        <v>1402</v>
      </c>
      <c r="G705" s="17">
        <v>1799</v>
      </c>
      <c r="H705" s="17"/>
      <c r="I705" s="17"/>
      <c r="J705" s="17">
        <v>1799</v>
      </c>
      <c r="K705" s="17" t="n">
        <f aca="false">IF(AND(IFERROR(SEARCH("현대오일뱅크",$C705),0)&gt;0,IFERROR(SEARCH("직영",$C705),0)&gt;0),$B$13,0)</f>
        <v/>
      </c>
      <c r="L705" s="17" t="n">
        <f aca="false">IF($G705="","",$G705+$K705)</f>
        <v/>
      </c>
      <c r="M705" s="17" t="str">
        <f aca="false">IF($H705="","",$H705+$K705)</f>
        <v/>
      </c>
      <c r="N705" s="17" t="n">
        <f aca="false">IF($J705="","",$J705+$K705)</f>
        <v/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 t="str">
        <f aca="false">IF($B$10=0,"",IFERROR(IF($B$4&gt;0,IF($L705="",1/0,$L705*$B$4),0)+IF($B$5&gt;0,IF($M705="",1/0,$M705*$B$5),0)+IF($B$6&gt;0,IF($N705="",1/0,$N705*$B$6),0),""))</f>
        <v/>
      </c>
      <c r="Q705" s="17"/>
      <c r="R705" s="18" t="str">
        <f aca="false">IF($P705="","",IF($Q705="Y",IFERROR(VLOOKUP($B705,$C$4:$D$13,2,FALSE()),0),0))</f>
        <v/>
      </c>
      <c r="S705" s="17" t="str">
        <f aca="false">IF($P705="","",ROUNDDOWN($P705*$R705,0))</f>
        <v/>
      </c>
      <c r="T705" s="17" t="str">
        <f aca="false">IF($P705="","",$P705-$S705)</f>
        <v/>
      </c>
      <c r="U705" s="17" t="str">
        <f aca="false">IF($T705="","",IF($B$10=0,"",$T705/$B$10))</f>
        <v/>
      </c>
      <c r="V705" s="17" t="str">
        <f aca="false">IF($P705="","",IF($B$10=0,"",$P705/$B$10))</f>
        <v/>
      </c>
      <c r="W705" s="19" t="n">
        <f aca="false">IF($T705="",1000000000000000,$T705)</f>
        <v/>
      </c>
      <c r="XFB705" s="6"/>
      <c r="XFC705" s="3"/>
    </row>
    <row r="706" s="21" collapsed="false" customFormat="true" customHeight="true" hidden="false" ht="28.5" outlineLevel="0">
      <c r="A706" s="16" t="str">
        <f aca="false">IF($T706="","",1+COUNTIF($W$15:$W$894,"&lt;"&amp;W706))</f>
        <v/>
      </c>
      <c r="B706" s="16" t="s">
        <v>14</v>
      </c>
      <c r="C706" s="16" t="s">
        <v>1403</v>
      </c>
      <c r="D706" s="16" t="s">
        <v>95</v>
      </c>
      <c r="E706" s="16" t="s">
        <v>26</v>
      </c>
      <c r="F706" s="16" t="s">
        <v>1404</v>
      </c>
      <c r="G706" s="17">
        <v>1799</v>
      </c>
      <c r="H706" s="17"/>
      <c r="I706" s="17"/>
      <c r="J706" s="17">
        <v>1799</v>
      </c>
      <c r="K706" s="17" t="n">
        <f aca="false">IF(AND(IFERROR(SEARCH("현대오일뱅크",$C706),0)&gt;0,IFERROR(SEARCH("직영",$C706),0)&gt;0),$B$13,0)</f>
        <v/>
      </c>
      <c r="L706" s="17" t="n">
        <f aca="false">IF($G706="","",$G706+$K706)</f>
        <v/>
      </c>
      <c r="M706" s="17" t="str">
        <f aca="false">IF($H706="","",$H706+$K706)</f>
        <v/>
      </c>
      <c r="N706" s="17" t="n">
        <f aca="false">IF($J706="","",$J706+$K706)</f>
        <v/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 t="str">
        <f aca="false">IF($B$10=0,"",IFERROR(IF($B$4&gt;0,IF($L706="",1/0,$L706*$B$4),0)+IF($B$5&gt;0,IF($M706="",1/0,$M706*$B$5),0)+IF($B$6&gt;0,IF($N706="",1/0,$N706*$B$6),0),""))</f>
        <v/>
      </c>
      <c r="Q706" s="17"/>
      <c r="R706" s="18" t="str">
        <f aca="false">IF($P706="","",IF($Q706="Y",IFERROR(VLOOKUP($B706,$C$4:$D$13,2,FALSE()),0),0))</f>
        <v/>
      </c>
      <c r="S706" s="17" t="str">
        <f aca="false">IF($P706="","",ROUNDDOWN($P706*$R706,0))</f>
        <v/>
      </c>
      <c r="T706" s="17" t="str">
        <f aca="false">IF($P706="","",$P706-$S706)</f>
        <v/>
      </c>
      <c r="U706" s="17" t="str">
        <f aca="false">IF($T706="","",IF($B$10=0,"",$T706/$B$10))</f>
        <v/>
      </c>
      <c r="V706" s="17" t="str">
        <f aca="false">IF($P706="","",IF($B$10=0,"",$P706/$B$10))</f>
        <v/>
      </c>
      <c r="W706" s="19" t="n">
        <f aca="false">IF($T706="",1000000000000000,$T706)</f>
        <v/>
      </c>
      <c r="XFB706" s="6"/>
      <c r="XFC706" s="3"/>
    </row>
    <row r="707" s="21" collapsed="false" customFormat="true" customHeight="true" hidden="false" ht="28.5" outlineLevel="0">
      <c r="A707" s="16" t="str">
        <f aca="false">IF($T707="","",1+COUNTIF($W$15:$W$894,"&lt;"&amp;W707))</f>
        <v/>
      </c>
      <c r="B707" s="16" t="s">
        <v>14</v>
      </c>
      <c r="C707" s="16" t="s">
        <v>1405</v>
      </c>
      <c r="D707" s="16" t="s">
        <v>95</v>
      </c>
      <c r="E707" s="16" t="s">
        <v>26</v>
      </c>
      <c r="F707" s="16" t="s">
        <v>1406</v>
      </c>
      <c r="G707" s="17">
        <v>1799</v>
      </c>
      <c r="H707" s="17"/>
      <c r="I707" s="17"/>
      <c r="J707" s="17">
        <v>1799</v>
      </c>
      <c r="K707" s="17" t="n">
        <f aca="false">IF(AND(IFERROR(SEARCH("현대오일뱅크",$C707),0)&gt;0,IFERROR(SEARCH("직영",$C707),0)&gt;0),$B$13,0)</f>
        <v/>
      </c>
      <c r="L707" s="17" t="n">
        <f aca="false">IF($G707="","",$G707+$K707)</f>
        <v/>
      </c>
      <c r="M707" s="17" t="str">
        <f aca="false">IF($H707="","",$H707+$K707)</f>
        <v/>
      </c>
      <c r="N707" s="17" t="n">
        <f aca="false">IF($J707="","",$J707+$K707)</f>
        <v/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 t="str">
        <f aca="false">IF($B$10=0,"",IFERROR(IF($B$4&gt;0,IF($L707="",1/0,$L707*$B$4),0)+IF($B$5&gt;0,IF($M707="",1/0,$M707*$B$5),0)+IF($B$6&gt;0,IF($N707="",1/0,$N707*$B$6),0),""))</f>
        <v/>
      </c>
      <c r="Q707" s="17"/>
      <c r="R707" s="18" t="str">
        <f aca="false">IF($P707="","",IF($Q707="Y",IFERROR(VLOOKUP($B707,$C$4:$D$13,2,FALSE()),0),0))</f>
        <v/>
      </c>
      <c r="S707" s="17" t="str">
        <f aca="false">IF($P707="","",ROUNDDOWN($P707*$R707,0))</f>
        <v/>
      </c>
      <c r="T707" s="17" t="str">
        <f aca="false">IF($P707="","",$P707-$S707)</f>
        <v/>
      </c>
      <c r="U707" s="17" t="str">
        <f aca="false">IF($T707="","",IF($B$10=0,"",$T707/$B$10))</f>
        <v/>
      </c>
      <c r="V707" s="17" t="str">
        <f aca="false">IF($P707="","",IF($B$10=0,"",$P707/$B$10))</f>
        <v/>
      </c>
      <c r="W707" s="19" t="n">
        <f aca="false">IF($T707="",1000000000000000,$T707)</f>
        <v/>
      </c>
      <c r="XFB707" s="6"/>
      <c r="XFC707" s="3"/>
    </row>
    <row r="708" s="6" collapsed="false" customFormat="true" customHeight="true" hidden="false" ht="28.6" outlineLevel="0">
      <c r="A708" s="16" t="str">
        <f aca="false">IF($T708="","",1+COUNTIF($W$15:$W$894,"&lt;"&amp;W708))</f>
        <v/>
      </c>
      <c r="B708" s="16" t="s">
        <v>14</v>
      </c>
      <c r="C708" s="16" t="s">
        <v>1407</v>
      </c>
      <c r="D708" s="16" t="s">
        <v>45</v>
      </c>
      <c r="E708" s="16" t="s">
        <v>26</v>
      </c>
      <c r="F708" s="16" t="s">
        <v>1408</v>
      </c>
      <c r="G708" s="17">
        <v>1799</v>
      </c>
      <c r="H708" s="17"/>
      <c r="I708" s="17"/>
      <c r="J708" s="17">
        <v>1799</v>
      </c>
      <c r="K708" s="17" t="n">
        <f aca="false">IF(AND(IFERROR(SEARCH("현대오일뱅크",$C708),0)&gt;0,IFERROR(SEARCH("직영",$C708),0)&gt;0),$B$13,0)</f>
        <v/>
      </c>
      <c r="L708" s="17" t="n">
        <f aca="false">IF($G708="","",$G708+$K708)</f>
        <v/>
      </c>
      <c r="M708" s="17" t="str">
        <f aca="false">IF($H708="","",$H708+$K708)</f>
        <v/>
      </c>
      <c r="N708" s="17" t="n">
        <f aca="false">IF($J708="","",$J708+$K708)</f>
        <v/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 t="str">
        <f aca="false">IF($B$10=0,"",IFERROR(IF($B$4&gt;0,IF($L708="",1/0,$L708*$B$4),0)+IF($B$5&gt;0,IF($M708="",1/0,$M708*$B$5),0)+IF($B$6&gt;0,IF($N708="",1/0,$N708*$B$6),0),""))</f>
        <v/>
      </c>
      <c r="Q708" s="17"/>
      <c r="R708" s="18" t="str">
        <f aca="false">IF($P708="","",IF($Q708="Y",IFERROR(VLOOKUP($B708,$C$4:$D$13,2,FALSE()),0),0))</f>
        <v/>
      </c>
      <c r="S708" s="17" t="str">
        <f aca="false">IF($P708="","",ROUNDDOWN($P708*$R708,0))</f>
        <v/>
      </c>
      <c r="T708" s="17" t="str">
        <f aca="false">IF($P708="","",$P708-$S708)</f>
        <v/>
      </c>
      <c r="U708" s="17" t="str">
        <f aca="false">IF($T708="","",IF($B$10=0,"",$T708/$B$10))</f>
        <v/>
      </c>
      <c r="V708" s="17" t="str">
        <f aca="false">IF($P708="","",IF($B$10=0,"",$P708/$B$10))</f>
        <v/>
      </c>
      <c r="W708" s="19" t="n">
        <f aca="false">IF($T708="",1000000000000000,$T708)</f>
        <v/>
      </c>
      <c r="XFC708" s="3"/>
    </row>
    <row r="709" s="21" collapsed="false" customFormat="true" customHeight="true" hidden="false" ht="28.5" outlineLevel="0">
      <c r="A709" s="16" t="str">
        <f aca="false">IF($T709="","",1+COUNTIF($W$15:$W$894,"&lt;"&amp;W709))</f>
        <v/>
      </c>
      <c r="B709" s="16" t="s">
        <v>14</v>
      </c>
      <c r="C709" s="16" t="s">
        <v>1409</v>
      </c>
      <c r="D709" s="16" t="s">
        <v>500</v>
      </c>
      <c r="E709" s="16" t="s">
        <v>26</v>
      </c>
      <c r="F709" s="16" t="s">
        <v>1410</v>
      </c>
      <c r="G709" s="17">
        <v>1799</v>
      </c>
      <c r="H709" s="17"/>
      <c r="I709" s="17"/>
      <c r="J709" s="17">
        <v>1799</v>
      </c>
      <c r="K709" s="17" t="n">
        <f aca="false">IF(AND(IFERROR(SEARCH("현대오일뱅크",$C709),0)&gt;0,IFERROR(SEARCH("직영",$C709),0)&gt;0),$B$13,0)</f>
        <v/>
      </c>
      <c r="L709" s="17" t="n">
        <f aca="false">IF($G709="","",$G709+$K709)</f>
        <v/>
      </c>
      <c r="M709" s="17" t="str">
        <f aca="false">IF($H709="","",$H709+$K709)</f>
        <v/>
      </c>
      <c r="N709" s="17" t="n">
        <f aca="false">IF($J709="","",$J709+$K709)</f>
        <v/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 t="str">
        <f aca="false">IF($B$10=0,"",IFERROR(IF($B$4&gt;0,IF($L709="",1/0,$L709*$B$4),0)+IF($B$5&gt;0,IF($M709="",1/0,$M709*$B$5),0)+IF($B$6&gt;0,IF($N709="",1/0,$N709*$B$6),0),""))</f>
        <v/>
      </c>
      <c r="Q709" s="17"/>
      <c r="R709" s="18" t="str">
        <f aca="false">IF($P709="","",IF($Q709="Y",IFERROR(VLOOKUP($B709,$C$4:$D$13,2,FALSE()),0),0))</f>
        <v/>
      </c>
      <c r="S709" s="17" t="str">
        <f aca="false">IF($P709="","",ROUNDDOWN($P709*$R709,0))</f>
        <v/>
      </c>
      <c r="T709" s="17" t="str">
        <f aca="false">IF($P709="","",$P709-$S709)</f>
        <v/>
      </c>
      <c r="U709" s="17" t="str">
        <f aca="false">IF($T709="","",IF($B$10=0,"",$T709/$B$10))</f>
        <v/>
      </c>
      <c r="V709" s="17" t="str">
        <f aca="false">IF($P709="","",IF($B$10=0,"",$P709/$B$10))</f>
        <v/>
      </c>
      <c r="W709" s="19" t="n">
        <f aca="false">IF($T709="",1000000000000000,$T709)</f>
        <v/>
      </c>
      <c r="XFB709" s="6"/>
      <c r="XFC709" s="3"/>
    </row>
    <row r="710" s="6" collapsed="false" customFormat="true" customHeight="true" hidden="false" ht="28.6" outlineLevel="0">
      <c r="A710" s="16" t="str">
        <f aca="false">IF($T710="","",1+COUNTIF($W$15:$W$894,"&lt;"&amp;W710))</f>
        <v/>
      </c>
      <c r="B710" s="16" t="s">
        <v>12</v>
      </c>
      <c r="C710" s="16" t="s">
        <v>1411</v>
      </c>
      <c r="D710" s="20" t="s">
        <v>45</v>
      </c>
      <c r="E710" s="16" t="s">
        <v>26</v>
      </c>
      <c r="F710" s="16" t="s">
        <v>1412</v>
      </c>
      <c r="G710" s="17">
        <v>1799</v>
      </c>
      <c r="H710" s="17"/>
      <c r="I710" s="17"/>
      <c r="J710" s="17">
        <v>1799</v>
      </c>
      <c r="K710" s="17" t="n">
        <f aca="false">IF(AND(IFERROR(SEARCH("현대오일뱅크",$C710),0)&gt;0,IFERROR(SEARCH("직영",$C710),0)&gt;0),$B$13,0)</f>
        <v/>
      </c>
      <c r="L710" s="17" t="n">
        <f aca="false">IF($G710="","",$G710+$K710)</f>
        <v/>
      </c>
      <c r="M710" s="17" t="str">
        <f aca="false">IF($H710="","",$H710+$K710)</f>
        <v/>
      </c>
      <c r="N710" s="17" t="n">
        <f aca="false">IF($J710="","",$J710+$K710)</f>
        <v/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 t="str">
        <f aca="false">IF($B$10=0,"",IFERROR(IF($B$4&gt;0,IF($L710="",1/0,$L710*$B$4),0)+IF($B$5&gt;0,IF($M710="",1/0,$M710*$B$5),0)+IF($B$6&gt;0,IF($N710="",1/0,$N710*$B$6),0),""))</f>
        <v/>
      </c>
      <c r="Q710" s="17"/>
      <c r="R710" s="18" t="str">
        <f aca="false">IF($P710="","",IF($Q710="Y",IFERROR(VLOOKUP($B710,$C$4:$D$13,2,FALSE()),0),0))</f>
        <v/>
      </c>
      <c r="S710" s="17" t="str">
        <f aca="false">IF($P710="","",ROUNDDOWN($P710*$R710,0))</f>
        <v/>
      </c>
      <c r="T710" s="17" t="str">
        <f aca="false">IF($P710="","",$P710-$S710)</f>
        <v/>
      </c>
      <c r="U710" s="17" t="str">
        <f aca="false">IF($T710="","",IF($B$10=0,"",$T710/$B$10))</f>
        <v/>
      </c>
      <c r="V710" s="17" t="str">
        <f aca="false">IF($P710="","",IF($B$10=0,"",$P710/$B$10))</f>
        <v/>
      </c>
      <c r="W710" s="19" t="n">
        <f aca="false">IF($T710="",1000000000000000,$T710)</f>
        <v/>
      </c>
      <c r="XFC710" s="3"/>
    </row>
    <row r="711" s="21" collapsed="false" customFormat="true" customHeight="true" hidden="false" ht="28.5" outlineLevel="0">
      <c r="A711" s="16" t="str">
        <f aca="false">IF($T711="","",1+COUNTIF($W$15:$W$894,"&lt;"&amp;W711))</f>
        <v/>
      </c>
      <c r="B711" s="16" t="s">
        <v>10</v>
      </c>
      <c r="C711" s="16" t="s">
        <v>1413</v>
      </c>
      <c r="D711" s="16" t="s">
        <v>56</v>
      </c>
      <c r="E711" s="16" t="s">
        <v>26</v>
      </c>
      <c r="F711" s="16" t="s">
        <v>1414</v>
      </c>
      <c r="G711" s="17">
        <v>1799</v>
      </c>
      <c r="H711" s="17"/>
      <c r="I711" s="17"/>
      <c r="J711" s="17">
        <v>1799</v>
      </c>
      <c r="K711" s="17" t="n">
        <f aca="false">IF(AND(IFERROR(SEARCH("현대오일뱅크",$C711),0)&gt;0,IFERROR(SEARCH("직영",$C711),0)&gt;0),$B$13,0)</f>
        <v/>
      </c>
      <c r="L711" s="17" t="n">
        <f aca="false">IF($G711="","",$G711+$K711)</f>
        <v/>
      </c>
      <c r="M711" s="17" t="str">
        <f aca="false">IF($H711="","",$H711+$K711)</f>
        <v/>
      </c>
      <c r="N711" s="17" t="n">
        <f aca="false">IF($J711="","",$J711+$K711)</f>
        <v/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 t="str">
        <f aca="false">IF($B$10=0,"",IFERROR(IF($B$4&gt;0,IF($L711="",1/0,$L711*$B$4),0)+IF($B$5&gt;0,IF($M711="",1/0,$M711*$B$5),0)+IF($B$6&gt;0,IF($N711="",1/0,$N711*$B$6),0),""))</f>
        <v/>
      </c>
      <c r="Q711" s="17"/>
      <c r="R711" s="18" t="str">
        <f aca="false">IF($P711="","",IF($Q711="Y",IFERROR(VLOOKUP($B711,$C$4:$D$13,2,FALSE()),0),0))</f>
        <v/>
      </c>
      <c r="S711" s="17" t="str">
        <f aca="false">IF($P711="","",ROUNDDOWN($P711*$R711,0))</f>
        <v/>
      </c>
      <c r="T711" s="17" t="str">
        <f aca="false">IF($P711="","",$P711-$S711)</f>
        <v/>
      </c>
      <c r="U711" s="17" t="str">
        <f aca="false">IF($T711="","",IF($B$10=0,"",$T711/$B$10))</f>
        <v/>
      </c>
      <c r="V711" s="17" t="str">
        <f aca="false">IF($P711="","",IF($B$10=0,"",$P711/$B$10))</f>
        <v/>
      </c>
      <c r="W711" s="19" t="n">
        <f aca="false">IF($T711="",1000000000000000,$T711)</f>
        <v/>
      </c>
      <c r="XFB711" s="6"/>
      <c r="XFC711" s="3"/>
    </row>
    <row r="712" s="21" collapsed="false" customFormat="true" customHeight="true" hidden="false" ht="28.5" outlineLevel="0">
      <c r="A712" s="16" t="str">
        <f aca="false">IF($T712="","",1+COUNTIF($W$15:$W$894,"&lt;"&amp;W712))</f>
        <v/>
      </c>
      <c r="B712" s="16" t="s">
        <v>10</v>
      </c>
      <c r="C712" s="16" t="s">
        <v>1415</v>
      </c>
      <c r="D712" s="16" t="s">
        <v>45</v>
      </c>
      <c r="E712" s="16" t="s">
        <v>26</v>
      </c>
      <c r="F712" s="16" t="s">
        <v>1416</v>
      </c>
      <c r="G712" s="17">
        <v>1799</v>
      </c>
      <c r="H712" s="17"/>
      <c r="I712" s="17"/>
      <c r="J712" s="17">
        <v>1799</v>
      </c>
      <c r="K712" s="17" t="n">
        <f aca="false">IF(AND(IFERROR(SEARCH("현대오일뱅크",$C712),0)&gt;0,IFERROR(SEARCH("직영",$C712),0)&gt;0),$B$13,0)</f>
        <v/>
      </c>
      <c r="L712" s="17" t="n">
        <f aca="false">IF($G712="","",$G712+$K712)</f>
        <v/>
      </c>
      <c r="M712" s="17" t="str">
        <f aca="false">IF($H712="","",$H712+$K712)</f>
        <v/>
      </c>
      <c r="N712" s="17" t="n">
        <f aca="false">IF($J712="","",$J712+$K712)</f>
        <v/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 t="str">
        <f aca="false">IF($B$10=0,"",IFERROR(IF($B$4&gt;0,IF($L712="",1/0,$L712*$B$4),0)+IF($B$5&gt;0,IF($M712="",1/0,$M712*$B$5),0)+IF($B$6&gt;0,IF($N712="",1/0,$N712*$B$6),0),""))</f>
        <v/>
      </c>
      <c r="Q712" s="17"/>
      <c r="R712" s="18" t="str">
        <f aca="false">IF($P712="","",IF($Q712="Y",IFERROR(VLOOKUP($B712,$C$4:$D$13,2,FALSE()),0),0))</f>
        <v/>
      </c>
      <c r="S712" s="17" t="str">
        <f aca="false">IF($P712="","",ROUNDDOWN($P712*$R712,0))</f>
        <v/>
      </c>
      <c r="T712" s="17" t="str">
        <f aca="false">IF($P712="","",$P712-$S712)</f>
        <v/>
      </c>
      <c r="U712" s="17" t="str">
        <f aca="false">IF($T712="","",IF($B$10=0,"",$T712/$B$10))</f>
        <v/>
      </c>
      <c r="V712" s="17" t="str">
        <f aca="false">IF($P712="","",IF($B$10=0,"",$P712/$B$10))</f>
        <v/>
      </c>
      <c r="W712" s="19" t="n">
        <f aca="false">IF($T712="",1000000000000000,$T712)</f>
        <v/>
      </c>
      <c r="XFB712" s="6"/>
      <c r="XFC712" s="3"/>
    </row>
    <row r="713" s="6" collapsed="false" customFormat="true" customHeight="true" hidden="false" ht="28.6" outlineLevel="0">
      <c r="A713" s="16" t="str">
        <f aca="false">IF($T713="","",1+COUNTIF($W$15:$W$894,"&lt;"&amp;W713))</f>
        <v/>
      </c>
      <c r="B713" s="16" t="s">
        <v>10</v>
      </c>
      <c r="C713" s="16" t="s">
        <v>1417</v>
      </c>
      <c r="D713" s="20" t="s">
        <v>86</v>
      </c>
      <c r="E713" s="16" t="s">
        <v>26</v>
      </c>
      <c r="F713" s="16" t="s">
        <v>1418</v>
      </c>
      <c r="G713" s="17">
        <v>1799</v>
      </c>
      <c r="H713" s="17"/>
      <c r="I713" s="17"/>
      <c r="J713" s="17">
        <v>1799</v>
      </c>
      <c r="K713" s="17" t="n">
        <f aca="false">IF(AND(IFERROR(SEARCH("현대오일뱅크",$C713),0)&gt;0,IFERROR(SEARCH("직영",$C713),0)&gt;0),$B$13,0)</f>
        <v/>
      </c>
      <c r="L713" s="17" t="n">
        <f aca="false">IF($G713="","",$G713+$K713)</f>
        <v/>
      </c>
      <c r="M713" s="17" t="str">
        <f aca="false">IF($H713="","",$H713+$K713)</f>
        <v/>
      </c>
      <c r="N713" s="17" t="n">
        <f aca="false">IF($J713="","",$J713+$K713)</f>
        <v/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 t="str">
        <f aca="false">IF($B$10=0,"",IFERROR(IF($B$4&gt;0,IF($L713="",1/0,$L713*$B$4),0)+IF($B$5&gt;0,IF($M713="",1/0,$M713*$B$5),0)+IF($B$6&gt;0,IF($N713="",1/0,$N713*$B$6),0),""))</f>
        <v/>
      </c>
      <c r="Q713" s="17"/>
      <c r="R713" s="18" t="str">
        <f aca="false">IF($P713="","",IF($Q713="Y",IFERROR(VLOOKUP($B713,$C$4:$D$13,2,FALSE()),0),0))</f>
        <v/>
      </c>
      <c r="S713" s="17" t="str">
        <f aca="false">IF($P713="","",ROUNDDOWN($P713*$R713,0))</f>
        <v/>
      </c>
      <c r="T713" s="17" t="str">
        <f aca="false">IF($P713="","",$P713-$S713)</f>
        <v/>
      </c>
      <c r="U713" s="17" t="str">
        <f aca="false">IF($T713="","",IF($B$10=0,"",$T713/$B$10))</f>
        <v/>
      </c>
      <c r="V713" s="17" t="str">
        <f aca="false">IF($P713="","",IF($B$10=0,"",$P713/$B$10))</f>
        <v/>
      </c>
      <c r="W713" s="19" t="n">
        <f aca="false">IF($T713="",1000000000000000,$T713)</f>
        <v/>
      </c>
      <c r="XFC713" s="3"/>
    </row>
    <row r="714" s="21" collapsed="false" customFormat="true" customHeight="true" hidden="false" ht="28.5" outlineLevel="0">
      <c r="A714" s="16" t="str">
        <f aca="false">IF($T714="","",1+COUNTIF($W$15:$W$894,"&lt;"&amp;W714))</f>
        <v/>
      </c>
      <c r="B714" s="16" t="s">
        <v>10</v>
      </c>
      <c r="C714" s="16" t="s">
        <v>1419</v>
      </c>
      <c r="D714" s="16" t="s">
        <v>45</v>
      </c>
      <c r="E714" s="16" t="s">
        <v>26</v>
      </c>
      <c r="F714" s="16" t="s">
        <v>1420</v>
      </c>
      <c r="G714" s="17">
        <v>1799</v>
      </c>
      <c r="H714" s="17"/>
      <c r="I714" s="17"/>
      <c r="J714" s="17">
        <v>1799</v>
      </c>
      <c r="K714" s="17" t="n">
        <f aca="false">IF(AND(IFERROR(SEARCH("현대오일뱅크",$C714),0)&gt;0,IFERROR(SEARCH("직영",$C714),0)&gt;0),$B$13,0)</f>
        <v/>
      </c>
      <c r="L714" s="17" t="n">
        <f aca="false">IF($G714="","",$G714+$K714)</f>
        <v/>
      </c>
      <c r="M714" s="17" t="str">
        <f aca="false">IF($H714="","",$H714+$K714)</f>
        <v/>
      </c>
      <c r="N714" s="17" t="n">
        <f aca="false">IF($J714="","",$J714+$K714)</f>
        <v/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 t="str">
        <f aca="false">IF($B$10=0,"",IFERROR(IF($B$4&gt;0,IF($L714="",1/0,$L714*$B$4),0)+IF($B$5&gt;0,IF($M714="",1/0,$M714*$B$5),0)+IF($B$6&gt;0,IF($N714="",1/0,$N714*$B$6),0),""))</f>
        <v/>
      </c>
      <c r="Q714" s="17"/>
      <c r="R714" s="18" t="str">
        <f aca="false">IF($P714="","",IF($Q714="Y",IFERROR(VLOOKUP($B714,$C$4:$D$13,2,FALSE()),0),0))</f>
        <v/>
      </c>
      <c r="S714" s="17" t="str">
        <f aca="false">IF($P714="","",ROUNDDOWN($P714*$R714,0))</f>
        <v/>
      </c>
      <c r="T714" s="17" t="str">
        <f aca="false">IF($P714="","",$P714-$S714)</f>
        <v/>
      </c>
      <c r="U714" s="17" t="str">
        <f aca="false">IF($T714="","",IF($B$10=0,"",$T714/$B$10))</f>
        <v/>
      </c>
      <c r="V714" s="17" t="str">
        <f aca="false">IF($P714="","",IF($B$10=0,"",$P714/$B$10))</f>
        <v/>
      </c>
      <c r="W714" s="19" t="n">
        <f aca="false">IF($T714="",1000000000000000,$T714)</f>
        <v/>
      </c>
      <c r="XFB714" s="6"/>
      <c r="XFC714" s="3"/>
    </row>
    <row r="715" s="21" collapsed="false" customFormat="true" customHeight="true" hidden="false" ht="28.5" outlineLevel="0">
      <c r="A715" s="16" t="str">
        <f aca="false">IF($T715="","",1+COUNTIF($W$15:$W$894,"&lt;"&amp;W715))</f>
        <v/>
      </c>
      <c r="B715" s="16" t="s">
        <v>10</v>
      </c>
      <c r="C715" s="16" t="s">
        <v>1421</v>
      </c>
      <c r="D715" s="16" t="s">
        <v>45</v>
      </c>
      <c r="E715" s="16" t="s">
        <v>26</v>
      </c>
      <c r="F715" s="16" t="s">
        <v>1422</v>
      </c>
      <c r="G715" s="17">
        <v>1799</v>
      </c>
      <c r="H715" s="17"/>
      <c r="I715" s="17"/>
      <c r="J715" s="17">
        <v>1799</v>
      </c>
      <c r="K715" s="17" t="n">
        <f aca="false">IF(AND(IFERROR(SEARCH("현대오일뱅크",$C715),0)&gt;0,IFERROR(SEARCH("직영",$C715),0)&gt;0),$B$13,0)</f>
        <v/>
      </c>
      <c r="L715" s="17" t="n">
        <f aca="false">IF($G715="","",$G715+$K715)</f>
        <v/>
      </c>
      <c r="M715" s="17" t="str">
        <f aca="false">IF($H715="","",$H715+$K715)</f>
        <v/>
      </c>
      <c r="N715" s="17" t="n">
        <f aca="false">IF($J715="","",$J715+$K715)</f>
        <v/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 t="str">
        <f aca="false">IF($B$10=0,"",IFERROR(IF($B$4&gt;0,IF($L715="",1/0,$L715*$B$4),0)+IF($B$5&gt;0,IF($M715="",1/0,$M715*$B$5),0)+IF($B$6&gt;0,IF($N715="",1/0,$N715*$B$6),0),""))</f>
        <v/>
      </c>
      <c r="Q715" s="17"/>
      <c r="R715" s="18" t="str">
        <f aca="false">IF($P715="","",IF($Q715="Y",IFERROR(VLOOKUP($B715,$C$4:$D$13,2,FALSE()),0),0))</f>
        <v/>
      </c>
      <c r="S715" s="17" t="str">
        <f aca="false">IF($P715="","",ROUNDDOWN($P715*$R715,0))</f>
        <v/>
      </c>
      <c r="T715" s="17" t="str">
        <f aca="false">IF($P715="","",$P715-$S715)</f>
        <v/>
      </c>
      <c r="U715" s="17" t="str">
        <f aca="false">IF($T715="","",IF($B$10=0,"",$T715/$B$10))</f>
        <v/>
      </c>
      <c r="V715" s="17" t="str">
        <f aca="false">IF($P715="","",IF($B$10=0,"",$P715/$B$10))</f>
        <v/>
      </c>
      <c r="W715" s="19" t="n">
        <f aca="false">IF($T715="",1000000000000000,$T715)</f>
        <v/>
      </c>
      <c r="XFB715" s="6"/>
      <c r="XFC715" s="3"/>
    </row>
    <row r="716" s="21" collapsed="false" customFormat="true" customHeight="true" hidden="false" ht="28.5" outlineLevel="0">
      <c r="A716" s="16" t="str">
        <f aca="false">IF($T716="","",1+COUNTIF($W$15:$W$894,"&lt;"&amp;W716))</f>
        <v/>
      </c>
      <c r="B716" s="16" t="s">
        <v>10</v>
      </c>
      <c r="C716" s="16" t="s">
        <v>1423</v>
      </c>
      <c r="D716" s="16" t="s">
        <v>56</v>
      </c>
      <c r="E716" s="16" t="s">
        <v>26</v>
      </c>
      <c r="F716" s="16" t="s">
        <v>1424</v>
      </c>
      <c r="G716" s="17">
        <v>1799</v>
      </c>
      <c r="H716" s="17"/>
      <c r="I716" s="17"/>
      <c r="J716" s="17">
        <v>1799</v>
      </c>
      <c r="K716" s="17" t="n">
        <f aca="false">IF(AND(IFERROR(SEARCH("현대오일뱅크",$C716),0)&gt;0,IFERROR(SEARCH("직영",$C716),0)&gt;0),$B$13,0)</f>
        <v/>
      </c>
      <c r="L716" s="17" t="n">
        <f aca="false">IF($G716="","",$G716+$K716)</f>
        <v/>
      </c>
      <c r="M716" s="17" t="str">
        <f aca="false">IF($H716="","",$H716+$K716)</f>
        <v/>
      </c>
      <c r="N716" s="17" t="n">
        <f aca="false">IF($J716="","",$J716+$K716)</f>
        <v/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 t="str">
        <f aca="false">IF($B$10=0,"",IFERROR(IF($B$4&gt;0,IF($L716="",1/0,$L716*$B$4),0)+IF($B$5&gt;0,IF($M716="",1/0,$M716*$B$5),0)+IF($B$6&gt;0,IF($N716="",1/0,$N716*$B$6),0),""))</f>
        <v/>
      </c>
      <c r="Q716" s="17"/>
      <c r="R716" s="18" t="str">
        <f aca="false">IF($P716="","",IF($Q716="Y",IFERROR(VLOOKUP($B716,$C$4:$D$13,2,FALSE()),0),0))</f>
        <v/>
      </c>
      <c r="S716" s="17" t="str">
        <f aca="false">IF($P716="","",ROUNDDOWN($P716*$R716,0))</f>
        <v/>
      </c>
      <c r="T716" s="17" t="str">
        <f aca="false">IF($P716="","",$P716-$S716)</f>
        <v/>
      </c>
      <c r="U716" s="17" t="str">
        <f aca="false">IF($T716="","",IF($B$10=0,"",$T716/$B$10))</f>
        <v/>
      </c>
      <c r="V716" s="17" t="str">
        <f aca="false">IF($P716="","",IF($B$10=0,"",$P716/$B$10))</f>
        <v/>
      </c>
      <c r="W716" s="19" t="n">
        <f aca="false">IF($T716="",1000000000000000,$T716)</f>
        <v/>
      </c>
      <c r="XFB716" s="6"/>
      <c r="XFC716" s="3"/>
    </row>
    <row r="717" s="21" collapsed="false" customFormat="true" customHeight="true" hidden="false" ht="28.5" outlineLevel="0">
      <c r="A717" s="16" t="str">
        <f aca="false">IF($T717="","",1+COUNTIF($W$15:$W$894,"&lt;"&amp;W717))</f>
        <v/>
      </c>
      <c r="B717" s="16" t="s">
        <v>10</v>
      </c>
      <c r="C717" s="16" t="s">
        <v>1425</v>
      </c>
      <c r="D717" s="16" t="s">
        <v>95</v>
      </c>
      <c r="E717" s="16" t="s">
        <v>26</v>
      </c>
      <c r="F717" s="16" t="s">
        <v>1426</v>
      </c>
      <c r="G717" s="17">
        <v>1799</v>
      </c>
      <c r="H717" s="17"/>
      <c r="I717" s="17"/>
      <c r="J717" s="17">
        <v>1799</v>
      </c>
      <c r="K717" s="17" t="n">
        <f aca="false">IF(AND(IFERROR(SEARCH("현대오일뱅크",$C717),0)&gt;0,IFERROR(SEARCH("직영",$C717),0)&gt;0),$B$13,0)</f>
        <v/>
      </c>
      <c r="L717" s="17" t="n">
        <f aca="false">IF($G717="","",$G717+$K717)</f>
        <v/>
      </c>
      <c r="M717" s="17" t="str">
        <f aca="false">IF($H717="","",$H717+$K717)</f>
        <v/>
      </c>
      <c r="N717" s="17" t="n">
        <f aca="false">IF($J717="","",$J717+$K717)</f>
        <v/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 t="str">
        <f aca="false">IF($B$10=0,"",IFERROR(IF($B$4&gt;0,IF($L717="",1/0,$L717*$B$4),0)+IF($B$5&gt;0,IF($M717="",1/0,$M717*$B$5),0)+IF($B$6&gt;0,IF($N717="",1/0,$N717*$B$6),0),""))</f>
        <v/>
      </c>
      <c r="Q717" s="17"/>
      <c r="R717" s="18" t="str">
        <f aca="false">IF($P717="","",IF($Q717="Y",IFERROR(VLOOKUP($B717,$C$4:$D$13,2,FALSE()),0),0))</f>
        <v/>
      </c>
      <c r="S717" s="17" t="str">
        <f aca="false">IF($P717="","",ROUNDDOWN($P717*$R717,0))</f>
        <v/>
      </c>
      <c r="T717" s="17" t="str">
        <f aca="false">IF($P717="","",$P717-$S717)</f>
        <v/>
      </c>
      <c r="U717" s="17" t="str">
        <f aca="false">IF($T717="","",IF($B$10=0,"",$T717/$B$10))</f>
        <v/>
      </c>
      <c r="V717" s="17" t="str">
        <f aca="false">IF($P717="","",IF($B$10=0,"",$P717/$B$10))</f>
        <v/>
      </c>
      <c r="W717" s="19" t="n">
        <f aca="false">IF($T717="",1000000000000000,$T717)</f>
        <v/>
      </c>
      <c r="XFB717" s="6"/>
      <c r="XFC717" s="3"/>
    </row>
    <row r="718" s="21" collapsed="false" customFormat="true" customHeight="true" hidden="false" ht="28.5" outlineLevel="0">
      <c r="A718" s="16" t="str">
        <f aca="false">IF($T718="","",1+COUNTIF($W$15:$W$894,"&lt;"&amp;W718))</f>
        <v/>
      </c>
      <c r="B718" s="16" t="s">
        <v>10</v>
      </c>
      <c r="C718" s="16" t="s">
        <v>1427</v>
      </c>
      <c r="D718" s="16" t="s">
        <v>56</v>
      </c>
      <c r="E718" s="16" t="s">
        <v>63</v>
      </c>
      <c r="F718" s="16" t="s">
        <v>1428</v>
      </c>
      <c r="G718" s="17">
        <v>1799</v>
      </c>
      <c r="H718" s="17"/>
      <c r="I718" s="17"/>
      <c r="J718" s="17">
        <v>1799</v>
      </c>
      <c r="K718" s="17" t="n">
        <f aca="false">IF(AND(IFERROR(SEARCH("현대오일뱅크",$C718),0)&gt;0,IFERROR(SEARCH("직영",$C718),0)&gt;0),$B$13,0)</f>
        <v/>
      </c>
      <c r="L718" s="17" t="n">
        <f aca="false">IF($G718="","",$G718+$K718)</f>
        <v/>
      </c>
      <c r="M718" s="17" t="str">
        <f aca="false">IF($H718="","",$H718+$K718)</f>
        <v/>
      </c>
      <c r="N718" s="17" t="n">
        <f aca="false">IF($J718="","",$J718+$K718)</f>
        <v/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 t="str">
        <f aca="false">IF($B$10=0,"",IFERROR(IF($B$4&gt;0,IF($L718="",1/0,$L718*$B$4),0)+IF($B$5&gt;0,IF($M718="",1/0,$M718*$B$5),0)+IF($B$6&gt;0,IF($N718="",1/0,$N718*$B$6),0),""))</f>
        <v/>
      </c>
      <c r="Q718" s="17"/>
      <c r="R718" s="18" t="str">
        <f aca="false">IF($P718="","",IF($Q718="Y",IFERROR(VLOOKUP($B718,$C$4:$D$13,2,FALSE()),0),0))</f>
        <v/>
      </c>
      <c r="S718" s="17" t="str">
        <f aca="false">IF($P718="","",ROUNDDOWN($P718*$R718,0))</f>
        <v/>
      </c>
      <c r="T718" s="17" t="str">
        <f aca="false">IF($P718="","",$P718-$S718)</f>
        <v/>
      </c>
      <c r="U718" s="17" t="str">
        <f aca="false">IF($T718="","",IF($B$10=0,"",$T718/$B$10))</f>
        <v/>
      </c>
      <c r="V718" s="17" t="str">
        <f aca="false">IF($P718="","",IF($B$10=0,"",$P718/$B$10))</f>
        <v/>
      </c>
      <c r="W718" s="19" t="n">
        <f aca="false">IF($T718="",1000000000000000,$T718)</f>
        <v/>
      </c>
      <c r="XFB718" s="6"/>
      <c r="XFC718" s="3"/>
    </row>
    <row r="719" s="21" collapsed="false" customFormat="true" customHeight="true" hidden="false" ht="28.5" outlineLevel="0">
      <c r="A719" s="16" t="str">
        <f aca="false">IF($T719="","",1+COUNTIF($W$15:$W$894,"&lt;"&amp;W719))</f>
        <v/>
      </c>
      <c r="B719" s="16" t="s">
        <v>10</v>
      </c>
      <c r="C719" s="16" t="s">
        <v>1429</v>
      </c>
      <c r="D719" s="16" t="s">
        <v>45</v>
      </c>
      <c r="E719" s="16" t="s">
        <v>26</v>
      </c>
      <c r="F719" s="16" t="s">
        <v>1430</v>
      </c>
      <c r="G719" s="17">
        <v>1799</v>
      </c>
      <c r="H719" s="17"/>
      <c r="I719" s="17"/>
      <c r="J719" s="17">
        <v>1799</v>
      </c>
      <c r="K719" s="17" t="n">
        <f aca="false">IF(AND(IFERROR(SEARCH("현대오일뱅크",$C719),0)&gt;0,IFERROR(SEARCH("직영",$C719),0)&gt;0),$B$13,0)</f>
        <v/>
      </c>
      <c r="L719" s="17" t="n">
        <f aca="false">IF($G719="","",$G719+$K719)</f>
        <v/>
      </c>
      <c r="M719" s="17" t="str">
        <f aca="false">IF($H719="","",$H719+$K719)</f>
        <v/>
      </c>
      <c r="N719" s="17" t="n">
        <f aca="false">IF($J719="","",$J719+$K719)</f>
        <v/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 t="str">
        <f aca="false">IF($B$10=0,"",IFERROR(IF($B$4&gt;0,IF($L719="",1/0,$L719*$B$4),0)+IF($B$5&gt;0,IF($M719="",1/0,$M719*$B$5),0)+IF($B$6&gt;0,IF($N719="",1/0,$N719*$B$6),0),""))</f>
        <v/>
      </c>
      <c r="Q719" s="17"/>
      <c r="R719" s="18" t="str">
        <f aca="false">IF($P719="","",IF($Q719="Y",IFERROR(VLOOKUP($B719,$C$4:$D$13,2,FALSE()),0),0))</f>
        <v/>
      </c>
      <c r="S719" s="17" t="str">
        <f aca="false">IF($P719="","",ROUNDDOWN($P719*$R719,0))</f>
        <v/>
      </c>
      <c r="T719" s="17" t="str">
        <f aca="false">IF($P719="","",$P719-$S719)</f>
        <v/>
      </c>
      <c r="U719" s="17" t="str">
        <f aca="false">IF($T719="","",IF($B$10=0,"",$T719/$B$10))</f>
        <v/>
      </c>
      <c r="V719" s="17" t="str">
        <f aca="false">IF($P719="","",IF($B$10=0,"",$P719/$B$10))</f>
        <v/>
      </c>
      <c r="W719" s="19" t="n">
        <f aca="false">IF($T719="",1000000000000000,$T719)</f>
        <v/>
      </c>
      <c r="XFB719" s="6"/>
      <c r="XFC719" s="3"/>
    </row>
    <row r="720" s="21" collapsed="false" customFormat="true" customHeight="true" hidden="false" ht="28.5" outlineLevel="0">
      <c r="A720" s="16" t="str">
        <f aca="false">IF($T720="","",1+COUNTIF($W$15:$W$894,"&lt;"&amp;W720))</f>
        <v/>
      </c>
      <c r="B720" s="16" t="s">
        <v>10</v>
      </c>
      <c r="C720" s="16" t="s">
        <v>1431</v>
      </c>
      <c r="D720" s="16" t="s">
        <v>45</v>
      </c>
      <c r="E720" s="16" t="s">
        <v>26</v>
      </c>
      <c r="F720" s="16" t="s">
        <v>1432</v>
      </c>
      <c r="G720" s="17">
        <v>1799</v>
      </c>
      <c r="H720" s="17"/>
      <c r="I720" s="17"/>
      <c r="J720" s="17">
        <v>1799</v>
      </c>
      <c r="K720" s="17" t="n">
        <f aca="false">IF(AND(IFERROR(SEARCH("현대오일뱅크",$C720),0)&gt;0,IFERROR(SEARCH("직영",$C720),0)&gt;0),$B$13,0)</f>
        <v/>
      </c>
      <c r="L720" s="17" t="n">
        <f aca="false">IF($G720="","",$G720+$K720)</f>
        <v/>
      </c>
      <c r="M720" s="17" t="str">
        <f aca="false">IF($H720="","",$H720+$K720)</f>
        <v/>
      </c>
      <c r="N720" s="17" t="n">
        <f aca="false">IF($J720="","",$J720+$K720)</f>
        <v/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 t="str">
        <f aca="false">IF($B$10=0,"",IFERROR(IF($B$4&gt;0,IF($L720="",1/0,$L720*$B$4),0)+IF($B$5&gt;0,IF($M720="",1/0,$M720*$B$5),0)+IF($B$6&gt;0,IF($N720="",1/0,$N720*$B$6),0),""))</f>
        <v/>
      </c>
      <c r="Q720" s="17"/>
      <c r="R720" s="18" t="str">
        <f aca="false">IF($P720="","",IF($Q720="Y",IFERROR(VLOOKUP($B720,$C$4:$D$13,2,FALSE()),0),0))</f>
        <v/>
      </c>
      <c r="S720" s="17" t="str">
        <f aca="false">IF($P720="","",ROUNDDOWN($P720*$R720,0))</f>
        <v/>
      </c>
      <c r="T720" s="17" t="str">
        <f aca="false">IF($P720="","",$P720-$S720)</f>
        <v/>
      </c>
      <c r="U720" s="17" t="str">
        <f aca="false">IF($T720="","",IF($B$10=0,"",$T720/$B$10))</f>
        <v/>
      </c>
      <c r="V720" s="17" t="str">
        <f aca="false">IF($P720="","",IF($B$10=0,"",$P720/$B$10))</f>
        <v/>
      </c>
      <c r="W720" s="19" t="n">
        <f aca="false">IF($T720="",1000000000000000,$T720)</f>
        <v/>
      </c>
      <c r="XFB720" s="6"/>
      <c r="XFC720" s="3"/>
    </row>
    <row r="721" s="21" collapsed="false" customFormat="true" customHeight="true" hidden="false" ht="28.5" outlineLevel="0">
      <c r="A721" s="16" t="str">
        <f aca="false">IF($T721="","",1+COUNTIF($W$15:$W$894,"&lt;"&amp;W721))</f>
        <v/>
      </c>
      <c r="B721" s="16" t="s">
        <v>10</v>
      </c>
      <c r="C721" s="16" t="s">
        <v>1433</v>
      </c>
      <c r="D721" s="16" t="s">
        <v>45</v>
      </c>
      <c r="E721" s="16" t="s">
        <v>26</v>
      </c>
      <c r="F721" s="16" t="s">
        <v>1434</v>
      </c>
      <c r="G721" s="17">
        <v>1799</v>
      </c>
      <c r="H721" s="17"/>
      <c r="I721" s="17"/>
      <c r="J721" s="17">
        <v>1799</v>
      </c>
      <c r="K721" s="17" t="n">
        <f aca="false">IF(AND(IFERROR(SEARCH("현대오일뱅크",$C721),0)&gt;0,IFERROR(SEARCH("직영",$C721),0)&gt;0),$B$13,0)</f>
        <v/>
      </c>
      <c r="L721" s="17" t="n">
        <f aca="false">IF($G721="","",$G721+$K721)</f>
        <v/>
      </c>
      <c r="M721" s="17" t="str">
        <f aca="false">IF($H721="","",$H721+$K721)</f>
        <v/>
      </c>
      <c r="N721" s="17" t="n">
        <f aca="false">IF($J721="","",$J721+$K721)</f>
        <v/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 t="str">
        <f aca="false">IF($B$10=0,"",IFERROR(IF($B$4&gt;0,IF($L721="",1/0,$L721*$B$4),0)+IF($B$5&gt;0,IF($M721="",1/0,$M721*$B$5),0)+IF($B$6&gt;0,IF($N721="",1/0,$N721*$B$6),0),""))</f>
        <v/>
      </c>
      <c r="Q721" s="17"/>
      <c r="R721" s="18" t="str">
        <f aca="false">IF($P721="","",IF($Q721="Y",IFERROR(VLOOKUP($B721,$C$4:$D$13,2,FALSE()),0),0))</f>
        <v/>
      </c>
      <c r="S721" s="17" t="str">
        <f aca="false">IF($P721="","",ROUNDDOWN($P721*$R721,0))</f>
        <v/>
      </c>
      <c r="T721" s="17" t="str">
        <f aca="false">IF($P721="","",$P721-$S721)</f>
        <v/>
      </c>
      <c r="U721" s="17" t="str">
        <f aca="false">IF($T721="","",IF($B$10=0,"",$T721/$B$10))</f>
        <v/>
      </c>
      <c r="V721" s="17" t="str">
        <f aca="false">IF($P721="","",IF($B$10=0,"",$P721/$B$10))</f>
        <v/>
      </c>
      <c r="W721" s="19" t="n">
        <f aca="false">IF($T721="",1000000000000000,$T721)</f>
        <v/>
      </c>
      <c r="XFB721" s="6"/>
      <c r="XFC721" s="3"/>
    </row>
    <row r="722" s="21" collapsed="false" customFormat="true" customHeight="true" hidden="false" ht="28.5" outlineLevel="0">
      <c r="A722" s="16" t="str">
        <f aca="false">IF($T722="","",1+COUNTIF($W$15:$W$894,"&lt;"&amp;W722))</f>
        <v/>
      </c>
      <c r="B722" s="16" t="s">
        <v>10</v>
      </c>
      <c r="C722" s="16" t="s">
        <v>1435</v>
      </c>
      <c r="D722" s="16" t="s">
        <v>56</v>
      </c>
      <c r="E722" s="16" t="s">
        <v>26</v>
      </c>
      <c r="F722" s="16" t="s">
        <v>1436</v>
      </c>
      <c r="G722" s="17">
        <v>1799</v>
      </c>
      <c r="H722" s="17"/>
      <c r="I722" s="17"/>
      <c r="J722" s="17">
        <v>1799</v>
      </c>
      <c r="K722" s="17" t="n">
        <f aca="false">IF(AND(IFERROR(SEARCH("현대오일뱅크",$C722),0)&gt;0,IFERROR(SEARCH("직영",$C722),0)&gt;0),$B$13,0)</f>
        <v/>
      </c>
      <c r="L722" s="17" t="n">
        <f aca="false">IF($G722="","",$G722+$K722)</f>
        <v/>
      </c>
      <c r="M722" s="17" t="str">
        <f aca="false">IF($H722="","",$H722+$K722)</f>
        <v/>
      </c>
      <c r="N722" s="17" t="n">
        <f aca="false">IF($J722="","",$J722+$K722)</f>
        <v/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 t="str">
        <f aca="false">IF($B$10=0,"",IFERROR(IF($B$4&gt;0,IF($L722="",1/0,$L722*$B$4),0)+IF($B$5&gt;0,IF($M722="",1/0,$M722*$B$5),0)+IF($B$6&gt;0,IF($N722="",1/0,$N722*$B$6),0),""))</f>
        <v/>
      </c>
      <c r="Q722" s="17"/>
      <c r="R722" s="18" t="str">
        <f aca="false">IF($P722="","",IF($Q722="Y",IFERROR(VLOOKUP($B722,$C$4:$D$13,2,FALSE()),0),0))</f>
        <v/>
      </c>
      <c r="S722" s="17" t="str">
        <f aca="false">IF($P722="","",ROUNDDOWN($P722*$R722,0))</f>
        <v/>
      </c>
      <c r="T722" s="17" t="str">
        <f aca="false">IF($P722="","",$P722-$S722)</f>
        <v/>
      </c>
      <c r="U722" s="17" t="str">
        <f aca="false">IF($T722="","",IF($B$10=0,"",$T722/$B$10))</f>
        <v/>
      </c>
      <c r="V722" s="17" t="str">
        <f aca="false">IF($P722="","",IF($B$10=0,"",$P722/$B$10))</f>
        <v/>
      </c>
      <c r="W722" s="19" t="n">
        <f aca="false">IF($T722="",1000000000000000,$T722)</f>
        <v/>
      </c>
      <c r="XFB722" s="6"/>
      <c r="XFC722" s="3"/>
    </row>
    <row r="723" s="21" collapsed="false" customFormat="true" customHeight="true" hidden="false" ht="28.5" outlineLevel="0">
      <c r="A723" s="16" t="str">
        <f aca="false">IF($T723="","",1+COUNTIF($W$15:$W$894,"&lt;"&amp;W723))</f>
        <v/>
      </c>
      <c r="B723" s="16" t="s">
        <v>10</v>
      </c>
      <c r="C723" s="16" t="s">
        <v>1437</v>
      </c>
      <c r="D723" s="16" t="s">
        <v>95</v>
      </c>
      <c r="E723" s="16" t="s">
        <v>26</v>
      </c>
      <c r="F723" s="16" t="s">
        <v>1438</v>
      </c>
      <c r="G723" s="17">
        <v>1799</v>
      </c>
      <c r="H723" s="17"/>
      <c r="I723" s="17"/>
      <c r="J723" s="17">
        <v>1799</v>
      </c>
      <c r="K723" s="17" t="n">
        <f aca="false">IF(AND(IFERROR(SEARCH("현대오일뱅크",$C723),0)&gt;0,IFERROR(SEARCH("직영",$C723),0)&gt;0),$B$13,0)</f>
        <v/>
      </c>
      <c r="L723" s="17" t="n">
        <f aca="false">IF($G723="","",$G723+$K723)</f>
        <v/>
      </c>
      <c r="M723" s="17" t="str">
        <f aca="false">IF($H723="","",$H723+$K723)</f>
        <v/>
      </c>
      <c r="N723" s="17" t="n">
        <f aca="false">IF($J723="","",$J723+$K723)</f>
        <v/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 t="str">
        <f aca="false">IF($B$10=0,"",IFERROR(IF($B$4&gt;0,IF($L723="",1/0,$L723*$B$4),0)+IF($B$5&gt;0,IF($M723="",1/0,$M723*$B$5),0)+IF($B$6&gt;0,IF($N723="",1/0,$N723*$B$6),0),""))</f>
        <v/>
      </c>
      <c r="Q723" s="17"/>
      <c r="R723" s="18" t="str">
        <f aca="false">IF($P723="","",IF($Q723="Y",IFERROR(VLOOKUP($B723,$C$4:$D$13,2,FALSE()),0),0))</f>
        <v/>
      </c>
      <c r="S723" s="17" t="str">
        <f aca="false">IF($P723="","",ROUNDDOWN($P723*$R723,0))</f>
        <v/>
      </c>
      <c r="T723" s="17" t="str">
        <f aca="false">IF($P723="","",$P723-$S723)</f>
        <v/>
      </c>
      <c r="U723" s="17" t="str">
        <f aca="false">IF($T723="","",IF($B$10=0,"",$T723/$B$10))</f>
        <v/>
      </c>
      <c r="V723" s="17" t="str">
        <f aca="false">IF($P723="","",IF($B$10=0,"",$P723/$B$10))</f>
        <v/>
      </c>
      <c r="W723" s="19" t="n">
        <f aca="false">IF($T723="",1000000000000000,$T723)</f>
        <v/>
      </c>
      <c r="XFB723" s="6"/>
      <c r="XFC723" s="3"/>
    </row>
    <row r="724" s="6" collapsed="false" customFormat="true" customHeight="true" hidden="false" ht="28.6" outlineLevel="0">
      <c r="A724" s="16" t="str">
        <f aca="false">IF($T724="","",1+COUNTIF($W$15:$W$894,"&lt;"&amp;W724))</f>
        <v/>
      </c>
      <c r="B724" s="16" t="s">
        <v>10</v>
      </c>
      <c r="C724" s="16" t="s">
        <v>1439</v>
      </c>
      <c r="D724" s="16" t="s">
        <v>45</v>
      </c>
      <c r="E724" s="16" t="s">
        <v>26</v>
      </c>
      <c r="F724" s="16" t="s">
        <v>1440</v>
      </c>
      <c r="G724" s="17">
        <v>1799</v>
      </c>
      <c r="H724" s="17"/>
      <c r="I724" s="17"/>
      <c r="J724" s="17">
        <v>1799</v>
      </c>
      <c r="K724" s="17" t="n">
        <f aca="false">IF(AND(IFERROR(SEARCH("현대오일뱅크",$C724),0)&gt;0,IFERROR(SEARCH("직영",$C724),0)&gt;0),$B$13,0)</f>
        <v/>
      </c>
      <c r="L724" s="17" t="n">
        <f aca="false">IF($G724="","",$G724+$K724)</f>
        <v/>
      </c>
      <c r="M724" s="17" t="str">
        <f aca="false">IF($H724="","",$H724+$K724)</f>
        <v/>
      </c>
      <c r="N724" s="17" t="n">
        <f aca="false">IF($J724="","",$J724+$K724)</f>
        <v/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 t="str">
        <f aca="false">IF($B$10=0,"",IFERROR(IF($B$4&gt;0,IF($L724="",1/0,$L724*$B$4),0)+IF($B$5&gt;0,IF($M724="",1/0,$M724*$B$5),0)+IF($B$6&gt;0,IF($N724="",1/0,$N724*$B$6),0),""))</f>
        <v/>
      </c>
      <c r="Q724" s="17"/>
      <c r="R724" s="18" t="str">
        <f aca="false">IF($P724="","",IF($Q724="Y",IFERROR(VLOOKUP($B724,$C$4:$D$13,2,FALSE()),0),0))</f>
        <v/>
      </c>
      <c r="S724" s="17" t="str">
        <f aca="false">IF($P724="","",ROUNDDOWN($P724*$R724,0))</f>
        <v/>
      </c>
      <c r="T724" s="17" t="str">
        <f aca="false">IF($P724="","",$P724-$S724)</f>
        <v/>
      </c>
      <c r="U724" s="17" t="str">
        <f aca="false">IF($T724="","",IF($B$10=0,"",$T724/$B$10))</f>
        <v/>
      </c>
      <c r="V724" s="17" t="str">
        <f aca="false">IF($P724="","",IF($B$10=0,"",$P724/$B$10))</f>
        <v/>
      </c>
      <c r="W724" s="19" t="n">
        <f aca="false">IF($T724="",1000000000000000,$T724)</f>
        <v/>
      </c>
      <c r="XFC724" s="3"/>
    </row>
    <row r="725" s="21" collapsed="false" customFormat="true" customHeight="true" hidden="false" ht="28.5" outlineLevel="0">
      <c r="A725" s="16" t="str">
        <f aca="false">IF($T725="","",1+COUNTIF($W$15:$W$894,"&lt;"&amp;W725))</f>
        <v/>
      </c>
      <c r="B725" s="16" t="s">
        <v>10</v>
      </c>
      <c r="C725" s="16" t="s">
        <v>1441</v>
      </c>
      <c r="D725" s="20" t="s">
        <v>86</v>
      </c>
      <c r="E725" s="16" t="s">
        <v>26</v>
      </c>
      <c r="F725" s="16" t="s">
        <v>1442</v>
      </c>
      <c r="G725" s="17">
        <v>1799</v>
      </c>
      <c r="H725" s="17"/>
      <c r="I725" s="17"/>
      <c r="J725" s="17">
        <v>1799</v>
      </c>
      <c r="K725" s="17" t="n">
        <f aca="false">IF(AND(IFERROR(SEARCH("현대오일뱅크",$C725),0)&gt;0,IFERROR(SEARCH("직영",$C725),0)&gt;0),$B$13,0)</f>
        <v/>
      </c>
      <c r="L725" s="17" t="n">
        <f aca="false">IF($G725="","",$G725+$K725)</f>
        <v/>
      </c>
      <c r="M725" s="17" t="str">
        <f aca="false">IF($H725="","",$H725+$K725)</f>
        <v/>
      </c>
      <c r="N725" s="17" t="n">
        <f aca="false">IF($J725="","",$J725+$K725)</f>
        <v/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 t="str">
        <f aca="false">IF($B$10=0,"",IFERROR(IF($B$4&gt;0,IF($L725="",1/0,$L725*$B$4),0)+IF($B$5&gt;0,IF($M725="",1/0,$M725*$B$5),0)+IF($B$6&gt;0,IF($N725="",1/0,$N725*$B$6),0),""))</f>
        <v/>
      </c>
      <c r="Q725" s="17"/>
      <c r="R725" s="18" t="str">
        <f aca="false">IF($P725="","",IF($Q725="Y",IFERROR(VLOOKUP($B725,$C$4:$D$13,2,FALSE()),0),0))</f>
        <v/>
      </c>
      <c r="S725" s="17" t="str">
        <f aca="false">IF($P725="","",ROUNDDOWN($P725*$R725,0))</f>
        <v/>
      </c>
      <c r="T725" s="17" t="str">
        <f aca="false">IF($P725="","",$P725-$S725)</f>
        <v/>
      </c>
      <c r="U725" s="17" t="str">
        <f aca="false">IF($T725="","",IF($B$10=0,"",$T725/$B$10))</f>
        <v/>
      </c>
      <c r="V725" s="17" t="str">
        <f aca="false">IF($P725="","",IF($B$10=0,"",$P725/$B$10))</f>
        <v/>
      </c>
      <c r="W725" s="19" t="n">
        <f aca="false">IF($T725="",1000000000000000,$T725)</f>
        <v/>
      </c>
      <c r="XFB725" s="6"/>
      <c r="XFC725" s="3"/>
    </row>
    <row r="726" s="5" collapsed="false" customFormat="true" customHeight="true" hidden="false" ht="28.5" outlineLevel="0">
      <c r="A726" s="16" t="str">
        <f aca="false">IF($T726="","",1+COUNTIF($W$15:$W$894,"&lt;"&amp;W726))</f>
        <v/>
      </c>
      <c r="B726" s="16" t="s">
        <v>10</v>
      </c>
      <c r="C726" s="16" t="s">
        <v>423</v>
      </c>
      <c r="D726" s="16" t="s">
        <v>56</v>
      </c>
      <c r="E726" s="16" t="s">
        <v>26</v>
      </c>
      <c r="F726" s="16" t="s">
        <v>1443</v>
      </c>
      <c r="G726" s="17">
        <v>1799</v>
      </c>
      <c r="H726" s="17"/>
      <c r="I726" s="17"/>
      <c r="J726" s="17">
        <v>1799</v>
      </c>
      <c r="K726" s="17" t="n">
        <f aca="false">IF(AND(IFERROR(SEARCH("현대오일뱅크",$C726),0)&gt;0,IFERROR(SEARCH("직영",$C726),0)&gt;0),$B$13,0)</f>
        <v/>
      </c>
      <c r="L726" s="17" t="n">
        <f aca="false">IF($G726="","",$G726+$K726)</f>
        <v/>
      </c>
      <c r="M726" s="17" t="str">
        <f aca="false">IF($H726="","",$H726+$K726)</f>
        <v/>
      </c>
      <c r="N726" s="17" t="n">
        <f aca="false">IF($J726="","",$J726+$K726)</f>
        <v/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 t="str">
        <f aca="false">IF($B$10=0,"",IFERROR(IF($B$4&gt;0,IF($L726="",1/0,$L726*$B$4),0)+IF($B$5&gt;0,IF($M726="",1/0,$M726*$B$5),0)+IF($B$6&gt;0,IF($N726="",1/0,$N726*$B$6),0),""))</f>
        <v/>
      </c>
      <c r="Q726" s="17"/>
      <c r="R726" s="18" t="str">
        <f aca="false">IF($P726="","",IF($Q726="Y",IFERROR(VLOOKUP($B726,$C$4:$D$13,2,FALSE()),0),0))</f>
        <v/>
      </c>
      <c r="S726" s="17" t="str">
        <f aca="false">IF($P726="","",ROUNDDOWN($P726*$R726,0))</f>
        <v/>
      </c>
      <c r="T726" s="17" t="str">
        <f aca="false">IF($P726="","",$P726-$S726)</f>
        <v/>
      </c>
      <c r="U726" s="17" t="str">
        <f aca="false">IF($T726="","",IF($B$10=0,"",$T726/$B$10))</f>
        <v/>
      </c>
      <c r="V726" s="17" t="str">
        <f aca="false">IF($P726="","",IF($B$10=0,"",$P726/$B$10))</f>
        <v/>
      </c>
      <c r="W726" s="19" t="n">
        <f aca="false">IF($T726="",1000000000000000,$T726)</f>
        <v/>
      </c>
      <c r="XFB726" s="6"/>
      <c r="XFC726" s="3"/>
    </row>
    <row r="727" s="21" collapsed="false" customFormat="true" customHeight="true" hidden="false" ht="28.5" outlineLevel="0">
      <c r="A727" s="16" t="str">
        <f aca="false">IF($T727="","",1+COUNTIF($W$15:$W$894,"&lt;"&amp;W727))</f>
        <v/>
      </c>
      <c r="B727" s="16" t="s">
        <v>10</v>
      </c>
      <c r="C727" s="16" t="s">
        <v>1485</v>
      </c>
      <c r="D727" s="16" t="s">
        <v>500</v>
      </c>
      <c r="E727" s="16" t="s">
        <v>26</v>
      </c>
      <c r="F727" s="16" t="s">
        <v>1486</v>
      </c>
      <c r="G727" s="17">
        <v>1799</v>
      </c>
      <c r="H727" s="17"/>
      <c r="I727" s="17"/>
      <c r="J727" s="17">
        <v>1799</v>
      </c>
      <c r="K727" s="17" t="n">
        <f aca="false">IF(AND(IFERROR(SEARCH("현대오일뱅크",$C727),0)&gt;0,IFERROR(SEARCH("직영",$C727),0)&gt;0),$B$13,0)</f>
        <v/>
      </c>
      <c r="L727" s="17" t="n">
        <f aca="false">IF($G727="","",$G727+$K727)</f>
        <v/>
      </c>
      <c r="M727" s="17" t="str">
        <f aca="false">IF($H727="","",$H727+$K727)</f>
        <v/>
      </c>
      <c r="N727" s="17" t="n">
        <f aca="false">IF($J727="","",$J727+$K727)</f>
        <v/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 t="str">
        <f aca="false">IF($B$10=0,"",IFERROR(IF($B$4&gt;0,IF($L727="",1/0,$L727*$B$4),0)+IF($B$5&gt;0,IF($M727="",1/0,$M727*$B$5),0)+IF($B$6&gt;0,IF($N727="",1/0,$N727*$B$6),0),""))</f>
        <v/>
      </c>
      <c r="Q727" s="17"/>
      <c r="R727" s="18" t="str">
        <f aca="false">IF($P727="","",IF($Q727="Y",IFERROR(VLOOKUP($B727,$C$4:$D$13,2,FALSE()),0),0))</f>
        <v/>
      </c>
      <c r="S727" s="17" t="str">
        <f aca="false">IF($P727="","",ROUNDDOWN($P727*$R727,0))</f>
        <v/>
      </c>
      <c r="T727" s="17" t="str">
        <f aca="false">IF($P727="","",$P727-$S727)</f>
        <v/>
      </c>
      <c r="U727" s="17" t="str">
        <f aca="false">IF($T727="","",IF($B$10=0,"",$T727/$B$10))</f>
        <v/>
      </c>
      <c r="V727" s="17" t="str">
        <f aca="false">IF($P727="","",IF($B$10=0,"",$P727/$B$10))</f>
        <v/>
      </c>
      <c r="W727" s="19" t="n">
        <f aca="false">IF($T727="",1000000000000000,$T727)</f>
        <v/>
      </c>
      <c r="XFB727" s="6"/>
      <c r="XFC727" s="3"/>
    </row>
    <row r="728" s="21" collapsed="false" customFormat="true" customHeight="true" hidden="false" ht="28.5" outlineLevel="0">
      <c r="A728" s="16" t="str">
        <f aca="false">IF($T728="","",1+COUNTIF($W$15:$W$894,"&lt;"&amp;W728))</f>
        <v/>
      </c>
      <c r="B728" s="16" t="s">
        <v>10</v>
      </c>
      <c r="C728" s="16" t="s">
        <v>1222</v>
      </c>
      <c r="D728" s="16" t="s">
        <v>56</v>
      </c>
      <c r="E728" s="16" t="s">
        <v>26</v>
      </c>
      <c r="F728" s="16" t="s">
        <v>1223</v>
      </c>
      <c r="G728" s="17">
        <v>1799</v>
      </c>
      <c r="H728" s="17"/>
      <c r="I728" s="17"/>
      <c r="J728" s="17">
        <v>1799</v>
      </c>
      <c r="K728" s="17" t="n">
        <f aca="false">IF(AND(IFERROR(SEARCH("현대오일뱅크",$C728),0)&gt;0,IFERROR(SEARCH("직영",$C728),0)&gt;0),$B$13,0)</f>
        <v/>
      </c>
      <c r="L728" s="17" t="n">
        <f aca="false">IF($G728="","",$G728+$K728)</f>
        <v/>
      </c>
      <c r="M728" s="17" t="str">
        <f aca="false">IF($H728="","",$H728+$K728)</f>
        <v/>
      </c>
      <c r="N728" s="17" t="n">
        <f aca="false">IF($J728="","",$J728+$K728)</f>
        <v/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 t="str">
        <f aca="false">IF($B$10=0,"",IFERROR(IF($B$4&gt;0,IF($L728="",1/0,$L728*$B$4),0)+IF($B$5&gt;0,IF($M728="",1/0,$M728*$B$5),0)+IF($B$6&gt;0,IF($N728="",1/0,$N728*$B$6),0),""))</f>
        <v/>
      </c>
      <c r="Q728" s="17"/>
      <c r="R728" s="18" t="str">
        <f aca="false">IF($P728="","",IF($Q728="Y",IFERROR(VLOOKUP($B728,$C$4:$D$13,2,FALSE()),0),0))</f>
        <v/>
      </c>
      <c r="S728" s="17" t="str">
        <f aca="false">IF($P728="","",ROUNDDOWN($P728*$R728,0))</f>
        <v/>
      </c>
      <c r="T728" s="17" t="str">
        <f aca="false">IF($P728="","",$P728-$S728)</f>
        <v/>
      </c>
      <c r="U728" s="17" t="str">
        <f aca="false">IF($T728="","",IF($B$10=0,"",$T728/$B$10))</f>
        <v/>
      </c>
      <c r="V728" s="17" t="str">
        <f aca="false">IF($P728="","",IF($B$10=0,"",$P728/$B$10))</f>
        <v/>
      </c>
      <c r="W728" s="19" t="n">
        <f aca="false">IF($T728="",1000000000000000,$T728)</f>
        <v/>
      </c>
      <c r="XFB728" s="6"/>
      <c r="XFC728" s="3"/>
    </row>
    <row r="729" s="21" collapsed="false" customFormat="true" customHeight="true" hidden="false" ht="28.5" outlineLevel="0">
      <c r="A729" s="16" t="str">
        <f aca="false">IF($T729="","",1+COUNTIF($W$15:$W$894,"&lt;"&amp;W729))</f>
        <v/>
      </c>
      <c r="B729" s="16" t="s">
        <v>10</v>
      </c>
      <c r="C729" s="16" t="s">
        <v>1444</v>
      </c>
      <c r="D729" s="20" t="s">
        <v>86</v>
      </c>
      <c r="E729" s="16" t="s">
        <v>26</v>
      </c>
      <c r="F729" s="16" t="s">
        <v>1445</v>
      </c>
      <c r="G729" s="17">
        <v>1799</v>
      </c>
      <c r="H729" s="17"/>
      <c r="I729" s="17"/>
      <c r="J729" s="17">
        <v>1799</v>
      </c>
      <c r="K729" s="17" t="n">
        <f aca="false">IF(AND(IFERROR(SEARCH("현대오일뱅크",$C729),0)&gt;0,IFERROR(SEARCH("직영",$C729),0)&gt;0),$B$13,0)</f>
        <v/>
      </c>
      <c r="L729" s="17" t="n">
        <f aca="false">IF($G729="","",$G729+$K729)</f>
        <v/>
      </c>
      <c r="M729" s="17" t="str">
        <f aca="false">IF($H729="","",$H729+$K729)</f>
        <v/>
      </c>
      <c r="N729" s="17" t="n">
        <f aca="false">IF($J729="","",$J729+$K729)</f>
        <v/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 t="str">
        <f aca="false">IF($B$10=0,"",IFERROR(IF($B$4&gt;0,IF($L729="",1/0,$L729*$B$4),0)+IF($B$5&gt;0,IF($M729="",1/0,$M729*$B$5),0)+IF($B$6&gt;0,IF($N729="",1/0,$N729*$B$6),0),""))</f>
        <v/>
      </c>
      <c r="Q729" s="17"/>
      <c r="R729" s="18" t="str">
        <f aca="false">IF($P729="","",IF($Q729="Y",IFERROR(VLOOKUP($B729,$C$4:$D$13,2,FALSE()),0),0))</f>
        <v/>
      </c>
      <c r="S729" s="17" t="str">
        <f aca="false">IF($P729="","",ROUNDDOWN($P729*$R729,0))</f>
        <v/>
      </c>
      <c r="T729" s="17" t="str">
        <f aca="false">IF($P729="","",$P729-$S729)</f>
        <v/>
      </c>
      <c r="U729" s="17" t="str">
        <f aca="false">IF($T729="","",IF($B$10=0,"",$T729/$B$10))</f>
        <v/>
      </c>
      <c r="V729" s="17" t="str">
        <f aca="false">IF($P729="","",IF($B$10=0,"",$P729/$B$10))</f>
        <v/>
      </c>
      <c r="W729" s="19" t="n">
        <f aca="false">IF($T729="",1000000000000000,$T729)</f>
        <v/>
      </c>
      <c r="XFB729" s="6"/>
      <c r="XFC729" s="3"/>
    </row>
    <row r="730" s="21" collapsed="false" customFormat="true" customHeight="true" hidden="false" ht="28.5" outlineLevel="0">
      <c r="A730" s="16" t="str">
        <f aca="false">IF($T730="","",1+COUNTIF($W$15:$W$894,"&lt;"&amp;W730))</f>
        <v/>
      </c>
      <c r="B730" s="16" t="s">
        <v>10</v>
      </c>
      <c r="C730" s="16" t="s">
        <v>1446</v>
      </c>
      <c r="D730" s="16" t="s">
        <v>500</v>
      </c>
      <c r="E730" s="16" t="s">
        <v>26</v>
      </c>
      <c r="F730" s="16" t="s">
        <v>1447</v>
      </c>
      <c r="G730" s="17">
        <v>1799</v>
      </c>
      <c r="H730" s="17"/>
      <c r="I730" s="17"/>
      <c r="J730" s="17">
        <v>1799</v>
      </c>
      <c r="K730" s="17" t="n">
        <f aca="false">IF(AND(IFERROR(SEARCH("현대오일뱅크",$C730),0)&gt;0,IFERROR(SEARCH("직영",$C730),0)&gt;0),$B$13,0)</f>
        <v/>
      </c>
      <c r="L730" s="17" t="n">
        <f aca="false">IF($G730="","",$G730+$K730)</f>
        <v/>
      </c>
      <c r="M730" s="17" t="str">
        <f aca="false">IF($H730="","",$H730+$K730)</f>
        <v/>
      </c>
      <c r="N730" s="17" t="n">
        <f aca="false">IF($J730="","",$J730+$K730)</f>
        <v/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 t="str">
        <f aca="false">IF($B$10=0,"",IFERROR(IF($B$4&gt;0,IF($L730="",1/0,$L730*$B$4),0)+IF($B$5&gt;0,IF($M730="",1/0,$M730*$B$5),0)+IF($B$6&gt;0,IF($N730="",1/0,$N730*$B$6),0),""))</f>
        <v/>
      </c>
      <c r="Q730" s="17"/>
      <c r="R730" s="18" t="str">
        <f aca="false">IF($P730="","",IF($Q730="Y",IFERROR(VLOOKUP($B730,$C$4:$D$13,2,FALSE()),0),0))</f>
        <v/>
      </c>
      <c r="S730" s="17" t="str">
        <f aca="false">IF($P730="","",ROUNDDOWN($P730*$R730,0))</f>
        <v/>
      </c>
      <c r="T730" s="17" t="str">
        <f aca="false">IF($P730="","",$P730-$S730)</f>
        <v/>
      </c>
      <c r="U730" s="17" t="str">
        <f aca="false">IF($T730="","",IF($B$10=0,"",$T730/$B$10))</f>
        <v/>
      </c>
      <c r="V730" s="17" t="str">
        <f aca="false">IF($P730="","",IF($B$10=0,"",$P730/$B$10))</f>
        <v/>
      </c>
      <c r="W730" s="19" t="n">
        <f aca="false">IF($T730="",1000000000000000,$T730)</f>
        <v/>
      </c>
      <c r="XFB730" s="6"/>
      <c r="XFC730" s="3"/>
    </row>
    <row r="731" s="21" collapsed="false" customFormat="true" customHeight="true" hidden="false" ht="28.5" outlineLevel="0">
      <c r="A731" s="16" t="str">
        <f aca="false">IF($T731="","",1+COUNTIF($W$15:$W$894,"&lt;"&amp;W731))</f>
        <v/>
      </c>
      <c r="B731" s="16" t="s">
        <v>10</v>
      </c>
      <c r="C731" s="16" t="s">
        <v>1448</v>
      </c>
      <c r="D731" s="16" t="s">
        <v>500</v>
      </c>
      <c r="E731" s="16" t="s">
        <v>63</v>
      </c>
      <c r="F731" s="16" t="s">
        <v>1449</v>
      </c>
      <c r="G731" s="17">
        <v>1799</v>
      </c>
      <c r="H731" s="17"/>
      <c r="I731" s="17"/>
      <c r="J731" s="17">
        <v>1799</v>
      </c>
      <c r="K731" s="17" t="n">
        <f aca="false">IF(AND(IFERROR(SEARCH("현대오일뱅크",$C731),0)&gt;0,IFERROR(SEARCH("직영",$C731),0)&gt;0),$B$13,0)</f>
        <v/>
      </c>
      <c r="L731" s="17" t="n">
        <f aca="false">IF($G731="","",$G731+$K731)</f>
        <v/>
      </c>
      <c r="M731" s="17" t="str">
        <f aca="false">IF($H731="","",$H731+$K731)</f>
        <v/>
      </c>
      <c r="N731" s="17" t="n">
        <f aca="false">IF($J731="","",$J731+$K731)</f>
        <v/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 t="str">
        <f aca="false">IF($B$10=0,"",IFERROR(IF($B$4&gt;0,IF($L731="",1/0,$L731*$B$4),0)+IF($B$5&gt;0,IF($M731="",1/0,$M731*$B$5),0)+IF($B$6&gt;0,IF($N731="",1/0,$N731*$B$6),0),""))</f>
        <v/>
      </c>
      <c r="Q731" s="17"/>
      <c r="R731" s="18" t="str">
        <f aca="false">IF($P731="","",IF($Q731="Y",IFERROR(VLOOKUP($B731,$C$4:$D$13,2,FALSE()),0),0))</f>
        <v/>
      </c>
      <c r="S731" s="17" t="str">
        <f aca="false">IF($P731="","",ROUNDDOWN($P731*$R731,0))</f>
        <v/>
      </c>
      <c r="T731" s="17" t="str">
        <f aca="false">IF($P731="","",$P731-$S731)</f>
        <v/>
      </c>
      <c r="U731" s="17" t="str">
        <f aca="false">IF($T731="","",IF($B$10=0,"",$T731/$B$10))</f>
        <v/>
      </c>
      <c r="V731" s="17" t="str">
        <f aca="false">IF($P731="","",IF($B$10=0,"",$P731/$B$10))</f>
        <v/>
      </c>
      <c r="W731" s="19" t="n">
        <f aca="false">IF($T731="",1000000000000000,$T731)</f>
        <v/>
      </c>
      <c r="XFB731" s="6"/>
      <c r="XFC731" s="3"/>
    </row>
    <row r="732" s="21" collapsed="false" customFormat="true" customHeight="true" hidden="false" ht="28.5" outlineLevel="0">
      <c r="A732" s="16" t="str">
        <f aca="false">IF($T732="","",1+COUNTIF($W$15:$W$894,"&lt;"&amp;W732))</f>
        <v/>
      </c>
      <c r="B732" s="16" t="s">
        <v>10</v>
      </c>
      <c r="C732" s="16" t="s">
        <v>1450</v>
      </c>
      <c r="D732" s="20" t="s">
        <v>86</v>
      </c>
      <c r="E732" s="16" t="s">
        <v>26</v>
      </c>
      <c r="F732" s="16" t="s">
        <v>1451</v>
      </c>
      <c r="G732" s="17">
        <v>1799</v>
      </c>
      <c r="H732" s="17"/>
      <c r="I732" s="17"/>
      <c r="J732" s="17">
        <v>1799</v>
      </c>
      <c r="K732" s="17" t="n">
        <f aca="false">IF(AND(IFERROR(SEARCH("현대오일뱅크",$C732),0)&gt;0,IFERROR(SEARCH("직영",$C732),0)&gt;0),$B$13,0)</f>
        <v/>
      </c>
      <c r="L732" s="17" t="n">
        <f aca="false">IF($G732="","",$G732+$K732)</f>
        <v/>
      </c>
      <c r="M732" s="17" t="str">
        <f aca="false">IF($H732="","",$H732+$K732)</f>
        <v/>
      </c>
      <c r="N732" s="17" t="n">
        <f aca="false">IF($J732="","",$J732+$K732)</f>
        <v/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 t="str">
        <f aca="false">IF($B$10=0,"",IFERROR(IF($B$4&gt;0,IF($L732="",1/0,$L732*$B$4),0)+IF($B$5&gt;0,IF($M732="",1/0,$M732*$B$5),0)+IF($B$6&gt;0,IF($N732="",1/0,$N732*$B$6),0),""))</f>
        <v/>
      </c>
      <c r="Q732" s="17"/>
      <c r="R732" s="18" t="str">
        <f aca="false">IF($P732="","",IF($Q732="Y",IFERROR(VLOOKUP($B732,$C$4:$D$13,2,FALSE()),0),0))</f>
        <v/>
      </c>
      <c r="S732" s="17" t="str">
        <f aca="false">IF($P732="","",ROUNDDOWN($P732*$R732,0))</f>
        <v/>
      </c>
      <c r="T732" s="17" t="str">
        <f aca="false">IF($P732="","",$P732-$S732)</f>
        <v/>
      </c>
      <c r="U732" s="17" t="str">
        <f aca="false">IF($T732="","",IF($B$10=0,"",$T732/$B$10))</f>
        <v/>
      </c>
      <c r="V732" s="17" t="str">
        <f aca="false">IF($P732="","",IF($B$10=0,"",$P732/$B$10))</f>
        <v/>
      </c>
      <c r="W732" s="19" t="n">
        <f aca="false">IF($T732="",1000000000000000,$T732)</f>
        <v/>
      </c>
      <c r="XFB732" s="6"/>
      <c r="XFC732" s="3"/>
    </row>
    <row r="733" s="21" collapsed="false" customFormat="true" customHeight="true" hidden="false" ht="28.5" outlineLevel="0">
      <c r="A733" s="16" t="str">
        <f aca="false">IF($T733="","",1+COUNTIF($W$15:$W$894,"&lt;"&amp;W733))</f>
        <v/>
      </c>
      <c r="B733" s="16" t="s">
        <v>10</v>
      </c>
      <c r="C733" s="16" t="s">
        <v>1452</v>
      </c>
      <c r="D733" s="20" t="s">
        <v>86</v>
      </c>
      <c r="E733" s="16" t="s">
        <v>26</v>
      </c>
      <c r="F733" s="16" t="s">
        <v>1453</v>
      </c>
      <c r="G733" s="17">
        <v>1799</v>
      </c>
      <c r="H733" s="17"/>
      <c r="I733" s="17"/>
      <c r="J733" s="17">
        <v>1799</v>
      </c>
      <c r="K733" s="17" t="n">
        <f aca="false">IF(AND(IFERROR(SEARCH("현대오일뱅크",$C733),0)&gt;0,IFERROR(SEARCH("직영",$C733),0)&gt;0),$B$13,0)</f>
        <v/>
      </c>
      <c r="L733" s="17" t="n">
        <f aca="false">IF($G733="","",$G733+$K733)</f>
        <v/>
      </c>
      <c r="M733" s="17" t="str">
        <f aca="false">IF($H733="","",$H733+$K733)</f>
        <v/>
      </c>
      <c r="N733" s="17" t="n">
        <f aca="false">IF($J733="","",$J733+$K733)</f>
        <v/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 t="str">
        <f aca="false">IF($B$10=0,"",IFERROR(IF($B$4&gt;0,IF($L733="",1/0,$L733*$B$4),0)+IF($B$5&gt;0,IF($M733="",1/0,$M733*$B$5),0)+IF($B$6&gt;0,IF($N733="",1/0,$N733*$B$6),0),""))</f>
        <v/>
      </c>
      <c r="Q733" s="17"/>
      <c r="R733" s="18" t="str">
        <f aca="false">IF($P733="","",IF($Q733="Y",IFERROR(VLOOKUP($B733,$C$4:$D$13,2,FALSE()),0),0))</f>
        <v/>
      </c>
      <c r="S733" s="17" t="str">
        <f aca="false">IF($P733="","",ROUNDDOWN($P733*$R733,0))</f>
        <v/>
      </c>
      <c r="T733" s="17" t="str">
        <f aca="false">IF($P733="","",$P733-$S733)</f>
        <v/>
      </c>
      <c r="U733" s="17" t="str">
        <f aca="false">IF($T733="","",IF($B$10=0,"",$T733/$B$10))</f>
        <v/>
      </c>
      <c r="V733" s="17" t="str">
        <f aca="false">IF($P733="","",IF($B$10=0,"",$P733/$B$10))</f>
        <v/>
      </c>
      <c r="W733" s="19" t="n">
        <f aca="false">IF($T733="",1000000000000000,$T733)</f>
        <v/>
      </c>
      <c r="XFB733" s="6"/>
      <c r="XFC733" s="3"/>
    </row>
    <row r="734" s="21" collapsed="false" customFormat="true" customHeight="true" hidden="false" ht="28.5" outlineLevel="0">
      <c r="A734" s="16" t="str">
        <f aca="false">IF($T734="","",1+COUNTIF($W$15:$W$894,"&lt;"&amp;W734))</f>
        <v/>
      </c>
      <c r="B734" s="16" t="s">
        <v>10</v>
      </c>
      <c r="C734" s="16" t="s">
        <v>1454</v>
      </c>
      <c r="D734" s="16" t="s">
        <v>45</v>
      </c>
      <c r="E734" s="16" t="s">
        <v>63</v>
      </c>
      <c r="F734" s="16" t="s">
        <v>1455</v>
      </c>
      <c r="G734" s="17">
        <v>1799</v>
      </c>
      <c r="H734" s="17"/>
      <c r="I734" s="17"/>
      <c r="J734" s="17">
        <v>1799</v>
      </c>
      <c r="K734" s="17" t="n">
        <f aca="false">IF(AND(IFERROR(SEARCH("현대오일뱅크",$C734),0)&gt;0,IFERROR(SEARCH("직영",$C734),0)&gt;0),$B$13,0)</f>
        <v/>
      </c>
      <c r="L734" s="17" t="n">
        <f aca="false">IF($G734="","",$G734+$K734)</f>
        <v/>
      </c>
      <c r="M734" s="17" t="str">
        <f aca="false">IF($H734="","",$H734+$K734)</f>
        <v/>
      </c>
      <c r="N734" s="17" t="n">
        <f aca="false">IF($J734="","",$J734+$K734)</f>
        <v/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 t="str">
        <f aca="false">IF($B$10=0,"",IFERROR(IF($B$4&gt;0,IF($L734="",1/0,$L734*$B$4),0)+IF($B$5&gt;0,IF($M734="",1/0,$M734*$B$5),0)+IF($B$6&gt;0,IF($N734="",1/0,$N734*$B$6),0),""))</f>
        <v/>
      </c>
      <c r="Q734" s="17"/>
      <c r="R734" s="18" t="str">
        <f aca="false">IF($P734="","",IF($Q734="Y",IFERROR(VLOOKUP($B734,$C$4:$D$13,2,FALSE()),0),0))</f>
        <v/>
      </c>
      <c r="S734" s="17" t="str">
        <f aca="false">IF($P734="","",ROUNDDOWN($P734*$R734,0))</f>
        <v/>
      </c>
      <c r="T734" s="17" t="str">
        <f aca="false">IF($P734="","",$P734-$S734)</f>
        <v/>
      </c>
      <c r="U734" s="17" t="str">
        <f aca="false">IF($T734="","",IF($B$10=0,"",$T734/$B$10))</f>
        <v/>
      </c>
      <c r="V734" s="17" t="str">
        <f aca="false">IF($P734="","",IF($B$10=0,"",$P734/$B$10))</f>
        <v/>
      </c>
      <c r="W734" s="19" t="n">
        <f aca="false">IF($T734="",1000000000000000,$T734)</f>
        <v/>
      </c>
      <c r="XFB734" s="6"/>
      <c r="XFC734" s="3"/>
    </row>
    <row r="735" s="6" collapsed="false" customFormat="true" customHeight="true" hidden="false" ht="28.6" outlineLevel="0">
      <c r="A735" s="16" t="str">
        <f aca="false">IF($T735="","",1+COUNTIF($W$15:$W$894,"&lt;"&amp;W735))</f>
        <v/>
      </c>
      <c r="B735" s="16" t="s">
        <v>16</v>
      </c>
      <c r="C735" s="16" t="s">
        <v>1456</v>
      </c>
      <c r="D735" s="16" t="s">
        <v>51</v>
      </c>
      <c r="E735" s="16" t="s">
        <v>26</v>
      </c>
      <c r="F735" s="16" t="s">
        <v>1457</v>
      </c>
      <c r="G735" s="17">
        <v>1799</v>
      </c>
      <c r="H735" s="17"/>
      <c r="I735" s="17"/>
      <c r="J735" s="17">
        <v>1859</v>
      </c>
      <c r="K735" s="17" t="n">
        <f aca="false">IF(AND(IFERROR(SEARCH("현대오일뱅크",$C735),0)&gt;0,IFERROR(SEARCH("직영",$C735),0)&gt;0),$B$13,0)</f>
        <v/>
      </c>
      <c r="L735" s="17" t="n">
        <f aca="false">IF($G735="","",$G735+$K735)</f>
        <v/>
      </c>
      <c r="M735" s="17" t="str">
        <f aca="false">IF($H735="","",$H735+$K735)</f>
        <v/>
      </c>
      <c r="N735" s="17" t="n">
        <f aca="false">IF($J735="","",$J735+$K735)</f>
        <v/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 t="str">
        <f aca="false">IF($B$10=0,"",IFERROR(IF($B$4&gt;0,IF($L735="",1/0,$L735*$B$4),0)+IF($B$5&gt;0,IF($M735="",1/0,$M735*$B$5),0)+IF($B$6&gt;0,IF($N735="",1/0,$N735*$B$6),0),""))</f>
        <v/>
      </c>
      <c r="Q735" s="17"/>
      <c r="R735" s="18" t="str">
        <f aca="false">IF($P735="","",IF($Q735="Y",IFERROR(VLOOKUP($B735,$C$4:$D$13,2,FALSE()),0),0))</f>
        <v/>
      </c>
      <c r="S735" s="17" t="str">
        <f aca="false">IF($P735="","",ROUNDDOWN($P735*$R735,0))</f>
        <v/>
      </c>
      <c r="T735" s="17" t="str">
        <f aca="false">IF($P735="","",$P735-$S735)</f>
        <v/>
      </c>
      <c r="U735" s="17" t="str">
        <f aca="false">IF($T735="","",IF($B$10=0,"",$T735/$B$10))</f>
        <v/>
      </c>
      <c r="V735" s="17" t="str">
        <f aca="false">IF($P735="","",IF($B$10=0,"",$P735/$B$10))</f>
        <v/>
      </c>
      <c r="W735" s="19" t="n">
        <f aca="false">IF($T735="",1000000000000000,$T735)</f>
        <v/>
      </c>
      <c r="XFC735" s="3"/>
    </row>
    <row r="736" s="21" collapsed="false" customFormat="true" customHeight="true" hidden="false" ht="28.5" outlineLevel="0">
      <c r="A736" s="16" t="str">
        <f aca="false">IF($T736="","",1+COUNTIF($W$15:$W$894,"&lt;"&amp;W736))</f>
        <v/>
      </c>
      <c r="B736" s="16" t="s">
        <v>10</v>
      </c>
      <c r="C736" s="16" t="s">
        <v>1458</v>
      </c>
      <c r="D736" s="16" t="s">
        <v>95</v>
      </c>
      <c r="E736" s="16" t="s">
        <v>63</v>
      </c>
      <c r="F736" s="16" t="s">
        <v>1459</v>
      </c>
      <c r="G736" s="17">
        <v>1799</v>
      </c>
      <c r="H736" s="17"/>
      <c r="I736" s="17"/>
      <c r="J736" s="17">
        <v>1859</v>
      </c>
      <c r="K736" s="17" t="n">
        <f aca="false">IF(AND(IFERROR(SEARCH("현대오일뱅크",$C736),0)&gt;0,IFERROR(SEARCH("직영",$C736),0)&gt;0),$B$13,0)</f>
        <v/>
      </c>
      <c r="L736" s="17" t="n">
        <f aca="false">IF($G736="","",$G736+$K736)</f>
        <v/>
      </c>
      <c r="M736" s="17" t="str">
        <f aca="false">IF($H736="","",$H736+$K736)</f>
        <v/>
      </c>
      <c r="N736" s="17" t="n">
        <f aca="false">IF($J736="","",$J736+$K736)</f>
        <v/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 t="str">
        <f aca="false">IF($B$10=0,"",IFERROR(IF($B$4&gt;0,IF($L736="",1/0,$L736*$B$4),0)+IF($B$5&gt;0,IF($M736="",1/0,$M736*$B$5),0)+IF($B$6&gt;0,IF($N736="",1/0,$N736*$B$6),0),""))</f>
        <v/>
      </c>
      <c r="Q736" s="17"/>
      <c r="R736" s="18" t="str">
        <f aca="false">IF($P736="","",IF($Q736="Y",IFERROR(VLOOKUP($B736,$C$4:$D$13,2,FALSE()),0),0))</f>
        <v/>
      </c>
      <c r="S736" s="17" t="str">
        <f aca="false">IF($P736="","",ROUNDDOWN($P736*$R736,0))</f>
        <v/>
      </c>
      <c r="T736" s="17" t="str">
        <f aca="false">IF($P736="","",$P736-$S736)</f>
        <v/>
      </c>
      <c r="U736" s="17" t="str">
        <f aca="false">IF($T736="","",IF($B$10=0,"",$T736/$B$10))</f>
        <v/>
      </c>
      <c r="V736" s="17" t="str">
        <f aca="false">IF($P736="","",IF($B$10=0,"",$P736/$B$10))</f>
        <v/>
      </c>
      <c r="W736" s="19" t="n">
        <f aca="false">IF($T736="",1000000000000000,$T736)</f>
        <v/>
      </c>
      <c r="XFB736" s="6"/>
      <c r="XFC736" s="3"/>
    </row>
    <row r="737" s="5" collapsed="false" customFormat="true" customHeight="true" hidden="false" ht="28.5" outlineLevel="0">
      <c r="A737" s="16" t="str">
        <f aca="false">IF($T737="","",1+COUNTIF($W$15:$W$894,"&lt;"&amp;W737))</f>
        <v/>
      </c>
      <c r="B737" s="16" t="s">
        <v>10</v>
      </c>
      <c r="C737" s="16" t="s">
        <v>596</v>
      </c>
      <c r="D737" s="20" t="s">
        <v>86</v>
      </c>
      <c r="E737" s="16" t="s">
        <v>63</v>
      </c>
      <c r="F737" s="16" t="s">
        <v>1460</v>
      </c>
      <c r="G737" s="17">
        <v>1999</v>
      </c>
      <c r="H737" s="17"/>
      <c r="I737" s="17"/>
      <c r="J737" s="17">
        <v>1979</v>
      </c>
      <c r="K737" s="17" t="n">
        <f aca="false">IF(AND(IFERROR(SEARCH("현대오일뱅크",$C737),0)&gt;0,IFERROR(SEARCH("직영",$C737),0)&gt;0),$B$13,0)</f>
        <v/>
      </c>
      <c r="L737" s="17" t="n">
        <f aca="false">IF($G737="","",$G737+$K737)</f>
        <v/>
      </c>
      <c r="M737" s="17" t="str">
        <f aca="false">IF($H737="","",$H737+$K737)</f>
        <v/>
      </c>
      <c r="N737" s="17" t="n">
        <f aca="false">IF($J737="","",$J737+$K737)</f>
        <v/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 t="str">
        <f aca="false">IF($B$10=0,"",IFERROR(IF($B$4&gt;0,IF($L737="",1/0,$L737*$B$4),0)+IF($B$5&gt;0,IF($M737="",1/0,$M737*$B$5),0)+IF($B$6&gt;0,IF($N737="",1/0,$N737*$B$6),0),""))</f>
        <v/>
      </c>
      <c r="Q737" s="17" t="s">
        <v>47</v>
      </c>
      <c r="R737" s="18" t="str">
        <f aca="false">IF($P737="","",IF($Q737="Y",IFERROR(VLOOKUP($B737,$C$4:$D$13,2,FALSE()),0),0))</f>
        <v/>
      </c>
      <c r="S737" s="17" t="str">
        <f aca="false">IF($P737="","",ROUNDDOWN($P737*$R737,0))</f>
        <v/>
      </c>
      <c r="T737" s="17" t="str">
        <f aca="false">IF($P737="","",$P737-$S737)</f>
        <v/>
      </c>
      <c r="U737" s="17" t="str">
        <f aca="false">IF($T737="","",IF($B$10=0,"",$T737/$B$10))</f>
        <v/>
      </c>
      <c r="V737" s="17" t="str">
        <f aca="false">IF($P737="","",IF($B$10=0,"",$P737/$B$10))</f>
        <v/>
      </c>
      <c r="W737" s="19" t="n">
        <f aca="false">IF($T737="",1000000000000000,$T737)</f>
        <v/>
      </c>
      <c r="XFB737" s="6"/>
      <c r="XFC737" s="3"/>
    </row>
    <row r="738" s="6" collapsed="false" customFormat="true" customHeight="true" hidden="false" ht="28.6" outlineLevel="0">
      <c r="A738" s="16" t="str">
        <f aca="false">IF($T738="","",1+COUNTIF($W$15:$W$894,"&lt;"&amp;W738))</f>
        <v/>
      </c>
      <c r="B738" s="16" t="s">
        <v>18</v>
      </c>
      <c r="C738" s="16" t="s">
        <v>1461</v>
      </c>
      <c r="D738" s="16" t="s">
        <v>500</v>
      </c>
      <c r="E738" s="16" t="s">
        <v>63</v>
      </c>
      <c r="F738" s="16" t="s">
        <v>1462</v>
      </c>
      <c r="G738" s="17">
        <v>1800</v>
      </c>
      <c r="H738" s="17"/>
      <c r="I738" s="17"/>
      <c r="J738" s="17">
        <v>1800</v>
      </c>
      <c r="K738" s="17" t="n">
        <f aca="false">IF(AND(IFERROR(SEARCH("현대오일뱅크",$C738),0)&gt;0,IFERROR(SEARCH("직영",$C738),0)&gt;0),$B$13,0)</f>
        <v/>
      </c>
      <c r="L738" s="17" t="n">
        <f aca="false">IF($G738="","",$G738+$K738)</f>
        <v/>
      </c>
      <c r="M738" s="17" t="str">
        <f aca="false">IF($H738="","",$H738+$K738)</f>
        <v/>
      </c>
      <c r="N738" s="17" t="n">
        <f aca="false">IF($J738="","",$J738+$K738)</f>
        <v/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 t="str">
        <f aca="false">IF($B$10=0,"",IFERROR(IF($B$4&gt;0,IF($L738="",1/0,$L738*$B$4),0)+IF($B$5&gt;0,IF($M738="",1/0,$M738*$B$5),0)+IF($B$6&gt;0,IF($N738="",1/0,$N738*$B$6),0),""))</f>
        <v/>
      </c>
      <c r="Q738" s="17"/>
      <c r="R738" s="18" t="str">
        <f aca="false">IF($P738="","",IF($Q738="Y",IFERROR(VLOOKUP($B738,$C$4:$D$13,2,FALSE()),0),0))</f>
        <v/>
      </c>
      <c r="S738" s="17" t="str">
        <f aca="false">IF($P738="","",ROUNDDOWN($P738*$R738,0))</f>
        <v/>
      </c>
      <c r="T738" s="17" t="str">
        <f aca="false">IF($P738="","",$P738-$S738)</f>
        <v/>
      </c>
      <c r="U738" s="17" t="str">
        <f aca="false">IF($T738="","",IF($B$10=0,"",$T738/$B$10))</f>
        <v/>
      </c>
      <c r="V738" s="17" t="str">
        <f aca="false">IF($P738="","",IF($B$10=0,"",$P738/$B$10))</f>
        <v/>
      </c>
      <c r="W738" s="19" t="n">
        <f aca="false">IF($T738="",1000000000000000,$T738)</f>
        <v/>
      </c>
      <c r="XFC738" s="3"/>
    </row>
    <row r="739" s="21" collapsed="false" customFormat="true" customHeight="true" hidden="false" ht="28.5" outlineLevel="0">
      <c r="A739" s="16" t="str">
        <f aca="false">IF($T739="","",1+COUNTIF($W$15:$W$894,"&lt;"&amp;W739))</f>
        <v/>
      </c>
      <c r="B739" s="16" t="s">
        <v>10</v>
      </c>
      <c r="C739" s="16" t="s">
        <v>1463</v>
      </c>
      <c r="D739" s="20" t="s">
        <v>86</v>
      </c>
      <c r="E739" s="16" t="s">
        <v>63</v>
      </c>
      <c r="F739" s="16" t="s">
        <v>1464</v>
      </c>
      <c r="G739" s="17">
        <v>1800</v>
      </c>
      <c r="H739" s="17"/>
      <c r="I739" s="17"/>
      <c r="J739" s="17">
        <v>1800</v>
      </c>
      <c r="K739" s="17" t="n">
        <f aca="false">IF(AND(IFERROR(SEARCH("현대오일뱅크",$C739),0)&gt;0,IFERROR(SEARCH("직영",$C739),0)&gt;0),$B$13,0)</f>
        <v/>
      </c>
      <c r="L739" s="17" t="n">
        <f aca="false">IF($G739="","",$G739+$K739)</f>
        <v/>
      </c>
      <c r="M739" s="17" t="str">
        <f aca="false">IF($H739="","",$H739+$K739)</f>
        <v/>
      </c>
      <c r="N739" s="17" t="n">
        <f aca="false">IF($J739="","",$J739+$K739)</f>
        <v/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 t="str">
        <f aca="false">IF($B$10=0,"",IFERROR(IF($B$4&gt;0,IF($L739="",1/0,$L739*$B$4),0)+IF($B$5&gt;0,IF($M739="",1/0,$M739*$B$5),0)+IF($B$6&gt;0,IF($N739="",1/0,$N739*$B$6),0),""))</f>
        <v/>
      </c>
      <c r="Q739" s="17"/>
      <c r="R739" s="18" t="str">
        <f aca="false">IF($P739="","",IF($Q739="Y",IFERROR(VLOOKUP($B739,$C$4:$D$13,2,FALSE()),0),0))</f>
        <v/>
      </c>
      <c r="S739" s="17" t="str">
        <f aca="false">IF($P739="","",ROUNDDOWN($P739*$R739,0))</f>
        <v/>
      </c>
      <c r="T739" s="17" t="str">
        <f aca="false">IF($P739="","",$P739-$S739)</f>
        <v/>
      </c>
      <c r="U739" s="17" t="str">
        <f aca="false">IF($T739="","",IF($B$10=0,"",$T739/$B$10))</f>
        <v/>
      </c>
      <c r="V739" s="17" t="str">
        <f aca="false">IF($P739="","",IF($B$10=0,"",$P739/$B$10))</f>
        <v/>
      </c>
      <c r="W739" s="19" t="n">
        <f aca="false">IF($T739="",1000000000000000,$T739)</f>
        <v/>
      </c>
      <c r="XFB739" s="6"/>
      <c r="XFC739" s="3"/>
    </row>
    <row r="740" s="5" collapsed="false" customFormat="true" customHeight="true" hidden="false" ht="28.5" outlineLevel="0">
      <c r="A740" s="16" t="str">
        <f aca="false">IF($T740="","",1+COUNTIF($W$15:$W$894,"&lt;"&amp;W740))</f>
        <v/>
      </c>
      <c r="B740" s="16" t="s">
        <v>16</v>
      </c>
      <c r="C740" s="16" t="s">
        <v>1465</v>
      </c>
      <c r="D740" s="16" t="s">
        <v>500</v>
      </c>
      <c r="E740" s="16" t="s">
        <v>26</v>
      </c>
      <c r="F740" s="16" t="s">
        <v>1466</v>
      </c>
      <c r="G740" s="17">
        <v>1800</v>
      </c>
      <c r="H740" s="17"/>
      <c r="I740" s="17"/>
      <c r="J740" s="17">
        <v>1820</v>
      </c>
      <c r="K740" s="17" t="n">
        <f aca="false">IF(AND(IFERROR(SEARCH("현대오일뱅크",$C740),0)&gt;0,IFERROR(SEARCH("직영",$C740),0)&gt;0),$B$13,0)</f>
        <v/>
      </c>
      <c r="L740" s="17" t="n">
        <f aca="false">IF($G740="","",$G740+$K740)</f>
        <v/>
      </c>
      <c r="M740" s="17" t="str">
        <f aca="false">IF($H740="","",$H740+$K740)</f>
        <v/>
      </c>
      <c r="N740" s="17" t="n">
        <f aca="false">IF($J740="","",$J740+$K740)</f>
        <v/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 t="str">
        <f aca="false">IF($B$10=0,"",IFERROR(IF($B$4&gt;0,IF($L740="",1/0,$L740*$B$4),0)+IF($B$5&gt;0,IF($M740="",1/0,$M740*$B$5),0)+IF($B$6&gt;0,IF($N740="",1/0,$N740*$B$6),0),""))</f>
        <v/>
      </c>
      <c r="Q740" s="17"/>
      <c r="R740" s="18" t="str">
        <f aca="false">IF($P740="","",IF($Q740="Y",IFERROR(VLOOKUP($B740,$C$4:$D$13,2,FALSE()),0),0))</f>
        <v/>
      </c>
      <c r="S740" s="17" t="str">
        <f aca="false">IF($P740="","",ROUNDDOWN($P740*$R740,0))</f>
        <v/>
      </c>
      <c r="T740" s="17" t="str">
        <f aca="false">IF($P740="","",$P740-$S740)</f>
        <v/>
      </c>
      <c r="U740" s="17" t="str">
        <f aca="false">IF($T740="","",IF($B$10=0,"",$T740/$B$10))</f>
        <v/>
      </c>
      <c r="V740" s="17" t="str">
        <f aca="false">IF($P740="","",IF($B$10=0,"",$P740/$B$10))</f>
        <v/>
      </c>
      <c r="W740" s="19" t="n">
        <f aca="false">IF($T740="",1000000000000000,$T740)</f>
        <v/>
      </c>
      <c r="XFB740" s="6"/>
      <c r="XFC740" s="3"/>
    </row>
    <row r="741" s="21" collapsed="false" customFormat="true" customHeight="true" hidden="false" ht="28.5" outlineLevel="0">
      <c r="A741" s="16" t="str">
        <f aca="false">IF($T741="","",1+COUNTIF($W$15:$W$894,"&lt;"&amp;W741))</f>
        <v/>
      </c>
      <c r="B741" s="16" t="s">
        <v>8</v>
      </c>
      <c r="C741" s="16" t="s">
        <v>1467</v>
      </c>
      <c r="D741" s="16" t="s">
        <v>500</v>
      </c>
      <c r="E741" s="16" t="s">
        <v>63</v>
      </c>
      <c r="F741" s="16" t="s">
        <v>1468</v>
      </c>
      <c r="G741" s="17">
        <v>1800</v>
      </c>
      <c r="H741" s="17"/>
      <c r="I741" s="17"/>
      <c r="J741" s="17">
        <v>1890</v>
      </c>
      <c r="K741" s="17" t="n">
        <f aca="false">IF(AND(IFERROR(SEARCH("현대오일뱅크",$C741),0)&gt;0,IFERROR(SEARCH("직영",$C741),0)&gt;0),$B$13,0)</f>
        <v/>
      </c>
      <c r="L741" s="17" t="n">
        <f aca="false">IF($G741="","",$G741+$K741)</f>
        <v/>
      </c>
      <c r="M741" s="17" t="str">
        <f aca="false">IF($H741="","",$H741+$K741)</f>
        <v/>
      </c>
      <c r="N741" s="17" t="n">
        <f aca="false">IF($J741="","",$J741+$K741)</f>
        <v/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 t="str">
        <f aca="false">IF($B$10=0,"",IFERROR(IF($B$4&gt;0,IF($L741="",1/0,$L741*$B$4),0)+IF($B$5&gt;0,IF($M741="",1/0,$M741*$B$5),0)+IF($B$6&gt;0,IF($N741="",1/0,$N741*$B$6),0),""))</f>
        <v/>
      </c>
      <c r="Q741" s="17"/>
      <c r="R741" s="18" t="str">
        <f aca="false">IF($P741="","",IF($Q741="Y",IFERROR(VLOOKUP($B741,$C$4:$D$13,2,FALSE()),0),0))</f>
        <v/>
      </c>
      <c r="S741" s="17" t="str">
        <f aca="false">IF($P741="","",ROUNDDOWN($P741*$R741,0))</f>
        <v/>
      </c>
      <c r="T741" s="17" t="str">
        <f aca="false">IF($P741="","",$P741-$S741)</f>
        <v/>
      </c>
      <c r="U741" s="17" t="str">
        <f aca="false">IF($T741="","",IF($B$10=0,"",$T741/$B$10))</f>
        <v/>
      </c>
      <c r="V741" s="17" t="str">
        <f aca="false">IF($P741="","",IF($B$10=0,"",$P741/$B$10))</f>
        <v/>
      </c>
      <c r="W741" s="19" t="n">
        <f aca="false">IF($T741="",1000000000000000,$T741)</f>
        <v/>
      </c>
      <c r="XFB741" s="6"/>
      <c r="XFC741" s="3"/>
    </row>
    <row r="742" s="21" collapsed="false" customFormat="true" customHeight="true" hidden="false" ht="28.5" outlineLevel="0">
      <c r="A742" s="16" t="str">
        <f aca="false">IF($T742="","",1+COUNTIF($W$15:$W$894,"&lt;"&amp;W742))</f>
        <v/>
      </c>
      <c r="B742" s="16" t="s">
        <v>12</v>
      </c>
      <c r="C742" s="16" t="s">
        <v>1471</v>
      </c>
      <c r="D742" s="20" t="s">
        <v>95</v>
      </c>
      <c r="E742" s="16" t="s">
        <v>26</v>
      </c>
      <c r="F742" s="16" t="s">
        <v>1472</v>
      </c>
      <c r="G742" s="17">
        <v>1802</v>
      </c>
      <c r="H742" s="17"/>
      <c r="I742" s="17"/>
      <c r="J742" s="17">
        <v>1772</v>
      </c>
      <c r="K742" s="17" t="n">
        <f aca="false">IF(AND(IFERROR(SEARCH("현대오일뱅크",$C742),0)&gt;0,IFERROR(SEARCH("직영",$C742),0)&gt;0),$B$13,0)</f>
        <v/>
      </c>
      <c r="L742" s="17" t="n">
        <f aca="false">IF($G742="","",$G742+$K742)</f>
        <v/>
      </c>
      <c r="M742" s="17" t="str">
        <f aca="false">IF($H742="","",$H742+$K742)</f>
        <v/>
      </c>
      <c r="N742" s="17" t="n">
        <f aca="false">IF($J742="","",$J742+$K742)</f>
        <v/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 t="str">
        <f aca="false">IF($B$10=0,"",IFERROR(IF($B$4&gt;0,IF($L742="",1/0,$L742*$B$4),0)+IF($B$5&gt;0,IF($M742="",1/0,$M742*$B$5),0)+IF($B$6&gt;0,IF($N742="",1/0,$N742*$B$6),0),""))</f>
        <v/>
      </c>
      <c r="Q742" s="17"/>
      <c r="R742" s="18" t="str">
        <f aca="false">IF($P742="","",IF($Q742="Y",IFERROR(VLOOKUP($B742,$C$4:$D$13,2,FALSE()),0),0))</f>
        <v/>
      </c>
      <c r="S742" s="17" t="str">
        <f aca="false">IF($P742="","",ROUNDDOWN($P742*$R742,0))</f>
        <v/>
      </c>
      <c r="T742" s="17" t="str">
        <f aca="false">IF($P742="","",$P742-$S742)</f>
        <v/>
      </c>
      <c r="U742" s="17" t="str">
        <f aca="false">IF($T742="","",IF($B$10=0,"",$T742/$B$10))</f>
        <v/>
      </c>
      <c r="V742" s="17" t="str">
        <f aca="false">IF($P742="","",IF($B$10=0,"",$P742/$B$10))</f>
        <v/>
      </c>
      <c r="W742" s="19" t="n">
        <f aca="false">IF($T742="",1000000000000000,$T742)</f>
        <v/>
      </c>
      <c r="XFB742" s="6"/>
      <c r="XFC742" s="3"/>
    </row>
    <row r="743" s="21" collapsed="false" customFormat="true" customHeight="true" hidden="false" ht="28.5" outlineLevel="0">
      <c r="A743" s="16" t="str">
        <f aca="false">IF($T743="","",1+COUNTIF($W$15:$W$894,"&lt;"&amp;W743))</f>
        <v/>
      </c>
      <c r="B743" s="16" t="s">
        <v>12</v>
      </c>
      <c r="C743" s="16" t="s">
        <v>1469</v>
      </c>
      <c r="D743" s="20" t="s">
        <v>95</v>
      </c>
      <c r="E743" s="16" t="s">
        <v>26</v>
      </c>
      <c r="F743" s="16" t="s">
        <v>1470</v>
      </c>
      <c r="G743" s="17">
        <v>1802</v>
      </c>
      <c r="H743" s="17"/>
      <c r="I743" s="17"/>
      <c r="J743" s="17">
        <v>1802</v>
      </c>
      <c r="K743" s="17" t="n">
        <f aca="false">IF(AND(IFERROR(SEARCH("현대오일뱅크",$C743),0)&gt;0,IFERROR(SEARCH("직영",$C743),0)&gt;0),$B$13,0)</f>
        <v/>
      </c>
      <c r="L743" s="17" t="n">
        <f aca="false">IF($G743="","",$G743+$K743)</f>
        <v/>
      </c>
      <c r="M743" s="17" t="str">
        <f aca="false">IF($H743="","",$H743+$K743)</f>
        <v/>
      </c>
      <c r="N743" s="17" t="n">
        <f aca="false">IF($J743="","",$J743+$K743)</f>
        <v/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 t="str">
        <f aca="false">IF($B$10=0,"",IFERROR(IF($B$4&gt;0,IF($L743="",1/0,$L743*$B$4),0)+IF($B$5&gt;0,IF($M743="",1/0,$M743*$B$5),0)+IF($B$6&gt;0,IF($N743="",1/0,$N743*$B$6),0),""))</f>
        <v/>
      </c>
      <c r="Q743" s="17"/>
      <c r="R743" s="18" t="str">
        <f aca="false">IF($P743="","",IF($Q743="Y",IFERROR(VLOOKUP($B743,$C$4:$D$13,2,FALSE()),0),0))</f>
        <v/>
      </c>
      <c r="S743" s="17" t="str">
        <f aca="false">IF($P743="","",ROUNDDOWN($P743*$R743,0))</f>
        <v/>
      </c>
      <c r="T743" s="17" t="str">
        <f aca="false">IF($P743="","",$P743-$S743)</f>
        <v/>
      </c>
      <c r="U743" s="17" t="str">
        <f aca="false">IF($T743="","",IF($B$10=0,"",$T743/$B$10))</f>
        <v/>
      </c>
      <c r="V743" s="17" t="str">
        <f aca="false">IF($P743="","",IF($B$10=0,"",$P743/$B$10))</f>
        <v/>
      </c>
      <c r="W743" s="19" t="n">
        <f aca="false">IF($T743="",1000000000000000,$T743)</f>
        <v/>
      </c>
      <c r="XFB743" s="6"/>
      <c r="XFC743" s="3"/>
    </row>
    <row r="744" s="21" collapsed="false" customFormat="true" customHeight="true" hidden="false" ht="28.5" outlineLevel="0">
      <c r="A744" s="16" t="str">
        <f aca="false">IF($T744="","",1+COUNTIF($W$15:$W$894,"&lt;"&amp;W744))</f>
        <v/>
      </c>
      <c r="B744" s="16" t="s">
        <v>10</v>
      </c>
      <c r="C744" s="16" t="s">
        <v>1229</v>
      </c>
      <c r="D744" s="16" t="s">
        <v>45</v>
      </c>
      <c r="E744" s="16" t="s">
        <v>26</v>
      </c>
      <c r="F744" s="16" t="s">
        <v>1230</v>
      </c>
      <c r="G744" s="17">
        <v>1805</v>
      </c>
      <c r="H744" s="17"/>
      <c r="I744" s="17"/>
      <c r="J744" s="17">
        <v>1795</v>
      </c>
      <c r="K744" s="17" t="n">
        <f aca="false">IF(AND(IFERROR(SEARCH("현대오일뱅크",$C744),0)&gt;0,IFERROR(SEARCH("직영",$C744),0)&gt;0),$B$13,0)</f>
        <v/>
      </c>
      <c r="L744" s="17" t="n">
        <f aca="false">IF($G744="","",$G744+$K744)</f>
        <v/>
      </c>
      <c r="M744" s="17" t="str">
        <f aca="false">IF($H744="","",$H744+$K744)</f>
        <v/>
      </c>
      <c r="N744" s="17" t="n">
        <f aca="false">IF($J744="","",$J744+$K744)</f>
        <v/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 t="str">
        <f aca="false">IF($B$10=0,"",IFERROR(IF($B$4&gt;0,IF($L744="",1/0,$L744*$B$4),0)+IF($B$5&gt;0,IF($M744="",1/0,$M744*$B$5),0)+IF($B$6&gt;0,IF($N744="",1/0,$N744*$B$6),0),""))</f>
        <v/>
      </c>
      <c r="Q744" s="17"/>
      <c r="R744" s="18" t="str">
        <f aca="false">IF($P744="","",IF($Q744="Y",IFERROR(VLOOKUP($B744,$C$4:$D$13,2,FALSE()),0),0))</f>
        <v/>
      </c>
      <c r="S744" s="17" t="str">
        <f aca="false">IF($P744="","",ROUNDDOWN($P744*$R744,0))</f>
        <v/>
      </c>
      <c r="T744" s="17" t="str">
        <f aca="false">IF($P744="","",$P744-$S744)</f>
        <v/>
      </c>
      <c r="U744" s="17" t="str">
        <f aca="false">IF($T744="","",IF($B$10=0,"",$T744/$B$10))</f>
        <v/>
      </c>
      <c r="V744" s="17" t="str">
        <f aca="false">IF($P744="","",IF($B$10=0,"",$P744/$B$10))</f>
        <v/>
      </c>
      <c r="W744" s="19" t="n">
        <f aca="false">IF($T744="",1000000000000000,$T744)</f>
        <v/>
      </c>
      <c r="XFB744" s="6"/>
      <c r="XFC744" s="3"/>
    </row>
    <row r="745" s="21" collapsed="false" customFormat="true" customHeight="true" hidden="false" ht="28.5" outlineLevel="0">
      <c r="A745" s="16" t="str">
        <f aca="false">IF($T745="","",1+COUNTIF($W$15:$W$894,"&lt;"&amp;W745))</f>
        <v/>
      </c>
      <c r="B745" s="16" t="s">
        <v>16</v>
      </c>
      <c r="C745" s="16" t="s">
        <v>1249</v>
      </c>
      <c r="D745" s="16" t="s">
        <v>393</v>
      </c>
      <c r="E745" s="16" t="s">
        <v>26</v>
      </c>
      <c r="F745" s="16" t="s">
        <v>1250</v>
      </c>
      <c r="G745" s="17">
        <v>1805</v>
      </c>
      <c r="H745" s="17"/>
      <c r="I745" s="17"/>
      <c r="J745" s="17">
        <v>1800</v>
      </c>
      <c r="K745" s="17" t="n">
        <f aca="false">IF(AND(IFERROR(SEARCH("현대오일뱅크",$C745),0)&gt;0,IFERROR(SEARCH("직영",$C745),0)&gt;0),$B$13,0)</f>
        <v/>
      </c>
      <c r="L745" s="17" t="n">
        <f aca="false">IF($G745="","",$G745+$K745)</f>
        <v/>
      </c>
      <c r="M745" s="17" t="str">
        <f aca="false">IF($H745="","",$H745+$K745)</f>
        <v/>
      </c>
      <c r="N745" s="17" t="n">
        <f aca="false">IF($J745="","",$J745+$K745)</f>
        <v/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 t="str">
        <f aca="false">IF($B$10=0,"",IFERROR(IF($B$4&gt;0,IF($L745="",1/0,$L745*$B$4),0)+IF($B$5&gt;0,IF($M745="",1/0,$M745*$B$5),0)+IF($B$6&gt;0,IF($N745="",1/0,$N745*$B$6),0),""))</f>
        <v/>
      </c>
      <c r="Q745" s="17"/>
      <c r="R745" s="18" t="str">
        <f aca="false">IF($P745="","",IF($Q745="Y",IFERROR(VLOOKUP($B745,$C$4:$D$13,2,FALSE()),0),0))</f>
        <v/>
      </c>
      <c r="S745" s="17" t="str">
        <f aca="false">IF($P745="","",ROUNDDOWN($P745*$R745,0))</f>
        <v/>
      </c>
      <c r="T745" s="17" t="str">
        <f aca="false">IF($P745="","",$P745-$S745)</f>
        <v/>
      </c>
      <c r="U745" s="17" t="str">
        <f aca="false">IF($T745="","",IF($B$10=0,"",$T745/$B$10))</f>
        <v/>
      </c>
      <c r="V745" s="17" t="str">
        <f aca="false">IF($P745="","",IF($B$10=0,"",$P745/$B$10))</f>
        <v/>
      </c>
      <c r="W745" s="19" t="n">
        <f aca="false">IF($T745="",1000000000000000,$T745)</f>
        <v/>
      </c>
      <c r="XFB745" s="6"/>
      <c r="XFC745" s="3"/>
    </row>
    <row r="746" s="21" collapsed="false" customFormat="true" customHeight="true" hidden="false" ht="28.5" outlineLevel="0">
      <c r="A746" s="16" t="str">
        <f aca="false">IF($T746="","",1+COUNTIF($W$15:$W$894,"&lt;"&amp;W746))</f>
        <v/>
      </c>
      <c r="B746" s="16" t="s">
        <v>10</v>
      </c>
      <c r="C746" s="16" t="s">
        <v>1501</v>
      </c>
      <c r="D746" s="16" t="s">
        <v>95</v>
      </c>
      <c r="E746" s="16" t="s">
        <v>26</v>
      </c>
      <c r="F746" s="16" t="s">
        <v>1502</v>
      </c>
      <c r="G746" s="17">
        <v>1808</v>
      </c>
      <c r="H746" s="17"/>
      <c r="I746" s="17"/>
      <c r="J746" s="17">
        <v>1798</v>
      </c>
      <c r="K746" s="17" t="n">
        <f aca="false">IF(AND(IFERROR(SEARCH("현대오일뱅크",$C746),0)&gt;0,IFERROR(SEARCH("직영",$C746),0)&gt;0),$B$13,0)</f>
        <v/>
      </c>
      <c r="L746" s="17" t="n">
        <f aca="false">IF($G746="","",$G746+$K746)</f>
        <v/>
      </c>
      <c r="M746" s="17" t="str">
        <f aca="false">IF($H746="","",$H746+$K746)</f>
        <v/>
      </c>
      <c r="N746" s="17" t="n">
        <f aca="false">IF($J746="","",$J746+$K746)</f>
        <v/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 t="str">
        <f aca="false">IF($B$10=0,"",IFERROR(IF($B$4&gt;0,IF($L746="",1/0,$L746*$B$4),0)+IF($B$5&gt;0,IF($M746="",1/0,$M746*$B$5),0)+IF($B$6&gt;0,IF($N746="",1/0,$N746*$B$6),0),""))</f>
        <v/>
      </c>
      <c r="Q746" s="17"/>
      <c r="R746" s="18" t="str">
        <f aca="false">IF($P746="","",IF($Q746="Y",IFERROR(VLOOKUP($B746,$C$4:$D$13,2,FALSE()),0),0))</f>
        <v/>
      </c>
      <c r="S746" s="17" t="str">
        <f aca="false">IF($P746="","",ROUNDDOWN($P746*$R746,0))</f>
        <v/>
      </c>
      <c r="T746" s="17" t="str">
        <f aca="false">IF($P746="","",$P746-$S746)</f>
        <v/>
      </c>
      <c r="U746" s="17" t="str">
        <f aca="false">IF($T746="","",IF($B$10=0,"",$T746/$B$10))</f>
        <v/>
      </c>
      <c r="V746" s="17" t="str">
        <f aca="false">IF($P746="","",IF($B$10=0,"",$P746/$B$10))</f>
        <v/>
      </c>
      <c r="W746" s="19" t="n">
        <f aca="false">IF($T746="",1000000000000000,$T746)</f>
        <v/>
      </c>
      <c r="XFB746" s="6"/>
      <c r="XFC746" s="3"/>
    </row>
    <row r="747" s="21" collapsed="false" customFormat="true" customHeight="true" hidden="false" ht="28.5" outlineLevel="0">
      <c r="A747" s="16" t="str">
        <f aca="false">IF($T747="","",1+COUNTIF($W$15:$W$894,"&lt;"&amp;W747))</f>
        <v/>
      </c>
      <c r="B747" s="16" t="s">
        <v>18</v>
      </c>
      <c r="C747" s="16" t="s">
        <v>1473</v>
      </c>
      <c r="D747" s="16" t="s">
        <v>45</v>
      </c>
      <c r="E747" s="16" t="s">
        <v>63</v>
      </c>
      <c r="F747" s="16" t="s">
        <v>1474</v>
      </c>
      <c r="G747" s="17">
        <v>1809</v>
      </c>
      <c r="H747" s="17"/>
      <c r="I747" s="17"/>
      <c r="J747" s="17">
        <v>1779</v>
      </c>
      <c r="K747" s="17" t="n">
        <f aca="false">IF(AND(IFERROR(SEARCH("현대오일뱅크",$C747),0)&gt;0,IFERROR(SEARCH("직영",$C747),0)&gt;0),$B$13,0)</f>
        <v/>
      </c>
      <c r="L747" s="17" t="n">
        <f aca="false">IF($G747="","",$G747+$K747)</f>
        <v/>
      </c>
      <c r="M747" s="17" t="str">
        <f aca="false">IF($H747="","",$H747+$K747)</f>
        <v/>
      </c>
      <c r="N747" s="17" t="n">
        <f aca="false">IF($J747="","",$J747+$K747)</f>
        <v/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 t="str">
        <f aca="false">IF($B$10=0,"",IFERROR(IF($B$4&gt;0,IF($L747="",1/0,$L747*$B$4),0)+IF($B$5&gt;0,IF($M747="",1/0,$M747*$B$5),0)+IF($B$6&gt;0,IF($N747="",1/0,$N747*$B$6),0),""))</f>
        <v/>
      </c>
      <c r="Q747" s="17"/>
      <c r="R747" s="18" t="str">
        <f aca="false">IF($P747="","",IF($Q747="Y",IFERROR(VLOOKUP($B747,$C$4:$D$13,2,FALSE()),0),0))</f>
        <v/>
      </c>
      <c r="S747" s="17" t="str">
        <f aca="false">IF($P747="","",ROUNDDOWN($P747*$R747,0))</f>
        <v/>
      </c>
      <c r="T747" s="17" t="str">
        <f aca="false">IF($P747="","",$P747-$S747)</f>
        <v/>
      </c>
      <c r="U747" s="17" t="str">
        <f aca="false">IF($T747="","",IF($B$10=0,"",$T747/$B$10))</f>
        <v/>
      </c>
      <c r="V747" s="17" t="str">
        <f aca="false">IF($P747="","",IF($B$10=0,"",$P747/$B$10))</f>
        <v/>
      </c>
      <c r="W747" s="19" t="n">
        <f aca="false">IF($T747="",1000000000000000,$T747)</f>
        <v/>
      </c>
      <c r="XFB747" s="6"/>
      <c r="XFC747" s="3"/>
    </row>
    <row r="748" s="21" collapsed="false" customFormat="true" customHeight="true" hidden="false" ht="28.5" outlineLevel="0">
      <c r="A748" s="16" t="str">
        <f aca="false">IF($T748="","",1+COUNTIF($W$15:$W$894,"&lt;"&amp;W748))</f>
        <v/>
      </c>
      <c r="B748" s="16" t="s">
        <v>10</v>
      </c>
      <c r="C748" s="16" t="s">
        <v>1475</v>
      </c>
      <c r="D748" s="16" t="s">
        <v>95</v>
      </c>
      <c r="E748" s="16" t="s">
        <v>26</v>
      </c>
      <c r="F748" s="16" t="s">
        <v>1476</v>
      </c>
      <c r="G748" s="17">
        <v>1809</v>
      </c>
      <c r="H748" s="17"/>
      <c r="I748" s="17"/>
      <c r="J748" s="17">
        <v>1799</v>
      </c>
      <c r="K748" s="17" t="n">
        <f aca="false">IF(AND(IFERROR(SEARCH("현대오일뱅크",$C748),0)&gt;0,IFERROR(SEARCH("직영",$C748),0)&gt;0),$B$13,0)</f>
        <v/>
      </c>
      <c r="L748" s="17" t="n">
        <f aca="false">IF($G748="","",$G748+$K748)</f>
        <v/>
      </c>
      <c r="M748" s="17" t="str">
        <f aca="false">IF($H748="","",$H748+$K748)</f>
        <v/>
      </c>
      <c r="N748" s="17" t="n">
        <f aca="false">IF($J748="","",$J748+$K748)</f>
        <v/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 t="str">
        <f aca="false">IF($B$10=0,"",IFERROR(IF($B$4&gt;0,IF($L748="",1/0,$L748*$B$4),0)+IF($B$5&gt;0,IF($M748="",1/0,$M748*$B$5),0)+IF($B$6&gt;0,IF($N748="",1/0,$N748*$B$6),0),""))</f>
        <v/>
      </c>
      <c r="Q748" s="17"/>
      <c r="R748" s="18" t="str">
        <f aca="false">IF($P748="","",IF($Q748="Y",IFERROR(VLOOKUP($B748,$C$4:$D$13,2,FALSE()),0),0))</f>
        <v/>
      </c>
      <c r="S748" s="17" t="str">
        <f aca="false">IF($P748="","",ROUNDDOWN($P748*$R748,0))</f>
        <v/>
      </c>
      <c r="T748" s="17" t="str">
        <f aca="false">IF($P748="","",$P748-$S748)</f>
        <v/>
      </c>
      <c r="U748" s="17" t="str">
        <f aca="false">IF($T748="","",IF($B$10=0,"",$T748/$B$10))</f>
        <v/>
      </c>
      <c r="V748" s="17" t="str">
        <f aca="false">IF($P748="","",IF($B$10=0,"",$P748/$B$10))</f>
        <v/>
      </c>
      <c r="W748" s="19" t="n">
        <f aca="false">IF($T748="",1000000000000000,$T748)</f>
        <v/>
      </c>
      <c r="XFB748" s="6"/>
      <c r="XFC748" s="3"/>
    </row>
    <row r="749" s="5" collapsed="false" customFormat="true" customHeight="true" hidden="false" ht="28.5" outlineLevel="0">
      <c r="A749" s="16" t="str">
        <f aca="false">IF($T749="","",1+COUNTIF($W$15:$W$894,"&lt;"&amp;W749))</f>
        <v/>
      </c>
      <c r="B749" s="16" t="s">
        <v>12</v>
      </c>
      <c r="C749" s="16" t="s">
        <v>1477</v>
      </c>
      <c r="D749" s="20" t="s">
        <v>45</v>
      </c>
      <c r="E749" s="16" t="s">
        <v>63</v>
      </c>
      <c r="F749" s="16" t="s">
        <v>1478</v>
      </c>
      <c r="G749" s="17">
        <v>1819</v>
      </c>
      <c r="H749" s="17"/>
      <c r="I749" s="17"/>
      <c r="J749" s="17">
        <v>1853</v>
      </c>
      <c r="K749" s="17" t="n">
        <v>0</v>
      </c>
      <c r="L749" s="17" t="n">
        <f aca="false">IF($G749="","",$G749+$K749)</f>
        <v/>
      </c>
      <c r="M749" s="17" t="str">
        <f aca="false">IF($H749="","",$H749+$K749)</f>
        <v/>
      </c>
      <c r="N749" s="17" t="n">
        <f aca="false">IF($J749="","",$J749+$K749)</f>
        <v/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 t="str">
        <f aca="false">IF($B$10=0,"",IFERROR(IF($B$4&gt;0,IF($L749="",1/0,$L749*$B$4),0)+IF($B$5&gt;0,IF($M749="",1/0,$M749*$B$5),0)+IF($B$6&gt;0,IF($N749="",1/0,$N749*$B$6),0),""))</f>
        <v/>
      </c>
      <c r="Q749" s="17"/>
      <c r="R749" s="18" t="str">
        <f aca="false">IF($P749="","",IF($Q749="Y",IFERROR(VLOOKUP($B749,$C$4:$D$13,2,FALSE()),0),0))</f>
        <v/>
      </c>
      <c r="S749" s="17" t="str">
        <f aca="false">IF($P749="","",ROUNDDOWN($P749*$R749,0))</f>
        <v/>
      </c>
      <c r="T749" s="17" t="str">
        <f aca="false">IF($P749="","",$P749-$S749)</f>
        <v/>
      </c>
      <c r="U749" s="17" t="str">
        <f aca="false">IF($T749="","",IF($B$10=0,"",$T749/$B$10))</f>
        <v/>
      </c>
      <c r="V749" s="17" t="str">
        <f aca="false">IF($P749="","",IF($B$10=0,"",$P749/$B$10))</f>
        <v/>
      </c>
      <c r="W749" s="19" t="n">
        <f aca="false">IF($T749="",1000000000000000,$T749)</f>
        <v/>
      </c>
      <c r="XFB749" s="6"/>
      <c r="XFC749" s="3"/>
    </row>
    <row r="750" s="21" collapsed="false" customFormat="true" customHeight="true" hidden="false" ht="28.5" outlineLevel="0">
      <c r="A750" s="16" t="str">
        <f aca="false">IF($T750="","",1+COUNTIF($W$15:$W$894,"&lt;"&amp;W750))</f>
        <v/>
      </c>
      <c r="B750" s="16" t="s">
        <v>18</v>
      </c>
      <c r="C750" s="16" t="s">
        <v>1479</v>
      </c>
      <c r="D750" s="16" t="s">
        <v>45</v>
      </c>
      <c r="E750" s="16" t="s">
        <v>63</v>
      </c>
      <c r="F750" s="16" t="s">
        <v>1480</v>
      </c>
      <c r="G750" s="17">
        <v>1810</v>
      </c>
      <c r="H750" s="17"/>
      <c r="I750" s="17"/>
      <c r="J750" s="17">
        <v>1800</v>
      </c>
      <c r="K750" s="17" t="n">
        <f aca="false">IF(AND(IFERROR(SEARCH("현대오일뱅크",$C750),0)&gt;0,IFERROR(SEARCH("직영",$C750),0)&gt;0),$B$13,0)</f>
        <v/>
      </c>
      <c r="L750" s="17" t="n">
        <f aca="false">IF($G750="","",$G750+$K750)</f>
        <v/>
      </c>
      <c r="M750" s="17" t="str">
        <f aca="false">IF($H750="","",$H750+$K750)</f>
        <v/>
      </c>
      <c r="N750" s="17" t="n">
        <f aca="false">IF($J750="","",$J750+$K750)</f>
        <v/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 t="str">
        <f aca="false">IF($B$10=0,"",IFERROR(IF($B$4&gt;0,IF($L750="",1/0,$L750*$B$4),0)+IF($B$5&gt;0,IF($M750="",1/0,$M750*$B$5),0)+IF($B$6&gt;0,IF($N750="",1/0,$N750*$B$6),0),""))</f>
        <v/>
      </c>
      <c r="Q750" s="17"/>
      <c r="R750" s="18" t="str">
        <f aca="false">IF($P750="","",IF($Q750="Y",IFERROR(VLOOKUP($B750,$C$4:$D$13,2,FALSE()),0),0))</f>
        <v/>
      </c>
      <c r="S750" s="17" t="str">
        <f aca="false">IF($P750="","",ROUNDDOWN($P750*$R750,0))</f>
        <v/>
      </c>
      <c r="T750" s="17" t="str">
        <f aca="false">IF($P750="","",$P750-$S750)</f>
        <v/>
      </c>
      <c r="U750" s="17" t="str">
        <f aca="false">IF($T750="","",IF($B$10=0,"",$T750/$B$10))</f>
        <v/>
      </c>
      <c r="V750" s="17" t="str">
        <f aca="false">IF($P750="","",IF($B$10=0,"",$P750/$B$10))</f>
        <v/>
      </c>
      <c r="W750" s="19" t="n">
        <f aca="false">IF($T750="",1000000000000000,$T750)</f>
        <v/>
      </c>
      <c r="XFB750" s="6"/>
      <c r="XFC750" s="3"/>
    </row>
    <row r="751" s="21" collapsed="false" customFormat="true" customHeight="true" hidden="false" ht="28.5" outlineLevel="0">
      <c r="A751" s="16" t="str">
        <f aca="false">IF($T751="","",1+COUNTIF($W$15:$W$894,"&lt;"&amp;W751))</f>
        <v/>
      </c>
      <c r="B751" s="16" t="s">
        <v>18</v>
      </c>
      <c r="C751" s="16" t="s">
        <v>1481</v>
      </c>
      <c r="D751" s="16" t="s">
        <v>45</v>
      </c>
      <c r="E751" s="16" t="s">
        <v>63</v>
      </c>
      <c r="F751" s="16" t="s">
        <v>1482</v>
      </c>
      <c r="G751" s="17">
        <v>1810</v>
      </c>
      <c r="H751" s="17"/>
      <c r="I751" s="17"/>
      <c r="J751" s="17">
        <v>1805</v>
      </c>
      <c r="K751" s="17" t="n">
        <f aca="false">IF(AND(IFERROR(SEARCH("현대오일뱅크",$C751),0)&gt;0,IFERROR(SEARCH("직영",$C751),0)&gt;0),$B$13,0)</f>
        <v/>
      </c>
      <c r="L751" s="17" t="n">
        <f aca="false">IF($G751="","",$G751+$K751)</f>
        <v/>
      </c>
      <c r="M751" s="17" t="str">
        <f aca="false">IF($H751="","",$H751+$K751)</f>
        <v/>
      </c>
      <c r="N751" s="17" t="n">
        <f aca="false">IF($J751="","",$J751+$K751)</f>
        <v/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 t="str">
        <f aca="false">IF($B$10=0,"",IFERROR(IF($B$4&gt;0,IF($L751="",1/0,$L751*$B$4),0)+IF($B$5&gt;0,IF($M751="",1/0,$M751*$B$5),0)+IF($B$6&gt;0,IF($N751="",1/0,$N751*$B$6),0),""))</f>
        <v/>
      </c>
      <c r="Q751" s="17"/>
      <c r="R751" s="18" t="str">
        <f aca="false">IF($P751="","",IF($Q751="Y",IFERROR(VLOOKUP($B751,$C$4:$D$13,2,FALSE()),0),0))</f>
        <v/>
      </c>
      <c r="S751" s="17" t="str">
        <f aca="false">IF($P751="","",ROUNDDOWN($P751*$R751,0))</f>
        <v/>
      </c>
      <c r="T751" s="17" t="str">
        <f aca="false">IF($P751="","",$P751-$S751)</f>
        <v/>
      </c>
      <c r="U751" s="17" t="str">
        <f aca="false">IF($T751="","",IF($B$10=0,"",$T751/$B$10))</f>
        <v/>
      </c>
      <c r="V751" s="17" t="str">
        <f aca="false">IF($P751="","",IF($B$10=0,"",$P751/$B$10))</f>
        <v/>
      </c>
      <c r="W751" s="19" t="n">
        <f aca="false">IF($T751="",1000000000000000,$T751)</f>
        <v/>
      </c>
      <c r="XFB751" s="6"/>
      <c r="XFC751" s="3"/>
    </row>
    <row r="752" s="21" collapsed="false" customFormat="true" customHeight="true" hidden="false" ht="28.5" outlineLevel="0">
      <c r="A752" s="16" t="str">
        <f aca="false">IF($T752="","",1+COUNTIF($W$15:$W$894,"&lt;"&amp;W752))</f>
        <v/>
      </c>
      <c r="B752" s="16" t="s">
        <v>18</v>
      </c>
      <c r="C752" s="16" t="s">
        <v>1483</v>
      </c>
      <c r="D752" s="16" t="s">
        <v>500</v>
      </c>
      <c r="E752" s="16" t="s">
        <v>63</v>
      </c>
      <c r="F752" s="16" t="s">
        <v>1484</v>
      </c>
      <c r="G752" s="17">
        <v>1810</v>
      </c>
      <c r="H752" s="17"/>
      <c r="I752" s="17"/>
      <c r="J752" s="17">
        <v>1805</v>
      </c>
      <c r="K752" s="17" t="n">
        <f aca="false">IF(AND(IFERROR(SEARCH("현대오일뱅크",$C752),0)&gt;0,IFERROR(SEARCH("직영",$C752),0)&gt;0),$B$13,0)</f>
        <v/>
      </c>
      <c r="L752" s="17" t="n">
        <f aca="false">IF($G752="","",$G752+$K752)</f>
        <v/>
      </c>
      <c r="M752" s="17" t="str">
        <f aca="false">IF($H752="","",$H752+$K752)</f>
        <v/>
      </c>
      <c r="N752" s="17" t="n">
        <f aca="false">IF($J752="","",$J752+$K752)</f>
        <v/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 t="str">
        <f aca="false">IF($B$10=0,"",IFERROR(IF($B$4&gt;0,IF($L752="",1/0,$L752*$B$4),0)+IF($B$5&gt;0,IF($M752="",1/0,$M752*$B$5),0)+IF($B$6&gt;0,IF($N752="",1/0,$N752*$B$6),0),""))</f>
        <v/>
      </c>
      <c r="Q752" s="17"/>
      <c r="R752" s="18" t="str">
        <f aca="false">IF($P752="","",IF($Q752="Y",IFERROR(VLOOKUP($B752,$C$4:$D$13,2,FALSE()),0),0))</f>
        <v/>
      </c>
      <c r="S752" s="17" t="str">
        <f aca="false">IF($P752="","",ROUNDDOWN($P752*$R752,0))</f>
        <v/>
      </c>
      <c r="T752" s="17" t="str">
        <f aca="false">IF($P752="","",$P752-$S752)</f>
        <v/>
      </c>
      <c r="U752" s="17" t="str">
        <f aca="false">IF($T752="","",IF($B$10=0,"",$T752/$B$10))</f>
        <v/>
      </c>
      <c r="V752" s="17" t="str">
        <f aca="false">IF($P752="","",IF($B$10=0,"",$P752/$B$10))</f>
        <v/>
      </c>
      <c r="W752" s="19" t="n">
        <f aca="false">IF($T752="",1000000000000000,$T752)</f>
        <v/>
      </c>
      <c r="XFB752" s="6"/>
      <c r="XFC752" s="3"/>
    </row>
    <row r="753" s="5" collapsed="false" customFormat="true" customHeight="true" hidden="false" ht="28.5" outlineLevel="0">
      <c r="A753" s="16" t="str">
        <f aca="false">IF($T753="","",1+COUNTIF($W$15:$W$894,"&lt;"&amp;W753))</f>
        <v/>
      </c>
      <c r="B753" s="16" t="s">
        <v>16</v>
      </c>
      <c r="C753" s="16" t="s">
        <v>1487</v>
      </c>
      <c r="D753" s="16" t="s">
        <v>500</v>
      </c>
      <c r="E753" s="16" t="s">
        <v>63</v>
      </c>
      <c r="F753" s="16" t="s">
        <v>1488</v>
      </c>
      <c r="G753" s="17">
        <v>1810</v>
      </c>
      <c r="H753" s="17"/>
      <c r="I753" s="17"/>
      <c r="J753" s="17">
        <v>1860</v>
      </c>
      <c r="K753" s="17" t="n">
        <f aca="false">IF(AND(IFERROR(SEARCH("현대오일뱅크",$C753),0)&gt;0,IFERROR(SEARCH("직영",$C753),0)&gt;0),$B$13,0)</f>
        <v/>
      </c>
      <c r="L753" s="17" t="n">
        <f aca="false">IF($G753="","",$G753+$K753)</f>
        <v/>
      </c>
      <c r="M753" s="17" t="str">
        <f aca="false">IF($H753="","",$H753+$K753)</f>
        <v/>
      </c>
      <c r="N753" s="17" t="n">
        <f aca="false">IF($J753="","",$J753+$K753)</f>
        <v/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 t="str">
        <f aca="false">IF($B$10=0,"",IFERROR(IF($B$4&gt;0,IF($L753="",1/0,$L753*$B$4),0)+IF($B$5&gt;0,IF($M753="",1/0,$M753*$B$5),0)+IF($B$6&gt;0,IF($N753="",1/0,$N753*$B$6),0),""))</f>
        <v/>
      </c>
      <c r="Q753" s="17"/>
      <c r="R753" s="18" t="str">
        <f aca="false">IF($P753="","",IF($Q753="Y",IFERROR(VLOOKUP($B753,$C$4:$D$13,2,FALSE()),0),0))</f>
        <v/>
      </c>
      <c r="S753" s="17" t="str">
        <f aca="false">IF($P753="","",ROUNDDOWN($P753*$R753,0))</f>
        <v/>
      </c>
      <c r="T753" s="17" t="str">
        <f aca="false">IF($P753="","",$P753-$S753)</f>
        <v/>
      </c>
      <c r="U753" s="17" t="str">
        <f aca="false">IF($T753="","",IF($B$10=0,"",$T753/$B$10))</f>
        <v/>
      </c>
      <c r="V753" s="17" t="str">
        <f aca="false">IF($P753="","",IF($B$10=0,"",$P753/$B$10))</f>
        <v/>
      </c>
      <c r="W753" s="19" t="n">
        <f aca="false">IF($T753="",1000000000000000,$T753)</f>
        <v/>
      </c>
      <c r="XFB753" s="6"/>
      <c r="XFC753" s="3"/>
    </row>
    <row r="754" s="5" collapsed="false" customFormat="true" customHeight="true" hidden="false" ht="28.5" outlineLevel="0">
      <c r="A754" s="16" t="str">
        <f aca="false">IF($T754="","",1+COUNTIF($W$15:$W$894,"&lt;"&amp;W754))</f>
        <v/>
      </c>
      <c r="B754" s="16" t="s">
        <v>16</v>
      </c>
      <c r="C754" s="16" t="s">
        <v>1489</v>
      </c>
      <c r="D754" s="16" t="s">
        <v>500</v>
      </c>
      <c r="E754" s="16" t="s">
        <v>63</v>
      </c>
      <c r="F754" s="16" t="s">
        <v>1490</v>
      </c>
      <c r="G754" s="17">
        <v>1810</v>
      </c>
      <c r="H754" s="17"/>
      <c r="I754" s="17"/>
      <c r="J754" s="17">
        <v>1860</v>
      </c>
      <c r="K754" s="17" t="n">
        <f aca="false">IF(AND(IFERROR(SEARCH("현대오일뱅크",$C754),0)&gt;0,IFERROR(SEARCH("직영",$C754),0)&gt;0),$B$13,0)</f>
        <v/>
      </c>
      <c r="L754" s="17" t="n">
        <f aca="false">IF($G754="","",$G754+$K754)</f>
        <v/>
      </c>
      <c r="M754" s="17" t="str">
        <f aca="false">IF($H754="","",$H754+$K754)</f>
        <v/>
      </c>
      <c r="N754" s="17" t="n">
        <f aca="false">IF($J754="","",$J754+$K754)</f>
        <v/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 t="str">
        <f aca="false">IF($B$10=0,"",IFERROR(IF($B$4&gt;0,IF($L754="",1/0,$L754*$B$4),0)+IF($B$5&gt;0,IF($M754="",1/0,$M754*$B$5),0)+IF($B$6&gt;0,IF($N754="",1/0,$N754*$B$6),0),""))</f>
        <v/>
      </c>
      <c r="Q754" s="17"/>
      <c r="R754" s="18" t="str">
        <f aca="false">IF($P754="","",IF($Q754="Y",IFERROR(VLOOKUP($B754,$C$4:$D$13,2,FALSE()),0),0))</f>
        <v/>
      </c>
      <c r="S754" s="17" t="str">
        <f aca="false">IF($P754="","",ROUNDDOWN($P754*$R754,0))</f>
        <v/>
      </c>
      <c r="T754" s="17" t="str">
        <f aca="false">IF($P754="","",$P754-$S754)</f>
        <v/>
      </c>
      <c r="U754" s="17" t="str">
        <f aca="false">IF($T754="","",IF($B$10=0,"",$T754/$B$10))</f>
        <v/>
      </c>
      <c r="V754" s="17" t="str">
        <f aca="false">IF($P754="","",IF($B$10=0,"",$P754/$B$10))</f>
        <v/>
      </c>
      <c r="W754" s="19" t="n">
        <f aca="false">IF($T754="",1000000000000000,$T754)</f>
        <v/>
      </c>
      <c r="XFB754" s="6"/>
      <c r="XFC754" s="3"/>
    </row>
    <row r="755" s="6" collapsed="false" customFormat="true" customHeight="true" hidden="false" ht="28.6" outlineLevel="0">
      <c r="A755" s="16" t="str">
        <f aca="false">IF($T755="","",1+COUNTIF($W$15:$W$894,"&lt;"&amp;W755))</f>
        <v/>
      </c>
      <c r="B755" s="16" t="s">
        <v>18</v>
      </c>
      <c r="C755" s="16" t="s">
        <v>1491</v>
      </c>
      <c r="D755" s="16" t="s">
        <v>45</v>
      </c>
      <c r="E755" s="16" t="s">
        <v>63</v>
      </c>
      <c r="F755" s="16" t="s">
        <v>1492</v>
      </c>
      <c r="G755" s="17">
        <v>1815</v>
      </c>
      <c r="H755" s="17"/>
      <c r="I755" s="17"/>
      <c r="J755" s="17">
        <v>1795</v>
      </c>
      <c r="K755" s="17" t="n">
        <f aca="false">IF(AND(IFERROR(SEARCH("현대오일뱅크",$C755),0)&gt;0,IFERROR(SEARCH("직영",$C755),0)&gt;0),$B$13,0)</f>
        <v/>
      </c>
      <c r="L755" s="17" t="n">
        <f aca="false">IF($G755="","",$G755+$K755)</f>
        <v/>
      </c>
      <c r="M755" s="17" t="str">
        <f aca="false">IF($H755="","",$H755+$K755)</f>
        <v/>
      </c>
      <c r="N755" s="17" t="n">
        <f aca="false">IF($J755="","",$J755+$K755)</f>
        <v/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 t="str">
        <f aca="false">IF($B$10=0,"",IFERROR(IF($B$4&gt;0,IF($L755="",1/0,$L755*$B$4),0)+IF($B$5&gt;0,IF($M755="",1/0,$M755*$B$5),0)+IF($B$6&gt;0,IF($N755="",1/0,$N755*$B$6),0),""))</f>
        <v/>
      </c>
      <c r="Q755" s="17"/>
      <c r="R755" s="18" t="str">
        <f aca="false">IF($P755="","",IF($Q755="Y",IFERROR(VLOOKUP($B755,$C$4:$D$13,2,FALSE()),0),0))</f>
        <v/>
      </c>
      <c r="S755" s="17" t="str">
        <f aca="false">IF($P755="","",ROUNDDOWN($P755*$R755,0))</f>
        <v/>
      </c>
      <c r="T755" s="17" t="str">
        <f aca="false">IF($P755="","",$P755-$S755)</f>
        <v/>
      </c>
      <c r="U755" s="17" t="str">
        <f aca="false">IF($T755="","",IF($B$10=0,"",$T755/$B$10))</f>
        <v/>
      </c>
      <c r="V755" s="17" t="str">
        <f aca="false">IF($P755="","",IF($B$10=0,"",$P755/$B$10))</f>
        <v/>
      </c>
      <c r="W755" s="19" t="n">
        <f aca="false">IF($T755="",1000000000000000,$T755)</f>
        <v/>
      </c>
      <c r="XFC755" s="3"/>
    </row>
    <row r="756" s="21" collapsed="false" customFormat="true" customHeight="true" hidden="false" ht="28.5" outlineLevel="0">
      <c r="A756" s="16" t="str">
        <f aca="false">IF($T756="","",1+COUNTIF($W$15:$W$894,"&lt;"&amp;W756))</f>
        <v/>
      </c>
      <c r="B756" s="16" t="s">
        <v>18</v>
      </c>
      <c r="C756" s="16" t="s">
        <v>1493</v>
      </c>
      <c r="D756" s="16" t="s">
        <v>45</v>
      </c>
      <c r="E756" s="16" t="s">
        <v>26</v>
      </c>
      <c r="F756" s="16" t="s">
        <v>1494</v>
      </c>
      <c r="G756" s="17">
        <v>1815</v>
      </c>
      <c r="H756" s="17"/>
      <c r="I756" s="17"/>
      <c r="J756" s="17">
        <v>1815</v>
      </c>
      <c r="K756" s="17" t="n">
        <f aca="false">IF(AND(IFERROR(SEARCH("현대오일뱅크",$C756),0)&gt;0,IFERROR(SEARCH("직영",$C756),0)&gt;0),$B$13,0)</f>
        <v/>
      </c>
      <c r="L756" s="17" t="n">
        <f aca="false">IF($G756="","",$G756+$K756)</f>
        <v/>
      </c>
      <c r="M756" s="17" t="str">
        <f aca="false">IF($H756="","",$H756+$K756)</f>
        <v/>
      </c>
      <c r="N756" s="17" t="n">
        <f aca="false">IF($J756="","",$J756+$K756)</f>
        <v/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 t="str">
        <f aca="false">IF($B$10=0,"",IFERROR(IF($B$4&gt;0,IF($L756="",1/0,$L756*$B$4),0)+IF($B$5&gt;0,IF($M756="",1/0,$M756*$B$5),0)+IF($B$6&gt;0,IF($N756="",1/0,$N756*$B$6),0),""))</f>
        <v/>
      </c>
      <c r="Q756" s="17"/>
      <c r="R756" s="18" t="str">
        <f aca="false">IF($P756="","",IF($Q756="Y",IFERROR(VLOOKUP($B756,$C$4:$D$13,2,FALSE()),0),0))</f>
        <v/>
      </c>
      <c r="S756" s="17" t="str">
        <f aca="false">IF($P756="","",ROUNDDOWN($P756*$R756,0))</f>
        <v/>
      </c>
      <c r="T756" s="17" t="str">
        <f aca="false">IF($P756="","",$P756-$S756)</f>
        <v/>
      </c>
      <c r="U756" s="17" t="str">
        <f aca="false">IF($T756="","",IF($B$10=0,"",$T756/$B$10))</f>
        <v/>
      </c>
      <c r="V756" s="17" t="str">
        <f aca="false">IF($P756="","",IF($B$10=0,"",$P756/$B$10))</f>
        <v/>
      </c>
      <c r="W756" s="19" t="n">
        <f aca="false">IF($T756="",1000000000000000,$T756)</f>
        <v/>
      </c>
      <c r="XFB756" s="6"/>
      <c r="XFC756" s="3"/>
    </row>
    <row r="757" s="6" collapsed="false" customFormat="true" customHeight="true" hidden="false" ht="28.6" outlineLevel="0">
      <c r="A757" s="16" t="str">
        <f aca="false">IF($T757="","",1+COUNTIF($W$15:$W$894,"&lt;"&amp;W757))</f>
        <v/>
      </c>
      <c r="B757" s="16" t="s">
        <v>12</v>
      </c>
      <c r="C757" s="16" t="s">
        <v>1495</v>
      </c>
      <c r="D757" s="20" t="s">
        <v>95</v>
      </c>
      <c r="E757" s="16" t="s">
        <v>63</v>
      </c>
      <c r="F757" s="16" t="s">
        <v>1496</v>
      </c>
      <c r="G757" s="17">
        <v>1815</v>
      </c>
      <c r="H757" s="17"/>
      <c r="I757" s="17"/>
      <c r="J757" s="17">
        <v>1815</v>
      </c>
      <c r="K757" s="17" t="n">
        <f aca="false">IF(AND(IFERROR(SEARCH("현대오일뱅크",$C757),0)&gt;0,IFERROR(SEARCH("직영",$C757),0)&gt;0),$B$13,0)</f>
        <v/>
      </c>
      <c r="L757" s="17" t="n">
        <f aca="false">IF($G757="","",$G757+$K757)</f>
        <v/>
      </c>
      <c r="M757" s="17" t="str">
        <f aca="false">IF($H757="","",$H757+$K757)</f>
        <v/>
      </c>
      <c r="N757" s="17" t="n">
        <f aca="false">IF($J757="","",$J757+$K757)</f>
        <v/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 t="str">
        <f aca="false">IF($B$10=0,"",IFERROR(IF($B$4&gt;0,IF($L757="",1/0,$L757*$B$4),0)+IF($B$5&gt;0,IF($M757="",1/0,$M757*$B$5),0)+IF($B$6&gt;0,IF($N757="",1/0,$N757*$B$6),0),""))</f>
        <v/>
      </c>
      <c r="Q757" s="17"/>
      <c r="R757" s="18" t="str">
        <f aca="false">IF($P757="","",IF($Q757="Y",IFERROR(VLOOKUP($B757,$C$4:$D$13,2,FALSE()),0),0))</f>
        <v/>
      </c>
      <c r="S757" s="17" t="str">
        <f aca="false">IF($P757="","",ROUNDDOWN($P757*$R757,0))</f>
        <v/>
      </c>
      <c r="T757" s="17" t="str">
        <f aca="false">IF($P757="","",$P757-$S757)</f>
        <v/>
      </c>
      <c r="U757" s="17" t="str">
        <f aca="false">IF($T757="","",IF($B$10=0,"",$T757/$B$10))</f>
        <v/>
      </c>
      <c r="V757" s="17" t="str">
        <f aca="false">IF($P757="","",IF($B$10=0,"",$P757/$B$10))</f>
        <v/>
      </c>
      <c r="W757" s="19" t="n">
        <f aca="false">IF($T757="",1000000000000000,$T757)</f>
        <v/>
      </c>
      <c r="XFC757" s="3"/>
    </row>
    <row r="758" s="21" collapsed="false" customFormat="true" customHeight="true" hidden="false" ht="28.5" outlineLevel="0">
      <c r="A758" s="16" t="str">
        <f aca="false">IF($T758="","",1+COUNTIF($W$15:$W$894,"&lt;"&amp;W758))</f>
        <v/>
      </c>
      <c r="B758" s="16" t="s">
        <v>10</v>
      </c>
      <c r="C758" s="16" t="s">
        <v>1497</v>
      </c>
      <c r="D758" s="16" t="s">
        <v>51</v>
      </c>
      <c r="E758" s="16" t="s">
        <v>63</v>
      </c>
      <c r="F758" s="16" t="s">
        <v>1498</v>
      </c>
      <c r="G758" s="17">
        <v>1815</v>
      </c>
      <c r="H758" s="17"/>
      <c r="I758" s="17"/>
      <c r="J758" s="17">
        <v>1855</v>
      </c>
      <c r="K758" s="17" t="n">
        <f aca="false">IF(AND(IFERROR(SEARCH("현대오일뱅크",$C758),0)&gt;0,IFERROR(SEARCH("직영",$C758),0)&gt;0),$B$13,0)</f>
        <v/>
      </c>
      <c r="L758" s="17" t="n">
        <f aca="false">IF($G758="","",$G758+$K758)</f>
        <v/>
      </c>
      <c r="M758" s="17" t="str">
        <f aca="false">IF($H758="","",$H758+$K758)</f>
        <v/>
      </c>
      <c r="N758" s="17" t="n">
        <f aca="false">IF($J758="","",$J758+$K758)</f>
        <v/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 t="str">
        <f aca="false">IF($B$10=0,"",IFERROR(IF($B$4&gt;0,IF($L758="",1/0,$L758*$B$4),0)+IF($B$5&gt;0,IF($M758="",1/0,$M758*$B$5),0)+IF($B$6&gt;0,IF($N758="",1/0,$N758*$B$6),0),""))</f>
        <v/>
      </c>
      <c r="Q758" s="17"/>
      <c r="R758" s="18" t="str">
        <f aca="false">IF($P758="","",IF($Q758="Y",IFERROR(VLOOKUP($B758,$C$4:$D$13,2,FALSE()),0),0))</f>
        <v/>
      </c>
      <c r="S758" s="17" t="str">
        <f aca="false">IF($P758="","",ROUNDDOWN($P758*$R758,0))</f>
        <v/>
      </c>
      <c r="T758" s="17" t="str">
        <f aca="false">IF($P758="","",$P758-$S758)</f>
        <v/>
      </c>
      <c r="U758" s="17" t="str">
        <f aca="false">IF($T758="","",IF($B$10=0,"",$T758/$B$10))</f>
        <v/>
      </c>
      <c r="V758" s="17" t="str">
        <f aca="false">IF($P758="","",IF($B$10=0,"",$P758/$B$10))</f>
        <v/>
      </c>
      <c r="W758" s="19" t="n">
        <f aca="false">IF($T758="",1000000000000000,$T758)</f>
        <v/>
      </c>
      <c r="XFB758" s="6"/>
      <c r="XFC758" s="3"/>
    </row>
    <row r="759" s="6" collapsed="false" customFormat="true" customHeight="true" hidden="false" ht="28.6" outlineLevel="0">
      <c r="A759" s="16" t="str">
        <f aca="false">IF($T759="","",1+COUNTIF($W$15:$W$894,"&lt;"&amp;W759))</f>
        <v/>
      </c>
      <c r="B759" s="16" t="s">
        <v>14</v>
      </c>
      <c r="C759" s="16" t="s">
        <v>1499</v>
      </c>
      <c r="D759" s="16" t="s">
        <v>51</v>
      </c>
      <c r="E759" s="16" t="s">
        <v>26</v>
      </c>
      <c r="F759" s="16" t="s">
        <v>1500</v>
      </c>
      <c r="G759" s="17">
        <v>1818</v>
      </c>
      <c r="H759" s="17"/>
      <c r="I759" s="17"/>
      <c r="J759" s="17">
        <v>1790</v>
      </c>
      <c r="K759" s="17" t="n">
        <f aca="false">IF(AND(IFERROR(SEARCH("현대오일뱅크",$C759),0)&gt;0,IFERROR(SEARCH("직영",$C759),0)&gt;0),$B$13,0)</f>
        <v/>
      </c>
      <c r="L759" s="17" t="n">
        <f aca="false">IF($G759="","",$G759+$K759)</f>
        <v/>
      </c>
      <c r="M759" s="17" t="str">
        <f aca="false">IF($H759="","",$H759+$K759)</f>
        <v/>
      </c>
      <c r="N759" s="17" t="n">
        <f aca="false">IF($J759="","",$J759+$K759)</f>
        <v/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 t="str">
        <f aca="false">IF($B$10=0,"",IFERROR(IF($B$4&gt;0,IF($L759="",1/0,$L759*$B$4),0)+IF($B$5&gt;0,IF($M759="",1/0,$M759*$B$5),0)+IF($B$6&gt;0,IF($N759="",1/0,$N759*$B$6),0),""))</f>
        <v/>
      </c>
      <c r="Q759" s="17"/>
      <c r="R759" s="18" t="str">
        <f aca="false">IF($P759="","",IF($Q759="Y",IFERROR(VLOOKUP($B759,$C$4:$D$13,2,FALSE()),0),0))</f>
        <v/>
      </c>
      <c r="S759" s="17" t="str">
        <f aca="false">IF($P759="","",ROUNDDOWN($P759*$R759,0))</f>
        <v/>
      </c>
      <c r="T759" s="17" t="str">
        <f aca="false">IF($P759="","",$P759-$S759)</f>
        <v/>
      </c>
      <c r="U759" s="17" t="str">
        <f aca="false">IF($T759="","",IF($B$10=0,"",$T759/$B$10))</f>
        <v/>
      </c>
      <c r="V759" s="17" t="str">
        <f aca="false">IF($P759="","",IF($B$10=0,"",$P759/$B$10))</f>
        <v/>
      </c>
      <c r="W759" s="19" t="n">
        <f aca="false">IF($T759="",1000000000000000,$T759)</f>
        <v/>
      </c>
      <c r="XFC759" s="3"/>
    </row>
    <row r="760" s="6" collapsed="false" customFormat="true" customHeight="true" hidden="false" ht="28.6" outlineLevel="0">
      <c r="A760" s="16" t="str">
        <f aca="false">IF($T760="","",1+COUNTIF($W$15:$W$894,"&lt;"&amp;W760))</f>
        <v/>
      </c>
      <c r="B760" s="16" t="s">
        <v>12</v>
      </c>
      <c r="C760" s="16" t="s">
        <v>1503</v>
      </c>
      <c r="D760" s="20" t="s">
        <v>45</v>
      </c>
      <c r="E760" s="16" t="s">
        <v>26</v>
      </c>
      <c r="F760" s="16" t="s">
        <v>1504</v>
      </c>
      <c r="G760" s="17">
        <v>1819</v>
      </c>
      <c r="H760" s="17"/>
      <c r="I760" s="17"/>
      <c r="J760" s="17">
        <v>1779</v>
      </c>
      <c r="K760" s="17" t="n">
        <f aca="false">IF(AND(IFERROR(SEARCH("현대오일뱅크",$C760),0)&gt;0,IFERROR(SEARCH("직영",$C760),0)&gt;0),$B$13,0)</f>
        <v/>
      </c>
      <c r="L760" s="17" t="n">
        <f aca="false">IF($G760="","",$G760+$K760)</f>
        <v/>
      </c>
      <c r="M760" s="17" t="str">
        <f aca="false">IF($H760="","",$H760+$K760)</f>
        <v/>
      </c>
      <c r="N760" s="17" t="n">
        <f aca="false">IF($J760="","",$J760+$K760)</f>
        <v/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 t="str">
        <f aca="false">IF($B$10=0,"",IFERROR(IF($B$4&gt;0,IF($L760="",1/0,$L760*$B$4),0)+IF($B$5&gt;0,IF($M760="",1/0,$M760*$B$5),0)+IF($B$6&gt;0,IF($N760="",1/0,$N760*$B$6),0),""))</f>
        <v/>
      </c>
      <c r="Q760" s="17"/>
      <c r="R760" s="18" t="str">
        <f aca="false">IF($P760="","",IF($Q760="Y",IFERROR(VLOOKUP($B760,$C$4:$D$13,2,FALSE()),0),0))</f>
        <v/>
      </c>
      <c r="S760" s="17" t="str">
        <f aca="false">IF($P760="","",ROUNDDOWN($P760*$R760,0))</f>
        <v/>
      </c>
      <c r="T760" s="17" t="str">
        <f aca="false">IF($P760="","",$P760-$S760)</f>
        <v/>
      </c>
      <c r="U760" s="17" t="str">
        <f aca="false">IF($T760="","",IF($B$10=0,"",$T760/$B$10))</f>
        <v/>
      </c>
      <c r="V760" s="17" t="str">
        <f aca="false">IF($P760="","",IF($B$10=0,"",$P760/$B$10))</f>
        <v/>
      </c>
      <c r="W760" s="19" t="n">
        <f aca="false">IF($T760="",1000000000000000,$T760)</f>
        <v/>
      </c>
      <c r="XFC760" s="3"/>
    </row>
    <row r="761" s="6" collapsed="false" customFormat="true" customHeight="true" hidden="false" ht="28.6" outlineLevel="0">
      <c r="A761" s="16" t="str">
        <f aca="false">IF($T761="","",1+COUNTIF($W$15:$W$894,"&lt;"&amp;W761))</f>
        <v/>
      </c>
      <c r="B761" s="16" t="s">
        <v>10</v>
      </c>
      <c r="C761" s="16" t="s">
        <v>1505</v>
      </c>
      <c r="D761" s="16" t="s">
        <v>95</v>
      </c>
      <c r="E761" s="16" t="s">
        <v>63</v>
      </c>
      <c r="F761" s="16" t="s">
        <v>1506</v>
      </c>
      <c r="G761" s="17">
        <v>1819</v>
      </c>
      <c r="H761" s="17"/>
      <c r="I761" s="17"/>
      <c r="J761" s="17">
        <v>1779</v>
      </c>
      <c r="K761" s="17" t="n">
        <f aca="false">IF(AND(IFERROR(SEARCH("현대오일뱅크",$C761),0)&gt;0,IFERROR(SEARCH("직영",$C761),0)&gt;0),$B$13,0)</f>
        <v/>
      </c>
      <c r="L761" s="17" t="n">
        <f aca="false">IF($G761="","",$G761+$K761)</f>
        <v/>
      </c>
      <c r="M761" s="17" t="str">
        <f aca="false">IF($H761="","",$H761+$K761)</f>
        <v/>
      </c>
      <c r="N761" s="17" t="n">
        <f aca="false">IF($J761="","",$J761+$K761)</f>
        <v/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 t="str">
        <f aca="false">IF($B$10=0,"",IFERROR(IF($B$4&gt;0,IF($L761="",1/0,$L761*$B$4),0)+IF($B$5&gt;0,IF($M761="",1/0,$M761*$B$5),0)+IF($B$6&gt;0,IF($N761="",1/0,$N761*$B$6),0),""))</f>
        <v/>
      </c>
      <c r="Q761" s="17"/>
      <c r="R761" s="18" t="str">
        <f aca="false">IF($P761="","",IF($Q761="Y",IFERROR(VLOOKUP($B761,$C$4:$D$13,2,FALSE()),0),0))</f>
        <v/>
      </c>
      <c r="S761" s="17" t="str">
        <f aca="false">IF($P761="","",ROUNDDOWN($P761*$R761,0))</f>
        <v/>
      </c>
      <c r="T761" s="17" t="str">
        <f aca="false">IF($P761="","",$P761-$S761)</f>
        <v/>
      </c>
      <c r="U761" s="17" t="str">
        <f aca="false">IF($T761="","",IF($B$10=0,"",$T761/$B$10))</f>
        <v/>
      </c>
      <c r="V761" s="17" t="str">
        <f aca="false">IF($P761="","",IF($B$10=0,"",$P761/$B$10))</f>
        <v/>
      </c>
      <c r="W761" s="19" t="n">
        <f aca="false">IF($T761="",1000000000000000,$T761)</f>
        <v/>
      </c>
      <c r="XFC761" s="3"/>
    </row>
    <row r="762" s="6" collapsed="false" customFormat="true" customHeight="true" hidden="false" ht="28.6" outlineLevel="0">
      <c r="A762" s="16" t="str">
        <f aca="false">IF($T762="","",1+COUNTIF($W$15:$W$894,"&lt;"&amp;W762))</f>
        <v/>
      </c>
      <c r="B762" s="16" t="s">
        <v>14</v>
      </c>
      <c r="C762" s="16" t="s">
        <v>1509</v>
      </c>
      <c r="D762" s="16" t="s">
        <v>51</v>
      </c>
      <c r="E762" s="16" t="s">
        <v>26</v>
      </c>
      <c r="F762" s="16" t="s">
        <v>1510</v>
      </c>
      <c r="G762" s="17">
        <v>1819</v>
      </c>
      <c r="H762" s="17"/>
      <c r="I762" s="17"/>
      <c r="J762" s="17">
        <v>1819</v>
      </c>
      <c r="K762" s="17" t="n">
        <f aca="false">IF(AND(IFERROR(SEARCH("현대오일뱅크",$C762),0)&gt;0,IFERROR(SEARCH("직영",$C762),0)&gt;0),$B$13,0)</f>
        <v/>
      </c>
      <c r="L762" s="17" t="n">
        <f aca="false">IF($G762="","",$G762+$K762)</f>
        <v/>
      </c>
      <c r="M762" s="17" t="str">
        <f aca="false">IF($H762="","",$H762+$K762)</f>
        <v/>
      </c>
      <c r="N762" s="17" t="n">
        <f aca="false">IF($J762="","",$J762+$K762)</f>
        <v/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 t="str">
        <f aca="false">IF($B$10=0,"",IFERROR(IF($B$4&gt;0,IF($L762="",1/0,$L762*$B$4),0)+IF($B$5&gt;0,IF($M762="",1/0,$M762*$B$5),0)+IF($B$6&gt;0,IF($N762="",1/0,$N762*$B$6),0),""))</f>
        <v/>
      </c>
      <c r="Q762" s="17"/>
      <c r="R762" s="18" t="str">
        <f aca="false">IF($P762="","",IF($Q762="Y",IFERROR(VLOOKUP($B762,$C$4:$D$13,2,FALSE()),0),0))</f>
        <v/>
      </c>
      <c r="S762" s="17" t="str">
        <f aca="false">IF($P762="","",ROUNDDOWN($P762*$R762,0))</f>
        <v/>
      </c>
      <c r="T762" s="17" t="str">
        <f aca="false">IF($P762="","",$P762-$S762)</f>
        <v/>
      </c>
      <c r="U762" s="17" t="str">
        <f aca="false">IF($T762="","",IF($B$10=0,"",$T762/$B$10))</f>
        <v/>
      </c>
      <c r="V762" s="17" t="str">
        <f aca="false">IF($P762="","",IF($B$10=0,"",$P762/$B$10))</f>
        <v/>
      </c>
      <c r="W762" s="19" t="n">
        <f aca="false">IF($T762="",1000000000000000,$T762)</f>
        <v/>
      </c>
      <c r="XFC762" s="3"/>
    </row>
    <row r="763" s="6" collapsed="false" customFormat="true" customHeight="true" hidden="false" ht="28.6" outlineLevel="0">
      <c r="A763" s="16" t="str">
        <f aca="false">IF($T763="","",1+COUNTIF($W$15:$W$894,"&lt;"&amp;W763))</f>
        <v/>
      </c>
      <c r="B763" s="16" t="s">
        <v>14</v>
      </c>
      <c r="C763" s="16" t="s">
        <v>1511</v>
      </c>
      <c r="D763" s="16" t="s">
        <v>51</v>
      </c>
      <c r="E763" s="16" t="s">
        <v>26</v>
      </c>
      <c r="F763" s="16" t="s">
        <v>1512</v>
      </c>
      <c r="G763" s="17">
        <v>1819</v>
      </c>
      <c r="H763" s="17"/>
      <c r="I763" s="17"/>
      <c r="J763" s="17">
        <v>1839</v>
      </c>
      <c r="K763" s="17" t="n">
        <f aca="false">IF(AND(IFERROR(SEARCH("현대오일뱅크",$C763),0)&gt;0,IFERROR(SEARCH("직영",$C763),0)&gt;0),$B$13,0)</f>
        <v/>
      </c>
      <c r="L763" s="17" t="n">
        <f aca="false">IF($G763="","",$G763+$K763)</f>
        <v/>
      </c>
      <c r="M763" s="17" t="str">
        <f aca="false">IF($H763="","",$H763+$K763)</f>
        <v/>
      </c>
      <c r="N763" s="17" t="n">
        <f aca="false">IF($J763="","",$J763+$K763)</f>
        <v/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 t="str">
        <f aca="false">IF($B$10=0,"",IFERROR(IF($B$4&gt;0,IF($L763="",1/0,$L763*$B$4),0)+IF($B$5&gt;0,IF($M763="",1/0,$M763*$B$5),0)+IF($B$6&gt;0,IF($N763="",1/0,$N763*$B$6),0),""))</f>
        <v/>
      </c>
      <c r="Q763" s="17"/>
      <c r="R763" s="18" t="str">
        <f aca="false">IF($P763="","",IF($Q763="Y",IFERROR(VLOOKUP($B763,$C$4:$D$13,2,FALSE()),0),0))</f>
        <v/>
      </c>
      <c r="S763" s="17" t="str">
        <f aca="false">IF($P763="","",ROUNDDOWN($P763*$R763,0))</f>
        <v/>
      </c>
      <c r="T763" s="17" t="str">
        <f aca="false">IF($P763="","",$P763-$S763)</f>
        <v/>
      </c>
      <c r="U763" s="17" t="str">
        <f aca="false">IF($T763="","",IF($B$10=0,"",$T763/$B$10))</f>
        <v/>
      </c>
      <c r="V763" s="17" t="str">
        <f aca="false">IF($P763="","",IF($B$10=0,"",$P763/$B$10))</f>
        <v/>
      </c>
      <c r="W763" s="19" t="n">
        <f aca="false">IF($T763="",1000000000000000,$T763)</f>
        <v/>
      </c>
      <c r="XFC763" s="3"/>
    </row>
    <row r="764" s="21" collapsed="false" customFormat="true" customHeight="true" hidden="false" ht="28.5" outlineLevel="0">
      <c r="A764" s="16" t="str">
        <f aca="false">IF($T764="","",1+COUNTIF($W$15:$W$894,"&lt;"&amp;W764))</f>
        <v/>
      </c>
      <c r="B764" s="16" t="s">
        <v>16</v>
      </c>
      <c r="C764" s="16" t="s">
        <v>1513</v>
      </c>
      <c r="D764" s="16" t="s">
        <v>45</v>
      </c>
      <c r="E764" s="16" t="s">
        <v>26</v>
      </c>
      <c r="F764" s="16" t="s">
        <v>1514</v>
      </c>
      <c r="G764" s="17">
        <v>1820</v>
      </c>
      <c r="H764" s="17"/>
      <c r="I764" s="17"/>
      <c r="J764" s="17">
        <v>1820</v>
      </c>
      <c r="K764" s="17" t="n">
        <f aca="false">IF(AND(IFERROR(SEARCH("현대오일뱅크",$C764),0)&gt;0,IFERROR(SEARCH("직영",$C764),0)&gt;0),$B$13,0)</f>
        <v/>
      </c>
      <c r="L764" s="17" t="n">
        <f aca="false">IF($G764="","",$G764+$K764)</f>
        <v/>
      </c>
      <c r="M764" s="17" t="str">
        <f aca="false">IF($H764="","",$H764+$K764)</f>
        <v/>
      </c>
      <c r="N764" s="17" t="n">
        <f aca="false">IF($J764="","",$J764+$K764)</f>
        <v/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 t="str">
        <f aca="false">IF($B$10=0,"",IFERROR(IF($B$4&gt;0,IF($L764="",1/0,$L764*$B$4),0)+IF($B$5&gt;0,IF($M764="",1/0,$M764*$B$5),0)+IF($B$6&gt;0,IF($N764="",1/0,$N764*$B$6),0),""))</f>
        <v/>
      </c>
      <c r="Q764" s="17"/>
      <c r="R764" s="18" t="str">
        <f aca="false">IF($P764="","",IF($Q764="Y",IFERROR(VLOOKUP($B764,$C$4:$D$13,2,FALSE()),0),0))</f>
        <v/>
      </c>
      <c r="S764" s="17" t="str">
        <f aca="false">IF($P764="","",ROUNDDOWN($P764*$R764,0))</f>
        <v/>
      </c>
      <c r="T764" s="17" t="str">
        <f aca="false">IF($P764="","",$P764-$S764)</f>
        <v/>
      </c>
      <c r="U764" s="17" t="str">
        <f aca="false">IF($T764="","",IF($B$10=0,"",$T764/$B$10))</f>
        <v/>
      </c>
      <c r="V764" s="17" t="str">
        <f aca="false">IF($P764="","",IF($B$10=0,"",$P764/$B$10))</f>
        <v/>
      </c>
      <c r="W764" s="19" t="n">
        <f aca="false">IF($T764="",1000000000000000,$T764)</f>
        <v/>
      </c>
      <c r="XFB764" s="6"/>
      <c r="XFC764" s="3"/>
    </row>
    <row r="765" s="21" collapsed="false" customFormat="true" customHeight="true" hidden="false" ht="28.5" outlineLevel="0">
      <c r="A765" s="16" t="str">
        <f aca="false">IF($T765="","",1+COUNTIF($W$15:$W$894,"&lt;"&amp;W765))</f>
        <v/>
      </c>
      <c r="B765" s="16" t="s">
        <v>16</v>
      </c>
      <c r="C765" s="16" t="s">
        <v>1515</v>
      </c>
      <c r="D765" s="20" t="s">
        <v>86</v>
      </c>
      <c r="E765" s="16" t="s">
        <v>26</v>
      </c>
      <c r="F765" s="16" t="s">
        <v>1516</v>
      </c>
      <c r="G765" s="17">
        <v>1820</v>
      </c>
      <c r="H765" s="17"/>
      <c r="I765" s="17"/>
      <c r="J765" s="17">
        <v>1820</v>
      </c>
      <c r="K765" s="17" t="n">
        <f aca="false">IF(AND(IFERROR(SEARCH("현대오일뱅크",$C765),0)&gt;0,IFERROR(SEARCH("직영",$C765),0)&gt;0),$B$13,0)</f>
        <v/>
      </c>
      <c r="L765" s="17" t="n">
        <f aca="false">IF($G765="","",$G765+$K765)</f>
        <v/>
      </c>
      <c r="M765" s="17" t="str">
        <f aca="false">IF($H765="","",$H765+$K765)</f>
        <v/>
      </c>
      <c r="N765" s="17" t="n">
        <f aca="false">IF($J765="","",$J765+$K765)</f>
        <v/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 t="str">
        <f aca="false">IF($B$10=0,"",IFERROR(IF($B$4&gt;0,IF($L765="",1/0,$L765*$B$4),0)+IF($B$5&gt;0,IF($M765="",1/0,$M765*$B$5),0)+IF($B$6&gt;0,IF($N765="",1/0,$N765*$B$6),0),""))</f>
        <v/>
      </c>
      <c r="Q765" s="17"/>
      <c r="R765" s="18" t="str">
        <f aca="false">IF($P765="","",IF($Q765="Y",IFERROR(VLOOKUP($B765,$C$4:$D$13,2,FALSE()),0),0))</f>
        <v/>
      </c>
      <c r="S765" s="17" t="str">
        <f aca="false">IF($P765="","",ROUNDDOWN($P765*$R765,0))</f>
        <v/>
      </c>
      <c r="T765" s="17" t="str">
        <f aca="false">IF($P765="","",$P765-$S765)</f>
        <v/>
      </c>
      <c r="U765" s="17" t="str">
        <f aca="false">IF($T765="","",IF($B$10=0,"",$T765/$B$10))</f>
        <v/>
      </c>
      <c r="V765" s="17" t="str">
        <f aca="false">IF($P765="","",IF($B$10=0,"",$P765/$B$10))</f>
        <v/>
      </c>
      <c r="W765" s="19" t="n">
        <f aca="false">IF($T765="",1000000000000000,$T765)</f>
        <v/>
      </c>
      <c r="XFB765" s="6"/>
      <c r="XFC765" s="3"/>
    </row>
    <row r="766" s="21" collapsed="false" customFormat="true" customHeight="true" hidden="false" ht="28.5" outlineLevel="0">
      <c r="A766" s="16" t="str">
        <f aca="false">IF($T766="","",1+COUNTIF($W$15:$W$894,"&lt;"&amp;W766))</f>
        <v/>
      </c>
      <c r="B766" s="16" t="s">
        <v>16</v>
      </c>
      <c r="C766" s="16" t="s">
        <v>1517</v>
      </c>
      <c r="D766" s="20" t="s">
        <v>86</v>
      </c>
      <c r="E766" s="16" t="s">
        <v>26</v>
      </c>
      <c r="F766" s="16" t="s">
        <v>1518</v>
      </c>
      <c r="G766" s="17">
        <v>1820</v>
      </c>
      <c r="H766" s="17"/>
      <c r="I766" s="17"/>
      <c r="J766" s="17">
        <v>1830</v>
      </c>
      <c r="K766" s="17" t="n">
        <f aca="false">IF(AND(IFERROR(SEARCH("현대오일뱅크",$C766),0)&gt;0,IFERROR(SEARCH("직영",$C766),0)&gt;0),$B$13,0)</f>
        <v/>
      </c>
      <c r="L766" s="17" t="n">
        <f aca="false">IF($G766="","",$G766+$K766)</f>
        <v/>
      </c>
      <c r="M766" s="17" t="str">
        <f aca="false">IF($H766="","",$H766+$K766)</f>
        <v/>
      </c>
      <c r="N766" s="17" t="n">
        <f aca="false">IF($J766="","",$J766+$K766)</f>
        <v/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 t="str">
        <f aca="false">IF($B$10=0,"",IFERROR(IF($B$4&gt;0,IF($L766="",1/0,$L766*$B$4),0)+IF($B$5&gt;0,IF($M766="",1/0,$M766*$B$5),0)+IF($B$6&gt;0,IF($N766="",1/0,$N766*$B$6),0),""))</f>
        <v/>
      </c>
      <c r="Q766" s="17"/>
      <c r="R766" s="18" t="str">
        <f aca="false">IF($P766="","",IF($Q766="Y",IFERROR(VLOOKUP($B766,$C$4:$D$13,2,FALSE()),0),0))</f>
        <v/>
      </c>
      <c r="S766" s="17" t="str">
        <f aca="false">IF($P766="","",ROUNDDOWN($P766*$R766,0))</f>
        <v/>
      </c>
      <c r="T766" s="17" t="str">
        <f aca="false">IF($P766="","",$P766-$S766)</f>
        <v/>
      </c>
      <c r="U766" s="17" t="str">
        <f aca="false">IF($T766="","",IF($B$10=0,"",$T766/$B$10))</f>
        <v/>
      </c>
      <c r="V766" s="17" t="str">
        <f aca="false">IF($P766="","",IF($B$10=0,"",$P766/$B$10))</f>
        <v/>
      </c>
      <c r="W766" s="19" t="n">
        <f aca="false">IF($T766="",1000000000000000,$T766)</f>
        <v/>
      </c>
      <c r="XFB766" s="6"/>
      <c r="XFC766" s="3"/>
    </row>
    <row r="767" s="5" collapsed="false" customFormat="true" customHeight="true" hidden="false" ht="28.5" outlineLevel="0">
      <c r="A767" s="16" t="str">
        <f aca="false">IF($T767="","",1+COUNTIF($W$15:$W$894,"&lt;"&amp;W767))</f>
        <v/>
      </c>
      <c r="B767" s="16" t="s">
        <v>16</v>
      </c>
      <c r="C767" s="16" t="s">
        <v>1724</v>
      </c>
      <c r="D767" s="16" t="s">
        <v>500</v>
      </c>
      <c r="E767" s="16" t="s">
        <v>26</v>
      </c>
      <c r="F767" s="16" t="s">
        <v>1725</v>
      </c>
      <c r="G767" s="17">
        <v>1820</v>
      </c>
      <c r="H767" s="17"/>
      <c r="I767" s="17"/>
      <c r="J767" s="17">
        <v>1830</v>
      </c>
      <c r="K767" s="17" t="n">
        <f aca="false">IF(AND(IFERROR(SEARCH("현대오일뱅크",$C767),0)&gt;0,IFERROR(SEARCH("직영",$C767),0)&gt;0),$B$13,0)</f>
        <v/>
      </c>
      <c r="L767" s="17" t="n">
        <f aca="false">IF($G767="","",$G767+$K767)</f>
        <v/>
      </c>
      <c r="M767" s="17" t="str">
        <f aca="false">IF($H767="","",$H767+$K767)</f>
        <v/>
      </c>
      <c r="N767" s="17" t="n">
        <f aca="false">IF($J767="","",$J767+$K767)</f>
        <v/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 t="str">
        <f aca="false">IF($B$10=0,"",IFERROR(IF($B$4&gt;0,IF($L767="",1/0,$L767*$B$4),0)+IF($B$5&gt;0,IF($M767="",1/0,$M767*$B$5),0)+IF($B$6&gt;0,IF($N767="",1/0,$N767*$B$6),0),""))</f>
        <v/>
      </c>
      <c r="Q767" s="17"/>
      <c r="R767" s="18" t="str">
        <f aca="false">IF($P767="","",IF($Q767="Y",IFERROR(VLOOKUP($B767,$C$4:$D$13,2,FALSE()),0),0))</f>
        <v/>
      </c>
      <c r="S767" s="17" t="str">
        <f aca="false">IF($P767="","",ROUNDDOWN($P767*$R767,0))</f>
        <v/>
      </c>
      <c r="T767" s="17" t="str">
        <f aca="false">IF($P767="","",$P767-$S767)</f>
        <v/>
      </c>
      <c r="U767" s="17" t="str">
        <f aca="false">IF($T767="","",IF($B$10=0,"",$T767/$B$10))</f>
        <v/>
      </c>
      <c r="V767" s="17" t="str">
        <f aca="false">IF($P767="","",IF($B$10=0,"",$P767/$B$10))</f>
        <v/>
      </c>
      <c r="W767" s="19" t="n">
        <f aca="false">IF($T767="",1000000000000000,$T767)</f>
        <v/>
      </c>
      <c r="XFB767" s="6"/>
      <c r="XFC767" s="3"/>
    </row>
    <row r="768" s="5" collapsed="false" customFormat="true" customHeight="true" hidden="false" ht="28.5" outlineLevel="0">
      <c r="A768" s="16" t="str">
        <f aca="false">IF($T768="","",1+COUNTIF($W$15:$W$894,"&lt;"&amp;W768))</f>
        <v/>
      </c>
      <c r="B768" s="16" t="s">
        <v>16</v>
      </c>
      <c r="C768" s="16" t="s">
        <v>1744</v>
      </c>
      <c r="D768" s="16" t="s">
        <v>500</v>
      </c>
      <c r="E768" s="16" t="s">
        <v>63</v>
      </c>
      <c r="F768" s="16" t="s">
        <v>1745</v>
      </c>
      <c r="G768" s="17">
        <v>1820</v>
      </c>
      <c r="H768" s="17"/>
      <c r="I768" s="17"/>
      <c r="J768" s="17">
        <v>1830</v>
      </c>
      <c r="K768" s="17" t="n">
        <f aca="false">IF(AND(IFERROR(SEARCH("현대오일뱅크",$C768),0)&gt;0,IFERROR(SEARCH("직영",$C768),0)&gt;0),$B$13,0)</f>
        <v/>
      </c>
      <c r="L768" s="17" t="n">
        <f aca="false">IF($G768="","",$G768+$K768)</f>
        <v/>
      </c>
      <c r="M768" s="17" t="str">
        <f aca="false">IF($H768="","",$H768+$K768)</f>
        <v/>
      </c>
      <c r="N768" s="17" t="n">
        <f aca="false">IF($J768="","",$J768+$K768)</f>
        <v/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 t="str">
        <f aca="false">IF($B$10=0,"",IFERROR(IF($B$4&gt;0,IF($L768="",1/0,$L768*$B$4),0)+IF($B$5&gt;0,IF($M768="",1/0,$M768*$B$5),0)+IF($B$6&gt;0,IF($N768="",1/0,$N768*$B$6),0),""))</f>
        <v/>
      </c>
      <c r="Q768" s="17"/>
      <c r="R768" s="18" t="str">
        <f aca="false">IF($P768="","",IF($Q768="Y",IFERROR(VLOOKUP($B768,$C$4:$D$13,2,FALSE()),0),0))</f>
        <v/>
      </c>
      <c r="S768" s="17" t="str">
        <f aca="false">IF($P768="","",ROUNDDOWN($P768*$R768,0))</f>
        <v/>
      </c>
      <c r="T768" s="17" t="str">
        <f aca="false">IF($P768="","",$P768-$S768)</f>
        <v/>
      </c>
      <c r="U768" s="17" t="str">
        <f aca="false">IF($T768="","",IF($B$10=0,"",$T768/$B$10))</f>
        <v/>
      </c>
      <c r="V768" s="17" t="str">
        <f aca="false">IF($P768="","",IF($B$10=0,"",$P768/$B$10))</f>
        <v/>
      </c>
      <c r="W768" s="19" t="n">
        <f aca="false">IF($T768="",1000000000000000,$T768)</f>
        <v/>
      </c>
      <c r="XFB768" s="6"/>
      <c r="XFC768" s="3"/>
    </row>
    <row r="769" s="6" collapsed="false" customFormat="true" customHeight="true" hidden="false" ht="28.6" outlineLevel="0">
      <c r="A769" s="16" t="str">
        <f aca="false">IF($T769="","",1+COUNTIF($W$15:$W$894,"&lt;"&amp;W769))</f>
        <v/>
      </c>
      <c r="B769" s="16" t="s">
        <v>14</v>
      </c>
      <c r="C769" s="16" t="s">
        <v>1519</v>
      </c>
      <c r="D769" s="16" t="s">
        <v>45</v>
      </c>
      <c r="E769" s="16" t="s">
        <v>26</v>
      </c>
      <c r="F769" s="16" t="s">
        <v>1520</v>
      </c>
      <c r="G769" s="17">
        <v>1824</v>
      </c>
      <c r="H769" s="17"/>
      <c r="I769" s="17"/>
      <c r="J769" s="17">
        <v>1789</v>
      </c>
      <c r="K769" s="17" t="n">
        <f aca="false">IF(AND(IFERROR(SEARCH("현대오일뱅크",$C769),0)&gt;0,IFERROR(SEARCH("직영",$C769),0)&gt;0),$B$13,0)</f>
        <v/>
      </c>
      <c r="L769" s="17" t="n">
        <f aca="false">IF($G769="","",$G769+$K769)</f>
        <v/>
      </c>
      <c r="M769" s="17" t="str">
        <f aca="false">IF($H769="","",$H769+$K769)</f>
        <v/>
      </c>
      <c r="N769" s="17" t="n">
        <f aca="false">IF($J769="","",$J769+$K769)</f>
        <v/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 t="str">
        <f aca="false">IF($B$10=0,"",IFERROR(IF($B$4&gt;0,IF($L769="",1/0,$L769*$B$4),0)+IF($B$5&gt;0,IF($M769="",1/0,$M769*$B$5),0)+IF($B$6&gt;0,IF($N769="",1/0,$N769*$B$6),0),""))</f>
        <v/>
      </c>
      <c r="Q769" s="17"/>
      <c r="R769" s="18" t="str">
        <f aca="false">IF($P769="","",IF($Q769="Y",IFERROR(VLOOKUP($B769,$C$4:$D$13,2,FALSE()),0),0))</f>
        <v/>
      </c>
      <c r="S769" s="17" t="str">
        <f aca="false">IF($P769="","",ROUNDDOWN($P769*$R769,0))</f>
        <v/>
      </c>
      <c r="T769" s="17" t="str">
        <f aca="false">IF($P769="","",$P769-$S769)</f>
        <v/>
      </c>
      <c r="U769" s="17" t="str">
        <f aca="false">IF($T769="","",IF($B$10=0,"",$T769/$B$10))</f>
        <v/>
      </c>
      <c r="V769" s="17" t="str">
        <f aca="false">IF($P769="","",IF($B$10=0,"",$P769/$B$10))</f>
        <v/>
      </c>
      <c r="W769" s="19" t="n">
        <f aca="false">IF($T769="",1000000000000000,$T769)</f>
        <v/>
      </c>
      <c r="XFC769" s="3"/>
    </row>
    <row r="770" s="21" collapsed="false" customFormat="true" customHeight="true" hidden="false" ht="28.5" outlineLevel="0">
      <c r="A770" s="16" t="str">
        <f aca="false">IF($T770="","",1+COUNTIF($W$15:$W$894,"&lt;"&amp;W770))</f>
        <v/>
      </c>
      <c r="B770" s="16" t="s">
        <v>14</v>
      </c>
      <c r="C770" s="16" t="s">
        <v>1521</v>
      </c>
      <c r="D770" s="16" t="s">
        <v>45</v>
      </c>
      <c r="E770" s="16" t="s">
        <v>26</v>
      </c>
      <c r="F770" s="16" t="s">
        <v>1522</v>
      </c>
      <c r="G770" s="17">
        <v>1824</v>
      </c>
      <c r="H770" s="17"/>
      <c r="I770" s="17"/>
      <c r="J770" s="17">
        <v>1790</v>
      </c>
      <c r="K770" s="17" t="n">
        <f aca="false">IF(AND(IFERROR(SEARCH("현대오일뱅크",$C770),0)&gt;0,IFERROR(SEARCH("직영",$C770),0)&gt;0),$B$13,0)</f>
        <v/>
      </c>
      <c r="L770" s="17" t="n">
        <f aca="false">IF($G770="","",$G770+$K770)</f>
        <v/>
      </c>
      <c r="M770" s="17" t="str">
        <f aca="false">IF($H770="","",$H770+$K770)</f>
        <v/>
      </c>
      <c r="N770" s="17" t="n">
        <f aca="false">IF($J770="","",$J770+$K770)</f>
        <v/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 t="str">
        <f aca="false">IF($B$10=0,"",IFERROR(IF($B$4&gt;0,IF($L770="",1/0,$L770*$B$4),0)+IF($B$5&gt;0,IF($M770="",1/0,$M770*$B$5),0)+IF($B$6&gt;0,IF($N770="",1/0,$N770*$B$6),0),""))</f>
        <v/>
      </c>
      <c r="Q770" s="17"/>
      <c r="R770" s="18" t="str">
        <f aca="false">IF($P770="","",IF($Q770="Y",IFERROR(VLOOKUP($B770,$C$4:$D$13,2,FALSE()),0),0))</f>
        <v/>
      </c>
      <c r="S770" s="17" t="str">
        <f aca="false">IF($P770="","",ROUNDDOWN($P770*$R770,0))</f>
        <v/>
      </c>
      <c r="T770" s="17" t="str">
        <f aca="false">IF($P770="","",$P770-$S770)</f>
        <v/>
      </c>
      <c r="U770" s="17" t="str">
        <f aca="false">IF($T770="","",IF($B$10=0,"",$T770/$B$10))</f>
        <v/>
      </c>
      <c r="V770" s="17" t="str">
        <f aca="false">IF($P770="","",IF($B$10=0,"",$P770/$B$10))</f>
        <v/>
      </c>
      <c r="W770" s="19" t="n">
        <f aca="false">IF($T770="",1000000000000000,$T770)</f>
        <v/>
      </c>
      <c r="XFB770" s="6"/>
      <c r="XFC770" s="3"/>
    </row>
    <row r="771" s="6" collapsed="false" customFormat="true" customHeight="true" hidden="false" ht="28.6" outlineLevel="0">
      <c r="A771" s="16" t="str">
        <f aca="false">IF($T771="","",1+COUNTIF($W$15:$W$894,"&lt;"&amp;W771))</f>
        <v/>
      </c>
      <c r="B771" s="16" t="s">
        <v>12</v>
      </c>
      <c r="C771" s="16" t="s">
        <v>1523</v>
      </c>
      <c r="D771" s="20" t="s">
        <v>45</v>
      </c>
      <c r="E771" s="16" t="s">
        <v>26</v>
      </c>
      <c r="F771" s="16" t="s">
        <v>1524</v>
      </c>
      <c r="G771" s="17">
        <v>1824</v>
      </c>
      <c r="H771" s="17"/>
      <c r="I771" s="17"/>
      <c r="J771" s="17">
        <v>1814</v>
      </c>
      <c r="K771" s="17" t="n">
        <f aca="false">IF(AND(IFERROR(SEARCH("현대오일뱅크",$C771),0)&gt;0,IFERROR(SEARCH("직영",$C771),0)&gt;0),$B$13,0)</f>
        <v/>
      </c>
      <c r="L771" s="17" t="n">
        <f aca="false">IF($G771="","",$G771+$K771)</f>
        <v/>
      </c>
      <c r="M771" s="17" t="str">
        <f aca="false">IF($H771="","",$H771+$K771)</f>
        <v/>
      </c>
      <c r="N771" s="17" t="n">
        <f aca="false">IF($J771="","",$J771+$K771)</f>
        <v/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 t="str">
        <f aca="false">IF($B$10=0,"",IFERROR(IF($B$4&gt;0,IF($L771="",1/0,$L771*$B$4),0)+IF($B$5&gt;0,IF($M771="",1/0,$M771*$B$5),0)+IF($B$6&gt;0,IF($N771="",1/0,$N771*$B$6),0),""))</f>
        <v/>
      </c>
      <c r="Q771" s="17"/>
      <c r="R771" s="18" t="str">
        <f aca="false">IF($P771="","",IF($Q771="Y",IFERROR(VLOOKUP($B771,$C$4:$D$13,2,FALSE()),0),0))</f>
        <v/>
      </c>
      <c r="S771" s="17" t="str">
        <f aca="false">IF($P771="","",ROUNDDOWN($P771*$R771,0))</f>
        <v/>
      </c>
      <c r="T771" s="17" t="str">
        <f aca="false">IF($P771="","",$P771-$S771)</f>
        <v/>
      </c>
      <c r="U771" s="17" t="str">
        <f aca="false">IF($T771="","",IF($B$10=0,"",$T771/$B$10))</f>
        <v/>
      </c>
      <c r="V771" s="17" t="str">
        <f aca="false">IF($P771="","",IF($B$10=0,"",$P771/$B$10))</f>
        <v/>
      </c>
      <c r="W771" s="19" t="n">
        <f aca="false">IF($T771="",1000000000000000,$T771)</f>
        <v/>
      </c>
      <c r="XFC771" s="3"/>
    </row>
    <row r="772" s="6" collapsed="false" customFormat="true" customHeight="true" hidden="false" ht="28.6" outlineLevel="0">
      <c r="A772" s="16" t="str">
        <f aca="false">IF($T772="","",1+COUNTIF($W$15:$W$894,"&lt;"&amp;W772))</f>
        <v/>
      </c>
      <c r="B772" s="16" t="s">
        <v>12</v>
      </c>
      <c r="C772" s="16" t="s">
        <v>1527</v>
      </c>
      <c r="D772" s="20" t="s">
        <v>95</v>
      </c>
      <c r="E772" s="16" t="s">
        <v>26</v>
      </c>
      <c r="F772" s="16" t="s">
        <v>1528</v>
      </c>
      <c r="G772" s="17">
        <v>1825</v>
      </c>
      <c r="H772" s="17"/>
      <c r="I772" s="17"/>
      <c r="J772" s="17">
        <v>1815</v>
      </c>
      <c r="K772" s="17" t="n">
        <f aca="false">IF(AND(IFERROR(SEARCH("현대오일뱅크",$C772),0)&gt;0,IFERROR(SEARCH("직영",$C772),0)&gt;0),$B$13,0)</f>
        <v/>
      </c>
      <c r="L772" s="17" t="n">
        <f aca="false">IF($G772="","",$G772+$K772)</f>
        <v/>
      </c>
      <c r="M772" s="17" t="str">
        <f aca="false">IF($H772="","",$H772+$K772)</f>
        <v/>
      </c>
      <c r="N772" s="17" t="n">
        <f aca="false">IF($J772="","",$J772+$K772)</f>
        <v/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 t="str">
        <f aca="false">IF($B$10=0,"",IFERROR(IF($B$4&gt;0,IF($L772="",1/0,$L772*$B$4),0)+IF($B$5&gt;0,IF($M772="",1/0,$M772*$B$5),0)+IF($B$6&gt;0,IF($N772="",1/0,$N772*$B$6),0),""))</f>
        <v/>
      </c>
      <c r="Q772" s="17"/>
      <c r="R772" s="18" t="str">
        <f aca="false">IF($P772="","",IF($Q772="Y",IFERROR(VLOOKUP($B772,$C$4:$D$13,2,FALSE()),0),0))</f>
        <v/>
      </c>
      <c r="S772" s="17" t="str">
        <f aca="false">IF($P772="","",ROUNDDOWN($P772*$R772,0))</f>
        <v/>
      </c>
      <c r="T772" s="17" t="str">
        <f aca="false">IF($P772="","",$P772-$S772)</f>
        <v/>
      </c>
      <c r="U772" s="17" t="str">
        <f aca="false">IF($T772="","",IF($B$10=0,"",$T772/$B$10))</f>
        <v/>
      </c>
      <c r="V772" s="17" t="str">
        <f aca="false">IF($P772="","",IF($B$10=0,"",$P772/$B$10))</f>
        <v/>
      </c>
      <c r="W772" s="19" t="n">
        <f aca="false">IF($T772="",1000000000000000,$T772)</f>
        <v/>
      </c>
      <c r="XFC772" s="3"/>
    </row>
    <row r="773" s="6" collapsed="false" customFormat="true" customHeight="true" hidden="false" ht="28.6" outlineLevel="0">
      <c r="A773" s="16" t="str">
        <f aca="false">IF($T773="","",1+COUNTIF($W$15:$W$894,"&lt;"&amp;W773))</f>
        <v/>
      </c>
      <c r="B773" s="16" t="s">
        <v>12</v>
      </c>
      <c r="C773" s="16" t="s">
        <v>1529</v>
      </c>
      <c r="D773" s="20" t="s">
        <v>45</v>
      </c>
      <c r="E773" s="16" t="s">
        <v>26</v>
      </c>
      <c r="F773" s="16" t="s">
        <v>1530</v>
      </c>
      <c r="G773" s="17">
        <v>1825</v>
      </c>
      <c r="H773" s="17"/>
      <c r="I773" s="17"/>
      <c r="J773" s="17">
        <v>1815</v>
      </c>
      <c r="K773" s="17" t="n">
        <f aca="false">IF(AND(IFERROR(SEARCH("현대오일뱅크",$C773),0)&gt;0,IFERROR(SEARCH("직영",$C773),0)&gt;0),$B$13,0)</f>
        <v/>
      </c>
      <c r="L773" s="17" t="n">
        <f aca="false">IF($G773="","",$G773+$K773)</f>
        <v/>
      </c>
      <c r="M773" s="17" t="str">
        <f aca="false">IF($H773="","",$H773+$K773)</f>
        <v/>
      </c>
      <c r="N773" s="17" t="n">
        <f aca="false">IF($J773="","",$J773+$K773)</f>
        <v/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 t="str">
        <f aca="false">IF($B$10=0,"",IFERROR(IF($B$4&gt;0,IF($L773="",1/0,$L773*$B$4),0)+IF($B$5&gt;0,IF($M773="",1/0,$M773*$B$5),0)+IF($B$6&gt;0,IF($N773="",1/0,$N773*$B$6),0),""))</f>
        <v/>
      </c>
      <c r="Q773" s="17"/>
      <c r="R773" s="18" t="str">
        <f aca="false">IF($P773="","",IF($Q773="Y",IFERROR(VLOOKUP($B773,$C$4:$D$13,2,FALSE()),0),0))</f>
        <v/>
      </c>
      <c r="S773" s="17" t="str">
        <f aca="false">IF($P773="","",ROUNDDOWN($P773*$R773,0))</f>
        <v/>
      </c>
      <c r="T773" s="17" t="str">
        <f aca="false">IF($P773="","",$P773-$S773)</f>
        <v/>
      </c>
      <c r="U773" s="17" t="str">
        <f aca="false">IF($T773="","",IF($B$10=0,"",$T773/$B$10))</f>
        <v/>
      </c>
      <c r="V773" s="17" t="str">
        <f aca="false">IF($P773="","",IF($B$10=0,"",$P773/$B$10))</f>
        <v/>
      </c>
      <c r="W773" s="19" t="n">
        <f aca="false">IF($T773="",1000000000000000,$T773)</f>
        <v/>
      </c>
      <c r="XFC773" s="3"/>
    </row>
    <row r="774" s="21" collapsed="false" customFormat="true" customHeight="true" hidden="false" ht="28.5" outlineLevel="0">
      <c r="A774" s="16" t="str">
        <f aca="false">IF($T774="","",1+COUNTIF($W$15:$W$894,"&lt;"&amp;W774))</f>
        <v/>
      </c>
      <c r="B774" s="16" t="s">
        <v>10</v>
      </c>
      <c r="C774" s="16" t="s">
        <v>1531</v>
      </c>
      <c r="D774" s="16" t="s">
        <v>95</v>
      </c>
      <c r="E774" s="16" t="s">
        <v>26</v>
      </c>
      <c r="F774" s="16" t="s">
        <v>1532</v>
      </c>
      <c r="G774" s="17">
        <v>1825</v>
      </c>
      <c r="H774" s="17"/>
      <c r="I774" s="17"/>
      <c r="J774" s="17">
        <v>1865</v>
      </c>
      <c r="K774" s="17" t="n">
        <f aca="false">IF(AND(IFERROR(SEARCH("현대오일뱅크",$C774),0)&gt;0,IFERROR(SEARCH("직영",$C774),0)&gt;0),$B$13,0)</f>
        <v/>
      </c>
      <c r="L774" s="17" t="n">
        <f aca="false">IF($G774="","",$G774+$K774)</f>
        <v/>
      </c>
      <c r="M774" s="17" t="str">
        <f aca="false">IF($H774="","",$H774+$K774)</f>
        <v/>
      </c>
      <c r="N774" s="17" t="n">
        <f aca="false">IF($J774="","",$J774+$K774)</f>
        <v/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 t="str">
        <f aca="false">IF($B$10=0,"",IFERROR(IF($B$4&gt;0,IF($L774="",1/0,$L774*$B$4),0)+IF($B$5&gt;0,IF($M774="",1/0,$M774*$B$5),0)+IF($B$6&gt;0,IF($N774="",1/0,$N774*$B$6),0),""))</f>
        <v/>
      </c>
      <c r="Q774" s="17"/>
      <c r="R774" s="18" t="str">
        <f aca="false">IF($P774="","",IF($Q774="Y",IFERROR(VLOOKUP($B774,$C$4:$D$13,2,FALSE()),0),0))</f>
        <v/>
      </c>
      <c r="S774" s="17" t="str">
        <f aca="false">IF($P774="","",ROUNDDOWN($P774*$R774,0))</f>
        <v/>
      </c>
      <c r="T774" s="17" t="str">
        <f aca="false">IF($P774="","",$P774-$S774)</f>
        <v/>
      </c>
      <c r="U774" s="17" t="str">
        <f aca="false">IF($T774="","",IF($B$10=0,"",$T774/$B$10))</f>
        <v/>
      </c>
      <c r="V774" s="17" t="str">
        <f aca="false">IF($P774="","",IF($B$10=0,"",$P774/$B$10))</f>
        <v/>
      </c>
      <c r="W774" s="19" t="n">
        <f aca="false">IF($T774="",1000000000000000,$T774)</f>
        <v/>
      </c>
      <c r="XFB774" s="6"/>
      <c r="XFC774" s="3"/>
    </row>
    <row r="775" s="21" collapsed="false" customFormat="true" customHeight="true" hidden="false" ht="28.5" outlineLevel="0">
      <c r="A775" s="16" t="str">
        <f aca="false">IF($T775="","",1+COUNTIF($W$15:$W$894,"&lt;"&amp;W775))</f>
        <v/>
      </c>
      <c r="B775" s="16" t="s">
        <v>18</v>
      </c>
      <c r="C775" s="16" t="s">
        <v>1533</v>
      </c>
      <c r="D775" s="16" t="s">
        <v>95</v>
      </c>
      <c r="E775" s="16" t="s">
        <v>26</v>
      </c>
      <c r="F775" s="16" t="s">
        <v>1534</v>
      </c>
      <c r="G775" s="17">
        <v>1826</v>
      </c>
      <c r="H775" s="17"/>
      <c r="I775" s="17"/>
      <c r="J775" s="17">
        <v>1826</v>
      </c>
      <c r="K775" s="17" t="n">
        <f aca="false">IF(AND(IFERROR(SEARCH("현대오일뱅크",$C775),0)&gt;0,IFERROR(SEARCH("직영",$C775),0)&gt;0),$B$13,0)</f>
        <v/>
      </c>
      <c r="L775" s="17" t="n">
        <f aca="false">IF($G775="","",$G775+$K775)</f>
        <v/>
      </c>
      <c r="M775" s="17" t="str">
        <f aca="false">IF($H775="","",$H775+$K775)</f>
        <v/>
      </c>
      <c r="N775" s="17" t="n">
        <f aca="false">IF($J775="","",$J775+$K775)</f>
        <v/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 t="str">
        <f aca="false">IF($B$10=0,"",IFERROR(IF($B$4&gt;0,IF($L775="",1/0,$L775*$B$4),0)+IF($B$5&gt;0,IF($M775="",1/0,$M775*$B$5),0)+IF($B$6&gt;0,IF($N775="",1/0,$N775*$B$6),0),""))</f>
        <v/>
      </c>
      <c r="Q775" s="17"/>
      <c r="R775" s="18" t="str">
        <f aca="false">IF($P775="","",IF($Q775="Y",IFERROR(VLOOKUP($B775,$C$4:$D$13,2,FALSE()),0),0))</f>
        <v/>
      </c>
      <c r="S775" s="17" t="str">
        <f aca="false">IF($P775="","",ROUNDDOWN($P775*$R775,0))</f>
        <v/>
      </c>
      <c r="T775" s="17" t="str">
        <f aca="false">IF($P775="","",$P775-$S775)</f>
        <v/>
      </c>
      <c r="U775" s="17" t="str">
        <f aca="false">IF($T775="","",IF($B$10=0,"",$T775/$B$10))</f>
        <v/>
      </c>
      <c r="V775" s="17" t="str">
        <f aca="false">IF($P775="","",IF($B$10=0,"",$P775/$B$10))</f>
        <v/>
      </c>
      <c r="W775" s="19" t="n">
        <f aca="false">IF($T775="",1000000000000000,$T775)</f>
        <v/>
      </c>
      <c r="XFB775" s="6"/>
      <c r="XFC775" s="3"/>
    </row>
    <row r="776" s="6" collapsed="false" customFormat="true" customHeight="true" hidden="false" ht="28.6" outlineLevel="0">
      <c r="A776" s="16" t="str">
        <f aca="false">IF($T776="","",1+COUNTIF($W$15:$W$894,"&lt;"&amp;W776))</f>
        <v/>
      </c>
      <c r="B776" s="16" t="s">
        <v>10</v>
      </c>
      <c r="C776" s="16" t="s">
        <v>1535</v>
      </c>
      <c r="D776" s="20" t="s">
        <v>86</v>
      </c>
      <c r="E776" s="16" t="s">
        <v>26</v>
      </c>
      <c r="F776" s="16" t="s">
        <v>1536</v>
      </c>
      <c r="G776" s="17">
        <v>1827</v>
      </c>
      <c r="H776" s="17"/>
      <c r="I776" s="17"/>
      <c r="J776" s="17">
        <v>1817</v>
      </c>
      <c r="K776" s="17" t="n">
        <f aca="false">IF(AND(IFERROR(SEARCH("현대오일뱅크",$C776),0)&gt;0,IFERROR(SEARCH("직영",$C776),0)&gt;0),$B$13,0)</f>
        <v/>
      </c>
      <c r="L776" s="17" t="n">
        <f aca="false">IF($G776="","",$G776+$K776)</f>
        <v/>
      </c>
      <c r="M776" s="17" t="str">
        <f aca="false">IF($H776="","",$H776+$K776)</f>
        <v/>
      </c>
      <c r="N776" s="17" t="n">
        <f aca="false">IF($J776="","",$J776+$K776)</f>
        <v/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 t="str">
        <f aca="false">IF($B$10=0,"",IFERROR(IF($B$4&gt;0,IF($L776="",1/0,$L776*$B$4),0)+IF($B$5&gt;0,IF($M776="",1/0,$M776*$B$5),0)+IF($B$6&gt;0,IF($N776="",1/0,$N776*$B$6),0),""))</f>
        <v/>
      </c>
      <c r="Q776" s="17"/>
      <c r="R776" s="18" t="str">
        <f aca="false">IF($P776="","",IF($Q776="Y",IFERROR(VLOOKUP($B776,$C$4:$D$13,2,FALSE()),0),0))</f>
        <v/>
      </c>
      <c r="S776" s="17" t="str">
        <f aca="false">IF($P776="","",ROUNDDOWN($P776*$R776,0))</f>
        <v/>
      </c>
      <c r="T776" s="17" t="str">
        <f aca="false">IF($P776="","",$P776-$S776)</f>
        <v/>
      </c>
      <c r="U776" s="17" t="str">
        <f aca="false">IF($T776="","",IF($B$10=0,"",$T776/$B$10))</f>
        <v/>
      </c>
      <c r="V776" s="17" t="str">
        <f aca="false">IF($P776="","",IF($B$10=0,"",$P776/$B$10))</f>
        <v/>
      </c>
      <c r="W776" s="19" t="n">
        <f aca="false">IF($T776="",1000000000000000,$T776)</f>
        <v/>
      </c>
      <c r="XFC776" s="3"/>
    </row>
    <row r="777" s="21" collapsed="false" customFormat="true" customHeight="true" hidden="false" ht="28.5" outlineLevel="0">
      <c r="A777" s="16" t="str">
        <f aca="false">IF($T777="","",1+COUNTIF($W$15:$W$894,"&lt;"&amp;W777))</f>
        <v/>
      </c>
      <c r="B777" s="16" t="s">
        <v>12</v>
      </c>
      <c r="C777" s="16" t="s">
        <v>1537</v>
      </c>
      <c r="D777" s="20" t="s">
        <v>45</v>
      </c>
      <c r="E777" s="16" t="s">
        <v>26</v>
      </c>
      <c r="F777" s="16" t="s">
        <v>1538</v>
      </c>
      <c r="G777" s="17">
        <v>1827</v>
      </c>
      <c r="H777" s="17"/>
      <c r="I777" s="17"/>
      <c r="J777" s="17">
        <v>1827</v>
      </c>
      <c r="K777" s="17" t="n">
        <f aca="false">IF(AND(IFERROR(SEARCH("현대오일뱅크",$C777),0)&gt;0,IFERROR(SEARCH("직영",$C777),0)&gt;0),$B$13,0)</f>
        <v/>
      </c>
      <c r="L777" s="17" t="n">
        <f aca="false">IF($G777="","",$G777+$K777)</f>
        <v/>
      </c>
      <c r="M777" s="17" t="str">
        <f aca="false">IF($H777="","",$H777+$K777)</f>
        <v/>
      </c>
      <c r="N777" s="17" t="n">
        <f aca="false">IF($J777="","",$J777+$K777)</f>
        <v/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 t="str">
        <f aca="false">IF($B$10=0,"",IFERROR(IF($B$4&gt;0,IF($L777="",1/0,$L777*$B$4),0)+IF($B$5&gt;0,IF($M777="",1/0,$M777*$B$5),0)+IF($B$6&gt;0,IF($N777="",1/0,$N777*$B$6),0),""))</f>
        <v/>
      </c>
      <c r="Q777" s="17"/>
      <c r="R777" s="18" t="str">
        <f aca="false">IF($P777="","",IF($Q777="Y",IFERROR(VLOOKUP($B777,$C$4:$D$13,2,FALSE()),0),0))</f>
        <v/>
      </c>
      <c r="S777" s="17" t="str">
        <f aca="false">IF($P777="","",ROUNDDOWN($P777*$R777,0))</f>
        <v/>
      </c>
      <c r="T777" s="17" t="str">
        <f aca="false">IF($P777="","",$P777-$S777)</f>
        <v/>
      </c>
      <c r="U777" s="17" t="str">
        <f aca="false">IF($T777="","",IF($B$10=0,"",$T777/$B$10))</f>
        <v/>
      </c>
      <c r="V777" s="17" t="str">
        <f aca="false">IF($P777="","",IF($B$10=0,"",$P777/$B$10))</f>
        <v/>
      </c>
      <c r="W777" s="19" t="n">
        <f aca="false">IF($T777="",1000000000000000,$T777)</f>
        <v/>
      </c>
      <c r="XFB777" s="6"/>
      <c r="XFC777" s="3"/>
    </row>
    <row r="778" s="6" collapsed="false" customFormat="true" customHeight="true" hidden="false" ht="28.6" outlineLevel="0">
      <c r="A778" s="16" t="str">
        <f aca="false">IF($T778="","",1+COUNTIF($W$15:$W$894,"&lt;"&amp;W778))</f>
        <v/>
      </c>
      <c r="B778" s="16" t="s">
        <v>12</v>
      </c>
      <c r="C778" s="16" t="s">
        <v>1539</v>
      </c>
      <c r="D778" s="20" t="s">
        <v>51</v>
      </c>
      <c r="E778" s="16" t="s">
        <v>26</v>
      </c>
      <c r="F778" s="16" t="s">
        <v>1540</v>
      </c>
      <c r="G778" s="17">
        <v>1828</v>
      </c>
      <c r="H778" s="17"/>
      <c r="I778" s="17"/>
      <c r="J778" s="17">
        <v>1818</v>
      </c>
      <c r="K778" s="17" t="n">
        <f aca="false">IF(AND(IFERROR(SEARCH("현대오일뱅크",$C778),0)&gt;0,IFERROR(SEARCH("직영",$C778),0)&gt;0),$B$13,0)</f>
        <v/>
      </c>
      <c r="L778" s="17" t="n">
        <f aca="false">IF($G778="","",$G778+$K778)</f>
        <v/>
      </c>
      <c r="M778" s="17" t="str">
        <f aca="false">IF($H778="","",$H778+$K778)</f>
        <v/>
      </c>
      <c r="N778" s="17" t="n">
        <f aca="false">IF($J778="","",$J778+$K778)</f>
        <v/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 t="str">
        <f aca="false">IF($B$10=0,"",IFERROR(IF($B$4&gt;0,IF($L778="",1/0,$L778*$B$4),0)+IF($B$5&gt;0,IF($M778="",1/0,$M778*$B$5),0)+IF($B$6&gt;0,IF($N778="",1/0,$N778*$B$6),0),""))</f>
        <v/>
      </c>
      <c r="Q778" s="17"/>
      <c r="R778" s="18" t="str">
        <f aca="false">IF($P778="","",IF($Q778="Y",IFERROR(VLOOKUP($B778,$C$4:$D$13,2,FALSE()),0),0))</f>
        <v/>
      </c>
      <c r="S778" s="17" t="str">
        <f aca="false">IF($P778="","",ROUNDDOWN($P778*$R778,0))</f>
        <v/>
      </c>
      <c r="T778" s="17" t="str">
        <f aca="false">IF($P778="","",$P778-$S778)</f>
        <v/>
      </c>
      <c r="U778" s="17" t="str">
        <f aca="false">IF($T778="","",IF($B$10=0,"",$T778/$B$10))</f>
        <v/>
      </c>
      <c r="V778" s="17" t="str">
        <f aca="false">IF($P778="","",IF($B$10=0,"",$P778/$B$10))</f>
        <v/>
      </c>
      <c r="W778" s="19" t="n">
        <f aca="false">IF($T778="",1000000000000000,$T778)</f>
        <v/>
      </c>
      <c r="XFC778" s="3"/>
    </row>
    <row r="779" s="6" collapsed="false" customFormat="true" customHeight="true" hidden="false" ht="28.6" outlineLevel="0">
      <c r="A779" s="16" t="str">
        <f aca="false">IF($T779="","",1+COUNTIF($W$15:$W$894,"&lt;"&amp;W779))</f>
        <v/>
      </c>
      <c r="B779" s="16" t="s">
        <v>10</v>
      </c>
      <c r="C779" s="16" t="s">
        <v>1541</v>
      </c>
      <c r="D779" s="16" t="s">
        <v>51</v>
      </c>
      <c r="E779" s="16" t="s">
        <v>26</v>
      </c>
      <c r="F779" s="16" t="s">
        <v>1542</v>
      </c>
      <c r="G779" s="17">
        <v>1828</v>
      </c>
      <c r="H779" s="17"/>
      <c r="I779" s="17"/>
      <c r="J779" s="17">
        <v>1818</v>
      </c>
      <c r="K779" s="17" t="n">
        <f aca="false">IF(AND(IFERROR(SEARCH("현대오일뱅크",$C779),0)&gt;0,IFERROR(SEARCH("직영",$C779),0)&gt;0),$B$13,0)</f>
        <v/>
      </c>
      <c r="L779" s="17" t="n">
        <f aca="false">IF($G779="","",$G779+$K779)</f>
        <v/>
      </c>
      <c r="M779" s="17" t="str">
        <f aca="false">IF($H779="","",$H779+$K779)</f>
        <v/>
      </c>
      <c r="N779" s="17" t="n">
        <f aca="false">IF($J779="","",$J779+$K779)</f>
        <v/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 t="str">
        <f aca="false">IF($B$10=0,"",IFERROR(IF($B$4&gt;0,IF($L779="",1/0,$L779*$B$4),0)+IF($B$5&gt;0,IF($M779="",1/0,$M779*$B$5),0)+IF($B$6&gt;0,IF($N779="",1/0,$N779*$B$6),0),""))</f>
        <v/>
      </c>
      <c r="Q779" s="17"/>
      <c r="R779" s="18" t="str">
        <f aca="false">IF($P779="","",IF($Q779="Y",IFERROR(VLOOKUP($B779,$C$4:$D$13,2,FALSE()),0),0))</f>
        <v/>
      </c>
      <c r="S779" s="17" t="str">
        <f aca="false">IF($P779="","",ROUNDDOWN($P779*$R779,0))</f>
        <v/>
      </c>
      <c r="T779" s="17" t="str">
        <f aca="false">IF($P779="","",$P779-$S779)</f>
        <v/>
      </c>
      <c r="U779" s="17" t="str">
        <f aca="false">IF($T779="","",IF($B$10=0,"",$T779/$B$10))</f>
        <v/>
      </c>
      <c r="V779" s="17" t="str">
        <f aca="false">IF($P779="","",IF($B$10=0,"",$P779/$B$10))</f>
        <v/>
      </c>
      <c r="W779" s="19" t="n">
        <f aca="false">IF($T779="",1000000000000000,$T779)</f>
        <v/>
      </c>
      <c r="XFC779" s="3"/>
    </row>
    <row r="780" s="6" collapsed="false" customFormat="true" customHeight="true" hidden="false" ht="28.6" outlineLevel="0">
      <c r="A780" s="16" t="str">
        <f aca="false">IF($T780="","",1+COUNTIF($W$15:$W$894,"&lt;"&amp;W780))</f>
        <v/>
      </c>
      <c r="B780" s="16" t="s">
        <v>10</v>
      </c>
      <c r="C780" s="16" t="s">
        <v>332</v>
      </c>
      <c r="D780" s="16" t="s">
        <v>45</v>
      </c>
      <c r="E780" s="16" t="s">
        <v>63</v>
      </c>
      <c r="F780" s="16" t="s">
        <v>1543</v>
      </c>
      <c r="G780" s="17">
        <v>1828</v>
      </c>
      <c r="H780" s="17"/>
      <c r="I780" s="17"/>
      <c r="J780" s="17">
        <v>1818</v>
      </c>
      <c r="K780" s="17" t="n">
        <f aca="false">IF(AND(IFERROR(SEARCH("현대오일뱅크",$C780),0)&gt;0,IFERROR(SEARCH("직영",$C780),0)&gt;0),$B$13,0)</f>
        <v/>
      </c>
      <c r="L780" s="17" t="n">
        <f aca="false">IF($G780="","",$G780+$K780)</f>
        <v/>
      </c>
      <c r="M780" s="17" t="str">
        <f aca="false">IF($H780="","",$H780+$K780)</f>
        <v/>
      </c>
      <c r="N780" s="17" t="n">
        <f aca="false">IF($J780="","",$J780+$K780)</f>
        <v/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 t="str">
        <f aca="false">IF($B$10=0,"",IFERROR(IF($B$4&gt;0,IF($L780="",1/0,$L780*$B$4),0)+IF($B$5&gt;0,IF($M780="",1/0,$M780*$B$5),0)+IF($B$6&gt;0,IF($N780="",1/0,$N780*$B$6),0),""))</f>
        <v/>
      </c>
      <c r="Q780" s="17"/>
      <c r="R780" s="18" t="str">
        <f aca="false">IF($P780="","",IF($Q780="Y",IFERROR(VLOOKUP($B780,$C$4:$D$13,2,FALSE()),0),0))</f>
        <v/>
      </c>
      <c r="S780" s="17" t="str">
        <f aca="false">IF($P780="","",ROUNDDOWN($P780*$R780,0))</f>
        <v/>
      </c>
      <c r="T780" s="17" t="str">
        <f aca="false">IF($P780="","",$P780-$S780)</f>
        <v/>
      </c>
      <c r="U780" s="17" t="str">
        <f aca="false">IF($T780="","",IF($B$10=0,"",$T780/$B$10))</f>
        <v/>
      </c>
      <c r="V780" s="17" t="str">
        <f aca="false">IF($P780="","",IF($B$10=0,"",$P780/$B$10))</f>
        <v/>
      </c>
      <c r="W780" s="19" t="n">
        <f aca="false">IF($T780="",1000000000000000,$T780)</f>
        <v/>
      </c>
      <c r="XFC780" s="3"/>
    </row>
    <row r="781" s="5" collapsed="false" customFormat="true" customHeight="true" hidden="false" ht="28.5" outlineLevel="0">
      <c r="A781" s="16" t="str">
        <f aca="false">IF($T781="","",1+COUNTIF($W$15:$W$894,"&lt;"&amp;W781))</f>
        <v/>
      </c>
      <c r="B781" s="16" t="s">
        <v>12</v>
      </c>
      <c r="C781" s="16" t="s">
        <v>1546</v>
      </c>
      <c r="D781" s="20" t="s">
        <v>45</v>
      </c>
      <c r="E781" s="16" t="s">
        <v>63</v>
      </c>
      <c r="F781" s="16" t="s">
        <v>1547</v>
      </c>
      <c r="G781" s="17">
        <v>1839</v>
      </c>
      <c r="H781" s="17"/>
      <c r="I781" s="17"/>
      <c r="J781" s="17">
        <v>1796</v>
      </c>
      <c r="K781" s="17" t="n">
        <v>0</v>
      </c>
      <c r="L781" s="17" t="n">
        <f aca="false">IF($G781="","",$G781+$K781)</f>
        <v/>
      </c>
      <c r="M781" s="17" t="str">
        <f aca="false">IF($H781="","",$H781+$K781)</f>
        <v/>
      </c>
      <c r="N781" s="17" t="n">
        <f aca="false">IF($J781="","",$J781+$K781)</f>
        <v/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 t="str">
        <f aca="false">IF($B$10=0,"",IFERROR(IF($B$4&gt;0,IF($L781="",1/0,$L781*$B$4),0)+IF($B$5&gt;0,IF($M781="",1/0,$M781*$B$5),0)+IF($B$6&gt;0,IF($N781="",1/0,$N781*$B$6),0),""))</f>
        <v/>
      </c>
      <c r="Q781" s="17"/>
      <c r="R781" s="18" t="str">
        <f aca="false">IF($P781="","",IF($Q781="Y",IFERROR(VLOOKUP($B781,$C$4:$D$13,2,FALSE()),0),0))</f>
        <v/>
      </c>
      <c r="S781" s="17" t="str">
        <f aca="false">IF($P781="","",ROUNDDOWN($P781*$R781,0))</f>
        <v/>
      </c>
      <c r="T781" s="17" t="str">
        <f aca="false">IF($P781="","",$P781-$S781)</f>
        <v/>
      </c>
      <c r="U781" s="17" t="str">
        <f aca="false">IF($T781="","",IF($B$10=0,"",$T781/$B$10))</f>
        <v/>
      </c>
      <c r="V781" s="17" t="str">
        <f aca="false">IF($P781="","",IF($B$10=0,"",$P781/$B$10))</f>
        <v/>
      </c>
      <c r="W781" s="19" t="n">
        <f aca="false">IF($T781="",1000000000000000,$T781)</f>
        <v/>
      </c>
      <c r="XFB781" s="6"/>
      <c r="XFC781" s="3"/>
    </row>
    <row r="782" s="6" collapsed="false" customFormat="true" customHeight="true" hidden="false" ht="28.6" outlineLevel="0">
      <c r="A782" s="16" t="str">
        <f aca="false">IF($T782="","",1+COUNTIF($W$15:$W$894,"&lt;"&amp;W782))</f>
        <v/>
      </c>
      <c r="B782" s="16" t="s">
        <v>12</v>
      </c>
      <c r="C782" s="16" t="s">
        <v>1544</v>
      </c>
      <c r="D782" s="20" t="s">
        <v>86</v>
      </c>
      <c r="E782" s="16" t="s">
        <v>26</v>
      </c>
      <c r="F782" s="16" t="s">
        <v>1545</v>
      </c>
      <c r="G782" s="17">
        <v>1829</v>
      </c>
      <c r="H782" s="17"/>
      <c r="I782" s="17"/>
      <c r="J782" s="17">
        <v>1809</v>
      </c>
      <c r="K782" s="17" t="n">
        <f aca="false">IF(AND(IFERROR(SEARCH("현대오일뱅크",$C782),0)&gt;0,IFERROR(SEARCH("직영",$C782),0)&gt;0),$B$13,0)</f>
        <v/>
      </c>
      <c r="L782" s="17" t="n">
        <f aca="false">IF($G782="","",$G782+$K782)</f>
        <v/>
      </c>
      <c r="M782" s="17" t="str">
        <f aca="false">IF($H782="","",$H782+$K782)</f>
        <v/>
      </c>
      <c r="N782" s="17" t="n">
        <f aca="false">IF($J782="","",$J782+$K782)</f>
        <v/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 t="str">
        <f aca="false">IF($B$10=0,"",IFERROR(IF($B$4&gt;0,IF($L782="",1/0,$L782*$B$4),0)+IF($B$5&gt;0,IF($M782="",1/0,$M782*$B$5),0)+IF($B$6&gt;0,IF($N782="",1/0,$N782*$B$6),0),""))</f>
        <v/>
      </c>
      <c r="Q782" s="17"/>
      <c r="R782" s="18" t="str">
        <f aca="false">IF($P782="","",IF($Q782="Y",IFERROR(VLOOKUP($B782,$C$4:$D$13,2,FALSE()),0),0))</f>
        <v/>
      </c>
      <c r="S782" s="17" t="str">
        <f aca="false">IF($P782="","",ROUNDDOWN($P782*$R782,0))</f>
        <v/>
      </c>
      <c r="T782" s="17" t="str">
        <f aca="false">IF($P782="","",$P782-$S782)</f>
        <v/>
      </c>
      <c r="U782" s="17" t="str">
        <f aca="false">IF($T782="","",IF($B$10=0,"",$T782/$B$10))</f>
        <v/>
      </c>
      <c r="V782" s="17" t="str">
        <f aca="false">IF($P782="","",IF($B$10=0,"",$P782/$B$10))</f>
        <v/>
      </c>
      <c r="W782" s="19" t="n">
        <f aca="false">IF($T782="",1000000000000000,$T782)</f>
        <v/>
      </c>
      <c r="XFC782" s="3"/>
    </row>
    <row r="783" s="21" collapsed="false" customFormat="true" customHeight="true" hidden="false" ht="28.5" outlineLevel="0">
      <c r="A783" s="16" t="str">
        <f aca="false">IF($T783="","",1+COUNTIF($W$15:$W$894,"&lt;"&amp;W783))</f>
        <v/>
      </c>
      <c r="B783" s="16" t="s">
        <v>18</v>
      </c>
      <c r="C783" s="16" t="s">
        <v>1550</v>
      </c>
      <c r="D783" s="16" t="s">
        <v>500</v>
      </c>
      <c r="E783" s="16" t="s">
        <v>63</v>
      </c>
      <c r="F783" s="16" t="s">
        <v>1551</v>
      </c>
      <c r="G783" s="17">
        <v>1829</v>
      </c>
      <c r="H783" s="17"/>
      <c r="I783" s="17"/>
      <c r="J783" s="17">
        <v>1819</v>
      </c>
      <c r="K783" s="17" t="n">
        <f aca="false">IF(AND(IFERROR(SEARCH("현대오일뱅크",$C783),0)&gt;0,IFERROR(SEARCH("직영",$C783),0)&gt;0),$B$13,0)</f>
        <v/>
      </c>
      <c r="L783" s="17" t="n">
        <f aca="false">IF($G783="","",$G783+$K783)</f>
        <v/>
      </c>
      <c r="M783" s="17" t="str">
        <f aca="false">IF($H783="","",$H783+$K783)</f>
        <v/>
      </c>
      <c r="N783" s="17" t="n">
        <f aca="false">IF($J783="","",$J783+$K783)</f>
        <v/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 t="str">
        <f aca="false">IF($B$10=0,"",IFERROR(IF($B$4&gt;0,IF($L783="",1/0,$L783*$B$4),0)+IF($B$5&gt;0,IF($M783="",1/0,$M783*$B$5),0)+IF($B$6&gt;0,IF($N783="",1/0,$N783*$B$6),0),""))</f>
        <v/>
      </c>
      <c r="Q783" s="17"/>
      <c r="R783" s="18" t="str">
        <f aca="false">IF($P783="","",IF($Q783="Y",IFERROR(VLOOKUP($B783,$C$4:$D$13,2,FALSE()),0),0))</f>
        <v/>
      </c>
      <c r="S783" s="17" t="str">
        <f aca="false">IF($P783="","",ROUNDDOWN($P783*$R783,0))</f>
        <v/>
      </c>
      <c r="T783" s="17" t="str">
        <f aca="false">IF($P783="","",$P783-$S783)</f>
        <v/>
      </c>
      <c r="U783" s="17" t="str">
        <f aca="false">IF($T783="","",IF($B$10=0,"",$T783/$B$10))</f>
        <v/>
      </c>
      <c r="V783" s="17" t="str">
        <f aca="false">IF($P783="","",IF($B$10=0,"",$P783/$B$10))</f>
        <v/>
      </c>
      <c r="W783" s="19" t="n">
        <f aca="false">IF($T783="",1000000000000000,$T783)</f>
        <v/>
      </c>
      <c r="XFB783" s="6"/>
      <c r="XFC783" s="3"/>
    </row>
    <row r="784" s="6" collapsed="false" customFormat="true" customHeight="true" hidden="false" ht="28.6" outlineLevel="0">
      <c r="A784" s="16" t="str">
        <f aca="false">IF($T784="","",1+COUNTIF($W$15:$W$894,"&lt;"&amp;W784))</f>
        <v/>
      </c>
      <c r="B784" s="16" t="s">
        <v>10</v>
      </c>
      <c r="C784" s="16" t="s">
        <v>1552</v>
      </c>
      <c r="D784" s="16" t="s">
        <v>45</v>
      </c>
      <c r="E784" s="16" t="s">
        <v>26</v>
      </c>
      <c r="F784" s="16" t="s">
        <v>1553</v>
      </c>
      <c r="G784" s="17">
        <v>1829</v>
      </c>
      <c r="H784" s="17"/>
      <c r="I784" s="17"/>
      <c r="J784" s="17">
        <v>1819</v>
      </c>
      <c r="K784" s="17" t="n">
        <f aca="false">IF(AND(IFERROR(SEARCH("현대오일뱅크",$C784),0)&gt;0,IFERROR(SEARCH("직영",$C784),0)&gt;0),$B$13,0)</f>
        <v/>
      </c>
      <c r="L784" s="17" t="n">
        <f aca="false">IF($G784="","",$G784+$K784)</f>
        <v/>
      </c>
      <c r="M784" s="17" t="str">
        <f aca="false">IF($H784="","",$H784+$K784)</f>
        <v/>
      </c>
      <c r="N784" s="17" t="n">
        <f aca="false">IF($J784="","",$J784+$K784)</f>
        <v/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 t="str">
        <f aca="false">IF($B$10=0,"",IFERROR(IF($B$4&gt;0,IF($L784="",1/0,$L784*$B$4),0)+IF($B$5&gt;0,IF($M784="",1/0,$M784*$B$5),0)+IF($B$6&gt;0,IF($N784="",1/0,$N784*$B$6),0),""))</f>
        <v/>
      </c>
      <c r="Q784" s="17"/>
      <c r="R784" s="18" t="str">
        <f aca="false">IF($P784="","",IF($Q784="Y",IFERROR(VLOOKUP($B784,$C$4:$D$13,2,FALSE()),0),0))</f>
        <v/>
      </c>
      <c r="S784" s="17" t="str">
        <f aca="false">IF($P784="","",ROUNDDOWN($P784*$R784,0))</f>
        <v/>
      </c>
      <c r="T784" s="17" t="str">
        <f aca="false">IF($P784="","",$P784-$S784)</f>
        <v/>
      </c>
      <c r="U784" s="17" t="str">
        <f aca="false">IF($T784="","",IF($B$10=0,"",$T784/$B$10))</f>
        <v/>
      </c>
      <c r="V784" s="17" t="str">
        <f aca="false">IF($P784="","",IF($B$10=0,"",$P784/$B$10))</f>
        <v/>
      </c>
      <c r="W784" s="19" t="n">
        <f aca="false">IF($T784="",1000000000000000,$T784)</f>
        <v/>
      </c>
      <c r="XFC784" s="3"/>
    </row>
    <row r="785" s="5" collapsed="false" customFormat="true" customHeight="true" hidden="false" ht="28.5" outlineLevel="0">
      <c r="A785" s="16" t="str">
        <f aca="false">IF($T785="","",1+COUNTIF($W$15:$W$894,"&lt;"&amp;W785))</f>
        <v/>
      </c>
      <c r="B785" s="16" t="s">
        <v>18</v>
      </c>
      <c r="C785" s="16" t="s">
        <v>1554</v>
      </c>
      <c r="D785" s="16" t="s">
        <v>45</v>
      </c>
      <c r="E785" s="16" t="s">
        <v>63</v>
      </c>
      <c r="F785" s="16" t="s">
        <v>1555</v>
      </c>
      <c r="G785" s="17">
        <v>1829</v>
      </c>
      <c r="H785" s="17"/>
      <c r="I785" s="17"/>
      <c r="J785" s="17">
        <v>1829</v>
      </c>
      <c r="K785" s="17" t="n">
        <f aca="false">IF(AND(IFERROR(SEARCH("현대오일뱅크",$C785),0)&gt;0,IFERROR(SEARCH("직영",$C785),0)&gt;0),$B$13,0)</f>
        <v/>
      </c>
      <c r="L785" s="17" t="n">
        <f aca="false">IF($G785="","",$G785+$K785)</f>
        <v/>
      </c>
      <c r="M785" s="17" t="str">
        <f aca="false">IF($H785="","",$H785+$K785)</f>
        <v/>
      </c>
      <c r="N785" s="17" t="n">
        <f aca="false">IF($J785="","",$J785+$K785)</f>
        <v/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 t="str">
        <f aca="false">IF($B$10=0,"",IFERROR(IF($B$4&gt;0,IF($L785="",1/0,$L785*$B$4),0)+IF($B$5&gt;0,IF($M785="",1/0,$M785*$B$5),0)+IF($B$6&gt;0,IF($N785="",1/0,$N785*$B$6),0),""))</f>
        <v/>
      </c>
      <c r="Q785" s="17"/>
      <c r="R785" s="18" t="str">
        <f aca="false">IF($P785="","",IF($Q785="Y",IFERROR(VLOOKUP($B785,$C$4:$D$13,2,FALSE()),0),0))</f>
        <v/>
      </c>
      <c r="S785" s="17" t="str">
        <f aca="false">IF($P785="","",ROUNDDOWN($P785*$R785,0))</f>
        <v/>
      </c>
      <c r="T785" s="17" t="str">
        <f aca="false">IF($P785="","",$P785-$S785)</f>
        <v/>
      </c>
      <c r="U785" s="17" t="str">
        <f aca="false">IF($T785="","",IF($B$10=0,"",$T785/$B$10))</f>
        <v/>
      </c>
      <c r="V785" s="17" t="str">
        <f aca="false">IF($P785="","",IF($B$10=0,"",$P785/$B$10))</f>
        <v/>
      </c>
      <c r="W785" s="19" t="n">
        <f aca="false">IF($T785="",1000000000000000,$T785)</f>
        <v/>
      </c>
      <c r="XFB785" s="6"/>
      <c r="XFC785" s="3"/>
    </row>
    <row r="786" s="21" collapsed="false" customFormat="true" customHeight="true" hidden="false" ht="28.5" outlineLevel="0">
      <c r="A786" s="16" t="str">
        <f aca="false">IF($T786="","",1+COUNTIF($W$15:$W$894,"&lt;"&amp;W786))</f>
        <v/>
      </c>
      <c r="B786" s="16" t="s">
        <v>16</v>
      </c>
      <c r="C786" s="16" t="s">
        <v>1556</v>
      </c>
      <c r="D786" s="16" t="s">
        <v>95</v>
      </c>
      <c r="E786" s="16" t="s">
        <v>63</v>
      </c>
      <c r="F786" s="16" t="s">
        <v>1557</v>
      </c>
      <c r="G786" s="17">
        <v>1829</v>
      </c>
      <c r="H786" s="17"/>
      <c r="I786" s="17"/>
      <c r="J786" s="17">
        <v>1829</v>
      </c>
      <c r="K786" s="17" t="n">
        <f aca="false">IF(AND(IFERROR(SEARCH("현대오일뱅크",$C786),0)&gt;0,IFERROR(SEARCH("직영",$C786),0)&gt;0),$B$13,0)</f>
        <v/>
      </c>
      <c r="L786" s="17" t="n">
        <f aca="false">IF($G786="","",$G786+$K786)</f>
        <v/>
      </c>
      <c r="M786" s="17" t="str">
        <f aca="false">IF($H786="","",$H786+$K786)</f>
        <v/>
      </c>
      <c r="N786" s="17" t="n">
        <f aca="false">IF($J786="","",$J786+$K786)</f>
        <v/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 t="str">
        <f aca="false">IF($B$10=0,"",IFERROR(IF($B$4&gt;0,IF($L786="",1/0,$L786*$B$4),0)+IF($B$5&gt;0,IF($M786="",1/0,$M786*$B$5),0)+IF($B$6&gt;0,IF($N786="",1/0,$N786*$B$6),0),""))</f>
        <v/>
      </c>
      <c r="Q786" s="17"/>
      <c r="R786" s="18" t="str">
        <f aca="false">IF($P786="","",IF($Q786="Y",IFERROR(VLOOKUP($B786,$C$4:$D$13,2,FALSE()),0),0))</f>
        <v/>
      </c>
      <c r="S786" s="17" t="str">
        <f aca="false">IF($P786="","",ROUNDDOWN($P786*$R786,0))</f>
        <v/>
      </c>
      <c r="T786" s="17" t="str">
        <f aca="false">IF($P786="","",$P786-$S786)</f>
        <v/>
      </c>
      <c r="U786" s="17" t="str">
        <f aca="false">IF($T786="","",IF($B$10=0,"",$T786/$B$10))</f>
        <v/>
      </c>
      <c r="V786" s="17" t="str">
        <f aca="false">IF($P786="","",IF($B$10=0,"",$P786/$B$10))</f>
        <v/>
      </c>
      <c r="W786" s="19" t="n">
        <f aca="false">IF($T786="",1000000000000000,$T786)</f>
        <v/>
      </c>
      <c r="XFB786" s="6"/>
      <c r="XFC786" s="3"/>
    </row>
    <row r="787" s="21" collapsed="false" customFormat="true" customHeight="true" hidden="false" ht="28.5" outlineLevel="0">
      <c r="A787" s="16" t="str">
        <f aca="false">IF($T787="","",1+COUNTIF($W$15:$W$894,"&lt;"&amp;W787))</f>
        <v/>
      </c>
      <c r="B787" s="16" t="s">
        <v>10</v>
      </c>
      <c r="C787" s="16" t="s">
        <v>1558</v>
      </c>
      <c r="D787" s="16" t="s">
        <v>45</v>
      </c>
      <c r="E787" s="16" t="s">
        <v>26</v>
      </c>
      <c r="F787" s="16" t="s">
        <v>1559</v>
      </c>
      <c r="G787" s="17">
        <v>1829</v>
      </c>
      <c r="H787" s="17"/>
      <c r="I787" s="17"/>
      <c r="J787" s="17">
        <v>1839</v>
      </c>
      <c r="K787" s="17" t="n">
        <f aca="false">IF(AND(IFERROR(SEARCH("현대오일뱅크",$C787),0)&gt;0,IFERROR(SEARCH("직영",$C787),0)&gt;0),$B$13,0)</f>
        <v/>
      </c>
      <c r="L787" s="17" t="n">
        <f aca="false">IF($G787="","",$G787+$K787)</f>
        <v/>
      </c>
      <c r="M787" s="17" t="str">
        <f aca="false">IF($H787="","",$H787+$K787)</f>
        <v/>
      </c>
      <c r="N787" s="17" t="n">
        <f aca="false">IF($J787="","",$J787+$K787)</f>
        <v/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 t="str">
        <f aca="false">IF($B$10=0,"",IFERROR(IF($B$4&gt;0,IF($L787="",1/0,$L787*$B$4),0)+IF($B$5&gt;0,IF($M787="",1/0,$M787*$B$5),0)+IF($B$6&gt;0,IF($N787="",1/0,$N787*$B$6),0),""))</f>
        <v/>
      </c>
      <c r="Q787" s="17"/>
      <c r="R787" s="18" t="str">
        <f aca="false">IF($P787="","",IF($Q787="Y",IFERROR(VLOOKUP($B787,$C$4:$D$13,2,FALSE()),0),0))</f>
        <v/>
      </c>
      <c r="S787" s="17" t="str">
        <f aca="false">IF($P787="","",ROUNDDOWN($P787*$R787,0))</f>
        <v/>
      </c>
      <c r="T787" s="17" t="str">
        <f aca="false">IF($P787="","",$P787-$S787)</f>
        <v/>
      </c>
      <c r="U787" s="17" t="str">
        <f aca="false">IF($T787="","",IF($B$10=0,"",$T787/$B$10))</f>
        <v/>
      </c>
      <c r="V787" s="17" t="str">
        <f aca="false">IF($P787="","",IF($B$10=0,"",$P787/$B$10))</f>
        <v/>
      </c>
      <c r="W787" s="19" t="n">
        <f aca="false">IF($T787="",1000000000000000,$T787)</f>
        <v/>
      </c>
      <c r="XFB787" s="6"/>
      <c r="XFC787" s="3"/>
    </row>
    <row r="788" s="21" collapsed="false" customFormat="true" customHeight="true" hidden="false" ht="28.5" outlineLevel="0">
      <c r="A788" s="16" t="str">
        <f aca="false">IF($T788="","",1+COUNTIF($W$15:$W$894,"&lt;"&amp;W788))</f>
        <v/>
      </c>
      <c r="B788" s="16" t="s">
        <v>10</v>
      </c>
      <c r="C788" s="16" t="s">
        <v>1560</v>
      </c>
      <c r="D788" s="16" t="s">
        <v>45</v>
      </c>
      <c r="E788" s="16" t="s">
        <v>63</v>
      </c>
      <c r="F788" s="16" t="s">
        <v>1561</v>
      </c>
      <c r="G788" s="17">
        <v>1829</v>
      </c>
      <c r="H788" s="17"/>
      <c r="I788" s="17"/>
      <c r="J788" s="17">
        <v>1849</v>
      </c>
      <c r="K788" s="17" t="n">
        <f aca="false">IF(AND(IFERROR(SEARCH("현대오일뱅크",$C788),0)&gt;0,IFERROR(SEARCH("직영",$C788),0)&gt;0),$B$13,0)</f>
        <v/>
      </c>
      <c r="L788" s="17" t="n">
        <f aca="false">IF($G788="","",$G788+$K788)</f>
        <v/>
      </c>
      <c r="M788" s="17" t="str">
        <f aca="false">IF($H788="","",$H788+$K788)</f>
        <v/>
      </c>
      <c r="N788" s="17" t="n">
        <f aca="false">IF($J788="","",$J788+$K788)</f>
        <v/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 t="str">
        <f aca="false">IF($B$10=0,"",IFERROR(IF($B$4&gt;0,IF($L788="",1/0,$L788*$B$4),0)+IF($B$5&gt;0,IF($M788="",1/0,$M788*$B$5),0)+IF($B$6&gt;0,IF($N788="",1/0,$N788*$B$6),0),""))</f>
        <v/>
      </c>
      <c r="Q788" s="17"/>
      <c r="R788" s="18" t="str">
        <f aca="false">IF($P788="","",IF($Q788="Y",IFERROR(VLOOKUP($B788,$C$4:$D$13,2,FALSE()),0),0))</f>
        <v/>
      </c>
      <c r="S788" s="17" t="str">
        <f aca="false">IF($P788="","",ROUNDDOWN($P788*$R788,0))</f>
        <v/>
      </c>
      <c r="T788" s="17" t="str">
        <f aca="false">IF($P788="","",$P788-$S788)</f>
        <v/>
      </c>
      <c r="U788" s="17" t="str">
        <f aca="false">IF($T788="","",IF($B$10=0,"",$T788/$B$10))</f>
        <v/>
      </c>
      <c r="V788" s="17" t="str">
        <f aca="false">IF($P788="","",IF($B$10=0,"",$P788/$B$10))</f>
        <v/>
      </c>
      <c r="W788" s="19" t="n">
        <f aca="false">IF($T788="",1000000000000000,$T788)</f>
        <v/>
      </c>
      <c r="XFB788" s="6"/>
      <c r="XFC788" s="3"/>
    </row>
    <row r="789" s="6" collapsed="false" customFormat="true" customHeight="true" hidden="false" ht="28.6" outlineLevel="0">
      <c r="A789" s="16" t="str">
        <f aca="false">IF($T789="","",1+COUNTIF($W$15:$W$894,"&lt;"&amp;W789))</f>
        <v/>
      </c>
      <c r="B789" s="16" t="s">
        <v>14</v>
      </c>
      <c r="C789" s="16" t="s">
        <v>1562</v>
      </c>
      <c r="D789" s="16" t="s">
        <v>45</v>
      </c>
      <c r="E789" s="16" t="s">
        <v>63</v>
      </c>
      <c r="F789" s="16" t="s">
        <v>1563</v>
      </c>
      <c r="G789" s="17">
        <v>1830</v>
      </c>
      <c r="H789" s="17"/>
      <c r="I789" s="17"/>
      <c r="J789" s="17">
        <v>1820</v>
      </c>
      <c r="K789" s="17" t="n">
        <f aca="false">IF(AND(IFERROR(SEARCH("현대오일뱅크",$C789),0)&gt;0,IFERROR(SEARCH("직영",$C789),0)&gt;0),$B$13,0)</f>
        <v/>
      </c>
      <c r="L789" s="17" t="n">
        <f aca="false">IF($G789="","",$G789+$K789)</f>
        <v/>
      </c>
      <c r="M789" s="17" t="str">
        <f aca="false">IF($H789="","",$H789+$K789)</f>
        <v/>
      </c>
      <c r="N789" s="17" t="n">
        <f aca="false">IF($J789="","",$J789+$K789)</f>
        <v/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 t="str">
        <f aca="false">IF($B$10=0,"",IFERROR(IF($B$4&gt;0,IF($L789="",1/0,$L789*$B$4),0)+IF($B$5&gt;0,IF($M789="",1/0,$M789*$B$5),0)+IF($B$6&gt;0,IF($N789="",1/0,$N789*$B$6),0),""))</f>
        <v/>
      </c>
      <c r="Q789" s="17"/>
      <c r="R789" s="18" t="str">
        <f aca="false">IF($P789="","",IF($Q789="Y",IFERROR(VLOOKUP($B789,$C$4:$D$13,2,FALSE()),0),0))</f>
        <v/>
      </c>
      <c r="S789" s="17" t="str">
        <f aca="false">IF($P789="","",ROUNDDOWN($P789*$R789,0))</f>
        <v/>
      </c>
      <c r="T789" s="17" t="str">
        <f aca="false">IF($P789="","",$P789-$S789)</f>
        <v/>
      </c>
      <c r="U789" s="17" t="str">
        <f aca="false">IF($T789="","",IF($B$10=0,"",$T789/$B$10))</f>
        <v/>
      </c>
      <c r="V789" s="17" t="str">
        <f aca="false">IF($P789="","",IF($B$10=0,"",$P789/$B$10))</f>
        <v/>
      </c>
      <c r="W789" s="19" t="n">
        <f aca="false">IF($T789="",1000000000000000,$T789)</f>
        <v/>
      </c>
      <c r="XFC789" s="3"/>
    </row>
    <row r="790" s="21" collapsed="false" customFormat="true" customHeight="true" hidden="false" ht="28.5" outlineLevel="0">
      <c r="A790" s="16" t="str">
        <f aca="false">IF($T790="","",1+COUNTIF($W$15:$W$894,"&lt;"&amp;W790))</f>
        <v/>
      </c>
      <c r="B790" s="16" t="s">
        <v>16</v>
      </c>
      <c r="C790" s="16" t="s">
        <v>1564</v>
      </c>
      <c r="D790" s="16" t="s">
        <v>500</v>
      </c>
      <c r="E790" s="16" t="s">
        <v>63</v>
      </c>
      <c r="F790" s="16" t="s">
        <v>1565</v>
      </c>
      <c r="G790" s="17">
        <v>1830</v>
      </c>
      <c r="H790" s="17"/>
      <c r="I790" s="17"/>
      <c r="J790" s="17">
        <v>1830</v>
      </c>
      <c r="K790" s="17" t="n">
        <f aca="false">IF(AND(IFERROR(SEARCH("현대오일뱅크",$C790),0)&gt;0,IFERROR(SEARCH("직영",$C790),0)&gt;0),$B$13,0)</f>
        <v/>
      </c>
      <c r="L790" s="17" t="n">
        <f aca="false">IF($G790="","",$G790+$K790)</f>
        <v/>
      </c>
      <c r="M790" s="17" t="str">
        <f aca="false">IF($H790="","",$H790+$K790)</f>
        <v/>
      </c>
      <c r="N790" s="17" t="n">
        <f aca="false">IF($J790="","",$J790+$K790)</f>
        <v/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 t="str">
        <f aca="false">IF($B$10=0,"",IFERROR(IF($B$4&gt;0,IF($L790="",1/0,$L790*$B$4),0)+IF($B$5&gt;0,IF($M790="",1/0,$M790*$B$5),0)+IF($B$6&gt;0,IF($N790="",1/0,$N790*$B$6),0),""))</f>
        <v/>
      </c>
      <c r="Q790" s="17"/>
      <c r="R790" s="18" t="str">
        <f aca="false">IF($P790="","",IF($Q790="Y",IFERROR(VLOOKUP($B790,$C$4:$D$13,2,FALSE()),0),0))</f>
        <v/>
      </c>
      <c r="S790" s="17" t="str">
        <f aca="false">IF($P790="","",ROUNDDOWN($P790*$R790,0))</f>
        <v/>
      </c>
      <c r="T790" s="17" t="str">
        <f aca="false">IF($P790="","",$P790-$S790)</f>
        <v/>
      </c>
      <c r="U790" s="17" t="str">
        <f aca="false">IF($T790="","",IF($B$10=0,"",$T790/$B$10))</f>
        <v/>
      </c>
      <c r="V790" s="17" t="str">
        <f aca="false">IF($P790="","",IF($B$10=0,"",$P790/$B$10))</f>
        <v/>
      </c>
      <c r="W790" s="19" t="n">
        <f aca="false">IF($T790="",1000000000000000,$T790)</f>
        <v/>
      </c>
      <c r="XFB790" s="6"/>
      <c r="XFC790" s="3"/>
    </row>
    <row r="791" s="6" collapsed="false" customFormat="true" customHeight="true" hidden="false" ht="28.6" outlineLevel="0">
      <c r="A791" s="16" t="str">
        <f aca="false">IF($T791="","",1+COUNTIF($W$15:$W$894,"&lt;"&amp;W791))</f>
        <v/>
      </c>
      <c r="B791" s="16" t="s">
        <v>14</v>
      </c>
      <c r="C791" s="16" t="s">
        <v>439</v>
      </c>
      <c r="D791" s="16" t="s">
        <v>51</v>
      </c>
      <c r="E791" s="16" t="s">
        <v>63</v>
      </c>
      <c r="F791" s="16" t="s">
        <v>1570</v>
      </c>
      <c r="G791" s="17">
        <v>1835</v>
      </c>
      <c r="H791" s="17"/>
      <c r="I791" s="17"/>
      <c r="J791" s="17">
        <v>1825</v>
      </c>
      <c r="K791" s="17" t="n">
        <f aca="false">IF(AND(IFERROR(SEARCH("현대오일뱅크",$C791),0)&gt;0,IFERROR(SEARCH("직영",$C791),0)&gt;0),$B$13,0)</f>
        <v/>
      </c>
      <c r="L791" s="17" t="n">
        <f aca="false">IF($G791="","",$G791+$K791)</f>
        <v/>
      </c>
      <c r="M791" s="17" t="str">
        <f aca="false">IF($H791="","",$H791+$K791)</f>
        <v/>
      </c>
      <c r="N791" s="17" t="n">
        <f aca="false">IF($J791="","",$J791+$K791)</f>
        <v/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 t="str">
        <f aca="false">IF($B$10=0,"",IFERROR(IF($B$4&gt;0,IF($L791="",1/0,$L791*$B$4),0)+IF($B$5&gt;0,IF($M791="",1/0,$M791*$B$5),0)+IF($B$6&gt;0,IF($N791="",1/0,$N791*$B$6),0),""))</f>
        <v/>
      </c>
      <c r="Q791" s="17"/>
      <c r="R791" s="18" t="str">
        <f aca="false">IF($P791="","",IF($Q791="Y",IFERROR(VLOOKUP($B791,$C$4:$D$13,2,FALSE()),0),0))</f>
        <v/>
      </c>
      <c r="S791" s="17" t="str">
        <f aca="false">IF($P791="","",ROUNDDOWN($P791*$R791,0))</f>
        <v/>
      </c>
      <c r="T791" s="17" t="str">
        <f aca="false">IF($P791="","",$P791-$S791)</f>
        <v/>
      </c>
      <c r="U791" s="17" t="str">
        <f aca="false">IF($T791="","",IF($B$10=0,"",$T791/$B$10))</f>
        <v/>
      </c>
      <c r="V791" s="17" t="str">
        <f aca="false">IF($P791="","",IF($B$10=0,"",$P791/$B$10))</f>
        <v/>
      </c>
      <c r="W791" s="19" t="n">
        <f aca="false">IF($T791="",1000000000000000,$T791)</f>
        <v/>
      </c>
      <c r="XFC791" s="3"/>
    </row>
    <row r="792" s="6" collapsed="false" customFormat="true" customHeight="true" hidden="false" ht="28.6" outlineLevel="0">
      <c r="A792" s="16" t="str">
        <f aca="false">IF($T792="","",1+COUNTIF($W$15:$W$894,"&lt;"&amp;W792))</f>
        <v/>
      </c>
      <c r="B792" s="16" t="s">
        <v>12</v>
      </c>
      <c r="C792" s="16" t="s">
        <v>1571</v>
      </c>
      <c r="D792" s="20" t="s">
        <v>51</v>
      </c>
      <c r="E792" s="16" t="s">
        <v>63</v>
      </c>
      <c r="F792" s="16" t="s">
        <v>1572</v>
      </c>
      <c r="G792" s="17">
        <v>1835</v>
      </c>
      <c r="H792" s="17"/>
      <c r="I792" s="17"/>
      <c r="J792" s="17">
        <v>1825</v>
      </c>
      <c r="K792" s="17" t="n">
        <f aca="false">IF(AND(IFERROR(SEARCH("현대오일뱅크",$C792),0)&gt;0,IFERROR(SEARCH("직영",$C792),0)&gt;0),$B$13,0)</f>
        <v/>
      </c>
      <c r="L792" s="17" t="n">
        <f aca="false">IF($G792="","",$G792+$K792)</f>
        <v/>
      </c>
      <c r="M792" s="17" t="str">
        <f aca="false">IF($H792="","",$H792+$K792)</f>
        <v/>
      </c>
      <c r="N792" s="17" t="n">
        <f aca="false">IF($J792="","",$J792+$K792)</f>
        <v/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 t="str">
        <f aca="false">IF($B$10=0,"",IFERROR(IF($B$4&gt;0,IF($L792="",1/0,$L792*$B$4),0)+IF($B$5&gt;0,IF($M792="",1/0,$M792*$B$5),0)+IF($B$6&gt;0,IF($N792="",1/0,$N792*$B$6),0),""))</f>
        <v/>
      </c>
      <c r="Q792" s="17"/>
      <c r="R792" s="18" t="str">
        <f aca="false">IF($P792="","",IF($Q792="Y",IFERROR(VLOOKUP($B792,$C$4:$D$13,2,FALSE()),0),0))</f>
        <v/>
      </c>
      <c r="S792" s="17" t="str">
        <f aca="false">IF($P792="","",ROUNDDOWN($P792*$R792,0))</f>
        <v/>
      </c>
      <c r="T792" s="17" t="str">
        <f aca="false">IF($P792="","",$P792-$S792)</f>
        <v/>
      </c>
      <c r="U792" s="17" t="str">
        <f aca="false">IF($T792="","",IF($B$10=0,"",$T792/$B$10))</f>
        <v/>
      </c>
      <c r="V792" s="17" t="str">
        <f aca="false">IF($P792="","",IF($B$10=0,"",$P792/$B$10))</f>
        <v/>
      </c>
      <c r="W792" s="19" t="n">
        <f aca="false">IF($T792="",1000000000000000,$T792)</f>
        <v/>
      </c>
      <c r="XFC792" s="3"/>
    </row>
    <row r="793" s="21" collapsed="false" customFormat="true" customHeight="true" hidden="false" ht="28.5" outlineLevel="0">
      <c r="A793" s="16" t="str">
        <f aca="false">IF($T793="","",1+COUNTIF($W$15:$W$894,"&lt;"&amp;W793))</f>
        <v/>
      </c>
      <c r="B793" s="16" t="s">
        <v>12</v>
      </c>
      <c r="C793" s="16" t="s">
        <v>1507</v>
      </c>
      <c r="D793" s="20" t="s">
        <v>51</v>
      </c>
      <c r="E793" s="16" t="s">
        <v>26</v>
      </c>
      <c r="F793" s="16" t="s">
        <v>1508</v>
      </c>
      <c r="G793" s="17">
        <v>1835</v>
      </c>
      <c r="H793" s="17"/>
      <c r="I793" s="17"/>
      <c r="J793" s="17">
        <v>1825</v>
      </c>
      <c r="K793" s="17" t="n">
        <f aca="false">IF(AND(IFERROR(SEARCH("현대오일뱅크",$C793),0)&gt;0,IFERROR(SEARCH("직영",$C793),0)&gt;0),$B$13,0)</f>
        <v/>
      </c>
      <c r="L793" s="17" t="n">
        <f aca="false">IF($G793="","",$G793+$K793)</f>
        <v/>
      </c>
      <c r="M793" s="17" t="str">
        <f aca="false">IF($H793="","",$H793+$K793)</f>
        <v/>
      </c>
      <c r="N793" s="17" t="n">
        <f aca="false">IF($J793="","",$J793+$K793)</f>
        <v/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 t="str">
        <f aca="false">IF($B$10=0,"",IFERROR(IF($B$4&gt;0,IF($L793="",1/0,$L793*$B$4),0)+IF($B$5&gt;0,IF($M793="",1/0,$M793*$B$5),0)+IF($B$6&gt;0,IF($N793="",1/0,$N793*$B$6),0),""))</f>
        <v/>
      </c>
      <c r="Q793" s="17"/>
      <c r="R793" s="18" t="str">
        <f aca="false">IF($P793="","",IF($Q793="Y",IFERROR(VLOOKUP($B793,$C$4:$D$13,2,FALSE()),0),0))</f>
        <v/>
      </c>
      <c r="S793" s="17" t="str">
        <f aca="false">IF($P793="","",ROUNDDOWN($P793*$R793,0))</f>
        <v/>
      </c>
      <c r="T793" s="17" t="str">
        <f aca="false">IF($P793="","",$P793-$S793)</f>
        <v/>
      </c>
      <c r="U793" s="17" t="str">
        <f aca="false">IF($T793="","",IF($B$10=0,"",$T793/$B$10))</f>
        <v/>
      </c>
      <c r="V793" s="17" t="str">
        <f aca="false">IF($P793="","",IF($B$10=0,"",$P793/$B$10))</f>
        <v/>
      </c>
      <c r="W793" s="19" t="n">
        <f aca="false">IF($T793="",1000000000000000,$T793)</f>
        <v/>
      </c>
      <c r="XFB793" s="6"/>
      <c r="XFC793" s="3"/>
    </row>
    <row r="794" s="21" collapsed="false" customFormat="true" customHeight="true" hidden="false" ht="28.5" outlineLevel="0">
      <c r="A794" s="16" t="str">
        <f aca="false">IF($T794="","",1+COUNTIF($W$15:$W$894,"&lt;"&amp;W794))</f>
        <v/>
      </c>
      <c r="B794" s="16" t="s">
        <v>16</v>
      </c>
      <c r="C794" s="16" t="s">
        <v>1573</v>
      </c>
      <c r="D794" s="20" t="s">
        <v>86</v>
      </c>
      <c r="E794" s="16" t="s">
        <v>26</v>
      </c>
      <c r="F794" s="16" t="s">
        <v>1574</v>
      </c>
      <c r="G794" s="17">
        <v>1835</v>
      </c>
      <c r="H794" s="17"/>
      <c r="I794" s="17"/>
      <c r="J794" s="17">
        <v>1835</v>
      </c>
      <c r="K794" s="17" t="n">
        <f aca="false">IF(AND(IFERROR(SEARCH("현대오일뱅크",$C794),0)&gt;0,IFERROR(SEARCH("직영",$C794),0)&gt;0),$B$13,0)</f>
        <v/>
      </c>
      <c r="L794" s="17" t="n">
        <f aca="false">IF($G794="","",$G794+$K794)</f>
        <v/>
      </c>
      <c r="M794" s="17" t="str">
        <f aca="false">IF($H794="","",$H794+$K794)</f>
        <v/>
      </c>
      <c r="N794" s="17" t="n">
        <f aca="false">IF($J794="","",$J794+$K794)</f>
        <v/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 t="str">
        <f aca="false">IF($B$10=0,"",IFERROR(IF($B$4&gt;0,IF($L794="",1/0,$L794*$B$4),0)+IF($B$5&gt;0,IF($M794="",1/0,$M794*$B$5),0)+IF($B$6&gt;0,IF($N794="",1/0,$N794*$B$6),0),""))</f>
        <v/>
      </c>
      <c r="Q794" s="17"/>
      <c r="R794" s="18" t="str">
        <f aca="false">IF($P794="","",IF($Q794="Y",IFERROR(VLOOKUP($B794,$C$4:$D$13,2,FALSE()),0),0))</f>
        <v/>
      </c>
      <c r="S794" s="17" t="str">
        <f aca="false">IF($P794="","",ROUNDDOWN($P794*$R794,0))</f>
        <v/>
      </c>
      <c r="T794" s="17" t="str">
        <f aca="false">IF($P794="","",$P794-$S794)</f>
        <v/>
      </c>
      <c r="U794" s="17" t="str">
        <f aca="false">IF($T794="","",IF($B$10=0,"",$T794/$B$10))</f>
        <v/>
      </c>
      <c r="V794" s="17" t="str">
        <f aca="false">IF($P794="","",IF($B$10=0,"",$P794/$B$10))</f>
        <v/>
      </c>
      <c r="W794" s="19" t="n">
        <f aca="false">IF($T794="",1000000000000000,$T794)</f>
        <v/>
      </c>
      <c r="XFB794" s="6"/>
      <c r="XFC794" s="3"/>
    </row>
    <row r="795" s="21" collapsed="false" customFormat="true" customHeight="true" hidden="false" ht="28.5" outlineLevel="0">
      <c r="A795" s="16" t="str">
        <f aca="false">IF($T795="","",1+COUNTIF($W$15:$W$894,"&lt;"&amp;W795))</f>
        <v/>
      </c>
      <c r="B795" s="16" t="s">
        <v>10</v>
      </c>
      <c r="C795" s="16" t="s">
        <v>1575</v>
      </c>
      <c r="D795" s="16" t="s">
        <v>45</v>
      </c>
      <c r="E795" s="16" t="s">
        <v>63</v>
      </c>
      <c r="F795" s="16" t="s">
        <v>1576</v>
      </c>
      <c r="G795" s="17">
        <v>1835</v>
      </c>
      <c r="H795" s="17"/>
      <c r="I795" s="17"/>
      <c r="J795" s="17">
        <v>1835</v>
      </c>
      <c r="K795" s="17" t="n">
        <f aca="false">IF(AND(IFERROR(SEARCH("현대오일뱅크",$C795),0)&gt;0,IFERROR(SEARCH("직영",$C795),0)&gt;0),$B$13,0)</f>
        <v/>
      </c>
      <c r="L795" s="17" t="n">
        <f aca="false">IF($G795="","",$G795+$K795)</f>
        <v/>
      </c>
      <c r="M795" s="17" t="str">
        <f aca="false">IF($H795="","",$H795+$K795)</f>
        <v/>
      </c>
      <c r="N795" s="17" t="n">
        <f aca="false">IF($J795="","",$J795+$K795)</f>
        <v/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 t="str">
        <f aca="false">IF($B$10=0,"",IFERROR(IF($B$4&gt;0,IF($L795="",1/0,$L795*$B$4),0)+IF($B$5&gt;0,IF($M795="",1/0,$M795*$B$5),0)+IF($B$6&gt;0,IF($N795="",1/0,$N795*$B$6),0),""))</f>
        <v/>
      </c>
      <c r="Q795" s="17"/>
      <c r="R795" s="18" t="str">
        <f aca="false">IF($P795="","",IF($Q795="Y",IFERROR(VLOOKUP($B795,$C$4:$D$13,2,FALSE()),0),0))</f>
        <v/>
      </c>
      <c r="S795" s="17" t="str">
        <f aca="false">IF($P795="","",ROUNDDOWN($P795*$R795,0))</f>
        <v/>
      </c>
      <c r="T795" s="17" t="str">
        <f aca="false">IF($P795="","",$P795-$S795)</f>
        <v/>
      </c>
      <c r="U795" s="17" t="str">
        <f aca="false">IF($T795="","",IF($B$10=0,"",$T795/$B$10))</f>
        <v/>
      </c>
      <c r="V795" s="17" t="str">
        <f aca="false">IF($P795="","",IF($B$10=0,"",$P795/$B$10))</f>
        <v/>
      </c>
      <c r="W795" s="19" t="n">
        <f aca="false">IF($T795="",1000000000000000,$T795)</f>
        <v/>
      </c>
      <c r="XFB795" s="6"/>
      <c r="XFC795" s="3"/>
    </row>
    <row r="796" s="6" collapsed="false" customFormat="true" customHeight="true" hidden="false" ht="28.6" outlineLevel="0">
      <c r="A796" s="16" t="str">
        <f aca="false">IF($T796="","",1+COUNTIF($W$15:$W$894,"&lt;"&amp;W796))</f>
        <v/>
      </c>
      <c r="B796" s="16" t="s">
        <v>14</v>
      </c>
      <c r="C796" s="16" t="s">
        <v>1375</v>
      </c>
      <c r="D796" s="16" t="s">
        <v>95</v>
      </c>
      <c r="E796" s="16" t="s">
        <v>63</v>
      </c>
      <c r="F796" s="16" t="s">
        <v>1577</v>
      </c>
      <c r="G796" s="17">
        <v>1837</v>
      </c>
      <c r="H796" s="17"/>
      <c r="I796" s="17"/>
      <c r="J796" s="17">
        <v>1817</v>
      </c>
      <c r="K796" s="17" t="n">
        <f aca="false">IF(AND(IFERROR(SEARCH("현대오일뱅크",$C796),0)&gt;0,IFERROR(SEARCH("직영",$C796),0)&gt;0),$B$13,0)</f>
        <v/>
      </c>
      <c r="L796" s="17" t="n">
        <f aca="false">IF($G796="","",$G796+$K796)</f>
        <v/>
      </c>
      <c r="M796" s="17" t="str">
        <f aca="false">IF($H796="","",$H796+$K796)</f>
        <v/>
      </c>
      <c r="N796" s="17" t="n">
        <f aca="false">IF($J796="","",$J796+$K796)</f>
        <v/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 t="str">
        <f aca="false">IF($B$10=0,"",IFERROR(IF($B$4&gt;0,IF($L796="",1/0,$L796*$B$4),0)+IF($B$5&gt;0,IF($M796="",1/0,$M796*$B$5),0)+IF($B$6&gt;0,IF($N796="",1/0,$N796*$B$6),0),""))</f>
        <v/>
      </c>
      <c r="Q796" s="17"/>
      <c r="R796" s="18" t="str">
        <f aca="false">IF($P796="","",IF($Q796="Y",IFERROR(VLOOKUP($B796,$C$4:$D$13,2,FALSE()),0),0))</f>
        <v/>
      </c>
      <c r="S796" s="17" t="str">
        <f aca="false">IF($P796="","",ROUNDDOWN($P796*$R796,0))</f>
        <v/>
      </c>
      <c r="T796" s="17" t="str">
        <f aca="false">IF($P796="","",$P796-$S796)</f>
        <v/>
      </c>
      <c r="U796" s="17" t="str">
        <f aca="false">IF($T796="","",IF($B$10=0,"",$T796/$B$10))</f>
        <v/>
      </c>
      <c r="V796" s="17" t="str">
        <f aca="false">IF($P796="","",IF($B$10=0,"",$P796/$B$10))</f>
        <v/>
      </c>
      <c r="W796" s="19" t="n">
        <f aca="false">IF($T796="",1000000000000000,$T796)</f>
        <v/>
      </c>
      <c r="XFC796" s="3"/>
    </row>
    <row r="797" s="6" collapsed="false" customFormat="true" customHeight="true" hidden="false" ht="28.6" outlineLevel="0">
      <c r="A797" s="16" t="str">
        <f aca="false">IF($T797="","",1+COUNTIF($W$15:$W$894,"&lt;"&amp;W797))</f>
        <v/>
      </c>
      <c r="B797" s="16" t="s">
        <v>12</v>
      </c>
      <c r="C797" s="16" t="s">
        <v>1578</v>
      </c>
      <c r="D797" s="20" t="s">
        <v>95</v>
      </c>
      <c r="E797" s="16" t="s">
        <v>26</v>
      </c>
      <c r="F797" s="16" t="s">
        <v>1579</v>
      </c>
      <c r="G797" s="17">
        <v>1837</v>
      </c>
      <c r="H797" s="17"/>
      <c r="I797" s="17"/>
      <c r="J797" s="17">
        <v>1837</v>
      </c>
      <c r="K797" s="17" t="n">
        <f aca="false">IF(AND(IFERROR(SEARCH("현대오일뱅크",$C797),0)&gt;0,IFERROR(SEARCH("직영",$C797),0)&gt;0),$B$13,0)</f>
        <v/>
      </c>
      <c r="L797" s="17" t="n">
        <f aca="false">IF($G797="","",$G797+$K797)</f>
        <v/>
      </c>
      <c r="M797" s="17" t="str">
        <f aca="false">IF($H797="","",$H797+$K797)</f>
        <v/>
      </c>
      <c r="N797" s="17" t="n">
        <f aca="false">IF($J797="","",$J797+$K797)</f>
        <v/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 t="str">
        <f aca="false">IF($B$10=0,"",IFERROR(IF($B$4&gt;0,IF($L797="",1/0,$L797*$B$4),0)+IF($B$5&gt;0,IF($M797="",1/0,$M797*$B$5),0)+IF($B$6&gt;0,IF($N797="",1/0,$N797*$B$6),0),""))</f>
        <v/>
      </c>
      <c r="Q797" s="17"/>
      <c r="R797" s="18" t="str">
        <f aca="false">IF($P797="","",IF($Q797="Y",IFERROR(VLOOKUP($B797,$C$4:$D$13,2,FALSE()),0),0))</f>
        <v/>
      </c>
      <c r="S797" s="17" t="str">
        <f aca="false">IF($P797="","",ROUNDDOWN($P797*$R797,0))</f>
        <v/>
      </c>
      <c r="T797" s="17" t="str">
        <f aca="false">IF($P797="","",$P797-$S797)</f>
        <v/>
      </c>
      <c r="U797" s="17" t="str">
        <f aca="false">IF($T797="","",IF($B$10=0,"",$T797/$B$10))</f>
        <v/>
      </c>
      <c r="V797" s="17" t="str">
        <f aca="false">IF($P797="","",IF($B$10=0,"",$P797/$B$10))</f>
        <v/>
      </c>
      <c r="W797" s="19" t="n">
        <f aca="false">IF($T797="",1000000000000000,$T797)</f>
        <v/>
      </c>
      <c r="XFC797" s="3"/>
    </row>
    <row r="798" s="6" collapsed="false" customFormat="true" customHeight="true" hidden="false" ht="28.6" outlineLevel="0">
      <c r="A798" s="16" t="str">
        <f aca="false">IF($T798="","",1+COUNTIF($W$15:$W$894,"&lt;"&amp;W798))</f>
        <v/>
      </c>
      <c r="B798" s="16" t="s">
        <v>12</v>
      </c>
      <c r="C798" s="16" t="s">
        <v>1580</v>
      </c>
      <c r="D798" s="20" t="s">
        <v>95</v>
      </c>
      <c r="E798" s="16" t="s">
        <v>26</v>
      </c>
      <c r="F798" s="16" t="s">
        <v>1581</v>
      </c>
      <c r="G798" s="17">
        <v>1838</v>
      </c>
      <c r="H798" s="17"/>
      <c r="I798" s="17"/>
      <c r="J798" s="17">
        <v>1794</v>
      </c>
      <c r="K798" s="17" t="n">
        <f aca="false">IF(AND(IFERROR(SEARCH("현대오일뱅크",$C798),0)&gt;0,IFERROR(SEARCH("직영",$C798),0)&gt;0),$B$13,0)</f>
        <v/>
      </c>
      <c r="L798" s="17" t="n">
        <f aca="false">IF($G798="","",$G798+$K798)</f>
        <v/>
      </c>
      <c r="M798" s="17" t="str">
        <f aca="false">IF($H798="","",$H798+$K798)</f>
        <v/>
      </c>
      <c r="N798" s="17" t="n">
        <f aca="false">IF($J798="","",$J798+$K798)</f>
        <v/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 t="str">
        <f aca="false">IF($B$10=0,"",IFERROR(IF($B$4&gt;0,IF($L798="",1/0,$L798*$B$4),0)+IF($B$5&gt;0,IF($M798="",1/0,$M798*$B$5),0)+IF($B$6&gt;0,IF($N798="",1/0,$N798*$B$6),0),""))</f>
        <v/>
      </c>
      <c r="Q798" s="17"/>
      <c r="R798" s="18" t="str">
        <f aca="false">IF($P798="","",IF($Q798="Y",IFERROR(VLOOKUP($B798,$C$4:$D$13,2,FALSE()),0),0))</f>
        <v/>
      </c>
      <c r="S798" s="17" t="str">
        <f aca="false">IF($P798="","",ROUNDDOWN($P798*$R798,0))</f>
        <v/>
      </c>
      <c r="T798" s="17" t="str">
        <f aca="false">IF($P798="","",$P798-$S798)</f>
        <v/>
      </c>
      <c r="U798" s="17" t="str">
        <f aca="false">IF($T798="","",IF($B$10=0,"",$T798/$B$10))</f>
        <v/>
      </c>
      <c r="V798" s="17" t="str">
        <f aca="false">IF($P798="","",IF($B$10=0,"",$P798/$B$10))</f>
        <v/>
      </c>
      <c r="W798" s="19" t="n">
        <f aca="false">IF($T798="",1000000000000000,$T798)</f>
        <v/>
      </c>
      <c r="XFC798" s="3"/>
    </row>
    <row r="799" s="21" collapsed="false" customFormat="true" customHeight="true" hidden="false" ht="28.5" outlineLevel="0">
      <c r="A799" s="16" t="str">
        <f aca="false">IF($T799="","",1+COUNTIF($W$15:$W$894,"&lt;"&amp;W799))</f>
        <v/>
      </c>
      <c r="B799" s="16" t="s">
        <v>8</v>
      </c>
      <c r="C799" s="16" t="s">
        <v>413</v>
      </c>
      <c r="D799" s="16" t="s">
        <v>95</v>
      </c>
      <c r="E799" s="16" t="s">
        <v>63</v>
      </c>
      <c r="F799" s="16" t="s">
        <v>1582</v>
      </c>
      <c r="G799" s="17">
        <v>1838</v>
      </c>
      <c r="H799" s="17"/>
      <c r="I799" s="17"/>
      <c r="J799" s="17">
        <v>1808</v>
      </c>
      <c r="K799" s="17" t="n">
        <f aca="false">IF(AND(IFERROR(SEARCH("현대오일뱅크",$C799),0)&gt;0,IFERROR(SEARCH("직영",$C799),0)&gt;0),$B$13,0)</f>
        <v/>
      </c>
      <c r="L799" s="17" t="n">
        <f aca="false">IF($G799="","",$G799+$K799)</f>
        <v/>
      </c>
      <c r="M799" s="17" t="str">
        <f aca="false">IF($H799="","",$H799+$K799)</f>
        <v/>
      </c>
      <c r="N799" s="17" t="n">
        <f aca="false">IF($J799="","",$J799+$K799)</f>
        <v/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 t="str">
        <f aca="false">IF($B$10=0,"",IFERROR(IF($B$4&gt;0,IF($L799="",1/0,$L799*$B$4),0)+IF($B$5&gt;0,IF($M799="",1/0,$M799*$B$5),0)+IF($B$6&gt;0,IF($N799="",1/0,$N799*$B$6),0),""))</f>
        <v/>
      </c>
      <c r="Q799" s="17"/>
      <c r="R799" s="18" t="str">
        <f aca="false">IF($P799="","",IF($Q799="Y",IFERROR(VLOOKUP($B799,$C$4:$D$13,2,FALSE()),0),0))</f>
        <v/>
      </c>
      <c r="S799" s="17" t="str">
        <f aca="false">IF($P799="","",ROUNDDOWN($P799*$R799,0))</f>
        <v/>
      </c>
      <c r="T799" s="17" t="str">
        <f aca="false">IF($P799="","",$P799-$S799)</f>
        <v/>
      </c>
      <c r="U799" s="17" t="str">
        <f aca="false">IF($T799="","",IF($B$10=0,"",$T799/$B$10))</f>
        <v/>
      </c>
      <c r="V799" s="17" t="str">
        <f aca="false">IF($P799="","",IF($B$10=0,"",$P799/$B$10))</f>
        <v/>
      </c>
      <c r="W799" s="19" t="n">
        <f aca="false">IF($T799="",1000000000000000,$T799)</f>
        <v/>
      </c>
      <c r="XFB799" s="6"/>
      <c r="XFC799" s="3"/>
    </row>
    <row r="800" s="6" collapsed="false" customFormat="true" customHeight="true" hidden="false" ht="28.6" outlineLevel="0">
      <c r="A800" s="16" t="str">
        <f aca="false">IF($T800="","",1+COUNTIF($W$15:$W$894,"&lt;"&amp;W800))</f>
        <v/>
      </c>
      <c r="B800" s="16" t="s">
        <v>12</v>
      </c>
      <c r="C800" s="16" t="s">
        <v>1583</v>
      </c>
      <c r="D800" s="20" t="s">
        <v>45</v>
      </c>
      <c r="E800" s="16" t="s">
        <v>26</v>
      </c>
      <c r="F800" s="16" t="s">
        <v>1584</v>
      </c>
      <c r="G800" s="17">
        <v>1838</v>
      </c>
      <c r="H800" s="17"/>
      <c r="I800" s="17"/>
      <c r="J800" s="17">
        <v>1818</v>
      </c>
      <c r="K800" s="17" t="n">
        <f aca="false">IF(AND(IFERROR(SEARCH("현대오일뱅크",$C800),0)&gt;0,IFERROR(SEARCH("직영",$C800),0)&gt;0),$B$13,0)</f>
        <v/>
      </c>
      <c r="L800" s="17" t="n">
        <f aca="false">IF($G800="","",$G800+$K800)</f>
        <v/>
      </c>
      <c r="M800" s="17" t="str">
        <f aca="false">IF($H800="","",$H800+$K800)</f>
        <v/>
      </c>
      <c r="N800" s="17" t="n">
        <f aca="false">IF($J800="","",$J800+$K800)</f>
        <v/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 t="str">
        <f aca="false">IF($B$10=0,"",IFERROR(IF($B$4&gt;0,IF($L800="",1/0,$L800*$B$4),0)+IF($B$5&gt;0,IF($M800="",1/0,$M800*$B$5),0)+IF($B$6&gt;0,IF($N800="",1/0,$N800*$B$6),0),""))</f>
        <v/>
      </c>
      <c r="Q800" s="17"/>
      <c r="R800" s="18" t="str">
        <f aca="false">IF($P800="","",IF($Q800="Y",IFERROR(VLOOKUP($B800,$C$4:$D$13,2,FALSE()),0),0))</f>
        <v/>
      </c>
      <c r="S800" s="17" t="str">
        <f aca="false">IF($P800="","",ROUNDDOWN($P800*$R800,0))</f>
        <v/>
      </c>
      <c r="T800" s="17" t="str">
        <f aca="false">IF($P800="","",$P800-$S800)</f>
        <v/>
      </c>
      <c r="U800" s="17" t="str">
        <f aca="false">IF($T800="","",IF($B$10=0,"",$T800/$B$10))</f>
        <v/>
      </c>
      <c r="V800" s="17" t="str">
        <f aca="false">IF($P800="","",IF($B$10=0,"",$P800/$B$10))</f>
        <v/>
      </c>
      <c r="W800" s="19" t="n">
        <f aca="false">IF($T800="",1000000000000000,$T800)</f>
        <v/>
      </c>
      <c r="XFC800" s="3"/>
    </row>
    <row r="801" s="6" collapsed="false" customFormat="true" customHeight="true" hidden="false" ht="28.6" outlineLevel="0">
      <c r="A801" s="16" t="str">
        <f aca="false">IF($T801="","",1+COUNTIF($W$15:$W$894,"&lt;"&amp;W801))</f>
        <v/>
      </c>
      <c r="B801" s="16" t="s">
        <v>14</v>
      </c>
      <c r="C801" s="16" t="s">
        <v>1585</v>
      </c>
      <c r="D801" s="20" t="s">
        <v>86</v>
      </c>
      <c r="E801" s="16" t="s">
        <v>26</v>
      </c>
      <c r="F801" s="16" t="s">
        <v>1586</v>
      </c>
      <c r="G801" s="17">
        <v>1838</v>
      </c>
      <c r="H801" s="17"/>
      <c r="I801" s="17"/>
      <c r="J801" s="17">
        <v>1838</v>
      </c>
      <c r="K801" s="17" t="n">
        <f aca="false">IF(AND(IFERROR(SEARCH("현대오일뱅크",$C801),0)&gt;0,IFERROR(SEARCH("직영",$C801),0)&gt;0),$B$13,0)</f>
        <v/>
      </c>
      <c r="L801" s="17" t="n">
        <f aca="false">IF($G801="","",$G801+$K801)</f>
        <v/>
      </c>
      <c r="M801" s="17" t="str">
        <f aca="false">IF($H801="","",$H801+$K801)</f>
        <v/>
      </c>
      <c r="N801" s="17" t="n">
        <f aca="false">IF($J801="","",$J801+$K801)</f>
        <v/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 t="str">
        <f aca="false">IF($B$10=0,"",IFERROR(IF($B$4&gt;0,IF($L801="",1/0,$L801*$B$4),0)+IF($B$5&gt;0,IF($M801="",1/0,$M801*$B$5),0)+IF($B$6&gt;0,IF($N801="",1/0,$N801*$B$6),0),""))</f>
        <v/>
      </c>
      <c r="Q801" s="17"/>
      <c r="R801" s="18" t="str">
        <f aca="false">IF($P801="","",IF($Q801="Y",IFERROR(VLOOKUP($B801,$C$4:$D$13,2,FALSE()),0),0))</f>
        <v/>
      </c>
      <c r="S801" s="17" t="str">
        <f aca="false">IF($P801="","",ROUNDDOWN($P801*$R801,0))</f>
        <v/>
      </c>
      <c r="T801" s="17" t="str">
        <f aca="false">IF($P801="","",$P801-$S801)</f>
        <v/>
      </c>
      <c r="U801" s="17" t="str">
        <f aca="false">IF($T801="","",IF($B$10=0,"",$T801/$B$10))</f>
        <v/>
      </c>
      <c r="V801" s="17" t="str">
        <f aca="false">IF($P801="","",IF($B$10=0,"",$P801/$B$10))</f>
        <v/>
      </c>
      <c r="W801" s="19" t="n">
        <f aca="false">IF($T801="",1000000000000000,$T801)</f>
        <v/>
      </c>
      <c r="XFC801" s="3"/>
    </row>
    <row r="802" s="6" collapsed="false" customFormat="true" customHeight="true" hidden="false" ht="28.6" outlineLevel="0">
      <c r="A802" s="16" t="str">
        <f aca="false">IF($T802="","",1+COUNTIF($W$15:$W$894,"&lt;"&amp;W802))</f>
        <v/>
      </c>
      <c r="B802" s="16" t="s">
        <v>12</v>
      </c>
      <c r="C802" s="16" t="s">
        <v>1714</v>
      </c>
      <c r="D802" s="20" t="s">
        <v>500</v>
      </c>
      <c r="E802" s="16" t="s">
        <v>63</v>
      </c>
      <c r="F802" s="16" t="s">
        <v>1715</v>
      </c>
      <c r="G802" s="17">
        <v>1838</v>
      </c>
      <c r="H802" s="17"/>
      <c r="I802" s="17"/>
      <c r="J802" s="17">
        <v>1848</v>
      </c>
      <c r="K802" s="17" t="n">
        <f aca="false">IF(AND(IFERROR(SEARCH("현대오일뱅크",$C802),0)&gt;0,IFERROR(SEARCH("직영",$C802),0)&gt;0),$B$13,0)</f>
        <v/>
      </c>
      <c r="L802" s="17" t="n">
        <f aca="false">IF($G802="","",$G802+$K802)</f>
        <v/>
      </c>
      <c r="M802" s="17" t="str">
        <f aca="false">IF($H802="","",$H802+$K802)</f>
        <v/>
      </c>
      <c r="N802" s="17" t="n">
        <f aca="false">IF($J802="","",$J802+$K802)</f>
        <v/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 t="str">
        <f aca="false">IF($B$10=0,"",IFERROR(IF($B$4&gt;0,IF($L802="",1/0,$L802*$B$4),0)+IF($B$5&gt;0,IF($M802="",1/0,$M802*$B$5),0)+IF($B$6&gt;0,IF($N802="",1/0,$N802*$B$6),0),""))</f>
        <v/>
      </c>
      <c r="Q802" s="17"/>
      <c r="R802" s="18" t="str">
        <f aca="false">IF($P802="","",IF($Q802="Y",IFERROR(VLOOKUP($B802,$C$4:$D$13,2,FALSE()),0),0))</f>
        <v/>
      </c>
      <c r="S802" s="17" t="str">
        <f aca="false">IF($P802="","",ROUNDDOWN($P802*$R802,0))</f>
        <v/>
      </c>
      <c r="T802" s="17" t="str">
        <f aca="false">IF($P802="","",$P802-$S802)</f>
        <v/>
      </c>
      <c r="U802" s="17" t="str">
        <f aca="false">IF($T802="","",IF($B$10=0,"",$T802/$B$10))</f>
        <v/>
      </c>
      <c r="V802" s="17" t="str">
        <f aca="false">IF($P802="","",IF($B$10=0,"",$P802/$B$10))</f>
        <v/>
      </c>
      <c r="W802" s="19" t="n">
        <f aca="false">IF($T802="",1000000000000000,$T802)</f>
        <v/>
      </c>
      <c r="XFC802" s="3"/>
    </row>
    <row r="803" s="6" collapsed="false" customFormat="true" customHeight="true" hidden="false" ht="28.6" outlineLevel="0">
      <c r="A803" s="16" t="str">
        <f aca="false">IF($T803="","",1+COUNTIF($W$15:$W$894,"&lt;"&amp;W803))</f>
        <v/>
      </c>
      <c r="B803" s="16" t="s">
        <v>12</v>
      </c>
      <c r="C803" s="16" t="s">
        <v>1716</v>
      </c>
      <c r="D803" s="20" t="s">
        <v>500</v>
      </c>
      <c r="E803" s="16" t="s">
        <v>63</v>
      </c>
      <c r="F803" s="16" t="s">
        <v>1717</v>
      </c>
      <c r="G803" s="17">
        <v>1838</v>
      </c>
      <c r="H803" s="17"/>
      <c r="I803" s="17"/>
      <c r="J803" s="17">
        <v>1848</v>
      </c>
      <c r="K803" s="17" t="n">
        <f aca="false">IF(AND(IFERROR(SEARCH("현대오일뱅크",$C803),0)&gt;0,IFERROR(SEARCH("직영",$C803),0)&gt;0),$B$13,0)</f>
        <v/>
      </c>
      <c r="L803" s="17" t="n">
        <f aca="false">IF($G803="","",$G803+$K803)</f>
        <v/>
      </c>
      <c r="M803" s="17" t="str">
        <f aca="false">IF($H803="","",$H803+$K803)</f>
        <v/>
      </c>
      <c r="N803" s="17" t="n">
        <f aca="false">IF($J803="","",$J803+$K803)</f>
        <v/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 t="str">
        <f aca="false">IF($B$10=0,"",IFERROR(IF($B$4&gt;0,IF($L803="",1/0,$L803*$B$4),0)+IF($B$5&gt;0,IF($M803="",1/0,$M803*$B$5),0)+IF($B$6&gt;0,IF($N803="",1/0,$N803*$B$6),0),""))</f>
        <v/>
      </c>
      <c r="Q803" s="17"/>
      <c r="R803" s="18" t="str">
        <f aca="false">IF($P803="","",IF($Q803="Y",IFERROR(VLOOKUP($B803,$C$4:$D$13,2,FALSE()),0),0))</f>
        <v/>
      </c>
      <c r="S803" s="17" t="str">
        <f aca="false">IF($P803="","",ROUNDDOWN($P803*$R803,0))</f>
        <v/>
      </c>
      <c r="T803" s="17" t="str">
        <f aca="false">IF($P803="","",$P803-$S803)</f>
        <v/>
      </c>
      <c r="U803" s="17" t="str">
        <f aca="false">IF($T803="","",IF($B$10=0,"",$T803/$B$10))</f>
        <v/>
      </c>
      <c r="V803" s="17" t="str">
        <f aca="false">IF($P803="","",IF($B$10=0,"",$P803/$B$10))</f>
        <v/>
      </c>
      <c r="W803" s="19" t="n">
        <f aca="false">IF($T803="",1000000000000000,$T803)</f>
        <v/>
      </c>
      <c r="XFC803" s="3"/>
    </row>
    <row r="804" s="6" collapsed="false" customFormat="true" customHeight="true" hidden="false" ht="28.6" outlineLevel="0">
      <c r="A804" s="16" t="str">
        <f aca="false">IF($T804="","",1+COUNTIF($W$15:$W$894,"&lt;"&amp;W804))</f>
        <v/>
      </c>
      <c r="B804" s="16" t="s">
        <v>12</v>
      </c>
      <c r="C804" s="16" t="s">
        <v>1718</v>
      </c>
      <c r="D804" s="20" t="s">
        <v>500</v>
      </c>
      <c r="E804" s="16" t="s">
        <v>26</v>
      </c>
      <c r="F804" s="16" t="s">
        <v>1719</v>
      </c>
      <c r="G804" s="17">
        <v>1838</v>
      </c>
      <c r="H804" s="17"/>
      <c r="I804" s="17"/>
      <c r="J804" s="17">
        <v>1848</v>
      </c>
      <c r="K804" s="17" t="n">
        <f aca="false">IF(AND(IFERROR(SEARCH("현대오일뱅크",$C804),0)&gt;0,IFERROR(SEARCH("직영",$C804),0)&gt;0),$B$13,0)</f>
        <v/>
      </c>
      <c r="L804" s="17" t="n">
        <f aca="false">IF($G804="","",$G804+$K804)</f>
        <v/>
      </c>
      <c r="M804" s="17" t="str">
        <f aca="false">IF($H804="","",$H804+$K804)</f>
        <v/>
      </c>
      <c r="N804" s="17" t="n">
        <f aca="false">IF($J804="","",$J804+$K804)</f>
        <v/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 t="str">
        <f aca="false">IF($B$10=0,"",IFERROR(IF($B$4&gt;0,IF($L804="",1/0,$L804*$B$4),0)+IF($B$5&gt;0,IF($M804="",1/0,$M804*$B$5),0)+IF($B$6&gt;0,IF($N804="",1/0,$N804*$B$6),0),""))</f>
        <v/>
      </c>
      <c r="Q804" s="17"/>
      <c r="R804" s="18" t="str">
        <f aca="false">IF($P804="","",IF($Q804="Y",IFERROR(VLOOKUP($B804,$C$4:$D$13,2,FALSE()),0),0))</f>
        <v/>
      </c>
      <c r="S804" s="17" t="str">
        <f aca="false">IF($P804="","",ROUNDDOWN($P804*$R804,0))</f>
        <v/>
      </c>
      <c r="T804" s="17" t="str">
        <f aca="false">IF($P804="","",$P804-$S804)</f>
        <v/>
      </c>
      <c r="U804" s="17" t="str">
        <f aca="false">IF($T804="","",IF($B$10=0,"",$T804/$B$10))</f>
        <v/>
      </c>
      <c r="V804" s="17" t="str">
        <f aca="false">IF($P804="","",IF($B$10=0,"",$P804/$B$10))</f>
        <v/>
      </c>
      <c r="W804" s="19" t="n">
        <f aca="false">IF($T804="",1000000000000000,$T804)</f>
        <v/>
      </c>
      <c r="XFC804" s="3"/>
    </row>
    <row r="805" s="21" collapsed="false" customFormat="true" customHeight="true" hidden="false" ht="28.5" outlineLevel="0">
      <c r="A805" s="16" t="str">
        <f aca="false">IF($T805="","",1+COUNTIF($W$15:$W$894,"&lt;"&amp;W805))</f>
        <v/>
      </c>
      <c r="B805" s="16" t="s">
        <v>12</v>
      </c>
      <c r="C805" s="16" t="s">
        <v>1587</v>
      </c>
      <c r="D805" s="20" t="s">
        <v>500</v>
      </c>
      <c r="E805" s="16" t="s">
        <v>26</v>
      </c>
      <c r="F805" s="16" t="s">
        <v>1588</v>
      </c>
      <c r="G805" s="17">
        <v>1838</v>
      </c>
      <c r="H805" s="17"/>
      <c r="I805" s="17"/>
      <c r="J805" s="17">
        <v>1858</v>
      </c>
      <c r="K805" s="17" t="n">
        <f aca="false">IF(AND(IFERROR(SEARCH("현대오일뱅크",$C805),0)&gt;0,IFERROR(SEARCH("직영",$C805),0)&gt;0),$B$13,0)</f>
        <v/>
      </c>
      <c r="L805" s="17" t="n">
        <f aca="false">IF($G805="","",$G805+$K805)</f>
        <v/>
      </c>
      <c r="M805" s="17" t="str">
        <f aca="false">IF($H805="","",$H805+$K805)</f>
        <v/>
      </c>
      <c r="N805" s="17" t="n">
        <f aca="false">IF($J805="","",$J805+$K805)</f>
        <v/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 t="str">
        <f aca="false">IF($B$10=0,"",IFERROR(IF($B$4&gt;0,IF($L805="",1/0,$L805*$B$4),0)+IF($B$5&gt;0,IF($M805="",1/0,$M805*$B$5),0)+IF($B$6&gt;0,IF($N805="",1/0,$N805*$B$6),0),""))</f>
        <v/>
      </c>
      <c r="Q805" s="17"/>
      <c r="R805" s="18" t="str">
        <f aca="false">IF($P805="","",IF($Q805="Y",IFERROR(VLOOKUP($B805,$C$4:$D$13,2,FALSE()),0),0))</f>
        <v/>
      </c>
      <c r="S805" s="17" t="str">
        <f aca="false">IF($P805="","",ROUNDDOWN($P805*$R805,0))</f>
        <v/>
      </c>
      <c r="T805" s="17" t="str">
        <f aca="false">IF($P805="","",$P805-$S805)</f>
        <v/>
      </c>
      <c r="U805" s="17" t="str">
        <f aca="false">IF($T805="","",IF($B$10=0,"",$T805/$B$10))</f>
        <v/>
      </c>
      <c r="V805" s="17" t="str">
        <f aca="false">IF($P805="","",IF($B$10=0,"",$P805/$B$10))</f>
        <v/>
      </c>
      <c r="W805" s="19" t="n">
        <f aca="false">IF($T805="",1000000000000000,$T805)</f>
        <v/>
      </c>
      <c r="XFB805" s="6"/>
      <c r="XFC805" s="3"/>
    </row>
    <row r="806" s="21" collapsed="false" customFormat="true" customHeight="true" hidden="false" ht="28.5" outlineLevel="0">
      <c r="A806" s="16" t="str">
        <f aca="false">IF($T806="","",1+COUNTIF($W$15:$W$894,"&lt;"&amp;W806))</f>
        <v/>
      </c>
      <c r="B806" s="16" t="s">
        <v>10</v>
      </c>
      <c r="C806" s="16" t="s">
        <v>1589</v>
      </c>
      <c r="D806" s="20" t="s">
        <v>86</v>
      </c>
      <c r="E806" s="16" t="s">
        <v>63</v>
      </c>
      <c r="F806" s="16" t="s">
        <v>1590</v>
      </c>
      <c r="G806" s="17">
        <v>1839</v>
      </c>
      <c r="H806" s="17"/>
      <c r="I806" s="17"/>
      <c r="J806" s="17">
        <v>1798</v>
      </c>
      <c r="K806" s="17" t="n">
        <f aca="false">IF(AND(IFERROR(SEARCH("현대오일뱅크",$C806),0)&gt;0,IFERROR(SEARCH("직영",$C806),0)&gt;0),$B$13,0)</f>
        <v/>
      </c>
      <c r="L806" s="17" t="n">
        <f aca="false">IF($G806="","",$G806+$K806)</f>
        <v/>
      </c>
      <c r="M806" s="17" t="str">
        <f aca="false">IF($H806="","",$H806+$K806)</f>
        <v/>
      </c>
      <c r="N806" s="17" t="n">
        <f aca="false">IF($J806="","",$J806+$K806)</f>
        <v/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 t="str">
        <f aca="false">IF($B$10=0,"",IFERROR(IF($B$4&gt;0,IF($L806="",1/0,$L806*$B$4),0)+IF($B$5&gt;0,IF($M806="",1/0,$M806*$B$5),0)+IF($B$6&gt;0,IF($N806="",1/0,$N806*$B$6),0),""))</f>
        <v/>
      </c>
      <c r="Q806" s="17"/>
      <c r="R806" s="18" t="str">
        <f aca="false">IF($P806="","",IF($Q806="Y",IFERROR(VLOOKUP($B806,$C$4:$D$13,2,FALSE()),0),0))</f>
        <v/>
      </c>
      <c r="S806" s="17" t="str">
        <f aca="false">IF($P806="","",ROUNDDOWN($P806*$R806,0))</f>
        <v/>
      </c>
      <c r="T806" s="17" t="str">
        <f aca="false">IF($P806="","",$P806-$S806)</f>
        <v/>
      </c>
      <c r="U806" s="17" t="str">
        <f aca="false">IF($T806="","",IF($B$10=0,"",$T806/$B$10))</f>
        <v/>
      </c>
      <c r="V806" s="17" t="str">
        <f aca="false">IF($P806="","",IF($B$10=0,"",$P806/$B$10))</f>
        <v/>
      </c>
      <c r="W806" s="19" t="n">
        <f aca="false">IF($T806="",1000000000000000,$T806)</f>
        <v/>
      </c>
      <c r="XFB806" s="6"/>
      <c r="XFC806" s="3"/>
    </row>
    <row r="807" s="6" collapsed="false" customFormat="true" customHeight="true" hidden="false" ht="28.6" outlineLevel="0">
      <c r="A807" s="16" t="str">
        <f aca="false">IF($T807="","",1+COUNTIF($W$15:$W$894,"&lt;"&amp;W807))</f>
        <v/>
      </c>
      <c r="B807" s="16" t="s">
        <v>14</v>
      </c>
      <c r="C807" s="16" t="s">
        <v>1591</v>
      </c>
      <c r="D807" s="16" t="s">
        <v>500</v>
      </c>
      <c r="E807" s="16" t="s">
        <v>63</v>
      </c>
      <c r="F807" s="16" t="s">
        <v>1592</v>
      </c>
      <c r="G807" s="17">
        <v>1839</v>
      </c>
      <c r="H807" s="17"/>
      <c r="I807" s="17"/>
      <c r="J807" s="17">
        <v>1829</v>
      </c>
      <c r="K807" s="17" t="n">
        <f aca="false">IF(AND(IFERROR(SEARCH("현대오일뱅크",$C807),0)&gt;0,IFERROR(SEARCH("직영",$C807),0)&gt;0),$B$13,0)</f>
        <v/>
      </c>
      <c r="L807" s="17" t="n">
        <f aca="false">IF($G807="","",$G807+$K807)</f>
        <v/>
      </c>
      <c r="M807" s="17" t="str">
        <f aca="false">IF($H807="","",$H807+$K807)</f>
        <v/>
      </c>
      <c r="N807" s="17" t="n">
        <f aca="false">IF($J807="","",$J807+$K807)</f>
        <v/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 t="str">
        <f aca="false">IF($B$10=0,"",IFERROR(IF($B$4&gt;0,IF($L807="",1/0,$L807*$B$4),0)+IF($B$5&gt;0,IF($M807="",1/0,$M807*$B$5),0)+IF($B$6&gt;0,IF($N807="",1/0,$N807*$B$6),0),""))</f>
        <v/>
      </c>
      <c r="Q807" s="17"/>
      <c r="R807" s="18" t="str">
        <f aca="false">IF($P807="","",IF($Q807="Y",IFERROR(VLOOKUP($B807,$C$4:$D$13,2,FALSE()),0),0))</f>
        <v/>
      </c>
      <c r="S807" s="17" t="str">
        <f aca="false">IF($P807="","",ROUNDDOWN($P807*$R807,0))</f>
        <v/>
      </c>
      <c r="T807" s="17" t="str">
        <f aca="false">IF($P807="","",$P807-$S807)</f>
        <v/>
      </c>
      <c r="U807" s="17" t="str">
        <f aca="false">IF($T807="","",IF($B$10=0,"",$T807/$B$10))</f>
        <v/>
      </c>
      <c r="V807" s="17" t="str">
        <f aca="false">IF($P807="","",IF($B$10=0,"",$P807/$B$10))</f>
        <v/>
      </c>
      <c r="W807" s="19" t="n">
        <f aca="false">IF($T807="",1000000000000000,$T807)</f>
        <v/>
      </c>
      <c r="XFC807" s="3"/>
    </row>
    <row r="808" s="21" collapsed="false" customFormat="true" customHeight="true" hidden="false" ht="28.5" outlineLevel="0">
      <c r="A808" s="16" t="str">
        <f aca="false">IF($T808="","",1+COUNTIF($W$15:$W$894,"&lt;"&amp;W808))</f>
        <v/>
      </c>
      <c r="B808" s="16" t="s">
        <v>14</v>
      </c>
      <c r="C808" s="16" t="s">
        <v>1605</v>
      </c>
      <c r="D808" s="16" t="s">
        <v>500</v>
      </c>
      <c r="E808" s="16" t="s">
        <v>26</v>
      </c>
      <c r="F808" s="16" t="s">
        <v>1606</v>
      </c>
      <c r="G808" s="17">
        <v>1839</v>
      </c>
      <c r="H808" s="17"/>
      <c r="I808" s="17"/>
      <c r="J808" s="17">
        <v>1829</v>
      </c>
      <c r="K808" s="17" t="n">
        <f aca="false">IF(AND(IFERROR(SEARCH("현대오일뱅크",$C808),0)&gt;0,IFERROR(SEARCH("직영",$C808),0)&gt;0),$B$13,0)</f>
        <v/>
      </c>
      <c r="L808" s="17" t="n">
        <f aca="false">IF($G808="","",$G808+$K808)</f>
        <v/>
      </c>
      <c r="M808" s="17" t="str">
        <f aca="false">IF($H808="","",$H808+$K808)</f>
        <v/>
      </c>
      <c r="N808" s="17" t="n">
        <f aca="false">IF($J808="","",$J808+$K808)</f>
        <v/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 t="str">
        <f aca="false">IF($B$10=0,"",IFERROR(IF($B$4&gt;0,IF($L808="",1/0,$L808*$B$4),0)+IF($B$5&gt;0,IF($M808="",1/0,$M808*$B$5),0)+IF($B$6&gt;0,IF($N808="",1/0,$N808*$B$6),0),""))</f>
        <v/>
      </c>
      <c r="Q808" s="17"/>
      <c r="R808" s="18" t="str">
        <f aca="false">IF($P808="","",IF($Q808="Y",IFERROR(VLOOKUP($B808,$C$4:$D$13,2,FALSE()),0),0))</f>
        <v/>
      </c>
      <c r="S808" s="17" t="str">
        <f aca="false">IF($P808="","",ROUNDDOWN($P808*$R808,0))</f>
        <v/>
      </c>
      <c r="T808" s="17" t="str">
        <f aca="false">IF($P808="","",$P808-$S808)</f>
        <v/>
      </c>
      <c r="U808" s="17" t="str">
        <f aca="false">IF($T808="","",IF($B$10=0,"",$T808/$B$10))</f>
        <v/>
      </c>
      <c r="V808" s="17" t="str">
        <f aca="false">IF($P808="","",IF($B$10=0,"",$P808/$B$10))</f>
        <v/>
      </c>
      <c r="W808" s="19" t="n">
        <f aca="false">IF($T808="",1000000000000000,$T808)</f>
        <v/>
      </c>
      <c r="XFB808" s="6"/>
      <c r="XFC808" s="3"/>
    </row>
    <row r="809" s="6" collapsed="false" customFormat="true" customHeight="true" hidden="false" ht="28.6" outlineLevel="0">
      <c r="A809" s="16" t="str">
        <f aca="false">IF($T809="","",1+COUNTIF($W$15:$W$894,"&lt;"&amp;W809))</f>
        <v/>
      </c>
      <c r="B809" s="16" t="s">
        <v>14</v>
      </c>
      <c r="C809" s="16" t="s">
        <v>1593</v>
      </c>
      <c r="D809" s="16" t="s">
        <v>500</v>
      </c>
      <c r="E809" s="16" t="s">
        <v>63</v>
      </c>
      <c r="F809" s="16" t="s">
        <v>1594</v>
      </c>
      <c r="G809" s="17">
        <v>1839</v>
      </c>
      <c r="H809" s="17"/>
      <c r="I809" s="17"/>
      <c r="J809" s="17">
        <v>1829</v>
      </c>
      <c r="K809" s="17" t="n">
        <f aca="false">IF(AND(IFERROR(SEARCH("현대오일뱅크",$C809),0)&gt;0,IFERROR(SEARCH("직영",$C809),0)&gt;0),$B$13,0)</f>
        <v/>
      </c>
      <c r="L809" s="17" t="n">
        <f aca="false">IF($G809="","",$G809+$K809)</f>
        <v/>
      </c>
      <c r="M809" s="17" t="str">
        <f aca="false">IF($H809="","",$H809+$K809)</f>
        <v/>
      </c>
      <c r="N809" s="17" t="n">
        <f aca="false">IF($J809="","",$J809+$K809)</f>
        <v/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 t="str">
        <f aca="false">IF($B$10=0,"",IFERROR(IF($B$4&gt;0,IF($L809="",1/0,$L809*$B$4),0)+IF($B$5&gt;0,IF($M809="",1/0,$M809*$B$5),0)+IF($B$6&gt;0,IF($N809="",1/0,$N809*$B$6),0),""))</f>
        <v/>
      </c>
      <c r="Q809" s="17"/>
      <c r="R809" s="18" t="str">
        <f aca="false">IF($P809="","",IF($Q809="Y",IFERROR(VLOOKUP($B809,$C$4:$D$13,2,FALSE()),0),0))</f>
        <v/>
      </c>
      <c r="S809" s="17" t="str">
        <f aca="false">IF($P809="","",ROUNDDOWN($P809*$R809,0))</f>
        <v/>
      </c>
      <c r="T809" s="17" t="str">
        <f aca="false">IF($P809="","",$P809-$S809)</f>
        <v/>
      </c>
      <c r="U809" s="17" t="str">
        <f aca="false">IF($T809="","",IF($B$10=0,"",$T809/$B$10))</f>
        <v/>
      </c>
      <c r="V809" s="17" t="str">
        <f aca="false">IF($P809="","",IF($B$10=0,"",$P809/$B$10))</f>
        <v/>
      </c>
      <c r="W809" s="19" t="n">
        <f aca="false">IF($T809="",1000000000000000,$T809)</f>
        <v/>
      </c>
      <c r="XFC809" s="3"/>
    </row>
    <row r="810" s="6" collapsed="false" customFormat="true" customHeight="true" hidden="false" ht="28.6" outlineLevel="0">
      <c r="A810" s="16" t="str">
        <f aca="false">IF($T810="","",1+COUNTIF($W$15:$W$894,"&lt;"&amp;W810))</f>
        <v/>
      </c>
      <c r="B810" s="16" t="s">
        <v>12</v>
      </c>
      <c r="C810" s="16" t="s">
        <v>1595</v>
      </c>
      <c r="D810" s="20" t="s">
        <v>500</v>
      </c>
      <c r="E810" s="16" t="s">
        <v>26</v>
      </c>
      <c r="F810" s="16" t="s">
        <v>1596</v>
      </c>
      <c r="G810" s="17">
        <v>1839</v>
      </c>
      <c r="H810" s="17"/>
      <c r="I810" s="17"/>
      <c r="J810" s="17">
        <v>1829</v>
      </c>
      <c r="K810" s="17" t="n">
        <f aca="false">IF(AND(IFERROR(SEARCH("현대오일뱅크",$C810),0)&gt;0,IFERROR(SEARCH("직영",$C810),0)&gt;0),$B$13,0)</f>
        <v/>
      </c>
      <c r="L810" s="17" t="n">
        <f aca="false">IF($G810="","",$G810+$K810)</f>
        <v/>
      </c>
      <c r="M810" s="17" t="str">
        <f aca="false">IF($H810="","",$H810+$K810)</f>
        <v/>
      </c>
      <c r="N810" s="17" t="n">
        <f aca="false">IF($J810="","",$J810+$K810)</f>
        <v/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 t="str">
        <f aca="false">IF($B$10=0,"",IFERROR(IF($B$4&gt;0,IF($L810="",1/0,$L810*$B$4),0)+IF($B$5&gt;0,IF($M810="",1/0,$M810*$B$5),0)+IF($B$6&gt;0,IF($N810="",1/0,$N810*$B$6),0),""))</f>
        <v/>
      </c>
      <c r="Q810" s="17"/>
      <c r="R810" s="18" t="str">
        <f aca="false">IF($P810="","",IF($Q810="Y",IFERROR(VLOOKUP($B810,$C$4:$D$13,2,FALSE()),0),0))</f>
        <v/>
      </c>
      <c r="S810" s="17" t="str">
        <f aca="false">IF($P810="","",ROUNDDOWN($P810*$R810,0))</f>
        <v/>
      </c>
      <c r="T810" s="17" t="str">
        <f aca="false">IF($P810="","",$P810-$S810)</f>
        <v/>
      </c>
      <c r="U810" s="17" t="str">
        <f aca="false">IF($T810="","",IF($B$10=0,"",$T810/$B$10))</f>
        <v/>
      </c>
      <c r="V810" s="17" t="str">
        <f aca="false">IF($P810="","",IF($B$10=0,"",$P810/$B$10))</f>
        <v/>
      </c>
      <c r="W810" s="19" t="n">
        <f aca="false">IF($T810="",1000000000000000,$T810)</f>
        <v/>
      </c>
      <c r="XFC810" s="3"/>
    </row>
    <row r="811" s="21" collapsed="false" customFormat="true" customHeight="true" hidden="false" ht="28.5" outlineLevel="0">
      <c r="A811" s="16" t="str">
        <f aca="false">IF($T811="","",1+COUNTIF($W$15:$W$894,"&lt;"&amp;W811))</f>
        <v/>
      </c>
      <c r="B811" s="16" t="s">
        <v>10</v>
      </c>
      <c r="C811" s="16" t="s">
        <v>1597</v>
      </c>
      <c r="D811" s="16" t="s">
        <v>51</v>
      </c>
      <c r="E811" s="16" t="s">
        <v>26</v>
      </c>
      <c r="F811" s="16" t="s">
        <v>1598</v>
      </c>
      <c r="G811" s="17">
        <v>1839</v>
      </c>
      <c r="H811" s="17"/>
      <c r="I811" s="17"/>
      <c r="J811" s="17">
        <v>1829</v>
      </c>
      <c r="K811" s="17" t="n">
        <f aca="false">IF(AND(IFERROR(SEARCH("현대오일뱅크",$C811),0)&gt;0,IFERROR(SEARCH("직영",$C811),0)&gt;0),$B$13,0)</f>
        <v/>
      </c>
      <c r="L811" s="17" t="n">
        <f aca="false">IF($G811="","",$G811+$K811)</f>
        <v/>
      </c>
      <c r="M811" s="17" t="str">
        <f aca="false">IF($H811="","",$H811+$K811)</f>
        <v/>
      </c>
      <c r="N811" s="17" t="n">
        <f aca="false">IF($J811="","",$J811+$K811)</f>
        <v/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 t="str">
        <f aca="false">IF($B$10=0,"",IFERROR(IF($B$4&gt;0,IF($L811="",1/0,$L811*$B$4),0)+IF($B$5&gt;0,IF($M811="",1/0,$M811*$B$5),0)+IF($B$6&gt;0,IF($N811="",1/0,$N811*$B$6),0),""))</f>
        <v/>
      </c>
      <c r="Q811" s="17"/>
      <c r="R811" s="18" t="str">
        <f aca="false">IF($P811="","",IF($Q811="Y",IFERROR(VLOOKUP($B811,$C$4:$D$13,2,FALSE()),0),0))</f>
        <v/>
      </c>
      <c r="S811" s="17" t="str">
        <f aca="false">IF($P811="","",ROUNDDOWN($P811*$R811,0))</f>
        <v/>
      </c>
      <c r="T811" s="17" t="str">
        <f aca="false">IF($P811="","",$P811-$S811)</f>
        <v/>
      </c>
      <c r="U811" s="17" t="str">
        <f aca="false">IF($T811="","",IF($B$10=0,"",$T811/$B$10))</f>
        <v/>
      </c>
      <c r="V811" s="17" t="str">
        <f aca="false">IF($P811="","",IF($B$10=0,"",$P811/$B$10))</f>
        <v/>
      </c>
      <c r="W811" s="19" t="n">
        <f aca="false">IF($T811="",1000000000000000,$T811)</f>
        <v/>
      </c>
      <c r="XFB811" s="6"/>
      <c r="XFC811" s="3"/>
    </row>
    <row r="812" s="21" collapsed="false" customFormat="true" customHeight="true" hidden="false" ht="28.5" outlineLevel="0">
      <c r="A812" s="16" t="str">
        <f aca="false">IF($T812="","",1+COUNTIF($W$15:$W$894,"&lt;"&amp;W812))</f>
        <v/>
      </c>
      <c r="B812" s="16" t="s">
        <v>16</v>
      </c>
      <c r="C812" s="16" t="s">
        <v>1599</v>
      </c>
      <c r="D812" s="16" t="s">
        <v>45</v>
      </c>
      <c r="E812" s="16" t="s">
        <v>26</v>
      </c>
      <c r="F812" s="16" t="s">
        <v>1600</v>
      </c>
      <c r="G812" s="17">
        <v>1839</v>
      </c>
      <c r="H812" s="17"/>
      <c r="I812" s="17"/>
      <c r="J812" s="17">
        <v>1839</v>
      </c>
      <c r="K812" s="17" t="n">
        <f aca="false">IF(AND(IFERROR(SEARCH("현대오일뱅크",$C812),0)&gt;0,IFERROR(SEARCH("직영",$C812),0)&gt;0),$B$13,0)</f>
        <v/>
      </c>
      <c r="L812" s="17" t="n">
        <f aca="false">IF($G812="","",$G812+$K812)</f>
        <v/>
      </c>
      <c r="M812" s="17" t="str">
        <f aca="false">IF($H812="","",$H812+$K812)</f>
        <v/>
      </c>
      <c r="N812" s="17" t="n">
        <f aca="false">IF($J812="","",$J812+$K812)</f>
        <v/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 t="str">
        <f aca="false">IF($B$10=0,"",IFERROR(IF($B$4&gt;0,IF($L812="",1/0,$L812*$B$4),0)+IF($B$5&gt;0,IF($M812="",1/0,$M812*$B$5),0)+IF($B$6&gt;0,IF($N812="",1/0,$N812*$B$6),0),""))</f>
        <v/>
      </c>
      <c r="Q812" s="17"/>
      <c r="R812" s="18" t="str">
        <f aca="false">IF($P812="","",IF($Q812="Y",IFERROR(VLOOKUP($B812,$C$4:$D$13,2,FALSE()),0),0))</f>
        <v/>
      </c>
      <c r="S812" s="17" t="str">
        <f aca="false">IF($P812="","",ROUNDDOWN($P812*$R812,0))</f>
        <v/>
      </c>
      <c r="T812" s="17" t="str">
        <f aca="false">IF($P812="","",$P812-$S812)</f>
        <v/>
      </c>
      <c r="U812" s="17" t="str">
        <f aca="false">IF($T812="","",IF($B$10=0,"",$T812/$B$10))</f>
        <v/>
      </c>
      <c r="V812" s="17" t="str">
        <f aca="false">IF($P812="","",IF($B$10=0,"",$P812/$B$10))</f>
        <v/>
      </c>
      <c r="W812" s="19" t="n">
        <f aca="false">IF($T812="",1000000000000000,$T812)</f>
        <v/>
      </c>
      <c r="XFB812" s="6"/>
      <c r="XFC812" s="3"/>
    </row>
    <row r="813" s="6" collapsed="false" customFormat="true" customHeight="true" hidden="false" ht="28.6" outlineLevel="0">
      <c r="A813" s="16" t="str">
        <f aca="false">IF($T813="","",1+COUNTIF($W$15:$W$894,"&lt;"&amp;W813))</f>
        <v/>
      </c>
      <c r="B813" s="16" t="s">
        <v>8</v>
      </c>
      <c r="C813" s="16" t="s">
        <v>1671</v>
      </c>
      <c r="D813" s="16" t="s">
        <v>51</v>
      </c>
      <c r="E813" s="16" t="s">
        <v>63</v>
      </c>
      <c r="F813" s="16" t="s">
        <v>1672</v>
      </c>
      <c r="G813" s="17">
        <v>1839</v>
      </c>
      <c r="H813" s="17"/>
      <c r="I813" s="17"/>
      <c r="J813" s="17">
        <v>1839</v>
      </c>
      <c r="K813" s="17" t="n">
        <f aca="false">IF(AND(IFERROR(SEARCH("현대오일뱅크",$C813),0)&gt;0,IFERROR(SEARCH("직영",$C813),0)&gt;0),$B$13,0)</f>
        <v/>
      </c>
      <c r="L813" s="17" t="n">
        <f aca="false">IF($G813="","",$G813+$K813)</f>
        <v/>
      </c>
      <c r="M813" s="17" t="str">
        <f aca="false">IF($H813="","",$H813+$K813)</f>
        <v/>
      </c>
      <c r="N813" s="17" t="n">
        <f aca="false">IF($J813="","",$J813+$K813)</f>
        <v/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 t="str">
        <f aca="false">IF($B$10=0,"",IFERROR(IF($B$4&gt;0,IF($L813="",1/0,$L813*$B$4),0)+IF($B$5&gt;0,IF($M813="",1/0,$M813*$B$5),0)+IF($B$6&gt;0,IF($N813="",1/0,$N813*$B$6),0),""))</f>
        <v/>
      </c>
      <c r="Q813" s="17"/>
      <c r="R813" s="18" t="str">
        <f aca="false">IF($P813="","",IF($Q813="Y",IFERROR(VLOOKUP($B813,$C$4:$D$13,2,FALSE()),0),0))</f>
        <v/>
      </c>
      <c r="S813" s="17" t="str">
        <f aca="false">IF($P813="","",ROUNDDOWN($P813*$R813,0))</f>
        <v/>
      </c>
      <c r="T813" s="17" t="str">
        <f aca="false">IF($P813="","",$P813-$S813)</f>
        <v/>
      </c>
      <c r="U813" s="17" t="str">
        <f aca="false">IF($T813="","",IF($B$10=0,"",$T813/$B$10))</f>
        <v/>
      </c>
      <c r="V813" s="17" t="str">
        <f aca="false">IF($P813="","",IF($B$10=0,"",$P813/$B$10))</f>
        <v/>
      </c>
      <c r="W813" s="19" t="n">
        <f aca="false">IF($T813="",1000000000000000,$T813)</f>
        <v/>
      </c>
      <c r="XFC813" s="3"/>
    </row>
    <row r="814" s="6" collapsed="false" customFormat="true" customHeight="true" hidden="false" ht="28.6" outlineLevel="0">
      <c r="A814" s="16" t="str">
        <f aca="false">IF($T814="","",1+COUNTIF($W$15:$W$894,"&lt;"&amp;W814))</f>
        <v/>
      </c>
      <c r="B814" s="16" t="s">
        <v>14</v>
      </c>
      <c r="C814" s="16" t="s">
        <v>1601</v>
      </c>
      <c r="D814" s="16" t="s">
        <v>500</v>
      </c>
      <c r="E814" s="16" t="s">
        <v>63</v>
      </c>
      <c r="F814" s="16" t="s">
        <v>1602</v>
      </c>
      <c r="G814" s="17">
        <v>1839</v>
      </c>
      <c r="H814" s="17"/>
      <c r="I814" s="17"/>
      <c r="J814" s="17">
        <v>1839</v>
      </c>
      <c r="K814" s="17" t="n">
        <f aca="false">IF(AND(IFERROR(SEARCH("현대오일뱅크",$C814),0)&gt;0,IFERROR(SEARCH("직영",$C814),0)&gt;0),$B$13,0)</f>
        <v/>
      </c>
      <c r="L814" s="17" t="n">
        <f aca="false">IF($G814="","",$G814+$K814)</f>
        <v/>
      </c>
      <c r="M814" s="17" t="str">
        <f aca="false">IF($H814="","",$H814+$K814)</f>
        <v/>
      </c>
      <c r="N814" s="17" t="n">
        <f aca="false">IF($J814="","",$J814+$K814)</f>
        <v/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 t="str">
        <f aca="false">IF($B$10=0,"",IFERROR(IF($B$4&gt;0,IF($L814="",1/0,$L814*$B$4),0)+IF($B$5&gt;0,IF($M814="",1/0,$M814*$B$5),0)+IF($B$6&gt;0,IF($N814="",1/0,$N814*$B$6),0),""))</f>
        <v/>
      </c>
      <c r="Q814" s="17"/>
      <c r="R814" s="18" t="str">
        <f aca="false">IF($P814="","",IF($Q814="Y",IFERROR(VLOOKUP($B814,$C$4:$D$13,2,FALSE()),0),0))</f>
        <v/>
      </c>
      <c r="S814" s="17" t="str">
        <f aca="false">IF($P814="","",ROUNDDOWN($P814*$R814,0))</f>
        <v/>
      </c>
      <c r="T814" s="17" t="str">
        <f aca="false">IF($P814="","",$P814-$S814)</f>
        <v/>
      </c>
      <c r="U814" s="17" t="str">
        <f aca="false">IF($T814="","",IF($B$10=0,"",$T814/$B$10))</f>
        <v/>
      </c>
      <c r="V814" s="17" t="str">
        <f aca="false">IF($P814="","",IF($B$10=0,"",$P814/$B$10))</f>
        <v/>
      </c>
      <c r="W814" s="19" t="n">
        <f aca="false">IF($T814="",1000000000000000,$T814)</f>
        <v/>
      </c>
      <c r="XFC814" s="3"/>
    </row>
    <row r="815" s="21" collapsed="false" customFormat="true" customHeight="true" hidden="false" ht="28.5" outlineLevel="0">
      <c r="A815" s="16" t="str">
        <f aca="false">IF($T815="","",1+COUNTIF($W$15:$W$894,"&lt;"&amp;W815))</f>
        <v/>
      </c>
      <c r="B815" s="16" t="s">
        <v>12</v>
      </c>
      <c r="C815" s="16" t="s">
        <v>1603</v>
      </c>
      <c r="D815" s="20" t="s">
        <v>500</v>
      </c>
      <c r="E815" s="16" t="s">
        <v>63</v>
      </c>
      <c r="F815" s="16" t="s">
        <v>1604</v>
      </c>
      <c r="G815" s="17">
        <v>1839</v>
      </c>
      <c r="H815" s="17"/>
      <c r="I815" s="17"/>
      <c r="J815" s="17">
        <v>1845</v>
      </c>
      <c r="K815" s="17" t="n">
        <f aca="false">IF(AND(IFERROR(SEARCH("현대오일뱅크",$C815),0)&gt;0,IFERROR(SEARCH("직영",$C815),0)&gt;0),$B$13,0)</f>
        <v/>
      </c>
      <c r="L815" s="17" t="n">
        <f aca="false">IF($G815="","",$G815+$K815)</f>
        <v/>
      </c>
      <c r="M815" s="17" t="str">
        <f aca="false">IF($H815="","",$H815+$K815)</f>
        <v/>
      </c>
      <c r="N815" s="17" t="n">
        <f aca="false">IF($J815="","",$J815+$K815)</f>
        <v/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 t="str">
        <f aca="false">IF($B$10=0,"",IFERROR(IF($B$4&gt;0,IF($L815="",1/0,$L815*$B$4),0)+IF($B$5&gt;0,IF($M815="",1/0,$M815*$B$5),0)+IF($B$6&gt;0,IF($N815="",1/0,$N815*$B$6),0),""))</f>
        <v/>
      </c>
      <c r="Q815" s="17"/>
      <c r="R815" s="18" t="str">
        <f aca="false">IF($P815="","",IF($Q815="Y",IFERROR(VLOOKUP($B815,$C$4:$D$13,2,FALSE()),0),0))</f>
        <v/>
      </c>
      <c r="S815" s="17" t="str">
        <f aca="false">IF($P815="","",ROUNDDOWN($P815*$R815,0))</f>
        <v/>
      </c>
      <c r="T815" s="17" t="str">
        <f aca="false">IF($P815="","",$P815-$S815)</f>
        <v/>
      </c>
      <c r="U815" s="17" t="str">
        <f aca="false">IF($T815="","",IF($B$10=0,"",$T815/$B$10))</f>
        <v/>
      </c>
      <c r="V815" s="17" t="str">
        <f aca="false">IF($P815="","",IF($B$10=0,"",$P815/$B$10))</f>
        <v/>
      </c>
      <c r="W815" s="19" t="n">
        <f aca="false">IF($T815="",1000000000000000,$T815)</f>
        <v/>
      </c>
      <c r="XFB815" s="6"/>
      <c r="XFC815" s="3"/>
    </row>
    <row r="816" s="21" collapsed="false" customFormat="true" customHeight="true" hidden="false" ht="28.5" outlineLevel="0">
      <c r="A816" s="16" t="str">
        <f aca="false">IF($T816="","",1+COUNTIF($W$15:$W$894,"&lt;"&amp;W816))</f>
        <v/>
      </c>
      <c r="B816" s="16" t="s">
        <v>16</v>
      </c>
      <c r="C816" s="16" t="s">
        <v>1607</v>
      </c>
      <c r="D816" s="16" t="s">
        <v>45</v>
      </c>
      <c r="E816" s="16" t="s">
        <v>26</v>
      </c>
      <c r="F816" s="16" t="s">
        <v>1608</v>
      </c>
      <c r="G816" s="17">
        <v>1840</v>
      </c>
      <c r="H816" s="17"/>
      <c r="I816" s="17"/>
      <c r="J816" s="17">
        <v>1830</v>
      </c>
      <c r="K816" s="17" t="n">
        <f aca="false">IF(AND(IFERROR(SEARCH("현대오일뱅크",$C816),0)&gt;0,IFERROR(SEARCH("직영",$C816),0)&gt;0),$B$13,0)</f>
        <v/>
      </c>
      <c r="L816" s="17" t="n">
        <f aca="false">IF($G816="","",$G816+$K816)</f>
        <v/>
      </c>
      <c r="M816" s="17" t="str">
        <f aca="false">IF($H816="","",$H816+$K816)</f>
        <v/>
      </c>
      <c r="N816" s="17" t="n">
        <f aca="false">IF($J816="","",$J816+$K816)</f>
        <v/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 t="str">
        <f aca="false">IF($B$10=0,"",IFERROR(IF($B$4&gt;0,IF($L816="",1/0,$L816*$B$4),0)+IF($B$5&gt;0,IF($M816="",1/0,$M816*$B$5),0)+IF($B$6&gt;0,IF($N816="",1/0,$N816*$B$6),0),""))</f>
        <v/>
      </c>
      <c r="Q816" s="17"/>
      <c r="R816" s="18" t="str">
        <f aca="false">IF($P816="","",IF($Q816="Y",IFERROR(VLOOKUP($B816,$C$4:$D$13,2,FALSE()),0),0))</f>
        <v/>
      </c>
      <c r="S816" s="17" t="str">
        <f aca="false">IF($P816="","",ROUNDDOWN($P816*$R816,0))</f>
        <v/>
      </c>
      <c r="T816" s="17" t="str">
        <f aca="false">IF($P816="","",$P816-$S816)</f>
        <v/>
      </c>
      <c r="U816" s="17" t="str">
        <f aca="false">IF($T816="","",IF($B$10=0,"",$T816/$B$10))</f>
        <v/>
      </c>
      <c r="V816" s="17" t="str">
        <f aca="false">IF($P816="","",IF($B$10=0,"",$P816/$B$10))</f>
        <v/>
      </c>
      <c r="W816" s="19" t="n">
        <f aca="false">IF($T816="",1000000000000000,$T816)</f>
        <v/>
      </c>
      <c r="XFB816" s="6"/>
      <c r="XFC816" s="3"/>
    </row>
    <row r="817" s="6" collapsed="false" customFormat="true" customHeight="true" hidden="false" ht="28.6" outlineLevel="0">
      <c r="A817" s="16" t="str">
        <f aca="false">IF($T817="","",1+COUNTIF($W$15:$W$894,"&lt;"&amp;W817))</f>
        <v/>
      </c>
      <c r="B817" s="16" t="s">
        <v>16</v>
      </c>
      <c r="C817" s="16" t="s">
        <v>1609</v>
      </c>
      <c r="D817" s="16" t="s">
        <v>95</v>
      </c>
      <c r="E817" s="16" t="s">
        <v>26</v>
      </c>
      <c r="F817" s="16" t="s">
        <v>1610</v>
      </c>
      <c r="G817" s="17">
        <v>1840</v>
      </c>
      <c r="H817" s="17"/>
      <c r="I817" s="17"/>
      <c r="J817" s="17">
        <v>1840</v>
      </c>
      <c r="K817" s="17" t="n">
        <f aca="false">IF(AND(IFERROR(SEARCH("현대오일뱅크",$C817),0)&gt;0,IFERROR(SEARCH("직영",$C817),0)&gt;0),$B$13,0)</f>
        <v/>
      </c>
      <c r="L817" s="17" t="n">
        <f aca="false">IF($G817="","",$G817+$K817)</f>
        <v/>
      </c>
      <c r="M817" s="17" t="str">
        <f aca="false">IF($H817="","",$H817+$K817)</f>
        <v/>
      </c>
      <c r="N817" s="17" t="n">
        <f aca="false">IF($J817="","",$J817+$K817)</f>
        <v/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 t="str">
        <f aca="false">IF($B$10=0,"",IFERROR(IF($B$4&gt;0,IF($L817="",1/0,$L817*$B$4),0)+IF($B$5&gt;0,IF($M817="",1/0,$M817*$B$5),0)+IF($B$6&gt;0,IF($N817="",1/0,$N817*$B$6),0),""))</f>
        <v/>
      </c>
      <c r="Q817" s="17"/>
      <c r="R817" s="18" t="str">
        <f aca="false">IF($P817="","",IF($Q817="Y",IFERROR(VLOOKUP($B817,$C$4:$D$13,2,FALSE()),0),0))</f>
        <v/>
      </c>
      <c r="S817" s="17" t="str">
        <f aca="false">IF($P817="","",ROUNDDOWN($P817*$R817,0))</f>
        <v/>
      </c>
      <c r="T817" s="17" t="str">
        <f aca="false">IF($P817="","",$P817-$S817)</f>
        <v/>
      </c>
      <c r="U817" s="17" t="str">
        <f aca="false">IF($T817="","",IF($B$10=0,"",$T817/$B$10))</f>
        <v/>
      </c>
      <c r="V817" s="17" t="str">
        <f aca="false">IF($P817="","",IF($B$10=0,"",$P817/$B$10))</f>
        <v/>
      </c>
      <c r="W817" s="19" t="n">
        <f aca="false">IF($T817="",1000000000000000,$T817)</f>
        <v/>
      </c>
      <c r="XFC817" s="3"/>
    </row>
    <row r="818" s="21" collapsed="false" customFormat="true" customHeight="true" hidden="false" ht="28.5" outlineLevel="0">
      <c r="A818" s="16" t="str">
        <f aca="false">IF($T818="","",1+COUNTIF($W$15:$W$894,"&lt;"&amp;W818))</f>
        <v/>
      </c>
      <c r="B818" s="16" t="s">
        <v>14</v>
      </c>
      <c r="C818" s="16" t="s">
        <v>1611</v>
      </c>
      <c r="D818" s="16" t="s">
        <v>95</v>
      </c>
      <c r="E818" s="16" t="s">
        <v>26</v>
      </c>
      <c r="F818" s="16" t="s">
        <v>1612</v>
      </c>
      <c r="G818" s="17">
        <v>1840</v>
      </c>
      <c r="H818" s="17"/>
      <c r="I818" s="17"/>
      <c r="J818" s="17">
        <v>1858</v>
      </c>
      <c r="K818" s="17" t="n">
        <f aca="false">IF(AND(IFERROR(SEARCH("현대오일뱅크",$C818),0)&gt;0,IFERROR(SEARCH("직영",$C818),0)&gt;0),$B$13,0)</f>
        <v/>
      </c>
      <c r="L818" s="17" t="n">
        <f aca="false">IF($G818="","",$G818+$K818)</f>
        <v/>
      </c>
      <c r="M818" s="17" t="str">
        <f aca="false">IF($H818="","",$H818+$K818)</f>
        <v/>
      </c>
      <c r="N818" s="17" t="n">
        <f aca="false">IF($J818="","",$J818+$K818)</f>
        <v/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 t="str">
        <f aca="false">IF($B$10=0,"",IFERROR(IF($B$4&gt;0,IF($L818="",1/0,$L818*$B$4),0)+IF($B$5&gt;0,IF($M818="",1/0,$M818*$B$5),0)+IF($B$6&gt;0,IF($N818="",1/0,$N818*$B$6),0),""))</f>
        <v/>
      </c>
      <c r="Q818" s="17"/>
      <c r="R818" s="18" t="str">
        <f aca="false">IF($P818="","",IF($Q818="Y",IFERROR(VLOOKUP($B818,$C$4:$D$13,2,FALSE()),0),0))</f>
        <v/>
      </c>
      <c r="S818" s="17" t="str">
        <f aca="false">IF($P818="","",ROUNDDOWN($P818*$R818,0))</f>
        <v/>
      </c>
      <c r="T818" s="17" t="str">
        <f aca="false">IF($P818="","",$P818-$S818)</f>
        <v/>
      </c>
      <c r="U818" s="17" t="str">
        <f aca="false">IF($T818="","",IF($B$10=0,"",$T818/$B$10))</f>
        <v/>
      </c>
      <c r="V818" s="17" t="str">
        <f aca="false">IF($P818="","",IF($B$10=0,"",$P818/$B$10))</f>
        <v/>
      </c>
      <c r="W818" s="19" t="n">
        <f aca="false">IF($T818="",1000000000000000,$T818)</f>
        <v/>
      </c>
      <c r="XFB818" s="6"/>
      <c r="XFC818" s="3"/>
    </row>
    <row r="819" s="6" collapsed="false" customFormat="true" customHeight="true" hidden="false" ht="28.6" outlineLevel="0">
      <c r="A819" s="16" t="str">
        <f aca="false">IF($T819="","",1+COUNTIF($W$15:$W$894,"&lt;"&amp;W819))</f>
        <v/>
      </c>
      <c r="B819" s="16" t="s">
        <v>16</v>
      </c>
      <c r="C819" s="16" t="s">
        <v>1613</v>
      </c>
      <c r="D819" s="16" t="s">
        <v>95</v>
      </c>
      <c r="E819" s="16" t="s">
        <v>26</v>
      </c>
      <c r="F819" s="16" t="s">
        <v>1614</v>
      </c>
      <c r="G819" s="17">
        <v>1840</v>
      </c>
      <c r="H819" s="17"/>
      <c r="I819" s="17"/>
      <c r="J819" s="17">
        <v>1860</v>
      </c>
      <c r="K819" s="17" t="n">
        <f aca="false">IF(AND(IFERROR(SEARCH("현대오일뱅크",$C819),0)&gt;0,IFERROR(SEARCH("직영",$C819),0)&gt;0),$B$13,0)</f>
        <v/>
      </c>
      <c r="L819" s="17" t="n">
        <f aca="false">IF($G819="","",$G819+$K819)</f>
        <v/>
      </c>
      <c r="M819" s="17" t="str">
        <f aca="false">IF($H819="","",$H819+$K819)</f>
        <v/>
      </c>
      <c r="N819" s="17" t="n">
        <f aca="false">IF($J819="","",$J819+$K819)</f>
        <v/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 t="str">
        <f aca="false">IF($B$10=0,"",IFERROR(IF($B$4&gt;0,IF($L819="",1/0,$L819*$B$4),0)+IF($B$5&gt;0,IF($M819="",1/0,$M819*$B$5),0)+IF($B$6&gt;0,IF($N819="",1/0,$N819*$B$6),0),""))</f>
        <v/>
      </c>
      <c r="Q819" s="17"/>
      <c r="R819" s="18" t="str">
        <f aca="false">IF($P819="","",IF($Q819="Y",IFERROR(VLOOKUP($B819,$C$4:$D$13,2,FALSE()),0),0))</f>
        <v/>
      </c>
      <c r="S819" s="17" t="str">
        <f aca="false">IF($P819="","",ROUNDDOWN($P819*$R819,0))</f>
        <v/>
      </c>
      <c r="T819" s="17" t="str">
        <f aca="false">IF($P819="","",$P819-$S819)</f>
        <v/>
      </c>
      <c r="U819" s="17" t="str">
        <f aca="false">IF($T819="","",IF($B$10=0,"",$T819/$B$10))</f>
        <v/>
      </c>
      <c r="V819" s="17" t="str">
        <f aca="false">IF($P819="","",IF($B$10=0,"",$P819/$B$10))</f>
        <v/>
      </c>
      <c r="W819" s="19" t="n">
        <f aca="false">IF($T819="",1000000000000000,$T819)</f>
        <v/>
      </c>
      <c r="XFC819" s="3"/>
    </row>
    <row r="820" s="21" collapsed="false" customFormat="true" customHeight="true" hidden="false" ht="28.5" outlineLevel="0">
      <c r="A820" s="16" t="str">
        <f aca="false">IF($T820="","",1+COUNTIF($W$15:$W$894,"&lt;"&amp;W820))</f>
        <v/>
      </c>
      <c r="B820" s="16" t="s">
        <v>16</v>
      </c>
      <c r="C820" s="16" t="s">
        <v>1615</v>
      </c>
      <c r="D820" s="20" t="s">
        <v>86</v>
      </c>
      <c r="E820" s="16" t="s">
        <v>63</v>
      </c>
      <c r="F820" s="16" t="s">
        <v>1616</v>
      </c>
      <c r="G820" s="17">
        <v>1840</v>
      </c>
      <c r="H820" s="17"/>
      <c r="I820" s="17"/>
      <c r="J820" s="17">
        <v>1890</v>
      </c>
      <c r="K820" s="17" t="n">
        <f aca="false">IF(AND(IFERROR(SEARCH("현대오일뱅크",$C820),0)&gt;0,IFERROR(SEARCH("직영",$C820),0)&gt;0),$B$13,0)</f>
        <v/>
      </c>
      <c r="L820" s="17" t="n">
        <f aca="false">IF($G820="","",$G820+$K820)</f>
        <v/>
      </c>
      <c r="M820" s="17" t="str">
        <f aca="false">IF($H820="","",$H820+$K820)</f>
        <v/>
      </c>
      <c r="N820" s="17" t="n">
        <f aca="false">IF($J820="","",$J820+$K820)</f>
        <v/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 t="str">
        <f aca="false">IF($B$10=0,"",IFERROR(IF($B$4&gt;0,IF($L820="",1/0,$L820*$B$4),0)+IF($B$5&gt;0,IF($M820="",1/0,$M820*$B$5),0)+IF($B$6&gt;0,IF($N820="",1/0,$N820*$B$6),0),""))</f>
        <v/>
      </c>
      <c r="Q820" s="17"/>
      <c r="R820" s="18" t="str">
        <f aca="false">IF($P820="","",IF($Q820="Y",IFERROR(VLOOKUP($B820,$C$4:$D$13,2,FALSE()),0),0))</f>
        <v/>
      </c>
      <c r="S820" s="17" t="str">
        <f aca="false">IF($P820="","",ROUNDDOWN($P820*$R820,0))</f>
        <v/>
      </c>
      <c r="T820" s="17" t="str">
        <f aca="false">IF($P820="","",$P820-$S820)</f>
        <v/>
      </c>
      <c r="U820" s="17" t="str">
        <f aca="false">IF($T820="","",IF($B$10=0,"",$T820/$B$10))</f>
        <v/>
      </c>
      <c r="V820" s="17" t="str">
        <f aca="false">IF($P820="","",IF($B$10=0,"",$P820/$B$10))</f>
        <v/>
      </c>
      <c r="W820" s="19" t="n">
        <f aca="false">IF($T820="",1000000000000000,$T820)</f>
        <v/>
      </c>
      <c r="XFB820" s="6"/>
      <c r="XFC820" s="3"/>
    </row>
    <row r="821" s="6" collapsed="false" customFormat="true" customHeight="true" hidden="false" ht="28.6" outlineLevel="0">
      <c r="A821" s="16" t="str">
        <f aca="false">IF($T821="","",1+COUNTIF($W$15:$W$894,"&lt;"&amp;W821))</f>
        <v/>
      </c>
      <c r="B821" s="16" t="s">
        <v>12</v>
      </c>
      <c r="C821" s="16" t="s">
        <v>1617</v>
      </c>
      <c r="D821" s="20" t="s">
        <v>45</v>
      </c>
      <c r="E821" s="16" t="s">
        <v>63</v>
      </c>
      <c r="F821" s="16" t="s">
        <v>1618</v>
      </c>
      <c r="G821" s="17">
        <v>1845</v>
      </c>
      <c r="H821" s="17"/>
      <c r="I821" s="17"/>
      <c r="J821" s="17">
        <v>1830</v>
      </c>
      <c r="K821" s="17" t="n">
        <f aca="false">IF(AND(IFERROR(SEARCH("현대오일뱅크",$C821),0)&gt;0,IFERROR(SEARCH("직영",$C821),0)&gt;0),$B$13,0)</f>
        <v/>
      </c>
      <c r="L821" s="17" t="n">
        <f aca="false">IF($G821="","",$G821+$K821)</f>
        <v/>
      </c>
      <c r="M821" s="17" t="str">
        <f aca="false">IF($H821="","",$H821+$K821)</f>
        <v/>
      </c>
      <c r="N821" s="17" t="n">
        <f aca="false">IF($J821="","",$J821+$K821)</f>
        <v/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 t="str">
        <f aca="false">IF($B$10=0,"",IFERROR(IF($B$4&gt;0,IF($L821="",1/0,$L821*$B$4),0)+IF($B$5&gt;0,IF($M821="",1/0,$M821*$B$5),0)+IF($B$6&gt;0,IF($N821="",1/0,$N821*$B$6),0),""))</f>
        <v/>
      </c>
      <c r="Q821" s="17"/>
      <c r="R821" s="18" t="str">
        <f aca="false">IF($P821="","",IF($Q821="Y",IFERROR(VLOOKUP($B821,$C$4:$D$13,2,FALSE()),0),0))</f>
        <v/>
      </c>
      <c r="S821" s="17" t="str">
        <f aca="false">IF($P821="","",ROUNDDOWN($P821*$R821,0))</f>
        <v/>
      </c>
      <c r="T821" s="17" t="str">
        <f aca="false">IF($P821="","",$P821-$S821)</f>
        <v/>
      </c>
      <c r="U821" s="17" t="str">
        <f aca="false">IF($T821="","",IF($B$10=0,"",$T821/$B$10))</f>
        <v/>
      </c>
      <c r="V821" s="17" t="str">
        <f aca="false">IF($P821="","",IF($B$10=0,"",$P821/$B$10))</f>
        <v/>
      </c>
      <c r="W821" s="19" t="n">
        <f aca="false">IF($T821="",1000000000000000,$T821)</f>
        <v/>
      </c>
      <c r="XFC821" s="3"/>
    </row>
    <row r="822" s="6" collapsed="false" customFormat="true" customHeight="true" hidden="false" ht="28.6" outlineLevel="0">
      <c r="A822" s="16" t="str">
        <f aca="false">IF($T822="","",1+COUNTIF($W$15:$W$894,"&lt;"&amp;W822))</f>
        <v/>
      </c>
      <c r="B822" s="16" t="s">
        <v>12</v>
      </c>
      <c r="C822" s="16" t="s">
        <v>1619</v>
      </c>
      <c r="D822" s="20" t="s">
        <v>45</v>
      </c>
      <c r="E822" s="16" t="s">
        <v>63</v>
      </c>
      <c r="F822" s="16" t="s">
        <v>1620</v>
      </c>
      <c r="G822" s="17">
        <v>1845</v>
      </c>
      <c r="H822" s="17"/>
      <c r="I822" s="17"/>
      <c r="J822" s="17">
        <v>1835</v>
      </c>
      <c r="K822" s="17" t="n">
        <f aca="false">IF(AND(IFERROR(SEARCH("현대오일뱅크",$C822),0)&gt;0,IFERROR(SEARCH("직영",$C822),0)&gt;0),$B$13,0)</f>
        <v/>
      </c>
      <c r="L822" s="17" t="n">
        <f aca="false">IF($G822="","",$G822+$K822)</f>
        <v/>
      </c>
      <c r="M822" s="17" t="str">
        <f aca="false">IF($H822="","",$H822+$K822)</f>
        <v/>
      </c>
      <c r="N822" s="17" t="n">
        <f aca="false">IF($J822="","",$J822+$K822)</f>
        <v/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 t="str">
        <f aca="false">IF($B$10=0,"",IFERROR(IF($B$4&gt;0,IF($L822="",1/0,$L822*$B$4),0)+IF($B$5&gt;0,IF($M822="",1/0,$M822*$B$5),0)+IF($B$6&gt;0,IF($N822="",1/0,$N822*$B$6),0),""))</f>
        <v/>
      </c>
      <c r="Q822" s="17"/>
      <c r="R822" s="18" t="str">
        <f aca="false">IF($P822="","",IF($Q822="Y",IFERROR(VLOOKUP($B822,$C$4:$D$13,2,FALSE()),0),0))</f>
        <v/>
      </c>
      <c r="S822" s="17" t="str">
        <f aca="false">IF($P822="","",ROUNDDOWN($P822*$R822,0))</f>
        <v/>
      </c>
      <c r="T822" s="17" t="str">
        <f aca="false">IF($P822="","",$P822-$S822)</f>
        <v/>
      </c>
      <c r="U822" s="17" t="str">
        <f aca="false">IF($T822="","",IF($B$10=0,"",$T822/$B$10))</f>
        <v/>
      </c>
      <c r="V822" s="17" t="str">
        <f aca="false">IF($P822="","",IF($B$10=0,"",$P822/$B$10))</f>
        <v/>
      </c>
      <c r="W822" s="19" t="n">
        <f aca="false">IF($T822="",1000000000000000,$T822)</f>
        <v/>
      </c>
      <c r="XFC822" s="3"/>
    </row>
    <row r="823" s="21" collapsed="false" customFormat="true" customHeight="true" hidden="false" ht="28.5" outlineLevel="0">
      <c r="A823" s="16" t="str">
        <f aca="false">IF($T823="","",1+COUNTIF($W$15:$W$894,"&lt;"&amp;W823))</f>
        <v/>
      </c>
      <c r="B823" s="16" t="s">
        <v>12</v>
      </c>
      <c r="C823" s="16" t="s">
        <v>1621</v>
      </c>
      <c r="D823" s="20" t="s">
        <v>45</v>
      </c>
      <c r="E823" s="16" t="s">
        <v>63</v>
      </c>
      <c r="F823" s="16" t="s">
        <v>1622</v>
      </c>
      <c r="G823" s="17">
        <v>1845</v>
      </c>
      <c r="H823" s="17"/>
      <c r="I823" s="17"/>
      <c r="J823" s="17">
        <v>1835</v>
      </c>
      <c r="K823" s="17" t="n">
        <f aca="false">IF(AND(IFERROR(SEARCH("현대오일뱅크",$C823),0)&gt;0,IFERROR(SEARCH("직영",$C823),0)&gt;0),$B$13,0)</f>
        <v/>
      </c>
      <c r="L823" s="17" t="n">
        <f aca="false">IF($G823="","",$G823+$K823)</f>
        <v/>
      </c>
      <c r="M823" s="17" t="str">
        <f aca="false">IF($H823="","",$H823+$K823)</f>
        <v/>
      </c>
      <c r="N823" s="17" t="n">
        <f aca="false">IF($J823="","",$J823+$K823)</f>
        <v/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 t="str">
        <f aca="false">IF($B$10=0,"",IFERROR(IF($B$4&gt;0,IF($L823="",1/0,$L823*$B$4),0)+IF($B$5&gt;0,IF($M823="",1/0,$M823*$B$5),0)+IF($B$6&gt;0,IF($N823="",1/0,$N823*$B$6),0),""))</f>
        <v/>
      </c>
      <c r="Q823" s="17"/>
      <c r="R823" s="18" t="str">
        <f aca="false">IF($P823="","",IF($Q823="Y",IFERROR(VLOOKUP($B823,$C$4:$D$13,2,FALSE()),0),0))</f>
        <v/>
      </c>
      <c r="S823" s="17" t="str">
        <f aca="false">IF($P823="","",ROUNDDOWN($P823*$R823,0))</f>
        <v/>
      </c>
      <c r="T823" s="17" t="str">
        <f aca="false">IF($P823="","",$P823-$S823)</f>
        <v/>
      </c>
      <c r="U823" s="17" t="str">
        <f aca="false">IF($T823="","",IF($B$10=0,"",$T823/$B$10))</f>
        <v/>
      </c>
      <c r="V823" s="17" t="str">
        <f aca="false">IF($P823="","",IF($B$10=0,"",$P823/$B$10))</f>
        <v/>
      </c>
      <c r="W823" s="19" t="n">
        <f aca="false">IF($T823="",1000000000000000,$T823)</f>
        <v/>
      </c>
      <c r="XFB823" s="6"/>
      <c r="XFC823" s="3"/>
    </row>
    <row r="824" s="21" collapsed="false" customFormat="true" customHeight="true" hidden="false" ht="28.5" outlineLevel="0">
      <c r="A824" s="16" t="str">
        <f aca="false">IF($T824="","",1+COUNTIF($W$15:$W$894,"&lt;"&amp;W824))</f>
        <v/>
      </c>
      <c r="B824" s="16" t="s">
        <v>10</v>
      </c>
      <c r="C824" s="16" t="s">
        <v>1623</v>
      </c>
      <c r="D824" s="20" t="s">
        <v>86</v>
      </c>
      <c r="E824" s="16" t="s">
        <v>63</v>
      </c>
      <c r="F824" s="16" t="s">
        <v>1624</v>
      </c>
      <c r="G824" s="17">
        <v>1845</v>
      </c>
      <c r="H824" s="17"/>
      <c r="I824" s="17"/>
      <c r="J824" s="17">
        <v>1835</v>
      </c>
      <c r="K824" s="17" t="n">
        <f aca="false">IF(AND(IFERROR(SEARCH("현대오일뱅크",$C824),0)&gt;0,IFERROR(SEARCH("직영",$C824),0)&gt;0),$B$13,0)</f>
        <v/>
      </c>
      <c r="L824" s="17" t="n">
        <f aca="false">IF($G824="","",$G824+$K824)</f>
        <v/>
      </c>
      <c r="M824" s="17" t="str">
        <f aca="false">IF($H824="","",$H824+$K824)</f>
        <v/>
      </c>
      <c r="N824" s="17" t="n">
        <f aca="false">IF($J824="","",$J824+$K824)</f>
        <v/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 t="str">
        <f aca="false">IF($B$10=0,"",IFERROR(IF($B$4&gt;0,IF($L824="",1/0,$L824*$B$4),0)+IF($B$5&gt;0,IF($M824="",1/0,$M824*$B$5),0)+IF($B$6&gt;0,IF($N824="",1/0,$N824*$B$6),0),""))</f>
        <v/>
      </c>
      <c r="Q824" s="17"/>
      <c r="R824" s="18" t="str">
        <f aca="false">IF($P824="","",IF($Q824="Y",IFERROR(VLOOKUP($B824,$C$4:$D$13,2,FALSE()),0),0))</f>
        <v/>
      </c>
      <c r="S824" s="17" t="str">
        <f aca="false">IF($P824="","",ROUNDDOWN($P824*$R824,0))</f>
        <v/>
      </c>
      <c r="T824" s="17" t="str">
        <f aca="false">IF($P824="","",$P824-$S824)</f>
        <v/>
      </c>
      <c r="U824" s="17" t="str">
        <f aca="false">IF($T824="","",IF($B$10=0,"",$T824/$B$10))</f>
        <v/>
      </c>
      <c r="V824" s="17" t="str">
        <f aca="false">IF($P824="","",IF($B$10=0,"",$P824/$B$10))</f>
        <v/>
      </c>
      <c r="W824" s="19" t="n">
        <f aca="false">IF($T824="",1000000000000000,$T824)</f>
        <v/>
      </c>
      <c r="XFB824" s="6"/>
      <c r="XFC824" s="3"/>
    </row>
    <row r="825" s="6" collapsed="false" customFormat="true" customHeight="true" hidden="false" ht="28.6" outlineLevel="0">
      <c r="A825" s="16" t="str">
        <f aca="false">IF($T825="","",1+COUNTIF($W$15:$W$894,"&lt;"&amp;W825))</f>
        <v/>
      </c>
      <c r="B825" s="16" t="s">
        <v>14</v>
      </c>
      <c r="C825" s="16" t="s">
        <v>1625</v>
      </c>
      <c r="D825" s="16" t="s">
        <v>45</v>
      </c>
      <c r="E825" s="16" t="s">
        <v>63</v>
      </c>
      <c r="F825" s="16" t="s">
        <v>1626</v>
      </c>
      <c r="G825" s="17">
        <v>1846</v>
      </c>
      <c r="H825" s="17"/>
      <c r="I825" s="17"/>
      <c r="J825" s="17">
        <v>1846</v>
      </c>
      <c r="K825" s="17" t="n">
        <f aca="false">IF(AND(IFERROR(SEARCH("현대오일뱅크",$C825),0)&gt;0,IFERROR(SEARCH("직영",$C825),0)&gt;0),$B$13,0)</f>
        <v/>
      </c>
      <c r="L825" s="17" t="n">
        <f aca="false">IF($G825="","",$G825+$K825)</f>
        <v/>
      </c>
      <c r="M825" s="17" t="str">
        <f aca="false">IF($H825="","",$H825+$K825)</f>
        <v/>
      </c>
      <c r="N825" s="17" t="n">
        <f aca="false">IF($J825="","",$J825+$K825)</f>
        <v/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 t="str">
        <f aca="false">IF($B$10=0,"",IFERROR(IF($B$4&gt;0,IF($L825="",1/0,$L825*$B$4),0)+IF($B$5&gt;0,IF($M825="",1/0,$M825*$B$5),0)+IF($B$6&gt;0,IF($N825="",1/0,$N825*$B$6),0),""))</f>
        <v/>
      </c>
      <c r="Q825" s="17"/>
      <c r="R825" s="18" t="str">
        <f aca="false">IF($P825="","",IF($Q825="Y",IFERROR(VLOOKUP($B825,$C$4:$D$13,2,FALSE()),0),0))</f>
        <v/>
      </c>
      <c r="S825" s="17" t="str">
        <f aca="false">IF($P825="","",ROUNDDOWN($P825*$R825,0))</f>
        <v/>
      </c>
      <c r="T825" s="17" t="str">
        <f aca="false">IF($P825="","",$P825-$S825)</f>
        <v/>
      </c>
      <c r="U825" s="17" t="str">
        <f aca="false">IF($T825="","",IF($B$10=0,"",$T825/$B$10))</f>
        <v/>
      </c>
      <c r="V825" s="17" t="str">
        <f aca="false">IF($P825="","",IF($B$10=0,"",$P825/$B$10))</f>
        <v/>
      </c>
      <c r="W825" s="19" t="n">
        <f aca="false">IF($T825="",1000000000000000,$T825)</f>
        <v/>
      </c>
      <c r="XFC825" s="3"/>
    </row>
    <row r="826" s="6" collapsed="false" customFormat="true" customHeight="true" hidden="false" ht="28.6" outlineLevel="0">
      <c r="A826" s="16" t="str">
        <f aca="false">IF($T826="","",1+COUNTIF($W$15:$W$894,"&lt;"&amp;W826))</f>
        <v/>
      </c>
      <c r="B826" s="16" t="s">
        <v>12</v>
      </c>
      <c r="C826" s="16" t="s">
        <v>1627</v>
      </c>
      <c r="D826" s="20" t="s">
        <v>86</v>
      </c>
      <c r="E826" s="16" t="s">
        <v>63</v>
      </c>
      <c r="F826" s="16" t="s">
        <v>1628</v>
      </c>
      <c r="G826" s="17">
        <v>1847</v>
      </c>
      <c r="H826" s="17"/>
      <c r="I826" s="17"/>
      <c r="J826" s="17">
        <v>1847</v>
      </c>
      <c r="K826" s="17" t="n">
        <f aca="false">IF(AND(IFERROR(SEARCH("현대오일뱅크",$C826),0)&gt;0,IFERROR(SEARCH("직영",$C826),0)&gt;0),$B$13,0)</f>
        <v/>
      </c>
      <c r="L826" s="17" t="n">
        <f aca="false">IF($G826="","",$G826+$K826)</f>
        <v/>
      </c>
      <c r="M826" s="17" t="str">
        <f aca="false">IF($H826="","",$H826+$K826)</f>
        <v/>
      </c>
      <c r="N826" s="17" t="n">
        <f aca="false">IF($J826="","",$J826+$K826)</f>
        <v/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 t="str">
        <f aca="false">IF($B$10=0,"",IFERROR(IF($B$4&gt;0,IF($L826="",1/0,$L826*$B$4),0)+IF($B$5&gt;0,IF($M826="",1/0,$M826*$B$5),0)+IF($B$6&gt;0,IF($N826="",1/0,$N826*$B$6),0),""))</f>
        <v/>
      </c>
      <c r="Q826" s="17"/>
      <c r="R826" s="18" t="str">
        <f aca="false">IF($P826="","",IF($Q826="Y",IFERROR(VLOOKUP($B826,$C$4:$D$13,2,FALSE()),0),0))</f>
        <v/>
      </c>
      <c r="S826" s="17" t="str">
        <f aca="false">IF($P826="","",ROUNDDOWN($P826*$R826,0))</f>
        <v/>
      </c>
      <c r="T826" s="17" t="str">
        <f aca="false">IF($P826="","",$P826-$S826)</f>
        <v/>
      </c>
      <c r="U826" s="17" t="str">
        <f aca="false">IF($T826="","",IF($B$10=0,"",$T826/$B$10))</f>
        <v/>
      </c>
      <c r="V826" s="17" t="str">
        <f aca="false">IF($P826="","",IF($B$10=0,"",$P826/$B$10))</f>
        <v/>
      </c>
      <c r="W826" s="19" t="n">
        <f aca="false">IF($T826="",1000000000000000,$T826)</f>
        <v/>
      </c>
      <c r="XFC826" s="3"/>
    </row>
    <row r="827" s="21" collapsed="false" customFormat="true" customHeight="true" hidden="false" ht="28.5" outlineLevel="0">
      <c r="A827" s="16" t="str">
        <f aca="false">IF($T827="","",1+COUNTIF($W$15:$W$894,"&lt;"&amp;W827))</f>
        <v/>
      </c>
      <c r="B827" s="16" t="s">
        <v>14</v>
      </c>
      <c r="C827" s="16" t="s">
        <v>1629</v>
      </c>
      <c r="D827" s="16" t="s">
        <v>95</v>
      </c>
      <c r="E827" s="16" t="s">
        <v>26</v>
      </c>
      <c r="F827" s="16" t="s">
        <v>1630</v>
      </c>
      <c r="G827" s="17">
        <v>1848</v>
      </c>
      <c r="H827" s="17"/>
      <c r="I827" s="17"/>
      <c r="J827" s="17">
        <v>1858</v>
      </c>
      <c r="K827" s="17" t="n">
        <f aca="false">IF(AND(IFERROR(SEARCH("현대오일뱅크",$C827),0)&gt;0,IFERROR(SEARCH("직영",$C827),0)&gt;0),$B$13,0)</f>
        <v/>
      </c>
      <c r="L827" s="17" t="n">
        <f aca="false">IF($G827="","",$G827+$K827)</f>
        <v/>
      </c>
      <c r="M827" s="17" t="str">
        <f aca="false">IF($H827="","",$H827+$K827)</f>
        <v/>
      </c>
      <c r="N827" s="17" t="n">
        <f aca="false">IF($J827="","",$J827+$K827)</f>
        <v/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 t="str">
        <f aca="false">IF($B$10=0,"",IFERROR(IF($B$4&gt;0,IF($L827="",1/0,$L827*$B$4),0)+IF($B$5&gt;0,IF($M827="",1/0,$M827*$B$5),0)+IF($B$6&gt;0,IF($N827="",1/0,$N827*$B$6),0),""))</f>
        <v/>
      </c>
      <c r="Q827" s="17"/>
      <c r="R827" s="18" t="str">
        <f aca="false">IF($P827="","",IF($Q827="Y",IFERROR(VLOOKUP($B827,$C$4:$D$13,2,FALSE()),0),0))</f>
        <v/>
      </c>
      <c r="S827" s="17" t="str">
        <f aca="false">IF($P827="","",ROUNDDOWN($P827*$R827,0))</f>
        <v/>
      </c>
      <c r="T827" s="17" t="str">
        <f aca="false">IF($P827="","",$P827-$S827)</f>
        <v/>
      </c>
      <c r="U827" s="17" t="str">
        <f aca="false">IF($T827="","",IF($B$10=0,"",$T827/$B$10))</f>
        <v/>
      </c>
      <c r="V827" s="17" t="str">
        <f aca="false">IF($P827="","",IF($B$10=0,"",$P827/$B$10))</f>
        <v/>
      </c>
      <c r="W827" s="19" t="n">
        <f aca="false">IF($T827="",1000000000000000,$T827)</f>
        <v/>
      </c>
      <c r="XFB827" s="6"/>
      <c r="XFC827" s="3"/>
    </row>
    <row r="828" s="21" collapsed="false" customFormat="true" customHeight="true" hidden="false" ht="28.5" outlineLevel="0">
      <c r="A828" s="16" t="str">
        <f aca="false">IF($T828="","",1+COUNTIF($W$15:$W$894,"&lt;"&amp;W828))</f>
        <v/>
      </c>
      <c r="B828" s="16" t="s">
        <v>12</v>
      </c>
      <c r="C828" s="16" t="s">
        <v>1631</v>
      </c>
      <c r="D828" s="20" t="s">
        <v>86</v>
      </c>
      <c r="E828" s="16" t="s">
        <v>63</v>
      </c>
      <c r="F828" s="16" t="s">
        <v>1632</v>
      </c>
      <c r="G828" s="17">
        <v>1849</v>
      </c>
      <c r="H828" s="17"/>
      <c r="I828" s="17"/>
      <c r="J828" s="17">
        <v>1799</v>
      </c>
      <c r="K828" s="17" t="n">
        <f aca="false">IF(AND(IFERROR(SEARCH("현대오일뱅크",$C828),0)&gt;0,IFERROR(SEARCH("직영",$C828),0)&gt;0),$B$13,0)</f>
        <v/>
      </c>
      <c r="L828" s="17" t="n">
        <f aca="false">IF($G828="","",$G828+$K828)</f>
        <v/>
      </c>
      <c r="M828" s="17" t="str">
        <f aca="false">IF($H828="","",$H828+$K828)</f>
        <v/>
      </c>
      <c r="N828" s="17" t="n">
        <f aca="false">IF($J828="","",$J828+$K828)</f>
        <v/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 t="str">
        <f aca="false">IF($B$10=0,"",IFERROR(IF($B$4&gt;0,IF($L828="",1/0,$L828*$B$4),0)+IF($B$5&gt;0,IF($M828="",1/0,$M828*$B$5),0)+IF($B$6&gt;0,IF($N828="",1/0,$N828*$B$6),0),""))</f>
        <v/>
      </c>
      <c r="Q828" s="17"/>
      <c r="R828" s="18" t="str">
        <f aca="false">IF($P828="","",IF($Q828="Y",IFERROR(VLOOKUP($B828,$C$4:$D$13,2,FALSE()),0),0))</f>
        <v/>
      </c>
      <c r="S828" s="17" t="str">
        <f aca="false">IF($P828="","",ROUNDDOWN($P828*$R828,0))</f>
        <v/>
      </c>
      <c r="T828" s="17" t="str">
        <f aca="false">IF($P828="","",$P828-$S828)</f>
        <v/>
      </c>
      <c r="U828" s="17" t="str">
        <f aca="false">IF($T828="","",IF($B$10=0,"",$T828/$B$10))</f>
        <v/>
      </c>
      <c r="V828" s="17" t="str">
        <f aca="false">IF($P828="","",IF($B$10=0,"",$P828/$B$10))</f>
        <v/>
      </c>
      <c r="W828" s="19" t="n">
        <f aca="false">IF($T828="",1000000000000000,$T828)</f>
        <v/>
      </c>
      <c r="XFB828" s="6"/>
      <c r="XFC828" s="3"/>
    </row>
    <row r="829" s="6" collapsed="false" customFormat="true" customHeight="true" hidden="false" ht="28.6" outlineLevel="0">
      <c r="A829" s="16" t="str">
        <f aca="false">IF($T829="","",1+COUNTIF($W$15:$W$894,"&lt;"&amp;W829))</f>
        <v/>
      </c>
      <c r="B829" s="16" t="s">
        <v>10</v>
      </c>
      <c r="C829" s="16" t="s">
        <v>1633</v>
      </c>
      <c r="D829" s="16" t="s">
        <v>45</v>
      </c>
      <c r="E829" s="16" t="s">
        <v>26</v>
      </c>
      <c r="F829" s="16" t="s">
        <v>1634</v>
      </c>
      <c r="G829" s="17">
        <v>1849</v>
      </c>
      <c r="H829" s="17"/>
      <c r="I829" s="17"/>
      <c r="J829" s="17">
        <v>1799</v>
      </c>
      <c r="K829" s="17" t="n">
        <f aca="false">IF(AND(IFERROR(SEARCH("현대오일뱅크",$C829),0)&gt;0,IFERROR(SEARCH("직영",$C829),0)&gt;0),$B$13,0)</f>
        <v/>
      </c>
      <c r="L829" s="17" t="n">
        <f aca="false">IF($G829="","",$G829+$K829)</f>
        <v/>
      </c>
      <c r="M829" s="17" t="str">
        <f aca="false">IF($H829="","",$H829+$K829)</f>
        <v/>
      </c>
      <c r="N829" s="17" t="n">
        <f aca="false">IF($J829="","",$J829+$K829)</f>
        <v/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 t="str">
        <f aca="false">IF($B$10=0,"",IFERROR(IF($B$4&gt;0,IF($L829="",1/0,$L829*$B$4),0)+IF($B$5&gt;0,IF($M829="",1/0,$M829*$B$5),0)+IF($B$6&gt;0,IF($N829="",1/0,$N829*$B$6),0),""))</f>
        <v/>
      </c>
      <c r="Q829" s="17"/>
      <c r="R829" s="18" t="str">
        <f aca="false">IF($P829="","",IF($Q829="Y",IFERROR(VLOOKUP($B829,$C$4:$D$13,2,FALSE()),0),0))</f>
        <v/>
      </c>
      <c r="S829" s="17" t="str">
        <f aca="false">IF($P829="","",ROUNDDOWN($P829*$R829,0))</f>
        <v/>
      </c>
      <c r="T829" s="17" t="str">
        <f aca="false">IF($P829="","",$P829-$S829)</f>
        <v/>
      </c>
      <c r="U829" s="17" t="str">
        <f aca="false">IF($T829="","",IF($B$10=0,"",$T829/$B$10))</f>
        <v/>
      </c>
      <c r="V829" s="17" t="str">
        <f aca="false">IF($P829="","",IF($B$10=0,"",$P829/$B$10))</f>
        <v/>
      </c>
      <c r="W829" s="19" t="n">
        <f aca="false">IF($T829="",1000000000000000,$T829)</f>
        <v/>
      </c>
      <c r="XFC829" s="3"/>
    </row>
    <row r="830" s="6" collapsed="false" customFormat="true" customHeight="true" hidden="false" ht="28.6" outlineLevel="0">
      <c r="A830" s="16" t="str">
        <f aca="false">IF($T830="","",1+COUNTIF($W$15:$W$894,"&lt;"&amp;W830))</f>
        <v/>
      </c>
      <c r="B830" s="16" t="s">
        <v>14</v>
      </c>
      <c r="C830" s="16" t="s">
        <v>1635</v>
      </c>
      <c r="D830" s="16" t="s">
        <v>45</v>
      </c>
      <c r="E830" s="16" t="s">
        <v>63</v>
      </c>
      <c r="F830" s="16" t="s">
        <v>1636</v>
      </c>
      <c r="G830" s="17">
        <v>1849</v>
      </c>
      <c r="H830" s="17"/>
      <c r="I830" s="17"/>
      <c r="J830" s="17">
        <v>1839</v>
      </c>
      <c r="K830" s="17" t="n">
        <f aca="false">IF(AND(IFERROR(SEARCH("현대오일뱅크",$C830),0)&gt;0,IFERROR(SEARCH("직영",$C830),0)&gt;0),$B$13,0)</f>
        <v/>
      </c>
      <c r="L830" s="17" t="n">
        <f aca="false">IF($G830="","",$G830+$K830)</f>
        <v/>
      </c>
      <c r="M830" s="17" t="str">
        <f aca="false">IF($H830="","",$H830+$K830)</f>
        <v/>
      </c>
      <c r="N830" s="17" t="n">
        <f aca="false">IF($J830="","",$J830+$K830)</f>
        <v/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 t="str">
        <f aca="false">IF($B$10=0,"",IFERROR(IF($B$4&gt;0,IF($L830="",1/0,$L830*$B$4),0)+IF($B$5&gt;0,IF($M830="",1/0,$M830*$B$5),0)+IF($B$6&gt;0,IF($N830="",1/0,$N830*$B$6),0),""))</f>
        <v/>
      </c>
      <c r="Q830" s="17"/>
      <c r="R830" s="18" t="str">
        <f aca="false">IF($P830="","",IF($Q830="Y",IFERROR(VLOOKUP($B830,$C$4:$D$13,2,FALSE()),0),0))</f>
        <v/>
      </c>
      <c r="S830" s="17" t="str">
        <f aca="false">IF($P830="","",ROUNDDOWN($P830*$R830,0))</f>
        <v/>
      </c>
      <c r="T830" s="17" t="str">
        <f aca="false">IF($P830="","",$P830-$S830)</f>
        <v/>
      </c>
      <c r="U830" s="17" t="str">
        <f aca="false">IF($T830="","",IF($B$10=0,"",$T830/$B$10))</f>
        <v/>
      </c>
      <c r="V830" s="17" t="str">
        <f aca="false">IF($P830="","",IF($B$10=0,"",$P830/$B$10))</f>
        <v/>
      </c>
      <c r="W830" s="19" t="n">
        <f aca="false">IF($T830="",1000000000000000,$T830)</f>
        <v/>
      </c>
      <c r="XFC830" s="3"/>
    </row>
    <row r="831" s="6" collapsed="false" customFormat="true" customHeight="true" hidden="false" ht="28.6" outlineLevel="0">
      <c r="A831" s="16" t="str">
        <f aca="false">IF($T831="","",1+COUNTIF($W$15:$W$894,"&lt;"&amp;W831))</f>
        <v/>
      </c>
      <c r="B831" s="16" t="s">
        <v>14</v>
      </c>
      <c r="C831" s="16" t="s">
        <v>1637</v>
      </c>
      <c r="D831" s="16" t="s">
        <v>45</v>
      </c>
      <c r="E831" s="16" t="s">
        <v>63</v>
      </c>
      <c r="F831" s="16" t="s">
        <v>1638</v>
      </c>
      <c r="G831" s="17">
        <v>1849</v>
      </c>
      <c r="H831" s="17"/>
      <c r="I831" s="17"/>
      <c r="J831" s="17">
        <v>1839</v>
      </c>
      <c r="K831" s="17" t="n">
        <f aca="false">IF(AND(IFERROR(SEARCH("현대오일뱅크",$C831),0)&gt;0,IFERROR(SEARCH("직영",$C831),0)&gt;0),$B$13,0)</f>
        <v/>
      </c>
      <c r="L831" s="17" t="n">
        <f aca="false">IF($G831="","",$G831+$K831)</f>
        <v/>
      </c>
      <c r="M831" s="17" t="str">
        <f aca="false">IF($H831="","",$H831+$K831)</f>
        <v/>
      </c>
      <c r="N831" s="17" t="n">
        <f aca="false">IF($J831="","",$J831+$K831)</f>
        <v/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 t="str">
        <f aca="false">IF($B$10=0,"",IFERROR(IF($B$4&gt;0,IF($L831="",1/0,$L831*$B$4),0)+IF($B$5&gt;0,IF($M831="",1/0,$M831*$B$5),0)+IF($B$6&gt;0,IF($N831="",1/0,$N831*$B$6),0),""))</f>
        <v/>
      </c>
      <c r="Q831" s="17"/>
      <c r="R831" s="18" t="str">
        <f aca="false">IF($P831="","",IF($Q831="Y",IFERROR(VLOOKUP($B831,$C$4:$D$13,2,FALSE()),0),0))</f>
        <v/>
      </c>
      <c r="S831" s="17" t="str">
        <f aca="false">IF($P831="","",ROUNDDOWN($P831*$R831,0))</f>
        <v/>
      </c>
      <c r="T831" s="17" t="str">
        <f aca="false">IF($P831="","",$P831-$S831)</f>
        <v/>
      </c>
      <c r="U831" s="17" t="str">
        <f aca="false">IF($T831="","",IF($B$10=0,"",$T831/$B$10))</f>
        <v/>
      </c>
      <c r="V831" s="17" t="str">
        <f aca="false">IF($P831="","",IF($B$10=0,"",$P831/$B$10))</f>
        <v/>
      </c>
      <c r="W831" s="19" t="n">
        <f aca="false">IF($T831="",1000000000000000,$T831)</f>
        <v/>
      </c>
      <c r="XFC831" s="3"/>
    </row>
    <row r="832" s="6" collapsed="false" customFormat="true" customHeight="true" hidden="false" ht="28.6" outlineLevel="0">
      <c r="A832" s="16" t="str">
        <f aca="false">IF($T832="","",1+COUNTIF($W$15:$W$894,"&lt;"&amp;W832))</f>
        <v/>
      </c>
      <c r="B832" s="16" t="s">
        <v>10</v>
      </c>
      <c r="C832" s="16" t="s">
        <v>1639</v>
      </c>
      <c r="D832" s="16" t="s">
        <v>95</v>
      </c>
      <c r="E832" s="16" t="s">
        <v>26</v>
      </c>
      <c r="F832" s="16" t="s">
        <v>1640</v>
      </c>
      <c r="G832" s="17">
        <v>1849</v>
      </c>
      <c r="H832" s="17"/>
      <c r="I832" s="17"/>
      <c r="J832" s="17">
        <v>1839</v>
      </c>
      <c r="K832" s="17" t="n">
        <f aca="false">IF(AND(IFERROR(SEARCH("현대오일뱅크",$C832),0)&gt;0,IFERROR(SEARCH("직영",$C832),0)&gt;0),$B$13,0)</f>
        <v/>
      </c>
      <c r="L832" s="17" t="n">
        <f aca="false">IF($G832="","",$G832+$K832)</f>
        <v/>
      </c>
      <c r="M832" s="17" t="str">
        <f aca="false">IF($H832="","",$H832+$K832)</f>
        <v/>
      </c>
      <c r="N832" s="17" t="n">
        <f aca="false">IF($J832="","",$J832+$K832)</f>
        <v/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 t="str">
        <f aca="false">IF($B$10=0,"",IFERROR(IF($B$4&gt;0,IF($L832="",1/0,$L832*$B$4),0)+IF($B$5&gt;0,IF($M832="",1/0,$M832*$B$5),0)+IF($B$6&gt;0,IF($N832="",1/0,$N832*$B$6),0),""))</f>
        <v/>
      </c>
      <c r="Q832" s="17"/>
      <c r="R832" s="18" t="str">
        <f aca="false">IF($P832="","",IF($Q832="Y",IFERROR(VLOOKUP($B832,$C$4:$D$13,2,FALSE()),0),0))</f>
        <v/>
      </c>
      <c r="S832" s="17" t="str">
        <f aca="false">IF($P832="","",ROUNDDOWN($P832*$R832,0))</f>
        <v/>
      </c>
      <c r="T832" s="17" t="str">
        <f aca="false">IF($P832="","",$P832-$S832)</f>
        <v/>
      </c>
      <c r="U832" s="17" t="str">
        <f aca="false">IF($T832="","",IF($B$10=0,"",$T832/$B$10))</f>
        <v/>
      </c>
      <c r="V832" s="17" t="str">
        <f aca="false">IF($P832="","",IF($B$10=0,"",$P832/$B$10))</f>
        <v/>
      </c>
      <c r="W832" s="19" t="n">
        <f aca="false">IF($T832="",1000000000000000,$T832)</f>
        <v/>
      </c>
      <c r="XFC832" s="3"/>
    </row>
    <row r="833" s="21" collapsed="false" customFormat="true" customHeight="true" hidden="false" ht="28.5" outlineLevel="0">
      <c r="A833" s="16" t="str">
        <f aca="false">IF($T833="","",1+COUNTIF($W$15:$W$894,"&lt;"&amp;W833))</f>
        <v/>
      </c>
      <c r="B833" s="16" t="s">
        <v>18</v>
      </c>
      <c r="C833" s="16" t="s">
        <v>1641</v>
      </c>
      <c r="D833" s="16" t="s">
        <v>95</v>
      </c>
      <c r="E833" s="16" t="s">
        <v>63</v>
      </c>
      <c r="F833" s="16" t="s">
        <v>1642</v>
      </c>
      <c r="G833" s="17">
        <v>1849</v>
      </c>
      <c r="H833" s="17"/>
      <c r="I833" s="17"/>
      <c r="J833" s="17">
        <v>1849</v>
      </c>
      <c r="K833" s="17" t="n">
        <f aca="false">IF(AND(IFERROR(SEARCH("현대오일뱅크",$C833),0)&gt;0,IFERROR(SEARCH("직영",$C833),0)&gt;0),$B$13,0)</f>
        <v/>
      </c>
      <c r="L833" s="17" t="n">
        <f aca="false">IF($G833="","",$G833+$K833)</f>
        <v/>
      </c>
      <c r="M833" s="17" t="str">
        <f aca="false">IF($H833="","",$H833+$K833)</f>
        <v/>
      </c>
      <c r="N833" s="17" t="n">
        <f aca="false">IF($J833="","",$J833+$K833)</f>
        <v/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 t="str">
        <f aca="false">IF($B$10=0,"",IFERROR(IF($B$4&gt;0,IF($L833="",1/0,$L833*$B$4),0)+IF($B$5&gt;0,IF($M833="",1/0,$M833*$B$5),0)+IF($B$6&gt;0,IF($N833="",1/0,$N833*$B$6),0),""))</f>
        <v/>
      </c>
      <c r="Q833" s="17"/>
      <c r="R833" s="18" t="str">
        <f aca="false">IF($P833="","",IF($Q833="Y",IFERROR(VLOOKUP($B833,$C$4:$D$13,2,FALSE()),0),0))</f>
        <v/>
      </c>
      <c r="S833" s="17" t="str">
        <f aca="false">IF($P833="","",ROUNDDOWN($P833*$R833,0))</f>
        <v/>
      </c>
      <c r="T833" s="17" t="str">
        <f aca="false">IF($P833="","",$P833-$S833)</f>
        <v/>
      </c>
      <c r="U833" s="17" t="str">
        <f aca="false">IF($T833="","",IF($B$10=0,"",$T833/$B$10))</f>
        <v/>
      </c>
      <c r="V833" s="17" t="str">
        <f aca="false">IF($P833="","",IF($B$10=0,"",$P833/$B$10))</f>
        <v/>
      </c>
      <c r="W833" s="19" t="n">
        <f aca="false">IF($T833="",1000000000000000,$T833)</f>
        <v/>
      </c>
      <c r="XFB833" s="6"/>
      <c r="XFC833" s="3"/>
    </row>
    <row r="834" s="6" collapsed="false" customFormat="true" customHeight="true" hidden="false" ht="28.6" outlineLevel="0">
      <c r="A834" s="16" t="str">
        <f aca="false">IF($T834="","",1+COUNTIF($W$15:$W$894,"&lt;"&amp;W834))</f>
        <v/>
      </c>
      <c r="B834" s="16" t="s">
        <v>8</v>
      </c>
      <c r="C834" s="16" t="s">
        <v>1643</v>
      </c>
      <c r="D834" s="20" t="s">
        <v>86</v>
      </c>
      <c r="E834" s="16" t="s">
        <v>26</v>
      </c>
      <c r="F834" s="16" t="s">
        <v>1644</v>
      </c>
      <c r="G834" s="17">
        <v>1849</v>
      </c>
      <c r="H834" s="17"/>
      <c r="I834" s="17"/>
      <c r="J834" s="17">
        <v>1849</v>
      </c>
      <c r="K834" s="17" t="n">
        <f aca="false">IF(AND(IFERROR(SEARCH("현대오일뱅크",$C834),0)&gt;0,IFERROR(SEARCH("직영",$C834),0)&gt;0),$B$13,0)</f>
        <v/>
      </c>
      <c r="L834" s="17" t="n">
        <f aca="false">IF($G834="","",$G834+$K834)</f>
        <v/>
      </c>
      <c r="M834" s="17" t="str">
        <f aca="false">IF($H834="","",$H834+$K834)</f>
        <v/>
      </c>
      <c r="N834" s="17" t="n">
        <f aca="false">IF($J834="","",$J834+$K834)</f>
        <v/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 t="str">
        <f aca="false">IF($B$10=0,"",IFERROR(IF($B$4&gt;0,IF($L834="",1/0,$L834*$B$4),0)+IF($B$5&gt;0,IF($M834="",1/0,$M834*$B$5),0)+IF($B$6&gt;0,IF($N834="",1/0,$N834*$B$6),0),""))</f>
        <v/>
      </c>
      <c r="Q834" s="17"/>
      <c r="R834" s="18" t="str">
        <f aca="false">IF($P834="","",IF($Q834="Y",IFERROR(VLOOKUP($B834,$C$4:$D$13,2,FALSE()),0),0))</f>
        <v/>
      </c>
      <c r="S834" s="17" t="str">
        <f aca="false">IF($P834="","",ROUNDDOWN($P834*$R834,0))</f>
        <v/>
      </c>
      <c r="T834" s="17" t="str">
        <f aca="false">IF($P834="","",$P834-$S834)</f>
        <v/>
      </c>
      <c r="U834" s="17" t="str">
        <f aca="false">IF($T834="","",IF($B$10=0,"",$T834/$B$10))</f>
        <v/>
      </c>
      <c r="V834" s="17" t="str">
        <f aca="false">IF($P834="","",IF($B$10=0,"",$P834/$B$10))</f>
        <v/>
      </c>
      <c r="W834" s="19" t="n">
        <f aca="false">IF($T834="",1000000000000000,$T834)</f>
        <v/>
      </c>
      <c r="XFC834" s="3"/>
    </row>
    <row r="835" s="6" collapsed="false" customFormat="true" customHeight="true" hidden="false" ht="28.6" outlineLevel="0">
      <c r="A835" s="16" t="str">
        <f aca="false">IF($T835="","",1+COUNTIF($W$15:$W$894,"&lt;"&amp;W835))</f>
        <v/>
      </c>
      <c r="B835" s="16" t="s">
        <v>14</v>
      </c>
      <c r="C835" s="16" t="s">
        <v>1645</v>
      </c>
      <c r="D835" s="16" t="s">
        <v>95</v>
      </c>
      <c r="E835" s="16" t="s">
        <v>26</v>
      </c>
      <c r="F835" s="16" t="s">
        <v>1646</v>
      </c>
      <c r="G835" s="17">
        <v>1849</v>
      </c>
      <c r="H835" s="17"/>
      <c r="I835" s="17"/>
      <c r="J835" s="17">
        <v>1849</v>
      </c>
      <c r="K835" s="17" t="n">
        <f aca="false">IF(AND(IFERROR(SEARCH("현대오일뱅크",$C835),0)&gt;0,IFERROR(SEARCH("직영",$C835),0)&gt;0),$B$13,0)</f>
        <v/>
      </c>
      <c r="L835" s="17" t="n">
        <f aca="false">IF($G835="","",$G835+$K835)</f>
        <v/>
      </c>
      <c r="M835" s="17" t="str">
        <f aca="false">IF($H835="","",$H835+$K835)</f>
        <v/>
      </c>
      <c r="N835" s="17" t="n">
        <f aca="false">IF($J835="","",$J835+$K835)</f>
        <v/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 t="str">
        <f aca="false">IF($B$10=0,"",IFERROR(IF($B$4&gt;0,IF($L835="",1/0,$L835*$B$4),0)+IF($B$5&gt;0,IF($M835="",1/0,$M835*$B$5),0)+IF($B$6&gt;0,IF($N835="",1/0,$N835*$B$6),0),""))</f>
        <v/>
      </c>
      <c r="Q835" s="17"/>
      <c r="R835" s="18" t="str">
        <f aca="false">IF($P835="","",IF($Q835="Y",IFERROR(VLOOKUP($B835,$C$4:$D$13,2,FALSE()),0),0))</f>
        <v/>
      </c>
      <c r="S835" s="17" t="str">
        <f aca="false">IF($P835="","",ROUNDDOWN($P835*$R835,0))</f>
        <v/>
      </c>
      <c r="T835" s="17" t="str">
        <f aca="false">IF($P835="","",$P835-$S835)</f>
        <v/>
      </c>
      <c r="U835" s="17" t="str">
        <f aca="false">IF($T835="","",IF($B$10=0,"",$T835/$B$10))</f>
        <v/>
      </c>
      <c r="V835" s="17" t="str">
        <f aca="false">IF($P835="","",IF($B$10=0,"",$P835/$B$10))</f>
        <v/>
      </c>
      <c r="W835" s="19" t="n">
        <f aca="false">IF($T835="",1000000000000000,$T835)</f>
        <v/>
      </c>
      <c r="XFC835" s="3"/>
    </row>
    <row r="836" s="6" collapsed="false" customFormat="true" customHeight="true" hidden="false" ht="28.6" outlineLevel="0">
      <c r="A836" s="16" t="str">
        <f aca="false">IF($T836="","",1+COUNTIF($W$15:$W$894,"&lt;"&amp;W836))</f>
        <v/>
      </c>
      <c r="B836" s="16" t="s">
        <v>18</v>
      </c>
      <c r="C836" s="16" t="s">
        <v>1647</v>
      </c>
      <c r="D836" s="16" t="s">
        <v>45</v>
      </c>
      <c r="E836" s="16" t="s">
        <v>26</v>
      </c>
      <c r="F836" s="16" t="s">
        <v>1648</v>
      </c>
      <c r="G836" s="17">
        <v>1849</v>
      </c>
      <c r="H836" s="17"/>
      <c r="I836" s="17"/>
      <c r="J836" s="17">
        <v>1850</v>
      </c>
      <c r="K836" s="17" t="n">
        <f aca="false">IF(AND(IFERROR(SEARCH("현대오일뱅크",$C836),0)&gt;0,IFERROR(SEARCH("직영",$C836),0)&gt;0),$B$13,0)</f>
        <v/>
      </c>
      <c r="L836" s="17" t="n">
        <f aca="false">IF($G836="","",$G836+$K836)</f>
        <v/>
      </c>
      <c r="M836" s="17" t="str">
        <f aca="false">IF($H836="","",$H836+$K836)</f>
        <v/>
      </c>
      <c r="N836" s="17" t="n">
        <f aca="false">IF($J836="","",$J836+$K836)</f>
        <v/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 t="str">
        <f aca="false">IF($B$10=0,"",IFERROR(IF($B$4&gt;0,IF($L836="",1/0,$L836*$B$4),0)+IF($B$5&gt;0,IF($M836="",1/0,$M836*$B$5),0)+IF($B$6&gt;0,IF($N836="",1/0,$N836*$B$6),0),""))</f>
        <v/>
      </c>
      <c r="Q836" s="17"/>
      <c r="R836" s="18" t="str">
        <f aca="false">IF($P836="","",IF($Q836="Y",IFERROR(VLOOKUP($B836,$C$4:$D$13,2,FALSE()),0),0))</f>
        <v/>
      </c>
      <c r="S836" s="17" t="str">
        <f aca="false">IF($P836="","",ROUNDDOWN($P836*$R836,0))</f>
        <v/>
      </c>
      <c r="T836" s="17" t="str">
        <f aca="false">IF($P836="","",$P836-$S836)</f>
        <v/>
      </c>
      <c r="U836" s="17" t="str">
        <f aca="false">IF($T836="","",IF($B$10=0,"",$T836/$B$10))</f>
        <v/>
      </c>
      <c r="V836" s="17" t="str">
        <f aca="false">IF($P836="","",IF($B$10=0,"",$P836/$B$10))</f>
        <v/>
      </c>
      <c r="W836" s="19" t="n">
        <f aca="false">IF($T836="",1000000000000000,$T836)</f>
        <v/>
      </c>
      <c r="XFC836" s="3"/>
    </row>
    <row r="837" s="6" collapsed="false" customFormat="true" customHeight="true" hidden="false" ht="28.6" outlineLevel="0">
      <c r="A837" s="16" t="str">
        <f aca="false">IF($T837="","",1+COUNTIF($W$15:$W$894,"&lt;"&amp;W837))</f>
        <v/>
      </c>
      <c r="B837" s="16" t="s">
        <v>14</v>
      </c>
      <c r="C837" s="16" t="s">
        <v>1649</v>
      </c>
      <c r="D837" s="16" t="s">
        <v>45</v>
      </c>
      <c r="E837" s="16" t="s">
        <v>63</v>
      </c>
      <c r="F837" s="16" t="s">
        <v>1650</v>
      </c>
      <c r="G837" s="17">
        <v>1849</v>
      </c>
      <c r="H837" s="17"/>
      <c r="I837" s="17"/>
      <c r="J837" s="17">
        <v>1859</v>
      </c>
      <c r="K837" s="17" t="n">
        <f aca="false">IF(AND(IFERROR(SEARCH("현대오일뱅크",$C837),0)&gt;0,IFERROR(SEARCH("직영",$C837),0)&gt;0),$B$13,0)</f>
        <v/>
      </c>
      <c r="L837" s="17" t="n">
        <f aca="false">IF($G837="","",$G837+$K837)</f>
        <v/>
      </c>
      <c r="M837" s="17" t="str">
        <f aca="false">IF($H837="","",$H837+$K837)</f>
        <v/>
      </c>
      <c r="N837" s="17" t="n">
        <f aca="false">IF($J837="","",$J837+$K837)</f>
        <v/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 t="str">
        <f aca="false">IF($B$10=0,"",IFERROR(IF($B$4&gt;0,IF($L837="",1/0,$L837*$B$4),0)+IF($B$5&gt;0,IF($M837="",1/0,$M837*$B$5),0)+IF($B$6&gt;0,IF($N837="",1/0,$N837*$B$6),0),""))</f>
        <v/>
      </c>
      <c r="Q837" s="17"/>
      <c r="R837" s="18" t="str">
        <f aca="false">IF($P837="","",IF($Q837="Y",IFERROR(VLOOKUP($B837,$C$4:$D$13,2,FALSE()),0),0))</f>
        <v/>
      </c>
      <c r="S837" s="17" t="str">
        <f aca="false">IF($P837="","",ROUNDDOWN($P837*$R837,0))</f>
        <v/>
      </c>
      <c r="T837" s="17" t="str">
        <f aca="false">IF($P837="","",$P837-$S837)</f>
        <v/>
      </c>
      <c r="U837" s="17" t="str">
        <f aca="false">IF($T837="","",IF($B$10=0,"",$T837/$B$10))</f>
        <v/>
      </c>
      <c r="V837" s="17" t="str">
        <f aca="false">IF($P837="","",IF($B$10=0,"",$P837/$B$10))</f>
        <v/>
      </c>
      <c r="W837" s="19" t="n">
        <f aca="false">IF($T837="",1000000000000000,$T837)</f>
        <v/>
      </c>
      <c r="XFC837" s="3"/>
    </row>
    <row r="838" s="6" collapsed="false" customFormat="true" customHeight="true" hidden="false" ht="28.6" outlineLevel="0">
      <c r="A838" s="16" t="str">
        <f aca="false">IF($T838="","",1+COUNTIF($W$15:$W$894,"&lt;"&amp;W838))</f>
        <v/>
      </c>
      <c r="B838" s="16" t="s">
        <v>14</v>
      </c>
      <c r="C838" s="16" t="s">
        <v>1651</v>
      </c>
      <c r="D838" s="16" t="s">
        <v>51</v>
      </c>
      <c r="E838" s="16" t="s">
        <v>26</v>
      </c>
      <c r="F838" s="16" t="s">
        <v>1652</v>
      </c>
      <c r="G838" s="17">
        <v>1849</v>
      </c>
      <c r="H838" s="17"/>
      <c r="I838" s="17"/>
      <c r="J838" s="17">
        <v>1869</v>
      </c>
      <c r="K838" s="17" t="n">
        <f aca="false">IF(AND(IFERROR(SEARCH("현대오일뱅크",$C838),0)&gt;0,IFERROR(SEARCH("직영",$C838),0)&gt;0),$B$13,0)</f>
        <v/>
      </c>
      <c r="L838" s="17" t="n">
        <f aca="false">IF($G838="","",$G838+$K838)</f>
        <v/>
      </c>
      <c r="M838" s="17" t="str">
        <f aca="false">IF($H838="","",$H838+$K838)</f>
        <v/>
      </c>
      <c r="N838" s="17" t="n">
        <f aca="false">IF($J838="","",$J838+$K838)</f>
        <v/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 t="str">
        <f aca="false">IF($B$10=0,"",IFERROR(IF($B$4&gt;0,IF($L838="",1/0,$L838*$B$4),0)+IF($B$5&gt;0,IF($M838="",1/0,$M838*$B$5),0)+IF($B$6&gt;0,IF($N838="",1/0,$N838*$B$6),0),""))</f>
        <v/>
      </c>
      <c r="Q838" s="17"/>
      <c r="R838" s="18" t="str">
        <f aca="false">IF($P838="","",IF($Q838="Y",IFERROR(VLOOKUP($B838,$C$4:$D$13,2,FALSE()),0),0))</f>
        <v/>
      </c>
      <c r="S838" s="17" t="str">
        <f aca="false">IF($P838="","",ROUNDDOWN($P838*$R838,0))</f>
        <v/>
      </c>
      <c r="T838" s="17" t="str">
        <f aca="false">IF($P838="","",$P838-$S838)</f>
        <v/>
      </c>
      <c r="U838" s="17" t="str">
        <f aca="false">IF($T838="","",IF($B$10=0,"",$T838/$B$10))</f>
        <v/>
      </c>
      <c r="V838" s="17" t="str">
        <f aca="false">IF($P838="","",IF($B$10=0,"",$P838/$B$10))</f>
        <v/>
      </c>
      <c r="W838" s="19" t="n">
        <f aca="false">IF($T838="",1000000000000000,$T838)</f>
        <v/>
      </c>
      <c r="XFC838" s="3"/>
    </row>
    <row r="839" s="21" collapsed="false" customFormat="true" customHeight="true" hidden="false" ht="28.5" outlineLevel="0">
      <c r="A839" s="16" t="str">
        <f aca="false">IF($T839="","",1+COUNTIF($W$15:$W$894,"&lt;"&amp;W839))</f>
        <v/>
      </c>
      <c r="B839" s="16" t="s">
        <v>18</v>
      </c>
      <c r="C839" s="16" t="s">
        <v>1653</v>
      </c>
      <c r="D839" s="20" t="s">
        <v>86</v>
      </c>
      <c r="E839" s="16" t="s">
        <v>26</v>
      </c>
      <c r="F839" s="16" t="s">
        <v>1654</v>
      </c>
      <c r="G839" s="17">
        <v>1850</v>
      </c>
      <c r="H839" s="17"/>
      <c r="I839" s="17"/>
      <c r="J839" s="17">
        <v>1789</v>
      </c>
      <c r="K839" s="17" t="n">
        <f aca="false">IF(AND(IFERROR(SEARCH("현대오일뱅크",$C839),0)&gt;0,IFERROR(SEARCH("직영",$C839),0)&gt;0),$B$13,0)</f>
        <v/>
      </c>
      <c r="L839" s="17" t="n">
        <f aca="false">IF($G839="","",$G839+$K839)</f>
        <v/>
      </c>
      <c r="M839" s="17" t="str">
        <f aca="false">IF($H839="","",$H839+$K839)</f>
        <v/>
      </c>
      <c r="N839" s="17" t="n">
        <f aca="false">IF($J839="","",$J839+$K839)</f>
        <v/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 t="str">
        <f aca="false">IF($B$10=0,"",IFERROR(IF($B$4&gt;0,IF($L839="",1/0,$L839*$B$4),0)+IF($B$5&gt;0,IF($M839="",1/0,$M839*$B$5),0)+IF($B$6&gt;0,IF($N839="",1/0,$N839*$B$6),0),""))</f>
        <v/>
      </c>
      <c r="Q839" s="17"/>
      <c r="R839" s="18" t="str">
        <f aca="false">IF($P839="","",IF($Q839="Y",IFERROR(VLOOKUP($B839,$C$4:$D$13,2,FALSE()),0),0))</f>
        <v/>
      </c>
      <c r="S839" s="17" t="str">
        <f aca="false">IF($P839="","",ROUNDDOWN($P839*$R839,0))</f>
        <v/>
      </c>
      <c r="T839" s="17" t="str">
        <f aca="false">IF($P839="","",$P839-$S839)</f>
        <v/>
      </c>
      <c r="U839" s="17" t="str">
        <f aca="false">IF($T839="","",IF($B$10=0,"",$T839/$B$10))</f>
        <v/>
      </c>
      <c r="V839" s="17" t="str">
        <f aca="false">IF($P839="","",IF($B$10=0,"",$P839/$B$10))</f>
        <v/>
      </c>
      <c r="W839" s="19" t="n">
        <f aca="false">IF($T839="",1000000000000000,$T839)</f>
        <v/>
      </c>
      <c r="XFB839" s="6"/>
      <c r="XFC839" s="3"/>
    </row>
    <row r="840" s="6" collapsed="false" customFormat="true" customHeight="true" hidden="false" ht="28.6" outlineLevel="0">
      <c r="A840" s="16" t="str">
        <f aca="false">IF($T840="","",1+COUNTIF($W$15:$W$894,"&lt;"&amp;W840))</f>
        <v/>
      </c>
      <c r="B840" s="16" t="s">
        <v>14</v>
      </c>
      <c r="C840" s="16" t="s">
        <v>1681</v>
      </c>
      <c r="D840" s="20" t="s">
        <v>86</v>
      </c>
      <c r="E840" s="16" t="s">
        <v>63</v>
      </c>
      <c r="F840" s="16" t="s">
        <v>1682</v>
      </c>
      <c r="G840" s="17">
        <v>1850</v>
      </c>
      <c r="H840" s="17"/>
      <c r="I840" s="17"/>
      <c r="J840" s="17">
        <v>1865</v>
      </c>
      <c r="K840" s="17" t="n">
        <f aca="false">IF(AND(IFERROR(SEARCH("현대오일뱅크",$C840),0)&gt;0,IFERROR(SEARCH("직영",$C840),0)&gt;0),$B$13,0)</f>
        <v/>
      </c>
      <c r="L840" s="17" t="n">
        <f aca="false">IF($G840="","",$G840+$K840)</f>
        <v/>
      </c>
      <c r="M840" s="17" t="str">
        <f aca="false">IF($H840="","",$H840+$K840)</f>
        <v/>
      </c>
      <c r="N840" s="17" t="n">
        <f aca="false">IF($J840="","",$J840+$K840)</f>
        <v/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 t="str">
        <f aca="false">IF($B$10=0,"",IFERROR(IF($B$4&gt;0,IF($L840="",1/0,$L840*$B$4),0)+IF($B$5&gt;0,IF($M840="",1/0,$M840*$B$5),0)+IF($B$6&gt;0,IF($N840="",1/0,$N840*$B$6),0),""))</f>
        <v/>
      </c>
      <c r="Q840" s="17"/>
      <c r="R840" s="18" t="str">
        <f aca="false">IF($P840="","",IF($Q840="Y",IFERROR(VLOOKUP($B840,$C$4:$D$13,2,FALSE()),0),0))</f>
        <v/>
      </c>
      <c r="S840" s="17" t="str">
        <f aca="false">IF($P840="","",ROUNDDOWN($P840*$R840,0))</f>
        <v/>
      </c>
      <c r="T840" s="17" t="str">
        <f aca="false">IF($P840="","",$P840-$S840)</f>
        <v/>
      </c>
      <c r="U840" s="17" t="str">
        <f aca="false">IF($T840="","",IF($B$10=0,"",$T840/$B$10))</f>
        <v/>
      </c>
      <c r="V840" s="17" t="str">
        <f aca="false">IF($P840="","",IF($B$10=0,"",$P840/$B$10))</f>
        <v/>
      </c>
      <c r="W840" s="19" t="n">
        <f aca="false">IF($T840="",1000000000000000,$T840)</f>
        <v/>
      </c>
      <c r="XFC840" s="3"/>
    </row>
    <row r="841" s="21" collapsed="false" customFormat="true" customHeight="true" hidden="false" ht="28.5" outlineLevel="0">
      <c r="A841" s="16" t="str">
        <f aca="false">IF($T841="","",1+COUNTIF($W$15:$W$894,"&lt;"&amp;W841))</f>
        <v/>
      </c>
      <c r="B841" s="16" t="s">
        <v>18</v>
      </c>
      <c r="C841" s="16" t="s">
        <v>1655</v>
      </c>
      <c r="D841" s="16" t="s">
        <v>500</v>
      </c>
      <c r="E841" s="16" t="s">
        <v>63</v>
      </c>
      <c r="F841" s="16" t="s">
        <v>1656</v>
      </c>
      <c r="G841" s="17">
        <v>1850</v>
      </c>
      <c r="H841" s="17"/>
      <c r="I841" s="17"/>
      <c r="J841" s="17">
        <v>1880</v>
      </c>
      <c r="K841" s="17" t="n">
        <f aca="false">IF(AND(IFERROR(SEARCH("현대오일뱅크",$C841),0)&gt;0,IFERROR(SEARCH("직영",$C841),0)&gt;0),$B$13,0)</f>
        <v/>
      </c>
      <c r="L841" s="17" t="n">
        <f aca="false">IF($G841="","",$G841+$K841)</f>
        <v/>
      </c>
      <c r="M841" s="17" t="str">
        <f aca="false">IF($H841="","",$H841+$K841)</f>
        <v/>
      </c>
      <c r="N841" s="17" t="n">
        <f aca="false">IF($J841="","",$J841+$K841)</f>
        <v/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 t="str">
        <f aca="false">IF($B$10=0,"",IFERROR(IF($B$4&gt;0,IF($L841="",1/0,$L841*$B$4),0)+IF($B$5&gt;0,IF($M841="",1/0,$M841*$B$5),0)+IF($B$6&gt;0,IF($N841="",1/0,$N841*$B$6),0),""))</f>
        <v/>
      </c>
      <c r="Q841" s="17"/>
      <c r="R841" s="18" t="str">
        <f aca="false">IF($P841="","",IF($Q841="Y",IFERROR(VLOOKUP($B841,$C$4:$D$13,2,FALSE()),0),0))</f>
        <v/>
      </c>
      <c r="S841" s="17" t="str">
        <f aca="false">IF($P841="","",ROUNDDOWN($P841*$R841,0))</f>
        <v/>
      </c>
      <c r="T841" s="17" t="str">
        <f aca="false">IF($P841="","",$P841-$S841)</f>
        <v/>
      </c>
      <c r="U841" s="17" t="str">
        <f aca="false">IF($T841="","",IF($B$10=0,"",$T841/$B$10))</f>
        <v/>
      </c>
      <c r="V841" s="17" t="str">
        <f aca="false">IF($P841="","",IF($B$10=0,"",$P841/$B$10))</f>
        <v/>
      </c>
      <c r="W841" s="19" t="n">
        <f aca="false">IF($T841="",1000000000000000,$T841)</f>
        <v/>
      </c>
      <c r="XFB841" s="6"/>
      <c r="XFC841" s="3"/>
    </row>
    <row r="842" s="6" collapsed="false" customFormat="true" customHeight="true" hidden="false" ht="28.6" outlineLevel="0">
      <c r="A842" s="16" t="str">
        <f aca="false">IF($T842="","",1+COUNTIF($W$15:$W$894,"&lt;"&amp;W842))</f>
        <v/>
      </c>
      <c r="B842" s="16" t="s">
        <v>14</v>
      </c>
      <c r="C842" s="16" t="s">
        <v>1683</v>
      </c>
      <c r="D842" s="16" t="s">
        <v>45</v>
      </c>
      <c r="E842" s="16" t="s">
        <v>26</v>
      </c>
      <c r="F842" s="16" t="s">
        <v>1684</v>
      </c>
      <c r="G842" s="17">
        <v>1856</v>
      </c>
      <c r="H842" s="17"/>
      <c r="I842" s="17"/>
      <c r="J842" s="17">
        <v>1856</v>
      </c>
      <c r="K842" s="17" t="n">
        <f aca="false">IF(AND(IFERROR(SEARCH("현대오일뱅크",$C842),0)&gt;0,IFERROR(SEARCH("직영",$C842),0)&gt;0),$B$13,0)</f>
        <v/>
      </c>
      <c r="L842" s="17" t="n">
        <f aca="false">IF($G842="","",$G842+$K842)</f>
        <v/>
      </c>
      <c r="M842" s="17" t="str">
        <f aca="false">IF($H842="","",$H842+$K842)</f>
        <v/>
      </c>
      <c r="N842" s="17" t="n">
        <f aca="false">IF($J842="","",$J842+$K842)</f>
        <v/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 t="str">
        <f aca="false">IF($B$10=0,"",IFERROR(IF($B$4&gt;0,IF($L842="",1/0,$L842*$B$4),0)+IF($B$5&gt;0,IF($M842="",1/0,$M842*$B$5),0)+IF($B$6&gt;0,IF($N842="",1/0,$N842*$B$6),0),""))</f>
        <v/>
      </c>
      <c r="Q842" s="17"/>
      <c r="R842" s="18" t="str">
        <f aca="false">IF($P842="","",IF($Q842="Y",IFERROR(VLOOKUP($B842,$C$4:$D$13,2,FALSE()),0),0))</f>
        <v/>
      </c>
      <c r="S842" s="17" t="str">
        <f aca="false">IF($P842="","",ROUNDDOWN($P842*$R842,0))</f>
        <v/>
      </c>
      <c r="T842" s="17" t="str">
        <f aca="false">IF($P842="","",$P842-$S842)</f>
        <v/>
      </c>
      <c r="U842" s="17" t="str">
        <f aca="false">IF($T842="","",IF($B$10=0,"",$T842/$B$10))</f>
        <v/>
      </c>
      <c r="V842" s="17" t="str">
        <f aca="false">IF($P842="","",IF($B$10=0,"",$P842/$B$10))</f>
        <v/>
      </c>
      <c r="W842" s="19" t="n">
        <f aca="false">IF($T842="",1000000000000000,$T842)</f>
        <v/>
      </c>
      <c r="XFC842" s="3"/>
    </row>
    <row r="843" s="6" collapsed="false" customFormat="true" customHeight="true" hidden="false" ht="28.6" outlineLevel="0">
      <c r="A843" s="16" t="str">
        <f aca="false">IF($T843="","",1+COUNTIF($W$15:$W$894,"&lt;"&amp;W843))</f>
        <v/>
      </c>
      <c r="B843" s="16" t="s">
        <v>12</v>
      </c>
      <c r="C843" s="16" t="s">
        <v>1657</v>
      </c>
      <c r="D843" s="20" t="s">
        <v>51</v>
      </c>
      <c r="E843" s="16" t="s">
        <v>63</v>
      </c>
      <c r="F843" s="16" t="s">
        <v>1658</v>
      </c>
      <c r="G843" s="17">
        <v>1857</v>
      </c>
      <c r="H843" s="17"/>
      <c r="I843" s="17"/>
      <c r="J843" s="17">
        <v>1837</v>
      </c>
      <c r="K843" s="17" t="n">
        <f aca="false">IF(AND(IFERROR(SEARCH("현대오일뱅크",$C843),0)&gt;0,IFERROR(SEARCH("직영",$C843),0)&gt;0),$B$13,0)</f>
        <v/>
      </c>
      <c r="L843" s="17" t="n">
        <f aca="false">IF($G843="","",$G843+$K843)</f>
        <v/>
      </c>
      <c r="M843" s="17" t="str">
        <f aca="false">IF($H843="","",$H843+$K843)</f>
        <v/>
      </c>
      <c r="N843" s="17" t="n">
        <f aca="false">IF($J843="","",$J843+$K843)</f>
        <v/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 t="str">
        <f aca="false">IF($B$10=0,"",IFERROR(IF($B$4&gt;0,IF($L843="",1/0,$L843*$B$4),0)+IF($B$5&gt;0,IF($M843="",1/0,$M843*$B$5),0)+IF($B$6&gt;0,IF($N843="",1/0,$N843*$B$6),0),""))</f>
        <v/>
      </c>
      <c r="Q843" s="17"/>
      <c r="R843" s="18" t="str">
        <f aca="false">IF($P843="","",IF($Q843="Y",IFERROR(VLOOKUP($B843,$C$4:$D$13,2,FALSE()),0),0))</f>
        <v/>
      </c>
      <c r="S843" s="17" t="str">
        <f aca="false">IF($P843="","",ROUNDDOWN($P843*$R843,0))</f>
        <v/>
      </c>
      <c r="T843" s="17" t="str">
        <f aca="false">IF($P843="","",$P843-$S843)</f>
        <v/>
      </c>
      <c r="U843" s="17" t="str">
        <f aca="false">IF($T843="","",IF($B$10=0,"",$T843/$B$10))</f>
        <v/>
      </c>
      <c r="V843" s="17" t="str">
        <f aca="false">IF($P843="","",IF($B$10=0,"",$P843/$B$10))</f>
        <v/>
      </c>
      <c r="W843" s="19" t="n">
        <f aca="false">IF($T843="",1000000000000000,$T843)</f>
        <v/>
      </c>
      <c r="XFC843" s="3"/>
    </row>
    <row r="844" s="6" collapsed="false" customFormat="true" customHeight="true" hidden="false" ht="28.6" outlineLevel="0">
      <c r="A844" s="16" t="str">
        <f aca="false">IF($T844="","",1+COUNTIF($W$15:$W$894,"&lt;"&amp;W844))</f>
        <v/>
      </c>
      <c r="B844" s="16" t="s">
        <v>14</v>
      </c>
      <c r="C844" s="16" t="s">
        <v>1659</v>
      </c>
      <c r="D844" s="16" t="s">
        <v>95</v>
      </c>
      <c r="E844" s="16" t="s">
        <v>26</v>
      </c>
      <c r="F844" s="16" t="s">
        <v>1660</v>
      </c>
      <c r="G844" s="17">
        <v>1858</v>
      </c>
      <c r="H844" s="17"/>
      <c r="I844" s="17"/>
      <c r="J844" s="17">
        <v>1837</v>
      </c>
      <c r="K844" s="17" t="n">
        <f aca="false">IF(AND(IFERROR(SEARCH("현대오일뱅크",$C844),0)&gt;0,IFERROR(SEARCH("직영",$C844),0)&gt;0),$B$13,0)</f>
        <v/>
      </c>
      <c r="L844" s="17" t="n">
        <f aca="false">IF($G844="","",$G844+$K844)</f>
        <v/>
      </c>
      <c r="M844" s="17" t="str">
        <f aca="false">IF($H844="","",$H844+$K844)</f>
        <v/>
      </c>
      <c r="N844" s="17" t="n">
        <f aca="false">IF($J844="","",$J844+$K844)</f>
        <v/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 t="str">
        <f aca="false">IF($B$10=0,"",IFERROR(IF($B$4&gt;0,IF($L844="",1/0,$L844*$B$4),0)+IF($B$5&gt;0,IF($M844="",1/0,$M844*$B$5),0)+IF($B$6&gt;0,IF($N844="",1/0,$N844*$B$6),0),""))</f>
        <v/>
      </c>
      <c r="Q844" s="17"/>
      <c r="R844" s="18" t="str">
        <f aca="false">IF($P844="","",IF($Q844="Y",IFERROR(VLOOKUP($B844,$C$4:$D$13,2,FALSE()),0),0))</f>
        <v/>
      </c>
      <c r="S844" s="17" t="str">
        <f aca="false">IF($P844="","",ROUNDDOWN($P844*$R844,0))</f>
        <v/>
      </c>
      <c r="T844" s="17" t="str">
        <f aca="false">IF($P844="","",$P844-$S844)</f>
        <v/>
      </c>
      <c r="U844" s="17" t="str">
        <f aca="false">IF($T844="","",IF($B$10=0,"",$T844/$B$10))</f>
        <v/>
      </c>
      <c r="V844" s="17" t="str">
        <f aca="false">IF($P844="","",IF($B$10=0,"",$P844/$B$10))</f>
        <v/>
      </c>
      <c r="W844" s="19" t="n">
        <f aca="false">IF($T844="",1000000000000000,$T844)</f>
        <v/>
      </c>
      <c r="XFC844" s="3"/>
    </row>
    <row r="845" s="6" collapsed="false" customFormat="true" customHeight="true" hidden="false" ht="28.6" outlineLevel="0">
      <c r="A845" s="16" t="str">
        <f aca="false">IF($T845="","",1+COUNTIF($W$15:$W$894,"&lt;"&amp;W845))</f>
        <v/>
      </c>
      <c r="B845" s="16" t="s">
        <v>16</v>
      </c>
      <c r="C845" s="16" t="s">
        <v>1663</v>
      </c>
      <c r="D845" s="16" t="s">
        <v>45</v>
      </c>
      <c r="E845" s="16" t="s">
        <v>26</v>
      </c>
      <c r="F845" s="16" t="s">
        <v>1664</v>
      </c>
      <c r="G845" s="17">
        <v>1858</v>
      </c>
      <c r="H845" s="17"/>
      <c r="I845" s="17"/>
      <c r="J845" s="17">
        <v>1858</v>
      </c>
      <c r="K845" s="17" t="n">
        <f aca="false">IF(AND(IFERROR(SEARCH("현대오일뱅크",$C845),0)&gt;0,IFERROR(SEARCH("직영",$C845),0)&gt;0),$B$13,0)</f>
        <v/>
      </c>
      <c r="L845" s="17" t="n">
        <f aca="false">IF($G845="","",$G845+$K845)</f>
        <v/>
      </c>
      <c r="M845" s="17" t="str">
        <f aca="false">IF($H845="","",$H845+$K845)</f>
        <v/>
      </c>
      <c r="N845" s="17" t="n">
        <f aca="false">IF($J845="","",$J845+$K845)</f>
        <v/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 t="str">
        <f aca="false">IF($B$10=0,"",IFERROR(IF($B$4&gt;0,IF($L845="",1/0,$L845*$B$4),0)+IF($B$5&gt;0,IF($M845="",1/0,$M845*$B$5),0)+IF($B$6&gt;0,IF($N845="",1/0,$N845*$B$6),0),""))</f>
        <v/>
      </c>
      <c r="Q845" s="17"/>
      <c r="R845" s="18" t="str">
        <f aca="false">IF($P845="","",IF($Q845="Y",IFERROR(VLOOKUP($B845,$C$4:$D$13,2,FALSE()),0),0))</f>
        <v/>
      </c>
      <c r="S845" s="17" t="str">
        <f aca="false">IF($P845="","",ROUNDDOWN($P845*$R845,0))</f>
        <v/>
      </c>
      <c r="T845" s="17" t="str">
        <f aca="false">IF($P845="","",$P845-$S845)</f>
        <v/>
      </c>
      <c r="U845" s="17" t="str">
        <f aca="false">IF($T845="","",IF($B$10=0,"",$T845/$B$10))</f>
        <v/>
      </c>
      <c r="V845" s="17" t="str">
        <f aca="false">IF($P845="","",IF($B$10=0,"",$P845/$B$10))</f>
        <v/>
      </c>
      <c r="W845" s="19" t="n">
        <f aca="false">IF($T845="",1000000000000000,$T845)</f>
        <v/>
      </c>
      <c r="XFC845" s="3"/>
    </row>
    <row r="846" s="21" collapsed="false" customFormat="true" customHeight="true" hidden="false" ht="28.5" outlineLevel="0">
      <c r="A846" s="16" t="str">
        <f aca="false">IF($T846="","",1+COUNTIF($W$15:$W$894,"&lt;"&amp;W846))</f>
        <v/>
      </c>
      <c r="B846" s="16" t="s">
        <v>10</v>
      </c>
      <c r="C846" s="16" t="s">
        <v>1665</v>
      </c>
      <c r="D846" s="20" t="s">
        <v>86</v>
      </c>
      <c r="E846" s="16" t="s">
        <v>26</v>
      </c>
      <c r="F846" s="16" t="s">
        <v>1666</v>
      </c>
      <c r="G846" s="17">
        <v>1858</v>
      </c>
      <c r="H846" s="17"/>
      <c r="I846" s="17"/>
      <c r="J846" s="17">
        <v>1858</v>
      </c>
      <c r="K846" s="17" t="n">
        <f aca="false">IF(AND(IFERROR(SEARCH("현대오일뱅크",$C846),0)&gt;0,IFERROR(SEARCH("직영",$C846),0)&gt;0),$B$13,0)</f>
        <v/>
      </c>
      <c r="L846" s="17" t="n">
        <f aca="false">IF($G846="","",$G846+$K846)</f>
        <v/>
      </c>
      <c r="M846" s="17" t="str">
        <f aca="false">IF($H846="","",$H846+$K846)</f>
        <v/>
      </c>
      <c r="N846" s="17" t="n">
        <f aca="false">IF($J846="","",$J846+$K846)</f>
        <v/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 t="str">
        <f aca="false">IF($B$10=0,"",IFERROR(IF($B$4&gt;0,IF($L846="",1/0,$L846*$B$4),0)+IF($B$5&gt;0,IF($M846="",1/0,$M846*$B$5),0)+IF($B$6&gt;0,IF($N846="",1/0,$N846*$B$6),0),""))</f>
        <v/>
      </c>
      <c r="Q846" s="17"/>
      <c r="R846" s="18" t="str">
        <f aca="false">IF($P846="","",IF($Q846="Y",IFERROR(VLOOKUP($B846,$C$4:$D$13,2,FALSE()),0),0))</f>
        <v/>
      </c>
      <c r="S846" s="17" t="str">
        <f aca="false">IF($P846="","",ROUNDDOWN($P846*$R846,0))</f>
        <v/>
      </c>
      <c r="T846" s="17" t="str">
        <f aca="false">IF($P846="","",$P846-$S846)</f>
        <v/>
      </c>
      <c r="U846" s="17" t="str">
        <f aca="false">IF($T846="","",IF($B$10=0,"",$T846/$B$10))</f>
        <v/>
      </c>
      <c r="V846" s="17" t="str">
        <f aca="false">IF($P846="","",IF($B$10=0,"",$P846/$B$10))</f>
        <v/>
      </c>
      <c r="W846" s="19" t="n">
        <f aca="false">IF($T846="",1000000000000000,$T846)</f>
        <v/>
      </c>
      <c r="XFB846" s="6"/>
      <c r="XFC846" s="3"/>
    </row>
    <row r="847" s="21" collapsed="false" customFormat="true" customHeight="true" hidden="false" ht="28.5" outlineLevel="0">
      <c r="A847" s="16" t="str">
        <f aca="false">IF($T847="","",1+COUNTIF($W$15:$W$894,"&lt;"&amp;W847))</f>
        <v/>
      </c>
      <c r="B847" s="16" t="s">
        <v>10</v>
      </c>
      <c r="C847" s="16" t="s">
        <v>1667</v>
      </c>
      <c r="D847" s="20" t="s">
        <v>86</v>
      </c>
      <c r="E847" s="16" t="s">
        <v>26</v>
      </c>
      <c r="F847" s="16" t="s">
        <v>1668</v>
      </c>
      <c r="G847" s="17">
        <v>1858</v>
      </c>
      <c r="H847" s="17"/>
      <c r="I847" s="17"/>
      <c r="J847" s="17">
        <v>1858</v>
      </c>
      <c r="K847" s="17" t="n">
        <f aca="false">IF(AND(IFERROR(SEARCH("현대오일뱅크",$C847),0)&gt;0,IFERROR(SEARCH("직영",$C847),0)&gt;0),$B$13,0)</f>
        <v/>
      </c>
      <c r="L847" s="17" t="n">
        <f aca="false">IF($G847="","",$G847+$K847)</f>
        <v/>
      </c>
      <c r="M847" s="17" t="str">
        <f aca="false">IF($H847="","",$H847+$K847)</f>
        <v/>
      </c>
      <c r="N847" s="17" t="n">
        <f aca="false">IF($J847="","",$J847+$K847)</f>
        <v/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 t="str">
        <f aca="false">IF($B$10=0,"",IFERROR(IF($B$4&gt;0,IF($L847="",1/0,$L847*$B$4),0)+IF($B$5&gt;0,IF($M847="",1/0,$M847*$B$5),0)+IF($B$6&gt;0,IF($N847="",1/0,$N847*$B$6),0),""))</f>
        <v/>
      </c>
      <c r="Q847" s="17"/>
      <c r="R847" s="18" t="str">
        <f aca="false">IF($P847="","",IF($Q847="Y",IFERROR(VLOOKUP($B847,$C$4:$D$13,2,FALSE()),0),0))</f>
        <v/>
      </c>
      <c r="S847" s="17" t="str">
        <f aca="false">IF($P847="","",ROUNDDOWN($P847*$R847,0))</f>
        <v/>
      </c>
      <c r="T847" s="17" t="str">
        <f aca="false">IF($P847="","",$P847-$S847)</f>
        <v/>
      </c>
      <c r="U847" s="17" t="str">
        <f aca="false">IF($T847="","",IF($B$10=0,"",$T847/$B$10))</f>
        <v/>
      </c>
      <c r="V847" s="17" t="str">
        <f aca="false">IF($P847="","",IF($B$10=0,"",$P847/$B$10))</f>
        <v/>
      </c>
      <c r="W847" s="19" t="n">
        <f aca="false">IF($T847="",1000000000000000,$T847)</f>
        <v/>
      </c>
      <c r="XFB847" s="6"/>
      <c r="XFC847" s="3"/>
    </row>
    <row r="848" s="6" collapsed="false" customFormat="true" customHeight="true" hidden="false" ht="28.6" outlineLevel="0">
      <c r="A848" s="16" t="str">
        <f aca="false">IF($T848="","",1+COUNTIF($W$15:$W$894,"&lt;"&amp;W848))</f>
        <v/>
      </c>
      <c r="B848" s="16" t="s">
        <v>10</v>
      </c>
      <c r="C848" s="16" t="s">
        <v>1661</v>
      </c>
      <c r="D848" s="20" t="s">
        <v>86</v>
      </c>
      <c r="E848" s="16" t="s">
        <v>63</v>
      </c>
      <c r="F848" s="16" t="s">
        <v>1662</v>
      </c>
      <c r="G848" s="17">
        <v>1858</v>
      </c>
      <c r="H848" s="17"/>
      <c r="I848" s="17"/>
      <c r="J848" s="17">
        <v>1878</v>
      </c>
      <c r="K848" s="17" t="n">
        <f aca="false">IF(AND(IFERROR(SEARCH("현대오일뱅크",$C848),0)&gt;0,IFERROR(SEARCH("직영",$C848),0)&gt;0),$B$13,0)</f>
        <v/>
      </c>
      <c r="L848" s="17" t="n">
        <f aca="false">IF($G848="","",$G848+$K848)</f>
        <v/>
      </c>
      <c r="M848" s="17" t="str">
        <f aca="false">IF($H848="","",$H848+$K848)</f>
        <v/>
      </c>
      <c r="N848" s="17" t="n">
        <f aca="false">IF($J848="","",$J848+$K848)</f>
        <v/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 t="str">
        <f aca="false">IF($B$10=0,"",IFERROR(IF($B$4&gt;0,IF($L848="",1/0,$L848*$B$4),0)+IF($B$5&gt;0,IF($M848="",1/0,$M848*$B$5),0)+IF($B$6&gt;0,IF($N848="",1/0,$N848*$B$6),0),""))</f>
        <v/>
      </c>
      <c r="Q848" s="17"/>
      <c r="R848" s="18" t="str">
        <f aca="false">IF($P848="","",IF($Q848="Y",IFERROR(VLOOKUP($B848,$C$4:$D$13,2,FALSE()),0),0))</f>
        <v/>
      </c>
      <c r="S848" s="17" t="str">
        <f aca="false">IF($P848="","",ROUNDDOWN($P848*$R848,0))</f>
        <v/>
      </c>
      <c r="T848" s="17" t="str">
        <f aca="false">IF($P848="","",$P848-$S848)</f>
        <v/>
      </c>
      <c r="U848" s="17" t="str">
        <f aca="false">IF($T848="","",IF($B$10=0,"",$T848/$B$10))</f>
        <v/>
      </c>
      <c r="V848" s="17" t="str">
        <f aca="false">IF($P848="","",IF($B$10=0,"",$P848/$B$10))</f>
        <v/>
      </c>
      <c r="W848" s="19" t="n">
        <f aca="false">IF($T848="",1000000000000000,$T848)</f>
        <v/>
      </c>
      <c r="XFC848" s="3"/>
    </row>
    <row r="849" s="6" collapsed="false" customFormat="true" customHeight="true" hidden="false" ht="28.6" outlineLevel="0">
      <c r="A849" s="16" t="str">
        <f aca="false">IF($T849="","",1+COUNTIF($W$15:$W$894,"&lt;"&amp;W849))</f>
        <v/>
      </c>
      <c r="B849" s="16" t="s">
        <v>10</v>
      </c>
      <c r="C849" s="16" t="s">
        <v>1669</v>
      </c>
      <c r="D849" s="16" t="s">
        <v>45</v>
      </c>
      <c r="E849" s="16" t="s">
        <v>26</v>
      </c>
      <c r="F849" s="16" t="s">
        <v>1670</v>
      </c>
      <c r="G849" s="17">
        <v>1858</v>
      </c>
      <c r="H849" s="17"/>
      <c r="I849" s="17"/>
      <c r="J849" s="17">
        <v>1878</v>
      </c>
      <c r="K849" s="17" t="n">
        <f aca="false">IF(AND(IFERROR(SEARCH("현대오일뱅크",$C849),0)&gt;0,IFERROR(SEARCH("직영",$C849),0)&gt;0),$B$13,0)</f>
        <v/>
      </c>
      <c r="L849" s="17" t="n">
        <f aca="false">IF($G849="","",$G849+$K849)</f>
        <v/>
      </c>
      <c r="M849" s="17" t="str">
        <f aca="false">IF($H849="","",$H849+$K849)</f>
        <v/>
      </c>
      <c r="N849" s="17" t="n">
        <f aca="false">IF($J849="","",$J849+$K849)</f>
        <v/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 t="str">
        <f aca="false">IF($B$10=0,"",IFERROR(IF($B$4&gt;0,IF($L849="",1/0,$L849*$B$4),0)+IF($B$5&gt;0,IF($M849="",1/0,$M849*$B$5),0)+IF($B$6&gt;0,IF($N849="",1/0,$N849*$B$6),0),""))</f>
        <v/>
      </c>
      <c r="Q849" s="17"/>
      <c r="R849" s="18" t="str">
        <f aca="false">IF($P849="","",IF($Q849="Y",IFERROR(VLOOKUP($B849,$C$4:$D$13,2,FALSE()),0),0))</f>
        <v/>
      </c>
      <c r="S849" s="17" t="str">
        <f aca="false">IF($P849="","",ROUNDDOWN($P849*$R849,0))</f>
        <v/>
      </c>
      <c r="T849" s="17" t="str">
        <f aca="false">IF($P849="","",$P849-$S849)</f>
        <v/>
      </c>
      <c r="U849" s="17" t="str">
        <f aca="false">IF($T849="","",IF($B$10=0,"",$T849/$B$10))</f>
        <v/>
      </c>
      <c r="V849" s="17" t="str">
        <f aca="false">IF($P849="","",IF($B$10=0,"",$P849/$B$10))</f>
        <v/>
      </c>
      <c r="W849" s="19" t="n">
        <f aca="false">IF($T849="",1000000000000000,$T849)</f>
        <v/>
      </c>
      <c r="XFC849" s="3"/>
    </row>
    <row r="850" s="6" collapsed="false" customFormat="true" customHeight="true" hidden="false" ht="28.6" outlineLevel="0">
      <c r="A850" s="16" t="str">
        <f aca="false">IF($T850="","",1+COUNTIF($W$15:$W$894,"&lt;"&amp;W850))</f>
        <v/>
      </c>
      <c r="B850" s="16" t="s">
        <v>12</v>
      </c>
      <c r="C850" s="16" t="s">
        <v>1673</v>
      </c>
      <c r="D850" s="20" t="s">
        <v>95</v>
      </c>
      <c r="E850" s="16" t="s">
        <v>63</v>
      </c>
      <c r="F850" s="16" t="s">
        <v>1674</v>
      </c>
      <c r="G850" s="17">
        <v>1860</v>
      </c>
      <c r="H850" s="17"/>
      <c r="I850" s="17"/>
      <c r="J850" s="17">
        <v>1830</v>
      </c>
      <c r="K850" s="17" t="n">
        <f aca="false">IF(AND(IFERROR(SEARCH("현대오일뱅크",$C850),0)&gt;0,IFERROR(SEARCH("직영",$C850),0)&gt;0),$B$13,0)</f>
        <v/>
      </c>
      <c r="L850" s="17" t="n">
        <f aca="false">IF($G850="","",$G850+$K850)</f>
        <v/>
      </c>
      <c r="M850" s="17" t="str">
        <f aca="false">IF($H850="","",$H850+$K850)</f>
        <v/>
      </c>
      <c r="N850" s="17" t="n">
        <f aca="false">IF($J850="","",$J850+$K850)</f>
        <v/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 t="str">
        <f aca="false">IF($B$10=0,"",IFERROR(IF($B$4&gt;0,IF($L850="",1/0,$L850*$B$4),0)+IF($B$5&gt;0,IF($M850="",1/0,$M850*$B$5),0)+IF($B$6&gt;0,IF($N850="",1/0,$N850*$B$6),0),""))</f>
        <v/>
      </c>
      <c r="Q850" s="17"/>
      <c r="R850" s="18" t="str">
        <f aca="false">IF($P850="","",IF($Q850="Y",IFERROR(VLOOKUP($B850,$C$4:$D$13,2,FALSE()),0),0))</f>
        <v/>
      </c>
      <c r="S850" s="17" t="str">
        <f aca="false">IF($P850="","",ROUNDDOWN($P850*$R850,0))</f>
        <v/>
      </c>
      <c r="T850" s="17" t="str">
        <f aca="false">IF($P850="","",$P850-$S850)</f>
        <v/>
      </c>
      <c r="U850" s="17" t="str">
        <f aca="false">IF($T850="","",IF($B$10=0,"",$T850/$B$10))</f>
        <v/>
      </c>
      <c r="V850" s="17" t="str">
        <f aca="false">IF($P850="","",IF($B$10=0,"",$P850/$B$10))</f>
        <v/>
      </c>
      <c r="W850" s="19" t="n">
        <f aca="false">IF($T850="",1000000000000000,$T850)</f>
        <v/>
      </c>
      <c r="XFC850" s="3"/>
    </row>
    <row r="851" s="6" collapsed="false" customFormat="true" customHeight="true" hidden="false" ht="28.6" outlineLevel="0">
      <c r="A851" s="16" t="str">
        <f aca="false">IF($T851="","",1+COUNTIF($W$15:$W$894,"&lt;"&amp;W851))</f>
        <v/>
      </c>
      <c r="B851" s="16" t="s">
        <v>10</v>
      </c>
      <c r="C851" s="16" t="s">
        <v>1675</v>
      </c>
      <c r="D851" s="20" t="s">
        <v>86</v>
      </c>
      <c r="E851" s="16" t="s">
        <v>26</v>
      </c>
      <c r="F851" s="16" t="s">
        <v>1676</v>
      </c>
      <c r="G851" s="17">
        <v>1860</v>
      </c>
      <c r="H851" s="17"/>
      <c r="I851" s="17"/>
      <c r="J851" s="17">
        <v>1895</v>
      </c>
      <c r="K851" s="17" t="n">
        <f aca="false">IF(AND(IFERROR(SEARCH("현대오일뱅크",$C851),0)&gt;0,IFERROR(SEARCH("직영",$C851),0)&gt;0),$B$13,0)</f>
        <v/>
      </c>
      <c r="L851" s="17" t="n">
        <f aca="false">IF($G851="","",$G851+$K851)</f>
        <v/>
      </c>
      <c r="M851" s="17" t="str">
        <f aca="false">IF($H851="","",$H851+$K851)</f>
        <v/>
      </c>
      <c r="N851" s="17" t="n">
        <f aca="false">IF($J851="","",$J851+$K851)</f>
        <v/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 t="str">
        <f aca="false">IF($B$10=0,"",IFERROR(IF($B$4&gt;0,IF($L851="",1/0,$L851*$B$4),0)+IF($B$5&gt;0,IF($M851="",1/0,$M851*$B$5),0)+IF($B$6&gt;0,IF($N851="",1/0,$N851*$B$6),0),""))</f>
        <v/>
      </c>
      <c r="Q851" s="17"/>
      <c r="R851" s="18" t="str">
        <f aca="false">IF($P851="","",IF($Q851="Y",IFERROR(VLOOKUP($B851,$C$4:$D$13,2,FALSE()),0),0))</f>
        <v/>
      </c>
      <c r="S851" s="17" t="str">
        <f aca="false">IF($P851="","",ROUNDDOWN($P851*$R851,0))</f>
        <v/>
      </c>
      <c r="T851" s="17" t="str">
        <f aca="false">IF($P851="","",$P851-$S851)</f>
        <v/>
      </c>
      <c r="U851" s="17" t="str">
        <f aca="false">IF($T851="","",IF($B$10=0,"",$T851/$B$10))</f>
        <v/>
      </c>
      <c r="V851" s="17" t="str">
        <f aca="false">IF($P851="","",IF($B$10=0,"",$P851/$B$10))</f>
        <v/>
      </c>
      <c r="W851" s="19" t="n">
        <f aca="false">IF($T851="",1000000000000000,$T851)</f>
        <v/>
      </c>
      <c r="XFC851" s="3"/>
    </row>
    <row r="852" s="6" collapsed="false" customFormat="true" customHeight="true" hidden="false" ht="28.6" outlineLevel="0">
      <c r="A852" s="16" t="str">
        <f aca="false">IF($T852="","",1+COUNTIF($W$15:$W$894,"&lt;"&amp;W852))</f>
        <v/>
      </c>
      <c r="B852" s="16" t="s">
        <v>16</v>
      </c>
      <c r="C852" s="16" t="s">
        <v>1677</v>
      </c>
      <c r="D852" s="16" t="s">
        <v>95</v>
      </c>
      <c r="E852" s="16" t="s">
        <v>26</v>
      </c>
      <c r="F852" s="16" t="s">
        <v>1678</v>
      </c>
      <c r="G852" s="17">
        <v>1865</v>
      </c>
      <c r="H852" s="17"/>
      <c r="I852" s="17"/>
      <c r="J852" s="17">
        <v>1825</v>
      </c>
      <c r="K852" s="17" t="n">
        <f aca="false">IF(AND(IFERROR(SEARCH("현대오일뱅크",$C852),0)&gt;0,IFERROR(SEARCH("직영",$C852),0)&gt;0),$B$13,0)</f>
        <v/>
      </c>
      <c r="L852" s="17" t="n">
        <f aca="false">IF($G852="","",$G852+$K852)</f>
        <v/>
      </c>
      <c r="M852" s="17" t="str">
        <f aca="false">IF($H852="","",$H852+$K852)</f>
        <v/>
      </c>
      <c r="N852" s="17" t="n">
        <f aca="false">IF($J852="","",$J852+$K852)</f>
        <v/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 t="str">
        <f aca="false">IF($B$10=0,"",IFERROR(IF($B$4&gt;0,IF($L852="",1/0,$L852*$B$4),0)+IF($B$5&gt;0,IF($M852="",1/0,$M852*$B$5),0)+IF($B$6&gt;0,IF($N852="",1/0,$N852*$B$6),0),""))</f>
        <v/>
      </c>
      <c r="Q852" s="17"/>
      <c r="R852" s="18" t="str">
        <f aca="false">IF($P852="","",IF($Q852="Y",IFERROR(VLOOKUP($B852,$C$4:$D$13,2,FALSE()),0),0))</f>
        <v/>
      </c>
      <c r="S852" s="17" t="str">
        <f aca="false">IF($P852="","",ROUNDDOWN($P852*$R852,0))</f>
        <v/>
      </c>
      <c r="T852" s="17" t="str">
        <f aca="false">IF($P852="","",$P852-$S852)</f>
        <v/>
      </c>
      <c r="U852" s="17" t="str">
        <f aca="false">IF($T852="","",IF($B$10=0,"",$T852/$B$10))</f>
        <v/>
      </c>
      <c r="V852" s="17" t="str">
        <f aca="false">IF($P852="","",IF($B$10=0,"",$P852/$B$10))</f>
        <v/>
      </c>
      <c r="W852" s="19" t="n">
        <f aca="false">IF($T852="",1000000000000000,$T852)</f>
        <v/>
      </c>
      <c r="XFC852" s="3"/>
    </row>
    <row r="853" s="6" collapsed="false" customFormat="true" customHeight="true" hidden="false" ht="28.6" outlineLevel="0">
      <c r="A853" s="16" t="str">
        <f aca="false">IF($T853="","",1+COUNTIF($W$15:$W$894,"&lt;"&amp;W853))</f>
        <v/>
      </c>
      <c r="B853" s="16" t="s">
        <v>14</v>
      </c>
      <c r="C853" s="16" t="s">
        <v>1679</v>
      </c>
      <c r="D853" s="16" t="s">
        <v>95</v>
      </c>
      <c r="E853" s="16" t="s">
        <v>26</v>
      </c>
      <c r="F853" s="16" t="s">
        <v>1680</v>
      </c>
      <c r="G853" s="17">
        <v>1865</v>
      </c>
      <c r="H853" s="17"/>
      <c r="I853" s="17"/>
      <c r="J853" s="17">
        <v>1865</v>
      </c>
      <c r="K853" s="17" t="n">
        <f aca="false">IF(AND(IFERROR(SEARCH("현대오일뱅크",$C853),0)&gt;0,IFERROR(SEARCH("직영",$C853),0)&gt;0),$B$13,0)</f>
        <v/>
      </c>
      <c r="L853" s="17" t="n">
        <f aca="false">IF($G853="","",$G853+$K853)</f>
        <v/>
      </c>
      <c r="M853" s="17" t="str">
        <f aca="false">IF($H853="","",$H853+$K853)</f>
        <v/>
      </c>
      <c r="N853" s="17" t="n">
        <f aca="false">IF($J853="","",$J853+$K853)</f>
        <v/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 t="str">
        <f aca="false">IF($B$10=0,"",IFERROR(IF($B$4&gt;0,IF($L853="",1/0,$L853*$B$4),0)+IF($B$5&gt;0,IF($M853="",1/0,$M853*$B$5),0)+IF($B$6&gt;0,IF($N853="",1/0,$N853*$B$6),0),""))</f>
        <v/>
      </c>
      <c r="Q853" s="17"/>
      <c r="R853" s="18" t="str">
        <f aca="false">IF($P853="","",IF($Q853="Y",IFERROR(VLOOKUP($B853,$C$4:$D$13,2,FALSE()),0),0))</f>
        <v/>
      </c>
      <c r="S853" s="17" t="str">
        <f aca="false">IF($P853="","",ROUNDDOWN($P853*$R853,0))</f>
        <v/>
      </c>
      <c r="T853" s="17" t="str">
        <f aca="false">IF($P853="","",$P853-$S853)</f>
        <v/>
      </c>
      <c r="U853" s="17" t="str">
        <f aca="false">IF($T853="","",IF($B$10=0,"",$T853/$B$10))</f>
        <v/>
      </c>
      <c r="V853" s="17" t="str">
        <f aca="false">IF($P853="","",IF($B$10=0,"",$P853/$B$10))</f>
        <v/>
      </c>
      <c r="W853" s="19" t="n">
        <f aca="false">IF($T853="",1000000000000000,$T853)</f>
        <v/>
      </c>
      <c r="XFC853" s="3"/>
    </row>
    <row r="854" s="21" collapsed="false" customFormat="true" customHeight="true" hidden="false" ht="28.5" outlineLevel="0">
      <c r="A854" s="16" t="str">
        <f aca="false">IF($T854="","",1+COUNTIF($W$15:$W$894,"&lt;"&amp;W854))</f>
        <v/>
      </c>
      <c r="B854" s="16" t="s">
        <v>10</v>
      </c>
      <c r="C854" s="16" t="s">
        <v>1685</v>
      </c>
      <c r="D854" s="20" t="s">
        <v>86</v>
      </c>
      <c r="E854" s="16" t="s">
        <v>26</v>
      </c>
      <c r="F854" s="16" t="s">
        <v>1686</v>
      </c>
      <c r="G854" s="17">
        <v>1867</v>
      </c>
      <c r="H854" s="17"/>
      <c r="I854" s="17"/>
      <c r="J854" s="17">
        <v>1867</v>
      </c>
      <c r="K854" s="17" t="n">
        <f aca="false">IF(AND(IFERROR(SEARCH("현대오일뱅크",$C854),0)&gt;0,IFERROR(SEARCH("직영",$C854),0)&gt;0),$B$13,0)</f>
        <v/>
      </c>
      <c r="L854" s="17" t="n">
        <f aca="false">IF($G854="","",$G854+$K854)</f>
        <v/>
      </c>
      <c r="M854" s="17" t="str">
        <f aca="false">IF($H854="","",$H854+$K854)</f>
        <v/>
      </c>
      <c r="N854" s="17" t="n">
        <f aca="false">IF($J854="","",$J854+$K854)</f>
        <v/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 t="str">
        <f aca="false">IF($B$10=0,"",IFERROR(IF($B$4&gt;0,IF($L854="",1/0,$L854*$B$4),0)+IF($B$5&gt;0,IF($M854="",1/0,$M854*$B$5),0)+IF($B$6&gt;0,IF($N854="",1/0,$N854*$B$6),0),""))</f>
        <v/>
      </c>
      <c r="Q854" s="17"/>
      <c r="R854" s="18" t="str">
        <f aca="false">IF($P854="","",IF($Q854="Y",IFERROR(VLOOKUP($B854,$C$4:$D$13,2,FALSE()),0),0))</f>
        <v/>
      </c>
      <c r="S854" s="17" t="str">
        <f aca="false">IF($P854="","",ROUNDDOWN($P854*$R854,0))</f>
        <v/>
      </c>
      <c r="T854" s="17" t="str">
        <f aca="false">IF($P854="","",$P854-$S854)</f>
        <v/>
      </c>
      <c r="U854" s="17" t="str">
        <f aca="false">IF($T854="","",IF($B$10=0,"",$T854/$B$10))</f>
        <v/>
      </c>
      <c r="V854" s="17" t="str">
        <f aca="false">IF($P854="","",IF($B$10=0,"",$P854/$B$10))</f>
        <v/>
      </c>
      <c r="W854" s="19" t="n">
        <f aca="false">IF($T854="",1000000000000000,$T854)</f>
        <v/>
      </c>
      <c r="XFB854" s="6"/>
      <c r="XFC854" s="3"/>
    </row>
    <row r="855" s="6" collapsed="false" customFormat="true" customHeight="true" hidden="false" ht="28.6" outlineLevel="0">
      <c r="A855" s="16" t="str">
        <f aca="false">IF($T855="","",1+COUNTIF($W$15:$W$894,"&lt;"&amp;W855))</f>
        <v/>
      </c>
      <c r="B855" s="16" t="s">
        <v>14</v>
      </c>
      <c r="C855" s="16" t="s">
        <v>1687</v>
      </c>
      <c r="D855" s="16" t="s">
        <v>95</v>
      </c>
      <c r="E855" s="16" t="s">
        <v>26</v>
      </c>
      <c r="F855" s="16" t="s">
        <v>1688</v>
      </c>
      <c r="G855" s="17">
        <v>1869</v>
      </c>
      <c r="H855" s="17"/>
      <c r="I855" s="17"/>
      <c r="J855" s="17">
        <v>1859</v>
      </c>
      <c r="K855" s="17" t="n">
        <f aca="false">IF(AND(IFERROR(SEARCH("현대오일뱅크",$C855),0)&gt;0,IFERROR(SEARCH("직영",$C855),0)&gt;0),$B$13,0)</f>
        <v/>
      </c>
      <c r="L855" s="17" t="n">
        <f aca="false">IF($G855="","",$G855+$K855)</f>
        <v/>
      </c>
      <c r="M855" s="17" t="str">
        <f aca="false">IF($H855="","",$H855+$K855)</f>
        <v/>
      </c>
      <c r="N855" s="17" t="n">
        <f aca="false">IF($J855="","",$J855+$K855)</f>
        <v/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 t="str">
        <f aca="false">IF($B$10=0,"",IFERROR(IF($B$4&gt;0,IF($L855="",1/0,$L855*$B$4),0)+IF($B$5&gt;0,IF($M855="",1/0,$M855*$B$5),0)+IF($B$6&gt;0,IF($N855="",1/0,$N855*$B$6),0),""))</f>
        <v/>
      </c>
      <c r="Q855" s="17"/>
      <c r="R855" s="18" t="str">
        <f aca="false">IF($P855="","",IF($Q855="Y",IFERROR(VLOOKUP($B855,$C$4:$D$13,2,FALSE()),0),0))</f>
        <v/>
      </c>
      <c r="S855" s="17" t="str">
        <f aca="false">IF($P855="","",ROUNDDOWN($P855*$R855,0))</f>
        <v/>
      </c>
      <c r="T855" s="17" t="str">
        <f aca="false">IF($P855="","",$P855-$S855)</f>
        <v/>
      </c>
      <c r="U855" s="17" t="str">
        <f aca="false">IF($T855="","",IF($B$10=0,"",$T855/$B$10))</f>
        <v/>
      </c>
      <c r="V855" s="17" t="str">
        <f aca="false">IF($P855="","",IF($B$10=0,"",$P855/$B$10))</f>
        <v/>
      </c>
      <c r="W855" s="19" t="n">
        <f aca="false">IF($T855="",1000000000000000,$T855)</f>
        <v/>
      </c>
      <c r="XFC855" s="3"/>
    </row>
    <row r="856" s="6" collapsed="false" customFormat="true" customHeight="true" hidden="false" ht="28.6" outlineLevel="0">
      <c r="A856" s="16" t="str">
        <f aca="false">IF($T856="","",1+COUNTIF($W$15:$W$894,"&lt;"&amp;W856))</f>
        <v/>
      </c>
      <c r="B856" s="16" t="s">
        <v>10</v>
      </c>
      <c r="C856" s="16" t="s">
        <v>1689</v>
      </c>
      <c r="D856" s="16" t="s">
        <v>95</v>
      </c>
      <c r="E856" s="16" t="s">
        <v>63</v>
      </c>
      <c r="F856" s="16" t="s">
        <v>1690</v>
      </c>
      <c r="G856" s="17">
        <v>1869</v>
      </c>
      <c r="H856" s="17"/>
      <c r="I856" s="17"/>
      <c r="J856" s="17">
        <v>1869</v>
      </c>
      <c r="K856" s="17" t="n">
        <f aca="false">IF(AND(IFERROR(SEARCH("현대오일뱅크",$C856),0)&gt;0,IFERROR(SEARCH("직영",$C856),0)&gt;0),$B$13,0)</f>
        <v/>
      </c>
      <c r="L856" s="17" t="n">
        <f aca="false">IF($G856="","",$G856+$K856)</f>
        <v/>
      </c>
      <c r="M856" s="17" t="str">
        <f aca="false">IF($H856="","",$H856+$K856)</f>
        <v/>
      </c>
      <c r="N856" s="17" t="n">
        <f aca="false">IF($J856="","",$J856+$K856)</f>
        <v/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 t="str">
        <f aca="false">IF($B$10=0,"",IFERROR(IF($B$4&gt;0,IF($L856="",1/0,$L856*$B$4),0)+IF($B$5&gt;0,IF($M856="",1/0,$M856*$B$5),0)+IF($B$6&gt;0,IF($N856="",1/0,$N856*$B$6),0),""))</f>
        <v/>
      </c>
      <c r="Q856" s="17"/>
      <c r="R856" s="18" t="str">
        <f aca="false">IF($P856="","",IF($Q856="Y",IFERROR(VLOOKUP($B856,$C$4:$D$13,2,FALSE()),0),0))</f>
        <v/>
      </c>
      <c r="S856" s="17" t="str">
        <f aca="false">IF($P856="","",ROUNDDOWN($P856*$R856,0))</f>
        <v/>
      </c>
      <c r="T856" s="17" t="str">
        <f aca="false">IF($P856="","",$P856-$S856)</f>
        <v/>
      </c>
      <c r="U856" s="17" t="str">
        <f aca="false">IF($T856="","",IF($B$10=0,"",$T856/$B$10))</f>
        <v/>
      </c>
      <c r="V856" s="17" t="str">
        <f aca="false">IF($P856="","",IF($B$10=0,"",$P856/$B$10))</f>
        <v/>
      </c>
      <c r="W856" s="19" t="n">
        <f aca="false">IF($T856="",1000000000000000,$T856)</f>
        <v/>
      </c>
      <c r="XFC856" s="3"/>
    </row>
    <row r="857" s="6" collapsed="false" customFormat="true" customHeight="true" hidden="false" ht="28.6" outlineLevel="0">
      <c r="A857" s="16" t="str">
        <f aca="false">IF($T857="","",1+COUNTIF($W$15:$W$894,"&lt;"&amp;W857))</f>
        <v/>
      </c>
      <c r="B857" s="16" t="s">
        <v>14</v>
      </c>
      <c r="C857" s="16" t="s">
        <v>1691</v>
      </c>
      <c r="D857" s="16" t="s">
        <v>51</v>
      </c>
      <c r="E857" s="16" t="s">
        <v>26</v>
      </c>
      <c r="F857" s="16" t="s">
        <v>1692</v>
      </c>
      <c r="G857" s="17">
        <v>1869</v>
      </c>
      <c r="H857" s="17"/>
      <c r="I857" s="17"/>
      <c r="J857" s="17">
        <v>1879</v>
      </c>
      <c r="K857" s="17" t="n">
        <f aca="false">IF(AND(IFERROR(SEARCH("현대오일뱅크",$C857),0)&gt;0,IFERROR(SEARCH("직영",$C857),0)&gt;0),$B$13,0)</f>
        <v/>
      </c>
      <c r="L857" s="17" t="n">
        <f aca="false">IF($G857="","",$G857+$K857)</f>
        <v/>
      </c>
      <c r="M857" s="17" t="str">
        <f aca="false">IF($H857="","",$H857+$K857)</f>
        <v/>
      </c>
      <c r="N857" s="17" t="n">
        <f aca="false">IF($J857="","",$J857+$K857)</f>
        <v/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 t="str">
        <f aca="false">IF($B$10=0,"",IFERROR(IF($B$4&gt;0,IF($L857="",1/0,$L857*$B$4),0)+IF($B$5&gt;0,IF($M857="",1/0,$M857*$B$5),0)+IF($B$6&gt;0,IF($N857="",1/0,$N857*$B$6),0),""))</f>
        <v/>
      </c>
      <c r="Q857" s="17"/>
      <c r="R857" s="18" t="str">
        <f aca="false">IF($P857="","",IF($Q857="Y",IFERROR(VLOOKUP($B857,$C$4:$D$13,2,FALSE()),0),0))</f>
        <v/>
      </c>
      <c r="S857" s="17" t="str">
        <f aca="false">IF($P857="","",ROUNDDOWN($P857*$R857,0))</f>
        <v/>
      </c>
      <c r="T857" s="17" t="str">
        <f aca="false">IF($P857="","",$P857-$S857)</f>
        <v/>
      </c>
      <c r="U857" s="17" t="str">
        <f aca="false">IF($T857="","",IF($B$10=0,"",$T857/$B$10))</f>
        <v/>
      </c>
      <c r="V857" s="17" t="str">
        <f aca="false">IF($P857="","",IF($B$10=0,"",$P857/$B$10))</f>
        <v/>
      </c>
      <c r="W857" s="19" t="n">
        <f aca="false">IF($T857="",1000000000000000,$T857)</f>
        <v/>
      </c>
      <c r="XFC857" s="3"/>
    </row>
    <row r="858" s="6" collapsed="false" customFormat="true" customHeight="true" hidden="false" ht="28.6" outlineLevel="0">
      <c r="A858" s="16" t="str">
        <f aca="false">IF($T858="","",1+COUNTIF($W$15:$W$894,"&lt;"&amp;W858))</f>
        <v/>
      </c>
      <c r="B858" s="16" t="s">
        <v>14</v>
      </c>
      <c r="C858" s="16" t="s">
        <v>1693</v>
      </c>
      <c r="D858" s="20" t="s">
        <v>86</v>
      </c>
      <c r="E858" s="16" t="s">
        <v>26</v>
      </c>
      <c r="F858" s="16" t="s">
        <v>1694</v>
      </c>
      <c r="G858" s="17">
        <v>1869</v>
      </c>
      <c r="H858" s="17"/>
      <c r="I858" s="17"/>
      <c r="J858" s="17">
        <v>1879</v>
      </c>
      <c r="K858" s="17" t="n">
        <f aca="false">IF(AND(IFERROR(SEARCH("현대오일뱅크",$C858),0)&gt;0,IFERROR(SEARCH("직영",$C858),0)&gt;0),$B$13,0)</f>
        <v/>
      </c>
      <c r="L858" s="17" t="n">
        <f aca="false">IF($G858="","",$G858+$K858)</f>
        <v/>
      </c>
      <c r="M858" s="17" t="str">
        <f aca="false">IF($H858="","",$H858+$K858)</f>
        <v/>
      </c>
      <c r="N858" s="17" t="n">
        <f aca="false">IF($J858="","",$J858+$K858)</f>
        <v/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 t="str">
        <f aca="false">IF($B$10=0,"",IFERROR(IF($B$4&gt;0,IF($L858="",1/0,$L858*$B$4),0)+IF($B$5&gt;0,IF($M858="",1/0,$M858*$B$5),0)+IF($B$6&gt;0,IF($N858="",1/0,$N858*$B$6),0),""))</f>
        <v/>
      </c>
      <c r="Q858" s="17"/>
      <c r="R858" s="18" t="str">
        <f aca="false">IF($P858="","",IF($Q858="Y",IFERROR(VLOOKUP($B858,$C$4:$D$13,2,FALSE()),0),0))</f>
        <v/>
      </c>
      <c r="S858" s="17" t="str">
        <f aca="false">IF($P858="","",ROUNDDOWN($P858*$R858,0))</f>
        <v/>
      </c>
      <c r="T858" s="17" t="str">
        <f aca="false">IF($P858="","",$P858-$S858)</f>
        <v/>
      </c>
      <c r="U858" s="17" t="str">
        <f aca="false">IF($T858="","",IF($B$10=0,"",$T858/$B$10))</f>
        <v/>
      </c>
      <c r="V858" s="17" t="str">
        <f aca="false">IF($P858="","",IF($B$10=0,"",$P858/$B$10))</f>
        <v/>
      </c>
      <c r="W858" s="19" t="n">
        <f aca="false">IF($T858="",1000000000000000,$T858)</f>
        <v/>
      </c>
      <c r="XFC858" s="3"/>
    </row>
    <row r="859" s="21" collapsed="false" customFormat="true" customHeight="true" hidden="false" ht="28.5" outlineLevel="0">
      <c r="A859" s="16" t="str">
        <f aca="false">IF($T859="","",1+COUNTIF($W$15:$W$894,"&lt;"&amp;W859))</f>
        <v/>
      </c>
      <c r="B859" s="16" t="s">
        <v>10</v>
      </c>
      <c r="C859" s="16" t="s">
        <v>1720</v>
      </c>
      <c r="D859" s="16" t="s">
        <v>51</v>
      </c>
      <c r="E859" s="16" t="s">
        <v>63</v>
      </c>
      <c r="F859" s="16" t="s">
        <v>1721</v>
      </c>
      <c r="G859" s="17">
        <v>1869</v>
      </c>
      <c r="H859" s="17"/>
      <c r="I859" s="17"/>
      <c r="J859" s="17">
        <v>1879</v>
      </c>
      <c r="K859" s="17" t="n">
        <f aca="false">IF(AND(IFERROR(SEARCH("현대오일뱅크",$C859),0)&gt;0,IFERROR(SEARCH("직영",$C859),0)&gt;0),$B$13,0)</f>
        <v/>
      </c>
      <c r="L859" s="17" t="n">
        <f aca="false">IF($G859="","",$G859+$K859)</f>
        <v/>
      </c>
      <c r="M859" s="17" t="str">
        <f aca="false">IF($H859="","",$H859+$K859)</f>
        <v/>
      </c>
      <c r="N859" s="17" t="n">
        <f aca="false">IF($J859="","",$J859+$K859)</f>
        <v/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 t="str">
        <f aca="false">IF($B$10=0,"",IFERROR(IF($B$4&gt;0,IF($L859="",1/0,$L859*$B$4),0)+IF($B$5&gt;0,IF($M859="",1/0,$M859*$B$5),0)+IF($B$6&gt;0,IF($N859="",1/0,$N859*$B$6),0),""))</f>
        <v/>
      </c>
      <c r="Q859" s="17"/>
      <c r="R859" s="18" t="str">
        <f aca="false">IF($P859="","",IF($Q859="Y",IFERROR(VLOOKUP($B859,$C$4:$D$13,2,FALSE()),0),0))</f>
        <v/>
      </c>
      <c r="S859" s="17" t="str">
        <f aca="false">IF($P859="","",ROUNDDOWN($P859*$R859,0))</f>
        <v/>
      </c>
      <c r="T859" s="17" t="str">
        <f aca="false">IF($P859="","",$P859-$S859)</f>
        <v/>
      </c>
      <c r="U859" s="17" t="str">
        <f aca="false">IF($T859="","",IF($B$10=0,"",$T859/$B$10))</f>
        <v/>
      </c>
      <c r="V859" s="17" t="str">
        <f aca="false">IF($P859="","",IF($B$10=0,"",$P859/$B$10))</f>
        <v/>
      </c>
      <c r="W859" s="19" t="n">
        <f aca="false">IF($T859="",1000000000000000,$T859)</f>
        <v/>
      </c>
      <c r="XFB859" s="6"/>
      <c r="XFC859" s="3"/>
    </row>
    <row r="860" s="6" collapsed="false" customFormat="true" customHeight="true" hidden="false" ht="28.6" outlineLevel="0">
      <c r="A860" s="16" t="str">
        <f aca="false">IF($T860="","",1+COUNTIF($W$15:$W$894,"&lt;"&amp;W860))</f>
        <v/>
      </c>
      <c r="B860" s="16" t="s">
        <v>10</v>
      </c>
      <c r="C860" s="16" t="s">
        <v>1697</v>
      </c>
      <c r="D860" s="16" t="s">
        <v>45</v>
      </c>
      <c r="E860" s="16" t="s">
        <v>26</v>
      </c>
      <c r="F860" s="16" t="s">
        <v>1698</v>
      </c>
      <c r="G860" s="17">
        <v>1874</v>
      </c>
      <c r="H860" s="17"/>
      <c r="I860" s="17"/>
      <c r="J860" s="17">
        <v>1863</v>
      </c>
      <c r="K860" s="17" t="n">
        <f aca="false">IF(AND(IFERROR(SEARCH("현대오일뱅크",$C860),0)&gt;0,IFERROR(SEARCH("직영",$C860),0)&gt;0),$B$13,0)</f>
        <v/>
      </c>
      <c r="L860" s="17" t="n">
        <f aca="false">IF($G860="","",$G860+$K860)</f>
        <v/>
      </c>
      <c r="M860" s="17" t="str">
        <f aca="false">IF($H860="","",$H860+$K860)</f>
        <v/>
      </c>
      <c r="N860" s="17" t="n">
        <f aca="false">IF($J860="","",$J860+$K860)</f>
        <v/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 t="str">
        <f aca="false">IF($B$10=0,"",IFERROR(IF($B$4&gt;0,IF($L860="",1/0,$L860*$B$4),0)+IF($B$5&gt;0,IF($M860="",1/0,$M860*$B$5),0)+IF($B$6&gt;0,IF($N860="",1/0,$N860*$B$6),0),""))</f>
        <v/>
      </c>
      <c r="Q860" s="17"/>
      <c r="R860" s="18" t="str">
        <f aca="false">IF($P860="","",IF($Q860="Y",IFERROR(VLOOKUP($B860,$C$4:$D$13,2,FALSE()),0),0))</f>
        <v/>
      </c>
      <c r="S860" s="17" t="str">
        <f aca="false">IF($P860="","",ROUNDDOWN($P860*$R860,0))</f>
        <v/>
      </c>
      <c r="T860" s="17" t="str">
        <f aca="false">IF($P860="","",$P860-$S860)</f>
        <v/>
      </c>
      <c r="U860" s="17" t="str">
        <f aca="false">IF($T860="","",IF($B$10=0,"",$T860/$B$10))</f>
        <v/>
      </c>
      <c r="V860" s="17" t="str">
        <f aca="false">IF($P860="","",IF($B$10=0,"",$P860/$B$10))</f>
        <v/>
      </c>
      <c r="W860" s="19" t="n">
        <f aca="false">IF($T860="",1000000000000000,$T860)</f>
        <v/>
      </c>
      <c r="XFC860" s="3"/>
    </row>
    <row r="861" s="6" collapsed="false" customFormat="true" customHeight="true" hidden="false" ht="28.6" outlineLevel="0">
      <c r="A861" s="16" t="str">
        <f aca="false">IF($T861="","",1+COUNTIF($W$15:$W$894,"&lt;"&amp;W861))</f>
        <v/>
      </c>
      <c r="B861" s="16" t="s">
        <v>12</v>
      </c>
      <c r="C861" s="16" t="s">
        <v>1699</v>
      </c>
      <c r="D861" s="20" t="s">
        <v>45</v>
      </c>
      <c r="E861" s="16" t="s">
        <v>63</v>
      </c>
      <c r="F861" s="16" t="s">
        <v>1700</v>
      </c>
      <c r="G861" s="17">
        <v>1875</v>
      </c>
      <c r="H861" s="17"/>
      <c r="I861" s="17"/>
      <c r="J861" s="17">
        <v>1855</v>
      </c>
      <c r="K861" s="17" t="n">
        <f aca="false">IF(AND(IFERROR(SEARCH("현대오일뱅크",$C861),0)&gt;0,IFERROR(SEARCH("직영",$C861),0)&gt;0),$B$13,0)</f>
        <v/>
      </c>
      <c r="L861" s="17" t="n">
        <f aca="false">IF($G861="","",$G861+$K861)</f>
        <v/>
      </c>
      <c r="M861" s="17" t="str">
        <f aca="false">IF($H861="","",$H861+$K861)</f>
        <v/>
      </c>
      <c r="N861" s="17" t="n">
        <f aca="false">IF($J861="","",$J861+$K861)</f>
        <v/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 t="str">
        <f aca="false">IF($B$10=0,"",IFERROR(IF($B$4&gt;0,IF($L861="",1/0,$L861*$B$4),0)+IF($B$5&gt;0,IF($M861="",1/0,$M861*$B$5),0)+IF($B$6&gt;0,IF($N861="",1/0,$N861*$B$6),0),""))</f>
        <v/>
      </c>
      <c r="Q861" s="17"/>
      <c r="R861" s="18" t="str">
        <f aca="false">IF($P861="","",IF($Q861="Y",IFERROR(VLOOKUP($B861,$C$4:$D$13,2,FALSE()),0),0))</f>
        <v/>
      </c>
      <c r="S861" s="17" t="str">
        <f aca="false">IF($P861="","",ROUNDDOWN($P861*$R861,0))</f>
        <v/>
      </c>
      <c r="T861" s="17" t="str">
        <f aca="false">IF($P861="","",$P861-$S861)</f>
        <v/>
      </c>
      <c r="U861" s="17" t="str">
        <f aca="false">IF($T861="","",IF($B$10=0,"",$T861/$B$10))</f>
        <v/>
      </c>
      <c r="V861" s="17" t="str">
        <f aca="false">IF($P861="","",IF($B$10=0,"",$P861/$B$10))</f>
        <v/>
      </c>
      <c r="W861" s="19" t="n">
        <f aca="false">IF($T861="",1000000000000000,$T861)</f>
        <v/>
      </c>
      <c r="XFC861" s="3"/>
    </row>
    <row r="862" s="21" collapsed="false" customFormat="true" customHeight="true" hidden="false" ht="28.5" outlineLevel="0">
      <c r="A862" s="16" t="str">
        <f aca="false">IF($T862="","",1+COUNTIF($W$15:$W$894,"&lt;"&amp;W862))</f>
        <v/>
      </c>
      <c r="B862" s="16" t="s">
        <v>10</v>
      </c>
      <c r="C862" s="16" t="s">
        <v>1701</v>
      </c>
      <c r="D862" s="16" t="s">
        <v>95</v>
      </c>
      <c r="E862" s="16" t="s">
        <v>63</v>
      </c>
      <c r="F862" s="16" t="s">
        <v>1702</v>
      </c>
      <c r="G862" s="17">
        <v>1875</v>
      </c>
      <c r="H862" s="17"/>
      <c r="I862" s="17"/>
      <c r="J862" s="17">
        <v>1875</v>
      </c>
      <c r="K862" s="17" t="n">
        <f aca="false">IF(AND(IFERROR(SEARCH("현대오일뱅크",$C862),0)&gt;0,IFERROR(SEARCH("직영",$C862),0)&gt;0),$B$13,0)</f>
        <v/>
      </c>
      <c r="L862" s="17" t="n">
        <f aca="false">IF($G862="","",$G862+$K862)</f>
        <v/>
      </c>
      <c r="M862" s="17" t="str">
        <f aca="false">IF($H862="","",$H862+$K862)</f>
        <v/>
      </c>
      <c r="N862" s="17" t="n">
        <f aca="false">IF($J862="","",$J862+$K862)</f>
        <v/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 t="str">
        <f aca="false">IF($B$10=0,"",IFERROR(IF($B$4&gt;0,IF($L862="",1/0,$L862*$B$4),0)+IF($B$5&gt;0,IF($M862="",1/0,$M862*$B$5),0)+IF($B$6&gt;0,IF($N862="",1/0,$N862*$B$6),0),""))</f>
        <v/>
      </c>
      <c r="Q862" s="17"/>
      <c r="R862" s="18" t="str">
        <f aca="false">IF($P862="","",IF($Q862="Y",IFERROR(VLOOKUP($B862,$C$4:$D$13,2,FALSE()),0),0))</f>
        <v/>
      </c>
      <c r="S862" s="17" t="str">
        <f aca="false">IF($P862="","",ROUNDDOWN($P862*$R862,0))</f>
        <v/>
      </c>
      <c r="T862" s="17" t="str">
        <f aca="false">IF($P862="","",$P862-$S862)</f>
        <v/>
      </c>
      <c r="U862" s="17" t="str">
        <f aca="false">IF($T862="","",IF($B$10=0,"",$T862/$B$10))</f>
        <v/>
      </c>
      <c r="V862" s="17" t="str">
        <f aca="false">IF($P862="","",IF($B$10=0,"",$P862/$B$10))</f>
        <v/>
      </c>
      <c r="W862" s="19" t="n">
        <f aca="false">IF($T862="",1000000000000000,$T862)</f>
        <v/>
      </c>
      <c r="XFB862" s="6"/>
      <c r="XFC862" s="3"/>
    </row>
    <row r="863" s="21" collapsed="false" customFormat="true" customHeight="true" hidden="false" ht="28.5" outlineLevel="0">
      <c r="A863" s="16" t="str">
        <f aca="false">IF($T863="","",1+COUNTIF($W$15:$W$894,"&lt;"&amp;W863))</f>
        <v/>
      </c>
      <c r="B863" s="16" t="s">
        <v>10</v>
      </c>
      <c r="C863" s="16" t="s">
        <v>600</v>
      </c>
      <c r="D863" s="16" t="s">
        <v>51</v>
      </c>
      <c r="E863" s="16" t="s">
        <v>63</v>
      </c>
      <c r="F863" s="16" t="s">
        <v>1703</v>
      </c>
      <c r="G863" s="17">
        <v>1875</v>
      </c>
      <c r="H863" s="17"/>
      <c r="I863" s="17"/>
      <c r="J863" s="17">
        <v>1895</v>
      </c>
      <c r="K863" s="17" t="n">
        <f aca="false">IF(AND(IFERROR(SEARCH("현대오일뱅크",$C863),0)&gt;0,IFERROR(SEARCH("직영",$C863),0)&gt;0),$B$13,0)</f>
        <v/>
      </c>
      <c r="L863" s="17" t="n">
        <f aca="false">IF($G863="","",$G863+$K863)</f>
        <v/>
      </c>
      <c r="M863" s="17" t="str">
        <f aca="false">IF($H863="","",$H863+$K863)</f>
        <v/>
      </c>
      <c r="N863" s="17" t="n">
        <f aca="false">IF($J863="","",$J863+$K863)</f>
        <v/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 t="str">
        <f aca="false">IF($B$10=0,"",IFERROR(IF($B$4&gt;0,IF($L863="",1/0,$L863*$B$4),0)+IF($B$5&gt;0,IF($M863="",1/0,$M863*$B$5),0)+IF($B$6&gt;0,IF($N863="",1/0,$N863*$B$6),0),""))</f>
        <v/>
      </c>
      <c r="Q863" s="17"/>
      <c r="R863" s="18" t="str">
        <f aca="false">IF($P863="","",IF($Q863="Y",IFERROR(VLOOKUP($B863,$C$4:$D$13,2,FALSE()),0),0))</f>
        <v/>
      </c>
      <c r="S863" s="17" t="str">
        <f aca="false">IF($P863="","",ROUNDDOWN($P863*$R863,0))</f>
        <v/>
      </c>
      <c r="T863" s="17" t="str">
        <f aca="false">IF($P863="","",$P863-$S863)</f>
        <v/>
      </c>
      <c r="U863" s="17" t="str">
        <f aca="false">IF($T863="","",IF($B$10=0,"",$T863/$B$10))</f>
        <v/>
      </c>
      <c r="V863" s="17" t="str">
        <f aca="false">IF($P863="","",IF($B$10=0,"",$P863/$B$10))</f>
        <v/>
      </c>
      <c r="W863" s="19" t="n">
        <f aca="false">IF($T863="",1000000000000000,$T863)</f>
        <v/>
      </c>
      <c r="XFB863" s="6"/>
      <c r="XFC863" s="3"/>
    </row>
    <row r="864" s="6" collapsed="false" customFormat="true" customHeight="true" hidden="false" ht="28.6" outlineLevel="0">
      <c r="A864" s="16" t="str">
        <f aca="false">IF($T864="","",1+COUNTIF($W$15:$W$894,"&lt;"&amp;W864))</f>
        <v/>
      </c>
      <c r="B864" s="16" t="s">
        <v>12</v>
      </c>
      <c r="C864" s="16" t="s">
        <v>1704</v>
      </c>
      <c r="D864" s="20" t="s">
        <v>51</v>
      </c>
      <c r="E864" s="16" t="s">
        <v>63</v>
      </c>
      <c r="F864" s="16" t="s">
        <v>1705</v>
      </c>
      <c r="G864" s="17">
        <v>1878</v>
      </c>
      <c r="H864" s="17"/>
      <c r="I864" s="17"/>
      <c r="J864" s="17">
        <v>1868</v>
      </c>
      <c r="K864" s="17" t="n">
        <f aca="false">IF(AND(IFERROR(SEARCH("현대오일뱅크",$C864),0)&gt;0,IFERROR(SEARCH("직영",$C864),0)&gt;0),$B$13,0)</f>
        <v/>
      </c>
      <c r="L864" s="17" t="n">
        <f aca="false">IF($G864="","",$G864+$K864)</f>
        <v/>
      </c>
      <c r="M864" s="17" t="str">
        <f aca="false">IF($H864="","",$H864+$K864)</f>
        <v/>
      </c>
      <c r="N864" s="17" t="n">
        <f aca="false">IF($J864="","",$J864+$K864)</f>
        <v/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 t="str">
        <f aca="false">IF($B$10=0,"",IFERROR(IF($B$4&gt;0,IF($L864="",1/0,$L864*$B$4),0)+IF($B$5&gt;0,IF($M864="",1/0,$M864*$B$5),0)+IF($B$6&gt;0,IF($N864="",1/0,$N864*$B$6),0),""))</f>
        <v/>
      </c>
      <c r="Q864" s="17"/>
      <c r="R864" s="18" t="str">
        <f aca="false">IF($P864="","",IF($Q864="Y",IFERROR(VLOOKUP($B864,$C$4:$D$13,2,FALSE()),0),0))</f>
        <v/>
      </c>
      <c r="S864" s="17" t="str">
        <f aca="false">IF($P864="","",ROUNDDOWN($P864*$R864,0))</f>
        <v/>
      </c>
      <c r="T864" s="17" t="str">
        <f aca="false">IF($P864="","",$P864-$S864)</f>
        <v/>
      </c>
      <c r="U864" s="17" t="str">
        <f aca="false">IF($T864="","",IF($B$10=0,"",$T864/$B$10))</f>
        <v/>
      </c>
      <c r="V864" s="17" t="str">
        <f aca="false">IF($P864="","",IF($B$10=0,"",$P864/$B$10))</f>
        <v/>
      </c>
      <c r="W864" s="19" t="n">
        <f aca="false">IF($T864="",1000000000000000,$T864)</f>
        <v/>
      </c>
      <c r="XFC864" s="3"/>
    </row>
    <row r="865" s="6" collapsed="false" customFormat="true" customHeight="true" hidden="false" ht="28.6" outlineLevel="0">
      <c r="A865" s="16" t="str">
        <f aca="false">IF($T865="","",1+COUNTIF($W$15:$W$894,"&lt;"&amp;W865))</f>
        <v/>
      </c>
      <c r="B865" s="16" t="s">
        <v>10</v>
      </c>
      <c r="C865" s="16" t="s">
        <v>1706</v>
      </c>
      <c r="D865" s="16" t="s">
        <v>51</v>
      </c>
      <c r="E865" s="16" t="s">
        <v>63</v>
      </c>
      <c r="F865" s="16" t="s">
        <v>1707</v>
      </c>
      <c r="G865" s="17">
        <v>1878</v>
      </c>
      <c r="H865" s="17"/>
      <c r="I865" s="17"/>
      <c r="J865" s="17">
        <v>1878</v>
      </c>
      <c r="K865" s="17" t="n">
        <f aca="false">IF(AND(IFERROR(SEARCH("현대오일뱅크",$C865),0)&gt;0,IFERROR(SEARCH("직영",$C865),0)&gt;0),$B$13,0)</f>
        <v/>
      </c>
      <c r="L865" s="17" t="n">
        <f aca="false">IF($G865="","",$G865+$K865)</f>
        <v/>
      </c>
      <c r="M865" s="17" t="str">
        <f aca="false">IF($H865="","",$H865+$K865)</f>
        <v/>
      </c>
      <c r="N865" s="17" t="n">
        <f aca="false">IF($J865="","",$J865+$K865)</f>
        <v/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 t="str">
        <f aca="false">IF($B$10=0,"",IFERROR(IF($B$4&gt;0,IF($L865="",1/0,$L865*$B$4),0)+IF($B$5&gt;0,IF($M865="",1/0,$M865*$B$5),0)+IF($B$6&gt;0,IF($N865="",1/0,$N865*$B$6),0),""))</f>
        <v/>
      </c>
      <c r="Q865" s="17"/>
      <c r="R865" s="18" t="str">
        <f aca="false">IF($P865="","",IF($Q865="Y",IFERROR(VLOOKUP($B865,$C$4:$D$13,2,FALSE()),0),0))</f>
        <v/>
      </c>
      <c r="S865" s="17" t="str">
        <f aca="false">IF($P865="","",ROUNDDOWN($P865*$R865,0))</f>
        <v/>
      </c>
      <c r="T865" s="17" t="str">
        <f aca="false">IF($P865="","",$P865-$S865)</f>
        <v/>
      </c>
      <c r="U865" s="17" t="str">
        <f aca="false">IF($T865="","",IF($B$10=0,"",$T865/$B$10))</f>
        <v/>
      </c>
      <c r="V865" s="17" t="str">
        <f aca="false">IF($P865="","",IF($B$10=0,"",$P865/$B$10))</f>
        <v/>
      </c>
      <c r="W865" s="19" t="n">
        <f aca="false">IF($T865="",1000000000000000,$T865)</f>
        <v/>
      </c>
      <c r="XFC865" s="3"/>
    </row>
    <row r="866" s="6" collapsed="false" customFormat="true" customHeight="true" hidden="false" ht="28.6" outlineLevel="0">
      <c r="A866" s="16" t="str">
        <f aca="false">IF($T866="","",1+COUNTIF($W$15:$W$894,"&lt;"&amp;W866))</f>
        <v/>
      </c>
      <c r="B866" s="16" t="s">
        <v>10</v>
      </c>
      <c r="C866" s="16" t="s">
        <v>1708</v>
      </c>
      <c r="D866" s="16" t="s">
        <v>45</v>
      </c>
      <c r="E866" s="16" t="s">
        <v>26</v>
      </c>
      <c r="F866" s="16" t="s">
        <v>1709</v>
      </c>
      <c r="G866" s="17">
        <v>1878</v>
      </c>
      <c r="H866" s="17"/>
      <c r="I866" s="17"/>
      <c r="J866" s="17">
        <v>1888</v>
      </c>
      <c r="K866" s="17" t="n">
        <f aca="false">IF(AND(IFERROR(SEARCH("현대오일뱅크",$C866),0)&gt;0,IFERROR(SEARCH("직영",$C866),0)&gt;0),$B$13,0)</f>
        <v/>
      </c>
      <c r="L866" s="17" t="n">
        <f aca="false">IF($G866="","",$G866+$K866)</f>
        <v/>
      </c>
      <c r="M866" s="17" t="str">
        <f aca="false">IF($H866="","",$H866+$K866)</f>
        <v/>
      </c>
      <c r="N866" s="17" t="n">
        <f aca="false">IF($J866="","",$J866+$K866)</f>
        <v/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 t="str">
        <f aca="false">IF($B$10=0,"",IFERROR(IF($B$4&gt;0,IF($L866="",1/0,$L866*$B$4),0)+IF($B$5&gt;0,IF($M866="",1/0,$M866*$B$5),0)+IF($B$6&gt;0,IF($N866="",1/0,$N866*$B$6),0),""))</f>
        <v/>
      </c>
      <c r="Q866" s="17"/>
      <c r="R866" s="18" t="str">
        <f aca="false">IF($P866="","",IF($Q866="Y",IFERROR(VLOOKUP($B866,$C$4:$D$13,2,FALSE()),0),0))</f>
        <v/>
      </c>
      <c r="S866" s="17" t="str">
        <f aca="false">IF($P866="","",ROUNDDOWN($P866*$R866,0))</f>
        <v/>
      </c>
      <c r="T866" s="17" t="str">
        <f aca="false">IF($P866="","",$P866-$S866)</f>
        <v/>
      </c>
      <c r="U866" s="17" t="str">
        <f aca="false">IF($T866="","",IF($B$10=0,"",$T866/$B$10))</f>
        <v/>
      </c>
      <c r="V866" s="17" t="str">
        <f aca="false">IF($P866="","",IF($B$10=0,"",$P866/$B$10))</f>
        <v/>
      </c>
      <c r="W866" s="19" t="n">
        <f aca="false">IF($T866="",1000000000000000,$T866)</f>
        <v/>
      </c>
      <c r="XFC866" s="3"/>
    </row>
    <row r="867" s="6" collapsed="false" customFormat="true" customHeight="true" hidden="false" ht="28.6" outlineLevel="0">
      <c r="A867" s="16" t="str">
        <f aca="false">IF($T867="","",1+COUNTIF($W$15:$W$894,"&lt;"&amp;W867))</f>
        <v/>
      </c>
      <c r="B867" s="16" t="s">
        <v>14</v>
      </c>
      <c r="C867" s="16" t="s">
        <v>1763</v>
      </c>
      <c r="D867" s="16" t="s">
        <v>51</v>
      </c>
      <c r="E867" s="16" t="s">
        <v>26</v>
      </c>
      <c r="F867" s="16" t="s">
        <v>1764</v>
      </c>
      <c r="G867" s="17">
        <v>1878</v>
      </c>
      <c r="H867" s="17"/>
      <c r="I867" s="17"/>
      <c r="J867" s="17">
        <v>2134</v>
      </c>
      <c r="K867" s="17" t="n">
        <f aca="false">IF(AND(IFERROR(SEARCH("현대오일뱅크",$C867),0)&gt;0,IFERROR(SEARCH("직영",$C867),0)&gt;0),$B$13,0)</f>
        <v/>
      </c>
      <c r="L867" s="17" t="n">
        <f aca="false">IF($G867="","",$G867+$K867)</f>
        <v/>
      </c>
      <c r="M867" s="17" t="str">
        <f aca="false">IF($H867="","",$H867+$K867)</f>
        <v/>
      </c>
      <c r="N867" s="17" t="n">
        <f aca="false">IF($J867="","",$J867+$K867)</f>
        <v/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 t="str">
        <f aca="false">IF($B$10=0,"",IFERROR(IF($B$4&gt;0,IF($L867="",1/0,$L867*$B$4),0)+IF($B$5&gt;0,IF($M867="",1/0,$M867*$B$5),0)+IF($B$6&gt;0,IF($N867="",1/0,$N867*$B$6),0),""))</f>
        <v/>
      </c>
      <c r="Q867" s="17"/>
      <c r="R867" s="18" t="str">
        <f aca="false">IF($P867="","",IF($Q867="Y",IFERROR(VLOOKUP($B867,$C$4:$D$13,2,FALSE()),0),0))</f>
        <v/>
      </c>
      <c r="S867" s="17" t="str">
        <f aca="false">IF($P867="","",ROUNDDOWN($P867*$R867,0))</f>
        <v/>
      </c>
      <c r="T867" s="17" t="str">
        <f aca="false">IF($P867="","",$P867-$S867)</f>
        <v/>
      </c>
      <c r="U867" s="17" t="str">
        <f aca="false">IF($T867="","",IF($B$10=0,"",$T867/$B$10))</f>
        <v/>
      </c>
      <c r="V867" s="17" t="str">
        <f aca="false">IF($P867="","",IF($B$10=0,"",$P867/$B$10))</f>
        <v/>
      </c>
      <c r="W867" s="19" t="n">
        <f aca="false">IF($T867="",1000000000000000,$T867)</f>
        <v/>
      </c>
      <c r="XFC867" s="3"/>
    </row>
    <row r="868" s="6" collapsed="false" customFormat="true" customHeight="true" hidden="false" ht="28.6" outlineLevel="0">
      <c r="A868" s="16" t="str">
        <f aca="false">IF($T868="","",1+COUNTIF($W$15:$W$894,"&lt;"&amp;W868))</f>
        <v/>
      </c>
      <c r="B868" s="16" t="s">
        <v>14</v>
      </c>
      <c r="C868" s="16" t="s">
        <v>1710</v>
      </c>
      <c r="D868" s="16" t="s">
        <v>45</v>
      </c>
      <c r="E868" s="16" t="s">
        <v>26</v>
      </c>
      <c r="F868" s="16" t="s">
        <v>1711</v>
      </c>
      <c r="G868" s="17">
        <v>1879</v>
      </c>
      <c r="H868" s="17"/>
      <c r="I868" s="17"/>
      <c r="J868" s="17">
        <v>1879</v>
      </c>
      <c r="K868" s="17" t="n">
        <f aca="false">IF(AND(IFERROR(SEARCH("현대오일뱅크",$C868),0)&gt;0,IFERROR(SEARCH("직영",$C868),0)&gt;0),$B$13,0)</f>
        <v/>
      </c>
      <c r="L868" s="17" t="n">
        <f aca="false">IF($G868="","",$G868+$K868)</f>
        <v/>
      </c>
      <c r="M868" s="17" t="str">
        <f aca="false">IF($H868="","",$H868+$K868)</f>
        <v/>
      </c>
      <c r="N868" s="17" t="n">
        <f aca="false">IF($J868="","",$J868+$K868)</f>
        <v/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 t="str">
        <f aca="false">IF($B$10=0,"",IFERROR(IF($B$4&gt;0,IF($L868="",1/0,$L868*$B$4),0)+IF($B$5&gt;0,IF($M868="",1/0,$M868*$B$5),0)+IF($B$6&gt;0,IF($N868="",1/0,$N868*$B$6),0),""))</f>
        <v/>
      </c>
      <c r="Q868" s="17"/>
      <c r="R868" s="18" t="str">
        <f aca="false">IF($P868="","",IF($Q868="Y",IFERROR(VLOOKUP($B868,$C$4:$D$13,2,FALSE()),0),0))</f>
        <v/>
      </c>
      <c r="S868" s="17" t="str">
        <f aca="false">IF($P868="","",ROUNDDOWN($P868*$R868,0))</f>
        <v/>
      </c>
      <c r="T868" s="17" t="str">
        <f aca="false">IF($P868="","",$P868-$S868)</f>
        <v/>
      </c>
      <c r="U868" s="17" t="str">
        <f aca="false">IF($T868="","",IF($B$10=0,"",$T868/$B$10))</f>
        <v/>
      </c>
      <c r="V868" s="17" t="str">
        <f aca="false">IF($P868="","",IF($B$10=0,"",$P868/$B$10))</f>
        <v/>
      </c>
      <c r="W868" s="19" t="n">
        <f aca="false">IF($T868="",1000000000000000,$T868)</f>
        <v/>
      </c>
      <c r="XFC868" s="3"/>
    </row>
    <row r="869" s="6" collapsed="false" customFormat="true" customHeight="true" hidden="false" ht="28.6" outlineLevel="0">
      <c r="A869" s="16" t="str">
        <f aca="false">IF($T869="","",1+COUNTIF($W$15:$W$894,"&lt;"&amp;W869))</f>
        <v/>
      </c>
      <c r="B869" s="16" t="s">
        <v>10</v>
      </c>
      <c r="C869" s="16" t="s">
        <v>1739</v>
      </c>
      <c r="D869" s="16" t="s">
        <v>51</v>
      </c>
      <c r="E869" s="16" t="s">
        <v>26</v>
      </c>
      <c r="F869" s="16" t="s">
        <v>1740</v>
      </c>
      <c r="G869" s="17">
        <v>1879</v>
      </c>
      <c r="H869" s="17"/>
      <c r="I869" s="17"/>
      <c r="J869" s="17">
        <v>1879</v>
      </c>
      <c r="K869" s="17" t="n">
        <f aca="false">IF(AND(IFERROR(SEARCH("현대오일뱅크",$C869),0)&gt;0,IFERROR(SEARCH("직영",$C869),0)&gt;0),$B$13,0)</f>
        <v/>
      </c>
      <c r="L869" s="17" t="n">
        <f aca="false">IF($G869="","",$G869+$K869)</f>
        <v/>
      </c>
      <c r="M869" s="17" t="str">
        <f aca="false">IF($H869="","",$H869+$K869)</f>
        <v/>
      </c>
      <c r="N869" s="17" t="n">
        <f aca="false">IF($J869="","",$J869+$K869)</f>
        <v/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 t="str">
        <f aca="false">IF($B$10=0,"",IFERROR(IF($B$4&gt;0,IF($L869="",1/0,$L869*$B$4),0)+IF($B$5&gt;0,IF($M869="",1/0,$M869*$B$5),0)+IF($B$6&gt;0,IF($N869="",1/0,$N869*$B$6),0),""))</f>
        <v/>
      </c>
      <c r="Q869" s="17"/>
      <c r="R869" s="18" t="str">
        <f aca="false">IF($P869="","",IF($Q869="Y",IFERROR(VLOOKUP($B869,$C$4:$D$13,2,FALSE()),0),0))</f>
        <v/>
      </c>
      <c r="S869" s="17" t="str">
        <f aca="false">IF($P869="","",ROUNDDOWN($P869*$R869,0))</f>
        <v/>
      </c>
      <c r="T869" s="17" t="str">
        <f aca="false">IF($P869="","",$P869-$S869)</f>
        <v/>
      </c>
      <c r="U869" s="17" t="str">
        <f aca="false">IF($T869="","",IF($B$10=0,"",$T869/$B$10))</f>
        <v/>
      </c>
      <c r="V869" s="17" t="str">
        <f aca="false">IF($P869="","",IF($B$10=0,"",$P869/$B$10))</f>
        <v/>
      </c>
      <c r="W869" s="19" t="n">
        <f aca="false">IF($T869="",1000000000000000,$T869)</f>
        <v/>
      </c>
      <c r="XFC869" s="3"/>
    </row>
    <row r="870" s="6" collapsed="false" customFormat="true" customHeight="true" hidden="false" ht="28.6" outlineLevel="0">
      <c r="A870" s="16" t="str">
        <f aca="false">IF($T870="","",1+COUNTIF($W$15:$W$894,"&lt;"&amp;W870))</f>
        <v/>
      </c>
      <c r="B870" s="16" t="s">
        <v>10</v>
      </c>
      <c r="C870" s="16" t="s">
        <v>1712</v>
      </c>
      <c r="D870" s="16" t="s">
        <v>51</v>
      </c>
      <c r="E870" s="16" t="s">
        <v>63</v>
      </c>
      <c r="F870" s="16" t="s">
        <v>1713</v>
      </c>
      <c r="G870" s="17">
        <v>1879</v>
      </c>
      <c r="H870" s="17"/>
      <c r="I870" s="17"/>
      <c r="J870" s="17">
        <v>1879</v>
      </c>
      <c r="K870" s="17" t="n">
        <f aca="false">IF(AND(IFERROR(SEARCH("현대오일뱅크",$C870),0)&gt;0,IFERROR(SEARCH("직영",$C870),0)&gt;0),$B$13,0)</f>
        <v/>
      </c>
      <c r="L870" s="17" t="n">
        <f aca="false">IF($G870="","",$G870+$K870)</f>
        <v/>
      </c>
      <c r="M870" s="17" t="str">
        <f aca="false">IF($H870="","",$H870+$K870)</f>
        <v/>
      </c>
      <c r="N870" s="17" t="n">
        <f aca="false">IF($J870="","",$J870+$K870)</f>
        <v/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 t="str">
        <f aca="false">IF($B$10=0,"",IFERROR(IF($B$4&gt;0,IF($L870="",1/0,$L870*$B$4),0)+IF($B$5&gt;0,IF($M870="",1/0,$M870*$B$5),0)+IF($B$6&gt;0,IF($N870="",1/0,$N870*$B$6),0),""))</f>
        <v/>
      </c>
      <c r="Q870" s="17"/>
      <c r="R870" s="18" t="str">
        <f aca="false">IF($P870="","",IF($Q870="Y",IFERROR(VLOOKUP($B870,$C$4:$D$13,2,FALSE()),0),0))</f>
        <v/>
      </c>
      <c r="S870" s="17" t="str">
        <f aca="false">IF($P870="","",ROUNDDOWN($P870*$R870,0))</f>
        <v/>
      </c>
      <c r="T870" s="17" t="str">
        <f aca="false">IF($P870="","",$P870-$S870)</f>
        <v/>
      </c>
      <c r="U870" s="17" t="str">
        <f aca="false">IF($T870="","",IF($B$10=0,"",$T870/$B$10))</f>
        <v/>
      </c>
      <c r="V870" s="17" t="str">
        <f aca="false">IF($P870="","",IF($B$10=0,"",$P870/$B$10))</f>
        <v/>
      </c>
      <c r="W870" s="19" t="n">
        <f aca="false">IF($T870="",1000000000000000,$T870)</f>
        <v/>
      </c>
      <c r="XFC870" s="3"/>
    </row>
    <row r="871" s="6" collapsed="false" customFormat="true" customHeight="true" hidden="false" ht="28.6" outlineLevel="0">
      <c r="A871" s="16" t="str">
        <f aca="false">IF($T871="","",1+COUNTIF($W$15:$W$894,"&lt;"&amp;W871))</f>
        <v/>
      </c>
      <c r="B871" s="16" t="s">
        <v>8</v>
      </c>
      <c r="C871" s="16" t="s">
        <v>1722</v>
      </c>
      <c r="D871" s="16" t="s">
        <v>51</v>
      </c>
      <c r="E871" s="16" t="s">
        <v>63</v>
      </c>
      <c r="F871" s="16" t="s">
        <v>1723</v>
      </c>
      <c r="G871" s="17">
        <v>1880</v>
      </c>
      <c r="H871" s="17"/>
      <c r="I871" s="17"/>
      <c r="J871" s="17">
        <v>1880</v>
      </c>
      <c r="K871" s="17" t="n">
        <f aca="false">IF(AND(IFERROR(SEARCH("현대오일뱅크",$C871),0)&gt;0,IFERROR(SEARCH("직영",$C871),0)&gt;0),$B$13,0)</f>
        <v/>
      </c>
      <c r="L871" s="17" t="n">
        <f aca="false">IF($G871="","",$G871+$K871)</f>
        <v/>
      </c>
      <c r="M871" s="17" t="str">
        <f aca="false">IF($H871="","",$H871+$K871)</f>
        <v/>
      </c>
      <c r="N871" s="17" t="n">
        <f aca="false">IF($J871="","",$J871+$K871)</f>
        <v/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 t="str">
        <f aca="false">IF($B$10=0,"",IFERROR(IF($B$4&gt;0,IF($L871="",1/0,$L871*$B$4),0)+IF($B$5&gt;0,IF($M871="",1/0,$M871*$B$5),0)+IF($B$6&gt;0,IF($N871="",1/0,$N871*$B$6),0),""))</f>
        <v/>
      </c>
      <c r="Q871" s="17"/>
      <c r="R871" s="18" t="str">
        <f aca="false">IF($P871="","",IF($Q871="Y",IFERROR(VLOOKUP($B871,$C$4:$D$13,2,FALSE()),0),0))</f>
        <v/>
      </c>
      <c r="S871" s="17" t="str">
        <f aca="false">IF($P871="","",ROUNDDOWN($P871*$R871,0))</f>
        <v/>
      </c>
      <c r="T871" s="17" t="str">
        <f aca="false">IF($P871="","",$P871-$S871)</f>
        <v/>
      </c>
      <c r="U871" s="17" t="str">
        <f aca="false">IF($T871="","",IF($B$10=0,"",$T871/$B$10))</f>
        <v/>
      </c>
      <c r="V871" s="17" t="str">
        <f aca="false">IF($P871="","",IF($B$10=0,"",$P871/$B$10))</f>
        <v/>
      </c>
      <c r="W871" s="19" t="n">
        <f aca="false">IF($T871="",1000000000000000,$T871)</f>
        <v/>
      </c>
      <c r="XFC871" s="3"/>
    </row>
    <row r="872" s="6" collapsed="false" customFormat="true" customHeight="true" hidden="false" ht="28.6" outlineLevel="0">
      <c r="A872" s="16" t="str">
        <f aca="false">IF($T872="","",1+COUNTIF($W$15:$W$894,"&lt;"&amp;W872))</f>
        <v/>
      </c>
      <c r="B872" s="16" t="s">
        <v>10</v>
      </c>
      <c r="C872" s="16" t="s">
        <v>1726</v>
      </c>
      <c r="D872" s="20" t="s">
        <v>86</v>
      </c>
      <c r="E872" s="16" t="s">
        <v>63</v>
      </c>
      <c r="F872" s="16" t="s">
        <v>1727</v>
      </c>
      <c r="G872" s="17">
        <v>1888</v>
      </c>
      <c r="H872" s="17"/>
      <c r="I872" s="17"/>
      <c r="J872" s="17">
        <v>1878</v>
      </c>
      <c r="K872" s="17" t="n">
        <f aca="false">IF(AND(IFERROR(SEARCH("현대오일뱅크",$C872),0)&gt;0,IFERROR(SEARCH("직영",$C872),0)&gt;0),$B$13,0)</f>
        <v/>
      </c>
      <c r="L872" s="17" t="n">
        <f aca="false">IF($G872="","",$G872+$K872)</f>
        <v/>
      </c>
      <c r="M872" s="17" t="str">
        <f aca="false">IF($H872="","",$H872+$K872)</f>
        <v/>
      </c>
      <c r="N872" s="17" t="n">
        <f aca="false">IF($J872="","",$J872+$K872)</f>
        <v/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 t="str">
        <f aca="false">IF($B$10=0,"",IFERROR(IF($B$4&gt;0,IF($L872="",1/0,$L872*$B$4),0)+IF($B$5&gt;0,IF($M872="",1/0,$M872*$B$5),0)+IF($B$6&gt;0,IF($N872="",1/0,$N872*$B$6),0),""))</f>
        <v/>
      </c>
      <c r="Q872" s="17"/>
      <c r="R872" s="18" t="str">
        <f aca="false">IF($P872="","",IF($Q872="Y",IFERROR(VLOOKUP($B872,$C$4:$D$13,2,FALSE()),0),0))</f>
        <v/>
      </c>
      <c r="S872" s="17" t="str">
        <f aca="false">IF($P872="","",ROUNDDOWN($P872*$R872,0))</f>
        <v/>
      </c>
      <c r="T872" s="17" t="str">
        <f aca="false">IF($P872="","",$P872-$S872)</f>
        <v/>
      </c>
      <c r="U872" s="17" t="str">
        <f aca="false">IF($T872="","",IF($B$10=0,"",$T872/$B$10))</f>
        <v/>
      </c>
      <c r="V872" s="17" t="str">
        <f aca="false">IF($P872="","",IF($B$10=0,"",$P872/$B$10))</f>
        <v/>
      </c>
      <c r="W872" s="19" t="n">
        <f aca="false">IF($T872="",1000000000000000,$T872)</f>
        <v/>
      </c>
      <c r="XFC872" s="3"/>
    </row>
    <row r="873" s="6" collapsed="false" customFormat="true" customHeight="true" hidden="false" ht="28.6" outlineLevel="0">
      <c r="A873" s="16" t="str">
        <f aca="false">IF($T873="","",1+COUNTIF($W$15:$W$894,"&lt;"&amp;W873))</f>
        <v/>
      </c>
      <c r="B873" s="16" t="s">
        <v>14</v>
      </c>
      <c r="C873" s="16" t="s">
        <v>1730</v>
      </c>
      <c r="D873" s="16" t="s">
        <v>95</v>
      </c>
      <c r="E873" s="16" t="s">
        <v>26</v>
      </c>
      <c r="F873" s="16" t="s">
        <v>1731</v>
      </c>
      <c r="G873" s="17">
        <v>1889</v>
      </c>
      <c r="H873" s="17"/>
      <c r="I873" s="17"/>
      <c r="J873" s="17">
        <v>1889</v>
      </c>
      <c r="K873" s="17" t="n">
        <f aca="false">IF(AND(IFERROR(SEARCH("현대오일뱅크",$C873),0)&gt;0,IFERROR(SEARCH("직영",$C873),0)&gt;0),$B$13,0)</f>
        <v/>
      </c>
      <c r="L873" s="17" t="n">
        <f aca="false">IF($G873="","",$G873+$K873)</f>
        <v/>
      </c>
      <c r="M873" s="17" t="str">
        <f aca="false">IF($H873="","",$H873+$K873)</f>
        <v/>
      </c>
      <c r="N873" s="17" t="n">
        <f aca="false">IF($J873="","",$J873+$K873)</f>
        <v/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 t="str">
        <f aca="false">IF($B$10=0,"",IFERROR(IF($B$4&gt;0,IF($L873="",1/0,$L873*$B$4),0)+IF($B$5&gt;0,IF($M873="",1/0,$M873*$B$5),0)+IF($B$6&gt;0,IF($N873="",1/0,$N873*$B$6),0),""))</f>
        <v/>
      </c>
      <c r="Q873" s="17"/>
      <c r="R873" s="18" t="str">
        <f aca="false">IF($P873="","",IF($Q873="Y",IFERROR(VLOOKUP($B873,$C$4:$D$13,2,FALSE()),0),0))</f>
        <v/>
      </c>
      <c r="S873" s="17" t="str">
        <f aca="false">IF($P873="","",ROUNDDOWN($P873*$R873,0))</f>
        <v/>
      </c>
      <c r="T873" s="17" t="str">
        <f aca="false">IF($P873="","",$P873-$S873)</f>
        <v/>
      </c>
      <c r="U873" s="17" t="str">
        <f aca="false">IF($T873="","",IF($B$10=0,"",$T873/$B$10))</f>
        <v/>
      </c>
      <c r="V873" s="17" t="str">
        <f aca="false">IF($P873="","",IF($B$10=0,"",$P873/$B$10))</f>
        <v/>
      </c>
      <c r="W873" s="19" t="n">
        <f aca="false">IF($T873="",1000000000000000,$T873)</f>
        <v/>
      </c>
      <c r="XFC873" s="3"/>
    </row>
    <row r="874" s="5" collapsed="false" customFormat="true" customHeight="true" hidden="false" ht="28.5" outlineLevel="0">
      <c r="A874" s="16" t="str">
        <f aca="false">IF($T874="","",1+COUNTIF($W$15:$W$894,"&lt;"&amp;W874))</f>
        <v/>
      </c>
      <c r="B874" s="16" t="s">
        <v>10</v>
      </c>
      <c r="C874" s="16" t="s">
        <v>1728</v>
      </c>
      <c r="D874" s="20" t="s">
        <v>86</v>
      </c>
      <c r="E874" s="16" t="s">
        <v>63</v>
      </c>
      <c r="F874" s="16" t="s">
        <v>1729</v>
      </c>
      <c r="G874" s="17">
        <v>1889</v>
      </c>
      <c r="H874" s="17"/>
      <c r="I874" s="17"/>
      <c r="J874" s="17">
        <v>1895</v>
      </c>
      <c r="K874" s="17" t="n">
        <f aca="false">IF(AND(IFERROR(SEARCH("현대오일뱅크",$C874),0)&gt;0,IFERROR(SEARCH("직영",$C874),0)&gt;0),$B$13,0)</f>
        <v/>
      </c>
      <c r="L874" s="17" t="n">
        <f aca="false">IF($G874="","",$G874+$K874)</f>
        <v/>
      </c>
      <c r="M874" s="17" t="str">
        <f aca="false">IF($H874="","",$H874+$K874)</f>
        <v/>
      </c>
      <c r="N874" s="17" t="n">
        <f aca="false">IF($J874="","",$J874+$K874)</f>
        <v/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 t="str">
        <f aca="false">IF($B$10=0,"",IFERROR(IF($B$4&gt;0,IF($L874="",1/0,$L874*$B$4),0)+IF($B$5&gt;0,IF($M874="",1/0,$M874*$B$5),0)+IF($B$6&gt;0,IF($N874="",1/0,$N874*$B$6),0),""))</f>
        <v/>
      </c>
      <c r="Q874" s="17"/>
      <c r="R874" s="18" t="str">
        <f aca="false">IF($P874="","",IF($Q874="Y",IFERROR(VLOOKUP($B874,$C$4:$D$13,2,FALSE()),0),0))</f>
        <v/>
      </c>
      <c r="S874" s="17" t="str">
        <f aca="false">IF($P874="","",ROUNDDOWN($P874*$R874,0))</f>
        <v/>
      </c>
      <c r="T874" s="17" t="str">
        <f aca="false">IF($P874="","",$P874-$S874)</f>
        <v/>
      </c>
      <c r="U874" s="17" t="str">
        <f aca="false">IF($T874="","",IF($B$10=0,"",$T874/$B$10))</f>
        <v/>
      </c>
      <c r="V874" s="17" t="str">
        <f aca="false">IF($P874="","",IF($B$10=0,"",$P874/$B$10))</f>
        <v/>
      </c>
      <c r="W874" s="19" t="n">
        <f aca="false">IF($T874="",1000000000000000,$T874)</f>
        <v/>
      </c>
      <c r="XFB874" s="6"/>
      <c r="XFC874" s="3"/>
    </row>
    <row r="875" s="6" collapsed="false" customFormat="true" customHeight="true" hidden="false" ht="28.6" outlineLevel="0">
      <c r="A875" s="16" t="str">
        <f aca="false">IF($T875="","",1+COUNTIF($W$15:$W$894,"&lt;"&amp;W875))</f>
        <v/>
      </c>
      <c r="B875" s="16" t="s">
        <v>12</v>
      </c>
      <c r="C875" s="16" t="s">
        <v>1732</v>
      </c>
      <c r="D875" s="20" t="s">
        <v>95</v>
      </c>
      <c r="E875" s="16" t="s">
        <v>63</v>
      </c>
      <c r="F875" s="16" t="s">
        <v>1733</v>
      </c>
      <c r="G875" s="17">
        <v>1898</v>
      </c>
      <c r="H875" s="17"/>
      <c r="I875" s="17"/>
      <c r="J875" s="17">
        <v>1818</v>
      </c>
      <c r="K875" s="17" t="n">
        <f aca="false">IF(AND(IFERROR(SEARCH("현대오일뱅크",$C875),0)&gt;0,IFERROR(SEARCH("직영",$C875),0)&gt;0),$B$13,0)</f>
        <v/>
      </c>
      <c r="L875" s="17" t="n">
        <f aca="false">IF($G875="","",$G875+$K875)</f>
        <v/>
      </c>
      <c r="M875" s="17" t="str">
        <f aca="false">IF($H875="","",$H875+$K875)</f>
        <v/>
      </c>
      <c r="N875" s="17" t="n">
        <f aca="false">IF($J875="","",$J875+$K875)</f>
        <v/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 t="str">
        <f aca="false">IF($B$10=0,"",IFERROR(IF($B$4&gt;0,IF($L875="",1/0,$L875*$B$4),0)+IF($B$5&gt;0,IF($M875="",1/0,$M875*$B$5),0)+IF($B$6&gt;0,IF($N875="",1/0,$N875*$B$6),0),""))</f>
        <v/>
      </c>
      <c r="Q875" s="17"/>
      <c r="R875" s="18" t="str">
        <f aca="false">IF($P875="","",IF($Q875="Y",IFERROR(VLOOKUP($B875,$C$4:$D$13,2,FALSE()),0),0))</f>
        <v/>
      </c>
      <c r="S875" s="17" t="str">
        <f aca="false">IF($P875="","",ROUNDDOWN($P875*$R875,0))</f>
        <v/>
      </c>
      <c r="T875" s="17" t="str">
        <f aca="false">IF($P875="","",$P875-$S875)</f>
        <v/>
      </c>
      <c r="U875" s="17" t="str">
        <f aca="false">IF($T875="","",IF($B$10=0,"",$T875/$B$10))</f>
        <v/>
      </c>
      <c r="V875" s="17" t="str">
        <f aca="false">IF($P875="","",IF($B$10=0,"",$P875/$B$10))</f>
        <v/>
      </c>
      <c r="W875" s="19" t="n">
        <f aca="false">IF($T875="",1000000000000000,$T875)</f>
        <v/>
      </c>
      <c r="XFC875" s="3"/>
    </row>
    <row r="876" s="6" collapsed="false" customFormat="true" customHeight="true" hidden="false" ht="28.6" outlineLevel="0">
      <c r="A876" s="16" t="str">
        <f aca="false">IF($T876="","",1+COUNTIF($W$15:$W$894,"&lt;"&amp;W876))</f>
        <v/>
      </c>
      <c r="B876" s="16" t="s">
        <v>12</v>
      </c>
      <c r="C876" s="16" t="s">
        <v>1736</v>
      </c>
      <c r="D876" s="20" t="s">
        <v>45</v>
      </c>
      <c r="E876" s="16" t="s">
        <v>63</v>
      </c>
      <c r="F876" s="16" t="s">
        <v>1737</v>
      </c>
      <c r="G876" s="17">
        <v>1899</v>
      </c>
      <c r="H876" s="17"/>
      <c r="I876" s="17"/>
      <c r="J876" s="17">
        <v>1898</v>
      </c>
      <c r="K876" s="17" t="n">
        <f aca="false">IF(AND(IFERROR(SEARCH("현대오일뱅크",$C876),0)&gt;0,IFERROR(SEARCH("직영",$C876),0)&gt;0),$B$13,0)</f>
        <v/>
      </c>
      <c r="L876" s="17" t="n">
        <f aca="false">IF($G876="","",$G876+$K876)</f>
        <v/>
      </c>
      <c r="M876" s="17" t="str">
        <f aca="false">IF($H876="","",$H876+$K876)</f>
        <v/>
      </c>
      <c r="N876" s="17" t="n">
        <f aca="false">IF($J876="","",$J876+$K876)</f>
        <v/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 t="str">
        <f aca="false">IF($B$10=0,"",IFERROR(IF($B$4&gt;0,IF($L876="",1/0,$L876*$B$4),0)+IF($B$5&gt;0,IF($M876="",1/0,$M876*$B$5),0)+IF($B$6&gt;0,IF($N876="",1/0,$N876*$B$6),0),""))</f>
        <v/>
      </c>
      <c r="Q876" s="17"/>
      <c r="R876" s="18" t="str">
        <f aca="false">IF($P876="","",IF($Q876="Y",IFERROR(VLOOKUP($B876,$C$4:$D$13,2,FALSE()),0),0))</f>
        <v/>
      </c>
      <c r="S876" s="17" t="str">
        <f aca="false">IF($P876="","",ROUNDDOWN($P876*$R876,0))</f>
        <v/>
      </c>
      <c r="T876" s="17" t="str">
        <f aca="false">IF($P876="","",$P876-$S876)</f>
        <v/>
      </c>
      <c r="U876" s="17" t="str">
        <f aca="false">IF($T876="","",IF($B$10=0,"",$T876/$B$10))</f>
        <v/>
      </c>
      <c r="V876" s="17" t="str">
        <f aca="false">IF($P876="","",IF($B$10=0,"",$P876/$B$10))</f>
        <v/>
      </c>
      <c r="W876" s="19" t="n">
        <f aca="false">IF($T876="",1000000000000000,$T876)</f>
        <v/>
      </c>
      <c r="XFC876" s="3"/>
    </row>
    <row r="877" s="6" collapsed="false" customFormat="true" customHeight="true" hidden="false" ht="28.6" outlineLevel="0">
      <c r="A877" s="16" t="str">
        <f aca="false">IF($T877="","",1+COUNTIF($W$15:$W$894,"&lt;"&amp;W877))</f>
        <v/>
      </c>
      <c r="B877" s="16" t="s">
        <v>14</v>
      </c>
      <c r="C877" s="16" t="s">
        <v>1734</v>
      </c>
      <c r="D877" s="16" t="s">
        <v>95</v>
      </c>
      <c r="E877" s="16" t="s">
        <v>63</v>
      </c>
      <c r="F877" s="16" t="s">
        <v>1735</v>
      </c>
      <c r="G877" s="17">
        <v>1899</v>
      </c>
      <c r="H877" s="17"/>
      <c r="I877" s="17"/>
      <c r="J877" s="17">
        <v>1899</v>
      </c>
      <c r="K877" s="17" t="n">
        <f aca="false">IF(AND(IFERROR(SEARCH("현대오일뱅크",$C877),0)&gt;0,IFERROR(SEARCH("직영",$C877),0)&gt;0),$B$13,0)</f>
        <v/>
      </c>
      <c r="L877" s="17" t="n">
        <f aca="false">IF($G877="","",$G877+$K877)</f>
        <v/>
      </c>
      <c r="M877" s="17" t="str">
        <f aca="false">IF($H877="","",$H877+$K877)</f>
        <v/>
      </c>
      <c r="N877" s="17" t="n">
        <f aca="false">IF($J877="","",$J877+$K877)</f>
        <v/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 t="str">
        <f aca="false">IF($B$10=0,"",IFERROR(IF($B$4&gt;0,IF($L877="",1/0,$L877*$B$4),0)+IF($B$5&gt;0,IF($M877="",1/0,$M877*$B$5),0)+IF($B$6&gt;0,IF($N877="",1/0,$N877*$B$6),0),""))</f>
        <v/>
      </c>
      <c r="Q877" s="17"/>
      <c r="R877" s="18" t="str">
        <f aca="false">IF($P877="","",IF($Q877="Y",IFERROR(VLOOKUP($B877,$C$4:$D$13,2,FALSE()),0),0))</f>
        <v/>
      </c>
      <c r="S877" s="17" t="str">
        <f aca="false">IF($P877="","",ROUNDDOWN($P877*$R877,0))</f>
        <v/>
      </c>
      <c r="T877" s="17" t="str">
        <f aca="false">IF($P877="","",$P877-$S877)</f>
        <v/>
      </c>
      <c r="U877" s="17" t="str">
        <f aca="false">IF($T877="","",IF($B$10=0,"",$T877/$B$10))</f>
        <v/>
      </c>
      <c r="V877" s="17" t="str">
        <f aca="false">IF($P877="","",IF($B$10=0,"",$P877/$B$10))</f>
        <v/>
      </c>
      <c r="W877" s="19" t="n">
        <f aca="false">IF($T877="",1000000000000000,$T877)</f>
        <v/>
      </c>
      <c r="XFC877" s="3"/>
    </row>
    <row r="878" s="6" collapsed="false" customFormat="true" customHeight="true" hidden="false" ht="28.6" outlineLevel="0">
      <c r="A878" s="16" t="str">
        <f aca="false">IF($T878="","",1+COUNTIF($W$15:$W$894,"&lt;"&amp;W878))</f>
        <v/>
      </c>
      <c r="B878" s="16" t="s">
        <v>14</v>
      </c>
      <c r="C878" s="16" t="s">
        <v>836</v>
      </c>
      <c r="D878" s="16" t="s">
        <v>45</v>
      </c>
      <c r="E878" s="16" t="s">
        <v>26</v>
      </c>
      <c r="F878" s="16" t="s">
        <v>1738</v>
      </c>
      <c r="G878" s="17">
        <v>1899</v>
      </c>
      <c r="H878" s="17"/>
      <c r="I878" s="17"/>
      <c r="J878" s="17">
        <v>1899</v>
      </c>
      <c r="K878" s="17" t="n">
        <f aca="false">IF(AND(IFERROR(SEARCH("현대오일뱅크",$C878),0)&gt;0,IFERROR(SEARCH("직영",$C878),0)&gt;0),$B$13,0)</f>
        <v/>
      </c>
      <c r="L878" s="17" t="n">
        <f aca="false">IF($G878="","",$G878+$K878)</f>
        <v/>
      </c>
      <c r="M878" s="17" t="str">
        <f aca="false">IF($H878="","",$H878+$K878)</f>
        <v/>
      </c>
      <c r="N878" s="17" t="n">
        <f aca="false">IF($J878="","",$J878+$K878)</f>
        <v/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 t="str">
        <f aca="false">IF($B$10=0,"",IFERROR(IF($B$4&gt;0,IF($L878="",1/0,$L878*$B$4),0)+IF($B$5&gt;0,IF($M878="",1/0,$M878*$B$5),0)+IF($B$6&gt;0,IF($N878="",1/0,$N878*$B$6),0),""))</f>
        <v/>
      </c>
      <c r="Q878" s="17"/>
      <c r="R878" s="18" t="str">
        <f aca="false">IF($P878="","",IF($Q878="Y",IFERROR(VLOOKUP($B878,$C$4:$D$13,2,FALSE()),0),0))</f>
        <v/>
      </c>
      <c r="S878" s="17" t="str">
        <f aca="false">IF($P878="","",ROUNDDOWN($P878*$R878,0))</f>
        <v/>
      </c>
      <c r="T878" s="17" t="str">
        <f aca="false">IF($P878="","",$P878-$S878)</f>
        <v/>
      </c>
      <c r="U878" s="17" t="str">
        <f aca="false">IF($T878="","",IF($B$10=0,"",$T878/$B$10))</f>
        <v/>
      </c>
      <c r="V878" s="17" t="str">
        <f aca="false">IF($P878="","",IF($B$10=0,"",$P878/$B$10))</f>
        <v/>
      </c>
      <c r="W878" s="19" t="n">
        <f aca="false">IF($T878="",1000000000000000,$T878)</f>
        <v/>
      </c>
      <c r="XFC878" s="3"/>
    </row>
    <row r="879" s="6" collapsed="false" customFormat="true" customHeight="true" hidden="false" ht="28.6" outlineLevel="0">
      <c r="A879" s="16" t="str">
        <f aca="false">IF($T879="","",1+COUNTIF($W$15:$W$894,"&lt;"&amp;W879))</f>
        <v/>
      </c>
      <c r="B879" s="16" t="s">
        <v>10</v>
      </c>
      <c r="C879" s="16" t="s">
        <v>910</v>
      </c>
      <c r="D879" s="20" t="s">
        <v>86</v>
      </c>
      <c r="E879" s="16" t="s">
        <v>63</v>
      </c>
      <c r="F879" s="16" t="s">
        <v>1741</v>
      </c>
      <c r="G879" s="17">
        <v>1899</v>
      </c>
      <c r="H879" s="17"/>
      <c r="I879" s="17"/>
      <c r="J879" s="17">
        <v>1899</v>
      </c>
      <c r="K879" s="17" t="n">
        <f aca="false">IF(AND(IFERROR(SEARCH("현대오일뱅크",$C879),0)&gt;0,IFERROR(SEARCH("직영",$C879),0)&gt;0),$B$13,0)</f>
        <v/>
      </c>
      <c r="L879" s="17" t="n">
        <f aca="false">IF($G879="","",$G879+$K879)</f>
        <v/>
      </c>
      <c r="M879" s="17" t="str">
        <f aca="false">IF($H879="","",$H879+$K879)</f>
        <v/>
      </c>
      <c r="N879" s="17" t="n">
        <f aca="false">IF($J879="","",$J879+$K879)</f>
        <v/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 t="str">
        <f aca="false">IF($B$10=0,"",IFERROR(IF($B$4&gt;0,IF($L879="",1/0,$L879*$B$4),0)+IF($B$5&gt;0,IF($M879="",1/0,$M879*$B$5),0)+IF($B$6&gt;0,IF($N879="",1/0,$N879*$B$6),0),""))</f>
        <v/>
      </c>
      <c r="Q879" s="17"/>
      <c r="R879" s="18" t="str">
        <f aca="false">IF($P879="","",IF($Q879="Y",IFERROR(VLOOKUP($B879,$C$4:$D$13,2,FALSE()),0),0))</f>
        <v/>
      </c>
      <c r="S879" s="17" t="str">
        <f aca="false">IF($P879="","",ROUNDDOWN($P879*$R879,0))</f>
        <v/>
      </c>
      <c r="T879" s="17" t="str">
        <f aca="false">IF($P879="","",$P879-$S879)</f>
        <v/>
      </c>
      <c r="U879" s="17" t="str">
        <f aca="false">IF($T879="","",IF($B$10=0,"",$T879/$B$10))</f>
        <v/>
      </c>
      <c r="V879" s="17" t="str">
        <f aca="false">IF($P879="","",IF($B$10=0,"",$P879/$B$10))</f>
        <v/>
      </c>
      <c r="W879" s="19" t="n">
        <f aca="false">IF($T879="",1000000000000000,$T879)</f>
        <v/>
      </c>
      <c r="XFC879" s="3"/>
    </row>
    <row r="880" s="6" collapsed="false" customFormat="true" customHeight="true" hidden="false" ht="28.6" outlineLevel="0">
      <c r="A880" s="16" t="str">
        <f aca="false">IF($T880="","",1+COUNTIF($W$15:$W$894,"&lt;"&amp;W880))</f>
        <v/>
      </c>
      <c r="B880" s="16" t="s">
        <v>10</v>
      </c>
      <c r="C880" s="16" t="s">
        <v>1742</v>
      </c>
      <c r="D880" s="16" t="s">
        <v>51</v>
      </c>
      <c r="E880" s="16" t="s">
        <v>63</v>
      </c>
      <c r="F880" s="16" t="s">
        <v>1743</v>
      </c>
      <c r="G880" s="17">
        <v>1899</v>
      </c>
      <c r="H880" s="17"/>
      <c r="I880" s="17"/>
      <c r="J880" s="17">
        <v>1899</v>
      </c>
      <c r="K880" s="17" t="n">
        <f aca="false">IF(AND(IFERROR(SEARCH("현대오일뱅크",$C880),0)&gt;0,IFERROR(SEARCH("직영",$C880),0)&gt;0),$B$13,0)</f>
        <v/>
      </c>
      <c r="L880" s="17" t="n">
        <f aca="false">IF($G880="","",$G880+$K880)</f>
        <v/>
      </c>
      <c r="M880" s="17" t="str">
        <f aca="false">IF($H880="","",$H880+$K880)</f>
        <v/>
      </c>
      <c r="N880" s="17" t="n">
        <f aca="false">IF($J880="","",$J880+$K880)</f>
        <v/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 t="str">
        <f aca="false">IF($B$10=0,"",IFERROR(IF($B$4&gt;0,IF($L880="",1/0,$L880*$B$4),0)+IF($B$5&gt;0,IF($M880="",1/0,$M880*$B$5),0)+IF($B$6&gt;0,IF($N880="",1/0,$N880*$B$6),0),""))</f>
        <v/>
      </c>
      <c r="Q880" s="17"/>
      <c r="R880" s="18" t="str">
        <f aca="false">IF($P880="","",IF($Q880="Y",IFERROR(VLOOKUP($B880,$C$4:$D$13,2,FALSE()),0),0))</f>
        <v/>
      </c>
      <c r="S880" s="17" t="str">
        <f aca="false">IF($P880="","",ROUNDDOWN($P880*$R880,0))</f>
        <v/>
      </c>
      <c r="T880" s="17" t="str">
        <f aca="false">IF($P880="","",$P880-$S880)</f>
        <v/>
      </c>
      <c r="U880" s="17" t="str">
        <f aca="false">IF($T880="","",IF($B$10=0,"",$T880/$B$10))</f>
        <v/>
      </c>
      <c r="V880" s="17" t="str">
        <f aca="false">IF($P880="","",IF($B$10=0,"",$P880/$B$10))</f>
        <v/>
      </c>
      <c r="W880" s="19" t="n">
        <f aca="false">IF($T880="",1000000000000000,$T880)</f>
        <v/>
      </c>
      <c r="XFC880" s="3"/>
    </row>
    <row r="881" s="6" collapsed="false" customFormat="true" customHeight="true" hidden="false" ht="28.6" outlineLevel="0">
      <c r="A881" s="16" t="str">
        <f aca="false">IF($T881="","",1+COUNTIF($W$15:$W$894,"&lt;"&amp;W881))</f>
        <v/>
      </c>
      <c r="B881" s="16" t="s">
        <v>14</v>
      </c>
      <c r="C881" s="16" t="s">
        <v>1746</v>
      </c>
      <c r="D881" s="20" t="s">
        <v>86</v>
      </c>
      <c r="E881" s="16" t="s">
        <v>26</v>
      </c>
      <c r="F881" s="16" t="s">
        <v>1747</v>
      </c>
      <c r="G881" s="17">
        <v>1915</v>
      </c>
      <c r="H881" s="17"/>
      <c r="I881" s="17"/>
      <c r="J881" s="17">
        <v>1939</v>
      </c>
      <c r="K881" s="17" t="n">
        <f aca="false">IF(AND(IFERROR(SEARCH("현대오일뱅크",$C881),0)&gt;0,IFERROR(SEARCH("직영",$C881),0)&gt;0),$B$13,0)</f>
        <v/>
      </c>
      <c r="L881" s="17" t="n">
        <f aca="false">IF($G881="","",$G881+$K881)</f>
        <v/>
      </c>
      <c r="M881" s="17" t="str">
        <f aca="false">IF($H881="","",$H881+$K881)</f>
        <v/>
      </c>
      <c r="N881" s="17" t="n">
        <f aca="false">IF($J881="","",$J881+$K881)</f>
        <v/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 t="str">
        <f aca="false">IF($B$10=0,"",IFERROR(IF($B$4&gt;0,IF($L881="",1/0,$L881*$B$4),0)+IF($B$5&gt;0,IF($M881="",1/0,$M881*$B$5),0)+IF($B$6&gt;0,IF($N881="",1/0,$N881*$B$6),0),""))</f>
        <v/>
      </c>
      <c r="Q881" s="17"/>
      <c r="R881" s="18" t="str">
        <f aca="false">IF($P881="","",IF($Q881="Y",IFERROR(VLOOKUP($B881,$C$4:$D$13,2,FALSE()),0),0))</f>
        <v/>
      </c>
      <c r="S881" s="17" t="str">
        <f aca="false">IF($P881="","",ROUNDDOWN($P881*$R881,0))</f>
        <v/>
      </c>
      <c r="T881" s="17" t="str">
        <f aca="false">IF($P881="","",$P881-$S881)</f>
        <v/>
      </c>
      <c r="U881" s="17" t="str">
        <f aca="false">IF($T881="","",IF($B$10=0,"",$T881/$B$10))</f>
        <v/>
      </c>
      <c r="V881" s="17" t="str">
        <f aca="false">IF($P881="","",IF($B$10=0,"",$P881/$B$10))</f>
        <v/>
      </c>
      <c r="W881" s="19" t="n">
        <f aca="false">IF($T881="",1000000000000000,$T881)</f>
        <v/>
      </c>
      <c r="XFC881" s="3"/>
    </row>
    <row r="882" s="21" collapsed="false" customFormat="true" customHeight="true" hidden="false" ht="28.5" outlineLevel="0">
      <c r="A882" s="16" t="str">
        <f aca="false">IF($T882="","",1+COUNTIF($W$15:$W$894,"&lt;"&amp;W882))</f>
        <v/>
      </c>
      <c r="B882" s="16" t="s">
        <v>14</v>
      </c>
      <c r="C882" s="16" t="s">
        <v>1748</v>
      </c>
      <c r="D882" s="16" t="s">
        <v>45</v>
      </c>
      <c r="E882" s="16" t="s">
        <v>63</v>
      </c>
      <c r="F882" s="16" t="s">
        <v>1749</v>
      </c>
      <c r="G882" s="17">
        <v>1918</v>
      </c>
      <c r="H882" s="17"/>
      <c r="I882" s="17"/>
      <c r="J882" s="17">
        <v>1948</v>
      </c>
      <c r="K882" s="17" t="n">
        <f aca="false">IF(AND(IFERROR(SEARCH("현대오일뱅크",$C882),0)&gt;0,IFERROR(SEARCH("직영",$C882),0)&gt;0),$B$13,0)</f>
        <v/>
      </c>
      <c r="L882" s="17" t="n">
        <f aca="false">IF($G882="","",$G882+$K882)</f>
        <v/>
      </c>
      <c r="M882" s="17" t="str">
        <f aca="false">IF($H882="","",$H882+$K882)</f>
        <v/>
      </c>
      <c r="N882" s="17" t="n">
        <f aca="false">IF($J882="","",$J882+$K882)</f>
        <v/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 t="str">
        <f aca="false">IF($B$10=0,"",IFERROR(IF($B$4&gt;0,IF($L882="",1/0,$L882*$B$4),0)+IF($B$5&gt;0,IF($M882="",1/0,$M882*$B$5),0)+IF($B$6&gt;0,IF($N882="",1/0,$N882*$B$6),0),""))</f>
        <v/>
      </c>
      <c r="Q882" s="17"/>
      <c r="R882" s="18" t="str">
        <f aca="false">IF($P882="","",IF($Q882="Y",IFERROR(VLOOKUP($B882,$C$4:$D$13,2,FALSE()),0),0))</f>
        <v/>
      </c>
      <c r="S882" s="17" t="str">
        <f aca="false">IF($P882="","",ROUNDDOWN($P882*$R882,0))</f>
        <v/>
      </c>
      <c r="T882" s="17" t="str">
        <f aca="false">IF($P882="","",$P882-$S882)</f>
        <v/>
      </c>
      <c r="U882" s="17" t="str">
        <f aca="false">IF($T882="","",IF($B$10=0,"",$T882/$B$10))</f>
        <v/>
      </c>
      <c r="V882" s="17" t="str">
        <f aca="false">IF($P882="","",IF($B$10=0,"",$P882/$B$10))</f>
        <v/>
      </c>
      <c r="W882" s="19" t="n">
        <f aca="false">IF($T882="",1000000000000000,$T882)</f>
        <v/>
      </c>
      <c r="XFB882" s="6"/>
      <c r="XFC882" s="3"/>
    </row>
    <row r="883" s="6" collapsed="false" customFormat="true" customHeight="true" hidden="false" ht="28.6" outlineLevel="0">
      <c r="A883" s="16" t="str">
        <f aca="false">IF($T883="","",1+COUNTIF($W$15:$W$894,"&lt;"&amp;W883))</f>
        <v/>
      </c>
      <c r="B883" s="16" t="s">
        <v>14</v>
      </c>
      <c r="C883" s="16" t="s">
        <v>441</v>
      </c>
      <c r="D883" s="20" t="s">
        <v>86</v>
      </c>
      <c r="E883" s="16" t="s">
        <v>26</v>
      </c>
      <c r="F883" s="16" t="s">
        <v>1750</v>
      </c>
      <c r="G883" s="17">
        <v>1918</v>
      </c>
      <c r="H883" s="17"/>
      <c r="I883" s="17"/>
      <c r="J883" s="17">
        <v>1968</v>
      </c>
      <c r="K883" s="17" t="n">
        <f aca="false">IF(AND(IFERROR(SEARCH("현대오일뱅크",$C883),0)&gt;0,IFERROR(SEARCH("직영",$C883),0)&gt;0),$B$13,0)</f>
        <v/>
      </c>
      <c r="L883" s="17" t="n">
        <f aca="false">IF($G883="","",$G883+$K883)</f>
        <v/>
      </c>
      <c r="M883" s="17" t="str">
        <f aca="false">IF($H883="","",$H883+$K883)</f>
        <v/>
      </c>
      <c r="N883" s="17" t="n">
        <f aca="false">IF($J883="","",$J883+$K883)</f>
        <v/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 t="str">
        <f aca="false">IF($B$10=0,"",IFERROR(IF($B$4&gt;0,IF($L883="",1/0,$L883*$B$4),0)+IF($B$5&gt;0,IF($M883="",1/0,$M883*$B$5),0)+IF($B$6&gt;0,IF($N883="",1/0,$N883*$B$6),0),""))</f>
        <v/>
      </c>
      <c r="Q883" s="17"/>
      <c r="R883" s="18" t="str">
        <f aca="false">IF($P883="","",IF($Q883="Y",IFERROR(VLOOKUP($B883,$C$4:$D$13,2,FALSE()),0),0))</f>
        <v/>
      </c>
      <c r="S883" s="17" t="str">
        <f aca="false">IF($P883="","",ROUNDDOWN($P883*$R883,0))</f>
        <v/>
      </c>
      <c r="T883" s="17" t="str">
        <f aca="false">IF($P883="","",$P883-$S883)</f>
        <v/>
      </c>
      <c r="U883" s="17" t="str">
        <f aca="false">IF($T883="","",IF($B$10=0,"",$T883/$B$10))</f>
        <v/>
      </c>
      <c r="V883" s="17" t="str">
        <f aca="false">IF($P883="","",IF($B$10=0,"",$P883/$B$10))</f>
        <v/>
      </c>
      <c r="W883" s="19" t="n">
        <f aca="false">IF($T883="",1000000000000000,$T883)</f>
        <v/>
      </c>
      <c r="XFC883" s="3"/>
    </row>
    <row r="884" s="6" collapsed="false" customFormat="true" customHeight="true" hidden="false" ht="28.6" outlineLevel="0">
      <c r="A884" s="16" t="str">
        <f aca="false">IF($T884="","",1+COUNTIF($W$15:$W$894,"&lt;"&amp;W884))</f>
        <v/>
      </c>
      <c r="B884" s="16" t="s">
        <v>12</v>
      </c>
      <c r="C884" s="16" t="s">
        <v>596</v>
      </c>
      <c r="D884" s="20" t="s">
        <v>51</v>
      </c>
      <c r="E884" s="16" t="s">
        <v>63</v>
      </c>
      <c r="F884" s="16" t="s">
        <v>1751</v>
      </c>
      <c r="G884" s="17">
        <v>1928</v>
      </c>
      <c r="H884" s="17"/>
      <c r="I884" s="17"/>
      <c r="J884" s="17">
        <v>1898</v>
      </c>
      <c r="K884" s="17" t="n">
        <f aca="false">IF(AND(IFERROR(SEARCH("현대오일뱅크",$C884),0)&gt;0,IFERROR(SEARCH("직영",$C884),0)&gt;0),$B$13,0)</f>
        <v/>
      </c>
      <c r="L884" s="17" t="n">
        <f aca="false">IF($G884="","",$G884+$K884)</f>
        <v/>
      </c>
      <c r="M884" s="17" t="str">
        <f aca="false">IF($H884="","",$H884+$K884)</f>
        <v/>
      </c>
      <c r="N884" s="17" t="n">
        <f aca="false">IF($J884="","",$J884+$K884)</f>
        <v/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 t="str">
        <f aca="false">IF($B$10=0,"",IFERROR(IF($B$4&gt;0,IF($L884="",1/0,$L884*$B$4),0)+IF($B$5&gt;0,IF($M884="",1/0,$M884*$B$5),0)+IF($B$6&gt;0,IF($N884="",1/0,$N884*$B$6),0),""))</f>
        <v/>
      </c>
      <c r="Q884" s="17"/>
      <c r="R884" s="18" t="str">
        <f aca="false">IF($P884="","",IF($Q884="Y",IFERROR(VLOOKUP($B884,$C$4:$D$13,2,FALSE()),0),0))</f>
        <v/>
      </c>
      <c r="S884" s="17" t="str">
        <f aca="false">IF($P884="","",ROUNDDOWN($P884*$R884,0))</f>
        <v/>
      </c>
      <c r="T884" s="17" t="str">
        <f aca="false">IF($P884="","",$P884-$S884)</f>
        <v/>
      </c>
      <c r="U884" s="17" t="str">
        <f aca="false">IF($T884="","",IF($B$10=0,"",$T884/$B$10))</f>
        <v/>
      </c>
      <c r="V884" s="17" t="str">
        <f aca="false">IF($P884="","",IF($B$10=0,"",$P884/$B$10))</f>
        <v/>
      </c>
      <c r="W884" s="19" t="n">
        <f aca="false">IF($T884="",1000000000000000,$T884)</f>
        <v/>
      </c>
      <c r="XFC884" s="3"/>
    </row>
    <row r="885" s="6" collapsed="false" customFormat="true" customHeight="true" hidden="false" ht="28.6" outlineLevel="0">
      <c r="A885" s="16" t="str">
        <f aca="false">IF($T885="","",1+COUNTIF($W$15:$W$894,"&lt;"&amp;W885))</f>
        <v/>
      </c>
      <c r="B885" s="16" t="s">
        <v>14</v>
      </c>
      <c r="C885" s="16" t="s">
        <v>656</v>
      </c>
      <c r="D885" s="16" t="s">
        <v>51</v>
      </c>
      <c r="E885" s="16" t="s">
        <v>63</v>
      </c>
      <c r="F885" s="16" t="s">
        <v>1752</v>
      </c>
      <c r="G885" s="17">
        <v>1945</v>
      </c>
      <c r="H885" s="17"/>
      <c r="I885" s="17"/>
      <c r="J885" s="17">
        <v>1945</v>
      </c>
      <c r="K885" s="17" t="n">
        <f aca="false">IF(AND(IFERROR(SEARCH("현대오일뱅크",$C885),0)&gt;0,IFERROR(SEARCH("직영",$C885),0)&gt;0),$B$13,0)</f>
        <v/>
      </c>
      <c r="L885" s="17" t="n">
        <f aca="false">IF($G885="","",$G885+$K885)</f>
        <v/>
      </c>
      <c r="M885" s="17" t="str">
        <f aca="false">IF($H885="","",$H885+$K885)</f>
        <v/>
      </c>
      <c r="N885" s="17" t="n">
        <f aca="false">IF($J885="","",$J885+$K885)</f>
        <v/>
      </c>
      <c r="O885" s="17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7" t="str">
        <f aca="false">IF($B$10=0,"",IFERROR(IF($B$4&gt;0,IF($L885="",1/0,$L885*$B$4),0)+IF($B$5&gt;0,IF($M885="",1/0,$M885*$B$5),0)+IF($B$6&gt;0,IF($N885="",1/0,$N885*$B$6),0),""))</f>
        <v/>
      </c>
      <c r="Q885" s="17"/>
      <c r="R885" s="18" t="str">
        <f aca="false">IF($P885="","",IF($Q885="Y",IFERROR(VLOOKUP($B885,$C$4:$D$13,2,FALSE()),0),0))</f>
        <v/>
      </c>
      <c r="S885" s="17" t="str">
        <f aca="false">IF($P885="","",ROUNDDOWN($P885*$R885,0))</f>
        <v/>
      </c>
      <c r="T885" s="17" t="str">
        <f aca="false">IF($P885="","",$P885-$S885)</f>
        <v/>
      </c>
      <c r="U885" s="17" t="str">
        <f aca="false">IF($T885="","",IF($B$10=0,"",$T885/$B$10))</f>
        <v/>
      </c>
      <c r="V885" s="17" t="str">
        <f aca="false">IF($P885="","",IF($B$10=0,"",$P885/$B$10))</f>
        <v/>
      </c>
      <c r="W885" s="19" t="n">
        <f aca="false">IF($T885="",1000000000000000,$T885)</f>
        <v/>
      </c>
      <c r="XFC885" s="3"/>
    </row>
    <row r="886" s="6" collapsed="false" customFormat="true" customHeight="true" hidden="false" ht="28.6" outlineLevel="0">
      <c r="A886" s="16" t="str">
        <f aca="false">IF($T886="","",1+COUNTIF($W$15:$W$894,"&lt;"&amp;W886))</f>
        <v/>
      </c>
      <c r="B886" s="16" t="s">
        <v>12</v>
      </c>
      <c r="C886" s="16" t="s">
        <v>1753</v>
      </c>
      <c r="D886" s="20" t="s">
        <v>45</v>
      </c>
      <c r="E886" s="16" t="s">
        <v>63</v>
      </c>
      <c r="F886" s="16" t="s">
        <v>1754</v>
      </c>
      <c r="G886" s="17">
        <v>1948</v>
      </c>
      <c r="H886" s="17"/>
      <c r="I886" s="17"/>
      <c r="J886" s="17">
        <v>1978</v>
      </c>
      <c r="K886" s="17" t="n">
        <f aca="false">IF(AND(IFERROR(SEARCH("현대오일뱅크",$C886),0)&gt;0,IFERROR(SEARCH("직영",$C886),0)&gt;0),$B$13,0)</f>
        <v/>
      </c>
      <c r="L886" s="17" t="n">
        <f aca="false">IF($G886="","",$G886+$K886)</f>
        <v/>
      </c>
      <c r="M886" s="17" t="str">
        <f aca="false">IF($H886="","",$H886+$K886)</f>
        <v/>
      </c>
      <c r="N886" s="17" t="n">
        <f aca="false">IF($J886="","",$J886+$K886)</f>
        <v/>
      </c>
      <c r="O886" s="17" t="str">
        <f aca="false">IF($B$10=0,"",IFERROR(IF($B$4&gt;0,"휘발유 "&amp;TEXT(IF($L886="",1/0,$L886*$B$4),"#,##0")&amp;"원","")&amp;IF($B$5&gt;0,IF($B$4&gt;0," / ","")&amp;"고급유 "&amp;TEXT(IF($M886="",1/0,$M886*$B$5),"#,##0")&amp;"원","")&amp;IF($B$6&gt;0,IF(OR($B$4&gt;0,$B$5&gt;0)," / ","")&amp;"경유 "&amp;TEXT(IF($N886="",1/0,$N886*$B$6),"#,##0")&amp;"원",""),""))</f>
        <v/>
      </c>
      <c r="P886" s="17" t="str">
        <f aca="false">IF($B$10=0,"",IFERROR(IF($B$4&gt;0,IF($L886="",1/0,$L886*$B$4),0)+IF($B$5&gt;0,IF($M886="",1/0,$M886*$B$5),0)+IF($B$6&gt;0,IF($N886="",1/0,$N886*$B$6),0),""))</f>
        <v/>
      </c>
      <c r="Q886" s="17"/>
      <c r="R886" s="18" t="str">
        <f aca="false">IF($P886="","",IF($Q886="Y",IFERROR(VLOOKUP($B886,$C$4:$D$13,2,FALSE()),0),0))</f>
        <v/>
      </c>
      <c r="S886" s="17" t="str">
        <f aca="false">IF($P886="","",ROUNDDOWN($P886*$R886,0))</f>
        <v/>
      </c>
      <c r="T886" s="17" t="str">
        <f aca="false">IF($P886="","",$P886-$S886)</f>
        <v/>
      </c>
      <c r="U886" s="17" t="str">
        <f aca="false">IF($T886="","",IF($B$10=0,"",$T886/$B$10))</f>
        <v/>
      </c>
      <c r="V886" s="17" t="str">
        <f aca="false">IF($P886="","",IF($B$10=0,"",$P886/$B$10))</f>
        <v/>
      </c>
      <c r="W886" s="19" t="n">
        <f aca="false">IF($T886="",1000000000000000,$T886)</f>
        <v/>
      </c>
      <c r="XFC886" s="3"/>
    </row>
    <row r="887" s="6" collapsed="false" customFormat="true" customHeight="true" hidden="false" ht="28.6" outlineLevel="0">
      <c r="A887" s="16" t="str">
        <f aca="false">IF($T887="","",1+COUNTIF($W$15:$W$894,"&lt;"&amp;W887))</f>
        <v/>
      </c>
      <c r="B887" s="16" t="s">
        <v>12</v>
      </c>
      <c r="C887" s="16" t="s">
        <v>1755</v>
      </c>
      <c r="D887" s="20" t="s">
        <v>86</v>
      </c>
      <c r="E887" s="16" t="s">
        <v>26</v>
      </c>
      <c r="F887" s="16" t="s">
        <v>1756</v>
      </c>
      <c r="G887" s="17">
        <v>1959</v>
      </c>
      <c r="H887" s="17"/>
      <c r="I887" s="17"/>
      <c r="J887" s="17">
        <v>1769</v>
      </c>
      <c r="K887" s="17" t="n">
        <f aca="false">IF(AND(IFERROR(SEARCH("현대오일뱅크",$C887),0)&gt;0,IFERROR(SEARCH("직영",$C887),0)&gt;0),$B$13,0)</f>
        <v/>
      </c>
      <c r="L887" s="17" t="n">
        <f aca="false">IF($G887="","",$G887+$K887)</f>
        <v/>
      </c>
      <c r="M887" s="17" t="str">
        <f aca="false">IF($H887="","",$H887+$K887)</f>
        <v/>
      </c>
      <c r="N887" s="17" t="n">
        <f aca="false">IF($J887="","",$J887+$K887)</f>
        <v/>
      </c>
      <c r="O887" s="17" t="str">
        <f aca="false">IF($B$10=0,"",IFERROR(IF($B$4&gt;0,"휘발유 "&amp;TEXT(IF($L887="",1/0,$L887*$B$4),"#,##0")&amp;"원","")&amp;IF($B$5&gt;0,IF($B$4&gt;0," / ","")&amp;"고급유 "&amp;TEXT(IF($M887="",1/0,$M887*$B$5),"#,##0")&amp;"원","")&amp;IF($B$6&gt;0,IF(OR($B$4&gt;0,$B$5&gt;0)," / ","")&amp;"경유 "&amp;TEXT(IF($N887="",1/0,$N887*$B$6),"#,##0")&amp;"원",""),""))</f>
        <v/>
      </c>
      <c r="P887" s="17" t="str">
        <f aca="false">IF($B$10=0,"",IFERROR(IF($B$4&gt;0,IF($L887="",1/0,$L887*$B$4),0)+IF($B$5&gt;0,IF($M887="",1/0,$M887*$B$5),0)+IF($B$6&gt;0,IF($N887="",1/0,$N887*$B$6),0),""))</f>
        <v/>
      </c>
      <c r="Q887" s="17"/>
      <c r="R887" s="18" t="str">
        <f aca="false">IF($P887="","",IF($Q887="Y",IFERROR(VLOOKUP($B887,$C$4:$D$13,2,FALSE()),0),0))</f>
        <v/>
      </c>
      <c r="S887" s="17" t="str">
        <f aca="false">IF($P887="","",ROUNDDOWN($P887*$R887,0))</f>
        <v/>
      </c>
      <c r="T887" s="17" t="str">
        <f aca="false">IF($P887="","",$P887-$S887)</f>
        <v/>
      </c>
      <c r="U887" s="17" t="str">
        <f aca="false">IF($T887="","",IF($B$10=0,"",$T887/$B$10))</f>
        <v/>
      </c>
      <c r="V887" s="17" t="str">
        <f aca="false">IF($P887="","",IF($B$10=0,"",$P887/$B$10))</f>
        <v/>
      </c>
      <c r="W887" s="19" t="n">
        <f aca="false">IF($T887="",1000000000000000,$T887)</f>
        <v/>
      </c>
      <c r="XFC887" s="3"/>
    </row>
    <row r="888" s="6" collapsed="false" customFormat="true" customHeight="true" hidden="false" ht="28.6" outlineLevel="0">
      <c r="A888" s="16" t="str">
        <f aca="false">IF($T888="","",1+COUNTIF($W$15:$W$894,"&lt;"&amp;W888))</f>
        <v/>
      </c>
      <c r="B888" s="16" t="s">
        <v>10</v>
      </c>
      <c r="C888" s="16" t="s">
        <v>1757</v>
      </c>
      <c r="D888" s="20" t="s">
        <v>86</v>
      </c>
      <c r="E888" s="16" t="s">
        <v>63</v>
      </c>
      <c r="F888" s="16" t="s">
        <v>1758</v>
      </c>
      <c r="G888" s="17">
        <v>1966</v>
      </c>
      <c r="H888" s="17"/>
      <c r="I888" s="17"/>
      <c r="J888" s="17">
        <v>1995</v>
      </c>
      <c r="K888" s="17" t="n">
        <f aca="false">IF(AND(IFERROR(SEARCH("현대오일뱅크",$C888),0)&gt;0,IFERROR(SEARCH("직영",$C888),0)&gt;0),$B$13,0)</f>
        <v/>
      </c>
      <c r="L888" s="17" t="n">
        <f aca="false">IF($G888="","",$G888+$K888)</f>
        <v/>
      </c>
      <c r="M888" s="17" t="str">
        <f aca="false">IF($H888="","",$H888+$K888)</f>
        <v/>
      </c>
      <c r="N888" s="17" t="n">
        <f aca="false">IF($J888="","",$J888+$K888)</f>
        <v/>
      </c>
      <c r="O888" s="17" t="str">
        <f aca="false">IF($B$10=0,"",IFERROR(IF($B$4&gt;0,"휘발유 "&amp;TEXT(IF($L888="",1/0,$L888*$B$4),"#,##0")&amp;"원","")&amp;IF($B$5&gt;0,IF($B$4&gt;0," / ","")&amp;"고급유 "&amp;TEXT(IF($M888="",1/0,$M888*$B$5),"#,##0")&amp;"원","")&amp;IF($B$6&gt;0,IF(OR($B$4&gt;0,$B$5&gt;0)," / ","")&amp;"경유 "&amp;TEXT(IF($N888="",1/0,$N888*$B$6),"#,##0")&amp;"원",""),""))</f>
        <v/>
      </c>
      <c r="P888" s="17" t="str">
        <f aca="false">IF($B$10=0,"",IFERROR(IF($B$4&gt;0,IF($L888="",1/0,$L888*$B$4),0)+IF($B$5&gt;0,IF($M888="",1/0,$M888*$B$5),0)+IF($B$6&gt;0,IF($N888="",1/0,$N888*$B$6),0),""))</f>
        <v/>
      </c>
      <c r="Q888" s="17"/>
      <c r="R888" s="18" t="str">
        <f aca="false">IF($P888="","",IF($Q888="Y",IFERROR(VLOOKUP($B888,$C$4:$D$13,2,FALSE()),0),0))</f>
        <v/>
      </c>
      <c r="S888" s="17" t="str">
        <f aca="false">IF($P888="","",ROUNDDOWN($P888*$R888,0))</f>
        <v/>
      </c>
      <c r="T888" s="17" t="str">
        <f aca="false">IF($P888="","",$P888-$S888)</f>
        <v/>
      </c>
      <c r="U888" s="17" t="str">
        <f aca="false">IF($T888="","",IF($B$10=0,"",$T888/$B$10))</f>
        <v/>
      </c>
      <c r="V888" s="17" t="str">
        <f aca="false">IF($P888="","",IF($B$10=0,"",$P888/$B$10))</f>
        <v/>
      </c>
      <c r="W888" s="19" t="n">
        <f aca="false">IF($T888="",1000000000000000,$T888)</f>
        <v/>
      </c>
      <c r="XFC888" s="3"/>
    </row>
    <row r="889" s="6" collapsed="false" customFormat="true" customHeight="true" hidden="false" ht="28.6" outlineLevel="0">
      <c r="A889" s="16" t="str">
        <f aca="false">IF($T889="","",1+COUNTIF($W$15:$W$894,"&lt;"&amp;W889))</f>
        <v/>
      </c>
      <c r="B889" s="16" t="s">
        <v>12</v>
      </c>
      <c r="C889" s="16" t="s">
        <v>1759</v>
      </c>
      <c r="D889" s="20" t="s">
        <v>51</v>
      </c>
      <c r="E889" s="16" t="s">
        <v>63</v>
      </c>
      <c r="F889" s="16" t="s">
        <v>1760</v>
      </c>
      <c r="G889" s="17">
        <v>1978</v>
      </c>
      <c r="H889" s="17"/>
      <c r="I889" s="17"/>
      <c r="J889" s="17">
        <v>1978</v>
      </c>
      <c r="K889" s="17" t="n">
        <f aca="false">IF(AND(IFERROR(SEARCH("현대오일뱅크",$C889),0)&gt;0,IFERROR(SEARCH("직영",$C889),0)&gt;0),$B$13,0)</f>
        <v/>
      </c>
      <c r="L889" s="17" t="n">
        <f aca="false">IF($G889="","",$G889+$K889)</f>
        <v/>
      </c>
      <c r="M889" s="17" t="str">
        <f aca="false">IF($H889="","",$H889+$K889)</f>
        <v/>
      </c>
      <c r="N889" s="17" t="n">
        <f aca="false">IF($J889="","",$J889+$K889)</f>
        <v/>
      </c>
      <c r="O889" s="17" t="str">
        <f aca="false">IF($B$10=0,"",IFERROR(IF($B$4&gt;0,"휘발유 "&amp;TEXT(IF($L889="",1/0,$L889*$B$4),"#,##0")&amp;"원","")&amp;IF($B$5&gt;0,IF($B$4&gt;0," / ","")&amp;"고급유 "&amp;TEXT(IF($M889="",1/0,$M889*$B$5),"#,##0")&amp;"원","")&amp;IF($B$6&gt;0,IF(OR($B$4&gt;0,$B$5&gt;0)," / ","")&amp;"경유 "&amp;TEXT(IF($N889="",1/0,$N889*$B$6),"#,##0")&amp;"원",""),""))</f>
        <v/>
      </c>
      <c r="P889" s="17" t="str">
        <f aca="false">IF($B$10=0,"",IFERROR(IF($B$4&gt;0,IF($L889="",1/0,$L889*$B$4),0)+IF($B$5&gt;0,IF($M889="",1/0,$M889*$B$5),0)+IF($B$6&gt;0,IF($N889="",1/0,$N889*$B$6),0),""))</f>
        <v/>
      </c>
      <c r="Q889" s="17"/>
      <c r="R889" s="18" t="str">
        <f aca="false">IF($P889="","",IF($Q889="Y",IFERROR(VLOOKUP($B889,$C$4:$D$13,2,FALSE()),0),0))</f>
        <v/>
      </c>
      <c r="S889" s="17" t="str">
        <f aca="false">IF($P889="","",ROUNDDOWN($P889*$R889,0))</f>
        <v/>
      </c>
      <c r="T889" s="17" t="str">
        <f aca="false">IF($P889="","",$P889-$S889)</f>
        <v/>
      </c>
      <c r="U889" s="17" t="str">
        <f aca="false">IF($T889="","",IF($B$10=0,"",$T889/$B$10))</f>
        <v/>
      </c>
      <c r="V889" s="17" t="str">
        <f aca="false">IF($P889="","",IF($B$10=0,"",$P889/$B$10))</f>
        <v/>
      </c>
      <c r="W889" s="19" t="n">
        <f aca="false">IF($T889="",1000000000000000,$T889)</f>
        <v/>
      </c>
      <c r="XFC889" s="3"/>
    </row>
    <row r="890" s="6" collapsed="false" customFormat="true" customHeight="true" hidden="false" ht="28.6" outlineLevel="0">
      <c r="A890" s="16" t="str">
        <f aca="false">IF($T890="","",1+COUNTIF($W$15:$W$894,"&lt;"&amp;W890))</f>
        <v/>
      </c>
      <c r="B890" s="16" t="s">
        <v>6</v>
      </c>
      <c r="C890" s="16" t="s">
        <v>1761</v>
      </c>
      <c r="D890" s="20" t="s">
        <v>86</v>
      </c>
      <c r="E890" s="16" t="s">
        <v>26</v>
      </c>
      <c r="F890" s="16" t="s">
        <v>1762</v>
      </c>
      <c r="G890" s="17">
        <v>2199</v>
      </c>
      <c r="H890" s="17"/>
      <c r="I890" s="17"/>
      <c r="J890" s="17">
        <v>2099</v>
      </c>
      <c r="K890" s="17" t="n">
        <f aca="false">IF(AND(IFERROR(SEARCH("현대오일뱅크",$C890),0)&gt;0,IFERROR(SEARCH("직영",$C890),0)&gt;0),$B$13,0)</f>
        <v/>
      </c>
      <c r="L890" s="17" t="n">
        <f aca="false">IF($G890="","",$G890+$K890)</f>
        <v/>
      </c>
      <c r="M890" s="17" t="str">
        <f aca="false">IF($H890="","",$H890+$K890)</f>
        <v/>
      </c>
      <c r="N890" s="17" t="n">
        <f aca="false">IF($J890="","",$J890+$K890)</f>
        <v/>
      </c>
      <c r="O890" s="17" t="str">
        <f aca="false">IF($B$10=0,"",IFERROR(IF($B$4&gt;0,"휘발유 "&amp;TEXT(IF($L890="",1/0,$L890*$B$4),"#,##0")&amp;"원","")&amp;IF($B$5&gt;0,IF($B$4&gt;0," / ","")&amp;"고급유 "&amp;TEXT(IF($M890="",1/0,$M890*$B$5),"#,##0")&amp;"원","")&amp;IF($B$6&gt;0,IF(OR($B$4&gt;0,$B$5&gt;0)," / ","")&amp;"경유 "&amp;TEXT(IF($N890="",1/0,$N890*$B$6),"#,##0")&amp;"원",""),""))</f>
        <v/>
      </c>
      <c r="P890" s="17" t="str">
        <f aca="false">IF($B$10=0,"",IFERROR(IF($B$4&gt;0,IF($L890="",1/0,$L890*$B$4),0)+IF($B$5&gt;0,IF($M890="",1/0,$M890*$B$5),0)+IF($B$6&gt;0,IF($N890="",1/0,$N890*$B$6),0),""))</f>
        <v/>
      </c>
      <c r="Q890" s="17" t="s">
        <v>47</v>
      </c>
      <c r="R890" s="18" t="str">
        <f aca="false">IF($P890="","",IF($Q890="Y",IFERROR(VLOOKUP($B890,$C$4:$D$13,2,FALSE()),0),0))</f>
        <v/>
      </c>
      <c r="S890" s="17" t="str">
        <f aca="false">IF($P890="","",ROUNDDOWN($P890*$R890,0))</f>
        <v/>
      </c>
      <c r="T890" s="17" t="str">
        <f aca="false">IF($P890="","",$P890-$S890)</f>
        <v/>
      </c>
      <c r="U890" s="17" t="str">
        <f aca="false">IF($T890="","",IF($B$10=0,"",$T890/$B$10))</f>
        <v/>
      </c>
      <c r="V890" s="17" t="str">
        <f aca="false">IF($P890="","",IF($B$10=0,"",$P890/$B$10))</f>
        <v/>
      </c>
      <c r="W890" s="19" t="n">
        <f aca="false">IF($T890="",1000000000000000,$T890)</f>
        <v/>
      </c>
      <c r="XFC890" s="3"/>
    </row>
    <row r="891" s="6" collapsed="false" customFormat="true" customHeight="true" hidden="false" ht="28.6" outlineLevel="0">
      <c r="A891" s="16" t="str">
        <f aca="false">IF($T891="","",1+COUNTIF($W$15:$W$894,"&lt;"&amp;W891))</f>
        <v/>
      </c>
      <c r="B891" s="16" t="s">
        <v>12</v>
      </c>
      <c r="C891" s="16" t="s">
        <v>1765</v>
      </c>
      <c r="D891" s="20" t="s">
        <v>51</v>
      </c>
      <c r="E891" s="16" t="s">
        <v>63</v>
      </c>
      <c r="F891" s="16" t="s">
        <v>1766</v>
      </c>
      <c r="G891" s="17">
        <v>2078</v>
      </c>
      <c r="H891" s="17"/>
      <c r="I891" s="17"/>
      <c r="J891" s="17">
        <v>2095</v>
      </c>
      <c r="K891" s="17" t="n">
        <f aca="false">IF(AND(IFERROR(SEARCH("현대오일뱅크",$C891),0)&gt;0,IFERROR(SEARCH("직영",$C891),0)&gt;0),$B$13,0)</f>
        <v/>
      </c>
      <c r="L891" s="17" t="n">
        <f aca="false">IF($G891="","",$G891+$K891)</f>
        <v/>
      </c>
      <c r="M891" s="17" t="str">
        <f aca="false">IF($H891="","",$H891+$K891)</f>
        <v/>
      </c>
      <c r="N891" s="17" t="n">
        <f aca="false">IF($J891="","",$J891+$K891)</f>
        <v/>
      </c>
      <c r="O891" s="17" t="str">
        <f aca="false">IF($B$10=0,"",IFERROR(IF($B$4&gt;0,"휘발유 "&amp;TEXT(IF($L891="",1/0,$L891*$B$4),"#,##0")&amp;"원","")&amp;IF($B$5&gt;0,IF($B$4&gt;0," / ","")&amp;"고급유 "&amp;TEXT(IF($M891="",1/0,$M891*$B$5),"#,##0")&amp;"원","")&amp;IF($B$6&gt;0,IF(OR($B$4&gt;0,$B$5&gt;0)," / ","")&amp;"경유 "&amp;TEXT(IF($N891="",1/0,$N891*$B$6),"#,##0")&amp;"원",""),""))</f>
        <v/>
      </c>
      <c r="P891" s="17" t="str">
        <f aca="false">IF($B$10=0,"",IFERROR(IF($B$4&gt;0,IF($L891="",1/0,$L891*$B$4),0)+IF($B$5&gt;0,IF($M891="",1/0,$M891*$B$5),0)+IF($B$6&gt;0,IF($N891="",1/0,$N891*$B$6),0),""))</f>
        <v/>
      </c>
      <c r="Q891" s="17"/>
      <c r="R891" s="18" t="str">
        <f aca="false">IF($P891="","",IF($Q891="Y",IFERROR(VLOOKUP($B891,$C$4:$D$13,2,FALSE()),0),0))</f>
        <v/>
      </c>
      <c r="S891" s="17" t="str">
        <f aca="false">IF($P891="","",ROUNDDOWN($P891*$R891,0))</f>
        <v/>
      </c>
      <c r="T891" s="17" t="str">
        <f aca="false">IF($P891="","",$P891-$S891)</f>
        <v/>
      </c>
      <c r="U891" s="17" t="str">
        <f aca="false">IF($T891="","",IF($B$10=0,"",$T891/$B$10))</f>
        <v/>
      </c>
      <c r="V891" s="17" t="str">
        <f aca="false">IF($P891="","",IF($B$10=0,"",$P891/$B$10))</f>
        <v/>
      </c>
      <c r="W891" s="19" t="n">
        <f aca="false">IF($T891="",1000000000000000,$T891)</f>
        <v/>
      </c>
      <c r="XFC891" s="3"/>
    </row>
    <row r="892" s="5" collapsed="false" customFormat="true" customHeight="true" hidden="false" ht="28.5" outlineLevel="0">
      <c r="A892" s="16" t="str">
        <f aca="false">IF($T892="","",1+COUNTIF($W$15:$W$894,"&lt;"&amp;W892))</f>
        <v/>
      </c>
      <c r="B892" s="16" t="s">
        <v>14</v>
      </c>
      <c r="C892" s="16" t="s">
        <v>1767</v>
      </c>
      <c r="D892" s="16" t="s">
        <v>95</v>
      </c>
      <c r="E892" s="16" t="s">
        <v>63</v>
      </c>
      <c r="F892" s="16" t="s">
        <v>1768</v>
      </c>
      <c r="G892" s="17"/>
      <c r="H892" s="17">
        <v>2159</v>
      </c>
      <c r="I892" s="17"/>
      <c r="J892" s="17">
        <v>1876</v>
      </c>
      <c r="K892" s="17" t="n">
        <f aca="false">IF(AND(IFERROR(SEARCH("현대오일뱅크",$C892),0)&gt;0,IFERROR(SEARCH("직영",$C892),0)&gt;0),$B$13,0)</f>
        <v/>
      </c>
      <c r="L892" s="17" t="str">
        <f aca="false">IF($G892="","",$G892+$K892)</f>
        <v/>
      </c>
      <c r="M892" s="17" t="n">
        <f aca="false">IF($H892="","",$H892+$K892)</f>
        <v/>
      </c>
      <c r="N892" s="17" t="n">
        <f aca="false">IF($J892="","",$J892+$K892)</f>
        <v/>
      </c>
      <c r="O892" s="17" t="str">
        <f aca="false">IF($B$10=0,"",IFERROR(IF($B$4&gt;0,"휘발유 "&amp;TEXT(IF($L892="",1/0,$L892*$B$4),"#,##0")&amp;"원","")&amp;IF($B$5&gt;0,IF($B$4&gt;0," / ","")&amp;"고급유 "&amp;TEXT(IF($M892="",1/0,$M892*$B$5),"#,##0")&amp;"원","")&amp;IF($B$6&gt;0,IF(OR($B$4&gt;0,$B$5&gt;0)," / ","")&amp;"경유 "&amp;TEXT(IF($N892="",1/0,$N892*$B$6),"#,##0")&amp;"원",""),""))</f>
        <v/>
      </c>
      <c r="P892" s="17" t="str">
        <f aca="false">IF($B$10=0,"",IFERROR(IF($B$4&gt;0,IF($L892="",1/0,$L892*$B$4),0)+IF($B$5&gt;0,IF($M892="",1/0,$M892*$B$5),0)+IF($B$6&gt;0,IF($N892="",1/0,$N892*$B$6),0),""))</f>
        <v/>
      </c>
      <c r="Q892" s="17" t="s">
        <v>47</v>
      </c>
      <c r="R892" s="18" t="str">
        <f aca="false">IF($P892="","",IF($Q892="Y",IFERROR(VLOOKUP($B892,$C$4:$D$13,2,FALSE()),0),0))</f>
        <v/>
      </c>
      <c r="S892" s="17" t="str">
        <f aca="false">IF($P892="","",ROUNDDOWN($P892*$R892,0))</f>
        <v/>
      </c>
      <c r="T892" s="17" t="str">
        <f aca="false">IF($P892="","",$P892-$S892)</f>
        <v/>
      </c>
      <c r="U892" s="17" t="str">
        <f aca="false">IF($T892="","",IF($B$10=0,"",$T892/$B$10))</f>
        <v/>
      </c>
      <c r="V892" s="17" t="str">
        <f aca="false">IF($P892="","",IF($B$10=0,"",$P892/$B$10))</f>
        <v/>
      </c>
      <c r="W892" s="19" t="n">
        <f aca="false">IF($T892="",1000000000000000,$T892)</f>
        <v/>
      </c>
      <c r="XFB892" s="6"/>
      <c r="XFC892" s="3"/>
    </row>
    <row r="893" s="5" collapsed="false" customFormat="true" customHeight="true" hidden="false" ht="28.5" outlineLevel="0">
      <c r="A893" s="16" t="str">
        <f aca="false">IF($T893="","",1+COUNTIF($W$15:$W$894,"&lt;"&amp;W893))</f>
        <v/>
      </c>
      <c r="B893" s="16" t="s">
        <v>10</v>
      </c>
      <c r="C893" s="16" t="s">
        <v>1769</v>
      </c>
      <c r="D893" s="16" t="s">
        <v>51</v>
      </c>
      <c r="E893" s="16" t="s">
        <v>26</v>
      </c>
      <c r="F893" s="16" t="s">
        <v>1770</v>
      </c>
      <c r="G893" s="17"/>
      <c r="H893" s="17">
        <v>2079</v>
      </c>
      <c r="I893" s="17"/>
      <c r="J893" s="17">
        <v>1829</v>
      </c>
      <c r="K893" s="17" t="n">
        <f aca="false">IF(AND(IFERROR(SEARCH("현대오일뱅크",$C893),0)&gt;0,IFERROR(SEARCH("직영",$C893),0)&gt;0),$B$13,0)</f>
        <v/>
      </c>
      <c r="L893" s="17" t="str">
        <f aca="false">IF($G893="","",$G893+$K893)</f>
        <v/>
      </c>
      <c r="M893" s="17" t="n">
        <f aca="false">IF($H893="","",$H893+$K893)</f>
        <v/>
      </c>
      <c r="N893" s="17" t="n">
        <f aca="false">IF($J893="","",$J893+$K893)</f>
        <v/>
      </c>
      <c r="O893" s="17" t="str">
        <f aca="false">IF($B$10=0,"",IFERROR(IF($B$4&gt;0,"휘발유 "&amp;TEXT(IF($L893="",1/0,$L893*$B$4),"#,##0")&amp;"원","")&amp;IF($B$5&gt;0,IF($B$4&gt;0," / ","")&amp;"고급유 "&amp;TEXT(IF($M893="",1/0,$M893*$B$5),"#,##0")&amp;"원","")&amp;IF($B$6&gt;0,IF(OR($B$4&gt;0,$B$5&gt;0)," / ","")&amp;"경유 "&amp;TEXT(IF($N893="",1/0,$N893*$B$6),"#,##0")&amp;"원",""),""))</f>
        <v/>
      </c>
      <c r="P893" s="17" t="str">
        <f aca="false">IF($B$10=0,"",IFERROR(IF($B$4&gt;0,IF($L893="",1/0,$L893*$B$4),0)+IF($B$5&gt;0,IF($M893="",1/0,$M893*$B$5),0)+IF($B$6&gt;0,IF($N893="",1/0,$N893*$B$6),0),""))</f>
        <v/>
      </c>
      <c r="Q893" s="17"/>
      <c r="R893" s="18" t="str">
        <f aca="false">IF($P893="","",IF($Q893="Y",IFERROR(VLOOKUP($B893,$C$4:$D$13,2,FALSE()),0),0))</f>
        <v/>
      </c>
      <c r="S893" s="17" t="str">
        <f aca="false">IF($P893="","",ROUNDDOWN($P893*$R893,0))</f>
        <v/>
      </c>
      <c r="T893" s="17" t="str">
        <f aca="false">IF($P893="","",$P893-$S893)</f>
        <v/>
      </c>
      <c r="U893" s="17" t="str">
        <f aca="false">IF($T893="","",IF($B$10=0,"",$T893/$B$10))</f>
        <v/>
      </c>
      <c r="V893" s="17" t="str">
        <f aca="false">IF($P893="","",IF($B$10=0,"",$P893/$B$10))</f>
        <v/>
      </c>
      <c r="W893" s="19" t="n">
        <f aca="false">IF($T893="",1000000000000000,$T893)</f>
        <v/>
      </c>
      <c r="XFB893" s="6"/>
      <c r="XFC893" s="3"/>
    </row>
    <row r="894" s="5" collapsed="false" customFormat="true" customHeight="true" hidden="false" ht="28.5" outlineLevel="0">
      <c r="A894" s="16" t="str">
        <f aca="false">IF($T894="","",1+COUNTIF($W$15:$W$894,"&lt;"&amp;W894))</f>
        <v/>
      </c>
      <c r="B894" s="16" t="s">
        <v>10</v>
      </c>
      <c r="C894" s="16" t="s">
        <v>1771</v>
      </c>
      <c r="D894" s="16" t="s">
        <v>393</v>
      </c>
      <c r="E894" s="16" t="s">
        <v>63</v>
      </c>
      <c r="F894" s="16" t="s">
        <v>1772</v>
      </c>
      <c r="G894" s="17"/>
      <c r="H894" s="17"/>
      <c r="I894" s="17"/>
      <c r="J894" s="17">
        <v>1998</v>
      </c>
      <c r="K894" s="17" t="n">
        <f aca="false">IF(AND(IFERROR(SEARCH("현대오일뱅크",$C894),0)&gt;0,IFERROR(SEARCH("직영",$C894),0)&gt;0),$B$13,0)</f>
        <v/>
      </c>
      <c r="L894" s="17" t="str">
        <f aca="false">IF($G894="","",$G894+$K894)</f>
        <v/>
      </c>
      <c r="M894" s="17" t="str">
        <f aca="false">IF($H894="","",$H894+$K894)</f>
        <v/>
      </c>
      <c r="N894" s="17" t="n">
        <f aca="false">IF($J894="","",$J894+$K894)</f>
        <v/>
      </c>
      <c r="O894" s="17" t="str">
        <f aca="false">IF($B$10=0,"",IFERROR(IF($B$4&gt;0,"휘발유 "&amp;TEXT(IF($L894="",1/0,$L894*$B$4),"#,##0")&amp;"원","")&amp;IF($B$5&gt;0,IF($B$4&gt;0," / ","")&amp;"고급유 "&amp;TEXT(IF($M894="",1/0,$M894*$B$5),"#,##0")&amp;"원","")&amp;IF($B$6&gt;0,IF(OR($B$4&gt;0,$B$5&gt;0)," / ","")&amp;"경유 "&amp;TEXT(IF($N894="",1/0,$N894*$B$6),"#,##0")&amp;"원",""),""))</f>
        <v/>
      </c>
      <c r="P894" s="17" t="str">
        <f aca="false">IF($B$10=0,"",IFERROR(IF($B$4&gt;0,IF($L894="",1/0,$L894*$B$4),0)+IF($B$5&gt;0,IF($M894="",1/0,$M894*$B$5),0)+IF($B$6&gt;0,IF($N894="",1/0,$N894*$B$6),0),""))</f>
        <v/>
      </c>
      <c r="Q894" s="17"/>
      <c r="R894" s="18" t="str">
        <f aca="false">IF($P894="","",IF($Q894="Y",IFERROR(VLOOKUP($B894,$C$4:$D$13,2,FALSE()),0),0))</f>
        <v/>
      </c>
      <c r="S894" s="17" t="str">
        <f aca="false">IF($P894="","",ROUNDDOWN($P894*$R894,0))</f>
        <v/>
      </c>
      <c r="T894" s="17" t="str">
        <f aca="false">IF($P894="","",$P894-$S894)</f>
        <v/>
      </c>
      <c r="U894" s="17" t="str">
        <f aca="false">IF($T894="","",IF($B$10=0,"",$T894/$B$10))</f>
        <v/>
      </c>
      <c r="V894" s="17" t="str">
        <f aca="false">IF($P894="","",IF($B$10=0,"",$P894/$B$10))</f>
        <v/>
      </c>
      <c r="W894" s="19" t="n">
        <f aca="false">IF($T894="",1000000000000000,$T894)</f>
        <v/>
      </c>
      <c r="XFB894" s="6"/>
      <c r="XFC894" s="3"/>
    </row>
    <row r="895" s="6" collapsed="false" customFormat="true" customHeight="true" hidden="false" ht="13.5" outlineLevel="0">
      <c r="F895" s="21"/>
      <c r="XFC895" s="3"/>
    </row>
    <row r="896" s="6" collapsed="false" customFormat="true" customHeight="true" hidden="false" ht="13.5" outlineLevel="0">
      <c r="F896" s="21"/>
      <c r="XFC896" s="3"/>
    </row>
  </sheetData>
  <autoFilter ref="A14:W894"/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30" colorId="64" zoomScale="100" zoomScaleNormal="100" zoomScalePageLayoutView="100" workbookViewId="0">
      <selection pane="topLeft" activeCell="B13" activeCellId="0" sqref="B13"/>
    </sheetView>
  </sheetViews>
  <sheetFormatPr defaultColWidth="8.796875" defaultRowHeight="13.5" customHeight="false" zeroHeight="false" outlineLevelRow="0" outlineLevelCol="0"/>
  <cols>
    <col collapsed="false" customWidth="true" hidden="false" outlineLevel="0" max="1" min="1" style="2" width="8.01"/>
    <col collapsed="false" customWidth="true" hidden="false" outlineLevel="0" max="2" min="2" style="2" width="28.29"/>
    <col collapsed="false" customWidth="true" hidden="false" outlineLevel="0" max="3" min="3" style="2" width="42.43"/>
    <col collapsed="false" customWidth="true" hidden="false" outlineLevel="0" max="6" min="4" style="2" width="14.43"/>
    <col collapsed="false" customWidth="true" hidden="false" outlineLevel="0" max="7" min="7" style="2" width="10.43"/>
    <col collapsed="false" customWidth="true" hidden="false" outlineLevel="0" max="9" min="8" style="2" width="14.43"/>
    <col collapsed="false" customWidth="true" hidden="false" outlineLevel="0" max="10" min="10" style="2" width="10.43"/>
    <col collapsed="false" customWidth="true" hidden="false" outlineLevel="0" max="12" min="11" style="2" width="12.01"/>
    <col collapsed="false" customWidth="true" hidden="false" outlineLevel="0" max="13" min="13" style="2" width="8.29"/>
  </cols>
  <sheetData>
    <row r="1" s="21" collapsed="false" customFormat="true" customHeight="true" hidden="false" ht="21.75" outlineLevel="0">
      <c r="A1" s="23" t="s">
        <v>1773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="21" collapsed="false" customFormat="true" customHeight="true" hidden="false" ht="21" outlineLevel="0">
      <c r="A2" s="24" t="s">
        <v>1786</v>
      </c>
    </row>
    <row r="3" s="21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1775</v>
      </c>
      <c r="E3" s="9" t="s">
        <v>1776</v>
      </c>
      <c r="F3" s="9" t="s">
        <v>1777</v>
      </c>
      <c r="G3" s="9" t="s">
        <v>1778</v>
      </c>
      <c r="H3" s="9" t="s">
        <v>1779</v>
      </c>
      <c r="I3" s="9" t="s">
        <v>1780</v>
      </c>
      <c r="J3" s="9" t="s">
        <v>1781</v>
      </c>
      <c r="K3" s="9" t="s">
        <v>1782</v>
      </c>
      <c r="L3" s="9" t="s">
        <v>1783</v>
      </c>
      <c r="M3" s="9" t="s">
        <v>1784</v>
      </c>
    </row>
    <row r="4" s="21" collapsed="false" customFormat="true" customHeight="true" hidden="false" ht="25.5" outlineLevel="0">
      <c r="A4" s="25"/>
      <c r="B4" s="26"/>
      <c r="C4" s="26"/>
      <c r="D4" s="26"/>
      <c r="E4" s="27"/>
      <c r="F4" s="27"/>
      <c r="G4" s="27"/>
      <c r="H4" s="27"/>
      <c r="I4" s="27"/>
      <c r="J4" s="27"/>
      <c r="K4" s="27"/>
      <c r="L4" s="27"/>
      <c r="M4" s="27"/>
    </row>
    <row r="5" s="21" collapsed="false" customFormat="true" customHeight="true" hidden="false" ht="25.5" outlineLevel="0">
      <c r="A5" s="25"/>
      <c r="B5" s="26"/>
      <c r="C5" s="26"/>
      <c r="D5" s="26"/>
      <c r="E5" s="27"/>
      <c r="F5" s="27"/>
      <c r="G5" s="27"/>
      <c r="H5" s="27"/>
      <c r="I5" s="27"/>
      <c r="J5" s="27"/>
      <c r="K5" s="27"/>
      <c r="L5" s="27"/>
      <c r="M5" s="27"/>
    </row>
    <row r="6" s="21" collapsed="false" customFormat="true" customHeight="true" hidden="false" ht="25.5" outlineLevel="0">
      <c r="A6" s="25"/>
      <c r="B6" s="26"/>
      <c r="C6" s="26"/>
      <c r="D6" s="26"/>
      <c r="E6" s="27"/>
      <c r="F6" s="27"/>
      <c r="G6" s="27"/>
      <c r="H6" s="27"/>
      <c r="I6" s="27"/>
      <c r="J6" s="27"/>
      <c r="K6" s="27"/>
      <c r="L6" s="27"/>
      <c r="M6" s="27"/>
    </row>
    <row r="7" s="21" collapsed="false" customFormat="true" customHeight="true" hidden="false" ht="25.5" outlineLevel="0">
      <c r="A7" s="25"/>
      <c r="B7" s="26"/>
      <c r="C7" s="26"/>
      <c r="D7" s="26"/>
      <c r="E7" s="27"/>
      <c r="F7" s="27"/>
      <c r="G7" s="27"/>
      <c r="H7" s="27"/>
      <c r="I7" s="27"/>
      <c r="J7" s="27"/>
      <c r="K7" s="27"/>
      <c r="L7" s="27"/>
      <c r="M7" s="27"/>
    </row>
    <row r="8" s="21" collapsed="false" customFormat="true" customHeight="true" hidden="false" ht="25.5" outlineLevel="0">
      <c r="A8" s="25"/>
      <c r="B8" s="26"/>
      <c r="C8" s="26"/>
      <c r="D8" s="26"/>
      <c r="E8" s="27"/>
      <c r="F8" s="27"/>
      <c r="G8" s="27"/>
      <c r="H8" s="27"/>
      <c r="I8" s="27"/>
      <c r="J8" s="27"/>
      <c r="K8" s="27"/>
      <c r="L8" s="27"/>
      <c r="M8" s="27"/>
    </row>
    <row r="9" s="21" collapsed="false" customFormat="true" customHeight="true" hidden="false" ht="25.5" outlineLevel="0">
      <c r="A9" s="25"/>
      <c r="B9" s="26"/>
      <c r="C9" s="26"/>
      <c r="D9" s="26"/>
      <c r="E9" s="27"/>
      <c r="F9" s="27"/>
      <c r="G9" s="27"/>
      <c r="H9" s="27"/>
      <c r="I9" s="27"/>
      <c r="J9" s="27"/>
      <c r="K9" s="27"/>
      <c r="L9" s="27"/>
      <c r="M9" s="27"/>
    </row>
    <row r="10" s="21" collapsed="false" customFormat="true" customHeight="true" hidden="false" ht="25.5" outlineLevel="0">
      <c r="A10" s="25"/>
      <c r="B10" s="26"/>
      <c r="C10" s="26"/>
      <c r="D10" s="26"/>
      <c r="E10" s="27"/>
      <c r="F10" s="27"/>
      <c r="G10" s="27"/>
      <c r="H10" s="27"/>
      <c r="I10" s="27"/>
      <c r="J10" s="27"/>
      <c r="K10" s="27"/>
      <c r="L10" s="27"/>
      <c r="M10" s="27"/>
    </row>
    <row r="11" s="21" collapsed="false" customFormat="true" customHeight="true" hidden="false" ht="25.5" outlineLevel="0">
      <c r="A11" s="25"/>
      <c r="B11" s="26"/>
      <c r="C11" s="26"/>
      <c r="D11" s="26"/>
      <c r="E11" s="27"/>
      <c r="F11" s="27"/>
      <c r="G11" s="27"/>
      <c r="H11" s="27"/>
      <c r="I11" s="27"/>
      <c r="J11" s="27"/>
      <c r="K11" s="27"/>
      <c r="L11" s="27"/>
      <c r="M11" s="27"/>
    </row>
    <row r="12" s="21" collapsed="false" customFormat="true" customHeight="true" hidden="false" ht="25.5" outlineLevel="0">
      <c r="A12" s="25"/>
      <c r="B12" s="26"/>
      <c r="C12" s="26"/>
      <c r="D12" s="26"/>
      <c r="E12" s="27"/>
      <c r="F12" s="27"/>
      <c r="G12" s="27"/>
      <c r="H12" s="27"/>
      <c r="I12" s="27"/>
      <c r="J12" s="27"/>
      <c r="K12" s="27"/>
      <c r="L12" s="27"/>
      <c r="M12" s="27"/>
    </row>
    <row r="13" s="21" collapsed="false" customFormat="true" customHeight="true" hidden="false" ht="25.5" outlineLevel="0">
      <c r="A13" s="25"/>
      <c r="B13" s="26"/>
      <c r="C13" s="26"/>
      <c r="D13" s="26"/>
      <c r="E13" s="27"/>
      <c r="F13" s="27"/>
      <c r="G13" s="27"/>
      <c r="H13" s="27"/>
      <c r="I13" s="27"/>
      <c r="J13" s="27"/>
      <c r="K13" s="27"/>
      <c r="L13" s="27"/>
      <c r="M13" s="27"/>
    </row>
    <row r="14" s="21" collapsed="false" customFormat="true" customHeight="true" hidden="false" ht="25.5" outlineLevel="0">
      <c r="A14" s="25"/>
      <c r="B14" s="26"/>
      <c r="C14" s="26"/>
      <c r="D14" s="26"/>
      <c r="E14" s="27"/>
      <c r="F14" s="27"/>
      <c r="G14" s="27"/>
      <c r="H14" s="27"/>
      <c r="I14" s="27"/>
      <c r="J14" s="27"/>
      <c r="K14" s="27"/>
      <c r="L14" s="27"/>
      <c r="M14" s="27"/>
    </row>
    <row r="15" s="21" collapsed="false" customFormat="true" customHeight="true" hidden="false" ht="25.5" outlineLevel="0">
      <c r="A15" s="25"/>
      <c r="B15" s="26"/>
      <c r="C15" s="26"/>
      <c r="D15" s="26"/>
      <c r="E15" s="27"/>
      <c r="F15" s="27"/>
      <c r="G15" s="27"/>
      <c r="H15" s="27"/>
      <c r="I15" s="27"/>
      <c r="J15" s="27"/>
      <c r="K15" s="27"/>
      <c r="L15" s="27"/>
      <c r="M15" s="27"/>
    </row>
    <row r="16" s="21" collapsed="false" customFormat="true" customHeight="true" hidden="false" ht="25.5" outlineLevel="0">
      <c r="A16" s="25"/>
      <c r="B16" s="26"/>
      <c r="C16" s="26"/>
      <c r="D16" s="26"/>
      <c r="E16" s="27"/>
      <c r="F16" s="27"/>
      <c r="G16" s="27"/>
      <c r="H16" s="27"/>
      <c r="I16" s="27"/>
      <c r="J16" s="27"/>
      <c r="K16" s="27"/>
      <c r="L16" s="27"/>
      <c r="M16" s="27"/>
    </row>
    <row r="17" s="21" collapsed="false" customFormat="true" customHeight="true" hidden="false" ht="25.5" outlineLevel="0">
      <c r="A17" s="25"/>
      <c r="B17" s="26"/>
      <c r="C17" s="26"/>
      <c r="D17" s="26"/>
      <c r="E17" s="27"/>
      <c r="F17" s="27"/>
      <c r="G17" s="27"/>
      <c r="H17" s="27"/>
      <c r="I17" s="27"/>
      <c r="J17" s="27"/>
      <c r="K17" s="27"/>
      <c r="L17" s="27"/>
      <c r="M17" s="27"/>
    </row>
    <row r="18" s="21" collapsed="false" customFormat="true" customHeight="true" hidden="false" ht="25.5" outlineLevel="0">
      <c r="A18" s="25"/>
      <c r="B18" s="26"/>
      <c r="C18" s="26"/>
      <c r="D18" s="26"/>
      <c r="E18" s="27"/>
      <c r="F18" s="27"/>
      <c r="G18" s="27"/>
      <c r="H18" s="27"/>
      <c r="I18" s="27"/>
      <c r="J18" s="27"/>
      <c r="K18" s="27"/>
      <c r="L18" s="27"/>
      <c r="M18" s="27"/>
    </row>
    <row r="19" s="21" collapsed="false" customFormat="true" customHeight="true" hidden="false" ht="25.5" outlineLevel="0">
      <c r="A19" s="25"/>
      <c r="B19" s="26"/>
      <c r="C19" s="26"/>
      <c r="D19" s="26"/>
      <c r="E19" s="27"/>
      <c r="F19" s="27"/>
      <c r="G19" s="27"/>
      <c r="H19" s="27"/>
      <c r="I19" s="27"/>
      <c r="J19" s="27"/>
      <c r="K19" s="27"/>
      <c r="L19" s="27"/>
      <c r="M19" s="27"/>
    </row>
    <row r="20" s="21" collapsed="false" customFormat="true" customHeight="true" hidden="false" ht="25.5" outlineLevel="0">
      <c r="A20" s="25"/>
      <c r="B20" s="26"/>
      <c r="C20" s="26"/>
      <c r="D20" s="26"/>
      <c r="E20" s="27"/>
      <c r="F20" s="27"/>
      <c r="G20" s="27"/>
      <c r="H20" s="27"/>
      <c r="I20" s="27"/>
      <c r="J20" s="27"/>
      <c r="K20" s="27"/>
      <c r="L20" s="27"/>
      <c r="M20" s="27"/>
    </row>
    <row r="21" s="21" collapsed="false" customFormat="true" customHeight="true" hidden="false" ht="25.5" outlineLevel="0">
      <c r="A21" s="25"/>
      <c r="B21" s="26"/>
      <c r="C21" s="26"/>
      <c r="D21" s="26"/>
      <c r="E21" s="27"/>
      <c r="F21" s="27"/>
      <c r="G21" s="27"/>
      <c r="H21" s="27"/>
      <c r="I21" s="27"/>
      <c r="J21" s="27"/>
      <c r="K21" s="27"/>
      <c r="L21" s="27"/>
      <c r="M21" s="27"/>
    </row>
    <row r="22" s="21" collapsed="false" customFormat="true" customHeight="true" hidden="false" ht="25.5" outlineLevel="0">
      <c r="A22" s="25"/>
      <c r="B22" s="26"/>
      <c r="C22" s="26"/>
      <c r="D22" s="26"/>
      <c r="E22" s="27"/>
      <c r="F22" s="27"/>
      <c r="G22" s="27"/>
      <c r="H22" s="27"/>
      <c r="I22" s="27"/>
      <c r="J22" s="27"/>
      <c r="K22" s="27"/>
      <c r="L22" s="27"/>
      <c r="M22" s="27"/>
    </row>
    <row r="23" s="21" collapsed="false" customFormat="true" customHeight="true" hidden="false" ht="25.5" outlineLevel="0">
      <c r="A23" s="25"/>
      <c r="B23" s="26"/>
      <c r="C23" s="26"/>
      <c r="D23" s="26"/>
      <c r="E23" s="27"/>
      <c r="F23" s="27"/>
      <c r="G23" s="27"/>
      <c r="H23" s="27"/>
      <c r="I23" s="27"/>
      <c r="J23" s="27"/>
      <c r="K23" s="27"/>
      <c r="L23" s="27"/>
      <c r="M23" s="27"/>
    </row>
    <row r="24" s="21" collapsed="false" customFormat="true" customHeight="true" hidden="false" ht="25.5" outlineLevel="0">
      <c r="A24" s="25"/>
      <c r="B24" s="26"/>
      <c r="C24" s="26"/>
      <c r="D24" s="26"/>
      <c r="E24" s="27"/>
      <c r="F24" s="27"/>
      <c r="G24" s="27"/>
      <c r="H24" s="27"/>
      <c r="I24" s="27"/>
      <c r="J24" s="27"/>
      <c r="K24" s="27"/>
      <c r="L24" s="27"/>
      <c r="M24" s="27"/>
    </row>
    <row r="25" s="21" collapsed="false" customFormat="true" customHeight="true" hidden="false" ht="25.5" outlineLevel="0">
      <c r="A25" s="25"/>
      <c r="B25" s="26"/>
      <c r="C25" s="26"/>
      <c r="D25" s="26"/>
      <c r="E25" s="27"/>
      <c r="F25" s="27"/>
      <c r="G25" s="27"/>
      <c r="H25" s="27"/>
      <c r="I25" s="27"/>
      <c r="J25" s="27"/>
      <c r="K25" s="27"/>
      <c r="L25" s="27"/>
      <c r="M25" s="27"/>
    </row>
    <row r="26" s="21" collapsed="false" customFormat="true" customHeight="true" hidden="false" ht="25.5" outlineLevel="0">
      <c r="A26" s="25"/>
      <c r="B26" s="26"/>
      <c r="C26" s="26"/>
      <c r="D26" s="26"/>
      <c r="E26" s="27"/>
      <c r="F26" s="27"/>
      <c r="G26" s="27"/>
      <c r="H26" s="27"/>
      <c r="I26" s="27"/>
      <c r="J26" s="27"/>
      <c r="K26" s="27"/>
      <c r="L26" s="27"/>
      <c r="M26" s="27"/>
    </row>
    <row r="27" s="21" collapsed="false" customFormat="true" customHeight="true" hidden="false" ht="25.5" outlineLevel="0">
      <c r="A27" s="25"/>
      <c r="B27" s="26"/>
      <c r="C27" s="26"/>
      <c r="D27" s="26"/>
      <c r="E27" s="27"/>
      <c r="F27" s="27"/>
      <c r="G27" s="27"/>
      <c r="H27" s="27"/>
      <c r="I27" s="27"/>
      <c r="J27" s="27"/>
      <c r="K27" s="27"/>
      <c r="L27" s="27"/>
      <c r="M27" s="27"/>
    </row>
    <row r="28" s="21" collapsed="false" customFormat="true" customHeight="true" hidden="false" ht="25.5" outlineLevel="0">
      <c r="A28" s="25"/>
      <c r="B28" s="26"/>
      <c r="C28" s="26"/>
      <c r="D28" s="26"/>
      <c r="E28" s="27"/>
      <c r="F28" s="27"/>
      <c r="G28" s="27"/>
      <c r="H28" s="27"/>
      <c r="I28" s="27"/>
      <c r="J28" s="27"/>
      <c r="K28" s="27"/>
      <c r="L28" s="27"/>
      <c r="M28" s="27"/>
    </row>
    <row r="29" s="21" collapsed="false" customFormat="true" customHeight="true" hidden="false" ht="25.5" outlineLevel="0">
      <c r="A29" s="25"/>
      <c r="B29" s="26"/>
      <c r="C29" s="26"/>
      <c r="D29" s="26"/>
      <c r="E29" s="27"/>
      <c r="F29" s="27"/>
      <c r="G29" s="27"/>
      <c r="H29" s="27"/>
      <c r="I29" s="27"/>
      <c r="J29" s="27"/>
      <c r="K29" s="27"/>
      <c r="L29" s="27"/>
      <c r="M29" s="27"/>
    </row>
    <row r="30" s="21" collapsed="false" customFormat="true" customHeight="true" hidden="false" ht="25.5" outlineLevel="0">
      <c r="A30" s="25"/>
      <c r="B30" s="26"/>
      <c r="C30" s="26"/>
      <c r="D30" s="26"/>
      <c r="E30" s="27"/>
      <c r="F30" s="27"/>
      <c r="G30" s="27"/>
      <c r="H30" s="27"/>
      <c r="I30" s="27"/>
      <c r="J30" s="27"/>
      <c r="K30" s="27"/>
      <c r="L30" s="27"/>
      <c r="M30" s="27"/>
    </row>
    <row r="31" s="21" collapsed="false" customFormat="true" customHeight="true" hidden="false" ht="25.5" outlineLevel="0">
      <c r="A31" s="25"/>
      <c r="B31" s="26"/>
      <c r="C31" s="26"/>
      <c r="D31" s="26"/>
      <c r="E31" s="27"/>
      <c r="F31" s="27"/>
      <c r="G31" s="27"/>
      <c r="H31" s="27"/>
      <c r="I31" s="27"/>
      <c r="J31" s="27"/>
      <c r="K31" s="27"/>
      <c r="L31" s="27"/>
      <c r="M31" s="27"/>
    </row>
    <row r="32" s="21" collapsed="false" customFormat="true" customHeight="true" hidden="false" ht="25.5" outlineLevel="0">
      <c r="A32" s="25"/>
      <c r="B32" s="26"/>
      <c r="C32" s="26"/>
      <c r="D32" s="26"/>
      <c r="E32" s="27"/>
      <c r="F32" s="27"/>
      <c r="G32" s="27"/>
      <c r="H32" s="27"/>
      <c r="I32" s="27"/>
      <c r="J32" s="27"/>
      <c r="K32" s="27"/>
      <c r="L32" s="27"/>
      <c r="M32" s="27"/>
    </row>
    <row r="33" s="21" collapsed="false" customFormat="true" customHeight="true" hidden="false" ht="25.5" outlineLevel="0">
      <c r="A33" s="25"/>
      <c r="B33" s="26"/>
      <c r="C33" s="26"/>
      <c r="D33" s="26"/>
      <c r="E33" s="27"/>
      <c r="F33" s="27"/>
      <c r="G33" s="27"/>
      <c r="H33" s="27"/>
      <c r="I33" s="27"/>
      <c r="J33" s="27"/>
      <c r="K33" s="27"/>
      <c r="L33" s="27"/>
      <c r="M33" s="27"/>
    </row>
    <row r="34" s="21" collapsed="false" customFormat="true" customHeight="true" hidden="false" ht="25.5" outlineLevel="0">
      <c r="A34" s="25"/>
      <c r="B34" s="26"/>
      <c r="C34" s="26"/>
      <c r="D34" s="26"/>
      <c r="E34" s="27"/>
      <c r="F34" s="27"/>
      <c r="G34" s="27"/>
      <c r="H34" s="27"/>
      <c r="I34" s="27"/>
      <c r="J34" s="27"/>
      <c r="K34" s="27"/>
      <c r="L34" s="27"/>
      <c r="M34" s="27"/>
    </row>
    <row r="35" s="21" collapsed="false" customFormat="true" customHeight="true" hidden="false" ht="25.5" outlineLevel="0">
      <c r="A35" s="25"/>
      <c r="B35" s="26"/>
      <c r="C35" s="26"/>
      <c r="D35" s="26"/>
      <c r="E35" s="27"/>
      <c r="F35" s="27"/>
      <c r="G35" s="27"/>
      <c r="H35" s="27"/>
      <c r="I35" s="27"/>
      <c r="J35" s="27"/>
      <c r="K35" s="27"/>
      <c r="L35" s="27"/>
      <c r="M35" s="27"/>
    </row>
    <row r="36" s="21" collapsed="false" customFormat="true" customHeight="true" hidden="false" ht="25.5" outlineLevel="0">
      <c r="A36" s="25"/>
      <c r="B36" s="26"/>
      <c r="C36" s="26"/>
      <c r="D36" s="26"/>
      <c r="E36" s="27"/>
      <c r="F36" s="27"/>
      <c r="G36" s="27"/>
      <c r="H36" s="27"/>
      <c r="I36" s="27"/>
      <c r="J36" s="27"/>
      <c r="K36" s="27"/>
      <c r="L36" s="27"/>
      <c r="M36" s="27"/>
    </row>
    <row r="37" s="21" collapsed="false" customFormat="true" customHeight="true" hidden="false" ht="25.5" outlineLevel="0">
      <c r="A37" s="25"/>
      <c r="B37" s="26"/>
      <c r="C37" s="26"/>
      <c r="D37" s="26"/>
      <c r="E37" s="27"/>
      <c r="F37" s="27"/>
      <c r="G37" s="27"/>
      <c r="H37" s="27"/>
      <c r="I37" s="27"/>
      <c r="J37" s="27"/>
      <c r="K37" s="27"/>
      <c r="L37" s="27"/>
      <c r="M37" s="27"/>
    </row>
    <row r="38" s="21" collapsed="false" customFormat="true" customHeight="true" hidden="false" ht="25.5" outlineLevel="0">
      <c r="A38" s="25"/>
      <c r="B38" s="26"/>
      <c r="C38" s="26"/>
      <c r="D38" s="26"/>
      <c r="E38" s="27"/>
      <c r="F38" s="27"/>
      <c r="G38" s="27"/>
      <c r="H38" s="27"/>
      <c r="I38" s="27"/>
      <c r="J38" s="27"/>
      <c r="K38" s="27"/>
      <c r="L38" s="27"/>
      <c r="M38" s="27"/>
    </row>
    <row r="39" s="21" collapsed="false" customFormat="true" customHeight="true" hidden="false" ht="25.5" outlineLevel="0">
      <c r="A39" s="25"/>
      <c r="B39" s="26"/>
      <c r="C39" s="26"/>
      <c r="D39" s="26"/>
      <c r="E39" s="27"/>
      <c r="F39" s="27"/>
      <c r="G39" s="27"/>
      <c r="H39" s="27"/>
      <c r="I39" s="27"/>
      <c r="J39" s="27"/>
      <c r="K39" s="27"/>
      <c r="L39" s="27"/>
      <c r="M39" s="27"/>
    </row>
    <row r="40" s="21" collapsed="false" customFormat="true" customHeight="true" hidden="false" ht="25.5" outlineLevel="0">
      <c r="A40" s="25"/>
      <c r="B40" s="26"/>
      <c r="C40" s="26"/>
      <c r="D40" s="26"/>
      <c r="E40" s="27"/>
      <c r="F40" s="27"/>
      <c r="G40" s="27"/>
      <c r="H40" s="27"/>
      <c r="I40" s="27"/>
      <c r="J40" s="27"/>
      <c r="K40" s="27"/>
      <c r="L40" s="27"/>
      <c r="M40" s="27"/>
    </row>
    <row r="41" s="21" collapsed="false" customFormat="true" customHeight="true" hidden="false" ht="25.5" outlineLevel="0">
      <c r="A41" s="25"/>
      <c r="B41" s="26"/>
      <c r="C41" s="26"/>
      <c r="D41" s="26"/>
      <c r="E41" s="27"/>
      <c r="F41" s="27"/>
      <c r="G41" s="27"/>
      <c r="H41" s="27"/>
      <c r="I41" s="27"/>
      <c r="J41" s="27"/>
      <c r="K41" s="27"/>
      <c r="L41" s="27"/>
      <c r="M41" s="27"/>
    </row>
    <row r="42" s="21" collapsed="false" customFormat="true" customHeight="true" hidden="false" ht="25.5" outlineLevel="0">
      <c r="A42" s="25"/>
      <c r="B42" s="26"/>
      <c r="C42" s="26"/>
      <c r="D42" s="26"/>
      <c r="E42" s="27"/>
      <c r="F42" s="27"/>
      <c r="G42" s="27"/>
      <c r="H42" s="27"/>
      <c r="I42" s="27"/>
      <c r="J42" s="27"/>
      <c r="K42" s="27"/>
      <c r="L42" s="27"/>
      <c r="M42" s="27"/>
    </row>
    <row r="43" s="21" collapsed="false" customFormat="true" customHeight="true" hidden="false" ht="25.5" outlineLevel="0">
      <c r="A43" s="25"/>
      <c r="B43" s="26"/>
      <c r="C43" s="26"/>
      <c r="D43" s="26"/>
      <c r="E43" s="27"/>
      <c r="F43" s="27"/>
      <c r="G43" s="27"/>
      <c r="H43" s="27"/>
      <c r="I43" s="27"/>
      <c r="J43" s="27"/>
      <c r="K43" s="27"/>
      <c r="L43" s="27"/>
      <c r="M43" s="27"/>
    </row>
    <row r="44" s="21" collapsed="false" customFormat="true" customHeight="true" hidden="false" ht="25.5" outlineLevel="0">
      <c r="A44" s="25"/>
      <c r="B44" s="26"/>
      <c r="C44" s="26"/>
      <c r="D44" s="26"/>
      <c r="E44" s="27"/>
      <c r="F44" s="27"/>
      <c r="G44" s="27"/>
      <c r="H44" s="27"/>
      <c r="I44" s="27"/>
      <c r="J44" s="27"/>
      <c r="K44" s="27"/>
      <c r="L44" s="27"/>
      <c r="M44" s="27"/>
    </row>
    <row r="45" s="21" collapsed="false" customFormat="true" customHeight="true" hidden="false" ht="25.5" outlineLevel="0">
      <c r="A45" s="25"/>
      <c r="B45" s="26"/>
      <c r="C45" s="26"/>
      <c r="D45" s="26"/>
      <c r="E45" s="27"/>
      <c r="F45" s="27"/>
      <c r="G45" s="27"/>
      <c r="H45" s="27"/>
      <c r="I45" s="27"/>
      <c r="J45" s="27"/>
      <c r="K45" s="27"/>
      <c r="L45" s="27"/>
      <c r="M45" s="27"/>
    </row>
    <row r="46" s="21" collapsed="false" customFormat="true" customHeight="true" hidden="false" ht="25.5" outlineLevel="0">
      <c r="A46" s="25"/>
      <c r="B46" s="26"/>
      <c r="C46" s="26"/>
      <c r="D46" s="26"/>
      <c r="E46" s="27"/>
      <c r="F46" s="27"/>
      <c r="G46" s="27"/>
      <c r="H46" s="27"/>
      <c r="I46" s="27"/>
      <c r="J46" s="27"/>
      <c r="K46" s="27"/>
      <c r="L46" s="27"/>
      <c r="M46" s="27"/>
    </row>
    <row r="47" s="21" collapsed="false" customFormat="true" customHeight="true" hidden="false" ht="25.5" outlineLevel="0">
      <c r="A47" s="25"/>
      <c r="B47" s="26"/>
      <c r="C47" s="26"/>
      <c r="D47" s="26"/>
      <c r="E47" s="27"/>
      <c r="F47" s="27"/>
      <c r="G47" s="27"/>
      <c r="H47" s="27"/>
      <c r="I47" s="27"/>
      <c r="J47" s="27"/>
      <c r="K47" s="27"/>
      <c r="L47" s="27"/>
      <c r="M47" s="27"/>
    </row>
    <row r="48" s="21" collapsed="false" customFormat="true" customHeight="true" hidden="false" ht="25.5" outlineLevel="0">
      <c r="A48" s="25"/>
      <c r="B48" s="26"/>
      <c r="C48" s="26"/>
      <c r="D48" s="26"/>
      <c r="E48" s="27"/>
      <c r="F48" s="27"/>
      <c r="G48" s="27"/>
      <c r="H48" s="27"/>
      <c r="I48" s="27"/>
      <c r="J48" s="27"/>
      <c r="K48" s="27"/>
      <c r="L48" s="27"/>
      <c r="M48" s="27"/>
    </row>
    <row r="49" s="21" collapsed="false" customFormat="true" customHeight="true" hidden="false" ht="25.5" outlineLevel="0">
      <c r="A49" s="25"/>
      <c r="B49" s="26"/>
      <c r="C49" s="26"/>
      <c r="D49" s="26"/>
      <c r="E49" s="27"/>
      <c r="F49" s="27"/>
      <c r="G49" s="27"/>
      <c r="H49" s="27"/>
      <c r="I49" s="27"/>
      <c r="J49" s="27"/>
      <c r="K49" s="27"/>
      <c r="L49" s="27"/>
      <c r="M49" s="27"/>
    </row>
    <row r="50" s="21" collapsed="false" customFormat="true" customHeight="true" hidden="false" ht="25.5" outlineLevel="0">
      <c r="A50" s="25"/>
      <c r="B50" s="26"/>
      <c r="C50" s="26"/>
      <c r="D50" s="26"/>
      <c r="E50" s="27"/>
      <c r="F50" s="27"/>
      <c r="G50" s="27"/>
      <c r="H50" s="27"/>
      <c r="I50" s="27"/>
      <c r="J50" s="27"/>
      <c r="K50" s="27"/>
      <c r="L50" s="27"/>
      <c r="M50" s="27"/>
    </row>
    <row r="51" s="21" collapsed="false" customFormat="true" customHeight="true" hidden="false" ht="25.5" outlineLevel="0">
      <c r="A51" s="25"/>
      <c r="B51" s="26"/>
      <c r="C51" s="26"/>
      <c r="D51" s="26"/>
      <c r="E51" s="27"/>
      <c r="F51" s="27"/>
      <c r="G51" s="27"/>
      <c r="H51" s="27"/>
      <c r="I51" s="27"/>
      <c r="J51" s="27"/>
      <c r="K51" s="27"/>
      <c r="L51" s="27"/>
      <c r="M51" s="27"/>
    </row>
    <row r="52" s="21" collapsed="false" customFormat="true" customHeight="true" hidden="false" ht="25.5" outlineLevel="0">
      <c r="A52" s="25"/>
      <c r="B52" s="26"/>
      <c r="C52" s="26"/>
      <c r="D52" s="26"/>
      <c r="E52" s="27"/>
      <c r="F52" s="27"/>
      <c r="G52" s="27"/>
      <c r="H52" s="27"/>
      <c r="I52" s="27"/>
      <c r="J52" s="27"/>
      <c r="K52" s="27"/>
      <c r="L52" s="27"/>
      <c r="M52" s="27"/>
    </row>
    <row r="53" s="21" collapsed="false" customFormat="true" customHeight="true" hidden="false" ht="25.5" outlineLevel="0">
      <c r="A53" s="25"/>
      <c r="B53" s="26"/>
      <c r="C53" s="26"/>
      <c r="D53" s="26"/>
      <c r="E53" s="27"/>
      <c r="F53" s="27"/>
      <c r="G53" s="27"/>
      <c r="H53" s="27"/>
      <c r="I53" s="27"/>
      <c r="J53" s="27"/>
      <c r="K53" s="27"/>
      <c r="L53" s="27"/>
      <c r="M53" s="27"/>
    </row>
    <row r="54" s="21" collapsed="false" customFormat="true" customHeight="true" hidden="false" ht="25.5" outlineLevel="0">
      <c r="A54" s="25"/>
      <c r="B54" s="26"/>
      <c r="C54" s="26"/>
      <c r="D54" s="26"/>
      <c r="E54" s="27"/>
      <c r="F54" s="27"/>
      <c r="G54" s="27"/>
      <c r="H54" s="27"/>
      <c r="I54" s="27"/>
      <c r="J54" s="27"/>
      <c r="K54" s="27"/>
      <c r="L54" s="27"/>
      <c r="M54" s="27"/>
    </row>
    <row r="55" s="21" collapsed="false" customFormat="true" customHeight="true" hidden="false" ht="25.5" outlineLevel="0">
      <c r="A55" s="25"/>
      <c r="B55" s="26"/>
      <c r="C55" s="26"/>
      <c r="D55" s="26"/>
      <c r="E55" s="27"/>
      <c r="F55" s="27"/>
      <c r="G55" s="27"/>
      <c r="H55" s="27"/>
      <c r="I55" s="27"/>
      <c r="J55" s="27"/>
      <c r="K55" s="27"/>
      <c r="L55" s="27"/>
      <c r="M55" s="27"/>
    </row>
    <row r="56" s="21" collapsed="false" customFormat="true" customHeight="true" hidden="false" ht="25.5" outlineLevel="0">
      <c r="A56" s="25"/>
      <c r="B56" s="26"/>
      <c r="C56" s="26"/>
      <c r="D56" s="26"/>
      <c r="E56" s="27"/>
      <c r="F56" s="27"/>
      <c r="G56" s="27"/>
      <c r="H56" s="27"/>
      <c r="I56" s="27"/>
      <c r="J56" s="27"/>
      <c r="K56" s="27"/>
      <c r="L56" s="27"/>
      <c r="M56" s="27"/>
    </row>
    <row r="57" s="21" collapsed="false" customFormat="true" customHeight="true" hidden="false" ht="25.5" outlineLevel="0">
      <c r="A57" s="25"/>
      <c r="B57" s="26"/>
      <c r="C57" s="26"/>
      <c r="D57" s="26"/>
      <c r="E57" s="27"/>
      <c r="F57" s="27"/>
      <c r="G57" s="27"/>
      <c r="H57" s="27"/>
      <c r="I57" s="27"/>
      <c r="J57" s="27"/>
      <c r="K57" s="27"/>
      <c r="L57" s="27"/>
      <c r="M57" s="27"/>
    </row>
    <row r="58" s="21" collapsed="false" customFormat="true" customHeight="true" hidden="false" ht="25.5" outlineLevel="0">
      <c r="A58" s="25"/>
      <c r="B58" s="26"/>
      <c r="C58" s="26"/>
      <c r="D58" s="26"/>
      <c r="E58" s="27"/>
      <c r="F58" s="27"/>
      <c r="G58" s="27"/>
      <c r="H58" s="27"/>
      <c r="I58" s="27"/>
      <c r="J58" s="27"/>
      <c r="K58" s="27"/>
      <c r="L58" s="27"/>
      <c r="M58" s="27"/>
    </row>
    <row r="59" s="21" collapsed="false" customFormat="true" customHeight="true" hidden="false" ht="25.5" outlineLevel="0">
      <c r="A59" s="25"/>
      <c r="B59" s="26"/>
      <c r="C59" s="26"/>
      <c r="D59" s="26"/>
      <c r="E59" s="27"/>
      <c r="F59" s="27"/>
      <c r="G59" s="27"/>
      <c r="H59" s="27"/>
      <c r="I59" s="27"/>
      <c r="J59" s="27"/>
      <c r="K59" s="27"/>
      <c r="L59" s="27"/>
      <c r="M59" s="27"/>
    </row>
    <row r="60" s="21" collapsed="false" customFormat="true" customHeight="true" hidden="false" ht="25.5" outlineLevel="0">
      <c r="A60" s="25"/>
      <c r="B60" s="26"/>
      <c r="C60" s="26"/>
      <c r="D60" s="26"/>
      <c r="E60" s="27"/>
      <c r="F60" s="27"/>
      <c r="G60" s="27"/>
      <c r="H60" s="27"/>
      <c r="I60" s="27"/>
      <c r="J60" s="27"/>
      <c r="K60" s="27"/>
      <c r="L60" s="27"/>
      <c r="M60" s="27"/>
    </row>
    <row r="61" s="21" collapsed="false" customFormat="true" customHeight="true" hidden="false" ht="25.5" outlineLevel="0">
      <c r="A61" s="25"/>
      <c r="B61" s="26"/>
      <c r="C61" s="26"/>
      <c r="D61" s="26"/>
      <c r="E61" s="27"/>
      <c r="F61" s="27"/>
      <c r="G61" s="27"/>
      <c r="H61" s="27"/>
      <c r="I61" s="27"/>
      <c r="J61" s="27"/>
      <c r="K61" s="27"/>
      <c r="L61" s="27"/>
      <c r="M61" s="27"/>
    </row>
    <row r="62" s="21" collapsed="false" customFormat="true" customHeight="true" hidden="false" ht="25.5" outlineLevel="0">
      <c r="A62" s="25"/>
      <c r="B62" s="26"/>
      <c r="C62" s="26"/>
      <c r="D62" s="26"/>
      <c r="E62" s="27"/>
      <c r="F62" s="27"/>
      <c r="G62" s="27"/>
      <c r="H62" s="27"/>
      <c r="I62" s="27"/>
      <c r="J62" s="27"/>
      <c r="K62" s="27"/>
      <c r="L62" s="27"/>
      <c r="M62" s="27"/>
    </row>
    <row r="63" s="21" collapsed="false" customFormat="true" customHeight="true" hidden="false" ht="25.5" outlineLevel="0">
      <c r="A63" s="25"/>
      <c r="B63" s="26"/>
      <c r="C63" s="26"/>
      <c r="D63" s="26"/>
      <c r="E63" s="27"/>
      <c r="F63" s="27"/>
      <c r="G63" s="27"/>
      <c r="H63" s="27"/>
      <c r="I63" s="27"/>
      <c r="J63" s="27"/>
      <c r="K63" s="27"/>
      <c r="L63" s="27"/>
      <c r="M63" s="27"/>
    </row>
    <row r="64" s="21" collapsed="false" customFormat="true" customHeight="true" hidden="false" ht="25.5" outlineLevel="0">
      <c r="A64" s="25"/>
      <c r="B64" s="26"/>
      <c r="C64" s="26"/>
      <c r="D64" s="26"/>
      <c r="E64" s="27"/>
      <c r="F64" s="27"/>
      <c r="G64" s="27"/>
      <c r="H64" s="27"/>
      <c r="I64" s="27"/>
      <c r="J64" s="27"/>
      <c r="K64" s="27"/>
      <c r="L64" s="27"/>
      <c r="M64" s="27"/>
    </row>
    <row r="65" s="21" collapsed="false" customFormat="true" customHeight="true" hidden="false" ht="25.5" outlineLevel="0">
      <c r="A65" s="25"/>
      <c r="B65" s="26"/>
      <c r="C65" s="26"/>
      <c r="D65" s="26"/>
      <c r="E65" s="27"/>
      <c r="F65" s="27"/>
      <c r="G65" s="27"/>
      <c r="H65" s="27"/>
      <c r="I65" s="27"/>
      <c r="J65" s="27"/>
      <c r="K65" s="27"/>
      <c r="L65" s="27"/>
      <c r="M65" s="27"/>
    </row>
    <row r="66" s="21" collapsed="false" customFormat="true" customHeight="true" hidden="false" ht="25.5" outlineLevel="0">
      <c r="A66" s="25"/>
      <c r="B66" s="26"/>
      <c r="C66" s="26"/>
      <c r="D66" s="26"/>
      <c r="E66" s="27"/>
      <c r="F66" s="27"/>
      <c r="G66" s="27"/>
      <c r="H66" s="27"/>
      <c r="I66" s="27"/>
      <c r="J66" s="27"/>
      <c r="K66" s="27"/>
      <c r="L66" s="27"/>
      <c r="M66" s="27"/>
    </row>
    <row r="67" s="21" collapsed="false" customFormat="true" customHeight="true" hidden="false" ht="25.5" outlineLevel="0">
      <c r="A67" s="25"/>
      <c r="B67" s="26"/>
      <c r="C67" s="26"/>
      <c r="D67" s="26"/>
      <c r="E67" s="27"/>
      <c r="F67" s="27"/>
      <c r="G67" s="27"/>
      <c r="H67" s="27"/>
      <c r="I67" s="27"/>
      <c r="J67" s="27"/>
      <c r="K67" s="27"/>
      <c r="L67" s="27"/>
      <c r="M67" s="27"/>
    </row>
    <row r="68" s="21" collapsed="false" customFormat="true" customHeight="true" hidden="false" ht="25.5" outlineLevel="0">
      <c r="A68" s="25"/>
      <c r="B68" s="26"/>
      <c r="C68" s="26"/>
      <c r="D68" s="26"/>
      <c r="E68" s="27"/>
      <c r="F68" s="27"/>
      <c r="G68" s="27"/>
      <c r="H68" s="27"/>
      <c r="I68" s="27"/>
      <c r="J68" s="27"/>
      <c r="K68" s="27"/>
      <c r="L68" s="27"/>
      <c r="M68" s="27"/>
    </row>
    <row r="69" s="21" collapsed="false" customFormat="true" customHeight="true" hidden="false" ht="25.5" outlineLevel="0">
      <c r="A69" s="25"/>
      <c r="B69" s="26"/>
      <c r="C69" s="26"/>
      <c r="D69" s="26"/>
      <c r="E69" s="27"/>
      <c r="F69" s="27"/>
      <c r="G69" s="27"/>
      <c r="H69" s="27"/>
      <c r="I69" s="27"/>
      <c r="J69" s="27"/>
      <c r="K69" s="27"/>
      <c r="L69" s="27"/>
      <c r="M69" s="27"/>
    </row>
    <row r="70" s="21" collapsed="false" customFormat="true" customHeight="true" hidden="false" ht="25.5" outlineLevel="0">
      <c r="A70" s="25"/>
      <c r="B70" s="26"/>
      <c r="C70" s="26"/>
      <c r="D70" s="26"/>
      <c r="E70" s="27"/>
      <c r="F70" s="27"/>
      <c r="G70" s="27"/>
      <c r="H70" s="27"/>
      <c r="I70" s="27"/>
      <c r="J70" s="27"/>
      <c r="K70" s="27"/>
      <c r="L70" s="27"/>
      <c r="M70" s="27"/>
    </row>
    <row r="71" s="21" collapsed="false" customFormat="true" customHeight="true" hidden="false" ht="25.5" outlineLevel="0">
      <c r="A71" s="25"/>
      <c r="B71" s="26"/>
      <c r="C71" s="26"/>
      <c r="D71" s="26"/>
      <c r="E71" s="27"/>
      <c r="F71" s="27"/>
      <c r="G71" s="27"/>
      <c r="H71" s="27"/>
      <c r="I71" s="27"/>
      <c r="J71" s="27"/>
      <c r="K71" s="27"/>
      <c r="L71" s="27"/>
      <c r="M71" s="27"/>
    </row>
    <row r="72" s="21" collapsed="false" customFormat="true" customHeight="true" hidden="false" ht="25.5" outlineLevel="0">
      <c r="A72" s="25"/>
      <c r="B72" s="26"/>
      <c r="C72" s="26"/>
      <c r="D72" s="26"/>
      <c r="E72" s="27"/>
      <c r="F72" s="27"/>
      <c r="G72" s="27"/>
      <c r="H72" s="27"/>
      <c r="I72" s="27"/>
      <c r="J72" s="27"/>
      <c r="K72" s="27"/>
      <c r="L72" s="27"/>
      <c r="M72" s="27"/>
    </row>
    <row r="73" s="21" collapsed="false" customFormat="true" customHeight="true" hidden="false" ht="25.5" outlineLevel="0">
      <c r="A73" s="25"/>
      <c r="B73" s="26"/>
      <c r="C73" s="26"/>
      <c r="D73" s="26"/>
      <c r="E73" s="27"/>
      <c r="F73" s="27"/>
      <c r="G73" s="27"/>
      <c r="H73" s="27"/>
      <c r="I73" s="27"/>
      <c r="J73" s="27"/>
      <c r="K73" s="27"/>
      <c r="L73" s="27"/>
      <c r="M73" s="27"/>
    </row>
    <row r="74" s="21" collapsed="false" customFormat="true" customHeight="true" hidden="false" ht="25.5" outlineLevel="0">
      <c r="A74" s="25"/>
      <c r="B74" s="26"/>
      <c r="C74" s="26"/>
      <c r="D74" s="26"/>
      <c r="E74" s="27"/>
      <c r="F74" s="27"/>
      <c r="G74" s="27"/>
      <c r="H74" s="27"/>
      <c r="I74" s="27"/>
      <c r="J74" s="27"/>
      <c r="K74" s="27"/>
      <c r="L74" s="27"/>
      <c r="M74" s="27"/>
    </row>
    <row r="75" s="21" collapsed="false" customFormat="true" customHeight="true" hidden="false" ht="25.5" outlineLevel="0">
      <c r="A75" s="25"/>
      <c r="B75" s="26"/>
      <c r="C75" s="26"/>
      <c r="D75" s="26"/>
      <c r="E75" s="27"/>
      <c r="F75" s="27"/>
      <c r="G75" s="27"/>
      <c r="H75" s="27"/>
      <c r="I75" s="27"/>
      <c r="J75" s="27"/>
      <c r="K75" s="27"/>
      <c r="L75" s="27"/>
      <c r="M75" s="27"/>
    </row>
    <row r="76" s="21" collapsed="false" customFormat="true" customHeight="true" hidden="false" ht="25.5" outlineLevel="0">
      <c r="A76" s="25"/>
      <c r="B76" s="26"/>
      <c r="C76" s="26"/>
      <c r="D76" s="26"/>
      <c r="E76" s="27"/>
      <c r="F76" s="27"/>
      <c r="G76" s="27"/>
      <c r="H76" s="27"/>
      <c r="I76" s="27"/>
      <c r="J76" s="27"/>
      <c r="K76" s="27"/>
      <c r="L76" s="27"/>
      <c r="M76" s="27"/>
    </row>
    <row r="77" s="21" collapsed="false" customFormat="true" customHeight="true" hidden="false" ht="25.5" outlineLevel="0">
      <c r="A77" s="25"/>
      <c r="B77" s="26"/>
      <c r="C77" s="26"/>
      <c r="D77" s="26"/>
      <c r="E77" s="27"/>
      <c r="F77" s="27"/>
      <c r="G77" s="27"/>
      <c r="H77" s="27"/>
      <c r="I77" s="27"/>
      <c r="J77" s="27"/>
      <c r="K77" s="27"/>
      <c r="L77" s="27"/>
      <c r="M77" s="27"/>
    </row>
    <row r="78" s="21" collapsed="false" customFormat="true" customHeight="true" hidden="false" ht="25.5" outlineLevel="0">
      <c r="A78" s="25"/>
      <c r="B78" s="26"/>
      <c r="C78" s="26"/>
      <c r="D78" s="26"/>
      <c r="E78" s="27"/>
      <c r="F78" s="27"/>
      <c r="G78" s="27"/>
      <c r="H78" s="27"/>
      <c r="I78" s="27"/>
      <c r="J78" s="27"/>
      <c r="K78" s="27"/>
      <c r="L78" s="27"/>
      <c r="M78" s="27"/>
    </row>
    <row r="79" s="21" collapsed="false" customFormat="true" customHeight="true" hidden="false" ht="25.5" outlineLevel="0">
      <c r="A79" s="25"/>
      <c r="B79" s="26"/>
      <c r="C79" s="26"/>
      <c r="D79" s="26"/>
      <c r="E79" s="27"/>
      <c r="F79" s="27"/>
      <c r="G79" s="27"/>
      <c r="H79" s="27"/>
      <c r="I79" s="27"/>
      <c r="J79" s="27"/>
      <c r="K79" s="27"/>
      <c r="L79" s="27"/>
      <c r="M79" s="27"/>
    </row>
    <row r="80" s="21" collapsed="false" customFormat="true" customHeight="true" hidden="false" ht="25.5" outlineLevel="0">
      <c r="A80" s="25"/>
      <c r="B80" s="26"/>
      <c r="C80" s="26"/>
      <c r="D80" s="26"/>
      <c r="E80" s="27"/>
      <c r="F80" s="27"/>
      <c r="G80" s="27"/>
      <c r="H80" s="27"/>
      <c r="I80" s="27"/>
      <c r="J80" s="27"/>
      <c r="K80" s="27"/>
      <c r="L80" s="27"/>
      <c r="M80" s="27"/>
    </row>
    <row r="81" s="21" collapsed="false" customFormat="true" customHeight="true" hidden="false" ht="25.5" outlineLevel="0">
      <c r="A81" s="25"/>
      <c r="B81" s="26"/>
      <c r="C81" s="26"/>
      <c r="D81" s="26"/>
      <c r="E81" s="27"/>
      <c r="F81" s="27"/>
      <c r="G81" s="27"/>
      <c r="H81" s="27"/>
      <c r="I81" s="27"/>
      <c r="J81" s="27"/>
      <c r="K81" s="27"/>
      <c r="L81" s="27"/>
      <c r="M81" s="27"/>
    </row>
    <row r="82" s="21" collapsed="false" customFormat="true" customHeight="true" hidden="false" ht="25.5" outlineLevel="0">
      <c r="A82" s="25"/>
      <c r="B82" s="26"/>
      <c r="C82" s="26"/>
      <c r="D82" s="26"/>
      <c r="E82" s="27"/>
      <c r="F82" s="27"/>
      <c r="G82" s="27"/>
      <c r="H82" s="27"/>
      <c r="I82" s="27"/>
      <c r="J82" s="27"/>
      <c r="K82" s="27"/>
      <c r="L82" s="27"/>
      <c r="M82" s="27"/>
    </row>
    <row r="83" s="21" collapsed="false" customFormat="true" customHeight="true" hidden="false" ht="25.5" outlineLevel="0">
      <c r="A83" s="25"/>
      <c r="B83" s="26"/>
      <c r="C83" s="26"/>
      <c r="D83" s="26"/>
      <c r="E83" s="27"/>
      <c r="F83" s="27"/>
      <c r="G83" s="27"/>
      <c r="H83" s="27"/>
      <c r="I83" s="27"/>
      <c r="J83" s="27"/>
      <c r="K83" s="27"/>
      <c r="L83" s="27"/>
      <c r="M83" s="27"/>
    </row>
    <row r="84" s="21" collapsed="false" customFormat="true" customHeight="true" hidden="false" ht="25.5" outlineLevel="0">
      <c r="A84" s="25"/>
      <c r="B84" s="26"/>
      <c r="C84" s="26"/>
      <c r="D84" s="26"/>
      <c r="E84" s="27"/>
      <c r="F84" s="27"/>
      <c r="G84" s="27"/>
      <c r="H84" s="27"/>
      <c r="I84" s="27"/>
      <c r="J84" s="27"/>
      <c r="K84" s="27"/>
      <c r="L84" s="27"/>
      <c r="M84" s="27"/>
    </row>
    <row r="85" s="21" collapsed="false" customFormat="true" customHeight="true" hidden="false" ht="25.5" outlineLevel="0">
      <c r="A85" s="25"/>
      <c r="B85" s="26"/>
      <c r="C85" s="26"/>
      <c r="D85" s="26"/>
      <c r="E85" s="27"/>
      <c r="F85" s="27"/>
      <c r="G85" s="27"/>
      <c r="H85" s="27"/>
      <c r="I85" s="27"/>
      <c r="J85" s="27"/>
      <c r="K85" s="27"/>
      <c r="L85" s="27"/>
      <c r="M85" s="27"/>
    </row>
    <row r="86" s="21" collapsed="false" customFormat="true" customHeight="true" hidden="false" ht="25.5" outlineLevel="0">
      <c r="A86" s="25"/>
      <c r="B86" s="26"/>
      <c r="C86" s="26"/>
      <c r="D86" s="26"/>
      <c r="E86" s="27"/>
      <c r="F86" s="27"/>
      <c r="G86" s="27"/>
      <c r="H86" s="27"/>
      <c r="I86" s="27"/>
      <c r="J86" s="27"/>
      <c r="K86" s="27"/>
      <c r="L86" s="27"/>
      <c r="M86" s="27"/>
    </row>
    <row r="87" s="21" collapsed="false" customFormat="true" customHeight="true" hidden="false" ht="25.5" outlineLevel="0">
      <c r="A87" s="25"/>
      <c r="B87" s="26"/>
      <c r="C87" s="26"/>
      <c r="D87" s="26"/>
      <c r="E87" s="27"/>
      <c r="F87" s="27"/>
      <c r="G87" s="27"/>
      <c r="H87" s="27"/>
      <c r="I87" s="27"/>
      <c r="J87" s="27"/>
      <c r="K87" s="27"/>
      <c r="L87" s="27"/>
      <c r="M87" s="27"/>
    </row>
    <row r="88" s="21" collapsed="false" customFormat="true" customHeight="true" hidden="false" ht="25.5" outlineLevel="0">
      <c r="A88" s="25"/>
      <c r="B88" s="26"/>
      <c r="C88" s="26"/>
      <c r="D88" s="26"/>
      <c r="E88" s="27"/>
      <c r="F88" s="27"/>
      <c r="G88" s="27"/>
      <c r="H88" s="27"/>
      <c r="I88" s="27"/>
      <c r="J88" s="27"/>
      <c r="K88" s="27"/>
      <c r="L88" s="27"/>
      <c r="M88" s="27"/>
    </row>
    <row r="89" s="21" collapsed="false" customFormat="true" customHeight="true" hidden="false" ht="25.5" outlineLevel="0">
      <c r="A89" s="25"/>
      <c r="B89" s="26"/>
      <c r="C89" s="26"/>
      <c r="D89" s="26"/>
      <c r="E89" s="27"/>
      <c r="F89" s="27"/>
      <c r="G89" s="27"/>
      <c r="H89" s="27"/>
      <c r="I89" s="27"/>
      <c r="J89" s="27"/>
      <c r="K89" s="27"/>
      <c r="L89" s="27"/>
      <c r="M89" s="27"/>
    </row>
    <row r="90" s="21" collapsed="false" customFormat="true" customHeight="true" hidden="false" ht="25.5" outlineLevel="0">
      <c r="A90" s="25"/>
      <c r="B90" s="26"/>
      <c r="C90" s="26"/>
      <c r="D90" s="26"/>
      <c r="E90" s="27"/>
      <c r="F90" s="27"/>
      <c r="G90" s="27"/>
      <c r="H90" s="27"/>
      <c r="I90" s="27"/>
      <c r="J90" s="27"/>
      <c r="K90" s="27"/>
      <c r="L90" s="27"/>
      <c r="M90" s="27"/>
    </row>
    <row r="91" s="21" collapsed="false" customFormat="true" customHeight="true" hidden="false" ht="25.5" outlineLevel="0">
      <c r="A91" s="25"/>
      <c r="B91" s="26"/>
      <c r="C91" s="26"/>
      <c r="D91" s="26"/>
      <c r="E91" s="27"/>
      <c r="F91" s="27"/>
      <c r="G91" s="27"/>
      <c r="H91" s="27"/>
      <c r="I91" s="27"/>
      <c r="J91" s="27"/>
      <c r="K91" s="27"/>
      <c r="L91" s="27"/>
      <c r="M91" s="27"/>
    </row>
    <row r="92" s="21" collapsed="false" customFormat="true" customHeight="true" hidden="false" ht="25.5" outlineLevel="0">
      <c r="A92" s="25"/>
      <c r="B92" s="26"/>
      <c r="C92" s="26"/>
      <c r="D92" s="26"/>
      <c r="E92" s="27"/>
      <c r="F92" s="27"/>
      <c r="G92" s="27"/>
      <c r="H92" s="27"/>
      <c r="I92" s="27"/>
      <c r="J92" s="27"/>
      <c r="K92" s="27"/>
      <c r="L92" s="27"/>
      <c r="M92" s="27"/>
    </row>
    <row r="93" s="21" collapsed="false" customFormat="true" customHeight="true" hidden="false" ht="25.5" outlineLevel="0">
      <c r="A93" s="25"/>
      <c r="B93" s="26"/>
      <c r="C93" s="26"/>
      <c r="D93" s="26"/>
      <c r="E93" s="27"/>
      <c r="F93" s="27"/>
      <c r="G93" s="27"/>
      <c r="H93" s="27"/>
      <c r="I93" s="27"/>
      <c r="J93" s="27"/>
      <c r="K93" s="27"/>
      <c r="L93" s="27"/>
      <c r="M93" s="27"/>
    </row>
    <row r="94" s="21" collapsed="false" customFormat="true" customHeight="true" hidden="false" ht="25.5" outlineLevel="0">
      <c r="A94" s="25"/>
      <c r="B94" s="26"/>
      <c r="C94" s="26"/>
      <c r="D94" s="26"/>
      <c r="E94" s="27"/>
      <c r="F94" s="27"/>
      <c r="G94" s="27"/>
      <c r="H94" s="27"/>
      <c r="I94" s="27"/>
      <c r="J94" s="27"/>
      <c r="K94" s="27"/>
      <c r="L94" s="27"/>
      <c r="M94" s="27"/>
    </row>
    <row r="95" s="21" collapsed="false" customFormat="true" customHeight="true" hidden="false" ht="25.5" outlineLevel="0">
      <c r="A95" s="25"/>
      <c r="B95" s="26"/>
      <c r="C95" s="26"/>
      <c r="D95" s="26"/>
      <c r="E95" s="27"/>
      <c r="F95" s="27"/>
      <c r="G95" s="27"/>
      <c r="H95" s="27"/>
      <c r="I95" s="27"/>
      <c r="J95" s="27"/>
      <c r="K95" s="27"/>
      <c r="L95" s="27"/>
      <c r="M95" s="27"/>
    </row>
    <row r="96" s="21" collapsed="false" customFormat="true" customHeight="true" hidden="false" ht="25.5" outlineLevel="0">
      <c r="A96" s="25"/>
      <c r="B96" s="26"/>
      <c r="C96" s="26"/>
      <c r="D96" s="26"/>
      <c r="E96" s="27"/>
      <c r="F96" s="27"/>
      <c r="G96" s="27"/>
      <c r="H96" s="27"/>
      <c r="I96" s="27"/>
      <c r="J96" s="27"/>
      <c r="K96" s="27"/>
      <c r="L96" s="27"/>
      <c r="M96" s="27"/>
    </row>
    <row r="97" s="21" collapsed="false" customFormat="true" customHeight="true" hidden="false" ht="25.5" outlineLevel="0">
      <c r="A97" s="25"/>
      <c r="B97" s="26"/>
      <c r="C97" s="26"/>
      <c r="D97" s="26"/>
      <c r="E97" s="27"/>
      <c r="F97" s="27"/>
      <c r="G97" s="27"/>
      <c r="H97" s="27"/>
      <c r="I97" s="27"/>
      <c r="J97" s="27"/>
      <c r="K97" s="27"/>
      <c r="L97" s="27"/>
      <c r="M97" s="27"/>
    </row>
    <row r="98" s="21" collapsed="false" customFormat="true" customHeight="true" hidden="false" ht="25.5" outlineLevel="0">
      <c r="A98" s="25"/>
      <c r="B98" s="26"/>
      <c r="C98" s="26"/>
      <c r="D98" s="26"/>
      <c r="E98" s="27"/>
      <c r="F98" s="27"/>
      <c r="G98" s="27"/>
      <c r="H98" s="27"/>
      <c r="I98" s="27"/>
      <c r="J98" s="27"/>
      <c r="K98" s="27"/>
      <c r="L98" s="27"/>
      <c r="M98" s="27"/>
    </row>
    <row r="99" s="21" collapsed="false" customFormat="true" customHeight="true" hidden="false" ht="25.5" outlineLevel="0">
      <c r="A99" s="25"/>
      <c r="B99" s="26"/>
      <c r="C99" s="26"/>
      <c r="D99" s="26"/>
      <c r="E99" s="27"/>
      <c r="F99" s="27"/>
      <c r="G99" s="27"/>
      <c r="H99" s="27"/>
      <c r="I99" s="27"/>
      <c r="J99" s="27"/>
      <c r="K99" s="27"/>
      <c r="L99" s="27"/>
      <c r="M99" s="27"/>
    </row>
    <row r="100" s="21" collapsed="false" customFormat="true" customHeight="true" hidden="false" ht="25.5" outlineLevel="0">
      <c r="A100" s="25"/>
      <c r="B100" s="26"/>
      <c r="C100" s="26"/>
      <c r="D100" s="26"/>
      <c r="E100" s="27"/>
      <c r="F100" s="27"/>
      <c r="G100" s="27"/>
      <c r="H100" s="27"/>
      <c r="I100" s="27"/>
      <c r="J100" s="27"/>
      <c r="K100" s="27"/>
      <c r="L100" s="27"/>
      <c r="M100" s="27"/>
    </row>
    <row r="101" s="21" collapsed="false" customFormat="true" customHeight="true" hidden="false" ht="25.5" outlineLevel="0">
      <c r="A101" s="25"/>
      <c r="B101" s="26"/>
      <c r="C101" s="26"/>
      <c r="D101" s="26"/>
      <c r="E101" s="27"/>
      <c r="F101" s="27"/>
      <c r="G101" s="27"/>
      <c r="H101" s="27"/>
      <c r="I101" s="27"/>
      <c r="J101" s="27"/>
      <c r="K101" s="27"/>
      <c r="L101" s="27"/>
      <c r="M101" s="27"/>
    </row>
    <row r="102" s="21" collapsed="false" customFormat="true" customHeight="true" hidden="false" ht="25.5" outlineLevel="0">
      <c r="A102" s="25"/>
      <c r="B102" s="26"/>
      <c r="C102" s="26"/>
      <c r="D102" s="26"/>
      <c r="E102" s="27"/>
      <c r="F102" s="27"/>
      <c r="G102" s="27"/>
      <c r="H102" s="27"/>
      <c r="I102" s="27"/>
      <c r="J102" s="27"/>
      <c r="K102" s="27"/>
      <c r="L102" s="27"/>
      <c r="M102" s="27"/>
    </row>
    <row r="103" s="21" collapsed="false" customFormat="true" customHeight="true" hidden="false" ht="25.5" outlineLevel="0">
      <c r="A103" s="25"/>
      <c r="B103" s="26"/>
      <c r="C103" s="26"/>
      <c r="D103" s="26"/>
      <c r="E103" s="27"/>
      <c r="F103" s="27"/>
      <c r="G103" s="27"/>
      <c r="H103" s="27"/>
      <c r="I103" s="27"/>
      <c r="J103" s="27"/>
      <c r="K103" s="27"/>
      <c r="L103" s="27"/>
      <c r="M103" s="27"/>
    </row>
    <row r="104" s="21" collapsed="false" customFormat="true" customHeight="true" hidden="false" ht="25.5" outlineLevel="0">
      <c r="A104" s="25"/>
      <c r="B104" s="26"/>
      <c r="C104" s="26"/>
      <c r="D104" s="26"/>
      <c r="E104" s="27"/>
      <c r="F104" s="27"/>
      <c r="G104" s="27"/>
      <c r="H104" s="27"/>
      <c r="I104" s="27"/>
      <c r="J104" s="27"/>
      <c r="K104" s="27"/>
      <c r="L104" s="27"/>
      <c r="M104" s="27"/>
    </row>
    <row r="105" s="21" collapsed="false" customFormat="true" customHeight="true" hidden="false" ht="25.5" outlineLevel="0">
      <c r="A105" s="25"/>
      <c r="B105" s="26"/>
      <c r="C105" s="26"/>
      <c r="D105" s="26"/>
      <c r="E105" s="27"/>
      <c r="F105" s="27"/>
      <c r="G105" s="27"/>
      <c r="H105" s="27"/>
      <c r="I105" s="27"/>
      <c r="J105" s="27"/>
      <c r="K105" s="27"/>
      <c r="L105" s="27"/>
      <c r="M105" s="27"/>
    </row>
    <row r="106" s="21" collapsed="false" customFormat="true" customHeight="true" hidden="false" ht="25.5" outlineLevel="0">
      <c r="A106" s="25"/>
      <c r="B106" s="26"/>
      <c r="C106" s="26"/>
      <c r="D106" s="26"/>
      <c r="E106" s="27"/>
      <c r="F106" s="27"/>
      <c r="G106" s="27"/>
      <c r="H106" s="27"/>
      <c r="I106" s="27"/>
      <c r="J106" s="27"/>
      <c r="K106" s="27"/>
      <c r="L106" s="27"/>
      <c r="M106" s="27"/>
    </row>
    <row r="107" s="21" collapsed="false" customFormat="true" customHeight="true" hidden="false" ht="25.5" outlineLevel="0">
      <c r="A107" s="25"/>
      <c r="B107" s="26"/>
      <c r="C107" s="26"/>
      <c r="D107" s="26"/>
      <c r="E107" s="27"/>
      <c r="F107" s="27"/>
      <c r="G107" s="27"/>
      <c r="H107" s="27"/>
      <c r="I107" s="27"/>
      <c r="J107" s="27"/>
      <c r="K107" s="27"/>
      <c r="L107" s="27"/>
      <c r="M107" s="27"/>
    </row>
    <row r="108" s="21" collapsed="false" customFormat="true" customHeight="true" hidden="false" ht="25.5" outlineLevel="0">
      <c r="A108" s="25"/>
      <c r="B108" s="26"/>
      <c r="C108" s="26"/>
      <c r="D108" s="26"/>
      <c r="E108" s="27"/>
      <c r="F108" s="27"/>
      <c r="G108" s="27"/>
      <c r="H108" s="27"/>
      <c r="I108" s="27"/>
      <c r="J108" s="27"/>
      <c r="K108" s="27"/>
      <c r="L108" s="27"/>
      <c r="M108" s="27"/>
    </row>
    <row r="109" s="21" collapsed="false" customFormat="true" customHeight="true" hidden="false" ht="25.5" outlineLevel="0">
      <c r="A109" s="25"/>
      <c r="B109" s="26"/>
      <c r="C109" s="26"/>
      <c r="D109" s="26"/>
      <c r="E109" s="27"/>
      <c r="F109" s="27"/>
      <c r="G109" s="27"/>
      <c r="H109" s="27"/>
      <c r="I109" s="27"/>
      <c r="J109" s="27"/>
      <c r="K109" s="27"/>
      <c r="L109" s="27"/>
      <c r="M109" s="27"/>
    </row>
    <row r="110" s="21" collapsed="false" customFormat="true" customHeight="true" hidden="false" ht="25.5" outlineLevel="0">
      <c r="A110" s="25"/>
      <c r="B110" s="26"/>
      <c r="C110" s="26"/>
      <c r="D110" s="26"/>
      <c r="E110" s="27"/>
      <c r="F110" s="27"/>
      <c r="G110" s="27"/>
      <c r="H110" s="27"/>
      <c r="I110" s="27"/>
      <c r="J110" s="27"/>
      <c r="K110" s="27"/>
      <c r="L110" s="27"/>
      <c r="M110" s="27"/>
    </row>
    <row r="111" s="21" collapsed="false" customFormat="true" customHeight="true" hidden="false" ht="25.5" outlineLevel="0">
      <c r="A111" s="25"/>
      <c r="B111" s="26"/>
      <c r="C111" s="26"/>
      <c r="D111" s="26"/>
      <c r="E111" s="27"/>
      <c r="F111" s="27"/>
      <c r="G111" s="27"/>
      <c r="H111" s="27"/>
      <c r="I111" s="27"/>
      <c r="J111" s="27"/>
      <c r="K111" s="27"/>
      <c r="L111" s="27"/>
      <c r="M111" s="27"/>
    </row>
    <row r="112" s="21" collapsed="false" customFormat="true" customHeight="true" hidden="false" ht="25.5" outlineLevel="0">
      <c r="A112" s="25"/>
      <c r="B112" s="26"/>
      <c r="C112" s="26"/>
      <c r="D112" s="26"/>
      <c r="E112" s="27"/>
      <c r="F112" s="27"/>
      <c r="G112" s="27"/>
      <c r="H112" s="27"/>
      <c r="I112" s="27"/>
      <c r="J112" s="27"/>
      <c r="K112" s="27"/>
      <c r="L112" s="27"/>
      <c r="M112" s="27"/>
    </row>
    <row r="113" s="21" collapsed="false" customFormat="true" customHeight="true" hidden="false" ht="25.5" outlineLevel="0">
      <c r="A113" s="25"/>
      <c r="B113" s="26"/>
      <c r="C113" s="26"/>
      <c r="D113" s="26"/>
      <c r="E113" s="27"/>
      <c r="F113" s="27"/>
      <c r="G113" s="27"/>
      <c r="H113" s="27"/>
      <c r="I113" s="27"/>
      <c r="J113" s="27"/>
      <c r="K113" s="27"/>
      <c r="L113" s="27"/>
      <c r="M113" s="27"/>
    </row>
    <row r="114" s="21" collapsed="false" customFormat="true" customHeight="true" hidden="false" ht="25.5" outlineLevel="0">
      <c r="A114" s="25"/>
      <c r="B114" s="26"/>
      <c r="C114" s="26"/>
      <c r="D114" s="26"/>
      <c r="E114" s="27"/>
      <c r="F114" s="27"/>
      <c r="G114" s="27"/>
      <c r="H114" s="27"/>
      <c r="I114" s="27"/>
      <c r="J114" s="27"/>
      <c r="K114" s="27"/>
      <c r="L114" s="27"/>
      <c r="M114" s="27"/>
    </row>
    <row r="115" s="21" collapsed="false" customFormat="true" customHeight="true" hidden="false" ht="25.5" outlineLevel="0">
      <c r="A115" s="25"/>
      <c r="B115" s="26"/>
      <c r="C115" s="26"/>
      <c r="D115" s="26"/>
      <c r="E115" s="27"/>
      <c r="F115" s="27"/>
      <c r="G115" s="27"/>
      <c r="H115" s="27"/>
      <c r="I115" s="27"/>
      <c r="J115" s="27"/>
      <c r="K115" s="27"/>
      <c r="L115" s="27"/>
      <c r="M115" s="27"/>
    </row>
    <row r="116" s="21" collapsed="false" customFormat="true" customHeight="true" hidden="false" ht="25.5" outlineLevel="0">
      <c r="A116" s="25"/>
      <c r="B116" s="26"/>
      <c r="C116" s="26"/>
      <c r="D116" s="26"/>
      <c r="E116" s="27"/>
      <c r="F116" s="27"/>
      <c r="G116" s="27"/>
      <c r="H116" s="27"/>
      <c r="I116" s="27"/>
      <c r="J116" s="27"/>
      <c r="K116" s="27"/>
      <c r="L116" s="27"/>
      <c r="M116" s="27"/>
    </row>
    <row r="117" s="21" collapsed="false" customFormat="true" customHeight="true" hidden="false" ht="25.5" outlineLevel="0">
      <c r="A117" s="25"/>
      <c r="B117" s="26"/>
      <c r="C117" s="26"/>
      <c r="D117" s="26"/>
      <c r="E117" s="27"/>
      <c r="F117" s="27"/>
      <c r="G117" s="27"/>
      <c r="H117" s="27"/>
      <c r="I117" s="27"/>
      <c r="J117" s="27"/>
      <c r="K117" s="27"/>
      <c r="L117" s="27"/>
      <c r="M117" s="27"/>
    </row>
    <row r="118" s="21" collapsed="false" customFormat="true" customHeight="true" hidden="false" ht="25.5" outlineLevel="0">
      <c r="A118" s="25"/>
      <c r="B118" s="26"/>
      <c r="C118" s="26"/>
      <c r="D118" s="26"/>
      <c r="E118" s="27"/>
      <c r="F118" s="27"/>
      <c r="G118" s="27"/>
      <c r="H118" s="27"/>
      <c r="I118" s="27"/>
      <c r="J118" s="27"/>
      <c r="K118" s="27"/>
      <c r="L118" s="27"/>
      <c r="M118" s="27"/>
    </row>
    <row r="119" s="21" collapsed="false" customFormat="true" customHeight="true" hidden="false" ht="25.5" outlineLevel="0">
      <c r="A119" s="25"/>
      <c r="B119" s="26"/>
      <c r="C119" s="26"/>
      <c r="D119" s="26"/>
      <c r="E119" s="27"/>
      <c r="F119" s="27"/>
      <c r="G119" s="27"/>
      <c r="H119" s="27"/>
      <c r="I119" s="27"/>
      <c r="J119" s="27"/>
      <c r="K119" s="27"/>
      <c r="L119" s="27"/>
      <c r="M119" s="27"/>
    </row>
    <row r="120" s="21" collapsed="false" customFormat="true" customHeight="true" hidden="false" ht="25.5" outlineLevel="0">
      <c r="A120" s="25"/>
      <c r="B120" s="26"/>
      <c r="C120" s="26"/>
      <c r="D120" s="26"/>
      <c r="E120" s="27"/>
      <c r="F120" s="27"/>
      <c r="G120" s="27"/>
      <c r="H120" s="27"/>
      <c r="I120" s="27"/>
      <c r="J120" s="27"/>
      <c r="K120" s="27"/>
      <c r="L120" s="27"/>
      <c r="M120" s="27"/>
    </row>
    <row r="121" s="21" collapsed="false" customFormat="true" customHeight="true" hidden="false" ht="25.5" outlineLevel="0">
      <c r="A121" s="25"/>
      <c r="B121" s="26"/>
      <c r="C121" s="26"/>
      <c r="D121" s="26"/>
      <c r="E121" s="27"/>
      <c r="F121" s="27"/>
      <c r="G121" s="27"/>
      <c r="H121" s="27"/>
      <c r="I121" s="27"/>
      <c r="J121" s="27"/>
      <c r="K121" s="27"/>
      <c r="L121" s="27"/>
      <c r="M121" s="27"/>
    </row>
    <row r="122" s="21" collapsed="false" customFormat="true" customHeight="true" hidden="false" ht="25.5" outlineLevel="0">
      <c r="A122" s="25"/>
      <c r="B122" s="26"/>
      <c r="C122" s="26"/>
      <c r="D122" s="26"/>
      <c r="E122" s="27"/>
      <c r="F122" s="27"/>
      <c r="G122" s="27"/>
      <c r="H122" s="27"/>
      <c r="I122" s="27"/>
      <c r="J122" s="27"/>
      <c r="K122" s="27"/>
      <c r="L122" s="27"/>
      <c r="M122" s="27"/>
    </row>
    <row r="123" s="21" collapsed="false" customFormat="true" customHeight="true" hidden="false" ht="25.5" outlineLevel="0">
      <c r="A123" s="25"/>
      <c r="B123" s="26"/>
      <c r="C123" s="26"/>
      <c r="D123" s="26"/>
      <c r="E123" s="27"/>
      <c r="F123" s="27"/>
      <c r="G123" s="27"/>
      <c r="H123" s="27"/>
      <c r="I123" s="27"/>
      <c r="J123" s="27"/>
      <c r="K123" s="27"/>
      <c r="L123" s="27"/>
      <c r="M123" s="27"/>
    </row>
    <row r="124" s="21" collapsed="false" customFormat="true" customHeight="true" hidden="false" ht="25.5" outlineLevel="0">
      <c r="A124" s="25"/>
      <c r="B124" s="26"/>
      <c r="C124" s="26"/>
      <c r="D124" s="26"/>
      <c r="E124" s="27"/>
      <c r="F124" s="27"/>
      <c r="G124" s="27"/>
      <c r="H124" s="27"/>
      <c r="I124" s="27"/>
      <c r="J124" s="27"/>
      <c r="K124" s="27"/>
      <c r="L124" s="27"/>
      <c r="M124" s="27"/>
    </row>
    <row r="125" s="21" collapsed="false" customFormat="true" customHeight="true" hidden="false" ht="25.5" outlineLevel="0">
      <c r="A125" s="25"/>
      <c r="B125" s="26"/>
      <c r="C125" s="26"/>
      <c r="D125" s="26"/>
      <c r="E125" s="27"/>
      <c r="F125" s="27"/>
      <c r="G125" s="27"/>
      <c r="H125" s="27"/>
      <c r="I125" s="27"/>
      <c r="J125" s="27"/>
      <c r="K125" s="27"/>
      <c r="L125" s="27"/>
      <c r="M125" s="27"/>
    </row>
    <row r="126" s="21" collapsed="false" customFormat="true" customHeight="true" hidden="false" ht="25.5" outlineLevel="0">
      <c r="A126" s="25"/>
      <c r="B126" s="26"/>
      <c r="C126" s="26"/>
      <c r="D126" s="26"/>
      <c r="E126" s="27"/>
      <c r="F126" s="27"/>
      <c r="G126" s="27"/>
      <c r="H126" s="27"/>
      <c r="I126" s="27"/>
      <c r="J126" s="27"/>
      <c r="K126" s="27"/>
      <c r="L126" s="27"/>
      <c r="M126" s="27"/>
    </row>
    <row r="127" s="21" collapsed="false" customFormat="true" customHeight="true" hidden="false" ht="25.5" outlineLevel="0">
      <c r="A127" s="25"/>
      <c r="B127" s="26"/>
      <c r="C127" s="26"/>
      <c r="D127" s="26"/>
      <c r="E127" s="27"/>
      <c r="F127" s="27"/>
      <c r="G127" s="27"/>
      <c r="H127" s="27"/>
      <c r="I127" s="27"/>
      <c r="J127" s="27"/>
      <c r="K127" s="27"/>
      <c r="L127" s="27"/>
      <c r="M127" s="27"/>
    </row>
    <row r="128" s="21" collapsed="false" customFormat="true" customHeight="true" hidden="false" ht="25.5" outlineLevel="0">
      <c r="A128" s="25"/>
      <c r="B128" s="26"/>
      <c r="C128" s="26"/>
      <c r="D128" s="26"/>
      <c r="E128" s="27"/>
      <c r="F128" s="27"/>
      <c r="G128" s="27"/>
      <c r="H128" s="27"/>
      <c r="I128" s="27"/>
      <c r="J128" s="27"/>
      <c r="K128" s="27"/>
      <c r="L128" s="27"/>
      <c r="M128" s="27"/>
    </row>
    <row r="129" s="21" collapsed="false" customFormat="true" customHeight="true" hidden="false" ht="25.5" outlineLevel="0">
      <c r="A129" s="25"/>
      <c r="B129" s="26"/>
      <c r="C129" s="26"/>
      <c r="D129" s="26"/>
      <c r="E129" s="27"/>
      <c r="F129" s="27"/>
      <c r="G129" s="27"/>
      <c r="H129" s="27"/>
      <c r="I129" s="27"/>
      <c r="J129" s="27"/>
      <c r="K129" s="27"/>
      <c r="L129" s="27"/>
      <c r="M129" s="27"/>
    </row>
    <row r="130" s="21" collapsed="false" customFormat="true" customHeight="true" hidden="false" ht="25.5" outlineLevel="0">
      <c r="A130" s="25"/>
      <c r="B130" s="26"/>
      <c r="C130" s="26"/>
      <c r="D130" s="26"/>
      <c r="E130" s="27"/>
      <c r="F130" s="27"/>
      <c r="G130" s="27"/>
      <c r="H130" s="27"/>
      <c r="I130" s="27"/>
      <c r="J130" s="27"/>
      <c r="K130" s="27"/>
      <c r="L130" s="27"/>
      <c r="M130" s="27"/>
    </row>
    <row r="131" s="21" collapsed="false" customFormat="true" customHeight="true" hidden="false" ht="25.5" outlineLevel="0">
      <c r="A131" s="25"/>
      <c r="B131" s="26"/>
      <c r="C131" s="26"/>
      <c r="D131" s="26"/>
      <c r="E131" s="27"/>
      <c r="F131" s="27"/>
      <c r="G131" s="27"/>
      <c r="H131" s="27"/>
      <c r="I131" s="27"/>
      <c r="J131" s="27"/>
      <c r="K131" s="27"/>
      <c r="L131" s="27"/>
      <c r="M131" s="27"/>
    </row>
    <row r="132" s="21" collapsed="false" customFormat="true" customHeight="true" hidden="false" ht="25.5" outlineLevel="0">
      <c r="A132" s="25"/>
      <c r="B132" s="26"/>
      <c r="C132" s="26"/>
      <c r="D132" s="26"/>
      <c r="E132" s="27"/>
      <c r="F132" s="27"/>
      <c r="G132" s="27"/>
      <c r="H132" s="27"/>
      <c r="I132" s="27"/>
      <c r="J132" s="27"/>
      <c r="K132" s="27"/>
      <c r="L132" s="27"/>
      <c r="M132" s="27"/>
    </row>
    <row r="133" s="21" collapsed="false" customFormat="true" customHeight="true" hidden="false" ht="25.5" outlineLevel="0">
      <c r="A133" s="25"/>
      <c r="B133" s="26"/>
      <c r="C133" s="26"/>
      <c r="D133" s="26"/>
      <c r="E133" s="27"/>
      <c r="F133" s="27"/>
      <c r="G133" s="27"/>
      <c r="H133" s="27"/>
      <c r="I133" s="27"/>
      <c r="J133" s="27"/>
      <c r="K133" s="27"/>
      <c r="L133" s="27"/>
      <c r="M133" s="27"/>
    </row>
    <row r="134" s="21" collapsed="false" customFormat="true" customHeight="true" hidden="false" ht="25.5" outlineLevel="0">
      <c r="A134" s="25"/>
      <c r="B134" s="26"/>
      <c r="C134" s="26"/>
      <c r="D134" s="26"/>
      <c r="E134" s="27"/>
      <c r="F134" s="27"/>
      <c r="G134" s="27"/>
      <c r="H134" s="27"/>
      <c r="I134" s="27"/>
      <c r="J134" s="27"/>
      <c r="K134" s="27"/>
      <c r="L134" s="27"/>
      <c r="M134" s="27"/>
    </row>
    <row r="135" s="21" collapsed="false" customFormat="true" customHeight="true" hidden="false" ht="25.5" outlineLevel="0">
      <c r="A135" s="25"/>
      <c r="B135" s="26"/>
      <c r="C135" s="26"/>
      <c r="D135" s="26"/>
      <c r="E135" s="27"/>
      <c r="F135" s="27"/>
      <c r="G135" s="27"/>
      <c r="H135" s="27"/>
      <c r="I135" s="27"/>
      <c r="J135" s="27"/>
      <c r="K135" s="27"/>
      <c r="L135" s="27"/>
      <c r="M135" s="27"/>
    </row>
    <row r="136" s="21" collapsed="false" customFormat="true" customHeight="true" hidden="false" ht="25.5" outlineLevel="0">
      <c r="A136" s="25"/>
      <c r="B136" s="26"/>
      <c r="C136" s="26"/>
      <c r="D136" s="26"/>
      <c r="E136" s="27"/>
      <c r="F136" s="27"/>
      <c r="G136" s="27"/>
      <c r="H136" s="27"/>
      <c r="I136" s="27"/>
      <c r="J136" s="27"/>
      <c r="K136" s="27"/>
      <c r="L136" s="27"/>
      <c r="M136" s="27"/>
    </row>
    <row r="137" s="21" collapsed="false" customFormat="true" customHeight="true" hidden="false" ht="25.5" outlineLevel="0">
      <c r="A137" s="25"/>
      <c r="B137" s="26"/>
      <c r="C137" s="26"/>
      <c r="D137" s="26"/>
      <c r="E137" s="27"/>
      <c r="F137" s="27"/>
      <c r="G137" s="27"/>
      <c r="H137" s="27"/>
      <c r="I137" s="27"/>
      <c r="J137" s="27"/>
      <c r="K137" s="27"/>
      <c r="L137" s="27"/>
      <c r="M137" s="27"/>
    </row>
    <row r="138" s="21" collapsed="false" customFormat="true" customHeight="true" hidden="false" ht="25.5" outlineLevel="0">
      <c r="A138" s="25"/>
      <c r="B138" s="26"/>
      <c r="C138" s="26"/>
      <c r="D138" s="26"/>
      <c r="E138" s="27"/>
      <c r="F138" s="27"/>
      <c r="G138" s="27"/>
      <c r="H138" s="27"/>
      <c r="I138" s="27"/>
      <c r="J138" s="27"/>
      <c r="K138" s="27"/>
      <c r="L138" s="27"/>
      <c r="M138" s="27"/>
    </row>
    <row r="139" s="21" collapsed="false" customFormat="true" customHeight="true" hidden="false" ht="25.5" outlineLevel="0">
      <c r="A139" s="25"/>
      <c r="B139" s="26"/>
      <c r="C139" s="26"/>
      <c r="D139" s="26"/>
      <c r="E139" s="27"/>
      <c r="F139" s="27"/>
      <c r="G139" s="27"/>
      <c r="H139" s="27"/>
      <c r="I139" s="27"/>
      <c r="J139" s="27"/>
      <c r="K139" s="27"/>
      <c r="L139" s="27"/>
      <c r="M139" s="27"/>
    </row>
    <row r="140" s="21" collapsed="false" customFormat="true" customHeight="true" hidden="false" ht="25.5" outlineLevel="0">
      <c r="A140" s="25"/>
      <c r="B140" s="26"/>
      <c r="C140" s="26"/>
      <c r="D140" s="26"/>
      <c r="E140" s="27"/>
      <c r="F140" s="27"/>
      <c r="G140" s="27"/>
      <c r="H140" s="27"/>
      <c r="I140" s="27"/>
      <c r="J140" s="27"/>
      <c r="K140" s="27"/>
      <c r="L140" s="27"/>
      <c r="M140" s="27"/>
    </row>
    <row r="141" s="21" collapsed="false" customFormat="true" customHeight="true" hidden="false" ht="25.5" outlineLevel="0">
      <c r="A141" s="25"/>
      <c r="B141" s="26"/>
      <c r="C141" s="26"/>
      <c r="D141" s="26"/>
      <c r="E141" s="27"/>
      <c r="F141" s="27"/>
      <c r="G141" s="27"/>
      <c r="H141" s="27"/>
      <c r="I141" s="27"/>
      <c r="J141" s="27"/>
      <c r="K141" s="27"/>
      <c r="L141" s="27"/>
      <c r="M141" s="27"/>
    </row>
    <row r="142" s="21" collapsed="false" customFormat="true" customHeight="true" hidden="false" ht="25.5" outlineLevel="0">
      <c r="A142" s="25"/>
      <c r="B142" s="26"/>
      <c r="C142" s="26"/>
      <c r="D142" s="26"/>
      <c r="E142" s="27"/>
      <c r="F142" s="27"/>
      <c r="G142" s="27"/>
      <c r="H142" s="27"/>
      <c r="I142" s="27"/>
      <c r="J142" s="27"/>
      <c r="K142" s="27"/>
      <c r="L142" s="27"/>
      <c r="M142" s="27"/>
    </row>
    <row r="143" s="21" collapsed="false" customFormat="true" customHeight="true" hidden="false" ht="25.5" outlineLevel="0">
      <c r="A143" s="25"/>
      <c r="B143" s="26"/>
      <c r="C143" s="26"/>
      <c r="D143" s="26"/>
      <c r="E143" s="27"/>
      <c r="F143" s="27"/>
      <c r="G143" s="27"/>
      <c r="H143" s="27"/>
      <c r="I143" s="27"/>
      <c r="J143" s="27"/>
      <c r="K143" s="27"/>
      <c r="L143" s="27"/>
      <c r="M143" s="27"/>
    </row>
    <row r="144" s="21" collapsed="false" customFormat="true" customHeight="true" hidden="false" ht="25.5" outlineLevel="0">
      <c r="A144" s="25"/>
      <c r="B144" s="26"/>
      <c r="C144" s="26"/>
      <c r="D144" s="26"/>
      <c r="E144" s="27"/>
      <c r="F144" s="27"/>
      <c r="G144" s="27"/>
      <c r="H144" s="27"/>
      <c r="I144" s="27"/>
      <c r="J144" s="27"/>
      <c r="K144" s="27"/>
      <c r="L144" s="27"/>
      <c r="M144" s="27"/>
    </row>
    <row r="145" s="21" collapsed="false" customFormat="true" customHeight="true" hidden="false" ht="25.5" outlineLevel="0">
      <c r="A145" s="25"/>
      <c r="B145" s="26"/>
      <c r="C145" s="26"/>
      <c r="D145" s="26"/>
      <c r="E145" s="27"/>
      <c r="F145" s="27"/>
      <c r="G145" s="27"/>
      <c r="H145" s="27"/>
      <c r="I145" s="27"/>
      <c r="J145" s="27"/>
      <c r="K145" s="27"/>
      <c r="L145" s="27"/>
      <c r="M145" s="27"/>
    </row>
    <row r="146" s="21" collapsed="false" customFormat="true" customHeight="true" hidden="false" ht="25.5" outlineLevel="0">
      <c r="A146" s="25"/>
      <c r="B146" s="26"/>
      <c r="C146" s="26"/>
      <c r="D146" s="26"/>
      <c r="E146" s="27"/>
      <c r="F146" s="27"/>
      <c r="G146" s="27"/>
      <c r="H146" s="27"/>
      <c r="I146" s="27"/>
      <c r="J146" s="27"/>
      <c r="K146" s="27"/>
      <c r="L146" s="27"/>
      <c r="M146" s="27"/>
    </row>
    <row r="147" s="21" collapsed="false" customFormat="true" customHeight="true" hidden="false" ht="25.5" outlineLevel="0">
      <c r="A147" s="25"/>
      <c r="B147" s="26"/>
      <c r="C147" s="26"/>
      <c r="D147" s="26"/>
      <c r="E147" s="27"/>
      <c r="F147" s="27"/>
      <c r="G147" s="27"/>
      <c r="H147" s="27"/>
      <c r="I147" s="27"/>
      <c r="J147" s="27"/>
      <c r="K147" s="27"/>
      <c r="L147" s="27"/>
      <c r="M147" s="27"/>
    </row>
    <row r="148" s="21" collapsed="false" customFormat="true" customHeight="true" hidden="false" ht="25.5" outlineLevel="0">
      <c r="A148" s="25"/>
      <c r="B148" s="26"/>
      <c r="C148" s="26"/>
      <c r="D148" s="26"/>
      <c r="E148" s="27"/>
      <c r="F148" s="27"/>
      <c r="G148" s="27"/>
      <c r="H148" s="27"/>
      <c r="I148" s="27"/>
      <c r="J148" s="27"/>
      <c r="K148" s="27"/>
      <c r="L148" s="27"/>
      <c r="M148" s="27"/>
    </row>
    <row r="149" s="21" collapsed="false" customFormat="true" customHeight="true" hidden="false" ht="25.5" outlineLevel="0">
      <c r="A149" s="25"/>
      <c r="B149" s="26"/>
      <c r="C149" s="26"/>
      <c r="D149" s="26"/>
      <c r="E149" s="27"/>
      <c r="F149" s="27"/>
      <c r="G149" s="27"/>
      <c r="H149" s="27"/>
      <c r="I149" s="27"/>
      <c r="J149" s="27"/>
      <c r="K149" s="27"/>
      <c r="L149" s="27"/>
      <c r="M149" s="27"/>
    </row>
    <row r="150" s="21" collapsed="false" customFormat="true" customHeight="true" hidden="false" ht="25.5" outlineLevel="0">
      <c r="A150" s="25"/>
      <c r="B150" s="26"/>
      <c r="C150" s="26"/>
      <c r="D150" s="26"/>
      <c r="E150" s="27"/>
      <c r="F150" s="27"/>
      <c r="G150" s="27"/>
      <c r="H150" s="27"/>
      <c r="I150" s="27"/>
      <c r="J150" s="27"/>
      <c r="K150" s="27"/>
      <c r="L150" s="27"/>
      <c r="M150" s="27"/>
    </row>
    <row r="151" s="21" collapsed="false" customFormat="true" customHeight="true" hidden="false" ht="25.5" outlineLevel="0">
      <c r="A151" s="25"/>
      <c r="B151" s="26"/>
      <c r="C151" s="26"/>
      <c r="D151" s="26"/>
      <c r="E151" s="27"/>
      <c r="F151" s="27"/>
      <c r="G151" s="27"/>
      <c r="H151" s="27"/>
      <c r="I151" s="27"/>
      <c r="J151" s="27"/>
      <c r="K151" s="27"/>
      <c r="L151" s="27"/>
      <c r="M151" s="27"/>
    </row>
    <row r="152" s="21" collapsed="false" customFormat="true" customHeight="true" hidden="false" ht="25.5" outlineLevel="0">
      <c r="A152" s="25"/>
      <c r="B152" s="26"/>
      <c r="C152" s="26"/>
      <c r="D152" s="26"/>
      <c r="E152" s="27"/>
      <c r="F152" s="27"/>
      <c r="G152" s="27"/>
      <c r="H152" s="27"/>
      <c r="I152" s="27"/>
      <c r="J152" s="27"/>
      <c r="K152" s="27"/>
      <c r="L152" s="27"/>
      <c r="M152" s="27"/>
    </row>
    <row r="153" s="21" collapsed="false" customFormat="true" customHeight="true" hidden="false" ht="25.5" outlineLevel="0">
      <c r="A153" s="25"/>
      <c r="B153" s="26"/>
      <c r="C153" s="26"/>
      <c r="D153" s="26"/>
      <c r="E153" s="27"/>
      <c r="F153" s="27"/>
      <c r="G153" s="27"/>
      <c r="H153" s="27"/>
      <c r="I153" s="27"/>
      <c r="J153" s="27"/>
      <c r="K153" s="27"/>
      <c r="L153" s="27"/>
      <c r="M153" s="27"/>
    </row>
    <row r="154" s="21" collapsed="false" customFormat="true" customHeight="true" hidden="false" ht="25.5" outlineLevel="0">
      <c r="A154" s="25"/>
      <c r="B154" s="26"/>
      <c r="C154" s="26"/>
      <c r="D154" s="26"/>
      <c r="E154" s="27"/>
      <c r="F154" s="27"/>
      <c r="G154" s="27"/>
      <c r="H154" s="27"/>
      <c r="I154" s="27"/>
      <c r="J154" s="27"/>
      <c r="K154" s="27"/>
      <c r="L154" s="27"/>
      <c r="M154" s="27"/>
    </row>
    <row r="155" s="21" collapsed="false" customFormat="true" customHeight="true" hidden="false" ht="25.5" outlineLevel="0">
      <c r="A155" s="25"/>
      <c r="B155" s="26"/>
      <c r="C155" s="26"/>
      <c r="D155" s="26"/>
      <c r="E155" s="27"/>
      <c r="F155" s="27"/>
      <c r="G155" s="27"/>
      <c r="H155" s="27"/>
      <c r="I155" s="27"/>
      <c r="J155" s="27"/>
      <c r="K155" s="27"/>
      <c r="L155" s="27"/>
      <c r="M155" s="27"/>
    </row>
    <row r="156" s="21" collapsed="false" customFormat="true" customHeight="true" hidden="false" ht="25.5" outlineLevel="0">
      <c r="A156" s="25"/>
      <c r="B156" s="26"/>
      <c r="C156" s="26"/>
      <c r="D156" s="26"/>
      <c r="E156" s="27"/>
      <c r="F156" s="27"/>
      <c r="G156" s="27"/>
      <c r="H156" s="27"/>
      <c r="I156" s="27"/>
      <c r="J156" s="27"/>
      <c r="K156" s="27"/>
      <c r="L156" s="27"/>
      <c r="M156" s="27"/>
    </row>
    <row r="157" s="21" collapsed="false" customFormat="true" customHeight="true" hidden="false" ht="25.5" outlineLevel="0">
      <c r="A157" s="25"/>
      <c r="B157" s="26"/>
      <c r="C157" s="26"/>
      <c r="D157" s="26"/>
      <c r="E157" s="27"/>
      <c r="F157" s="27"/>
      <c r="G157" s="27"/>
      <c r="H157" s="27"/>
      <c r="I157" s="27"/>
      <c r="J157" s="27"/>
      <c r="K157" s="27"/>
      <c r="L157" s="27"/>
      <c r="M157" s="27"/>
    </row>
    <row r="158" s="21" collapsed="false" customFormat="true" customHeight="true" hidden="false" ht="25.5" outlineLevel="0">
      <c r="A158" s="25"/>
      <c r="B158" s="26"/>
      <c r="C158" s="26"/>
      <c r="D158" s="26"/>
      <c r="E158" s="27"/>
      <c r="F158" s="27"/>
      <c r="G158" s="27"/>
      <c r="H158" s="27"/>
      <c r="I158" s="27"/>
      <c r="J158" s="27"/>
      <c r="K158" s="27"/>
      <c r="L158" s="27"/>
      <c r="M158" s="27"/>
    </row>
    <row r="159" s="21" collapsed="false" customFormat="true" customHeight="true" hidden="false" ht="25.5" outlineLevel="0">
      <c r="A159" s="25"/>
      <c r="B159" s="26"/>
      <c r="C159" s="26"/>
      <c r="D159" s="26"/>
      <c r="E159" s="27"/>
      <c r="F159" s="27"/>
      <c r="G159" s="27"/>
      <c r="H159" s="27"/>
      <c r="I159" s="27"/>
      <c r="J159" s="27"/>
      <c r="K159" s="27"/>
      <c r="L159" s="27"/>
      <c r="M159" s="27"/>
    </row>
    <row r="160" s="21" collapsed="false" customFormat="true" customHeight="true" hidden="false" ht="25.5" outlineLevel="0">
      <c r="A160" s="25"/>
      <c r="B160" s="26"/>
      <c r="C160" s="26"/>
      <c r="D160" s="26"/>
      <c r="E160" s="27"/>
      <c r="F160" s="27"/>
      <c r="G160" s="27"/>
      <c r="H160" s="27"/>
      <c r="I160" s="27"/>
      <c r="J160" s="27"/>
      <c r="K160" s="27"/>
      <c r="L160" s="27"/>
      <c r="M160" s="27"/>
    </row>
    <row r="161" s="21" collapsed="false" customFormat="true" customHeight="true" hidden="false" ht="25.5" outlineLevel="0">
      <c r="A161" s="25"/>
      <c r="B161" s="26"/>
      <c r="C161" s="26"/>
      <c r="D161" s="26"/>
      <c r="E161" s="27"/>
      <c r="F161" s="27"/>
      <c r="G161" s="27"/>
      <c r="H161" s="27"/>
      <c r="I161" s="27"/>
      <c r="J161" s="27"/>
      <c r="K161" s="27"/>
      <c r="L161" s="27"/>
      <c r="M161" s="27"/>
    </row>
    <row r="162" s="21" collapsed="false" customFormat="true" customHeight="true" hidden="false" ht="25.5" outlineLevel="0">
      <c r="A162" s="25"/>
      <c r="B162" s="26"/>
      <c r="C162" s="26"/>
      <c r="D162" s="26"/>
      <c r="E162" s="27"/>
      <c r="F162" s="27"/>
      <c r="G162" s="27"/>
      <c r="H162" s="27"/>
      <c r="I162" s="27"/>
      <c r="J162" s="27"/>
      <c r="K162" s="27"/>
      <c r="L162" s="27"/>
      <c r="M162" s="27"/>
    </row>
    <row r="163" s="21" collapsed="false" customFormat="true" customHeight="true" hidden="false" ht="25.5" outlineLevel="0">
      <c r="A163" s="25"/>
      <c r="B163" s="26"/>
      <c r="C163" s="26"/>
      <c r="D163" s="26"/>
      <c r="E163" s="27"/>
      <c r="F163" s="27"/>
      <c r="G163" s="27"/>
      <c r="H163" s="27"/>
      <c r="I163" s="27"/>
      <c r="J163" s="27"/>
      <c r="K163" s="27"/>
      <c r="L163" s="27"/>
      <c r="M163" s="27"/>
    </row>
    <row r="164" s="21" collapsed="false" customFormat="true" customHeight="true" hidden="false" ht="25.5" outlineLevel="0">
      <c r="A164" s="25"/>
      <c r="B164" s="26"/>
      <c r="C164" s="26"/>
      <c r="D164" s="26"/>
      <c r="E164" s="27"/>
      <c r="F164" s="27"/>
      <c r="G164" s="27"/>
      <c r="H164" s="27"/>
      <c r="I164" s="27"/>
      <c r="J164" s="27"/>
      <c r="K164" s="27"/>
      <c r="L164" s="27"/>
      <c r="M164" s="27"/>
    </row>
    <row r="165" s="21" collapsed="false" customFormat="true" customHeight="true" hidden="false" ht="25.5" outlineLevel="0">
      <c r="A165" s="25"/>
      <c r="B165" s="26"/>
      <c r="C165" s="26"/>
      <c r="D165" s="26"/>
      <c r="E165" s="27"/>
      <c r="F165" s="27"/>
      <c r="G165" s="27"/>
      <c r="H165" s="27"/>
      <c r="I165" s="27"/>
      <c r="J165" s="27"/>
      <c r="K165" s="27"/>
      <c r="L165" s="27"/>
      <c r="M165" s="27"/>
    </row>
    <row r="166" s="21" collapsed="false" customFormat="true" customHeight="true" hidden="false" ht="25.5" outlineLevel="0">
      <c r="A166" s="25"/>
      <c r="B166" s="26"/>
      <c r="C166" s="26"/>
      <c r="D166" s="26"/>
      <c r="E166" s="27"/>
      <c r="F166" s="27"/>
      <c r="G166" s="27"/>
      <c r="H166" s="27"/>
      <c r="I166" s="27"/>
      <c r="J166" s="27"/>
      <c r="K166" s="27"/>
      <c r="L166" s="27"/>
      <c r="M166" s="27"/>
    </row>
    <row r="167" s="21" collapsed="false" customFormat="true" customHeight="true" hidden="false" ht="25.5" outlineLevel="0">
      <c r="A167" s="25"/>
      <c r="B167" s="26"/>
      <c r="C167" s="26"/>
      <c r="D167" s="26"/>
      <c r="E167" s="27"/>
      <c r="F167" s="27"/>
      <c r="G167" s="27"/>
      <c r="H167" s="27"/>
      <c r="I167" s="27"/>
      <c r="J167" s="27"/>
      <c r="K167" s="27"/>
      <c r="L167" s="27"/>
      <c r="M167" s="27"/>
    </row>
    <row r="168" s="21" collapsed="false" customFormat="true" customHeight="true" hidden="false" ht="25.5" outlineLevel="0">
      <c r="A168" s="25"/>
      <c r="B168" s="26"/>
      <c r="C168" s="26"/>
      <c r="D168" s="26"/>
      <c r="E168" s="27"/>
      <c r="F168" s="27"/>
      <c r="G168" s="27"/>
      <c r="H168" s="27"/>
      <c r="I168" s="27"/>
      <c r="J168" s="27"/>
      <c r="K168" s="27"/>
      <c r="L168" s="27"/>
      <c r="M168" s="27"/>
    </row>
    <row r="169" s="21" collapsed="false" customFormat="true" customHeight="true" hidden="false" ht="25.5" outlineLevel="0">
      <c r="A169" s="25"/>
      <c r="B169" s="26"/>
      <c r="C169" s="26"/>
      <c r="D169" s="26"/>
      <c r="E169" s="27"/>
      <c r="F169" s="27"/>
      <c r="G169" s="27"/>
      <c r="H169" s="27"/>
      <c r="I169" s="27"/>
      <c r="J169" s="27"/>
      <c r="K169" s="27"/>
      <c r="L169" s="27"/>
      <c r="M169" s="27"/>
    </row>
    <row r="170" s="21" collapsed="false" customFormat="true" customHeight="true" hidden="false" ht="25.5" outlineLevel="0">
      <c r="A170" s="25"/>
      <c r="B170" s="26"/>
      <c r="C170" s="26"/>
      <c r="D170" s="26"/>
      <c r="E170" s="27"/>
      <c r="F170" s="27"/>
      <c r="G170" s="27"/>
      <c r="H170" s="27"/>
      <c r="I170" s="27"/>
      <c r="J170" s="27"/>
      <c r="K170" s="27"/>
      <c r="L170" s="27"/>
      <c r="M170" s="27"/>
    </row>
    <row r="171" s="21" collapsed="false" customFormat="true" customHeight="true" hidden="false" ht="25.5" outlineLevel="0">
      <c r="A171" s="25"/>
      <c r="B171" s="26"/>
      <c r="C171" s="26"/>
      <c r="D171" s="26"/>
      <c r="E171" s="27"/>
      <c r="F171" s="27"/>
      <c r="G171" s="27"/>
      <c r="H171" s="27"/>
      <c r="I171" s="27"/>
      <c r="J171" s="27"/>
      <c r="K171" s="27"/>
      <c r="L171" s="27"/>
      <c r="M171" s="27"/>
    </row>
    <row r="172" s="21" collapsed="false" customFormat="true" customHeight="true" hidden="false" ht="25.5" outlineLevel="0">
      <c r="A172" s="25"/>
      <c r="B172" s="26"/>
      <c r="C172" s="26"/>
      <c r="D172" s="26"/>
      <c r="E172" s="27"/>
      <c r="F172" s="27"/>
      <c r="G172" s="27"/>
      <c r="H172" s="27"/>
      <c r="I172" s="27"/>
      <c r="J172" s="27"/>
      <c r="K172" s="27"/>
      <c r="L172" s="27"/>
      <c r="M172" s="27"/>
    </row>
    <row r="173" s="21" collapsed="false" customFormat="true" customHeight="true" hidden="false" ht="25.5" outlineLevel="0">
      <c r="A173" s="25"/>
      <c r="B173" s="26"/>
      <c r="C173" s="26"/>
      <c r="D173" s="26"/>
      <c r="E173" s="27"/>
      <c r="F173" s="27"/>
      <c r="G173" s="27"/>
      <c r="H173" s="27"/>
      <c r="I173" s="27"/>
      <c r="J173" s="27"/>
      <c r="K173" s="27"/>
      <c r="L173" s="27"/>
      <c r="M173" s="27"/>
    </row>
    <row r="174" s="21" collapsed="false" customFormat="true" customHeight="true" hidden="false" ht="25.5" outlineLevel="0">
      <c r="A174" s="25"/>
      <c r="B174" s="26"/>
      <c r="C174" s="26"/>
      <c r="D174" s="26"/>
      <c r="E174" s="27"/>
      <c r="F174" s="27"/>
      <c r="G174" s="27"/>
      <c r="H174" s="27"/>
      <c r="I174" s="27"/>
      <c r="J174" s="27"/>
      <c r="K174" s="27"/>
      <c r="L174" s="27"/>
      <c r="M174" s="27"/>
    </row>
    <row r="175" s="21" collapsed="false" customFormat="true" customHeight="true" hidden="false" ht="25.5" outlineLevel="0">
      <c r="A175" s="25"/>
      <c r="B175" s="26"/>
      <c r="C175" s="26"/>
      <c r="D175" s="26"/>
      <c r="E175" s="27"/>
      <c r="F175" s="27"/>
      <c r="G175" s="27"/>
      <c r="H175" s="27"/>
      <c r="I175" s="27"/>
      <c r="J175" s="27"/>
      <c r="K175" s="27"/>
      <c r="L175" s="27"/>
      <c r="M175" s="27"/>
    </row>
    <row r="176" s="21" collapsed="false" customFormat="true" customHeight="true" hidden="false" ht="25.5" outlineLevel="0">
      <c r="A176" s="25"/>
      <c r="B176" s="26"/>
      <c r="C176" s="26"/>
      <c r="D176" s="26"/>
      <c r="E176" s="27"/>
      <c r="F176" s="27"/>
      <c r="G176" s="27"/>
      <c r="H176" s="27"/>
      <c r="I176" s="27"/>
      <c r="J176" s="27"/>
      <c r="K176" s="27"/>
      <c r="L176" s="27"/>
      <c r="M176" s="27"/>
    </row>
    <row r="177" s="21" collapsed="false" customFormat="true" customHeight="true" hidden="false" ht="25.5" outlineLevel="0">
      <c r="A177" s="25"/>
      <c r="B177" s="26"/>
      <c r="C177" s="26"/>
      <c r="D177" s="26"/>
      <c r="E177" s="27"/>
      <c r="F177" s="27"/>
      <c r="G177" s="27"/>
      <c r="H177" s="27"/>
      <c r="I177" s="27"/>
      <c r="J177" s="27"/>
      <c r="K177" s="27"/>
      <c r="L177" s="27"/>
      <c r="M177" s="27"/>
    </row>
    <row r="178" s="21" collapsed="false" customFormat="true" customHeight="true" hidden="false" ht="25.5" outlineLevel="0">
      <c r="A178" s="25"/>
      <c r="B178" s="26"/>
      <c r="C178" s="26"/>
      <c r="D178" s="26"/>
      <c r="E178" s="27"/>
      <c r="F178" s="27"/>
      <c r="G178" s="27"/>
      <c r="H178" s="27"/>
      <c r="I178" s="27"/>
      <c r="J178" s="27"/>
      <c r="K178" s="27"/>
      <c r="L178" s="27"/>
      <c r="M178" s="27"/>
    </row>
    <row r="179" s="21" collapsed="false" customFormat="true" customHeight="true" hidden="false" ht="25.5" outlineLevel="0">
      <c r="A179" s="25"/>
      <c r="B179" s="26"/>
      <c r="C179" s="26"/>
      <c r="D179" s="26"/>
      <c r="E179" s="27"/>
      <c r="F179" s="27"/>
      <c r="G179" s="27"/>
      <c r="H179" s="27"/>
      <c r="I179" s="27"/>
      <c r="J179" s="27"/>
      <c r="K179" s="27"/>
      <c r="L179" s="27"/>
      <c r="M179" s="27"/>
    </row>
    <row r="180" s="21" collapsed="false" customFormat="true" customHeight="true" hidden="false" ht="25.5" outlineLevel="0">
      <c r="A180" s="25"/>
      <c r="B180" s="26"/>
      <c r="C180" s="26"/>
      <c r="D180" s="26"/>
      <c r="E180" s="27"/>
      <c r="F180" s="27"/>
      <c r="G180" s="27"/>
      <c r="H180" s="27"/>
      <c r="I180" s="27"/>
      <c r="J180" s="27"/>
      <c r="K180" s="27"/>
      <c r="L180" s="27"/>
      <c r="M180" s="27"/>
    </row>
    <row r="181" s="21" collapsed="false" customFormat="true" customHeight="true" hidden="false" ht="25.5" outlineLevel="0">
      <c r="A181" s="25"/>
      <c r="B181" s="26"/>
      <c r="C181" s="26"/>
      <c r="D181" s="26"/>
      <c r="E181" s="27"/>
      <c r="F181" s="27"/>
      <c r="G181" s="27"/>
      <c r="H181" s="27"/>
      <c r="I181" s="27"/>
      <c r="J181" s="27"/>
      <c r="K181" s="27"/>
      <c r="L181" s="27"/>
      <c r="M181" s="27"/>
    </row>
    <row r="182" s="21" collapsed="false" customFormat="true" customHeight="true" hidden="false" ht="25.5" outlineLevel="0">
      <c r="A182" s="25"/>
      <c r="B182" s="26"/>
      <c r="C182" s="26"/>
      <c r="D182" s="26"/>
      <c r="E182" s="27"/>
      <c r="F182" s="27"/>
      <c r="G182" s="27"/>
      <c r="H182" s="27"/>
      <c r="I182" s="27"/>
      <c r="J182" s="27"/>
      <c r="K182" s="27"/>
      <c r="L182" s="27"/>
      <c r="M182" s="27"/>
    </row>
    <row r="183" s="21" collapsed="false" customFormat="true" customHeight="true" hidden="false" ht="25.5" outlineLevel="0">
      <c r="A183" s="25"/>
      <c r="B183" s="26"/>
      <c r="C183" s="26"/>
      <c r="D183" s="26"/>
      <c r="E183" s="27"/>
      <c r="F183" s="27"/>
      <c r="G183" s="27"/>
      <c r="H183" s="27"/>
      <c r="I183" s="27"/>
      <c r="J183" s="27"/>
      <c r="K183" s="27"/>
      <c r="L183" s="27"/>
      <c r="M183" s="27"/>
    </row>
    <row r="184" s="21" collapsed="false" customFormat="true" customHeight="true" hidden="false" ht="25.5" outlineLevel="0">
      <c r="A184" s="25"/>
      <c r="B184" s="26"/>
      <c r="C184" s="26"/>
      <c r="D184" s="26"/>
      <c r="E184" s="27"/>
      <c r="F184" s="27"/>
      <c r="G184" s="27"/>
      <c r="H184" s="27"/>
      <c r="I184" s="27"/>
      <c r="J184" s="27"/>
      <c r="K184" s="27"/>
      <c r="L184" s="27"/>
      <c r="M184" s="27"/>
    </row>
    <row r="185" s="21" collapsed="false" customFormat="true" customHeight="true" hidden="false" ht="25.5" outlineLevel="0">
      <c r="A185" s="25"/>
      <c r="B185" s="26"/>
      <c r="C185" s="26"/>
      <c r="D185" s="26"/>
      <c r="E185" s="27"/>
      <c r="F185" s="27"/>
      <c r="G185" s="27"/>
      <c r="H185" s="27"/>
      <c r="I185" s="27"/>
      <c r="J185" s="27"/>
      <c r="K185" s="27"/>
      <c r="L185" s="27"/>
      <c r="M185" s="27"/>
    </row>
    <row r="186" s="21" collapsed="false" customFormat="true" customHeight="true" hidden="false" ht="25.5" outlineLevel="0">
      <c r="A186" s="25"/>
      <c r="B186" s="26"/>
      <c r="C186" s="26"/>
      <c r="D186" s="26"/>
      <c r="E186" s="27"/>
      <c r="F186" s="27"/>
      <c r="G186" s="27"/>
      <c r="H186" s="27"/>
      <c r="I186" s="27"/>
      <c r="J186" s="27"/>
      <c r="K186" s="27"/>
      <c r="L186" s="27"/>
      <c r="M186" s="27"/>
    </row>
    <row r="187" s="21" collapsed="false" customFormat="true" customHeight="true" hidden="false" ht="25.5" outlineLevel="0">
      <c r="A187" s="25"/>
      <c r="B187" s="26"/>
      <c r="C187" s="26"/>
      <c r="D187" s="26"/>
      <c r="E187" s="27"/>
      <c r="F187" s="27"/>
      <c r="G187" s="27"/>
      <c r="H187" s="27"/>
      <c r="I187" s="27"/>
      <c r="J187" s="27"/>
      <c r="K187" s="27"/>
      <c r="L187" s="27"/>
      <c r="M187" s="27"/>
    </row>
    <row r="188" s="21" collapsed="false" customFormat="true" customHeight="true" hidden="false" ht="25.5" outlineLevel="0">
      <c r="A188" s="25"/>
      <c r="B188" s="26"/>
      <c r="C188" s="26"/>
      <c r="D188" s="26"/>
      <c r="E188" s="27"/>
      <c r="F188" s="27"/>
      <c r="G188" s="27"/>
      <c r="H188" s="27"/>
      <c r="I188" s="27"/>
      <c r="J188" s="27"/>
      <c r="K188" s="27"/>
      <c r="L188" s="27"/>
      <c r="M188" s="27"/>
    </row>
    <row r="189" s="21" collapsed="false" customFormat="true" customHeight="true" hidden="false" ht="25.5" outlineLevel="0">
      <c r="A189" s="25"/>
      <c r="B189" s="26"/>
      <c r="C189" s="26"/>
      <c r="D189" s="26"/>
      <c r="E189" s="27"/>
      <c r="F189" s="27"/>
      <c r="G189" s="27"/>
      <c r="H189" s="27"/>
      <c r="I189" s="27"/>
      <c r="J189" s="27"/>
      <c r="K189" s="27"/>
      <c r="L189" s="27"/>
      <c r="M189" s="27"/>
    </row>
    <row r="190" s="21" collapsed="false" customFormat="true" customHeight="true" hidden="false" ht="25.5" outlineLevel="0">
      <c r="A190" s="25"/>
      <c r="B190" s="26"/>
      <c r="C190" s="26"/>
      <c r="D190" s="26"/>
      <c r="E190" s="27"/>
      <c r="F190" s="27"/>
      <c r="G190" s="27"/>
      <c r="H190" s="27"/>
      <c r="I190" s="27"/>
      <c r="J190" s="27"/>
      <c r="K190" s="27"/>
      <c r="L190" s="27"/>
      <c r="M190" s="27"/>
    </row>
    <row r="191" s="21" collapsed="false" customFormat="true" customHeight="true" hidden="false" ht="25.5" outlineLevel="0">
      <c r="A191" s="25"/>
      <c r="B191" s="26"/>
      <c r="C191" s="26"/>
      <c r="D191" s="26"/>
      <c r="E191" s="27"/>
      <c r="F191" s="27"/>
      <c r="G191" s="27"/>
      <c r="H191" s="27"/>
      <c r="I191" s="27"/>
      <c r="J191" s="27"/>
      <c r="K191" s="27"/>
      <c r="L191" s="27"/>
      <c r="M191" s="27"/>
    </row>
    <row r="192" s="21" collapsed="false" customFormat="true" customHeight="true" hidden="false" ht="25.5" outlineLevel="0">
      <c r="A192" s="25"/>
      <c r="B192" s="26"/>
      <c r="C192" s="26"/>
      <c r="D192" s="26"/>
      <c r="E192" s="27"/>
      <c r="F192" s="27"/>
      <c r="G192" s="27"/>
      <c r="H192" s="27"/>
      <c r="I192" s="27"/>
      <c r="J192" s="27"/>
      <c r="K192" s="27"/>
      <c r="L192" s="27"/>
      <c r="M192" s="27"/>
    </row>
    <row r="193" s="21" collapsed="false" customFormat="true" customHeight="true" hidden="false" ht="25.5" outlineLevel="0">
      <c r="A193" s="25"/>
      <c r="B193" s="26"/>
      <c r="C193" s="26"/>
      <c r="D193" s="26"/>
      <c r="E193" s="27"/>
      <c r="F193" s="27"/>
      <c r="G193" s="27"/>
      <c r="H193" s="27"/>
      <c r="I193" s="27"/>
      <c r="J193" s="27"/>
      <c r="K193" s="27"/>
      <c r="L193" s="27"/>
      <c r="M193" s="27"/>
    </row>
    <row r="194" s="21" collapsed="false" customFormat="true" customHeight="true" hidden="false" ht="25.5" outlineLevel="0">
      <c r="A194" s="25"/>
      <c r="B194" s="26"/>
      <c r="C194" s="26"/>
      <c r="D194" s="26"/>
      <c r="E194" s="27"/>
      <c r="F194" s="27"/>
      <c r="G194" s="27"/>
      <c r="H194" s="27"/>
      <c r="I194" s="27"/>
      <c r="J194" s="27"/>
      <c r="K194" s="27"/>
      <c r="L194" s="27"/>
      <c r="M194" s="27"/>
    </row>
    <row r="195" s="21" collapsed="false" customFormat="true" customHeight="true" hidden="false" ht="25.5" outlineLevel="0">
      <c r="A195" s="25"/>
      <c r="B195" s="26"/>
      <c r="C195" s="26"/>
      <c r="D195" s="26"/>
      <c r="E195" s="27"/>
      <c r="F195" s="27"/>
      <c r="G195" s="27"/>
      <c r="H195" s="27"/>
      <c r="I195" s="27"/>
      <c r="J195" s="27"/>
      <c r="K195" s="27"/>
      <c r="L195" s="27"/>
      <c r="M195" s="27"/>
    </row>
    <row r="196" s="21" collapsed="false" customFormat="true" customHeight="true" hidden="false" ht="25.5" outlineLevel="0">
      <c r="A196" s="25"/>
      <c r="B196" s="26"/>
      <c r="C196" s="26"/>
      <c r="D196" s="26"/>
      <c r="E196" s="27"/>
      <c r="F196" s="27"/>
      <c r="G196" s="27"/>
      <c r="H196" s="27"/>
      <c r="I196" s="27"/>
      <c r="J196" s="27"/>
      <c r="K196" s="27"/>
      <c r="L196" s="27"/>
      <c r="M196" s="27"/>
    </row>
    <row r="197" s="21" collapsed="false" customFormat="true" customHeight="true" hidden="false" ht="25.5" outlineLevel="0">
      <c r="A197" s="25"/>
      <c r="B197" s="26"/>
      <c r="C197" s="26"/>
      <c r="D197" s="26"/>
      <c r="E197" s="27"/>
      <c r="F197" s="27"/>
      <c r="G197" s="27"/>
      <c r="H197" s="27"/>
      <c r="I197" s="27"/>
      <c r="J197" s="27"/>
      <c r="K197" s="27"/>
      <c r="L197" s="27"/>
      <c r="M197" s="27"/>
    </row>
    <row r="198" s="21" collapsed="false" customFormat="true" customHeight="true" hidden="false" ht="25.5" outlineLevel="0">
      <c r="A198" s="25"/>
      <c r="B198" s="26"/>
      <c r="C198" s="26"/>
      <c r="D198" s="26"/>
      <c r="E198" s="27"/>
      <c r="F198" s="27"/>
      <c r="G198" s="27"/>
      <c r="H198" s="27"/>
      <c r="I198" s="27"/>
      <c r="J198" s="27"/>
      <c r="K198" s="27"/>
      <c r="L198" s="27"/>
      <c r="M198" s="27"/>
    </row>
    <row r="199" s="5" collapsed="false" customFormat="true" customHeight="true" hidden="false" ht="25.5" outlineLevel="0">
      <c r="A199" s="25"/>
      <c r="B199" s="26"/>
      <c r="C199" s="26"/>
      <c r="D199" s="26"/>
      <c r="E199" s="27"/>
      <c r="F199" s="27"/>
      <c r="G199" s="27"/>
      <c r="H199" s="27"/>
      <c r="I199" s="27"/>
      <c r="J199" s="27"/>
      <c r="K199" s="27"/>
      <c r="L199" s="27"/>
      <c r="M199" s="27"/>
    </row>
    <row r="200" s="5" collapsed="false" customFormat="true" customHeight="true" hidden="false" ht="25.5" outlineLevel="0">
      <c r="A200" s="25"/>
      <c r="B200" s="26"/>
      <c r="C200" s="26"/>
      <c r="D200" s="26"/>
      <c r="E200" s="27"/>
      <c r="F200" s="27"/>
      <c r="G200" s="27"/>
      <c r="H200" s="27"/>
      <c r="I200" s="27"/>
      <c r="J200" s="27"/>
      <c r="K200" s="27"/>
      <c r="L200" s="27"/>
      <c r="M200" s="27"/>
    </row>
    <row r="201" s="5" collapsed="false" customFormat="true" customHeight="true" hidden="false" ht="25.5" outlineLevel="0">
      <c r="A201" s="25"/>
      <c r="B201" s="26"/>
      <c r="C201" s="26"/>
      <c r="D201" s="26"/>
      <c r="E201" s="27"/>
      <c r="F201" s="27"/>
      <c r="G201" s="27"/>
      <c r="H201" s="27"/>
      <c r="I201" s="27"/>
      <c r="J201" s="27"/>
      <c r="K201" s="27"/>
      <c r="L201" s="27"/>
      <c r="M201" s="27"/>
    </row>
    <row r="202" s="5" collapsed="false" customFormat="true" customHeight="true" hidden="false" ht="25.5" outlineLevel="0">
      <c r="A202" s="25"/>
      <c r="B202" s="26"/>
      <c r="C202" s="26"/>
      <c r="D202" s="26"/>
      <c r="E202" s="27"/>
      <c r="F202" s="27"/>
      <c r="G202" s="27"/>
      <c r="H202" s="27"/>
      <c r="I202" s="27"/>
      <c r="J202" s="27"/>
      <c r="K202" s="27"/>
      <c r="L202" s="27"/>
      <c r="M202" s="27"/>
    </row>
    <row r="203" s="5" collapsed="false" customFormat="true" customHeight="true" hidden="false" ht="25.5" outlineLevel="0">
      <c r="A203" s="25"/>
      <c r="B203" s="26"/>
      <c r="C203" s="26"/>
      <c r="D203" s="26"/>
      <c r="E203" s="27"/>
      <c r="F203" s="27"/>
      <c r="G203" s="27"/>
      <c r="H203" s="27"/>
      <c r="I203" s="27"/>
      <c r="J203" s="27"/>
      <c r="K203" s="27"/>
      <c r="L203" s="27"/>
      <c r="M203" s="27"/>
    </row>
    <row r="204" s="5" collapsed="false" customFormat="true" customHeight="true" hidden="false" ht="25.5" outlineLevel="0">
      <c r="A204" s="25"/>
      <c r="B204" s="26"/>
      <c r="C204" s="26"/>
      <c r="D204" s="26"/>
      <c r="E204" s="27"/>
      <c r="F204" s="27"/>
      <c r="G204" s="27"/>
      <c r="H204" s="27"/>
      <c r="I204" s="27"/>
      <c r="J204" s="27"/>
      <c r="K204" s="27"/>
      <c r="L204" s="27"/>
      <c r="M204" s="27"/>
    </row>
    <row r="205" s="5" collapsed="false" customFormat="true" customHeight="true" hidden="false" ht="25.5" outlineLevel="0">
      <c r="A205" s="25"/>
      <c r="B205" s="26"/>
      <c r="C205" s="26"/>
      <c r="D205" s="26"/>
      <c r="E205" s="27"/>
      <c r="F205" s="27"/>
      <c r="G205" s="27"/>
      <c r="H205" s="27"/>
      <c r="I205" s="27"/>
      <c r="J205" s="27"/>
      <c r="K205" s="27"/>
      <c r="L205" s="27"/>
      <c r="M205" s="27"/>
    </row>
    <row r="206" s="5" collapsed="false" customFormat="true" customHeight="true" hidden="false" ht="25.5" outlineLevel="0">
      <c r="A206" s="25"/>
      <c r="B206" s="26"/>
      <c r="C206" s="26"/>
      <c r="D206" s="26"/>
      <c r="E206" s="27"/>
      <c r="F206" s="27"/>
      <c r="G206" s="27"/>
      <c r="H206" s="27"/>
      <c r="I206" s="27"/>
      <c r="J206" s="27"/>
      <c r="K206" s="27"/>
      <c r="L206" s="27"/>
      <c r="M206" s="27"/>
    </row>
    <row r="207" s="5" collapsed="false" customFormat="true" customHeight="true" hidden="false" ht="25.5" outlineLevel="0">
      <c r="A207" s="25"/>
      <c r="B207" s="26"/>
      <c r="C207" s="26"/>
      <c r="D207" s="26"/>
      <c r="E207" s="27"/>
      <c r="F207" s="27"/>
      <c r="G207" s="27"/>
      <c r="H207" s="27"/>
      <c r="I207" s="27"/>
      <c r="J207" s="27"/>
      <c r="K207" s="27"/>
      <c r="L207" s="27"/>
      <c r="M207" s="27"/>
    </row>
    <row r="208" s="5" collapsed="false" customFormat="true" customHeight="true" hidden="false" ht="25.5" outlineLevel="0">
      <c r="A208" s="25"/>
      <c r="B208" s="26"/>
      <c r="C208" s="26"/>
      <c r="D208" s="26"/>
      <c r="E208" s="27"/>
      <c r="F208" s="27"/>
      <c r="G208" s="27"/>
      <c r="H208" s="27"/>
      <c r="I208" s="27"/>
      <c r="J208" s="27"/>
      <c r="K208" s="27"/>
      <c r="L208" s="27"/>
      <c r="M208" s="27"/>
    </row>
    <row r="209" s="5" collapsed="false" customFormat="true" customHeight="true" hidden="false" ht="25.5" outlineLevel="0">
      <c r="A209" s="25"/>
      <c r="B209" s="26"/>
      <c r="C209" s="26"/>
      <c r="D209" s="26"/>
      <c r="E209" s="27"/>
      <c r="F209" s="27"/>
      <c r="G209" s="27"/>
      <c r="H209" s="27"/>
      <c r="I209" s="27"/>
      <c r="J209" s="27"/>
      <c r="K209" s="27"/>
      <c r="L209" s="27"/>
      <c r="M209" s="27"/>
    </row>
    <row r="210" s="5" collapsed="false" customFormat="true" customHeight="true" hidden="false" ht="25.5" outlineLevel="0">
      <c r="A210" s="25"/>
      <c r="B210" s="26"/>
      <c r="C210" s="26"/>
      <c r="D210" s="26"/>
      <c r="E210" s="27"/>
      <c r="F210" s="27"/>
      <c r="G210" s="27"/>
      <c r="H210" s="27"/>
      <c r="I210" s="27"/>
      <c r="J210" s="27"/>
      <c r="K210" s="27"/>
      <c r="L210" s="27"/>
      <c r="M210" s="27"/>
    </row>
    <row r="211" s="5" collapsed="false" customFormat="true" customHeight="true" hidden="false" ht="25.5" outlineLevel="0">
      <c r="A211" s="25"/>
      <c r="B211" s="26"/>
      <c r="C211" s="26"/>
      <c r="D211" s="26"/>
      <c r="E211" s="27"/>
      <c r="F211" s="27"/>
      <c r="G211" s="27"/>
      <c r="H211" s="27"/>
      <c r="I211" s="27"/>
      <c r="J211" s="27"/>
      <c r="K211" s="27"/>
      <c r="L211" s="27"/>
      <c r="M211" s="27"/>
    </row>
    <row r="212" s="5" collapsed="false" customFormat="true" customHeight="true" hidden="false" ht="25.5" outlineLevel="0">
      <c r="A212" s="25"/>
      <c r="B212" s="26"/>
      <c r="C212" s="26"/>
      <c r="D212" s="26"/>
      <c r="E212" s="27"/>
      <c r="F212" s="27"/>
      <c r="G212" s="27"/>
      <c r="H212" s="27"/>
      <c r="I212" s="27"/>
      <c r="J212" s="27"/>
      <c r="K212" s="27"/>
      <c r="L212" s="27"/>
      <c r="M212" s="27"/>
    </row>
    <row r="213" s="5" collapsed="false" customFormat="true" customHeight="true" hidden="false" ht="25.5" outlineLevel="0">
      <c r="A213" s="25"/>
      <c r="B213" s="26"/>
      <c r="C213" s="26"/>
      <c r="D213" s="26"/>
      <c r="E213" s="27"/>
      <c r="F213" s="27"/>
      <c r="G213" s="27"/>
      <c r="H213" s="27"/>
      <c r="I213" s="27"/>
      <c r="J213" s="27"/>
      <c r="K213" s="27"/>
      <c r="L213" s="27"/>
      <c r="M213" s="27"/>
    </row>
    <row r="214" s="5" collapsed="false" customFormat="true" customHeight="true" hidden="false" ht="25.5" outlineLevel="0">
      <c r="A214" s="25"/>
      <c r="B214" s="26"/>
      <c r="C214" s="26"/>
      <c r="D214" s="26"/>
      <c r="E214" s="27"/>
      <c r="F214" s="27"/>
      <c r="G214" s="27"/>
      <c r="H214" s="27"/>
      <c r="I214" s="27"/>
      <c r="J214" s="27"/>
      <c r="K214" s="27"/>
      <c r="L214" s="27"/>
      <c r="M214" s="27"/>
    </row>
    <row r="215" s="5" collapsed="false" customFormat="true" customHeight="true" hidden="false" ht="25.5" outlineLevel="0">
      <c r="A215" s="25"/>
      <c r="B215" s="26"/>
      <c r="C215" s="26"/>
      <c r="D215" s="26"/>
      <c r="E215" s="27"/>
      <c r="F215" s="27"/>
      <c r="G215" s="27"/>
      <c r="H215" s="27"/>
      <c r="I215" s="27"/>
      <c r="J215" s="27"/>
      <c r="K215" s="27"/>
      <c r="L215" s="27"/>
      <c r="M215" s="27"/>
    </row>
    <row r="216" s="5" collapsed="false" customFormat="true" customHeight="true" hidden="false" ht="25.5" outlineLevel="0">
      <c r="A216" s="25"/>
      <c r="B216" s="26"/>
      <c r="C216" s="26"/>
      <c r="D216" s="26"/>
      <c r="E216" s="27"/>
      <c r="F216" s="27"/>
      <c r="G216" s="27"/>
      <c r="H216" s="27"/>
      <c r="I216" s="27"/>
      <c r="J216" s="27"/>
      <c r="K216" s="27"/>
      <c r="L216" s="27"/>
      <c r="M216" s="27"/>
    </row>
    <row r="217" s="5" collapsed="false" customFormat="true" customHeight="true" hidden="false" ht="25.5" outlineLevel="0">
      <c r="A217" s="25"/>
      <c r="B217" s="26"/>
      <c r="C217" s="26"/>
      <c r="D217" s="26"/>
      <c r="E217" s="27"/>
      <c r="F217" s="27"/>
      <c r="G217" s="27"/>
      <c r="H217" s="27"/>
      <c r="I217" s="27"/>
      <c r="J217" s="27"/>
      <c r="K217" s="27"/>
      <c r="L217" s="27"/>
      <c r="M217" s="27"/>
    </row>
    <row r="218" s="5" collapsed="false" customFormat="true" customHeight="true" hidden="false" ht="25.5" outlineLevel="0">
      <c r="A218" s="25"/>
      <c r="B218" s="26"/>
      <c r="C218" s="26"/>
      <c r="D218" s="26"/>
      <c r="E218" s="27"/>
      <c r="F218" s="27"/>
      <c r="G218" s="27"/>
      <c r="H218" s="27"/>
      <c r="I218" s="27"/>
      <c r="J218" s="27"/>
      <c r="K218" s="27"/>
      <c r="L218" s="27"/>
      <c r="M218" s="27"/>
    </row>
    <row r="219" s="5" collapsed="false" customFormat="true" customHeight="true" hidden="false" ht="25.5" outlineLevel="0">
      <c r="A219" s="25"/>
      <c r="B219" s="26"/>
      <c r="C219" s="26"/>
      <c r="D219" s="26"/>
      <c r="E219" s="27"/>
      <c r="F219" s="27"/>
      <c r="G219" s="27"/>
      <c r="H219" s="27"/>
      <c r="I219" s="27"/>
      <c r="J219" s="27"/>
      <c r="K219" s="27"/>
      <c r="L219" s="27"/>
      <c r="M219" s="27"/>
    </row>
    <row r="220" s="5" collapsed="false" customFormat="true" customHeight="true" hidden="false" ht="25.5" outlineLevel="0">
      <c r="A220" s="25"/>
      <c r="B220" s="26"/>
      <c r="C220" s="26"/>
      <c r="D220" s="26"/>
      <c r="E220" s="27"/>
      <c r="F220" s="27"/>
      <c r="G220" s="27"/>
      <c r="H220" s="27"/>
      <c r="I220" s="27"/>
      <c r="J220" s="27"/>
      <c r="K220" s="27"/>
      <c r="L220" s="27"/>
      <c r="M220" s="27"/>
    </row>
    <row r="221" s="5" collapsed="false" customFormat="true" customHeight="true" hidden="false" ht="25.5" outlineLevel="0">
      <c r="A221" s="25"/>
      <c r="B221" s="26"/>
      <c r="C221" s="26"/>
      <c r="D221" s="26"/>
      <c r="E221" s="27"/>
      <c r="F221" s="27"/>
      <c r="G221" s="27"/>
      <c r="H221" s="27"/>
      <c r="I221" s="27"/>
      <c r="J221" s="27"/>
      <c r="K221" s="27"/>
      <c r="L221" s="27"/>
      <c r="M221" s="27"/>
    </row>
    <row r="222" s="5" collapsed="false" customFormat="true" customHeight="true" hidden="false" ht="25.5" outlineLevel="0">
      <c r="A222" s="25"/>
      <c r="B222" s="26"/>
      <c r="C222" s="26"/>
      <c r="D222" s="26"/>
      <c r="E222" s="27"/>
      <c r="F222" s="27"/>
      <c r="G222" s="27"/>
      <c r="H222" s="27"/>
      <c r="I222" s="27"/>
      <c r="J222" s="27"/>
      <c r="K222" s="27"/>
      <c r="L222" s="27"/>
      <c r="M222" s="27"/>
    </row>
    <row r="223" s="5" collapsed="false" customFormat="true" customHeight="true" hidden="false" ht="25.5" outlineLevel="0">
      <c r="A223" s="25"/>
      <c r="B223" s="26"/>
      <c r="C223" s="26"/>
      <c r="D223" s="26"/>
      <c r="E223" s="27"/>
      <c r="F223" s="27"/>
      <c r="G223" s="27"/>
      <c r="H223" s="27"/>
      <c r="I223" s="27"/>
      <c r="J223" s="27"/>
      <c r="K223" s="27"/>
      <c r="L223" s="27"/>
      <c r="M223" s="27"/>
    </row>
    <row r="224" s="5" collapsed="false" customFormat="true" customHeight="true" hidden="false" ht="25.5" outlineLevel="0">
      <c r="A224" s="25"/>
      <c r="B224" s="26"/>
      <c r="C224" s="26"/>
      <c r="D224" s="26"/>
      <c r="E224" s="27"/>
      <c r="F224" s="27"/>
      <c r="G224" s="27"/>
      <c r="H224" s="27"/>
      <c r="I224" s="27"/>
      <c r="J224" s="27"/>
      <c r="K224" s="27"/>
      <c r="L224" s="27"/>
      <c r="M224" s="27"/>
    </row>
    <row r="225" s="5" collapsed="false" customFormat="true" customHeight="true" hidden="false" ht="25.5" outlineLevel="0">
      <c r="A225" s="25"/>
      <c r="B225" s="26"/>
      <c r="C225" s="26"/>
      <c r="D225" s="26"/>
      <c r="E225" s="27"/>
      <c r="F225" s="27"/>
      <c r="G225" s="27"/>
      <c r="H225" s="27"/>
      <c r="I225" s="27"/>
      <c r="J225" s="27"/>
      <c r="K225" s="27"/>
      <c r="L225" s="27"/>
      <c r="M225" s="27"/>
    </row>
    <row r="226" s="5" collapsed="false" customFormat="true" customHeight="true" hidden="false" ht="25.5" outlineLevel="0">
      <c r="A226" s="25"/>
      <c r="B226" s="26"/>
      <c r="C226" s="26"/>
      <c r="D226" s="26"/>
      <c r="E226" s="27"/>
      <c r="F226" s="27"/>
      <c r="G226" s="27"/>
      <c r="H226" s="27"/>
      <c r="I226" s="27"/>
      <c r="J226" s="27"/>
      <c r="K226" s="27"/>
      <c r="L226" s="27"/>
      <c r="M226" s="27"/>
    </row>
    <row r="227" s="5" collapsed="false" customFormat="true" customHeight="true" hidden="false" ht="25.5" outlineLevel="0">
      <c r="A227" s="25"/>
      <c r="B227" s="26"/>
      <c r="C227" s="26"/>
      <c r="D227" s="26"/>
      <c r="E227" s="27"/>
      <c r="F227" s="27"/>
      <c r="G227" s="27"/>
      <c r="H227" s="27"/>
      <c r="I227" s="27"/>
      <c r="J227" s="27"/>
      <c r="K227" s="27"/>
      <c r="L227" s="27"/>
      <c r="M227" s="27"/>
    </row>
    <row r="228" s="5" collapsed="false" customFormat="true" customHeight="true" hidden="false" ht="25.5" outlineLevel="0">
      <c r="A228" s="25"/>
      <c r="B228" s="26"/>
      <c r="C228" s="26"/>
      <c r="D228" s="26"/>
      <c r="E228" s="27"/>
      <c r="F228" s="27"/>
      <c r="G228" s="27"/>
      <c r="H228" s="27"/>
      <c r="I228" s="27"/>
      <c r="J228" s="27"/>
      <c r="K228" s="27"/>
      <c r="L228" s="27"/>
      <c r="M228" s="27"/>
    </row>
    <row r="229" s="5" collapsed="false" customFormat="true" customHeight="true" hidden="false" ht="25.5" outlineLevel="0">
      <c r="A229" s="25"/>
      <c r="B229" s="26"/>
      <c r="C229" s="26"/>
      <c r="D229" s="26"/>
      <c r="E229" s="27"/>
      <c r="F229" s="27"/>
      <c r="G229" s="27"/>
      <c r="H229" s="27"/>
      <c r="I229" s="27"/>
      <c r="J229" s="27"/>
      <c r="K229" s="27"/>
      <c r="L229" s="27"/>
      <c r="M229" s="27"/>
    </row>
    <row r="230" s="5" collapsed="false" customFormat="true" customHeight="true" hidden="false" ht="25.5" outlineLevel="0">
      <c r="A230" s="25"/>
      <c r="B230" s="26"/>
      <c r="C230" s="26"/>
      <c r="D230" s="26"/>
      <c r="E230" s="27"/>
      <c r="F230" s="27"/>
      <c r="G230" s="27"/>
      <c r="H230" s="27"/>
      <c r="I230" s="27"/>
      <c r="J230" s="27"/>
      <c r="K230" s="27"/>
      <c r="L230" s="27"/>
      <c r="M230" s="27"/>
    </row>
    <row r="231" s="5" collapsed="false" customFormat="true" customHeight="true" hidden="false" ht="25.5" outlineLevel="0">
      <c r="A231" s="25"/>
      <c r="B231" s="26"/>
      <c r="C231" s="26"/>
      <c r="D231" s="26"/>
      <c r="E231" s="27"/>
      <c r="F231" s="27"/>
      <c r="G231" s="27"/>
      <c r="H231" s="27"/>
      <c r="I231" s="27"/>
      <c r="J231" s="27"/>
      <c r="K231" s="27"/>
      <c r="L231" s="27"/>
      <c r="M231" s="27"/>
    </row>
    <row r="232" s="5" collapsed="false" customFormat="true" customHeight="true" hidden="false" ht="25.5" outlineLevel="0">
      <c r="A232" s="25"/>
      <c r="B232" s="26"/>
      <c r="C232" s="26"/>
      <c r="D232" s="26"/>
      <c r="E232" s="27"/>
      <c r="F232" s="27"/>
      <c r="G232" s="27"/>
      <c r="H232" s="27"/>
      <c r="I232" s="27"/>
      <c r="J232" s="27"/>
      <c r="K232" s="27"/>
      <c r="L232" s="27"/>
      <c r="M232" s="27"/>
    </row>
    <row r="233" s="5" collapsed="false" customFormat="true" customHeight="true" hidden="false" ht="25.5" outlineLevel="0">
      <c r="A233" s="25"/>
      <c r="B233" s="26"/>
      <c r="C233" s="26"/>
      <c r="D233" s="26"/>
      <c r="E233" s="27"/>
      <c r="F233" s="27"/>
      <c r="G233" s="27"/>
      <c r="H233" s="27"/>
      <c r="I233" s="27"/>
      <c r="J233" s="27"/>
      <c r="K233" s="27"/>
      <c r="L233" s="27"/>
      <c r="M233" s="27"/>
    </row>
    <row r="234" s="5" collapsed="false" customFormat="true" customHeight="true" hidden="false" ht="25.5" outlineLevel="0">
      <c r="A234" s="25"/>
      <c r="B234" s="26"/>
      <c r="C234" s="26"/>
      <c r="D234" s="26"/>
      <c r="E234" s="27"/>
      <c r="F234" s="27"/>
      <c r="G234" s="27"/>
      <c r="H234" s="27"/>
      <c r="I234" s="27"/>
      <c r="J234" s="27"/>
      <c r="K234" s="27"/>
      <c r="L234" s="27"/>
      <c r="M234" s="27"/>
    </row>
    <row r="235" s="5" collapsed="false" customFormat="true" customHeight="true" hidden="false" ht="25.5" outlineLevel="0">
      <c r="A235" s="25"/>
      <c r="B235" s="26"/>
      <c r="C235" s="26"/>
      <c r="D235" s="26"/>
      <c r="E235" s="27"/>
      <c r="F235" s="27"/>
      <c r="G235" s="27"/>
      <c r="H235" s="27"/>
      <c r="I235" s="27"/>
      <c r="J235" s="27"/>
      <c r="K235" s="27"/>
      <c r="L235" s="27"/>
      <c r="M235" s="27"/>
    </row>
    <row r="236" s="5" collapsed="false" customFormat="true" customHeight="true" hidden="false" ht="25.5" outlineLevel="0">
      <c r="A236" s="25"/>
      <c r="B236" s="26"/>
      <c r="C236" s="26"/>
      <c r="D236" s="26"/>
      <c r="E236" s="27"/>
      <c r="F236" s="27"/>
      <c r="G236" s="27"/>
      <c r="H236" s="27"/>
      <c r="I236" s="27"/>
      <c r="J236" s="27"/>
      <c r="K236" s="27"/>
      <c r="L236" s="27"/>
      <c r="M236" s="27"/>
    </row>
    <row r="237" s="5" collapsed="false" customFormat="true" customHeight="true" hidden="false" ht="25.5" outlineLevel="0">
      <c r="A237" s="25"/>
      <c r="B237" s="26"/>
      <c r="C237" s="26"/>
      <c r="D237" s="26"/>
      <c r="E237" s="27"/>
      <c r="F237" s="27"/>
      <c r="G237" s="27"/>
      <c r="H237" s="27"/>
      <c r="I237" s="27"/>
      <c r="J237" s="27"/>
      <c r="K237" s="27"/>
      <c r="L237" s="27"/>
      <c r="M237" s="27"/>
    </row>
    <row r="238" s="5" collapsed="false" customFormat="true" customHeight="true" hidden="false" ht="25.5" outlineLevel="0">
      <c r="A238" s="25"/>
      <c r="B238" s="26"/>
      <c r="C238" s="26"/>
      <c r="D238" s="26"/>
      <c r="E238" s="27"/>
      <c r="F238" s="27"/>
      <c r="G238" s="27"/>
      <c r="H238" s="27"/>
      <c r="I238" s="27"/>
      <c r="J238" s="27"/>
      <c r="K238" s="27"/>
      <c r="L238" s="27"/>
      <c r="M238" s="27"/>
    </row>
    <row r="239" s="5" collapsed="false" customFormat="true" customHeight="true" hidden="false" ht="25.5" outlineLevel="0">
      <c r="A239" s="25"/>
      <c r="B239" s="26"/>
      <c r="C239" s="26"/>
      <c r="D239" s="26"/>
      <c r="E239" s="27"/>
      <c r="F239" s="27"/>
      <c r="G239" s="27"/>
      <c r="H239" s="27"/>
      <c r="I239" s="27"/>
      <c r="J239" s="27"/>
      <c r="K239" s="27"/>
      <c r="L239" s="27"/>
      <c r="M239" s="27"/>
    </row>
    <row r="240" s="5" collapsed="false" customFormat="true" customHeight="true" hidden="false" ht="25.5" outlineLevel="0">
      <c r="A240" s="25"/>
      <c r="B240" s="26"/>
      <c r="C240" s="26"/>
      <c r="D240" s="26"/>
      <c r="E240" s="27"/>
      <c r="F240" s="27"/>
      <c r="G240" s="27"/>
      <c r="H240" s="27"/>
      <c r="I240" s="27"/>
      <c r="J240" s="27"/>
      <c r="K240" s="27"/>
      <c r="L240" s="27"/>
      <c r="M240" s="27"/>
    </row>
    <row r="241" s="5" collapsed="false" customFormat="true" customHeight="true" hidden="false" ht="25.5" outlineLevel="0">
      <c r="A241" s="25"/>
      <c r="B241" s="26"/>
      <c r="C241" s="26"/>
      <c r="D241" s="26"/>
      <c r="E241" s="27"/>
      <c r="F241" s="27"/>
      <c r="G241" s="27"/>
      <c r="H241" s="27"/>
      <c r="I241" s="27"/>
      <c r="J241" s="27"/>
      <c r="K241" s="27"/>
      <c r="L241" s="27"/>
      <c r="M241" s="27"/>
    </row>
    <row r="242" s="6" collapsed="false" customFormat="true" customHeight="true" hidden="false" ht="25.5" outlineLevel="0">
      <c r="A242" s="25"/>
      <c r="B242" s="26"/>
      <c r="C242" s="26"/>
      <c r="D242" s="26"/>
      <c r="E242" s="27"/>
      <c r="F242" s="27"/>
      <c r="G242" s="27"/>
      <c r="H242" s="27"/>
      <c r="I242" s="27"/>
      <c r="J242" s="27"/>
      <c r="K242" s="27"/>
      <c r="L242" s="27"/>
      <c r="M242" s="27"/>
    </row>
    <row r="243" s="6" collapsed="false" customFormat="true" customHeight="true" hidden="false" ht="25.5" outlineLevel="0">
      <c r="A243" s="25"/>
      <c r="B243" s="26"/>
      <c r="C243" s="26"/>
      <c r="D243" s="26"/>
      <c r="E243" s="27"/>
      <c r="F243" s="27"/>
      <c r="G243" s="27"/>
      <c r="H243" s="27"/>
      <c r="I243" s="27"/>
      <c r="J243" s="27"/>
      <c r="K243" s="27"/>
      <c r="L243" s="27"/>
      <c r="M243" s="27"/>
    </row>
    <row r="244" s="6" collapsed="false" customFormat="true" customHeight="true" hidden="false" ht="25.5" outlineLevel="0">
      <c r="A244" s="25"/>
      <c r="B244" s="26"/>
      <c r="C244" s="26"/>
      <c r="D244" s="26"/>
      <c r="E244" s="27"/>
      <c r="F244" s="27"/>
      <c r="G244" s="27"/>
      <c r="H244" s="27"/>
      <c r="I244" s="27"/>
      <c r="J244" s="27"/>
      <c r="K244" s="27"/>
      <c r="L244" s="27"/>
      <c r="M244" s="27"/>
    </row>
    <row r="245" s="6" collapsed="false" customFormat="true" customHeight="true" hidden="false" ht="25.5" outlineLevel="0">
      <c r="A245" s="25"/>
      <c r="B245" s="26"/>
      <c r="C245" s="26"/>
      <c r="D245" s="26"/>
      <c r="E245" s="27"/>
      <c r="F245" s="27"/>
      <c r="G245" s="27"/>
      <c r="H245" s="27"/>
      <c r="I245" s="27"/>
      <c r="J245" s="27"/>
      <c r="K245" s="27"/>
      <c r="L245" s="27"/>
      <c r="M245" s="27"/>
    </row>
    <row r="246" s="6" collapsed="false" customFormat="true" customHeight="true" hidden="false" ht="25.5" outlineLevel="0">
      <c r="A246" s="25"/>
      <c r="B246" s="26"/>
      <c r="C246" s="26"/>
      <c r="D246" s="26"/>
      <c r="E246" s="27"/>
      <c r="F246" s="27"/>
      <c r="G246" s="27"/>
      <c r="H246" s="27"/>
      <c r="I246" s="27"/>
      <c r="J246" s="27"/>
      <c r="K246" s="27"/>
      <c r="L246" s="27"/>
      <c r="M246" s="27"/>
    </row>
    <row r="247" s="6" collapsed="false" customFormat="true" customHeight="true" hidden="false" ht="25.5" outlineLevel="0">
      <c r="A247" s="25"/>
      <c r="B247" s="26"/>
      <c r="C247" s="26"/>
      <c r="D247" s="26"/>
      <c r="E247" s="27"/>
      <c r="F247" s="27"/>
      <c r="G247" s="27"/>
      <c r="H247" s="27"/>
      <c r="I247" s="27"/>
      <c r="J247" s="27"/>
      <c r="K247" s="27"/>
      <c r="L247" s="27"/>
      <c r="M247" s="27"/>
    </row>
    <row r="248" s="6" collapsed="false" customFormat="true" customHeight="true" hidden="false" ht="25.5" outlineLevel="0">
      <c r="A248" s="25"/>
      <c r="B248" s="26"/>
      <c r="C248" s="26"/>
      <c r="D248" s="26"/>
      <c r="E248" s="27"/>
      <c r="F248" s="27"/>
      <c r="G248" s="27"/>
      <c r="H248" s="27"/>
      <c r="I248" s="27"/>
      <c r="J248" s="27"/>
      <c r="K248" s="27"/>
      <c r="L248" s="27"/>
      <c r="M248" s="27"/>
    </row>
    <row r="249" s="6" collapsed="false" customFormat="true" customHeight="true" hidden="false" ht="25.5" outlineLevel="0">
      <c r="A249" s="25"/>
      <c r="B249" s="26"/>
      <c r="C249" s="26"/>
      <c r="D249" s="26"/>
      <c r="E249" s="27"/>
      <c r="F249" s="27"/>
      <c r="G249" s="27"/>
      <c r="H249" s="27"/>
      <c r="I249" s="27"/>
      <c r="J249" s="27"/>
      <c r="K249" s="27"/>
      <c r="L249" s="27"/>
      <c r="M249" s="27"/>
    </row>
    <row r="250" s="6" collapsed="false" customFormat="true" customHeight="true" hidden="false" ht="25.5" outlineLevel="0">
      <c r="A250" s="25"/>
      <c r="B250" s="26"/>
      <c r="C250" s="26"/>
      <c r="D250" s="26"/>
      <c r="E250" s="27"/>
      <c r="F250" s="27"/>
      <c r="G250" s="27"/>
      <c r="H250" s="27"/>
      <c r="I250" s="27"/>
      <c r="J250" s="27"/>
      <c r="K250" s="27"/>
      <c r="L250" s="27"/>
      <c r="M250" s="27"/>
    </row>
    <row r="251" s="6" collapsed="false" customFormat="true" customHeight="true" hidden="false" ht="25.5" outlineLevel="0">
      <c r="A251" s="25"/>
      <c r="B251" s="26"/>
      <c r="C251" s="26"/>
      <c r="D251" s="26"/>
      <c r="E251" s="27"/>
      <c r="F251" s="27"/>
      <c r="G251" s="27"/>
      <c r="H251" s="27"/>
      <c r="I251" s="27"/>
      <c r="J251" s="27"/>
      <c r="K251" s="27"/>
      <c r="L251" s="27"/>
      <c r="M251" s="27"/>
    </row>
    <row r="252" s="6" collapsed="false" customFormat="true" customHeight="true" hidden="false" ht="25.5" outlineLevel="0">
      <c r="A252" s="25"/>
      <c r="B252" s="26"/>
      <c r="C252" s="26"/>
      <c r="D252" s="26"/>
      <c r="E252" s="27"/>
      <c r="F252" s="27"/>
      <c r="G252" s="27"/>
      <c r="H252" s="27"/>
      <c r="I252" s="27"/>
      <c r="J252" s="27"/>
      <c r="K252" s="27"/>
      <c r="L252" s="27"/>
      <c r="M252" s="27"/>
    </row>
    <row r="253" s="6" collapsed="false" customFormat="true" customHeight="true" hidden="false" ht="25.5" outlineLevel="0">
      <c r="A253" s="25"/>
      <c r="B253" s="26"/>
      <c r="C253" s="26"/>
      <c r="D253" s="26"/>
      <c r="E253" s="27"/>
      <c r="F253" s="27"/>
      <c r="G253" s="27"/>
      <c r="H253" s="27"/>
      <c r="I253" s="27"/>
      <c r="J253" s="27"/>
      <c r="K253" s="27"/>
      <c r="L253" s="27"/>
      <c r="M253" s="27"/>
    </row>
    <row r="254" s="6" collapsed="false" customFormat="true" customHeight="true" hidden="false" ht="25.5" outlineLevel="0">
      <c r="A254" s="25"/>
      <c r="B254" s="26"/>
      <c r="C254" s="26"/>
      <c r="D254" s="26"/>
      <c r="E254" s="27"/>
      <c r="F254" s="27"/>
      <c r="G254" s="27"/>
      <c r="H254" s="27"/>
      <c r="I254" s="27"/>
      <c r="J254" s="27"/>
      <c r="K254" s="27"/>
      <c r="L254" s="27"/>
      <c r="M254" s="27"/>
    </row>
    <row r="255" s="6" collapsed="false" customFormat="true" customHeight="true" hidden="false" ht="25.5" outlineLevel="0">
      <c r="A255" s="25"/>
      <c r="B255" s="26"/>
      <c r="C255" s="26"/>
      <c r="D255" s="26"/>
      <c r="E255" s="27"/>
      <c r="F255" s="27"/>
      <c r="G255" s="27"/>
      <c r="H255" s="27"/>
      <c r="I255" s="27"/>
      <c r="J255" s="27"/>
      <c r="K255" s="27"/>
      <c r="L255" s="27"/>
      <c r="M255" s="27"/>
    </row>
    <row r="256" s="6" collapsed="false" customFormat="true" customHeight="true" hidden="false" ht="25.5" outlineLevel="0">
      <c r="A256" s="25"/>
      <c r="B256" s="26"/>
      <c r="C256" s="26"/>
      <c r="D256" s="26"/>
      <c r="E256" s="27"/>
      <c r="F256" s="27"/>
      <c r="G256" s="27"/>
      <c r="H256" s="27"/>
      <c r="I256" s="27"/>
      <c r="J256" s="27"/>
      <c r="K256" s="27"/>
      <c r="L256" s="27"/>
      <c r="M256" s="27"/>
    </row>
    <row r="257" s="6" collapsed="false" customFormat="true" customHeight="true" hidden="false" ht="25.5" outlineLevel="0">
      <c r="A257" s="25"/>
      <c r="B257" s="26"/>
      <c r="C257" s="26"/>
      <c r="D257" s="26"/>
      <c r="E257" s="27"/>
      <c r="F257" s="27"/>
      <c r="G257" s="27"/>
      <c r="H257" s="27"/>
      <c r="I257" s="27"/>
      <c r="J257" s="27"/>
      <c r="K257" s="27"/>
      <c r="L257" s="27"/>
      <c r="M257" s="27"/>
    </row>
    <row r="258" s="6" collapsed="false" customFormat="true" customHeight="true" hidden="false" ht="25.5" outlineLevel="0">
      <c r="A258" s="25"/>
      <c r="B258" s="26"/>
      <c r="C258" s="26"/>
      <c r="D258" s="26"/>
      <c r="E258" s="27"/>
      <c r="F258" s="27"/>
      <c r="G258" s="27"/>
      <c r="H258" s="27"/>
      <c r="I258" s="27"/>
      <c r="J258" s="27"/>
      <c r="K258" s="27"/>
      <c r="L258" s="27"/>
      <c r="M258" s="27"/>
    </row>
    <row r="259" s="6" collapsed="false" customFormat="true" customHeight="true" hidden="false" ht="25.5" outlineLevel="0">
      <c r="A259" s="25"/>
      <c r="B259" s="26"/>
      <c r="C259" s="26"/>
      <c r="D259" s="26"/>
      <c r="E259" s="27"/>
      <c r="F259" s="27"/>
      <c r="G259" s="27"/>
      <c r="H259" s="27"/>
      <c r="I259" s="27"/>
      <c r="J259" s="27"/>
      <c r="K259" s="27"/>
      <c r="L259" s="27"/>
      <c r="M259" s="27"/>
    </row>
    <row r="260" s="6" collapsed="false" customFormat="true" customHeight="true" hidden="false" ht="25.5" outlineLevel="0">
      <c r="A260" s="25"/>
      <c r="B260" s="26"/>
      <c r="C260" s="26"/>
      <c r="D260" s="26"/>
      <c r="E260" s="27"/>
      <c r="F260" s="27"/>
      <c r="G260" s="27"/>
      <c r="H260" s="27"/>
      <c r="I260" s="27"/>
      <c r="J260" s="27"/>
      <c r="K260" s="27"/>
      <c r="L260" s="27"/>
      <c r="M260" s="27"/>
    </row>
    <row r="261" s="6" collapsed="false" customFormat="true" customHeight="true" hidden="false" ht="25.5" outlineLevel="0">
      <c r="A261" s="25"/>
      <c r="B261" s="26"/>
      <c r="C261" s="26"/>
      <c r="D261" s="26"/>
      <c r="E261" s="27"/>
      <c r="F261" s="27"/>
      <c r="G261" s="27"/>
      <c r="H261" s="27"/>
      <c r="I261" s="27"/>
      <c r="J261" s="27"/>
      <c r="K261" s="27"/>
      <c r="L261" s="27"/>
      <c r="M261" s="27"/>
    </row>
    <row r="262" s="6" collapsed="false" customFormat="true" customHeight="true" hidden="false" ht="25.5" outlineLevel="0">
      <c r="A262" s="25"/>
      <c r="B262" s="26"/>
      <c r="C262" s="26"/>
      <c r="D262" s="26"/>
      <c r="E262" s="27"/>
      <c r="F262" s="27"/>
      <c r="G262" s="27"/>
      <c r="H262" s="27"/>
      <c r="I262" s="27"/>
      <c r="J262" s="27"/>
      <c r="K262" s="27"/>
      <c r="L262" s="27"/>
      <c r="M262" s="27"/>
    </row>
    <row r="263" s="6" collapsed="false" customFormat="true" customHeight="true" hidden="false" ht="25.5" outlineLevel="0">
      <c r="A263" s="25"/>
      <c r="B263" s="26"/>
      <c r="C263" s="26"/>
      <c r="D263" s="26"/>
      <c r="E263" s="27"/>
      <c r="F263" s="27"/>
      <c r="G263" s="27"/>
      <c r="H263" s="27"/>
      <c r="I263" s="27"/>
      <c r="J263" s="27"/>
      <c r="K263" s="27"/>
      <c r="L263" s="27"/>
      <c r="M263" s="27"/>
    </row>
    <row r="264" s="6" collapsed="false" customFormat="true" customHeight="true" hidden="false" ht="25.5" outlineLevel="0">
      <c r="A264" s="25"/>
      <c r="B264" s="26"/>
      <c r="C264" s="26"/>
      <c r="D264" s="26"/>
      <c r="E264" s="27"/>
      <c r="F264" s="27"/>
      <c r="G264" s="27"/>
      <c r="H264" s="27"/>
      <c r="I264" s="27"/>
      <c r="J264" s="27"/>
      <c r="K264" s="27"/>
      <c r="L264" s="27"/>
      <c r="M264" s="27"/>
    </row>
    <row r="265" s="6" collapsed="false" customFormat="true" customHeight="true" hidden="false" ht="25.5" outlineLevel="0">
      <c r="A265" s="25"/>
      <c r="B265" s="26"/>
      <c r="C265" s="26"/>
      <c r="D265" s="26"/>
      <c r="E265" s="27"/>
      <c r="F265" s="27"/>
      <c r="G265" s="27"/>
      <c r="H265" s="27"/>
      <c r="I265" s="27"/>
      <c r="J265" s="27"/>
      <c r="K265" s="27"/>
      <c r="L265" s="27"/>
      <c r="M265" s="27"/>
    </row>
    <row r="266" s="6" collapsed="false" customFormat="true" customHeight="true" hidden="false" ht="25.5" outlineLevel="0">
      <c r="A266" s="25"/>
      <c r="B266" s="26"/>
      <c r="C266" s="26"/>
      <c r="D266" s="26"/>
      <c r="E266" s="27"/>
      <c r="F266" s="27"/>
      <c r="G266" s="27"/>
      <c r="H266" s="27"/>
      <c r="I266" s="27"/>
      <c r="J266" s="27"/>
      <c r="K266" s="27"/>
      <c r="L266" s="27"/>
      <c r="M266" s="27"/>
    </row>
    <row r="267" s="6" collapsed="false" customFormat="true" customHeight="true" hidden="false" ht="25.5" outlineLevel="0">
      <c r="A267" s="25"/>
      <c r="B267" s="26"/>
      <c r="C267" s="26"/>
      <c r="D267" s="26"/>
      <c r="E267" s="27"/>
      <c r="F267" s="27"/>
      <c r="G267" s="27"/>
      <c r="H267" s="27"/>
      <c r="I267" s="27"/>
      <c r="J267" s="27"/>
      <c r="K267" s="27"/>
      <c r="L267" s="27"/>
      <c r="M267" s="27"/>
    </row>
    <row r="268" s="6" collapsed="false" customFormat="true" customHeight="true" hidden="false" ht="25.5" outlineLevel="0">
      <c r="A268" s="25"/>
      <c r="B268" s="26"/>
      <c r="C268" s="26"/>
      <c r="D268" s="26"/>
      <c r="E268" s="27"/>
      <c r="F268" s="27"/>
      <c r="G268" s="27"/>
      <c r="H268" s="27"/>
      <c r="I268" s="27"/>
      <c r="J268" s="27"/>
      <c r="K268" s="27"/>
      <c r="L268" s="27"/>
      <c r="M268" s="27"/>
    </row>
    <row r="269" s="6" collapsed="false" customFormat="true" customHeight="true" hidden="false" ht="25.5" outlineLevel="0">
      <c r="A269" s="25"/>
      <c r="B269" s="26"/>
      <c r="C269" s="26"/>
      <c r="D269" s="26"/>
      <c r="E269" s="27"/>
      <c r="F269" s="27"/>
      <c r="G269" s="27"/>
      <c r="H269" s="27"/>
      <c r="I269" s="27"/>
      <c r="J269" s="27"/>
      <c r="K269" s="27"/>
      <c r="L269" s="27"/>
      <c r="M269" s="27"/>
    </row>
    <row r="270" s="6" collapsed="false" customFormat="true" customHeight="true" hidden="false" ht="25.5" outlineLevel="0">
      <c r="A270" s="25"/>
      <c r="B270" s="26"/>
      <c r="C270" s="26"/>
      <c r="D270" s="26"/>
      <c r="E270" s="27"/>
      <c r="F270" s="27"/>
      <c r="G270" s="27"/>
      <c r="H270" s="27"/>
      <c r="I270" s="27"/>
      <c r="J270" s="27"/>
      <c r="K270" s="27"/>
      <c r="L270" s="27"/>
      <c r="M270" s="27"/>
    </row>
    <row r="271" s="6" collapsed="false" customFormat="true" customHeight="true" hidden="false" ht="25.5" outlineLevel="0">
      <c r="A271" s="25"/>
      <c r="B271" s="26"/>
      <c r="C271" s="26"/>
      <c r="D271" s="26"/>
      <c r="E271" s="27"/>
      <c r="F271" s="27"/>
      <c r="G271" s="27"/>
      <c r="H271" s="27"/>
      <c r="I271" s="27"/>
      <c r="J271" s="27"/>
      <c r="K271" s="27"/>
      <c r="L271" s="27"/>
      <c r="M271" s="27"/>
    </row>
    <row r="272" s="6" collapsed="false" customFormat="true" customHeight="true" hidden="false" ht="25.5" outlineLevel="0">
      <c r="A272" s="25"/>
      <c r="B272" s="26"/>
      <c r="C272" s="26"/>
      <c r="D272" s="26"/>
      <c r="E272" s="27"/>
      <c r="F272" s="27"/>
      <c r="G272" s="27"/>
      <c r="H272" s="27"/>
      <c r="I272" s="27"/>
      <c r="J272" s="27"/>
      <c r="K272" s="27"/>
      <c r="L272" s="27"/>
      <c r="M272" s="27"/>
    </row>
    <row r="273" s="6" collapsed="false" customFormat="true" customHeight="true" hidden="false" ht="25.5" outlineLevel="0">
      <c r="A273" s="25"/>
      <c r="B273" s="26"/>
      <c r="C273" s="26"/>
      <c r="D273" s="26"/>
      <c r="E273" s="27"/>
      <c r="F273" s="27"/>
      <c r="G273" s="27"/>
      <c r="H273" s="27"/>
      <c r="I273" s="27"/>
      <c r="J273" s="27"/>
      <c r="K273" s="27"/>
      <c r="L273" s="27"/>
      <c r="M273" s="27"/>
    </row>
    <row r="274" s="6" collapsed="false" customFormat="true" customHeight="true" hidden="false" ht="25.5" outlineLevel="0">
      <c r="A274" s="25"/>
      <c r="B274" s="26"/>
      <c r="C274" s="26"/>
      <c r="D274" s="26"/>
      <c r="E274" s="27"/>
      <c r="F274" s="27"/>
      <c r="G274" s="27"/>
      <c r="H274" s="27"/>
      <c r="I274" s="27"/>
      <c r="J274" s="27"/>
      <c r="K274" s="27"/>
      <c r="L274" s="27"/>
      <c r="M274" s="27"/>
    </row>
    <row r="275" s="6" collapsed="false" customFormat="true" customHeight="true" hidden="false" ht="25.5" outlineLevel="0">
      <c r="A275" s="25"/>
      <c r="B275" s="26"/>
      <c r="C275" s="26"/>
      <c r="D275" s="26"/>
      <c r="E275" s="27"/>
      <c r="F275" s="27"/>
      <c r="G275" s="27"/>
      <c r="H275" s="27"/>
      <c r="I275" s="27"/>
      <c r="J275" s="27"/>
      <c r="K275" s="27"/>
      <c r="L275" s="27"/>
      <c r="M275" s="27"/>
    </row>
    <row r="276" s="6" collapsed="false" customFormat="true" customHeight="true" hidden="false" ht="25.5" outlineLevel="0">
      <c r="A276" s="25"/>
      <c r="B276" s="26"/>
      <c r="C276" s="26"/>
      <c r="D276" s="26"/>
      <c r="E276" s="27"/>
      <c r="F276" s="27"/>
      <c r="G276" s="27"/>
      <c r="H276" s="27"/>
      <c r="I276" s="27"/>
      <c r="J276" s="27"/>
      <c r="K276" s="27"/>
      <c r="L276" s="27"/>
      <c r="M276" s="27"/>
    </row>
    <row r="277" s="6" collapsed="false" customFormat="true" customHeight="true" hidden="false" ht="25.5" outlineLevel="0">
      <c r="A277" s="25"/>
      <c r="B277" s="26"/>
      <c r="C277" s="26"/>
      <c r="D277" s="26"/>
      <c r="E277" s="27"/>
      <c r="F277" s="27"/>
      <c r="G277" s="27"/>
      <c r="H277" s="27"/>
      <c r="I277" s="27"/>
      <c r="J277" s="27"/>
      <c r="K277" s="27"/>
      <c r="L277" s="27"/>
      <c r="M277" s="27"/>
    </row>
    <row r="278" s="6" collapsed="false" customFormat="true" customHeight="true" hidden="false" ht="25.5" outlineLevel="0">
      <c r="A278" s="25"/>
      <c r="B278" s="26"/>
      <c r="C278" s="26"/>
      <c r="D278" s="26"/>
      <c r="E278" s="27"/>
      <c r="F278" s="27"/>
      <c r="G278" s="27"/>
      <c r="H278" s="27"/>
      <c r="I278" s="27"/>
      <c r="J278" s="27"/>
      <c r="K278" s="27"/>
      <c r="L278" s="27"/>
      <c r="M278" s="27"/>
    </row>
    <row r="279" s="6" collapsed="false" customFormat="true" customHeight="true" hidden="false" ht="25.5" outlineLevel="0">
      <c r="A279" s="25"/>
      <c r="B279" s="26"/>
      <c r="C279" s="26"/>
      <c r="D279" s="26"/>
      <c r="E279" s="27"/>
      <c r="F279" s="27"/>
      <c r="G279" s="27"/>
      <c r="H279" s="27"/>
      <c r="I279" s="27"/>
      <c r="J279" s="27"/>
      <c r="K279" s="27"/>
      <c r="L279" s="27"/>
      <c r="M279" s="27"/>
    </row>
    <row r="280" s="6" collapsed="false" customFormat="true" customHeight="true" hidden="false" ht="25.5" outlineLevel="0">
      <c r="A280" s="25"/>
      <c r="B280" s="26"/>
      <c r="C280" s="26"/>
      <c r="D280" s="26"/>
      <c r="E280" s="27"/>
      <c r="F280" s="27"/>
      <c r="G280" s="27"/>
      <c r="H280" s="27"/>
      <c r="I280" s="27"/>
      <c r="J280" s="27"/>
      <c r="K280" s="27"/>
      <c r="L280" s="27"/>
      <c r="M280" s="27"/>
    </row>
    <row r="281" s="6" collapsed="false" customFormat="true" customHeight="true" hidden="false" ht="25.5" outlineLevel="0">
      <c r="A281" s="25"/>
      <c r="B281" s="26"/>
      <c r="C281" s="26"/>
      <c r="D281" s="26"/>
      <c r="E281" s="27"/>
      <c r="F281" s="27"/>
      <c r="G281" s="27"/>
      <c r="H281" s="27"/>
      <c r="I281" s="27"/>
      <c r="J281" s="27"/>
      <c r="K281" s="27"/>
      <c r="L281" s="27"/>
      <c r="M281" s="27"/>
    </row>
    <row r="282" s="6" collapsed="false" customFormat="true" customHeight="true" hidden="false" ht="25.5" outlineLevel="0">
      <c r="A282" s="25"/>
      <c r="B282" s="26"/>
      <c r="C282" s="26"/>
      <c r="D282" s="26"/>
      <c r="E282" s="27"/>
      <c r="F282" s="27"/>
      <c r="G282" s="27"/>
      <c r="H282" s="27"/>
      <c r="I282" s="27"/>
      <c r="J282" s="27"/>
      <c r="K282" s="27"/>
      <c r="L282" s="27"/>
      <c r="M282" s="27"/>
    </row>
    <row r="283" s="6" collapsed="false" customFormat="true" customHeight="true" hidden="false" ht="25.5" outlineLevel="0">
      <c r="A283" s="25"/>
      <c r="B283" s="26"/>
      <c r="C283" s="26"/>
      <c r="D283" s="26"/>
      <c r="E283" s="27"/>
      <c r="F283" s="27"/>
      <c r="G283" s="27"/>
      <c r="H283" s="27"/>
      <c r="I283" s="27"/>
      <c r="J283" s="27"/>
      <c r="K283" s="27"/>
      <c r="L283" s="27"/>
      <c r="M283" s="27"/>
    </row>
    <row r="284" s="6" collapsed="false" customFormat="true" customHeight="true" hidden="false" ht="25.5" outlineLevel="0">
      <c r="A284" s="25"/>
      <c r="B284" s="26"/>
      <c r="C284" s="26"/>
      <c r="D284" s="26"/>
      <c r="E284" s="27"/>
      <c r="F284" s="27"/>
      <c r="G284" s="27"/>
      <c r="H284" s="27"/>
      <c r="I284" s="27"/>
      <c r="J284" s="27"/>
      <c r="K284" s="27"/>
      <c r="L284" s="27"/>
      <c r="M284" s="27"/>
    </row>
    <row r="285" s="6" collapsed="false" customFormat="true" customHeight="true" hidden="false" ht="25.5" outlineLevel="0">
      <c r="A285" s="25"/>
      <c r="B285" s="26"/>
      <c r="C285" s="26"/>
      <c r="D285" s="26"/>
      <c r="E285" s="27"/>
      <c r="F285" s="27"/>
      <c r="G285" s="27"/>
      <c r="H285" s="27"/>
      <c r="I285" s="27"/>
      <c r="J285" s="27"/>
      <c r="K285" s="27"/>
      <c r="L285" s="27"/>
      <c r="M285" s="27"/>
    </row>
    <row r="286" s="6" collapsed="false" customFormat="true" customHeight="true" hidden="false" ht="25.5" outlineLevel="0">
      <c r="A286" s="25"/>
      <c r="B286" s="26"/>
      <c r="C286" s="26"/>
      <c r="D286" s="26"/>
      <c r="E286" s="27"/>
      <c r="F286" s="27"/>
      <c r="G286" s="27"/>
      <c r="H286" s="27"/>
      <c r="I286" s="27"/>
      <c r="J286" s="27"/>
      <c r="K286" s="27"/>
      <c r="L286" s="27"/>
      <c r="M286" s="27"/>
    </row>
    <row r="287" s="6" collapsed="false" customFormat="true" customHeight="true" hidden="false" ht="25.5" outlineLevel="0">
      <c r="A287" s="25"/>
      <c r="B287" s="26"/>
      <c r="C287" s="26"/>
      <c r="D287" s="26"/>
      <c r="E287" s="27"/>
      <c r="F287" s="27"/>
      <c r="G287" s="27"/>
      <c r="H287" s="27"/>
      <c r="I287" s="27"/>
      <c r="J287" s="27"/>
      <c r="K287" s="27"/>
      <c r="L287" s="27"/>
      <c r="M287" s="27"/>
    </row>
    <row r="288" s="6" collapsed="false" customFormat="true" customHeight="true" hidden="false" ht="25.5" outlineLevel="0">
      <c r="A288" s="25"/>
      <c r="B288" s="26"/>
      <c r="C288" s="26"/>
      <c r="D288" s="26"/>
      <c r="E288" s="27"/>
      <c r="F288" s="27"/>
      <c r="G288" s="27"/>
      <c r="H288" s="27"/>
      <c r="I288" s="27"/>
      <c r="J288" s="27"/>
      <c r="K288" s="27"/>
      <c r="L288" s="27"/>
      <c r="M288" s="27"/>
    </row>
    <row r="289" s="6" collapsed="false" customFormat="true" customHeight="true" hidden="false" ht="25.5" outlineLevel="0">
      <c r="A289" s="25"/>
      <c r="B289" s="26"/>
      <c r="C289" s="26"/>
      <c r="D289" s="26"/>
      <c r="E289" s="27"/>
      <c r="F289" s="27"/>
      <c r="G289" s="27"/>
      <c r="H289" s="27"/>
      <c r="I289" s="27"/>
      <c r="J289" s="27"/>
      <c r="K289" s="27"/>
      <c r="L289" s="27"/>
      <c r="M289" s="27"/>
    </row>
    <row r="290" s="6" collapsed="false" customFormat="true" customHeight="true" hidden="false" ht="25.5" outlineLevel="0">
      <c r="A290" s="25"/>
      <c r="B290" s="26"/>
      <c r="C290" s="26"/>
      <c r="D290" s="26"/>
      <c r="E290" s="27"/>
      <c r="F290" s="27"/>
      <c r="G290" s="27"/>
      <c r="H290" s="27"/>
      <c r="I290" s="27"/>
      <c r="J290" s="27"/>
      <c r="K290" s="27"/>
      <c r="L290" s="27"/>
      <c r="M290" s="27"/>
    </row>
    <row r="291" s="6" collapsed="false" customFormat="true" customHeight="true" hidden="false" ht="25.5" outlineLevel="0">
      <c r="A291" s="25"/>
      <c r="B291" s="26"/>
      <c r="C291" s="26"/>
      <c r="D291" s="26"/>
      <c r="E291" s="27"/>
      <c r="F291" s="27"/>
      <c r="G291" s="27"/>
      <c r="H291" s="27"/>
      <c r="I291" s="27"/>
      <c r="J291" s="27"/>
      <c r="K291" s="27"/>
      <c r="L291" s="27"/>
      <c r="M291" s="27"/>
    </row>
    <row r="292" s="6" collapsed="false" customFormat="true" customHeight="true" hidden="false" ht="25.5" outlineLevel="0">
      <c r="A292" s="25"/>
      <c r="B292" s="26"/>
      <c r="C292" s="26"/>
      <c r="D292" s="26"/>
      <c r="E292" s="27"/>
      <c r="F292" s="27"/>
      <c r="G292" s="27"/>
      <c r="H292" s="27"/>
      <c r="I292" s="27"/>
      <c r="J292" s="27"/>
      <c r="K292" s="27"/>
      <c r="L292" s="27"/>
      <c r="M292" s="27"/>
    </row>
    <row r="293" s="6" collapsed="false" customFormat="true" customHeight="true" hidden="false" ht="25.5" outlineLevel="0">
      <c r="A293" s="25"/>
      <c r="B293" s="26"/>
      <c r="C293" s="26"/>
      <c r="D293" s="26"/>
      <c r="E293" s="27"/>
      <c r="F293" s="27"/>
      <c r="G293" s="27"/>
      <c r="H293" s="27"/>
      <c r="I293" s="27"/>
      <c r="J293" s="27"/>
      <c r="K293" s="27"/>
      <c r="L293" s="27"/>
      <c r="M293" s="27"/>
    </row>
    <row r="294" s="6" collapsed="false" customFormat="true" customHeight="true" hidden="false" ht="25.5" outlineLevel="0">
      <c r="A294" s="25"/>
      <c r="B294" s="26"/>
      <c r="C294" s="26"/>
      <c r="D294" s="26"/>
      <c r="E294" s="27"/>
      <c r="F294" s="27"/>
      <c r="G294" s="27"/>
      <c r="H294" s="27"/>
      <c r="I294" s="27"/>
      <c r="J294" s="27"/>
      <c r="K294" s="27"/>
      <c r="L294" s="27"/>
      <c r="M294" s="27"/>
    </row>
    <row r="295" s="6" collapsed="false" customFormat="true" customHeight="true" hidden="false" ht="25.5" outlineLevel="0">
      <c r="A295" s="25"/>
      <c r="B295" s="26"/>
      <c r="C295" s="26"/>
      <c r="D295" s="26"/>
      <c r="E295" s="27"/>
      <c r="F295" s="27"/>
      <c r="G295" s="27"/>
      <c r="H295" s="27"/>
      <c r="I295" s="27"/>
      <c r="J295" s="27"/>
      <c r="K295" s="27"/>
      <c r="L295" s="27"/>
      <c r="M295" s="27"/>
    </row>
    <row r="296" s="6" collapsed="false" customFormat="true" customHeight="true" hidden="false" ht="25.5" outlineLevel="0">
      <c r="A296" s="25"/>
      <c r="B296" s="26"/>
      <c r="C296" s="26"/>
      <c r="D296" s="26"/>
      <c r="E296" s="27"/>
      <c r="F296" s="27"/>
      <c r="G296" s="27"/>
      <c r="H296" s="27"/>
      <c r="I296" s="27"/>
      <c r="J296" s="27"/>
      <c r="K296" s="27"/>
      <c r="L296" s="27"/>
      <c r="M296" s="27"/>
    </row>
    <row r="297" s="6" collapsed="false" customFormat="true" customHeight="true" hidden="false" ht="25.5" outlineLevel="0">
      <c r="A297" s="25"/>
      <c r="B297" s="26"/>
      <c r="C297" s="26"/>
      <c r="D297" s="26"/>
      <c r="E297" s="27"/>
      <c r="F297" s="27"/>
      <c r="G297" s="27"/>
      <c r="H297" s="27"/>
      <c r="I297" s="27"/>
      <c r="J297" s="27"/>
      <c r="K297" s="27"/>
      <c r="L297" s="27"/>
      <c r="M297" s="27"/>
    </row>
    <row r="298" s="6" collapsed="false" customFormat="true" customHeight="true" hidden="false" ht="25.5" outlineLevel="0">
      <c r="A298" s="25"/>
      <c r="B298" s="26"/>
      <c r="C298" s="26"/>
      <c r="D298" s="26"/>
      <c r="E298" s="27"/>
      <c r="F298" s="27"/>
      <c r="G298" s="27"/>
      <c r="H298" s="27"/>
      <c r="I298" s="27"/>
      <c r="J298" s="27"/>
      <c r="K298" s="27"/>
      <c r="L298" s="27"/>
      <c r="M298" s="27"/>
    </row>
    <row r="299" s="6" collapsed="false" customFormat="true" customHeight="true" hidden="false" ht="25.5" outlineLevel="0">
      <c r="A299" s="25"/>
      <c r="B299" s="26"/>
      <c r="C299" s="26"/>
      <c r="D299" s="26"/>
      <c r="E299" s="27"/>
      <c r="F299" s="27"/>
      <c r="G299" s="27"/>
      <c r="H299" s="27"/>
      <c r="I299" s="27"/>
      <c r="J299" s="27"/>
      <c r="K299" s="27"/>
      <c r="L299" s="27"/>
      <c r="M299" s="27"/>
    </row>
    <row r="300" s="6" collapsed="false" customFormat="true" customHeight="true" hidden="false" ht="25.5" outlineLevel="0">
      <c r="A300" s="25"/>
      <c r="B300" s="26"/>
      <c r="C300" s="26"/>
      <c r="D300" s="26"/>
      <c r="E300" s="27"/>
      <c r="F300" s="27"/>
      <c r="G300" s="27"/>
      <c r="H300" s="27"/>
      <c r="I300" s="27"/>
      <c r="J300" s="27"/>
      <c r="K300" s="27"/>
      <c r="L300" s="27"/>
      <c r="M300" s="27"/>
    </row>
    <row r="301" s="6" collapsed="false" customFormat="true" customHeight="true" hidden="false" ht="25.5" outlineLevel="0">
      <c r="A301" s="25"/>
      <c r="B301" s="26"/>
      <c r="C301" s="26"/>
      <c r="D301" s="26"/>
      <c r="E301" s="27"/>
      <c r="F301" s="27"/>
      <c r="G301" s="27"/>
      <c r="H301" s="27"/>
      <c r="I301" s="27"/>
      <c r="J301" s="27"/>
      <c r="K301" s="27"/>
      <c r="L301" s="27"/>
      <c r="M301" s="27"/>
    </row>
    <row r="302" s="6" collapsed="false" customFormat="true" customHeight="true" hidden="false" ht="25.5" outlineLevel="0">
      <c r="A302" s="25"/>
      <c r="B302" s="26"/>
      <c r="C302" s="26"/>
      <c r="D302" s="26"/>
      <c r="E302" s="27"/>
      <c r="F302" s="27"/>
      <c r="G302" s="27"/>
      <c r="H302" s="27"/>
      <c r="I302" s="27"/>
      <c r="J302" s="27"/>
      <c r="K302" s="27"/>
      <c r="L302" s="27"/>
      <c r="M302" s="27"/>
    </row>
    <row r="303" s="6" collapsed="false" customFormat="true" customHeight="true" hidden="false" ht="25.5" outlineLevel="0">
      <c r="A303" s="25"/>
      <c r="B303" s="26"/>
      <c r="C303" s="26"/>
      <c r="D303" s="26"/>
      <c r="E303" s="27"/>
      <c r="F303" s="27"/>
      <c r="G303" s="27"/>
      <c r="H303" s="27"/>
      <c r="I303" s="27"/>
      <c r="J303" s="27"/>
      <c r="K303" s="27"/>
      <c r="L303" s="27"/>
      <c r="M303" s="27"/>
    </row>
    <row r="304" s="6" collapsed="false" customFormat="true" customHeight="true" hidden="false" ht="25.5" outlineLevel="0">
      <c r="A304" s="25"/>
      <c r="B304" s="26"/>
      <c r="C304" s="26"/>
      <c r="D304" s="26"/>
      <c r="E304" s="27"/>
      <c r="F304" s="27"/>
      <c r="G304" s="27"/>
      <c r="H304" s="27"/>
      <c r="I304" s="27"/>
      <c r="J304" s="27"/>
      <c r="K304" s="27"/>
      <c r="L304" s="27"/>
      <c r="M304" s="27"/>
    </row>
    <row r="305" s="6" collapsed="false" customFormat="true" customHeight="true" hidden="false" ht="25.5" outlineLevel="0">
      <c r="A305" s="25"/>
      <c r="B305" s="26"/>
      <c r="C305" s="26"/>
      <c r="D305" s="26"/>
      <c r="E305" s="27"/>
      <c r="F305" s="27"/>
      <c r="G305" s="27"/>
      <c r="H305" s="27"/>
      <c r="I305" s="27"/>
      <c r="J305" s="27"/>
      <c r="K305" s="27"/>
      <c r="L305" s="27"/>
      <c r="M305" s="27"/>
    </row>
    <row r="306" s="6" collapsed="false" customFormat="true" customHeight="true" hidden="false" ht="25.5" outlineLevel="0">
      <c r="A306" s="25"/>
      <c r="B306" s="26"/>
      <c r="C306" s="26"/>
      <c r="D306" s="26"/>
      <c r="E306" s="27"/>
      <c r="F306" s="27"/>
      <c r="G306" s="27"/>
      <c r="H306" s="27"/>
      <c r="I306" s="27"/>
      <c r="J306" s="27"/>
      <c r="K306" s="27"/>
      <c r="L306" s="27"/>
      <c r="M306" s="27"/>
    </row>
    <row r="307" s="6" collapsed="false" customFormat="true" customHeight="true" hidden="false" ht="25.5" outlineLevel="0">
      <c r="A307" s="25"/>
      <c r="B307" s="26"/>
      <c r="C307" s="26"/>
      <c r="D307" s="26"/>
      <c r="E307" s="27"/>
      <c r="F307" s="27"/>
      <c r="G307" s="27"/>
      <c r="H307" s="27"/>
      <c r="I307" s="27"/>
      <c r="J307" s="27"/>
      <c r="K307" s="27"/>
      <c r="L307" s="27"/>
      <c r="M307" s="27"/>
    </row>
    <row r="308" s="6" collapsed="false" customFormat="true" customHeight="true" hidden="false" ht="25.5" outlineLevel="0">
      <c r="A308" s="25"/>
      <c r="B308" s="26"/>
      <c r="C308" s="26"/>
      <c r="D308" s="26"/>
      <c r="E308" s="27"/>
      <c r="F308" s="27"/>
      <c r="G308" s="27"/>
      <c r="H308" s="27"/>
      <c r="I308" s="27"/>
      <c r="J308" s="27"/>
      <c r="K308" s="27"/>
      <c r="L308" s="27"/>
      <c r="M308" s="27"/>
    </row>
    <row r="309" s="6" collapsed="false" customFormat="true" customHeight="true" hidden="false" ht="25.5" outlineLevel="0">
      <c r="A309" s="25"/>
      <c r="B309" s="26"/>
      <c r="C309" s="26"/>
      <c r="D309" s="26"/>
      <c r="E309" s="27"/>
      <c r="F309" s="27"/>
      <c r="G309" s="27"/>
      <c r="H309" s="27"/>
      <c r="I309" s="27"/>
      <c r="J309" s="27"/>
      <c r="K309" s="27"/>
      <c r="L309" s="27"/>
      <c r="M309" s="27"/>
    </row>
    <row r="310" s="6" collapsed="false" customFormat="true" customHeight="true" hidden="false" ht="25.5" outlineLevel="0">
      <c r="A310" s="25"/>
      <c r="B310" s="26"/>
      <c r="C310" s="26"/>
      <c r="D310" s="26"/>
      <c r="E310" s="27"/>
      <c r="F310" s="27"/>
      <c r="G310" s="27"/>
      <c r="H310" s="27"/>
      <c r="I310" s="27"/>
      <c r="J310" s="27"/>
      <c r="K310" s="27"/>
      <c r="L310" s="27"/>
      <c r="M310" s="27"/>
    </row>
    <row r="311" s="6" collapsed="false" customFormat="true" customHeight="true" hidden="false" ht="25.5" outlineLevel="0">
      <c r="A311" s="25"/>
      <c r="B311" s="26"/>
      <c r="C311" s="26"/>
      <c r="D311" s="26"/>
      <c r="E311" s="27"/>
      <c r="F311" s="27"/>
      <c r="G311" s="27"/>
      <c r="H311" s="27"/>
      <c r="I311" s="27"/>
      <c r="J311" s="27"/>
      <c r="K311" s="27"/>
      <c r="L311" s="27"/>
      <c r="M311" s="27"/>
    </row>
    <row r="312" s="6" collapsed="false" customFormat="true" customHeight="true" hidden="false" ht="25.5" outlineLevel="0">
      <c r="A312" s="25"/>
      <c r="B312" s="26"/>
      <c r="C312" s="26"/>
      <c r="D312" s="26"/>
      <c r="E312" s="27"/>
      <c r="F312" s="27"/>
      <c r="G312" s="27"/>
      <c r="H312" s="27"/>
      <c r="I312" s="27"/>
      <c r="J312" s="27"/>
      <c r="K312" s="27"/>
      <c r="L312" s="27"/>
      <c r="M312" s="27"/>
    </row>
    <row r="313" s="6" collapsed="false" customFormat="true" customHeight="true" hidden="false" ht="25.5" outlineLevel="0">
      <c r="A313" s="25"/>
      <c r="B313" s="26"/>
      <c r="C313" s="26"/>
      <c r="D313" s="26"/>
      <c r="E313" s="27"/>
      <c r="F313" s="27"/>
      <c r="G313" s="27"/>
      <c r="H313" s="27"/>
      <c r="I313" s="27"/>
      <c r="J313" s="27"/>
      <c r="K313" s="27"/>
      <c r="L313" s="27"/>
      <c r="M313" s="27"/>
    </row>
    <row r="314" s="6" collapsed="false" customFormat="true" customHeight="true" hidden="false" ht="25.5" outlineLevel="0">
      <c r="A314" s="25"/>
      <c r="B314" s="26"/>
      <c r="C314" s="26"/>
      <c r="D314" s="26"/>
      <c r="E314" s="27"/>
      <c r="F314" s="27"/>
      <c r="G314" s="27"/>
      <c r="H314" s="27"/>
      <c r="I314" s="27"/>
      <c r="J314" s="27"/>
      <c r="K314" s="27"/>
      <c r="L314" s="27"/>
      <c r="M314" s="27"/>
    </row>
    <row r="315" s="6" collapsed="false" customFormat="true" customHeight="true" hidden="false" ht="25.5" outlineLevel="0">
      <c r="A315" s="25"/>
      <c r="B315" s="26"/>
      <c r="C315" s="26"/>
      <c r="D315" s="26"/>
      <c r="E315" s="27"/>
      <c r="F315" s="27"/>
      <c r="G315" s="27"/>
      <c r="H315" s="27"/>
      <c r="I315" s="27"/>
      <c r="J315" s="27"/>
      <c r="K315" s="27"/>
      <c r="L315" s="27"/>
      <c r="M315" s="27"/>
    </row>
    <row r="316" s="6" collapsed="false" customFormat="true" customHeight="true" hidden="false" ht="25.5" outlineLevel="0">
      <c r="A316" s="25"/>
      <c r="B316" s="26"/>
      <c r="C316" s="26"/>
      <c r="D316" s="26"/>
      <c r="E316" s="27"/>
      <c r="F316" s="27"/>
      <c r="G316" s="27"/>
      <c r="H316" s="27"/>
      <c r="I316" s="27"/>
      <c r="J316" s="27"/>
      <c r="K316" s="27"/>
      <c r="L316" s="27"/>
      <c r="M316" s="27"/>
    </row>
    <row r="317" s="6" collapsed="false" customFormat="true" customHeight="true" hidden="false" ht="25.5" outlineLevel="0">
      <c r="A317" s="25"/>
      <c r="B317" s="26"/>
      <c r="C317" s="26"/>
      <c r="D317" s="26"/>
      <c r="E317" s="27"/>
      <c r="F317" s="27"/>
      <c r="G317" s="27"/>
      <c r="H317" s="27"/>
      <c r="I317" s="27"/>
      <c r="J317" s="27"/>
      <c r="K317" s="27"/>
      <c r="L317" s="27"/>
      <c r="M317" s="27"/>
    </row>
    <row r="318" s="6" collapsed="false" customFormat="true" customHeight="true" hidden="false" ht="25.5" outlineLevel="0">
      <c r="A318" s="25"/>
      <c r="B318" s="26"/>
      <c r="C318" s="26"/>
      <c r="D318" s="26"/>
      <c r="E318" s="27"/>
      <c r="F318" s="27"/>
      <c r="G318" s="27"/>
      <c r="H318" s="27"/>
      <c r="I318" s="27"/>
      <c r="J318" s="27"/>
      <c r="K318" s="27"/>
      <c r="L318" s="27"/>
      <c r="M318" s="27"/>
    </row>
    <row r="319" s="6" collapsed="false" customFormat="true" customHeight="true" hidden="false" ht="25.5" outlineLevel="0">
      <c r="A319" s="25"/>
      <c r="B319" s="26"/>
      <c r="C319" s="26"/>
      <c r="D319" s="26"/>
      <c r="E319" s="27"/>
      <c r="F319" s="27"/>
      <c r="G319" s="27"/>
      <c r="H319" s="27"/>
      <c r="I319" s="27"/>
      <c r="J319" s="27"/>
      <c r="K319" s="27"/>
      <c r="L319" s="27"/>
      <c r="M319" s="27"/>
    </row>
    <row r="320" s="6" collapsed="false" customFormat="true" customHeight="true" hidden="false" ht="25.5" outlineLevel="0">
      <c r="A320" s="25"/>
      <c r="B320" s="26"/>
      <c r="C320" s="26"/>
      <c r="D320" s="26"/>
      <c r="E320" s="27"/>
      <c r="F320" s="27"/>
      <c r="G320" s="27"/>
      <c r="H320" s="27"/>
      <c r="I320" s="27"/>
      <c r="J320" s="27"/>
      <c r="K320" s="27"/>
      <c r="L320" s="27"/>
      <c r="M320" s="27"/>
    </row>
    <row r="321" s="6" collapsed="false" customFormat="true" customHeight="true" hidden="false" ht="25.5" outlineLevel="0">
      <c r="A321" s="25"/>
      <c r="B321" s="26"/>
      <c r="C321" s="26"/>
      <c r="D321" s="26"/>
      <c r="E321" s="27"/>
      <c r="F321" s="27"/>
      <c r="G321" s="27"/>
      <c r="H321" s="27"/>
      <c r="I321" s="27"/>
      <c r="J321" s="27"/>
      <c r="K321" s="27"/>
      <c r="L321" s="27"/>
      <c r="M321" s="27"/>
    </row>
    <row r="322" s="6" collapsed="false" customFormat="true" customHeight="true" hidden="false" ht="25.5" outlineLevel="0">
      <c r="A322" s="25"/>
      <c r="B322" s="26"/>
      <c r="C322" s="26"/>
      <c r="D322" s="26"/>
      <c r="E322" s="27"/>
      <c r="F322" s="27"/>
      <c r="G322" s="27"/>
      <c r="H322" s="27"/>
      <c r="I322" s="27"/>
      <c r="J322" s="27"/>
      <c r="K322" s="27"/>
      <c r="L322" s="27"/>
      <c r="M322" s="27"/>
    </row>
    <row r="323" s="6" collapsed="false" customFormat="true" customHeight="true" hidden="false" ht="25.5" outlineLevel="0">
      <c r="A323" s="25"/>
      <c r="B323" s="26"/>
      <c r="C323" s="26"/>
      <c r="D323" s="26"/>
      <c r="E323" s="27"/>
      <c r="F323" s="27"/>
      <c r="G323" s="27"/>
      <c r="H323" s="27"/>
      <c r="I323" s="27"/>
      <c r="J323" s="27"/>
      <c r="K323" s="27"/>
      <c r="L323" s="27"/>
      <c r="M323" s="27"/>
    </row>
    <row r="324" s="6" collapsed="false" customFormat="true" customHeight="true" hidden="false" ht="25.5" outlineLevel="0">
      <c r="A324" s="25"/>
      <c r="B324" s="26"/>
      <c r="C324" s="26"/>
      <c r="D324" s="26"/>
      <c r="E324" s="27"/>
      <c r="F324" s="27"/>
      <c r="G324" s="27"/>
      <c r="H324" s="27"/>
      <c r="I324" s="27"/>
      <c r="J324" s="27"/>
      <c r="K324" s="27"/>
      <c r="L324" s="27"/>
      <c r="M324" s="27"/>
    </row>
    <row r="325" s="6" collapsed="false" customFormat="true" customHeight="true" hidden="false" ht="25.5" outlineLevel="0">
      <c r="A325" s="25"/>
      <c r="B325" s="26"/>
      <c r="C325" s="26"/>
      <c r="D325" s="26"/>
      <c r="E325" s="27"/>
      <c r="F325" s="27"/>
      <c r="G325" s="27"/>
      <c r="H325" s="27"/>
      <c r="I325" s="27"/>
      <c r="J325" s="27"/>
      <c r="K325" s="27"/>
      <c r="L325" s="27"/>
      <c r="M325" s="27"/>
    </row>
    <row r="326" s="6" collapsed="false" customFormat="true" customHeight="true" hidden="false" ht="25.5" outlineLevel="0">
      <c r="A326" s="25"/>
      <c r="B326" s="26"/>
      <c r="C326" s="26"/>
      <c r="D326" s="26"/>
      <c r="E326" s="27"/>
      <c r="F326" s="27"/>
      <c r="G326" s="27"/>
      <c r="H326" s="27"/>
      <c r="I326" s="27"/>
      <c r="J326" s="27"/>
      <c r="K326" s="27"/>
      <c r="L326" s="27"/>
      <c r="M326" s="27"/>
    </row>
    <row r="327" s="6" collapsed="false" customFormat="true" customHeight="true" hidden="false" ht="25.5" outlineLevel="0">
      <c r="A327" s="25"/>
      <c r="B327" s="26"/>
      <c r="C327" s="26"/>
      <c r="D327" s="26"/>
      <c r="E327" s="27"/>
      <c r="F327" s="27"/>
      <c r="G327" s="27"/>
      <c r="H327" s="27"/>
      <c r="I327" s="27"/>
      <c r="J327" s="27"/>
      <c r="K327" s="27"/>
      <c r="L327" s="27"/>
      <c r="M327" s="27"/>
    </row>
    <row r="328" s="6" collapsed="false" customFormat="true" customHeight="true" hidden="false" ht="25.5" outlineLevel="0">
      <c r="A328" s="25"/>
      <c r="B328" s="26"/>
      <c r="C328" s="26"/>
      <c r="D328" s="26"/>
      <c r="E328" s="27"/>
      <c r="F328" s="27"/>
      <c r="G328" s="27"/>
      <c r="H328" s="27"/>
      <c r="I328" s="27"/>
      <c r="J328" s="27"/>
      <c r="K328" s="27"/>
      <c r="L328" s="27"/>
      <c r="M328" s="27"/>
    </row>
    <row r="329" s="6" collapsed="false" customFormat="true" customHeight="true" hidden="false" ht="25.5" outlineLevel="0">
      <c r="A329" s="25"/>
      <c r="B329" s="26"/>
      <c r="C329" s="26"/>
      <c r="D329" s="26"/>
      <c r="E329" s="27"/>
      <c r="F329" s="27"/>
      <c r="G329" s="27"/>
      <c r="H329" s="27"/>
      <c r="I329" s="27"/>
      <c r="J329" s="27"/>
      <c r="K329" s="27"/>
      <c r="L329" s="27"/>
      <c r="M329" s="27"/>
    </row>
    <row r="330" s="6" collapsed="false" customFormat="true" customHeight="true" hidden="false" ht="25.5" outlineLevel="0">
      <c r="A330" s="25"/>
      <c r="B330" s="26"/>
      <c r="C330" s="26"/>
      <c r="D330" s="26"/>
      <c r="E330" s="27"/>
      <c r="F330" s="27"/>
      <c r="G330" s="27"/>
      <c r="H330" s="27"/>
      <c r="I330" s="27"/>
      <c r="J330" s="27"/>
      <c r="K330" s="27"/>
      <c r="L330" s="27"/>
      <c r="M330" s="27"/>
    </row>
    <row r="331" s="6" collapsed="false" customFormat="true" customHeight="true" hidden="false" ht="25.5" outlineLevel="0">
      <c r="A331" s="25"/>
      <c r="B331" s="26"/>
      <c r="C331" s="26"/>
      <c r="D331" s="26"/>
      <c r="E331" s="27"/>
      <c r="F331" s="27"/>
      <c r="G331" s="27"/>
      <c r="H331" s="27"/>
      <c r="I331" s="27"/>
      <c r="J331" s="27"/>
      <c r="K331" s="27"/>
      <c r="L331" s="27"/>
      <c r="M331" s="27"/>
    </row>
    <row r="332" s="6" collapsed="false" customFormat="true" customHeight="true" hidden="false" ht="25.5" outlineLevel="0">
      <c r="A332" s="25"/>
      <c r="B332" s="26"/>
      <c r="C332" s="26"/>
      <c r="D332" s="26"/>
      <c r="E332" s="27"/>
      <c r="F332" s="27"/>
      <c r="G332" s="27"/>
      <c r="H332" s="27"/>
      <c r="I332" s="27"/>
      <c r="J332" s="27"/>
      <c r="K332" s="27"/>
      <c r="L332" s="27"/>
      <c r="M332" s="27"/>
    </row>
    <row r="333" s="6" collapsed="false" customFormat="true" customHeight="true" hidden="false" ht="25.5" outlineLevel="0">
      <c r="A333" s="25"/>
      <c r="B333" s="26"/>
      <c r="C333" s="26"/>
      <c r="D333" s="26"/>
      <c r="E333" s="27"/>
      <c r="F333" s="27"/>
      <c r="G333" s="27"/>
      <c r="H333" s="27"/>
      <c r="I333" s="27"/>
      <c r="J333" s="27"/>
      <c r="K333" s="27"/>
      <c r="L333" s="27"/>
      <c r="M333" s="27"/>
    </row>
    <row r="334" s="6" collapsed="false" customFormat="true" customHeight="true" hidden="false" ht="25.5" outlineLevel="0">
      <c r="A334" s="25"/>
      <c r="B334" s="26"/>
      <c r="C334" s="26"/>
      <c r="D334" s="26"/>
      <c r="E334" s="27"/>
      <c r="F334" s="27"/>
      <c r="G334" s="27"/>
      <c r="H334" s="27"/>
      <c r="I334" s="27"/>
      <c r="J334" s="27"/>
      <c r="K334" s="27"/>
      <c r="L334" s="27"/>
      <c r="M334" s="27"/>
    </row>
    <row r="335" s="6" collapsed="false" customFormat="true" customHeight="true" hidden="false" ht="25.5" outlineLevel="0">
      <c r="A335" s="25"/>
      <c r="B335" s="26"/>
      <c r="C335" s="26"/>
      <c r="D335" s="26"/>
      <c r="E335" s="27"/>
      <c r="F335" s="27"/>
      <c r="G335" s="27"/>
      <c r="H335" s="27"/>
      <c r="I335" s="27"/>
      <c r="J335" s="27"/>
      <c r="K335" s="27"/>
      <c r="L335" s="27"/>
      <c r="M335" s="27"/>
    </row>
    <row r="336" s="6" collapsed="false" customFormat="true" customHeight="true" hidden="false" ht="25.5" outlineLevel="0">
      <c r="A336" s="25"/>
      <c r="B336" s="26"/>
      <c r="C336" s="26"/>
      <c r="D336" s="26"/>
      <c r="E336" s="27"/>
      <c r="F336" s="27"/>
      <c r="G336" s="27"/>
      <c r="H336" s="27"/>
      <c r="I336" s="27"/>
      <c r="J336" s="27"/>
      <c r="K336" s="27"/>
      <c r="L336" s="27"/>
      <c r="M336" s="27"/>
    </row>
    <row r="337" s="6" collapsed="false" customFormat="true" customHeight="true" hidden="false" ht="25.5" outlineLevel="0">
      <c r="A337" s="25"/>
      <c r="B337" s="26"/>
      <c r="C337" s="26"/>
      <c r="D337" s="26"/>
      <c r="E337" s="27"/>
      <c r="F337" s="27"/>
      <c r="G337" s="27"/>
      <c r="H337" s="27"/>
      <c r="I337" s="27"/>
      <c r="J337" s="27"/>
      <c r="K337" s="27"/>
      <c r="L337" s="27"/>
      <c r="M337" s="27"/>
    </row>
    <row r="338" s="6" collapsed="false" customFormat="true" customHeight="true" hidden="false" ht="25.5" outlineLevel="0">
      <c r="A338" s="25"/>
      <c r="B338" s="26"/>
      <c r="C338" s="26"/>
      <c r="D338" s="26"/>
      <c r="E338" s="27"/>
      <c r="F338" s="27"/>
      <c r="G338" s="27"/>
      <c r="H338" s="27"/>
      <c r="I338" s="27"/>
      <c r="J338" s="27"/>
      <c r="K338" s="27"/>
      <c r="L338" s="27"/>
      <c r="M338" s="27"/>
    </row>
    <row r="339" s="6" collapsed="false" customFormat="true" customHeight="true" hidden="false" ht="25.5" outlineLevel="0">
      <c r="A339" s="25"/>
      <c r="B339" s="26"/>
      <c r="C339" s="26"/>
      <c r="D339" s="26"/>
      <c r="E339" s="27"/>
      <c r="F339" s="27"/>
      <c r="G339" s="27"/>
      <c r="H339" s="27"/>
      <c r="I339" s="27"/>
      <c r="J339" s="27"/>
      <c r="K339" s="27"/>
      <c r="L339" s="27"/>
      <c r="M339" s="27"/>
    </row>
    <row r="340" s="6" collapsed="false" customFormat="true" customHeight="true" hidden="false" ht="25.5" outlineLevel="0">
      <c r="A340" s="25"/>
      <c r="B340" s="26"/>
      <c r="C340" s="26"/>
      <c r="D340" s="26"/>
      <c r="E340" s="27"/>
      <c r="F340" s="27"/>
      <c r="G340" s="27"/>
      <c r="H340" s="27"/>
      <c r="I340" s="27"/>
      <c r="J340" s="27"/>
      <c r="K340" s="27"/>
      <c r="L340" s="27"/>
      <c r="M340" s="27"/>
    </row>
    <row r="341" s="6" collapsed="false" customFormat="true" customHeight="true" hidden="false" ht="25.5" outlineLevel="0">
      <c r="A341" s="25"/>
      <c r="B341" s="26"/>
      <c r="C341" s="26"/>
      <c r="D341" s="26"/>
      <c r="E341" s="27"/>
      <c r="F341" s="27"/>
      <c r="G341" s="27"/>
      <c r="H341" s="27"/>
      <c r="I341" s="27"/>
      <c r="J341" s="27"/>
      <c r="K341" s="27"/>
      <c r="L341" s="27"/>
      <c r="M341" s="27"/>
    </row>
    <row r="342" s="6" collapsed="false" customFormat="true" customHeight="true" hidden="false" ht="25.5" outlineLevel="0">
      <c r="A342" s="25"/>
      <c r="B342" s="26"/>
      <c r="C342" s="26"/>
      <c r="D342" s="26"/>
      <c r="E342" s="27"/>
      <c r="F342" s="27"/>
      <c r="G342" s="27"/>
      <c r="H342" s="27"/>
      <c r="I342" s="27"/>
      <c r="J342" s="27"/>
      <c r="K342" s="27"/>
      <c r="L342" s="27"/>
      <c r="M342" s="27"/>
    </row>
    <row r="343" s="6" collapsed="false" customFormat="true" customHeight="true" hidden="false" ht="25.5" outlineLevel="0">
      <c r="A343" s="25"/>
      <c r="B343" s="26"/>
      <c r="C343" s="26"/>
      <c r="D343" s="26"/>
      <c r="E343" s="27"/>
      <c r="F343" s="27"/>
      <c r="G343" s="27"/>
      <c r="H343" s="27"/>
      <c r="I343" s="27"/>
      <c r="J343" s="27"/>
      <c r="K343" s="27"/>
      <c r="L343" s="27"/>
      <c r="M343" s="27"/>
    </row>
    <row r="344" s="6" collapsed="false" customFormat="true" customHeight="true" hidden="false" ht="25.5" outlineLevel="0">
      <c r="A344" s="25"/>
      <c r="B344" s="26"/>
      <c r="C344" s="26"/>
      <c r="D344" s="26"/>
      <c r="E344" s="27"/>
      <c r="F344" s="27"/>
      <c r="G344" s="27"/>
      <c r="H344" s="27"/>
      <c r="I344" s="27"/>
      <c r="J344" s="27"/>
      <c r="K344" s="27"/>
      <c r="L344" s="27"/>
      <c r="M344" s="27"/>
    </row>
    <row r="345" s="6" collapsed="false" customFormat="true" customHeight="true" hidden="false" ht="25.5" outlineLevel="0">
      <c r="A345" s="25"/>
      <c r="B345" s="26"/>
      <c r="C345" s="26"/>
      <c r="D345" s="26"/>
      <c r="E345" s="27"/>
      <c r="F345" s="27"/>
      <c r="G345" s="27"/>
      <c r="H345" s="27"/>
      <c r="I345" s="27"/>
      <c r="J345" s="27"/>
      <c r="K345" s="27"/>
      <c r="L345" s="27"/>
      <c r="M345" s="27"/>
    </row>
    <row r="346" s="6" collapsed="false" customFormat="true" customHeight="true" hidden="false" ht="25.5" outlineLevel="0">
      <c r="A346" s="25"/>
      <c r="B346" s="26"/>
      <c r="C346" s="26"/>
      <c r="D346" s="26"/>
      <c r="E346" s="27"/>
      <c r="F346" s="27"/>
      <c r="G346" s="27"/>
      <c r="H346" s="27"/>
      <c r="I346" s="27"/>
      <c r="J346" s="27"/>
      <c r="K346" s="27"/>
      <c r="L346" s="27"/>
      <c r="M346" s="27"/>
    </row>
    <row r="347" s="6" collapsed="false" customFormat="true" customHeight="true" hidden="false" ht="25.5" outlineLevel="0">
      <c r="A347" s="25"/>
      <c r="B347" s="26"/>
      <c r="C347" s="26"/>
      <c r="D347" s="26"/>
      <c r="E347" s="27"/>
      <c r="F347" s="27"/>
      <c r="G347" s="27"/>
      <c r="H347" s="27"/>
      <c r="I347" s="27"/>
      <c r="J347" s="27"/>
      <c r="K347" s="27"/>
      <c r="L347" s="27"/>
      <c r="M347" s="27"/>
    </row>
    <row r="348" s="6" collapsed="false" customFormat="true" customHeight="true" hidden="false" ht="25.5" outlineLevel="0">
      <c r="A348" s="25"/>
      <c r="B348" s="26"/>
      <c r="C348" s="26"/>
      <c r="D348" s="26"/>
      <c r="E348" s="27"/>
      <c r="F348" s="27"/>
      <c r="G348" s="27"/>
      <c r="H348" s="27"/>
      <c r="I348" s="27"/>
      <c r="J348" s="27"/>
      <c r="K348" s="27"/>
      <c r="L348" s="27"/>
      <c r="M348" s="27"/>
    </row>
    <row r="349" s="6" collapsed="false" customFormat="true" customHeight="true" hidden="false" ht="25.5" outlineLevel="0">
      <c r="A349" s="25"/>
      <c r="B349" s="26"/>
      <c r="C349" s="26"/>
      <c r="D349" s="26"/>
      <c r="E349" s="27"/>
      <c r="F349" s="27"/>
      <c r="G349" s="27"/>
      <c r="H349" s="27"/>
      <c r="I349" s="27"/>
      <c r="J349" s="27"/>
      <c r="K349" s="27"/>
      <c r="L349" s="27"/>
      <c r="M349" s="27"/>
    </row>
    <row r="350" s="6" collapsed="false" customFormat="true" customHeight="true" hidden="false" ht="25.5" outlineLevel="0">
      <c r="A350" s="25"/>
      <c r="B350" s="26"/>
      <c r="C350" s="26"/>
      <c r="D350" s="26"/>
      <c r="E350" s="27"/>
      <c r="F350" s="27"/>
      <c r="G350" s="27"/>
      <c r="H350" s="27"/>
      <c r="I350" s="27"/>
      <c r="J350" s="27"/>
      <c r="K350" s="27"/>
      <c r="L350" s="27"/>
      <c r="M350" s="27"/>
    </row>
    <row r="351" s="6" collapsed="false" customFormat="true" customHeight="true" hidden="false" ht="25.5" outlineLevel="0">
      <c r="A351" s="25"/>
      <c r="B351" s="26"/>
      <c r="C351" s="26"/>
      <c r="D351" s="26"/>
      <c r="E351" s="27"/>
      <c r="F351" s="27"/>
      <c r="G351" s="27"/>
      <c r="H351" s="27"/>
      <c r="I351" s="27"/>
      <c r="J351" s="27"/>
      <c r="K351" s="27"/>
      <c r="L351" s="27"/>
      <c r="M351" s="27"/>
    </row>
    <row r="352" s="6" collapsed="false" customFormat="true" customHeight="true" hidden="false" ht="25.5" outlineLevel="0">
      <c r="A352" s="25"/>
      <c r="B352" s="26"/>
      <c r="C352" s="26"/>
      <c r="D352" s="26"/>
      <c r="E352" s="27"/>
      <c r="F352" s="27"/>
      <c r="G352" s="27"/>
      <c r="H352" s="27"/>
      <c r="I352" s="27"/>
      <c r="J352" s="27"/>
      <c r="K352" s="27"/>
      <c r="L352" s="27"/>
      <c r="M352" s="27"/>
    </row>
    <row r="353" s="6" collapsed="false" customFormat="true" customHeight="true" hidden="false" ht="25.5" outlineLevel="0">
      <c r="A353" s="25"/>
      <c r="B353" s="26"/>
      <c r="C353" s="26"/>
      <c r="D353" s="26"/>
      <c r="E353" s="27"/>
      <c r="F353" s="27"/>
      <c r="G353" s="27"/>
      <c r="H353" s="27"/>
      <c r="I353" s="27"/>
      <c r="J353" s="27"/>
      <c r="K353" s="27"/>
      <c r="L353" s="27"/>
      <c r="M353" s="27"/>
    </row>
    <row r="354" s="6" collapsed="false" customFormat="true" customHeight="true" hidden="false" ht="25.5" outlineLevel="0">
      <c r="A354" s="25"/>
      <c r="B354" s="26"/>
      <c r="C354" s="26"/>
      <c r="D354" s="26"/>
      <c r="E354" s="27"/>
      <c r="F354" s="27"/>
      <c r="G354" s="27"/>
      <c r="H354" s="27"/>
      <c r="I354" s="27"/>
      <c r="J354" s="27"/>
      <c r="K354" s="27"/>
      <c r="L354" s="27"/>
      <c r="M354" s="27"/>
    </row>
    <row r="355" s="6" collapsed="false" customFormat="true" customHeight="true" hidden="false" ht="25.5" outlineLevel="0">
      <c r="A355" s="25"/>
      <c r="B355" s="26"/>
      <c r="C355" s="26"/>
      <c r="D355" s="26"/>
      <c r="E355" s="27"/>
      <c r="F355" s="27"/>
      <c r="G355" s="27"/>
      <c r="H355" s="27"/>
      <c r="I355" s="27"/>
      <c r="J355" s="27"/>
      <c r="K355" s="27"/>
      <c r="L355" s="27"/>
      <c r="M355" s="27"/>
    </row>
    <row r="356" s="6" collapsed="false" customFormat="true" customHeight="true" hidden="false" ht="25.5" outlineLevel="0">
      <c r="A356" s="25"/>
      <c r="B356" s="26"/>
      <c r="C356" s="26"/>
      <c r="D356" s="26"/>
      <c r="E356" s="27"/>
      <c r="F356" s="27"/>
      <c r="G356" s="27"/>
      <c r="H356" s="27"/>
      <c r="I356" s="27"/>
      <c r="J356" s="27"/>
      <c r="K356" s="27"/>
      <c r="L356" s="27"/>
      <c r="M356" s="27"/>
    </row>
    <row r="357" s="6" collapsed="false" customFormat="true" customHeight="true" hidden="false" ht="25.5" outlineLevel="0">
      <c r="A357" s="25"/>
      <c r="B357" s="26"/>
      <c r="C357" s="26"/>
      <c r="D357" s="26"/>
      <c r="E357" s="27"/>
      <c r="F357" s="27"/>
      <c r="G357" s="27"/>
      <c r="H357" s="27"/>
      <c r="I357" s="27"/>
      <c r="J357" s="27"/>
      <c r="K357" s="27"/>
      <c r="L357" s="27"/>
      <c r="M357" s="27"/>
    </row>
    <row r="358" s="6" collapsed="false" customFormat="true" customHeight="true" hidden="false" ht="25.5" outlineLevel="0">
      <c r="A358" s="25"/>
      <c r="B358" s="26"/>
      <c r="C358" s="26"/>
      <c r="D358" s="26"/>
      <c r="E358" s="27"/>
      <c r="F358" s="27"/>
      <c r="G358" s="27"/>
      <c r="H358" s="27"/>
      <c r="I358" s="27"/>
      <c r="J358" s="27"/>
      <c r="K358" s="27"/>
      <c r="L358" s="27"/>
      <c r="M358" s="27"/>
    </row>
    <row r="359" s="6" collapsed="false" customFormat="true" customHeight="true" hidden="false" ht="25.5" outlineLevel="0">
      <c r="A359" s="25"/>
      <c r="B359" s="26"/>
      <c r="C359" s="26"/>
      <c r="D359" s="26"/>
      <c r="E359" s="27"/>
      <c r="F359" s="27"/>
      <c r="G359" s="27"/>
      <c r="H359" s="27"/>
      <c r="I359" s="27"/>
      <c r="J359" s="27"/>
      <c r="K359" s="27"/>
      <c r="L359" s="27"/>
      <c r="M359" s="27"/>
    </row>
    <row r="360" s="6" collapsed="false" customFormat="true" customHeight="true" hidden="false" ht="25.5" outlineLevel="0">
      <c r="A360" s="25"/>
      <c r="B360" s="26"/>
      <c r="C360" s="26"/>
      <c r="D360" s="26"/>
      <c r="E360" s="27"/>
      <c r="F360" s="27"/>
      <c r="G360" s="27"/>
      <c r="H360" s="27"/>
      <c r="I360" s="27"/>
      <c r="J360" s="27"/>
      <c r="K360" s="27"/>
      <c r="L360" s="27"/>
      <c r="M360" s="27"/>
    </row>
    <row r="361" s="6" collapsed="false" customFormat="true" customHeight="true" hidden="false" ht="25.5" outlineLevel="0">
      <c r="A361" s="25"/>
      <c r="B361" s="26"/>
      <c r="C361" s="26"/>
      <c r="D361" s="26"/>
      <c r="E361" s="27"/>
      <c r="F361" s="27"/>
      <c r="G361" s="27"/>
      <c r="H361" s="27"/>
      <c r="I361" s="27"/>
      <c r="J361" s="27"/>
      <c r="K361" s="27"/>
      <c r="L361" s="27"/>
      <c r="M361" s="27"/>
    </row>
    <row r="362" s="6" collapsed="false" customFormat="true" customHeight="true" hidden="false" ht="25.5" outlineLevel="0">
      <c r="A362" s="25"/>
      <c r="B362" s="26"/>
      <c r="C362" s="26"/>
      <c r="D362" s="26"/>
      <c r="E362" s="27"/>
      <c r="F362" s="27"/>
      <c r="G362" s="27"/>
      <c r="H362" s="27"/>
      <c r="I362" s="27"/>
      <c r="J362" s="27"/>
      <c r="K362" s="27"/>
      <c r="L362" s="27"/>
      <c r="M362" s="27"/>
    </row>
    <row r="363" s="6" collapsed="false" customFormat="true" customHeight="true" hidden="false" ht="25.5" outlineLevel="0">
      <c r="A363" s="25"/>
      <c r="B363" s="26"/>
      <c r="C363" s="26"/>
      <c r="D363" s="26"/>
      <c r="E363" s="27"/>
      <c r="F363" s="27"/>
      <c r="G363" s="27"/>
      <c r="H363" s="27"/>
      <c r="I363" s="27"/>
      <c r="J363" s="27"/>
      <c r="K363" s="27"/>
      <c r="L363" s="27"/>
      <c r="M363" s="27"/>
    </row>
    <row r="364" s="6" collapsed="false" customFormat="true" customHeight="true" hidden="false" ht="25.5" outlineLevel="0">
      <c r="A364" s="25"/>
      <c r="B364" s="26"/>
      <c r="C364" s="26"/>
      <c r="D364" s="26"/>
      <c r="E364" s="27"/>
      <c r="F364" s="27"/>
      <c r="G364" s="27"/>
      <c r="H364" s="27"/>
      <c r="I364" s="27"/>
      <c r="J364" s="27"/>
      <c r="K364" s="27"/>
      <c r="L364" s="27"/>
      <c r="M364" s="27"/>
    </row>
    <row r="365" s="6" collapsed="false" customFormat="true" customHeight="true" hidden="false" ht="25.5" outlineLevel="0">
      <c r="A365" s="25"/>
      <c r="B365" s="26"/>
      <c r="C365" s="26"/>
      <c r="D365" s="26"/>
      <c r="E365" s="27"/>
      <c r="F365" s="27"/>
      <c r="G365" s="27"/>
      <c r="H365" s="27"/>
      <c r="I365" s="27"/>
      <c r="J365" s="27"/>
      <c r="K365" s="27"/>
      <c r="L365" s="27"/>
      <c r="M365" s="27"/>
    </row>
    <row r="366" s="6" collapsed="false" customFormat="true" customHeight="true" hidden="false" ht="25.5" outlineLevel="0">
      <c r="A366" s="25"/>
      <c r="B366" s="26"/>
      <c r="C366" s="26"/>
      <c r="D366" s="26"/>
      <c r="E366" s="27"/>
      <c r="F366" s="27"/>
      <c r="G366" s="27"/>
      <c r="H366" s="27"/>
      <c r="I366" s="27"/>
      <c r="J366" s="27"/>
      <c r="K366" s="27"/>
      <c r="L366" s="27"/>
      <c r="M366" s="27"/>
    </row>
    <row r="367" s="6" collapsed="false" customFormat="true" customHeight="true" hidden="false" ht="25.5" outlineLevel="0">
      <c r="A367" s="25"/>
      <c r="B367" s="26"/>
      <c r="C367" s="26"/>
      <c r="D367" s="26"/>
      <c r="E367" s="27"/>
      <c r="F367" s="27"/>
      <c r="G367" s="27"/>
      <c r="H367" s="27"/>
      <c r="I367" s="27"/>
      <c r="J367" s="27"/>
      <c r="K367" s="27"/>
      <c r="L367" s="27"/>
      <c r="M367" s="27"/>
    </row>
    <row r="368" s="6" collapsed="false" customFormat="true" customHeight="true" hidden="false" ht="25.5" outlineLevel="0">
      <c r="A368" s="25"/>
      <c r="B368" s="26"/>
      <c r="C368" s="26"/>
      <c r="D368" s="26"/>
      <c r="E368" s="27"/>
      <c r="F368" s="27"/>
      <c r="G368" s="27"/>
      <c r="H368" s="27"/>
      <c r="I368" s="27"/>
      <c r="J368" s="27"/>
      <c r="K368" s="27"/>
      <c r="L368" s="27"/>
      <c r="M368" s="27"/>
    </row>
    <row r="369" s="6" collapsed="false" customFormat="true" customHeight="true" hidden="false" ht="25.5" outlineLevel="0">
      <c r="A369" s="25"/>
      <c r="B369" s="26"/>
      <c r="C369" s="26"/>
      <c r="D369" s="26"/>
      <c r="E369" s="27"/>
      <c r="F369" s="27"/>
      <c r="G369" s="27"/>
      <c r="H369" s="27"/>
      <c r="I369" s="27"/>
      <c r="J369" s="27"/>
      <c r="K369" s="27"/>
      <c r="L369" s="27"/>
      <c r="M369" s="27"/>
    </row>
    <row r="370" s="6" collapsed="false" customFormat="true" customHeight="true" hidden="false" ht="25.5" outlineLevel="0">
      <c r="A370" s="25"/>
      <c r="B370" s="26"/>
      <c r="C370" s="26"/>
      <c r="D370" s="26"/>
      <c r="E370" s="27"/>
      <c r="F370" s="27"/>
      <c r="G370" s="27"/>
      <c r="H370" s="27"/>
      <c r="I370" s="27"/>
      <c r="J370" s="27"/>
      <c r="K370" s="27"/>
      <c r="L370" s="27"/>
      <c r="M370" s="27"/>
    </row>
    <row r="371" s="6" collapsed="false" customFormat="true" customHeight="true" hidden="false" ht="25.5" outlineLevel="0">
      <c r="A371" s="25"/>
      <c r="B371" s="26"/>
      <c r="C371" s="26"/>
      <c r="D371" s="26"/>
      <c r="E371" s="27"/>
      <c r="F371" s="27"/>
      <c r="G371" s="27"/>
      <c r="H371" s="27"/>
      <c r="I371" s="27"/>
      <c r="J371" s="27"/>
      <c r="K371" s="27"/>
      <c r="L371" s="27"/>
      <c r="M371" s="27"/>
    </row>
    <row r="372" s="6" collapsed="false" customFormat="true" customHeight="true" hidden="false" ht="25.5" outlineLevel="0">
      <c r="A372" s="25"/>
      <c r="B372" s="26"/>
      <c r="C372" s="26"/>
      <c r="D372" s="26"/>
      <c r="E372" s="27"/>
      <c r="F372" s="27"/>
      <c r="G372" s="27"/>
      <c r="H372" s="27"/>
      <c r="I372" s="27"/>
      <c r="J372" s="27"/>
      <c r="K372" s="27"/>
      <c r="L372" s="27"/>
      <c r="M372" s="27"/>
    </row>
    <row r="373" s="6" collapsed="false" customFormat="true" customHeight="true" hidden="false" ht="25.5" outlineLevel="0">
      <c r="A373" s="25"/>
      <c r="B373" s="26"/>
      <c r="C373" s="26"/>
      <c r="D373" s="26"/>
      <c r="E373" s="27"/>
      <c r="F373" s="27"/>
      <c r="G373" s="27"/>
      <c r="H373" s="27"/>
      <c r="I373" s="27"/>
      <c r="J373" s="27"/>
      <c r="K373" s="27"/>
      <c r="L373" s="27"/>
      <c r="M373" s="27"/>
    </row>
    <row r="374" s="6" collapsed="false" customFormat="true" customHeight="true" hidden="false" ht="25.5" outlineLevel="0">
      <c r="A374" s="25"/>
      <c r="B374" s="26"/>
      <c r="C374" s="26"/>
      <c r="D374" s="26"/>
      <c r="E374" s="27"/>
      <c r="F374" s="27"/>
      <c r="G374" s="27"/>
      <c r="H374" s="27"/>
      <c r="I374" s="27"/>
      <c r="J374" s="27"/>
      <c r="K374" s="27"/>
      <c r="L374" s="27"/>
      <c r="M374" s="27"/>
    </row>
    <row r="375" s="6" collapsed="false" customFormat="true" customHeight="true" hidden="false" ht="25.5" outlineLevel="0">
      <c r="A375" s="25"/>
      <c r="B375" s="26"/>
      <c r="C375" s="26"/>
      <c r="D375" s="26"/>
      <c r="E375" s="27"/>
      <c r="F375" s="27"/>
      <c r="G375" s="27"/>
      <c r="H375" s="27"/>
      <c r="I375" s="27"/>
      <c r="J375" s="27"/>
      <c r="K375" s="27"/>
      <c r="L375" s="27"/>
      <c r="M375" s="27"/>
    </row>
    <row r="376" s="6" collapsed="false" customFormat="true" customHeight="true" hidden="false" ht="25.5" outlineLevel="0">
      <c r="A376" s="25"/>
      <c r="B376" s="26"/>
      <c r="C376" s="26"/>
      <c r="D376" s="26"/>
      <c r="E376" s="27"/>
      <c r="F376" s="27"/>
      <c r="G376" s="27"/>
      <c r="H376" s="27"/>
      <c r="I376" s="27"/>
      <c r="J376" s="27"/>
      <c r="K376" s="27"/>
      <c r="L376" s="27"/>
      <c r="M376" s="27"/>
    </row>
    <row r="377" s="6" collapsed="false" customFormat="true" customHeight="true" hidden="false" ht="25.5" outlineLevel="0">
      <c r="A377" s="25"/>
      <c r="B377" s="26"/>
      <c r="C377" s="26"/>
      <c r="D377" s="26"/>
      <c r="E377" s="27"/>
      <c r="F377" s="27"/>
      <c r="G377" s="27"/>
      <c r="H377" s="27"/>
      <c r="I377" s="27"/>
      <c r="J377" s="27"/>
      <c r="K377" s="27"/>
      <c r="L377" s="27"/>
      <c r="M377" s="27"/>
    </row>
    <row r="378" s="6" collapsed="false" customFormat="true" customHeight="true" hidden="false" ht="25.5" outlineLevel="0">
      <c r="A378" s="25"/>
      <c r="B378" s="26"/>
      <c r="C378" s="26"/>
      <c r="D378" s="26"/>
      <c r="E378" s="27"/>
      <c r="F378" s="27"/>
      <c r="G378" s="27"/>
      <c r="H378" s="27"/>
      <c r="I378" s="27"/>
      <c r="J378" s="27"/>
      <c r="K378" s="27"/>
      <c r="L378" s="27"/>
      <c r="M378" s="27"/>
    </row>
    <row r="379" s="6" collapsed="false" customFormat="true" customHeight="true" hidden="false" ht="25.5" outlineLevel="0">
      <c r="A379" s="25"/>
      <c r="B379" s="26"/>
      <c r="C379" s="26"/>
      <c r="D379" s="26"/>
      <c r="E379" s="27"/>
      <c r="F379" s="27"/>
      <c r="G379" s="27"/>
      <c r="H379" s="27"/>
      <c r="I379" s="27"/>
      <c r="J379" s="27"/>
      <c r="K379" s="27"/>
      <c r="L379" s="27"/>
      <c r="M379" s="27"/>
    </row>
    <row r="380" s="6" collapsed="false" customFormat="true" customHeight="true" hidden="false" ht="25.5" outlineLevel="0">
      <c r="A380" s="25"/>
      <c r="B380" s="26"/>
      <c r="C380" s="26"/>
      <c r="D380" s="26"/>
      <c r="E380" s="27"/>
      <c r="F380" s="27"/>
      <c r="G380" s="27"/>
      <c r="H380" s="27"/>
      <c r="I380" s="27"/>
      <c r="J380" s="27"/>
      <c r="K380" s="27"/>
      <c r="L380" s="27"/>
      <c r="M380" s="27"/>
    </row>
    <row r="381" s="6" collapsed="false" customFormat="true" customHeight="true" hidden="false" ht="25.5" outlineLevel="0">
      <c r="A381" s="25"/>
      <c r="B381" s="26"/>
      <c r="C381" s="26"/>
      <c r="D381" s="26"/>
      <c r="E381" s="27"/>
      <c r="F381" s="27"/>
      <c r="G381" s="27"/>
      <c r="H381" s="27"/>
      <c r="I381" s="27"/>
      <c r="J381" s="27"/>
      <c r="K381" s="27"/>
      <c r="L381" s="27"/>
      <c r="M381" s="27"/>
    </row>
    <row r="382" s="6" collapsed="false" customFormat="true" customHeight="true" hidden="false" ht="25.5" outlineLevel="0">
      <c r="A382" s="25"/>
      <c r="B382" s="26"/>
      <c r="C382" s="26"/>
      <c r="D382" s="26"/>
      <c r="E382" s="27"/>
      <c r="F382" s="27"/>
      <c r="G382" s="27"/>
      <c r="H382" s="27"/>
      <c r="I382" s="27"/>
      <c r="J382" s="27"/>
      <c r="K382" s="27"/>
      <c r="L382" s="27"/>
      <c r="M382" s="27"/>
    </row>
    <row r="383" s="6" collapsed="false" customFormat="true" customHeight="true" hidden="false" ht="25.5" outlineLevel="0">
      <c r="A383" s="25"/>
      <c r="B383" s="26"/>
      <c r="C383" s="26"/>
      <c r="D383" s="26"/>
      <c r="E383" s="27"/>
      <c r="F383" s="27"/>
      <c r="G383" s="27"/>
      <c r="H383" s="27"/>
      <c r="I383" s="27"/>
      <c r="J383" s="27"/>
      <c r="K383" s="27"/>
      <c r="L383" s="27"/>
      <c r="M383" s="27"/>
    </row>
    <row r="384" s="6" collapsed="false" customFormat="true" customHeight="true" hidden="false" ht="25.5" outlineLevel="0">
      <c r="A384" s="25"/>
      <c r="B384" s="26"/>
      <c r="C384" s="26"/>
      <c r="D384" s="26"/>
      <c r="E384" s="27"/>
      <c r="F384" s="27"/>
      <c r="G384" s="27"/>
      <c r="H384" s="27"/>
      <c r="I384" s="27"/>
      <c r="J384" s="27"/>
      <c r="K384" s="27"/>
      <c r="L384" s="27"/>
      <c r="M384" s="27"/>
    </row>
    <row r="385" s="6" collapsed="false" customFormat="true" customHeight="true" hidden="false" ht="25.5" outlineLevel="0">
      <c r="A385" s="25"/>
      <c r="B385" s="26"/>
      <c r="C385" s="26"/>
      <c r="D385" s="26"/>
      <c r="E385" s="27"/>
      <c r="F385" s="27"/>
      <c r="G385" s="27"/>
      <c r="H385" s="27"/>
      <c r="I385" s="27"/>
      <c r="J385" s="27"/>
      <c r="K385" s="27"/>
      <c r="L385" s="27"/>
      <c r="M385" s="27"/>
    </row>
    <row r="386" s="6" collapsed="false" customFormat="true" customHeight="true" hidden="false" ht="25.5" outlineLevel="0">
      <c r="A386" s="25"/>
      <c r="B386" s="26"/>
      <c r="C386" s="26"/>
      <c r="D386" s="26"/>
      <c r="E386" s="27"/>
      <c r="F386" s="27"/>
      <c r="G386" s="27"/>
      <c r="H386" s="27"/>
      <c r="I386" s="27"/>
      <c r="J386" s="27"/>
      <c r="K386" s="27"/>
      <c r="L386" s="27"/>
      <c r="M386" s="27"/>
    </row>
    <row r="387" s="6" collapsed="false" customFormat="true" customHeight="true" hidden="false" ht="25.5" outlineLevel="0">
      <c r="A387" s="25"/>
      <c r="B387" s="26"/>
      <c r="C387" s="26"/>
      <c r="D387" s="26"/>
      <c r="E387" s="27"/>
      <c r="F387" s="27"/>
      <c r="G387" s="27"/>
      <c r="H387" s="27"/>
      <c r="I387" s="27"/>
      <c r="J387" s="27"/>
      <c r="K387" s="27"/>
      <c r="L387" s="27"/>
      <c r="M387" s="27"/>
    </row>
    <row r="388" s="6" collapsed="false" customFormat="true" customHeight="true" hidden="false" ht="25.5" outlineLevel="0">
      <c r="A388" s="25"/>
      <c r="B388" s="26"/>
      <c r="C388" s="26"/>
      <c r="D388" s="26"/>
      <c r="E388" s="27"/>
      <c r="F388" s="27"/>
      <c r="G388" s="27"/>
      <c r="H388" s="27"/>
      <c r="I388" s="27"/>
      <c r="J388" s="27"/>
      <c r="K388" s="27"/>
      <c r="L388" s="27"/>
      <c r="M388" s="27"/>
    </row>
    <row r="389" s="6" collapsed="false" customFormat="true" customHeight="true" hidden="false" ht="25.5" outlineLevel="0">
      <c r="A389" s="25"/>
      <c r="B389" s="26"/>
      <c r="C389" s="26"/>
      <c r="D389" s="26"/>
      <c r="E389" s="27"/>
      <c r="F389" s="27"/>
      <c r="G389" s="27"/>
      <c r="H389" s="27"/>
      <c r="I389" s="27"/>
      <c r="J389" s="27"/>
      <c r="K389" s="27"/>
      <c r="L389" s="27"/>
      <c r="M389" s="27"/>
    </row>
    <row r="390" s="6" collapsed="false" customFormat="true" customHeight="true" hidden="false" ht="25.5" outlineLevel="0">
      <c r="A390" s="25"/>
      <c r="B390" s="26"/>
      <c r="C390" s="26"/>
      <c r="D390" s="26"/>
      <c r="E390" s="27"/>
      <c r="F390" s="27"/>
      <c r="G390" s="27"/>
      <c r="H390" s="27"/>
      <c r="I390" s="27"/>
      <c r="J390" s="27"/>
      <c r="K390" s="27"/>
      <c r="L390" s="27"/>
      <c r="M390" s="27"/>
    </row>
    <row r="391" s="6" collapsed="false" customFormat="true" customHeight="true" hidden="false" ht="25.5" outlineLevel="0">
      <c r="A391" s="25"/>
      <c r="B391" s="26"/>
      <c r="C391" s="26"/>
      <c r="D391" s="26"/>
      <c r="E391" s="27"/>
      <c r="F391" s="27"/>
      <c r="G391" s="27"/>
      <c r="H391" s="27"/>
      <c r="I391" s="27"/>
      <c r="J391" s="27"/>
      <c r="K391" s="27"/>
      <c r="L391" s="27"/>
      <c r="M391" s="27"/>
    </row>
    <row r="392" s="6" collapsed="false" customFormat="true" customHeight="true" hidden="false" ht="25.5" outlineLevel="0">
      <c r="A392" s="25"/>
      <c r="B392" s="26"/>
      <c r="C392" s="26"/>
      <c r="D392" s="26"/>
      <c r="E392" s="27"/>
      <c r="F392" s="27"/>
      <c r="G392" s="27"/>
      <c r="H392" s="27"/>
      <c r="I392" s="27"/>
      <c r="J392" s="27"/>
      <c r="K392" s="27"/>
      <c r="L392" s="27"/>
      <c r="M392" s="27"/>
    </row>
    <row r="393" s="6" collapsed="false" customFormat="true" customHeight="true" hidden="false" ht="25.5" outlineLevel="0">
      <c r="A393" s="25"/>
      <c r="B393" s="26"/>
      <c r="C393" s="26"/>
      <c r="D393" s="26"/>
      <c r="E393" s="27"/>
      <c r="F393" s="27"/>
      <c r="G393" s="27"/>
      <c r="H393" s="27"/>
      <c r="I393" s="27"/>
      <c r="J393" s="27"/>
      <c r="K393" s="27"/>
      <c r="L393" s="27"/>
      <c r="M393" s="27"/>
    </row>
    <row r="394" s="6" collapsed="false" customFormat="true" customHeight="true" hidden="false" ht="25.5" outlineLevel="0">
      <c r="A394" s="25"/>
      <c r="B394" s="26"/>
      <c r="C394" s="26"/>
      <c r="D394" s="26"/>
      <c r="E394" s="27"/>
      <c r="F394" s="27"/>
      <c r="G394" s="27"/>
      <c r="H394" s="27"/>
      <c r="I394" s="27"/>
      <c r="J394" s="27"/>
      <c r="K394" s="27"/>
      <c r="L394" s="27"/>
      <c r="M394" s="27"/>
    </row>
    <row r="395" s="6" collapsed="false" customFormat="true" customHeight="true" hidden="false" ht="25.5" outlineLevel="0">
      <c r="A395" s="25"/>
      <c r="B395" s="26"/>
      <c r="C395" s="26"/>
      <c r="D395" s="26"/>
      <c r="E395" s="27"/>
      <c r="F395" s="27"/>
      <c r="G395" s="27"/>
      <c r="H395" s="27"/>
      <c r="I395" s="27"/>
      <c r="J395" s="27"/>
      <c r="K395" s="27"/>
      <c r="L395" s="27"/>
      <c r="M395" s="27"/>
    </row>
    <row r="396" s="6" collapsed="false" customFormat="true" customHeight="true" hidden="false" ht="25.5" outlineLevel="0">
      <c r="A396" s="25"/>
      <c r="B396" s="26"/>
      <c r="C396" s="26"/>
      <c r="D396" s="26"/>
      <c r="E396" s="27"/>
      <c r="F396" s="27"/>
      <c r="G396" s="27"/>
      <c r="H396" s="27"/>
      <c r="I396" s="27"/>
      <c r="J396" s="27"/>
      <c r="K396" s="27"/>
      <c r="L396" s="27"/>
      <c r="M396" s="27"/>
    </row>
    <row r="397" s="6" collapsed="false" customFormat="true" customHeight="true" hidden="false" ht="25.5" outlineLevel="0">
      <c r="A397" s="25"/>
      <c r="B397" s="26"/>
      <c r="C397" s="26"/>
      <c r="D397" s="26"/>
      <c r="E397" s="27"/>
      <c r="F397" s="27"/>
      <c r="G397" s="27"/>
      <c r="H397" s="27"/>
      <c r="I397" s="27"/>
      <c r="J397" s="27"/>
      <c r="K397" s="27"/>
      <c r="L397" s="27"/>
      <c r="M397" s="27"/>
    </row>
    <row r="398" s="6" collapsed="false" customFormat="true" customHeight="true" hidden="false" ht="25.5" outlineLevel="0">
      <c r="A398" s="25"/>
      <c r="B398" s="26"/>
      <c r="C398" s="26"/>
      <c r="D398" s="26"/>
      <c r="E398" s="27"/>
      <c r="F398" s="27"/>
      <c r="G398" s="27"/>
      <c r="H398" s="27"/>
      <c r="I398" s="27"/>
      <c r="J398" s="27"/>
      <c r="K398" s="27"/>
      <c r="L398" s="27"/>
      <c r="M398" s="27"/>
    </row>
    <row r="399" s="6" collapsed="false" customFormat="true" customHeight="true" hidden="false" ht="25.5" outlineLevel="0">
      <c r="A399" s="25"/>
      <c r="B399" s="26"/>
      <c r="C399" s="26"/>
      <c r="D399" s="26"/>
      <c r="E399" s="27"/>
      <c r="F399" s="27"/>
      <c r="G399" s="27"/>
      <c r="H399" s="27"/>
      <c r="I399" s="27"/>
      <c r="J399" s="27"/>
      <c r="K399" s="27"/>
      <c r="L399" s="27"/>
      <c r="M399" s="27"/>
    </row>
    <row r="400" s="6" collapsed="false" customFormat="true" customHeight="true" hidden="false" ht="25.5" outlineLevel="0">
      <c r="A400" s="25"/>
      <c r="B400" s="26"/>
      <c r="C400" s="26"/>
      <c r="D400" s="26"/>
      <c r="E400" s="27"/>
      <c r="F400" s="27"/>
      <c r="G400" s="27"/>
      <c r="H400" s="27"/>
      <c r="I400" s="27"/>
      <c r="J400" s="27"/>
      <c r="K400" s="27"/>
      <c r="L400" s="27"/>
      <c r="M400" s="27"/>
    </row>
    <row r="401" s="6" collapsed="false" customFormat="true" customHeight="true" hidden="false" ht="25.5" outlineLevel="0">
      <c r="A401" s="25"/>
      <c r="B401" s="26"/>
      <c r="C401" s="26"/>
      <c r="D401" s="26"/>
      <c r="E401" s="27"/>
      <c r="F401" s="27"/>
      <c r="G401" s="27"/>
      <c r="H401" s="27"/>
      <c r="I401" s="27"/>
      <c r="J401" s="27"/>
      <c r="K401" s="27"/>
      <c r="L401" s="27"/>
      <c r="M401" s="27"/>
    </row>
    <row r="402" s="6" collapsed="false" customFormat="true" customHeight="true" hidden="false" ht="25.5" outlineLevel="0">
      <c r="A402" s="25"/>
      <c r="B402" s="26"/>
      <c r="C402" s="26"/>
      <c r="D402" s="26"/>
      <c r="E402" s="27"/>
      <c r="F402" s="27"/>
      <c r="G402" s="27"/>
      <c r="H402" s="27"/>
      <c r="I402" s="27"/>
      <c r="J402" s="27"/>
      <c r="K402" s="27"/>
      <c r="L402" s="27"/>
      <c r="M402" s="27"/>
    </row>
    <row r="403" s="6" collapsed="false" customFormat="true" customHeight="true" hidden="false" ht="25.5" outlineLevel="0">
      <c r="A403" s="25"/>
      <c r="B403" s="26"/>
      <c r="C403" s="26"/>
      <c r="D403" s="26"/>
      <c r="E403" s="27"/>
      <c r="F403" s="27"/>
      <c r="G403" s="27"/>
      <c r="H403" s="27"/>
      <c r="I403" s="27"/>
      <c r="J403" s="27"/>
      <c r="K403" s="27"/>
      <c r="L403" s="27"/>
      <c r="M403" s="27"/>
    </row>
    <row r="404" s="6" collapsed="false" customFormat="true" customHeight="true" hidden="false" ht="25.5" outlineLevel="0">
      <c r="A404" s="25"/>
      <c r="B404" s="26"/>
      <c r="C404" s="26"/>
      <c r="D404" s="26"/>
      <c r="E404" s="27"/>
      <c r="F404" s="27"/>
      <c r="G404" s="27"/>
      <c r="H404" s="27"/>
      <c r="I404" s="27"/>
      <c r="J404" s="27"/>
      <c r="K404" s="27"/>
      <c r="L404" s="27"/>
      <c r="M404" s="27"/>
    </row>
    <row r="405" s="6" collapsed="false" customFormat="true" customHeight="true" hidden="false" ht="25.5" outlineLevel="0">
      <c r="A405" s="25"/>
      <c r="B405" s="26"/>
      <c r="C405" s="26"/>
      <c r="D405" s="26"/>
      <c r="E405" s="27"/>
      <c r="F405" s="27"/>
      <c r="G405" s="27"/>
      <c r="H405" s="27"/>
      <c r="I405" s="27"/>
      <c r="J405" s="27"/>
      <c r="K405" s="27"/>
      <c r="L405" s="27"/>
      <c r="M405" s="27"/>
    </row>
    <row r="406" s="6" collapsed="false" customFormat="true" customHeight="true" hidden="false" ht="25.5" outlineLevel="0">
      <c r="A406" s="25"/>
      <c r="B406" s="26"/>
      <c r="C406" s="26"/>
      <c r="D406" s="26"/>
      <c r="E406" s="27"/>
      <c r="F406" s="27"/>
      <c r="G406" s="27"/>
      <c r="H406" s="27"/>
      <c r="I406" s="27"/>
      <c r="J406" s="27"/>
      <c r="K406" s="27"/>
      <c r="L406" s="27"/>
      <c r="M406" s="27"/>
    </row>
    <row r="407" s="6" collapsed="false" customFormat="true" customHeight="true" hidden="false" ht="25.5" outlineLevel="0">
      <c r="A407" s="25"/>
      <c r="B407" s="26"/>
      <c r="C407" s="26"/>
      <c r="D407" s="26"/>
      <c r="E407" s="27"/>
      <c r="F407" s="27"/>
      <c r="G407" s="27"/>
      <c r="H407" s="27"/>
      <c r="I407" s="27"/>
      <c r="J407" s="27"/>
      <c r="K407" s="27"/>
      <c r="L407" s="27"/>
      <c r="M407" s="27"/>
    </row>
    <row r="408" s="6" collapsed="false" customFormat="true" customHeight="true" hidden="false" ht="25.5" outlineLevel="0">
      <c r="A408" s="25"/>
      <c r="B408" s="26"/>
      <c r="C408" s="26"/>
      <c r="D408" s="26"/>
      <c r="E408" s="27"/>
      <c r="F408" s="27"/>
      <c r="G408" s="27"/>
      <c r="H408" s="27"/>
      <c r="I408" s="27"/>
      <c r="J408" s="27"/>
      <c r="K408" s="27"/>
      <c r="L408" s="27"/>
      <c r="M408" s="27"/>
    </row>
    <row r="409" s="6" collapsed="false" customFormat="true" customHeight="true" hidden="false" ht="25.5" outlineLevel="0">
      <c r="A409" s="25"/>
      <c r="B409" s="26"/>
      <c r="C409" s="26"/>
      <c r="D409" s="26"/>
      <c r="E409" s="27"/>
      <c r="F409" s="27"/>
      <c r="G409" s="27"/>
      <c r="H409" s="27"/>
      <c r="I409" s="27"/>
      <c r="J409" s="27"/>
      <c r="K409" s="27"/>
      <c r="L409" s="27"/>
      <c r="M409" s="27"/>
    </row>
    <row r="410" s="6" collapsed="false" customFormat="true" customHeight="true" hidden="false" ht="25.5" outlineLevel="0">
      <c r="A410" s="25"/>
      <c r="B410" s="26"/>
      <c r="C410" s="26"/>
      <c r="D410" s="26"/>
      <c r="E410" s="27"/>
      <c r="F410" s="27"/>
      <c r="G410" s="27"/>
      <c r="H410" s="27"/>
      <c r="I410" s="27"/>
      <c r="J410" s="27"/>
      <c r="K410" s="27"/>
      <c r="L410" s="27"/>
      <c r="M410" s="27"/>
    </row>
    <row r="411" s="6" collapsed="false" customFormat="true" customHeight="true" hidden="false" ht="25.5" outlineLevel="0">
      <c r="A411" s="25"/>
      <c r="B411" s="26"/>
      <c r="C411" s="26"/>
      <c r="D411" s="26"/>
      <c r="E411" s="27"/>
      <c r="F411" s="27"/>
      <c r="G411" s="27"/>
      <c r="H411" s="27"/>
      <c r="I411" s="27"/>
      <c r="J411" s="27"/>
      <c r="K411" s="27"/>
      <c r="L411" s="27"/>
      <c r="M411" s="27"/>
    </row>
    <row r="412" s="6" collapsed="false" customFormat="true" customHeight="true" hidden="false" ht="25.5" outlineLevel="0">
      <c r="A412" s="25"/>
      <c r="B412" s="26"/>
      <c r="C412" s="26"/>
      <c r="D412" s="26"/>
      <c r="E412" s="27"/>
      <c r="F412" s="27"/>
      <c r="G412" s="27"/>
      <c r="H412" s="27"/>
      <c r="I412" s="27"/>
      <c r="J412" s="27"/>
      <c r="K412" s="27"/>
      <c r="L412" s="27"/>
      <c r="M412" s="27"/>
    </row>
    <row r="413" s="6" collapsed="false" customFormat="true" customHeight="true" hidden="false" ht="25.5" outlineLevel="0">
      <c r="A413" s="25"/>
      <c r="B413" s="26"/>
      <c r="C413" s="26"/>
      <c r="D413" s="26"/>
      <c r="E413" s="27"/>
      <c r="F413" s="27"/>
      <c r="G413" s="27"/>
      <c r="H413" s="27"/>
      <c r="I413" s="27"/>
      <c r="J413" s="27"/>
      <c r="K413" s="27"/>
      <c r="L413" s="27"/>
      <c r="M413" s="27"/>
    </row>
    <row r="414" s="6" collapsed="false" customFormat="true" customHeight="true" hidden="false" ht="25.5" outlineLevel="0">
      <c r="A414" s="25"/>
      <c r="B414" s="26"/>
      <c r="C414" s="26"/>
      <c r="D414" s="26"/>
      <c r="E414" s="27"/>
      <c r="F414" s="27"/>
      <c r="G414" s="27"/>
      <c r="H414" s="27"/>
      <c r="I414" s="27"/>
      <c r="J414" s="27"/>
      <c r="K414" s="27"/>
      <c r="L414" s="27"/>
      <c r="M414" s="27"/>
    </row>
    <row r="415" s="6" collapsed="false" customFormat="true" customHeight="true" hidden="false" ht="25.5" outlineLevel="0">
      <c r="A415" s="25"/>
      <c r="B415" s="26"/>
      <c r="C415" s="26"/>
      <c r="D415" s="26"/>
      <c r="E415" s="27"/>
      <c r="F415" s="27"/>
      <c r="G415" s="27"/>
      <c r="H415" s="27"/>
      <c r="I415" s="27"/>
      <c r="J415" s="27"/>
      <c r="K415" s="27"/>
      <c r="L415" s="27"/>
      <c r="M415" s="27"/>
    </row>
    <row r="416" s="6" collapsed="false" customFormat="true" customHeight="true" hidden="false" ht="25.5" outlineLevel="0">
      <c r="A416" s="25"/>
      <c r="B416" s="26"/>
      <c r="C416" s="26"/>
      <c r="D416" s="26"/>
      <c r="E416" s="27"/>
      <c r="F416" s="27"/>
      <c r="G416" s="27"/>
      <c r="H416" s="27"/>
      <c r="I416" s="27"/>
      <c r="J416" s="27"/>
      <c r="K416" s="27"/>
      <c r="L416" s="27"/>
      <c r="M416" s="27"/>
    </row>
    <row r="417" s="6" collapsed="false" customFormat="true" customHeight="true" hidden="false" ht="25.5" outlineLevel="0">
      <c r="A417" s="25"/>
      <c r="B417" s="26"/>
      <c r="C417" s="26"/>
      <c r="D417" s="26"/>
      <c r="E417" s="27"/>
      <c r="F417" s="27"/>
      <c r="G417" s="27"/>
      <c r="H417" s="27"/>
      <c r="I417" s="27"/>
      <c r="J417" s="27"/>
      <c r="K417" s="27"/>
      <c r="L417" s="27"/>
      <c r="M417" s="27"/>
    </row>
    <row r="418" s="6" collapsed="false" customFormat="true" customHeight="true" hidden="false" ht="25.5" outlineLevel="0">
      <c r="A418" s="25"/>
      <c r="B418" s="26"/>
      <c r="C418" s="26"/>
      <c r="D418" s="26"/>
      <c r="E418" s="27"/>
      <c r="F418" s="27"/>
      <c r="G418" s="27"/>
      <c r="H418" s="27"/>
      <c r="I418" s="27"/>
      <c r="J418" s="27"/>
      <c r="K418" s="27"/>
      <c r="L418" s="27"/>
      <c r="M418" s="27"/>
    </row>
    <row r="419" s="6" collapsed="false" customFormat="true" customHeight="true" hidden="false" ht="25.5" outlineLevel="0">
      <c r="A419" s="25"/>
      <c r="B419" s="26"/>
      <c r="C419" s="26"/>
      <c r="D419" s="26"/>
      <c r="E419" s="27"/>
      <c r="F419" s="27"/>
      <c r="G419" s="27"/>
      <c r="H419" s="27"/>
      <c r="I419" s="27"/>
      <c r="J419" s="27"/>
      <c r="K419" s="27"/>
      <c r="L419" s="27"/>
      <c r="M419" s="27"/>
    </row>
    <row r="420" s="6" collapsed="false" customFormat="true" customHeight="true" hidden="false" ht="25.5" outlineLevel="0">
      <c r="A420" s="25"/>
      <c r="B420" s="26"/>
      <c r="C420" s="26"/>
      <c r="D420" s="26"/>
      <c r="E420" s="27"/>
      <c r="F420" s="27"/>
      <c r="G420" s="27"/>
      <c r="H420" s="27"/>
      <c r="I420" s="27"/>
      <c r="J420" s="27"/>
      <c r="K420" s="27"/>
      <c r="L420" s="27"/>
      <c r="M420" s="27"/>
    </row>
    <row r="421" s="6" collapsed="false" customFormat="true" customHeight="true" hidden="false" ht="25.5" outlineLevel="0">
      <c r="A421" s="25"/>
      <c r="B421" s="26"/>
      <c r="C421" s="26"/>
      <c r="D421" s="26"/>
      <c r="E421" s="27"/>
      <c r="F421" s="27"/>
      <c r="G421" s="27"/>
      <c r="H421" s="27"/>
      <c r="I421" s="27"/>
      <c r="J421" s="27"/>
      <c r="K421" s="27"/>
      <c r="L421" s="27"/>
      <c r="M421" s="27"/>
    </row>
    <row r="422" s="6" collapsed="false" customFormat="true" customHeight="true" hidden="false" ht="25.5" outlineLevel="0">
      <c r="A422" s="25"/>
      <c r="B422" s="26"/>
      <c r="C422" s="26"/>
      <c r="D422" s="26"/>
      <c r="E422" s="27"/>
      <c r="F422" s="27"/>
      <c r="G422" s="27"/>
      <c r="H422" s="27"/>
      <c r="I422" s="27"/>
      <c r="J422" s="27"/>
      <c r="K422" s="27"/>
      <c r="L422" s="27"/>
      <c r="M422" s="27"/>
    </row>
    <row r="423" s="6" collapsed="false" customFormat="true" customHeight="true" hidden="false" ht="25.5" outlineLevel="0">
      <c r="A423" s="25"/>
      <c r="B423" s="26"/>
      <c r="C423" s="26"/>
      <c r="D423" s="26"/>
      <c r="E423" s="27"/>
      <c r="F423" s="27"/>
      <c r="G423" s="27"/>
      <c r="H423" s="27"/>
      <c r="I423" s="27"/>
      <c r="J423" s="27"/>
      <c r="K423" s="27"/>
      <c r="L423" s="27"/>
      <c r="M423" s="27"/>
    </row>
    <row r="424" s="6" collapsed="false" customFormat="true" customHeight="true" hidden="false" ht="25.5" outlineLevel="0">
      <c r="A424" s="25"/>
      <c r="B424" s="26"/>
      <c r="C424" s="26"/>
      <c r="D424" s="26"/>
      <c r="E424" s="27"/>
      <c r="F424" s="27"/>
      <c r="G424" s="27"/>
      <c r="H424" s="27"/>
      <c r="I424" s="27"/>
      <c r="J424" s="27"/>
      <c r="K424" s="27"/>
      <c r="L424" s="27"/>
      <c r="M424" s="27"/>
    </row>
    <row r="425" s="6" collapsed="false" customFormat="true" customHeight="true" hidden="false" ht="25.5" outlineLevel="0">
      <c r="A425" s="25"/>
      <c r="B425" s="26"/>
      <c r="C425" s="26"/>
      <c r="D425" s="26"/>
      <c r="E425" s="27"/>
      <c r="F425" s="27"/>
      <c r="G425" s="27"/>
      <c r="H425" s="27"/>
      <c r="I425" s="27"/>
      <c r="J425" s="27"/>
      <c r="K425" s="27"/>
      <c r="L425" s="27"/>
      <c r="M425" s="27"/>
    </row>
    <row r="426" s="6" collapsed="false" customFormat="true" customHeight="true" hidden="false" ht="25.5" outlineLevel="0">
      <c r="A426" s="25"/>
      <c r="B426" s="26"/>
      <c r="C426" s="26"/>
      <c r="D426" s="26"/>
      <c r="E426" s="27"/>
      <c r="F426" s="27"/>
      <c r="G426" s="27"/>
      <c r="H426" s="27"/>
      <c r="I426" s="27"/>
      <c r="J426" s="27"/>
      <c r="K426" s="27"/>
      <c r="L426" s="27"/>
      <c r="M426" s="27"/>
    </row>
    <row r="427" s="6" collapsed="false" customFormat="true" customHeight="true" hidden="false" ht="25.5" outlineLevel="0">
      <c r="A427" s="25"/>
      <c r="B427" s="26"/>
      <c r="C427" s="26"/>
      <c r="D427" s="26"/>
      <c r="E427" s="27"/>
      <c r="F427" s="27"/>
      <c r="G427" s="27"/>
      <c r="H427" s="27"/>
      <c r="I427" s="27"/>
      <c r="J427" s="27"/>
      <c r="K427" s="27"/>
      <c r="L427" s="27"/>
      <c r="M427" s="27"/>
    </row>
    <row r="428" s="6" collapsed="false" customFormat="true" customHeight="true" hidden="false" ht="25.5" outlineLevel="0">
      <c r="A428" s="25"/>
      <c r="B428" s="26"/>
      <c r="C428" s="26"/>
      <c r="D428" s="26"/>
      <c r="E428" s="27"/>
      <c r="F428" s="27"/>
      <c r="G428" s="27"/>
      <c r="H428" s="27"/>
      <c r="I428" s="27"/>
      <c r="J428" s="27"/>
      <c r="K428" s="27"/>
      <c r="L428" s="27"/>
      <c r="M428" s="27"/>
    </row>
    <row r="429" s="6" collapsed="false" customFormat="true" customHeight="true" hidden="false" ht="25.5" outlineLevel="0">
      <c r="A429" s="25"/>
      <c r="B429" s="26"/>
      <c r="C429" s="26"/>
      <c r="D429" s="26"/>
      <c r="E429" s="27"/>
      <c r="F429" s="27"/>
      <c r="G429" s="27"/>
      <c r="H429" s="27"/>
      <c r="I429" s="27"/>
      <c r="J429" s="27"/>
      <c r="K429" s="27"/>
      <c r="L429" s="27"/>
      <c r="M429" s="27"/>
    </row>
    <row r="430" s="6" collapsed="false" customFormat="true" customHeight="true" hidden="false" ht="25.5" outlineLevel="0">
      <c r="A430" s="25"/>
      <c r="B430" s="26"/>
      <c r="C430" s="26"/>
      <c r="D430" s="26"/>
      <c r="E430" s="27"/>
      <c r="F430" s="27"/>
      <c r="G430" s="27"/>
      <c r="H430" s="27"/>
      <c r="I430" s="27"/>
      <c r="J430" s="27"/>
      <c r="K430" s="27"/>
      <c r="L430" s="27"/>
      <c r="M430" s="27"/>
    </row>
    <row r="431" s="6" collapsed="false" customFormat="true" customHeight="true" hidden="false" ht="25.5" outlineLevel="0">
      <c r="A431" s="25"/>
      <c r="B431" s="26"/>
      <c r="C431" s="26"/>
      <c r="D431" s="26"/>
      <c r="E431" s="27"/>
      <c r="F431" s="27"/>
      <c r="G431" s="27"/>
      <c r="H431" s="27"/>
      <c r="I431" s="27"/>
      <c r="J431" s="27"/>
      <c r="K431" s="27"/>
      <c r="L431" s="27"/>
      <c r="M431" s="27"/>
    </row>
    <row r="432" s="6" collapsed="false" customFormat="true" customHeight="true" hidden="false" ht="25.5" outlineLevel="0">
      <c r="A432" s="25"/>
      <c r="B432" s="26"/>
      <c r="C432" s="26"/>
      <c r="D432" s="26"/>
      <c r="E432" s="27"/>
      <c r="F432" s="27"/>
      <c r="G432" s="27"/>
      <c r="H432" s="27"/>
      <c r="I432" s="27"/>
      <c r="J432" s="27"/>
      <c r="K432" s="27"/>
      <c r="L432" s="27"/>
      <c r="M432" s="27"/>
    </row>
    <row r="433" s="6" collapsed="false" customFormat="true" customHeight="true" hidden="false" ht="25.5" outlineLevel="0">
      <c r="A433" s="25"/>
      <c r="B433" s="26"/>
      <c r="C433" s="26"/>
      <c r="D433" s="26"/>
      <c r="E433" s="27"/>
      <c r="F433" s="27"/>
      <c r="G433" s="27"/>
      <c r="H433" s="27"/>
      <c r="I433" s="27"/>
      <c r="J433" s="27"/>
      <c r="K433" s="27"/>
      <c r="L433" s="27"/>
      <c r="M433" s="27"/>
    </row>
    <row r="434" s="6" collapsed="false" customFormat="true" customHeight="true" hidden="false" ht="25.5" outlineLevel="0">
      <c r="A434" s="25"/>
      <c r="B434" s="26"/>
      <c r="C434" s="26"/>
      <c r="D434" s="26"/>
      <c r="E434" s="27"/>
      <c r="F434" s="27"/>
      <c r="G434" s="27"/>
      <c r="H434" s="27"/>
      <c r="I434" s="27"/>
      <c r="J434" s="27"/>
      <c r="K434" s="27"/>
      <c r="L434" s="27"/>
      <c r="M434" s="27"/>
    </row>
    <row r="435" s="6" collapsed="false" customFormat="true" customHeight="true" hidden="false" ht="25.5" outlineLevel="0">
      <c r="A435" s="25"/>
      <c r="B435" s="26"/>
      <c r="C435" s="26"/>
      <c r="D435" s="26"/>
      <c r="E435" s="27"/>
      <c r="F435" s="27"/>
      <c r="G435" s="27"/>
      <c r="H435" s="27"/>
      <c r="I435" s="27"/>
      <c r="J435" s="27"/>
      <c r="K435" s="27"/>
      <c r="L435" s="27"/>
      <c r="M435" s="27"/>
    </row>
    <row r="436" s="6" collapsed="false" customFormat="true" customHeight="true" hidden="false" ht="25.5" outlineLevel="0">
      <c r="A436" s="25"/>
      <c r="B436" s="26"/>
      <c r="C436" s="26"/>
      <c r="D436" s="26"/>
      <c r="E436" s="27"/>
      <c r="F436" s="27"/>
      <c r="G436" s="27"/>
      <c r="H436" s="27"/>
      <c r="I436" s="27"/>
      <c r="J436" s="27"/>
      <c r="K436" s="27"/>
      <c r="L436" s="27"/>
      <c r="M436" s="27"/>
    </row>
    <row r="437" s="6" collapsed="false" customFormat="true" customHeight="true" hidden="false" ht="25.5" outlineLevel="0">
      <c r="A437" s="25"/>
      <c r="B437" s="26"/>
      <c r="C437" s="26"/>
      <c r="D437" s="26"/>
      <c r="E437" s="27"/>
      <c r="F437" s="27"/>
      <c r="G437" s="27"/>
      <c r="H437" s="27"/>
      <c r="I437" s="27"/>
      <c r="J437" s="27"/>
      <c r="K437" s="27"/>
      <c r="L437" s="27"/>
      <c r="M437" s="27"/>
    </row>
    <row r="438" s="6" collapsed="false" customFormat="true" customHeight="true" hidden="false" ht="25.5" outlineLevel="0">
      <c r="A438" s="25"/>
      <c r="B438" s="26"/>
      <c r="C438" s="26"/>
      <c r="D438" s="26"/>
      <c r="E438" s="27"/>
      <c r="F438" s="27"/>
      <c r="G438" s="27"/>
      <c r="H438" s="27"/>
      <c r="I438" s="27"/>
      <c r="J438" s="27"/>
      <c r="K438" s="27"/>
      <c r="L438" s="27"/>
      <c r="M438" s="27"/>
    </row>
    <row r="439" s="6" collapsed="false" customFormat="true" customHeight="true" hidden="false" ht="25.5" outlineLevel="0">
      <c r="A439" s="25"/>
      <c r="B439" s="26"/>
      <c r="C439" s="26"/>
      <c r="D439" s="26"/>
      <c r="E439" s="27"/>
      <c r="F439" s="27"/>
      <c r="G439" s="27"/>
      <c r="H439" s="27"/>
      <c r="I439" s="27"/>
      <c r="J439" s="27"/>
      <c r="K439" s="27"/>
      <c r="L439" s="27"/>
      <c r="M439" s="27"/>
    </row>
    <row r="440" s="6" collapsed="false" customFormat="true" customHeight="true" hidden="false" ht="25.5" outlineLevel="0">
      <c r="A440" s="25"/>
      <c r="B440" s="26"/>
      <c r="C440" s="26"/>
      <c r="D440" s="26"/>
      <c r="E440" s="27"/>
      <c r="F440" s="27"/>
      <c r="G440" s="27"/>
      <c r="H440" s="27"/>
      <c r="I440" s="27"/>
      <c r="J440" s="27"/>
      <c r="K440" s="27"/>
      <c r="L440" s="27"/>
      <c r="M440" s="27"/>
    </row>
    <row r="441" s="6" collapsed="false" customFormat="true" customHeight="true" hidden="false" ht="25.5" outlineLevel="0">
      <c r="A441" s="25"/>
      <c r="B441" s="26"/>
      <c r="C441" s="26"/>
      <c r="D441" s="26"/>
      <c r="E441" s="27"/>
      <c r="F441" s="27"/>
      <c r="G441" s="27"/>
      <c r="H441" s="27"/>
      <c r="I441" s="27"/>
      <c r="J441" s="27"/>
      <c r="K441" s="27"/>
      <c r="L441" s="27"/>
      <c r="M441" s="27"/>
    </row>
    <row r="442" s="6" collapsed="false" customFormat="true" customHeight="true" hidden="false" ht="25.5" outlineLevel="0">
      <c r="A442" s="25"/>
      <c r="B442" s="26"/>
      <c r="C442" s="26"/>
      <c r="D442" s="26"/>
      <c r="E442" s="27"/>
      <c r="F442" s="27"/>
      <c r="G442" s="27"/>
      <c r="H442" s="27"/>
      <c r="I442" s="27"/>
      <c r="J442" s="27"/>
      <c r="K442" s="27"/>
      <c r="L442" s="27"/>
      <c r="M442" s="27"/>
    </row>
    <row r="443" s="6" collapsed="false" customFormat="true" customHeight="true" hidden="false" ht="25.5" outlineLevel="0">
      <c r="A443" s="25"/>
      <c r="B443" s="26"/>
      <c r="C443" s="26"/>
      <c r="D443" s="26"/>
      <c r="E443" s="27"/>
      <c r="F443" s="27"/>
      <c r="G443" s="27"/>
      <c r="H443" s="27"/>
      <c r="I443" s="27"/>
      <c r="J443" s="27"/>
      <c r="K443" s="27"/>
      <c r="L443" s="27"/>
      <c r="M443" s="27"/>
    </row>
    <row r="444" s="6" collapsed="false" customFormat="true" customHeight="true" hidden="false" ht="25.5" outlineLevel="0">
      <c r="A444" s="25"/>
      <c r="B444" s="26"/>
      <c r="C444" s="26"/>
      <c r="D444" s="26"/>
      <c r="E444" s="27"/>
      <c r="F444" s="27"/>
      <c r="G444" s="27"/>
      <c r="H444" s="27"/>
      <c r="I444" s="27"/>
      <c r="J444" s="27"/>
      <c r="K444" s="27"/>
      <c r="L444" s="27"/>
      <c r="M444" s="27"/>
    </row>
    <row r="445" s="6" collapsed="false" customFormat="true" customHeight="true" hidden="false" ht="25.5" outlineLevel="0">
      <c r="A445" s="25"/>
      <c r="B445" s="26"/>
      <c r="C445" s="26"/>
      <c r="D445" s="26"/>
      <c r="E445" s="27"/>
      <c r="F445" s="27"/>
      <c r="G445" s="27"/>
      <c r="H445" s="27"/>
      <c r="I445" s="27"/>
      <c r="J445" s="27"/>
      <c r="K445" s="27"/>
      <c r="L445" s="27"/>
      <c r="M445" s="27"/>
    </row>
    <row r="446" s="6" collapsed="false" customFormat="true" customHeight="true" hidden="false" ht="25.5" outlineLevel="0">
      <c r="A446" s="25"/>
      <c r="B446" s="26"/>
      <c r="C446" s="26"/>
      <c r="D446" s="26"/>
      <c r="E446" s="27"/>
      <c r="F446" s="27"/>
      <c r="G446" s="27"/>
      <c r="H446" s="27"/>
      <c r="I446" s="27"/>
      <c r="J446" s="27"/>
      <c r="K446" s="27"/>
      <c r="L446" s="27"/>
      <c r="M446" s="27"/>
    </row>
    <row r="447" s="6" collapsed="false" customFormat="true" customHeight="true" hidden="false" ht="25.5" outlineLevel="0">
      <c r="A447" s="25"/>
      <c r="B447" s="26"/>
      <c r="C447" s="26"/>
      <c r="D447" s="26"/>
      <c r="E447" s="27"/>
      <c r="F447" s="27"/>
      <c r="G447" s="27"/>
      <c r="H447" s="27"/>
      <c r="I447" s="27"/>
      <c r="J447" s="27"/>
      <c r="K447" s="27"/>
      <c r="L447" s="27"/>
      <c r="M447" s="27"/>
    </row>
    <row r="448" s="6" collapsed="false" customFormat="true" customHeight="true" hidden="false" ht="25.5" outlineLevel="0">
      <c r="A448" s="25"/>
      <c r="B448" s="26"/>
      <c r="C448" s="26"/>
      <c r="D448" s="26"/>
      <c r="E448" s="27"/>
      <c r="F448" s="27"/>
      <c r="G448" s="27"/>
      <c r="H448" s="27"/>
      <c r="I448" s="27"/>
      <c r="J448" s="27"/>
      <c r="K448" s="27"/>
      <c r="L448" s="27"/>
      <c r="M448" s="27"/>
    </row>
    <row r="449" s="6" collapsed="false" customFormat="true" customHeight="true" hidden="false" ht="25.5" outlineLevel="0">
      <c r="A449" s="25"/>
      <c r="B449" s="26"/>
      <c r="C449" s="26"/>
      <c r="D449" s="26"/>
      <c r="E449" s="27"/>
      <c r="F449" s="27"/>
      <c r="G449" s="27"/>
      <c r="H449" s="27"/>
      <c r="I449" s="27"/>
      <c r="J449" s="27"/>
      <c r="K449" s="27"/>
      <c r="L449" s="27"/>
      <c r="M449" s="27"/>
    </row>
    <row r="450" s="6" collapsed="false" customFormat="true" customHeight="true" hidden="false" ht="25.5" outlineLevel="0">
      <c r="A450" s="25"/>
      <c r="B450" s="26"/>
      <c r="C450" s="26"/>
      <c r="D450" s="26"/>
      <c r="E450" s="27"/>
      <c r="F450" s="27"/>
      <c r="G450" s="27"/>
      <c r="H450" s="27"/>
      <c r="I450" s="27"/>
      <c r="J450" s="27"/>
      <c r="K450" s="27"/>
      <c r="L450" s="27"/>
      <c r="M450" s="27"/>
    </row>
    <row r="451" s="6" collapsed="false" customFormat="true" customHeight="true" hidden="false" ht="25.5" outlineLevel="0">
      <c r="A451" s="25"/>
      <c r="B451" s="26"/>
      <c r="C451" s="26"/>
      <c r="D451" s="26"/>
      <c r="E451" s="27"/>
      <c r="F451" s="27"/>
      <c r="G451" s="27"/>
      <c r="H451" s="27"/>
      <c r="I451" s="27"/>
      <c r="J451" s="27"/>
      <c r="K451" s="27"/>
      <c r="L451" s="27"/>
      <c r="M451" s="27"/>
    </row>
    <row r="452" s="6" collapsed="false" customFormat="true" customHeight="true" hidden="false" ht="25.5" outlineLevel="0">
      <c r="A452" s="25"/>
      <c r="B452" s="26"/>
      <c r="C452" s="26"/>
      <c r="D452" s="26"/>
      <c r="E452" s="27"/>
      <c r="F452" s="27"/>
      <c r="G452" s="27"/>
      <c r="H452" s="27"/>
      <c r="I452" s="27"/>
      <c r="J452" s="27"/>
      <c r="K452" s="27"/>
      <c r="L452" s="27"/>
      <c r="M452" s="27"/>
    </row>
    <row r="453" s="6" collapsed="false" customFormat="true" customHeight="true" hidden="false" ht="25.5" outlineLevel="0">
      <c r="A453" s="25"/>
      <c r="B453" s="26"/>
      <c r="C453" s="26"/>
      <c r="D453" s="26"/>
      <c r="E453" s="27"/>
      <c r="F453" s="27"/>
      <c r="G453" s="27"/>
      <c r="H453" s="27"/>
      <c r="I453" s="27"/>
      <c r="J453" s="27"/>
      <c r="K453" s="27"/>
      <c r="L453" s="27"/>
      <c r="M453" s="27"/>
    </row>
    <row r="454" s="6" collapsed="false" customFormat="true" customHeight="true" hidden="false" ht="25.5" outlineLevel="0">
      <c r="A454" s="25"/>
      <c r="B454" s="26"/>
      <c r="C454" s="26"/>
      <c r="D454" s="26"/>
      <c r="E454" s="27"/>
      <c r="F454" s="27"/>
      <c r="G454" s="27"/>
      <c r="H454" s="27"/>
      <c r="I454" s="27"/>
      <c r="J454" s="27"/>
      <c r="K454" s="27"/>
      <c r="L454" s="27"/>
      <c r="M454" s="27"/>
    </row>
    <row r="455" s="6" collapsed="false" customFormat="true" customHeight="true" hidden="false" ht="25.5" outlineLevel="0">
      <c r="A455" s="25"/>
      <c r="B455" s="26"/>
      <c r="C455" s="26"/>
      <c r="D455" s="26"/>
      <c r="E455" s="27"/>
      <c r="F455" s="27"/>
      <c r="G455" s="27"/>
      <c r="H455" s="27"/>
      <c r="I455" s="27"/>
      <c r="J455" s="27"/>
      <c r="K455" s="27"/>
      <c r="L455" s="27"/>
      <c r="M455" s="27"/>
    </row>
    <row r="456" s="6" collapsed="false" customFormat="true" customHeight="true" hidden="false" ht="25.5" outlineLevel="0">
      <c r="A456" s="25"/>
      <c r="B456" s="26"/>
      <c r="C456" s="26"/>
      <c r="D456" s="26"/>
      <c r="E456" s="27"/>
      <c r="F456" s="27"/>
      <c r="G456" s="27"/>
      <c r="H456" s="27"/>
      <c r="I456" s="27"/>
      <c r="J456" s="27"/>
      <c r="K456" s="27"/>
      <c r="L456" s="27"/>
      <c r="M456" s="27"/>
    </row>
    <row r="457" s="6" collapsed="false" customFormat="true" customHeight="true" hidden="false" ht="25.5" outlineLevel="0">
      <c r="A457" s="25"/>
      <c r="B457" s="26"/>
      <c r="C457" s="26"/>
      <c r="D457" s="26"/>
      <c r="E457" s="27"/>
      <c r="F457" s="27"/>
      <c r="G457" s="27"/>
      <c r="H457" s="27"/>
      <c r="I457" s="27"/>
      <c r="J457" s="27"/>
      <c r="K457" s="27"/>
      <c r="L457" s="27"/>
      <c r="M457" s="27"/>
    </row>
    <row r="458" s="6" collapsed="false" customFormat="true" customHeight="true" hidden="false" ht="25.5" outlineLevel="0">
      <c r="A458" s="25"/>
      <c r="B458" s="26"/>
      <c r="C458" s="26"/>
      <c r="D458" s="26"/>
      <c r="E458" s="27"/>
      <c r="F458" s="27"/>
      <c r="G458" s="27"/>
      <c r="H458" s="27"/>
      <c r="I458" s="27"/>
      <c r="J458" s="27"/>
      <c r="K458" s="27"/>
      <c r="L458" s="27"/>
      <c r="M458" s="27"/>
    </row>
    <row r="459" s="6" collapsed="false" customFormat="true" customHeight="true" hidden="false" ht="25.5" outlineLevel="0">
      <c r="A459" s="25"/>
      <c r="B459" s="26"/>
      <c r="C459" s="26"/>
      <c r="D459" s="26"/>
      <c r="E459" s="27"/>
      <c r="F459" s="27"/>
      <c r="G459" s="27"/>
      <c r="H459" s="27"/>
      <c r="I459" s="27"/>
      <c r="J459" s="27"/>
      <c r="K459" s="27"/>
      <c r="L459" s="27"/>
      <c r="M459" s="27"/>
    </row>
    <row r="460" s="6" collapsed="false" customFormat="true" customHeight="true" hidden="false" ht="25.5" outlineLevel="0">
      <c r="A460" s="25"/>
      <c r="B460" s="26"/>
      <c r="C460" s="26"/>
      <c r="D460" s="26"/>
      <c r="E460" s="27"/>
      <c r="F460" s="27"/>
      <c r="G460" s="27"/>
      <c r="H460" s="27"/>
      <c r="I460" s="27"/>
      <c r="J460" s="27"/>
      <c r="K460" s="27"/>
      <c r="L460" s="27"/>
      <c r="M460" s="27"/>
    </row>
    <row r="461" s="6" collapsed="false" customFormat="true" customHeight="true" hidden="false" ht="25.5" outlineLevel="0">
      <c r="A461" s="25"/>
      <c r="B461" s="26"/>
      <c r="C461" s="26"/>
      <c r="D461" s="26"/>
      <c r="E461" s="27"/>
      <c r="F461" s="27"/>
      <c r="G461" s="27"/>
      <c r="H461" s="27"/>
      <c r="I461" s="27"/>
      <c r="J461" s="27"/>
      <c r="K461" s="27"/>
      <c r="L461" s="27"/>
      <c r="M461" s="27"/>
    </row>
    <row r="462" s="6" collapsed="false" customFormat="true" customHeight="true" hidden="false" ht="25.5" outlineLevel="0">
      <c r="A462" s="25"/>
      <c r="B462" s="26"/>
      <c r="C462" s="26"/>
      <c r="D462" s="26"/>
      <c r="E462" s="27"/>
      <c r="F462" s="27"/>
      <c r="G462" s="27"/>
      <c r="H462" s="27"/>
      <c r="I462" s="27"/>
      <c r="J462" s="27"/>
      <c r="K462" s="27"/>
      <c r="L462" s="27"/>
      <c r="M462" s="27"/>
    </row>
    <row r="463" s="6" collapsed="false" customFormat="true" customHeight="true" hidden="false" ht="25.5" outlineLevel="0">
      <c r="A463" s="25"/>
      <c r="B463" s="26"/>
      <c r="C463" s="26"/>
      <c r="D463" s="26"/>
      <c r="E463" s="27"/>
      <c r="F463" s="27"/>
      <c r="G463" s="27"/>
      <c r="H463" s="27"/>
      <c r="I463" s="27"/>
      <c r="J463" s="27"/>
      <c r="K463" s="27"/>
      <c r="L463" s="27"/>
      <c r="M463" s="27"/>
    </row>
    <row r="464" s="6" collapsed="false" customFormat="true" customHeight="true" hidden="false" ht="25.5" outlineLevel="0">
      <c r="A464" s="25"/>
      <c r="B464" s="26"/>
      <c r="C464" s="26"/>
      <c r="D464" s="26"/>
      <c r="E464" s="27"/>
      <c r="F464" s="27"/>
      <c r="G464" s="27"/>
      <c r="H464" s="27"/>
      <c r="I464" s="27"/>
      <c r="J464" s="27"/>
      <c r="K464" s="27"/>
      <c r="L464" s="27"/>
      <c r="M464" s="27"/>
    </row>
    <row r="465" s="6" collapsed="false" customFormat="true" customHeight="true" hidden="false" ht="25.5" outlineLevel="0">
      <c r="A465" s="25"/>
      <c r="B465" s="26"/>
      <c r="C465" s="26"/>
      <c r="D465" s="26"/>
      <c r="E465" s="27"/>
      <c r="F465" s="27"/>
      <c r="G465" s="27"/>
      <c r="H465" s="27"/>
      <c r="I465" s="27"/>
      <c r="J465" s="27"/>
      <c r="K465" s="27"/>
      <c r="L465" s="27"/>
      <c r="M465" s="27"/>
    </row>
    <row r="466" s="6" collapsed="false" customFormat="true" customHeight="true" hidden="false" ht="25.5" outlineLevel="0">
      <c r="A466" s="25"/>
      <c r="B466" s="26"/>
      <c r="C466" s="26"/>
      <c r="D466" s="26"/>
      <c r="E466" s="27"/>
      <c r="F466" s="27"/>
      <c r="G466" s="27"/>
      <c r="H466" s="27"/>
      <c r="I466" s="27"/>
      <c r="J466" s="27"/>
      <c r="K466" s="27"/>
      <c r="L466" s="27"/>
      <c r="M466" s="27"/>
    </row>
    <row r="467" s="6" collapsed="false" customFormat="true" customHeight="true" hidden="false" ht="25.5" outlineLevel="0">
      <c r="A467" s="25"/>
      <c r="B467" s="26"/>
      <c r="C467" s="26"/>
      <c r="D467" s="26"/>
      <c r="E467" s="27"/>
      <c r="F467" s="27"/>
      <c r="G467" s="27"/>
      <c r="H467" s="27"/>
      <c r="I467" s="27"/>
      <c r="J467" s="27"/>
      <c r="K467" s="27"/>
      <c r="L467" s="27"/>
      <c r="M467" s="27"/>
    </row>
    <row r="468" s="6" collapsed="false" customFormat="true" customHeight="true" hidden="false" ht="25.5" outlineLevel="0">
      <c r="A468" s="25"/>
      <c r="B468" s="26"/>
      <c r="C468" s="26"/>
      <c r="D468" s="26"/>
      <c r="E468" s="27"/>
      <c r="F468" s="27"/>
      <c r="G468" s="27"/>
      <c r="H468" s="27"/>
      <c r="I468" s="27"/>
      <c r="J468" s="27"/>
      <c r="K468" s="27"/>
      <c r="L468" s="27"/>
      <c r="M468" s="27"/>
    </row>
    <row r="469" s="6" collapsed="false" customFormat="true" customHeight="true" hidden="false" ht="25.5" outlineLevel="0">
      <c r="A469" s="25"/>
      <c r="B469" s="26"/>
      <c r="C469" s="26"/>
      <c r="D469" s="26"/>
      <c r="E469" s="27"/>
      <c r="F469" s="27"/>
      <c r="G469" s="27"/>
      <c r="H469" s="27"/>
      <c r="I469" s="27"/>
      <c r="J469" s="27"/>
      <c r="K469" s="27"/>
      <c r="L469" s="27"/>
      <c r="M469" s="27"/>
    </row>
    <row r="470" s="6" collapsed="false" customFormat="true" customHeight="true" hidden="false" ht="25.5" outlineLevel="0">
      <c r="A470" s="25"/>
      <c r="B470" s="26"/>
      <c r="C470" s="26"/>
      <c r="D470" s="26"/>
      <c r="E470" s="27"/>
      <c r="F470" s="27"/>
      <c r="G470" s="27"/>
      <c r="H470" s="27"/>
      <c r="I470" s="27"/>
      <c r="J470" s="27"/>
      <c r="K470" s="27"/>
      <c r="L470" s="27"/>
      <c r="M470" s="27"/>
    </row>
    <row r="471" s="6" collapsed="false" customFormat="true" customHeight="true" hidden="false" ht="25.5" outlineLevel="0">
      <c r="A471" s="25"/>
      <c r="B471" s="26"/>
      <c r="C471" s="26"/>
      <c r="D471" s="26"/>
      <c r="E471" s="27"/>
      <c r="F471" s="27"/>
      <c r="G471" s="27"/>
      <c r="H471" s="27"/>
      <c r="I471" s="27"/>
      <c r="J471" s="27"/>
      <c r="K471" s="27"/>
      <c r="L471" s="27"/>
      <c r="M471" s="27"/>
    </row>
    <row r="472" s="6" collapsed="false" customFormat="true" customHeight="true" hidden="false" ht="25.5" outlineLevel="0">
      <c r="A472" s="25"/>
      <c r="B472" s="26"/>
      <c r="C472" s="26"/>
      <c r="D472" s="26"/>
      <c r="E472" s="27"/>
      <c r="F472" s="27"/>
      <c r="G472" s="27"/>
      <c r="H472" s="27"/>
      <c r="I472" s="27"/>
      <c r="J472" s="27"/>
      <c r="K472" s="27"/>
      <c r="L472" s="27"/>
      <c r="M472" s="27"/>
    </row>
    <row r="473" s="6" collapsed="false" customFormat="true" customHeight="true" hidden="false" ht="25.5" outlineLevel="0">
      <c r="A473" s="25"/>
      <c r="B473" s="26"/>
      <c r="C473" s="26"/>
      <c r="D473" s="26"/>
      <c r="E473" s="27"/>
      <c r="F473" s="27"/>
      <c r="G473" s="27"/>
      <c r="H473" s="27"/>
      <c r="I473" s="27"/>
      <c r="J473" s="27"/>
      <c r="K473" s="27"/>
      <c r="L473" s="27"/>
      <c r="M473" s="27"/>
    </row>
    <row r="474" s="6" collapsed="false" customFormat="true" customHeight="true" hidden="false" ht="25.5" outlineLevel="0">
      <c r="A474" s="25"/>
      <c r="B474" s="26"/>
      <c r="C474" s="26"/>
      <c r="D474" s="26"/>
      <c r="E474" s="27"/>
      <c r="F474" s="27"/>
      <c r="G474" s="27"/>
      <c r="H474" s="27"/>
      <c r="I474" s="27"/>
      <c r="J474" s="27"/>
      <c r="K474" s="27"/>
      <c r="L474" s="27"/>
      <c r="M474" s="27"/>
    </row>
    <row r="475" s="6" collapsed="false" customFormat="true" customHeight="true" hidden="false" ht="25.5" outlineLevel="0">
      <c r="A475" s="25"/>
      <c r="B475" s="26"/>
      <c r="C475" s="26"/>
      <c r="D475" s="26"/>
      <c r="E475" s="27"/>
      <c r="F475" s="27"/>
      <c r="G475" s="27"/>
      <c r="H475" s="27"/>
      <c r="I475" s="27"/>
      <c r="J475" s="27"/>
      <c r="K475" s="27"/>
      <c r="L475" s="27"/>
      <c r="M475" s="27"/>
    </row>
    <row r="476" s="6" collapsed="false" customFormat="true" customHeight="true" hidden="false" ht="25.5" outlineLevel="0">
      <c r="A476" s="25"/>
      <c r="B476" s="26"/>
      <c r="C476" s="26"/>
      <c r="D476" s="26"/>
      <c r="E476" s="27"/>
      <c r="F476" s="27"/>
      <c r="G476" s="27"/>
      <c r="H476" s="27"/>
      <c r="I476" s="27"/>
      <c r="J476" s="27"/>
      <c r="K476" s="27"/>
      <c r="L476" s="27"/>
      <c r="M476" s="27"/>
    </row>
    <row r="477" s="6" collapsed="false" customFormat="true" customHeight="true" hidden="false" ht="25.5" outlineLevel="0">
      <c r="A477" s="25"/>
      <c r="B477" s="26"/>
      <c r="C477" s="26"/>
      <c r="D477" s="26"/>
      <c r="E477" s="27"/>
      <c r="F477" s="27"/>
      <c r="G477" s="27"/>
      <c r="H477" s="27"/>
      <c r="I477" s="27"/>
      <c r="J477" s="27"/>
      <c r="K477" s="27"/>
      <c r="L477" s="27"/>
      <c r="M477" s="27"/>
    </row>
    <row r="478" s="6" collapsed="false" customFormat="true" customHeight="true" hidden="false" ht="25.5" outlineLevel="0">
      <c r="A478" s="25"/>
      <c r="B478" s="26"/>
      <c r="C478" s="26"/>
      <c r="D478" s="26"/>
      <c r="E478" s="27"/>
      <c r="F478" s="27"/>
      <c r="G478" s="27"/>
      <c r="H478" s="27"/>
      <c r="I478" s="27"/>
      <c r="J478" s="27"/>
      <c r="K478" s="27"/>
      <c r="L478" s="27"/>
      <c r="M478" s="27"/>
    </row>
    <row r="479" s="6" collapsed="false" customFormat="true" customHeight="true" hidden="false" ht="25.5" outlineLevel="0">
      <c r="A479" s="25"/>
      <c r="B479" s="26"/>
      <c r="C479" s="26"/>
      <c r="D479" s="26"/>
      <c r="E479" s="27"/>
      <c r="F479" s="27"/>
      <c r="G479" s="27"/>
      <c r="H479" s="27"/>
      <c r="I479" s="27"/>
      <c r="J479" s="27"/>
      <c r="K479" s="27"/>
      <c r="L479" s="27"/>
      <c r="M479" s="27"/>
    </row>
    <row r="480" s="6" collapsed="false" customFormat="true" customHeight="true" hidden="false" ht="25.5" outlineLevel="0">
      <c r="A480" s="25"/>
      <c r="B480" s="26"/>
      <c r="C480" s="26"/>
      <c r="D480" s="26"/>
      <c r="E480" s="27"/>
      <c r="F480" s="27"/>
      <c r="G480" s="27"/>
      <c r="H480" s="27"/>
      <c r="I480" s="27"/>
      <c r="J480" s="27"/>
      <c r="K480" s="27"/>
      <c r="L480" s="27"/>
      <c r="M480" s="27"/>
    </row>
    <row r="481" s="6" collapsed="false" customFormat="true" customHeight="true" hidden="false" ht="25.5" outlineLevel="0">
      <c r="A481" s="25"/>
      <c r="B481" s="26"/>
      <c r="C481" s="26"/>
      <c r="D481" s="26"/>
      <c r="E481" s="27"/>
      <c r="F481" s="27"/>
      <c r="G481" s="27"/>
      <c r="H481" s="27"/>
      <c r="I481" s="27"/>
      <c r="J481" s="27"/>
      <c r="K481" s="27"/>
      <c r="L481" s="27"/>
      <c r="M481" s="27"/>
    </row>
    <row r="482" s="6" collapsed="false" customFormat="true" customHeight="true" hidden="false" ht="25.5" outlineLevel="0">
      <c r="A482" s="25"/>
      <c r="B482" s="26"/>
      <c r="C482" s="26"/>
      <c r="D482" s="26"/>
      <c r="E482" s="27"/>
      <c r="F482" s="27"/>
      <c r="G482" s="27"/>
      <c r="H482" s="27"/>
      <c r="I482" s="27"/>
      <c r="J482" s="27"/>
      <c r="K482" s="27"/>
      <c r="L482" s="27"/>
      <c r="M482" s="27"/>
    </row>
    <row r="483" s="6" collapsed="false" customFormat="true" customHeight="true" hidden="false" ht="25.5" outlineLevel="0">
      <c r="A483" s="25"/>
      <c r="B483" s="26"/>
      <c r="C483" s="26"/>
      <c r="D483" s="26"/>
      <c r="E483" s="27"/>
      <c r="F483" s="27"/>
      <c r="G483" s="27"/>
      <c r="H483" s="27"/>
      <c r="I483" s="27"/>
      <c r="J483" s="27"/>
      <c r="K483" s="27"/>
      <c r="L483" s="27"/>
      <c r="M483" s="27"/>
    </row>
    <row r="484" s="6" collapsed="false" customFormat="true" customHeight="true" hidden="false" ht="25.5" outlineLevel="0">
      <c r="A484" s="25"/>
      <c r="B484" s="26"/>
      <c r="C484" s="26"/>
      <c r="D484" s="26"/>
      <c r="E484" s="27"/>
      <c r="F484" s="27"/>
      <c r="G484" s="27"/>
      <c r="H484" s="27"/>
      <c r="I484" s="27"/>
      <c r="J484" s="27"/>
      <c r="K484" s="27"/>
      <c r="L484" s="27"/>
      <c r="M484" s="27"/>
    </row>
    <row r="485" s="6" collapsed="false" customFormat="true" customHeight="true" hidden="false" ht="25.5" outlineLevel="0">
      <c r="A485" s="25"/>
      <c r="B485" s="26"/>
      <c r="C485" s="26"/>
      <c r="D485" s="26"/>
      <c r="E485" s="27"/>
      <c r="F485" s="27"/>
      <c r="G485" s="27"/>
      <c r="H485" s="27"/>
      <c r="I485" s="27"/>
      <c r="J485" s="27"/>
      <c r="K485" s="27"/>
      <c r="L485" s="27"/>
      <c r="M485" s="27"/>
    </row>
    <row r="486" s="6" collapsed="false" customFormat="true" customHeight="true" hidden="false" ht="25.5" outlineLevel="0">
      <c r="A486" s="25"/>
      <c r="B486" s="26"/>
      <c r="C486" s="26"/>
      <c r="D486" s="26"/>
      <c r="E486" s="27"/>
      <c r="F486" s="27"/>
      <c r="G486" s="27"/>
      <c r="H486" s="27"/>
      <c r="I486" s="27"/>
      <c r="J486" s="27"/>
      <c r="K486" s="27"/>
      <c r="L486" s="27"/>
      <c r="M486" s="27"/>
    </row>
    <row r="487" s="6" collapsed="false" customFormat="true" customHeight="true" hidden="false" ht="25.5" outlineLevel="0">
      <c r="A487" s="25"/>
      <c r="B487" s="26"/>
      <c r="C487" s="26"/>
      <c r="D487" s="26"/>
      <c r="E487" s="27"/>
      <c r="F487" s="27"/>
      <c r="G487" s="27"/>
      <c r="H487" s="27"/>
      <c r="I487" s="27"/>
      <c r="J487" s="27"/>
      <c r="K487" s="27"/>
      <c r="L487" s="27"/>
      <c r="M487" s="27"/>
    </row>
    <row r="488" s="6" collapsed="false" customFormat="true" customHeight="true" hidden="false" ht="25.5" outlineLevel="0">
      <c r="A488" s="25"/>
      <c r="B488" s="26"/>
      <c r="C488" s="26"/>
      <c r="D488" s="26"/>
      <c r="E488" s="27"/>
      <c r="F488" s="27"/>
      <c r="G488" s="27"/>
      <c r="H488" s="27"/>
      <c r="I488" s="27"/>
      <c r="J488" s="27"/>
      <c r="K488" s="27"/>
      <c r="L488" s="27"/>
      <c r="M488" s="27"/>
    </row>
    <row r="489" s="6" collapsed="false" customFormat="true" customHeight="true" hidden="false" ht="25.5" outlineLevel="0">
      <c r="A489" s="25"/>
      <c r="B489" s="26"/>
      <c r="C489" s="26"/>
      <c r="D489" s="26"/>
      <c r="E489" s="27"/>
      <c r="F489" s="27"/>
      <c r="G489" s="27"/>
      <c r="H489" s="27"/>
      <c r="I489" s="27"/>
      <c r="J489" s="27"/>
      <c r="K489" s="27"/>
      <c r="L489" s="27"/>
      <c r="M489" s="27"/>
    </row>
    <row r="490" s="6" collapsed="false" customFormat="true" customHeight="true" hidden="false" ht="25.5" outlineLevel="0">
      <c r="A490" s="25"/>
      <c r="B490" s="26"/>
      <c r="C490" s="26"/>
      <c r="D490" s="26"/>
      <c r="E490" s="27"/>
      <c r="F490" s="27"/>
      <c r="G490" s="27"/>
      <c r="H490" s="27"/>
      <c r="I490" s="27"/>
      <c r="J490" s="27"/>
      <c r="K490" s="27"/>
      <c r="L490" s="27"/>
      <c r="M490" s="27"/>
    </row>
    <row r="491" s="6" collapsed="false" customFormat="true" customHeight="true" hidden="false" ht="25.5" outlineLevel="0">
      <c r="A491" s="25"/>
      <c r="B491" s="26"/>
      <c r="C491" s="26"/>
      <c r="D491" s="26"/>
      <c r="E491" s="27"/>
      <c r="F491" s="27"/>
      <c r="G491" s="27"/>
      <c r="H491" s="27"/>
      <c r="I491" s="27"/>
      <c r="J491" s="27"/>
      <c r="K491" s="27"/>
      <c r="L491" s="27"/>
      <c r="M491" s="27"/>
    </row>
    <row r="492" s="6" collapsed="false" customFormat="true" customHeight="true" hidden="false" ht="25.5" outlineLevel="0">
      <c r="A492" s="25"/>
      <c r="B492" s="26"/>
      <c r="C492" s="26"/>
      <c r="D492" s="26"/>
      <c r="E492" s="27"/>
      <c r="F492" s="27"/>
      <c r="G492" s="27"/>
      <c r="H492" s="27"/>
      <c r="I492" s="27"/>
      <c r="J492" s="27"/>
      <c r="K492" s="27"/>
      <c r="L492" s="27"/>
      <c r="M492" s="27"/>
    </row>
    <row r="493" s="6" collapsed="false" customFormat="true" customHeight="true" hidden="false" ht="25.5" outlineLevel="0">
      <c r="A493" s="25"/>
      <c r="B493" s="26"/>
      <c r="C493" s="26"/>
      <c r="D493" s="26"/>
      <c r="E493" s="27"/>
      <c r="F493" s="27"/>
      <c r="G493" s="27"/>
      <c r="H493" s="27"/>
      <c r="I493" s="27"/>
      <c r="J493" s="27"/>
      <c r="K493" s="27"/>
      <c r="L493" s="27"/>
      <c r="M493" s="27"/>
    </row>
    <row r="494" s="6" collapsed="false" customFormat="true" customHeight="true" hidden="false" ht="25.5" outlineLevel="0">
      <c r="A494" s="25"/>
      <c r="B494" s="26"/>
      <c r="C494" s="26"/>
      <c r="D494" s="26"/>
      <c r="E494" s="27"/>
      <c r="F494" s="27"/>
      <c r="G494" s="27"/>
      <c r="H494" s="27"/>
      <c r="I494" s="27"/>
      <c r="J494" s="27"/>
      <c r="K494" s="27"/>
      <c r="L494" s="27"/>
      <c r="M494" s="27"/>
    </row>
    <row r="495" s="6" collapsed="false" customFormat="true" customHeight="true" hidden="false" ht="25.5" outlineLevel="0">
      <c r="A495" s="25"/>
      <c r="B495" s="26"/>
      <c r="C495" s="26"/>
      <c r="D495" s="26"/>
      <c r="E495" s="27"/>
      <c r="F495" s="27"/>
      <c r="G495" s="27"/>
      <c r="H495" s="27"/>
      <c r="I495" s="27"/>
      <c r="J495" s="27"/>
      <c r="K495" s="27"/>
      <c r="L495" s="27"/>
      <c r="M495" s="27"/>
    </row>
    <row r="496" s="6" collapsed="false" customFormat="true" customHeight="true" hidden="false" ht="25.5" outlineLevel="0">
      <c r="A496" s="25"/>
      <c r="B496" s="26"/>
      <c r="C496" s="26"/>
      <c r="D496" s="26"/>
      <c r="E496" s="27"/>
      <c r="F496" s="27"/>
      <c r="G496" s="27"/>
      <c r="H496" s="27"/>
      <c r="I496" s="27"/>
      <c r="J496" s="27"/>
      <c r="K496" s="27"/>
      <c r="L496" s="27"/>
      <c r="M496" s="27"/>
    </row>
    <row r="497" s="6" collapsed="false" customFormat="true" customHeight="true" hidden="false" ht="25.5" outlineLevel="0">
      <c r="A497" s="25"/>
      <c r="B497" s="26"/>
      <c r="C497" s="26"/>
      <c r="D497" s="26"/>
      <c r="E497" s="27"/>
      <c r="F497" s="27"/>
      <c r="G497" s="27"/>
      <c r="H497" s="27"/>
      <c r="I497" s="27"/>
      <c r="J497" s="27"/>
      <c r="K497" s="27"/>
      <c r="L497" s="27"/>
      <c r="M497" s="27"/>
    </row>
    <row r="498" s="6" collapsed="false" customFormat="true" customHeight="true" hidden="false" ht="25.5" outlineLevel="0">
      <c r="A498" s="25"/>
      <c r="B498" s="26"/>
      <c r="C498" s="26"/>
      <c r="D498" s="26"/>
      <c r="E498" s="27"/>
      <c r="F498" s="27"/>
      <c r="G498" s="27"/>
      <c r="H498" s="27"/>
      <c r="I498" s="27"/>
      <c r="J498" s="27"/>
      <c r="K498" s="27"/>
      <c r="L498" s="27"/>
      <c r="M498" s="27"/>
    </row>
    <row r="499" s="6" collapsed="false" customFormat="true" customHeight="true" hidden="false" ht="25.5" outlineLevel="0">
      <c r="A499" s="25"/>
      <c r="B499" s="26"/>
      <c r="C499" s="26"/>
      <c r="D499" s="26"/>
      <c r="E499" s="27"/>
      <c r="F499" s="27"/>
      <c r="G499" s="27"/>
      <c r="H499" s="27"/>
      <c r="I499" s="27"/>
      <c r="J499" s="27"/>
      <c r="K499" s="27"/>
      <c r="L499" s="27"/>
      <c r="M499" s="27"/>
    </row>
    <row r="500" s="6" collapsed="false" customFormat="true" customHeight="true" hidden="false" ht="25.5" outlineLevel="0">
      <c r="A500" s="25"/>
      <c r="B500" s="26"/>
      <c r="C500" s="26"/>
      <c r="D500" s="26"/>
      <c r="E500" s="27"/>
      <c r="F500" s="27"/>
      <c r="G500" s="27"/>
      <c r="H500" s="27"/>
      <c r="I500" s="27"/>
      <c r="J500" s="27"/>
      <c r="K500" s="27"/>
      <c r="L500" s="27"/>
      <c r="M500" s="27"/>
    </row>
    <row r="501" s="6" collapsed="false" customFormat="true" customHeight="true" hidden="false" ht="25.5" outlineLevel="0">
      <c r="A501" s="25"/>
      <c r="B501" s="26"/>
      <c r="C501" s="26"/>
      <c r="D501" s="26"/>
      <c r="E501" s="27"/>
      <c r="F501" s="27"/>
      <c r="G501" s="27"/>
      <c r="H501" s="27"/>
      <c r="I501" s="27"/>
      <c r="J501" s="27"/>
      <c r="K501" s="27"/>
      <c r="L501" s="27"/>
      <c r="M501" s="27"/>
    </row>
    <row r="502" s="6" collapsed="false" customFormat="true" customHeight="true" hidden="false" ht="25.5" outlineLevel="0">
      <c r="A502" s="25"/>
      <c r="B502" s="26"/>
      <c r="C502" s="26"/>
      <c r="D502" s="26"/>
      <c r="E502" s="27"/>
      <c r="F502" s="27"/>
      <c r="G502" s="27"/>
      <c r="H502" s="27"/>
      <c r="I502" s="27"/>
      <c r="J502" s="27"/>
      <c r="K502" s="27"/>
      <c r="L502" s="27"/>
      <c r="M502" s="27"/>
    </row>
    <row r="503" s="6" collapsed="false" customFormat="true" customHeight="true" hidden="false" ht="25.5" outlineLevel="0">
      <c r="A503" s="25"/>
      <c r="B503" s="26"/>
      <c r="C503" s="26"/>
      <c r="D503" s="26"/>
      <c r="E503" s="27"/>
      <c r="F503" s="27"/>
      <c r="G503" s="27"/>
      <c r="H503" s="27"/>
      <c r="I503" s="27"/>
      <c r="J503" s="27"/>
      <c r="K503" s="27"/>
      <c r="L503" s="27"/>
      <c r="M503" s="27"/>
    </row>
    <row r="504" s="6" collapsed="false" customFormat="true" customHeight="true" hidden="false" ht="25.5" outlineLevel="0">
      <c r="A504" s="25"/>
      <c r="B504" s="26"/>
      <c r="C504" s="26"/>
      <c r="D504" s="26"/>
      <c r="E504" s="27"/>
      <c r="F504" s="27"/>
      <c r="G504" s="27"/>
      <c r="H504" s="27"/>
      <c r="I504" s="27"/>
      <c r="J504" s="27"/>
      <c r="K504" s="27"/>
      <c r="L504" s="27"/>
      <c r="M504" s="27"/>
    </row>
    <row r="505" s="6" collapsed="false" customFormat="true" customHeight="true" hidden="false" ht="25.5" outlineLevel="0">
      <c r="A505" s="25"/>
      <c r="B505" s="26"/>
      <c r="C505" s="26"/>
      <c r="D505" s="26"/>
      <c r="E505" s="27"/>
      <c r="F505" s="27"/>
      <c r="G505" s="27"/>
      <c r="H505" s="27"/>
      <c r="I505" s="27"/>
      <c r="J505" s="27"/>
      <c r="K505" s="27"/>
      <c r="L505" s="27"/>
      <c r="M505" s="27"/>
    </row>
    <row r="506" s="6" collapsed="false" customFormat="true" customHeight="true" hidden="false" ht="25.5" outlineLevel="0">
      <c r="A506" s="25"/>
      <c r="B506" s="26"/>
      <c r="C506" s="26"/>
      <c r="D506" s="26"/>
      <c r="E506" s="27"/>
      <c r="F506" s="27"/>
      <c r="G506" s="27"/>
      <c r="H506" s="27"/>
      <c r="I506" s="27"/>
      <c r="J506" s="27"/>
      <c r="K506" s="27"/>
      <c r="L506" s="27"/>
      <c r="M506" s="27"/>
    </row>
    <row r="507" s="6" collapsed="false" customFormat="true" customHeight="true" hidden="false" ht="25.5" outlineLevel="0">
      <c r="A507" s="25"/>
      <c r="B507" s="26"/>
      <c r="C507" s="26"/>
      <c r="D507" s="26"/>
      <c r="E507" s="27"/>
      <c r="F507" s="27"/>
      <c r="G507" s="27"/>
      <c r="H507" s="27"/>
      <c r="I507" s="27"/>
      <c r="J507" s="27"/>
      <c r="K507" s="27"/>
      <c r="L507" s="27"/>
      <c r="M507" s="27"/>
    </row>
    <row r="508" s="6" collapsed="false" customFormat="true" customHeight="true" hidden="false" ht="25.5" outlineLevel="0">
      <c r="A508" s="25"/>
      <c r="B508" s="26"/>
      <c r="C508" s="26"/>
      <c r="D508" s="26"/>
      <c r="E508" s="27"/>
      <c r="F508" s="27"/>
      <c r="G508" s="27"/>
      <c r="H508" s="27"/>
      <c r="I508" s="27"/>
      <c r="J508" s="27"/>
      <c r="K508" s="27"/>
      <c r="L508" s="27"/>
      <c r="M508" s="27"/>
    </row>
    <row r="509" s="6" collapsed="false" customFormat="true" customHeight="true" hidden="false" ht="25.5" outlineLevel="0">
      <c r="A509" s="25"/>
      <c r="B509" s="26"/>
      <c r="C509" s="26"/>
      <c r="D509" s="26"/>
      <c r="E509" s="27"/>
      <c r="F509" s="27"/>
      <c r="G509" s="27"/>
      <c r="H509" s="27"/>
      <c r="I509" s="27"/>
      <c r="J509" s="27"/>
      <c r="K509" s="27"/>
      <c r="L509" s="27"/>
      <c r="M509" s="27"/>
    </row>
    <row r="510" s="6" collapsed="false" customFormat="true" customHeight="true" hidden="false" ht="25.5" outlineLevel="0">
      <c r="A510" s="25"/>
      <c r="B510" s="26"/>
      <c r="C510" s="26"/>
      <c r="D510" s="26"/>
      <c r="E510" s="27"/>
      <c r="F510" s="27"/>
      <c r="G510" s="27"/>
      <c r="H510" s="27"/>
      <c r="I510" s="27"/>
      <c r="J510" s="27"/>
      <c r="K510" s="27"/>
      <c r="L510" s="27"/>
      <c r="M510" s="27"/>
    </row>
    <row r="511" s="6" collapsed="false" customFormat="true" customHeight="true" hidden="false" ht="25.5" outlineLevel="0">
      <c r="A511" s="25"/>
      <c r="B511" s="26"/>
      <c r="C511" s="26"/>
      <c r="D511" s="26"/>
      <c r="E511" s="27"/>
      <c r="F511" s="27"/>
      <c r="G511" s="27"/>
      <c r="H511" s="27"/>
      <c r="I511" s="27"/>
      <c r="J511" s="27"/>
      <c r="K511" s="27"/>
      <c r="L511" s="27"/>
      <c r="M511" s="27"/>
    </row>
    <row r="512" s="6" collapsed="false" customFormat="true" customHeight="true" hidden="false" ht="25.5" outlineLevel="0">
      <c r="A512" s="25"/>
      <c r="B512" s="26"/>
      <c r="C512" s="26"/>
      <c r="D512" s="26"/>
      <c r="E512" s="27"/>
      <c r="F512" s="27"/>
      <c r="G512" s="27"/>
      <c r="H512" s="27"/>
      <c r="I512" s="27"/>
      <c r="J512" s="27"/>
      <c r="K512" s="27"/>
      <c r="L512" s="27"/>
      <c r="M512" s="27"/>
    </row>
    <row r="513" s="6" collapsed="false" customFormat="true" customHeight="true" hidden="false" ht="25.5" outlineLevel="0">
      <c r="A513" s="25"/>
      <c r="B513" s="26"/>
      <c r="C513" s="26"/>
      <c r="D513" s="26"/>
      <c r="E513" s="27"/>
      <c r="F513" s="27"/>
      <c r="G513" s="27"/>
      <c r="H513" s="27"/>
      <c r="I513" s="27"/>
      <c r="J513" s="27"/>
      <c r="K513" s="27"/>
      <c r="L513" s="27"/>
      <c r="M513" s="27"/>
    </row>
    <row r="514" s="6" collapsed="false" customFormat="true" customHeight="true" hidden="false" ht="25.5" outlineLevel="0">
      <c r="A514" s="25"/>
      <c r="B514" s="26"/>
      <c r="C514" s="26"/>
      <c r="D514" s="26"/>
      <c r="E514" s="27"/>
      <c r="F514" s="27"/>
      <c r="G514" s="27"/>
      <c r="H514" s="27"/>
      <c r="I514" s="27"/>
      <c r="J514" s="27"/>
      <c r="K514" s="27"/>
      <c r="L514" s="27"/>
      <c r="M514" s="27"/>
    </row>
    <row r="515" s="6" collapsed="false" customFormat="true" customHeight="true" hidden="false" ht="25.5" outlineLevel="0">
      <c r="A515" s="25"/>
      <c r="B515" s="26"/>
      <c r="C515" s="26"/>
      <c r="D515" s="26"/>
      <c r="E515" s="27"/>
      <c r="F515" s="27"/>
      <c r="G515" s="27"/>
      <c r="H515" s="27"/>
      <c r="I515" s="27"/>
      <c r="J515" s="27"/>
      <c r="K515" s="27"/>
      <c r="L515" s="27"/>
      <c r="M515" s="27"/>
    </row>
    <row r="516" s="6" collapsed="false" customFormat="true" customHeight="true" hidden="false" ht="25.5" outlineLevel="0">
      <c r="A516" s="25"/>
      <c r="B516" s="26"/>
      <c r="C516" s="26"/>
      <c r="D516" s="26"/>
      <c r="E516" s="27"/>
      <c r="F516" s="27"/>
      <c r="G516" s="27"/>
      <c r="H516" s="27"/>
      <c r="I516" s="27"/>
      <c r="J516" s="27"/>
      <c r="K516" s="27"/>
      <c r="L516" s="27"/>
      <c r="M516" s="27"/>
    </row>
    <row r="517" s="6" collapsed="false" customFormat="true" customHeight="true" hidden="false" ht="25.5" outlineLevel="0">
      <c r="A517" s="25"/>
      <c r="B517" s="26"/>
      <c r="C517" s="26"/>
      <c r="D517" s="26"/>
      <c r="E517" s="27"/>
      <c r="F517" s="27"/>
      <c r="G517" s="27"/>
      <c r="H517" s="27"/>
      <c r="I517" s="27"/>
      <c r="J517" s="27"/>
      <c r="K517" s="27"/>
      <c r="L517" s="27"/>
      <c r="M517" s="27"/>
    </row>
    <row r="518" s="6" collapsed="false" customFormat="true" customHeight="true" hidden="false" ht="25.5" outlineLevel="0">
      <c r="A518" s="25"/>
      <c r="B518" s="26"/>
      <c r="C518" s="26"/>
      <c r="D518" s="26"/>
      <c r="E518" s="27"/>
      <c r="F518" s="27"/>
      <c r="G518" s="27"/>
      <c r="H518" s="27"/>
      <c r="I518" s="27"/>
      <c r="J518" s="27"/>
      <c r="K518" s="27"/>
      <c r="L518" s="27"/>
      <c r="M518" s="27"/>
    </row>
    <row r="519" s="6" collapsed="false" customFormat="true" customHeight="true" hidden="false" ht="25.5" outlineLevel="0">
      <c r="A519" s="25"/>
      <c r="B519" s="26"/>
      <c r="C519" s="26"/>
      <c r="D519" s="26"/>
      <c r="E519" s="27"/>
      <c r="F519" s="27"/>
      <c r="G519" s="27"/>
      <c r="H519" s="27"/>
      <c r="I519" s="27"/>
      <c r="J519" s="27"/>
      <c r="K519" s="27"/>
      <c r="L519" s="27"/>
      <c r="M519" s="27"/>
    </row>
    <row r="520" s="6" collapsed="false" customFormat="true" customHeight="true" hidden="false" ht="25.5" outlineLevel="0">
      <c r="A520" s="25"/>
      <c r="B520" s="26"/>
      <c r="C520" s="26"/>
      <c r="D520" s="26"/>
      <c r="E520" s="27"/>
      <c r="F520" s="27"/>
      <c r="G520" s="27"/>
      <c r="H520" s="27"/>
      <c r="I520" s="27"/>
      <c r="J520" s="27"/>
      <c r="K520" s="27"/>
      <c r="L520" s="27"/>
      <c r="M520" s="27"/>
    </row>
    <row r="521" s="6" collapsed="false" customFormat="true" customHeight="true" hidden="false" ht="25.5" outlineLevel="0">
      <c r="A521" s="25"/>
      <c r="B521" s="26"/>
      <c r="C521" s="26"/>
      <c r="D521" s="26"/>
      <c r="E521" s="27"/>
      <c r="F521" s="27"/>
      <c r="G521" s="27"/>
      <c r="H521" s="27"/>
      <c r="I521" s="27"/>
      <c r="J521" s="27"/>
      <c r="K521" s="27"/>
      <c r="L521" s="27"/>
      <c r="M521" s="27"/>
    </row>
    <row r="522" s="6" collapsed="false" customFormat="true" customHeight="true" hidden="false" ht="25.5" outlineLevel="0">
      <c r="A522" s="25"/>
      <c r="B522" s="26"/>
      <c r="C522" s="26"/>
      <c r="D522" s="26"/>
      <c r="E522" s="27"/>
      <c r="F522" s="27"/>
      <c r="G522" s="27"/>
      <c r="H522" s="27"/>
      <c r="I522" s="27"/>
      <c r="J522" s="27"/>
      <c r="K522" s="27"/>
      <c r="L522" s="27"/>
      <c r="M522" s="27"/>
    </row>
    <row r="523" s="6" collapsed="false" customFormat="true" customHeight="true" hidden="false" ht="25.5" outlineLevel="0">
      <c r="A523" s="25"/>
      <c r="B523" s="26"/>
      <c r="C523" s="26"/>
      <c r="D523" s="26"/>
      <c r="E523" s="27"/>
      <c r="F523" s="27"/>
      <c r="G523" s="27"/>
      <c r="H523" s="27"/>
      <c r="I523" s="27"/>
      <c r="J523" s="27"/>
      <c r="K523" s="27"/>
      <c r="L523" s="27"/>
      <c r="M523" s="27"/>
    </row>
    <row r="524" s="6" collapsed="false" customFormat="true" customHeight="true" hidden="false" ht="25.5" outlineLevel="0">
      <c r="A524" s="25"/>
      <c r="B524" s="26"/>
      <c r="C524" s="26"/>
      <c r="D524" s="26"/>
      <c r="E524" s="27"/>
      <c r="F524" s="27"/>
      <c r="G524" s="27"/>
      <c r="H524" s="27"/>
      <c r="I524" s="27"/>
      <c r="J524" s="27"/>
      <c r="K524" s="27"/>
      <c r="L524" s="27"/>
      <c r="M524" s="27"/>
    </row>
    <row r="525" s="6" collapsed="false" customFormat="true" customHeight="true" hidden="false" ht="25.5" outlineLevel="0">
      <c r="A525" s="25"/>
      <c r="B525" s="26"/>
      <c r="C525" s="26"/>
      <c r="D525" s="26"/>
      <c r="E525" s="27"/>
      <c r="F525" s="27"/>
      <c r="G525" s="27"/>
      <c r="H525" s="27"/>
      <c r="I525" s="27"/>
      <c r="J525" s="27"/>
      <c r="K525" s="27"/>
      <c r="L525" s="27"/>
      <c r="M525" s="27"/>
    </row>
    <row r="526" s="6" collapsed="false" customFormat="true" customHeight="true" hidden="false" ht="25.5" outlineLevel="0">
      <c r="A526" s="25"/>
      <c r="B526" s="26"/>
      <c r="C526" s="26"/>
      <c r="D526" s="26"/>
      <c r="E526" s="27"/>
      <c r="F526" s="27"/>
      <c r="G526" s="27"/>
      <c r="H526" s="27"/>
      <c r="I526" s="27"/>
      <c r="J526" s="27"/>
      <c r="K526" s="27"/>
      <c r="L526" s="27"/>
      <c r="M526" s="27"/>
    </row>
    <row r="527" s="6" collapsed="false" customFormat="true" customHeight="true" hidden="false" ht="25.5" outlineLevel="0">
      <c r="A527" s="25"/>
      <c r="B527" s="26"/>
      <c r="C527" s="26"/>
      <c r="D527" s="26"/>
      <c r="E527" s="27"/>
      <c r="F527" s="27"/>
      <c r="G527" s="27"/>
      <c r="H527" s="27"/>
      <c r="I527" s="27"/>
      <c r="J527" s="27"/>
      <c r="K527" s="27"/>
      <c r="L527" s="27"/>
      <c r="M527" s="27"/>
    </row>
    <row r="528" s="6" collapsed="false" customFormat="true" customHeight="true" hidden="false" ht="25.5" outlineLevel="0">
      <c r="A528" s="25"/>
      <c r="B528" s="26"/>
      <c r="C528" s="26"/>
      <c r="D528" s="26"/>
      <c r="E528" s="27"/>
      <c r="F528" s="27"/>
      <c r="G528" s="27"/>
      <c r="H528" s="27"/>
      <c r="I528" s="27"/>
      <c r="J528" s="27"/>
      <c r="K528" s="27"/>
      <c r="L528" s="27"/>
      <c r="M528" s="27"/>
    </row>
    <row r="529" s="6" collapsed="false" customFormat="true" customHeight="true" hidden="false" ht="25.5" outlineLevel="0">
      <c r="A529" s="25"/>
      <c r="B529" s="26"/>
      <c r="C529" s="26"/>
      <c r="D529" s="26"/>
      <c r="E529" s="27"/>
      <c r="F529" s="27"/>
      <c r="G529" s="27"/>
      <c r="H529" s="27"/>
      <c r="I529" s="27"/>
      <c r="J529" s="27"/>
      <c r="K529" s="27"/>
      <c r="L529" s="27"/>
      <c r="M529" s="27"/>
    </row>
    <row r="530" s="6" collapsed="false" customFormat="true" customHeight="true" hidden="false" ht="25.5" outlineLevel="0">
      <c r="A530" s="25"/>
      <c r="B530" s="26"/>
      <c r="C530" s="26"/>
      <c r="D530" s="26"/>
      <c r="E530" s="27"/>
      <c r="F530" s="27"/>
      <c r="G530" s="27"/>
      <c r="H530" s="27"/>
      <c r="I530" s="27"/>
      <c r="J530" s="27"/>
      <c r="K530" s="27"/>
      <c r="L530" s="27"/>
      <c r="M530" s="27"/>
    </row>
    <row r="531" s="6" collapsed="false" customFormat="true" customHeight="true" hidden="false" ht="25.5" outlineLevel="0">
      <c r="A531" s="25"/>
      <c r="B531" s="26"/>
      <c r="C531" s="26"/>
      <c r="D531" s="26"/>
      <c r="E531" s="27"/>
      <c r="F531" s="27"/>
      <c r="G531" s="27"/>
      <c r="H531" s="27"/>
      <c r="I531" s="27"/>
      <c r="J531" s="27"/>
      <c r="K531" s="27"/>
      <c r="L531" s="27"/>
      <c r="M531" s="27"/>
    </row>
    <row r="532" s="6" collapsed="false" customFormat="true" customHeight="true" hidden="false" ht="25.5" outlineLevel="0">
      <c r="A532" s="25"/>
      <c r="B532" s="26"/>
      <c r="C532" s="26"/>
      <c r="D532" s="26"/>
      <c r="E532" s="27"/>
      <c r="F532" s="27"/>
      <c r="G532" s="27"/>
      <c r="H532" s="27"/>
      <c r="I532" s="27"/>
      <c r="J532" s="27"/>
      <c r="K532" s="27"/>
      <c r="L532" s="27"/>
      <c r="M532" s="27"/>
    </row>
    <row r="533" s="6" collapsed="false" customFormat="true" customHeight="true" hidden="false" ht="25.5" outlineLevel="0">
      <c r="A533" s="25"/>
      <c r="B533" s="26"/>
      <c r="C533" s="26"/>
      <c r="D533" s="26"/>
      <c r="E533" s="27"/>
      <c r="F533" s="27"/>
      <c r="G533" s="27"/>
      <c r="H533" s="27"/>
      <c r="I533" s="27"/>
      <c r="J533" s="27"/>
      <c r="K533" s="27"/>
      <c r="L533" s="27"/>
      <c r="M533" s="27"/>
    </row>
    <row r="534" s="6" collapsed="false" customFormat="true" customHeight="true" hidden="false" ht="25.5" outlineLevel="0">
      <c r="A534" s="25"/>
      <c r="B534" s="26"/>
      <c r="C534" s="26"/>
      <c r="D534" s="26"/>
      <c r="E534" s="27"/>
      <c r="F534" s="27"/>
      <c r="G534" s="27"/>
      <c r="H534" s="27"/>
      <c r="I534" s="27"/>
      <c r="J534" s="27"/>
      <c r="K534" s="27"/>
      <c r="L534" s="27"/>
      <c r="M534" s="27"/>
    </row>
    <row r="535" s="6" collapsed="false" customFormat="true" customHeight="true" hidden="false" ht="25.5" outlineLevel="0">
      <c r="A535" s="25"/>
      <c r="B535" s="26"/>
      <c r="C535" s="26"/>
      <c r="D535" s="26"/>
      <c r="E535" s="27"/>
      <c r="F535" s="27"/>
      <c r="G535" s="27"/>
      <c r="H535" s="27"/>
      <c r="I535" s="27"/>
      <c r="J535" s="27"/>
      <c r="K535" s="27"/>
      <c r="L535" s="27"/>
      <c r="M535" s="27"/>
    </row>
    <row r="536" s="6" collapsed="false" customFormat="true" customHeight="true" hidden="false" ht="25.5" outlineLevel="0">
      <c r="A536" s="25"/>
      <c r="B536" s="26"/>
      <c r="C536" s="26"/>
      <c r="D536" s="26"/>
      <c r="E536" s="27"/>
      <c r="F536" s="27"/>
      <c r="G536" s="27"/>
      <c r="H536" s="27"/>
      <c r="I536" s="27"/>
      <c r="J536" s="27"/>
      <c r="K536" s="27"/>
      <c r="L536" s="27"/>
      <c r="M536" s="27"/>
    </row>
    <row r="537" s="6" collapsed="false" customFormat="true" customHeight="true" hidden="false" ht="25.5" outlineLevel="0">
      <c r="A537" s="25"/>
      <c r="B537" s="26"/>
      <c r="C537" s="26"/>
      <c r="D537" s="26"/>
      <c r="E537" s="27"/>
      <c r="F537" s="27"/>
      <c r="G537" s="27"/>
      <c r="H537" s="27"/>
      <c r="I537" s="27"/>
      <c r="J537" s="27"/>
      <c r="K537" s="27"/>
      <c r="L537" s="27"/>
      <c r="M537" s="27"/>
    </row>
    <row r="538" s="6" collapsed="false" customFormat="true" customHeight="true" hidden="false" ht="25.5" outlineLevel="0">
      <c r="A538" s="25"/>
      <c r="B538" s="26"/>
      <c r="C538" s="26"/>
      <c r="D538" s="26"/>
      <c r="E538" s="27"/>
      <c r="F538" s="27"/>
      <c r="G538" s="27"/>
      <c r="H538" s="27"/>
      <c r="I538" s="27"/>
      <c r="J538" s="27"/>
      <c r="K538" s="27"/>
      <c r="L538" s="27"/>
      <c r="M538" s="27"/>
    </row>
    <row r="539" s="6" collapsed="false" customFormat="true" customHeight="true" hidden="false" ht="25.5" outlineLevel="0">
      <c r="A539" s="25"/>
      <c r="B539" s="26"/>
      <c r="C539" s="26"/>
      <c r="D539" s="26"/>
      <c r="E539" s="27"/>
      <c r="F539" s="27"/>
      <c r="G539" s="27"/>
      <c r="H539" s="27"/>
      <c r="I539" s="27"/>
      <c r="J539" s="27"/>
      <c r="K539" s="27"/>
      <c r="L539" s="27"/>
      <c r="M539" s="27"/>
    </row>
    <row r="540" s="6" collapsed="false" customFormat="true" customHeight="true" hidden="false" ht="25.5" outlineLevel="0">
      <c r="A540" s="25"/>
      <c r="B540" s="26"/>
      <c r="C540" s="26"/>
      <c r="D540" s="26"/>
      <c r="E540" s="27"/>
      <c r="F540" s="27"/>
      <c r="G540" s="27"/>
      <c r="H540" s="27"/>
      <c r="I540" s="27"/>
      <c r="J540" s="27"/>
      <c r="K540" s="27"/>
      <c r="L540" s="27"/>
      <c r="M540" s="27"/>
    </row>
    <row r="541" s="6" collapsed="false" customFormat="true" customHeight="true" hidden="false" ht="25.5" outlineLevel="0">
      <c r="A541" s="25"/>
      <c r="B541" s="26"/>
      <c r="C541" s="26"/>
      <c r="D541" s="26"/>
      <c r="E541" s="27"/>
      <c r="F541" s="27"/>
      <c r="G541" s="27"/>
      <c r="H541" s="27"/>
      <c r="I541" s="27"/>
      <c r="J541" s="27"/>
      <c r="K541" s="27"/>
      <c r="L541" s="27"/>
      <c r="M541" s="27"/>
    </row>
    <row r="542" s="6" collapsed="false" customFormat="true" customHeight="true" hidden="false" ht="25.5" outlineLevel="0">
      <c r="A542" s="25"/>
      <c r="B542" s="26"/>
      <c r="C542" s="26"/>
      <c r="D542" s="26"/>
      <c r="E542" s="27"/>
      <c r="F542" s="27"/>
      <c r="G542" s="27"/>
      <c r="H542" s="27"/>
      <c r="I542" s="27"/>
      <c r="J542" s="27"/>
      <c r="K542" s="27"/>
      <c r="L542" s="27"/>
      <c r="M542" s="27"/>
    </row>
    <row r="543" s="6" collapsed="false" customFormat="true" customHeight="true" hidden="false" ht="25.5" outlineLevel="0">
      <c r="A543" s="25"/>
      <c r="B543" s="26"/>
      <c r="C543" s="26"/>
      <c r="D543" s="26"/>
      <c r="E543" s="27"/>
      <c r="F543" s="27"/>
      <c r="G543" s="27"/>
      <c r="H543" s="27"/>
      <c r="I543" s="27"/>
      <c r="J543" s="27"/>
      <c r="K543" s="27"/>
      <c r="L543" s="27"/>
      <c r="M543" s="27"/>
    </row>
    <row r="544" s="6" collapsed="false" customFormat="true" customHeight="true" hidden="false" ht="25.5" outlineLevel="0">
      <c r="A544" s="25"/>
      <c r="B544" s="26"/>
      <c r="C544" s="26"/>
      <c r="D544" s="26"/>
      <c r="E544" s="27"/>
      <c r="F544" s="27"/>
      <c r="G544" s="27"/>
      <c r="H544" s="27"/>
      <c r="I544" s="27"/>
      <c r="J544" s="27"/>
      <c r="K544" s="27"/>
      <c r="L544" s="27"/>
      <c r="M544" s="27"/>
    </row>
    <row r="545" s="6" collapsed="false" customFormat="true" customHeight="true" hidden="false" ht="25.5" outlineLevel="0">
      <c r="A545" s="25"/>
      <c r="B545" s="26"/>
      <c r="C545" s="26"/>
      <c r="D545" s="26"/>
      <c r="E545" s="27"/>
      <c r="F545" s="27"/>
      <c r="G545" s="27"/>
      <c r="H545" s="27"/>
      <c r="I545" s="27"/>
      <c r="J545" s="27"/>
      <c r="K545" s="27"/>
      <c r="L545" s="27"/>
      <c r="M545" s="27"/>
    </row>
    <row r="546" s="6" collapsed="false" customFormat="true" customHeight="true" hidden="false" ht="25.5" outlineLevel="0">
      <c r="A546" s="25"/>
      <c r="B546" s="26"/>
      <c r="C546" s="26"/>
      <c r="D546" s="26"/>
      <c r="E546" s="27"/>
      <c r="F546" s="27"/>
      <c r="G546" s="27"/>
      <c r="H546" s="27"/>
      <c r="I546" s="27"/>
      <c r="J546" s="27"/>
      <c r="K546" s="27"/>
      <c r="L546" s="27"/>
      <c r="M546" s="27"/>
    </row>
    <row r="547" s="6" collapsed="false" customFormat="true" customHeight="true" hidden="false" ht="25.5" outlineLevel="0">
      <c r="A547" s="25"/>
      <c r="B547" s="26"/>
      <c r="C547" s="26"/>
      <c r="D547" s="26"/>
      <c r="E547" s="27"/>
      <c r="F547" s="27"/>
      <c r="G547" s="27"/>
      <c r="H547" s="27"/>
      <c r="I547" s="27"/>
      <c r="J547" s="27"/>
      <c r="K547" s="27"/>
      <c r="L547" s="27"/>
      <c r="M547" s="27"/>
    </row>
    <row r="548" s="6" collapsed="false" customFormat="true" customHeight="true" hidden="false" ht="25.5" outlineLevel="0">
      <c r="A548" s="25"/>
      <c r="B548" s="26"/>
      <c r="C548" s="26"/>
      <c r="D548" s="26"/>
      <c r="E548" s="27"/>
      <c r="F548" s="27"/>
      <c r="G548" s="27"/>
      <c r="H548" s="27"/>
      <c r="I548" s="27"/>
      <c r="J548" s="27"/>
      <c r="K548" s="27"/>
      <c r="L548" s="27"/>
      <c r="M548" s="27"/>
    </row>
    <row r="549" s="6" collapsed="false" customFormat="true" customHeight="true" hidden="false" ht="25.5" outlineLevel="0">
      <c r="A549" s="25"/>
      <c r="B549" s="26"/>
      <c r="C549" s="26"/>
      <c r="D549" s="26"/>
      <c r="E549" s="27"/>
      <c r="F549" s="27"/>
      <c r="G549" s="27"/>
      <c r="H549" s="27"/>
      <c r="I549" s="27"/>
      <c r="J549" s="27"/>
      <c r="K549" s="27"/>
      <c r="L549" s="27"/>
      <c r="M549" s="27"/>
    </row>
    <row r="550" s="6" collapsed="false" customFormat="true" customHeight="true" hidden="false" ht="25.5" outlineLevel="0">
      <c r="A550" s="25"/>
      <c r="B550" s="26"/>
      <c r="C550" s="26"/>
      <c r="D550" s="26"/>
      <c r="E550" s="27"/>
      <c r="F550" s="27"/>
      <c r="G550" s="27"/>
      <c r="H550" s="27"/>
      <c r="I550" s="27"/>
      <c r="J550" s="27"/>
      <c r="K550" s="27"/>
      <c r="L550" s="27"/>
      <c r="M550" s="27"/>
    </row>
    <row r="551" s="6" collapsed="false" customFormat="true" customHeight="true" hidden="false" ht="25.5" outlineLevel="0">
      <c r="A551" s="25"/>
      <c r="B551" s="26"/>
      <c r="C551" s="26"/>
      <c r="D551" s="26"/>
      <c r="E551" s="27"/>
      <c r="F551" s="27"/>
      <c r="G551" s="27"/>
      <c r="H551" s="27"/>
      <c r="I551" s="27"/>
      <c r="J551" s="27"/>
      <c r="K551" s="27"/>
      <c r="L551" s="27"/>
      <c r="M551" s="27"/>
    </row>
    <row r="552" s="6" collapsed="false" customFormat="true" customHeight="true" hidden="false" ht="25.5" outlineLevel="0">
      <c r="A552" s="25"/>
      <c r="B552" s="26"/>
      <c r="C552" s="26"/>
      <c r="D552" s="26"/>
      <c r="E552" s="27"/>
      <c r="F552" s="27"/>
      <c r="G552" s="27"/>
      <c r="H552" s="27"/>
      <c r="I552" s="27"/>
      <c r="J552" s="27"/>
      <c r="K552" s="27"/>
      <c r="L552" s="27"/>
      <c r="M552" s="27"/>
    </row>
    <row r="553" s="6" collapsed="false" customFormat="true" customHeight="true" hidden="false" ht="25.5" outlineLevel="0">
      <c r="A553" s="25"/>
      <c r="B553" s="26"/>
      <c r="C553" s="26"/>
      <c r="D553" s="26"/>
      <c r="E553" s="27"/>
      <c r="F553" s="27"/>
      <c r="G553" s="27"/>
      <c r="H553" s="27"/>
      <c r="I553" s="27"/>
      <c r="J553" s="27"/>
      <c r="K553" s="27"/>
      <c r="L553" s="27"/>
      <c r="M553" s="27"/>
    </row>
    <row r="554" s="6" collapsed="false" customFormat="true" customHeight="true" hidden="false" ht="25.5" outlineLevel="0">
      <c r="A554" s="25"/>
      <c r="B554" s="26"/>
      <c r="C554" s="26"/>
      <c r="D554" s="26"/>
      <c r="E554" s="27"/>
      <c r="F554" s="27"/>
      <c r="G554" s="27"/>
      <c r="H554" s="27"/>
      <c r="I554" s="27"/>
      <c r="J554" s="27"/>
      <c r="K554" s="27"/>
      <c r="L554" s="27"/>
      <c r="M554" s="27"/>
    </row>
    <row r="555" s="6" collapsed="false" customFormat="true" customHeight="true" hidden="false" ht="25.5" outlineLevel="0">
      <c r="A555" s="25"/>
      <c r="B555" s="26"/>
      <c r="C555" s="26"/>
      <c r="D555" s="26"/>
      <c r="E555" s="27"/>
      <c r="F555" s="27"/>
      <c r="G555" s="27"/>
      <c r="H555" s="27"/>
      <c r="I555" s="27"/>
      <c r="J555" s="27"/>
      <c r="K555" s="27"/>
      <c r="L555" s="27"/>
      <c r="M555" s="27"/>
    </row>
    <row r="556" s="6" collapsed="false" customFormat="true" customHeight="true" hidden="false" ht="25.5" outlineLevel="0">
      <c r="A556" s="25"/>
      <c r="B556" s="26"/>
      <c r="C556" s="26"/>
      <c r="D556" s="26"/>
      <c r="E556" s="27"/>
      <c r="F556" s="27"/>
      <c r="G556" s="27"/>
      <c r="H556" s="27"/>
      <c r="I556" s="27"/>
      <c r="J556" s="27"/>
      <c r="K556" s="27"/>
      <c r="L556" s="27"/>
      <c r="M556" s="27"/>
    </row>
    <row r="557" s="6" collapsed="false" customFormat="true" customHeight="true" hidden="false" ht="25.5" outlineLevel="0">
      <c r="A557" s="25"/>
      <c r="B557" s="26"/>
      <c r="C557" s="26"/>
      <c r="D557" s="26"/>
      <c r="E557" s="27"/>
      <c r="F557" s="27"/>
      <c r="G557" s="27"/>
      <c r="H557" s="27"/>
      <c r="I557" s="27"/>
      <c r="J557" s="27"/>
      <c r="K557" s="27"/>
      <c r="L557" s="27"/>
      <c r="M557" s="27"/>
    </row>
    <row r="558" s="6" collapsed="false" customFormat="true" customHeight="true" hidden="false" ht="25.5" outlineLevel="0">
      <c r="A558" s="25"/>
      <c r="B558" s="26"/>
      <c r="C558" s="26"/>
      <c r="D558" s="26"/>
      <c r="E558" s="27"/>
      <c r="F558" s="27"/>
      <c r="G558" s="27"/>
      <c r="H558" s="27"/>
      <c r="I558" s="27"/>
      <c r="J558" s="27"/>
      <c r="K558" s="27"/>
      <c r="L558" s="27"/>
      <c r="M558" s="27"/>
    </row>
    <row r="559" s="6" collapsed="false" customFormat="true" customHeight="true" hidden="false" ht="25.5" outlineLevel="0">
      <c r="A559" s="25"/>
      <c r="B559" s="26"/>
      <c r="C559" s="26"/>
      <c r="D559" s="26"/>
      <c r="E559" s="27"/>
      <c r="F559" s="27"/>
      <c r="G559" s="27"/>
      <c r="H559" s="27"/>
      <c r="I559" s="27"/>
      <c r="J559" s="27"/>
      <c r="K559" s="27"/>
      <c r="L559" s="27"/>
      <c r="M559" s="27"/>
    </row>
    <row r="560" s="6" collapsed="false" customFormat="true" customHeight="true" hidden="false" ht="25.5" outlineLevel="0">
      <c r="A560" s="25"/>
      <c r="B560" s="26"/>
      <c r="C560" s="26"/>
      <c r="D560" s="26"/>
      <c r="E560" s="27"/>
      <c r="F560" s="27"/>
      <c r="G560" s="27"/>
      <c r="H560" s="27"/>
      <c r="I560" s="27"/>
      <c r="J560" s="27"/>
      <c r="K560" s="27"/>
      <c r="L560" s="27"/>
      <c r="M560" s="27"/>
    </row>
    <row r="561" s="6" collapsed="false" customFormat="true" customHeight="true" hidden="false" ht="25.5" outlineLevel="0">
      <c r="A561" s="25"/>
      <c r="B561" s="26"/>
      <c r="C561" s="26"/>
      <c r="D561" s="26"/>
      <c r="E561" s="27"/>
      <c r="F561" s="27"/>
      <c r="G561" s="27"/>
      <c r="H561" s="27"/>
      <c r="I561" s="27"/>
      <c r="J561" s="27"/>
      <c r="K561" s="27"/>
      <c r="L561" s="27"/>
      <c r="M561" s="27"/>
    </row>
    <row r="562" s="6" collapsed="false" customFormat="true" customHeight="true" hidden="false" ht="25.5" outlineLevel="0">
      <c r="A562" s="25"/>
      <c r="B562" s="26"/>
      <c r="C562" s="26"/>
      <c r="D562" s="26"/>
      <c r="E562" s="27"/>
      <c r="F562" s="27"/>
      <c r="G562" s="27"/>
      <c r="H562" s="27"/>
      <c r="I562" s="27"/>
      <c r="J562" s="27"/>
      <c r="K562" s="27"/>
      <c r="L562" s="27"/>
      <c r="M562" s="27"/>
    </row>
    <row r="563" s="6" collapsed="false" customFormat="true" customHeight="true" hidden="false" ht="25.5" outlineLevel="0">
      <c r="A563" s="25"/>
      <c r="B563" s="26"/>
      <c r="C563" s="26"/>
      <c r="D563" s="26"/>
      <c r="E563" s="27"/>
      <c r="F563" s="27"/>
      <c r="G563" s="27"/>
      <c r="H563" s="27"/>
      <c r="I563" s="27"/>
      <c r="J563" s="27"/>
      <c r="K563" s="27"/>
      <c r="L563" s="27"/>
      <c r="M563" s="27"/>
    </row>
    <row r="564" s="6" collapsed="false" customFormat="true" customHeight="true" hidden="false" ht="25.5" outlineLevel="0">
      <c r="A564" s="25"/>
      <c r="B564" s="26"/>
      <c r="C564" s="26"/>
      <c r="D564" s="26"/>
      <c r="E564" s="27"/>
      <c r="F564" s="27"/>
      <c r="G564" s="27"/>
      <c r="H564" s="27"/>
      <c r="I564" s="27"/>
      <c r="J564" s="27"/>
      <c r="K564" s="27"/>
      <c r="L564" s="27"/>
      <c r="M564" s="27"/>
    </row>
    <row r="565" s="6" collapsed="false" customFormat="true" customHeight="true" hidden="false" ht="25.5" outlineLevel="0">
      <c r="A565" s="25"/>
      <c r="B565" s="26"/>
      <c r="C565" s="26"/>
      <c r="D565" s="26"/>
      <c r="E565" s="27"/>
      <c r="F565" s="27"/>
      <c r="G565" s="27"/>
      <c r="H565" s="27"/>
      <c r="I565" s="27"/>
      <c r="J565" s="27"/>
      <c r="K565" s="27"/>
      <c r="L565" s="27"/>
      <c r="M565" s="27"/>
    </row>
    <row r="566" s="6" collapsed="false" customFormat="true" customHeight="true" hidden="false" ht="25.5" outlineLevel="0">
      <c r="A566" s="25"/>
      <c r="B566" s="26"/>
      <c r="C566" s="26"/>
      <c r="D566" s="26"/>
      <c r="E566" s="27"/>
      <c r="F566" s="27"/>
      <c r="G566" s="27"/>
      <c r="H566" s="27"/>
      <c r="I566" s="27"/>
      <c r="J566" s="27"/>
      <c r="K566" s="27"/>
      <c r="L566" s="27"/>
      <c r="M566" s="27"/>
    </row>
    <row r="567" s="6" collapsed="false" customFormat="true" customHeight="true" hidden="false" ht="25.5" outlineLevel="0">
      <c r="A567" s="25"/>
      <c r="B567" s="26"/>
      <c r="C567" s="26"/>
      <c r="D567" s="26"/>
      <c r="E567" s="27"/>
      <c r="F567" s="27"/>
      <c r="G567" s="27"/>
      <c r="H567" s="27"/>
      <c r="I567" s="27"/>
      <c r="J567" s="27"/>
      <c r="K567" s="27"/>
      <c r="L567" s="27"/>
      <c r="M567" s="27"/>
    </row>
    <row r="568" s="6" collapsed="false" customFormat="true" customHeight="true" hidden="false" ht="25.5" outlineLevel="0">
      <c r="A568" s="25"/>
      <c r="B568" s="26"/>
      <c r="C568" s="26"/>
      <c r="D568" s="26"/>
      <c r="E568" s="27"/>
      <c r="F568" s="27"/>
      <c r="G568" s="27"/>
      <c r="H568" s="27"/>
      <c r="I568" s="27"/>
      <c r="J568" s="27"/>
      <c r="K568" s="27"/>
      <c r="L568" s="27"/>
      <c r="M568" s="27"/>
    </row>
    <row r="569" s="6" collapsed="false" customFormat="true" customHeight="true" hidden="false" ht="25.5" outlineLevel="0">
      <c r="A569" s="25"/>
      <c r="B569" s="26"/>
      <c r="C569" s="26"/>
      <c r="D569" s="26"/>
      <c r="E569" s="27"/>
      <c r="F569" s="27"/>
      <c r="G569" s="27"/>
      <c r="H569" s="27"/>
      <c r="I569" s="27"/>
      <c r="J569" s="27"/>
      <c r="K569" s="27"/>
      <c r="L569" s="27"/>
      <c r="M569" s="27"/>
    </row>
    <row r="570" s="6" collapsed="false" customFormat="true" customHeight="true" hidden="false" ht="25.5" outlineLevel="0">
      <c r="A570" s="25"/>
      <c r="B570" s="26"/>
      <c r="C570" s="26"/>
      <c r="D570" s="26"/>
      <c r="E570" s="27"/>
      <c r="F570" s="27"/>
      <c r="G570" s="27"/>
      <c r="H570" s="27"/>
      <c r="I570" s="27"/>
      <c r="J570" s="27"/>
      <c r="K570" s="27"/>
      <c r="L570" s="27"/>
      <c r="M570" s="27"/>
    </row>
    <row r="571" s="6" collapsed="false" customFormat="true" customHeight="true" hidden="false" ht="25.5" outlineLevel="0">
      <c r="A571" s="25"/>
      <c r="B571" s="26"/>
      <c r="C571" s="26"/>
      <c r="D571" s="26"/>
      <c r="E571" s="27"/>
      <c r="F571" s="27"/>
      <c r="G571" s="27"/>
      <c r="H571" s="27"/>
      <c r="I571" s="27"/>
      <c r="J571" s="27"/>
      <c r="K571" s="27"/>
      <c r="L571" s="27"/>
      <c r="M571" s="27"/>
    </row>
    <row r="572" s="6" collapsed="false" customFormat="true" customHeight="true" hidden="false" ht="25.5" outlineLevel="0">
      <c r="A572" s="25"/>
      <c r="B572" s="26"/>
      <c r="C572" s="26"/>
      <c r="D572" s="26"/>
      <c r="E572" s="27"/>
      <c r="F572" s="27"/>
      <c r="G572" s="27"/>
      <c r="H572" s="27"/>
      <c r="I572" s="27"/>
      <c r="J572" s="27"/>
      <c r="K572" s="27"/>
      <c r="L572" s="27"/>
      <c r="M572" s="27"/>
    </row>
    <row r="573" s="6" collapsed="false" customFormat="true" customHeight="true" hidden="false" ht="25.5" outlineLevel="0">
      <c r="A573" s="25"/>
      <c r="B573" s="26"/>
      <c r="C573" s="26"/>
      <c r="D573" s="26"/>
      <c r="E573" s="27"/>
      <c r="F573" s="27"/>
      <c r="G573" s="27"/>
      <c r="H573" s="27"/>
      <c r="I573" s="27"/>
      <c r="J573" s="27"/>
      <c r="K573" s="27"/>
      <c r="L573" s="27"/>
      <c r="M573" s="27"/>
    </row>
    <row r="574" s="6" collapsed="false" customFormat="true" customHeight="true" hidden="false" ht="25.5" outlineLevel="0">
      <c r="A574" s="25"/>
      <c r="B574" s="26"/>
      <c r="C574" s="26"/>
      <c r="D574" s="26"/>
      <c r="E574" s="27"/>
      <c r="F574" s="27"/>
      <c r="G574" s="27"/>
      <c r="H574" s="27"/>
      <c r="I574" s="27"/>
      <c r="J574" s="27"/>
      <c r="K574" s="27"/>
      <c r="L574" s="27"/>
      <c r="M574" s="27"/>
    </row>
    <row r="575" s="6" collapsed="false" customFormat="true" customHeight="true" hidden="false" ht="25.5" outlineLevel="0">
      <c r="A575" s="25"/>
      <c r="B575" s="26"/>
      <c r="C575" s="26"/>
      <c r="D575" s="26"/>
      <c r="E575" s="27"/>
      <c r="F575" s="27"/>
      <c r="G575" s="27"/>
      <c r="H575" s="27"/>
      <c r="I575" s="27"/>
      <c r="J575" s="27"/>
      <c r="K575" s="27"/>
      <c r="L575" s="27"/>
      <c r="M575" s="27"/>
    </row>
    <row r="576" s="6" collapsed="false" customFormat="true" customHeight="true" hidden="false" ht="25.5" outlineLevel="0">
      <c r="A576" s="25"/>
      <c r="B576" s="26"/>
      <c r="C576" s="26"/>
      <c r="D576" s="26"/>
      <c r="E576" s="27"/>
      <c r="F576" s="27"/>
      <c r="G576" s="27"/>
      <c r="H576" s="27"/>
      <c r="I576" s="27"/>
      <c r="J576" s="27"/>
      <c r="K576" s="27"/>
      <c r="L576" s="27"/>
      <c r="M576" s="27"/>
    </row>
    <row r="577" s="6" collapsed="false" customFormat="true" customHeight="true" hidden="false" ht="25.5" outlineLevel="0">
      <c r="A577" s="25"/>
      <c r="B577" s="26"/>
      <c r="C577" s="26"/>
      <c r="D577" s="26"/>
      <c r="E577" s="27"/>
      <c r="F577" s="27"/>
      <c r="G577" s="27"/>
      <c r="H577" s="27"/>
      <c r="I577" s="27"/>
      <c r="J577" s="27"/>
      <c r="K577" s="27"/>
      <c r="L577" s="27"/>
      <c r="M577" s="27"/>
    </row>
    <row r="578" s="6" collapsed="false" customFormat="true" customHeight="true" hidden="false" ht="25.5" outlineLevel="0">
      <c r="A578" s="25"/>
      <c r="B578" s="26"/>
      <c r="C578" s="26"/>
      <c r="D578" s="26"/>
      <c r="E578" s="27"/>
      <c r="F578" s="27"/>
      <c r="G578" s="27"/>
      <c r="H578" s="27"/>
      <c r="I578" s="27"/>
      <c r="J578" s="27"/>
      <c r="K578" s="27"/>
      <c r="L578" s="27"/>
      <c r="M578" s="27"/>
    </row>
    <row r="579" s="6" collapsed="false" customFormat="true" customHeight="true" hidden="false" ht="25.5" outlineLevel="0">
      <c r="A579" s="25"/>
      <c r="B579" s="26"/>
      <c r="C579" s="26"/>
      <c r="D579" s="26"/>
      <c r="E579" s="27"/>
      <c r="F579" s="27"/>
      <c r="G579" s="27"/>
      <c r="H579" s="27"/>
      <c r="I579" s="27"/>
      <c r="J579" s="27"/>
      <c r="K579" s="27"/>
      <c r="L579" s="27"/>
      <c r="M579" s="27"/>
    </row>
    <row r="580" s="6" collapsed="false" customFormat="true" customHeight="true" hidden="false" ht="25.5" outlineLevel="0">
      <c r="A580" s="25"/>
      <c r="B580" s="26"/>
      <c r="C580" s="26"/>
      <c r="D580" s="26"/>
      <c r="E580" s="27"/>
      <c r="F580" s="27"/>
      <c r="G580" s="27"/>
      <c r="H580" s="27"/>
      <c r="I580" s="27"/>
      <c r="J580" s="27"/>
      <c r="K580" s="27"/>
      <c r="L580" s="27"/>
      <c r="M580" s="27"/>
    </row>
    <row r="581" s="6" collapsed="false" customFormat="true" customHeight="true" hidden="false" ht="25.5" outlineLevel="0">
      <c r="A581" s="25"/>
      <c r="B581" s="26"/>
      <c r="C581" s="26"/>
      <c r="D581" s="26"/>
      <c r="E581" s="27"/>
      <c r="F581" s="27"/>
      <c r="G581" s="27"/>
      <c r="H581" s="27"/>
      <c r="I581" s="27"/>
      <c r="J581" s="27"/>
      <c r="K581" s="27"/>
      <c r="L581" s="27"/>
      <c r="M581" s="27"/>
    </row>
    <row r="582" s="6" collapsed="false" customFormat="true" customHeight="true" hidden="false" ht="25.5" outlineLevel="0">
      <c r="A582" s="25"/>
      <c r="B582" s="26"/>
      <c r="C582" s="26"/>
      <c r="D582" s="26"/>
      <c r="E582" s="27"/>
      <c r="F582" s="27"/>
      <c r="G582" s="27"/>
      <c r="H582" s="27"/>
      <c r="I582" s="27"/>
      <c r="J582" s="27"/>
      <c r="K582" s="27"/>
      <c r="L582" s="27"/>
      <c r="M582" s="27"/>
    </row>
    <row r="583" s="6" collapsed="false" customFormat="true" customHeight="true" hidden="false" ht="25.5" outlineLevel="0">
      <c r="A583" s="25"/>
      <c r="B583" s="26"/>
      <c r="C583" s="26"/>
      <c r="D583" s="26"/>
      <c r="E583" s="27"/>
      <c r="F583" s="27"/>
      <c r="G583" s="27"/>
      <c r="H583" s="27"/>
      <c r="I583" s="27"/>
      <c r="J583" s="27"/>
      <c r="K583" s="27"/>
      <c r="L583" s="27"/>
      <c r="M583" s="27"/>
    </row>
    <row r="584" s="6" collapsed="false" customFormat="true" customHeight="true" hidden="false" ht="25.5" outlineLevel="0">
      <c r="A584" s="25"/>
      <c r="B584" s="26"/>
      <c r="C584" s="26"/>
      <c r="D584" s="26"/>
      <c r="E584" s="27"/>
      <c r="F584" s="27"/>
      <c r="G584" s="27"/>
      <c r="H584" s="27"/>
      <c r="I584" s="27"/>
      <c r="J584" s="27"/>
      <c r="K584" s="27"/>
      <c r="L584" s="27"/>
      <c r="M584" s="27"/>
    </row>
    <row r="585" s="6" collapsed="false" customFormat="true" customHeight="true" hidden="false" ht="25.5" outlineLevel="0">
      <c r="A585" s="25"/>
      <c r="B585" s="26"/>
      <c r="C585" s="26"/>
      <c r="D585" s="26"/>
      <c r="E585" s="27"/>
      <c r="F585" s="27"/>
      <c r="G585" s="27"/>
      <c r="H585" s="27"/>
      <c r="I585" s="27"/>
      <c r="J585" s="27"/>
      <c r="K585" s="27"/>
      <c r="L585" s="27"/>
      <c r="M585" s="27"/>
    </row>
    <row r="586" s="6" collapsed="false" customFormat="true" customHeight="true" hidden="false" ht="25.5" outlineLevel="0">
      <c r="A586" s="25"/>
      <c r="B586" s="26"/>
      <c r="C586" s="26"/>
      <c r="D586" s="26"/>
      <c r="E586" s="27"/>
      <c r="F586" s="27"/>
      <c r="G586" s="27"/>
      <c r="H586" s="27"/>
      <c r="I586" s="27"/>
      <c r="J586" s="27"/>
      <c r="K586" s="27"/>
      <c r="L586" s="27"/>
      <c r="M586" s="27"/>
    </row>
    <row r="587" s="6" collapsed="false" customFormat="true" customHeight="true" hidden="false" ht="25.5" outlineLevel="0">
      <c r="A587" s="25"/>
      <c r="B587" s="26"/>
      <c r="C587" s="26"/>
      <c r="D587" s="26"/>
      <c r="E587" s="27"/>
      <c r="F587" s="27"/>
      <c r="G587" s="27"/>
      <c r="H587" s="27"/>
      <c r="I587" s="27"/>
      <c r="J587" s="27"/>
      <c r="K587" s="27"/>
      <c r="L587" s="27"/>
      <c r="M587" s="27"/>
    </row>
    <row r="588" s="6" collapsed="false" customFormat="true" customHeight="true" hidden="false" ht="25.5" outlineLevel="0">
      <c r="A588" s="25"/>
      <c r="B588" s="26"/>
      <c r="C588" s="26"/>
      <c r="D588" s="26"/>
      <c r="E588" s="27"/>
      <c r="F588" s="27"/>
      <c r="G588" s="27"/>
      <c r="H588" s="27"/>
      <c r="I588" s="27"/>
      <c r="J588" s="27"/>
      <c r="K588" s="27"/>
      <c r="L588" s="27"/>
      <c r="M588" s="27"/>
    </row>
    <row r="589" s="6" collapsed="false" customFormat="true" customHeight="true" hidden="false" ht="25.5" outlineLevel="0">
      <c r="A589" s="25"/>
      <c r="B589" s="26"/>
      <c r="C589" s="26"/>
      <c r="D589" s="26"/>
      <c r="E589" s="27"/>
      <c r="F589" s="27"/>
      <c r="G589" s="27"/>
      <c r="H589" s="27"/>
      <c r="I589" s="27"/>
      <c r="J589" s="27"/>
      <c r="K589" s="27"/>
      <c r="L589" s="27"/>
      <c r="M589" s="27"/>
    </row>
    <row r="590" s="6" collapsed="false" customFormat="true" customHeight="true" hidden="false" ht="25.5" outlineLevel="0">
      <c r="A590" s="25"/>
      <c r="B590" s="26"/>
      <c r="C590" s="26"/>
      <c r="D590" s="26"/>
      <c r="E590" s="27"/>
      <c r="F590" s="27"/>
      <c r="G590" s="27"/>
      <c r="H590" s="27"/>
      <c r="I590" s="27"/>
      <c r="J590" s="27"/>
      <c r="K590" s="27"/>
      <c r="L590" s="27"/>
      <c r="M590" s="27"/>
    </row>
    <row r="591" s="6" collapsed="false" customFormat="true" customHeight="true" hidden="false" ht="25.5" outlineLevel="0">
      <c r="A591" s="25"/>
      <c r="B591" s="26"/>
      <c r="C591" s="26"/>
      <c r="D591" s="26"/>
      <c r="E591" s="27"/>
      <c r="F591" s="27"/>
      <c r="G591" s="27"/>
      <c r="H591" s="27"/>
      <c r="I591" s="27"/>
      <c r="J591" s="27"/>
      <c r="K591" s="27"/>
      <c r="L591" s="27"/>
      <c r="M591" s="27"/>
    </row>
    <row r="592" s="6" collapsed="false" customFormat="true" customHeight="true" hidden="false" ht="25.5" outlineLevel="0">
      <c r="A592" s="25"/>
      <c r="B592" s="26"/>
      <c r="C592" s="26"/>
      <c r="D592" s="26"/>
      <c r="E592" s="27"/>
      <c r="F592" s="27"/>
      <c r="G592" s="27"/>
      <c r="H592" s="27"/>
      <c r="I592" s="27"/>
      <c r="J592" s="27"/>
      <c r="K592" s="27"/>
      <c r="L592" s="27"/>
      <c r="M592" s="27"/>
    </row>
    <row r="593" s="6" collapsed="false" customFormat="true" customHeight="true" hidden="false" ht="25.5" outlineLevel="0">
      <c r="A593" s="25"/>
      <c r="B593" s="26"/>
      <c r="C593" s="26"/>
      <c r="D593" s="26"/>
      <c r="E593" s="27"/>
      <c r="F593" s="27"/>
      <c r="G593" s="27"/>
      <c r="H593" s="27"/>
      <c r="I593" s="27"/>
      <c r="J593" s="27"/>
      <c r="K593" s="27"/>
      <c r="L593" s="27"/>
      <c r="M593" s="27"/>
    </row>
    <row r="594" s="6" collapsed="false" customFormat="true" customHeight="true" hidden="false" ht="25.5" outlineLevel="0">
      <c r="A594" s="25"/>
      <c r="B594" s="26"/>
      <c r="C594" s="26"/>
      <c r="D594" s="26"/>
      <c r="E594" s="27"/>
      <c r="F594" s="27"/>
      <c r="G594" s="27"/>
      <c r="H594" s="27"/>
      <c r="I594" s="27"/>
      <c r="J594" s="27"/>
      <c r="K594" s="27"/>
      <c r="L594" s="27"/>
      <c r="M594" s="27"/>
    </row>
    <row r="595" s="6" collapsed="false" customFormat="true" customHeight="true" hidden="false" ht="25.5" outlineLevel="0">
      <c r="A595" s="25"/>
      <c r="B595" s="26"/>
      <c r="C595" s="26"/>
      <c r="D595" s="26"/>
      <c r="E595" s="27"/>
      <c r="F595" s="27"/>
      <c r="G595" s="27"/>
      <c r="H595" s="27"/>
      <c r="I595" s="27"/>
      <c r="J595" s="27"/>
      <c r="K595" s="27"/>
      <c r="L595" s="27"/>
      <c r="M595" s="27"/>
    </row>
    <row r="596" s="6" collapsed="false" customFormat="true" customHeight="true" hidden="false" ht="25.5" outlineLevel="0">
      <c r="A596" s="25"/>
      <c r="B596" s="26"/>
      <c r="C596" s="26"/>
      <c r="D596" s="26"/>
      <c r="E596" s="27"/>
      <c r="F596" s="27"/>
      <c r="G596" s="27"/>
      <c r="H596" s="27"/>
      <c r="I596" s="27"/>
      <c r="J596" s="27"/>
      <c r="K596" s="27"/>
      <c r="L596" s="27"/>
      <c r="M596" s="27"/>
    </row>
    <row r="597" s="6" collapsed="false" customFormat="true" customHeight="true" hidden="false" ht="25.5" outlineLevel="0">
      <c r="A597" s="25"/>
      <c r="B597" s="26"/>
      <c r="C597" s="26"/>
      <c r="D597" s="26"/>
      <c r="E597" s="27"/>
      <c r="F597" s="27"/>
      <c r="G597" s="27"/>
      <c r="H597" s="27"/>
      <c r="I597" s="27"/>
      <c r="J597" s="27"/>
      <c r="K597" s="27"/>
      <c r="L597" s="27"/>
      <c r="M597" s="27"/>
    </row>
    <row r="598" s="6" collapsed="false" customFormat="true" customHeight="true" hidden="false" ht="25.5" outlineLevel="0">
      <c r="A598" s="25"/>
      <c r="B598" s="26"/>
      <c r="C598" s="26"/>
      <c r="D598" s="26"/>
      <c r="E598" s="27"/>
      <c r="F598" s="27"/>
      <c r="G598" s="27"/>
      <c r="H598" s="27"/>
      <c r="I598" s="27"/>
      <c r="J598" s="27"/>
      <c r="K598" s="27"/>
      <c r="L598" s="27"/>
      <c r="M598" s="27"/>
    </row>
    <row r="599" s="6" collapsed="false" customFormat="true" customHeight="true" hidden="false" ht="25.5" outlineLevel="0">
      <c r="A599" s="25"/>
      <c r="B599" s="26"/>
      <c r="C599" s="26"/>
      <c r="D599" s="26"/>
      <c r="E599" s="27"/>
      <c r="F599" s="27"/>
      <c r="G599" s="27"/>
      <c r="H599" s="27"/>
      <c r="I599" s="27"/>
      <c r="J599" s="27"/>
      <c r="K599" s="27"/>
      <c r="L599" s="27"/>
      <c r="M599" s="27"/>
    </row>
    <row r="600" s="6" collapsed="false" customFormat="true" customHeight="true" hidden="false" ht="25.5" outlineLevel="0">
      <c r="A600" s="25"/>
      <c r="B600" s="26"/>
      <c r="C600" s="26"/>
      <c r="D600" s="26"/>
      <c r="E600" s="27"/>
      <c r="F600" s="27"/>
      <c r="G600" s="27"/>
      <c r="H600" s="27"/>
      <c r="I600" s="27"/>
      <c r="J600" s="27"/>
      <c r="K600" s="27"/>
      <c r="L600" s="27"/>
      <c r="M600" s="27"/>
    </row>
    <row r="601" s="6" collapsed="false" customFormat="true" customHeight="true" hidden="false" ht="25.5" outlineLevel="0">
      <c r="A601" s="25"/>
      <c r="B601" s="26"/>
      <c r="C601" s="26"/>
      <c r="D601" s="26"/>
      <c r="E601" s="27"/>
      <c r="F601" s="27"/>
      <c r="G601" s="27"/>
      <c r="H601" s="27"/>
      <c r="I601" s="27"/>
      <c r="J601" s="27"/>
      <c r="K601" s="27"/>
      <c r="L601" s="27"/>
      <c r="M601" s="27"/>
    </row>
    <row r="602" s="6" collapsed="false" customFormat="true" customHeight="true" hidden="false" ht="25.5" outlineLevel="0">
      <c r="A602" s="25"/>
      <c r="B602" s="26"/>
      <c r="C602" s="26"/>
      <c r="D602" s="26"/>
      <c r="E602" s="27"/>
      <c r="F602" s="27"/>
      <c r="G602" s="27"/>
      <c r="H602" s="27"/>
      <c r="I602" s="27"/>
      <c r="J602" s="27"/>
      <c r="K602" s="27"/>
      <c r="L602" s="27"/>
      <c r="M602" s="27"/>
    </row>
    <row r="603" s="6" collapsed="false" customFormat="true" customHeight="true" hidden="false" ht="25.5" outlineLevel="0">
      <c r="A603" s="25"/>
      <c r="B603" s="26"/>
      <c r="C603" s="26"/>
      <c r="D603" s="26"/>
      <c r="E603" s="27"/>
      <c r="F603" s="27"/>
      <c r="G603" s="27"/>
      <c r="H603" s="27"/>
      <c r="I603" s="27"/>
      <c r="J603" s="27"/>
      <c r="K603" s="27"/>
      <c r="L603" s="27"/>
      <c r="M603" s="27"/>
    </row>
    <row r="604" s="6" collapsed="false" customFormat="true" customHeight="true" hidden="false" ht="25.5" outlineLevel="0">
      <c r="A604" s="25"/>
      <c r="B604" s="26"/>
      <c r="C604" s="26"/>
      <c r="D604" s="26"/>
      <c r="E604" s="27"/>
      <c r="F604" s="27"/>
      <c r="G604" s="27"/>
      <c r="H604" s="27"/>
      <c r="I604" s="27"/>
      <c r="J604" s="27"/>
      <c r="K604" s="27"/>
      <c r="L604" s="27"/>
      <c r="M604" s="27"/>
    </row>
    <row r="605" s="6" collapsed="false" customFormat="true" customHeight="true" hidden="false" ht="25.5" outlineLevel="0">
      <c r="A605" s="25"/>
      <c r="B605" s="26"/>
      <c r="C605" s="26"/>
      <c r="D605" s="26"/>
      <c r="E605" s="27"/>
      <c r="F605" s="27"/>
      <c r="G605" s="27"/>
      <c r="H605" s="27"/>
      <c r="I605" s="27"/>
      <c r="J605" s="27"/>
      <c r="K605" s="27"/>
      <c r="L605" s="27"/>
      <c r="M605" s="27"/>
    </row>
    <row r="606" s="6" collapsed="false" customFormat="true" customHeight="true" hidden="false" ht="25.5" outlineLevel="0">
      <c r="A606" s="25"/>
      <c r="B606" s="26"/>
      <c r="C606" s="26"/>
      <c r="D606" s="26"/>
      <c r="E606" s="27"/>
      <c r="F606" s="27"/>
      <c r="G606" s="27"/>
      <c r="H606" s="27"/>
      <c r="I606" s="27"/>
      <c r="J606" s="27"/>
      <c r="K606" s="27"/>
      <c r="L606" s="27"/>
      <c r="M606" s="27"/>
    </row>
    <row r="607" s="6" collapsed="false" customFormat="true" customHeight="true" hidden="false" ht="25.5" outlineLevel="0">
      <c r="A607" s="25"/>
      <c r="B607" s="26"/>
      <c r="C607" s="26"/>
      <c r="D607" s="26"/>
      <c r="E607" s="27"/>
      <c r="F607" s="27"/>
      <c r="G607" s="27"/>
      <c r="H607" s="27"/>
      <c r="I607" s="27"/>
      <c r="J607" s="27"/>
      <c r="K607" s="27"/>
      <c r="L607" s="27"/>
      <c r="M607" s="27"/>
    </row>
    <row r="608" s="6" collapsed="false" customFormat="true" customHeight="true" hidden="false" ht="25.5" outlineLevel="0">
      <c r="A608" s="25"/>
      <c r="B608" s="26"/>
      <c r="C608" s="26"/>
      <c r="D608" s="26"/>
      <c r="E608" s="27"/>
      <c r="F608" s="27"/>
      <c r="G608" s="27"/>
      <c r="H608" s="27"/>
      <c r="I608" s="27"/>
      <c r="J608" s="27"/>
      <c r="K608" s="27"/>
      <c r="L608" s="27"/>
      <c r="M608" s="27"/>
    </row>
    <row r="609" s="6" collapsed="false" customFormat="true" customHeight="true" hidden="false" ht="25.5" outlineLevel="0">
      <c r="A609" s="25"/>
      <c r="B609" s="26"/>
      <c r="C609" s="26"/>
      <c r="D609" s="26"/>
      <c r="E609" s="27"/>
      <c r="F609" s="27"/>
      <c r="G609" s="27"/>
      <c r="H609" s="27"/>
      <c r="I609" s="27"/>
      <c r="J609" s="27"/>
      <c r="K609" s="27"/>
      <c r="L609" s="27"/>
      <c r="M609" s="27"/>
    </row>
    <row r="610" s="6" collapsed="false" customFormat="true" customHeight="true" hidden="false" ht="25.5" outlineLevel="0">
      <c r="A610" s="25"/>
      <c r="B610" s="26"/>
      <c r="C610" s="26"/>
      <c r="D610" s="26"/>
      <c r="E610" s="27"/>
      <c r="F610" s="27"/>
      <c r="G610" s="27"/>
      <c r="H610" s="27"/>
      <c r="I610" s="27"/>
      <c r="J610" s="27"/>
      <c r="K610" s="27"/>
      <c r="L610" s="27"/>
      <c r="M610" s="27"/>
    </row>
    <row r="611" s="6" collapsed="false" customFormat="true" customHeight="true" hidden="false" ht="25.5" outlineLevel="0">
      <c r="A611" s="25"/>
      <c r="B611" s="26"/>
      <c r="C611" s="26"/>
      <c r="D611" s="26"/>
      <c r="E611" s="27"/>
      <c r="F611" s="27"/>
      <c r="G611" s="27"/>
      <c r="H611" s="27"/>
      <c r="I611" s="27"/>
      <c r="J611" s="27"/>
      <c r="K611" s="27"/>
      <c r="L611" s="27"/>
      <c r="M611" s="27"/>
    </row>
    <row r="612" s="6" collapsed="false" customFormat="true" customHeight="true" hidden="false" ht="25.5" outlineLevel="0">
      <c r="A612" s="25"/>
      <c r="B612" s="26"/>
      <c r="C612" s="26"/>
      <c r="D612" s="26"/>
      <c r="E612" s="27"/>
      <c r="F612" s="27"/>
      <c r="G612" s="27"/>
      <c r="H612" s="27"/>
      <c r="I612" s="27"/>
      <c r="J612" s="27"/>
      <c r="K612" s="27"/>
      <c r="L612" s="27"/>
      <c r="M612" s="27"/>
    </row>
    <row r="613" s="6" collapsed="false" customFormat="true" customHeight="true" hidden="false" ht="25.5" outlineLevel="0">
      <c r="A613" s="25"/>
      <c r="B613" s="26"/>
      <c r="C613" s="26"/>
      <c r="D613" s="26"/>
      <c r="E613" s="27"/>
      <c r="F613" s="27"/>
      <c r="G613" s="27"/>
      <c r="H613" s="27"/>
      <c r="I613" s="27"/>
      <c r="J613" s="27"/>
      <c r="K613" s="27"/>
      <c r="L613" s="27"/>
      <c r="M613" s="27"/>
    </row>
    <row r="614" s="6" collapsed="false" customFormat="true" customHeight="true" hidden="false" ht="25.5" outlineLevel="0">
      <c r="A614" s="25"/>
      <c r="B614" s="26"/>
      <c r="C614" s="26"/>
      <c r="D614" s="26"/>
      <c r="E614" s="27"/>
      <c r="F614" s="27"/>
      <c r="G614" s="27"/>
      <c r="H614" s="27"/>
      <c r="I614" s="27"/>
      <c r="J614" s="27"/>
      <c r="K614" s="27"/>
      <c r="L614" s="27"/>
      <c r="M614" s="27"/>
    </row>
    <row r="615" s="6" collapsed="false" customFormat="true" customHeight="true" hidden="false" ht="25.5" outlineLevel="0">
      <c r="A615" s="25"/>
      <c r="B615" s="26"/>
      <c r="C615" s="26"/>
      <c r="D615" s="26"/>
      <c r="E615" s="27"/>
      <c r="F615" s="27"/>
      <c r="G615" s="27"/>
      <c r="H615" s="27"/>
      <c r="I615" s="27"/>
      <c r="J615" s="27"/>
      <c r="K615" s="27"/>
      <c r="L615" s="27"/>
      <c r="M615" s="27"/>
    </row>
    <row r="616" s="6" collapsed="false" customFormat="true" customHeight="true" hidden="false" ht="25.5" outlineLevel="0">
      <c r="A616" s="25"/>
      <c r="B616" s="26"/>
      <c r="C616" s="26"/>
      <c r="D616" s="26"/>
      <c r="E616" s="27"/>
      <c r="F616" s="27"/>
      <c r="G616" s="27"/>
      <c r="H616" s="27"/>
      <c r="I616" s="27"/>
      <c r="J616" s="27"/>
      <c r="K616" s="27"/>
      <c r="L616" s="27"/>
      <c r="M616" s="27"/>
    </row>
    <row r="617" s="6" collapsed="false" customFormat="true" customHeight="true" hidden="false" ht="25.5" outlineLevel="0">
      <c r="A617" s="25"/>
      <c r="B617" s="26"/>
      <c r="C617" s="26"/>
      <c r="D617" s="26"/>
      <c r="E617" s="27"/>
      <c r="F617" s="27"/>
      <c r="G617" s="27"/>
      <c r="H617" s="27"/>
      <c r="I617" s="27"/>
      <c r="J617" s="27"/>
      <c r="K617" s="27"/>
      <c r="L617" s="27"/>
      <c r="M617" s="27"/>
    </row>
    <row r="618" s="6" collapsed="false" customFormat="true" customHeight="true" hidden="false" ht="25.5" outlineLevel="0">
      <c r="A618" s="25"/>
      <c r="B618" s="26"/>
      <c r="C618" s="26"/>
      <c r="D618" s="26"/>
      <c r="E618" s="27"/>
      <c r="F618" s="27"/>
      <c r="G618" s="27"/>
      <c r="H618" s="27"/>
      <c r="I618" s="27"/>
      <c r="J618" s="27"/>
      <c r="K618" s="27"/>
      <c r="L618" s="27"/>
      <c r="M618" s="27"/>
    </row>
    <row r="619" s="6" collapsed="false" customFormat="true" customHeight="true" hidden="false" ht="25.5" outlineLevel="0">
      <c r="A619" s="25"/>
      <c r="B619" s="26"/>
      <c r="C619" s="26"/>
      <c r="D619" s="26"/>
      <c r="E619" s="27"/>
      <c r="F619" s="27"/>
      <c r="G619" s="27"/>
      <c r="H619" s="27"/>
      <c r="I619" s="27"/>
      <c r="J619" s="27"/>
      <c r="K619" s="27"/>
      <c r="L619" s="27"/>
      <c r="M619" s="27"/>
    </row>
    <row r="620" s="6" collapsed="false" customFormat="true" customHeight="true" hidden="false" ht="25.5" outlineLevel="0">
      <c r="A620" s="25"/>
      <c r="B620" s="26"/>
      <c r="C620" s="26"/>
      <c r="D620" s="26"/>
      <c r="E620" s="27"/>
      <c r="F620" s="27"/>
      <c r="G620" s="27"/>
      <c r="H620" s="27"/>
      <c r="I620" s="27"/>
      <c r="J620" s="27"/>
      <c r="K620" s="27"/>
      <c r="L620" s="27"/>
      <c r="M620" s="27"/>
    </row>
    <row r="621" s="6" collapsed="false" customFormat="true" customHeight="true" hidden="false" ht="25.5" outlineLevel="0">
      <c r="A621" s="25"/>
      <c r="B621" s="26"/>
      <c r="C621" s="26"/>
      <c r="D621" s="26"/>
      <c r="E621" s="27"/>
      <c r="F621" s="27"/>
      <c r="G621" s="27"/>
      <c r="H621" s="27"/>
      <c r="I621" s="27"/>
      <c r="J621" s="27"/>
      <c r="K621" s="27"/>
      <c r="L621" s="27"/>
      <c r="M621" s="27"/>
    </row>
    <row r="622" s="6" collapsed="false" customFormat="true" customHeight="true" hidden="false" ht="25.5" outlineLevel="0">
      <c r="A622" s="25"/>
      <c r="B622" s="26"/>
      <c r="C622" s="26"/>
      <c r="D622" s="26"/>
      <c r="E622" s="27"/>
      <c r="F622" s="27"/>
      <c r="G622" s="27"/>
      <c r="H622" s="27"/>
      <c r="I622" s="27"/>
      <c r="J622" s="27"/>
      <c r="K622" s="27"/>
      <c r="L622" s="27"/>
      <c r="M622" s="27"/>
    </row>
    <row r="623" s="6" collapsed="false" customFormat="true" customHeight="true" hidden="false" ht="25.5" outlineLevel="0">
      <c r="A623" s="25"/>
      <c r="B623" s="26"/>
      <c r="C623" s="26"/>
      <c r="D623" s="26"/>
      <c r="E623" s="27"/>
      <c r="F623" s="27"/>
      <c r="G623" s="27"/>
      <c r="H623" s="27"/>
      <c r="I623" s="27"/>
      <c r="J623" s="27"/>
      <c r="K623" s="27"/>
      <c r="L623" s="27"/>
      <c r="M623" s="27"/>
    </row>
    <row r="624" s="6" collapsed="false" customFormat="true" customHeight="true" hidden="false" ht="25.5" outlineLevel="0">
      <c r="A624" s="25"/>
      <c r="B624" s="26"/>
      <c r="C624" s="26"/>
      <c r="D624" s="26"/>
      <c r="E624" s="27"/>
      <c r="F624" s="27"/>
      <c r="G624" s="27"/>
      <c r="H624" s="27"/>
      <c r="I624" s="27"/>
      <c r="J624" s="27"/>
      <c r="K624" s="27"/>
      <c r="L624" s="27"/>
      <c r="M624" s="27"/>
    </row>
    <row r="625" s="6" collapsed="false" customFormat="true" customHeight="true" hidden="false" ht="25.5" outlineLevel="0">
      <c r="A625" s="25"/>
      <c r="B625" s="26"/>
      <c r="C625" s="26"/>
      <c r="D625" s="26"/>
      <c r="E625" s="27"/>
      <c r="F625" s="27"/>
      <c r="G625" s="27"/>
      <c r="H625" s="27"/>
      <c r="I625" s="27"/>
      <c r="J625" s="27"/>
      <c r="K625" s="27"/>
      <c r="L625" s="27"/>
      <c r="M625" s="27"/>
    </row>
    <row r="626" s="6" collapsed="false" customFormat="true" customHeight="true" hidden="false" ht="25.5" outlineLevel="0">
      <c r="A626" s="25"/>
      <c r="B626" s="26"/>
      <c r="C626" s="26"/>
      <c r="D626" s="26"/>
      <c r="E626" s="27"/>
      <c r="F626" s="27"/>
      <c r="G626" s="27"/>
      <c r="H626" s="27"/>
      <c r="I626" s="27"/>
      <c r="J626" s="27"/>
      <c r="K626" s="27"/>
      <c r="L626" s="27"/>
      <c r="M626" s="27"/>
    </row>
    <row r="627" s="6" collapsed="false" customFormat="true" customHeight="true" hidden="false" ht="25.5" outlineLevel="0">
      <c r="A627" s="25"/>
      <c r="B627" s="26"/>
      <c r="C627" s="26"/>
      <c r="D627" s="26"/>
      <c r="E627" s="27"/>
      <c r="F627" s="27"/>
      <c r="G627" s="27"/>
      <c r="H627" s="27"/>
      <c r="I627" s="27"/>
      <c r="J627" s="27"/>
      <c r="K627" s="27"/>
      <c r="L627" s="27"/>
      <c r="M627" s="27"/>
    </row>
    <row r="628" s="6" collapsed="false" customFormat="true" customHeight="true" hidden="false" ht="25.5" outlineLevel="0">
      <c r="A628" s="25"/>
      <c r="B628" s="26"/>
      <c r="C628" s="26"/>
      <c r="D628" s="26"/>
      <c r="E628" s="27"/>
      <c r="F628" s="27"/>
      <c r="G628" s="27"/>
      <c r="H628" s="27"/>
      <c r="I628" s="27"/>
      <c r="J628" s="27"/>
      <c r="K628" s="27"/>
      <c r="L628" s="27"/>
      <c r="M628" s="27"/>
    </row>
    <row r="629" s="6" collapsed="false" customFormat="true" customHeight="true" hidden="false" ht="25.5" outlineLevel="0">
      <c r="A629" s="25"/>
      <c r="B629" s="26"/>
      <c r="C629" s="26"/>
      <c r="D629" s="26"/>
      <c r="E629" s="27"/>
      <c r="F629" s="27"/>
      <c r="G629" s="27"/>
      <c r="H629" s="27"/>
      <c r="I629" s="27"/>
      <c r="J629" s="27"/>
      <c r="K629" s="27"/>
      <c r="L629" s="27"/>
      <c r="M629" s="27"/>
    </row>
    <row r="630" s="6" collapsed="false" customFormat="true" customHeight="true" hidden="false" ht="25.5" outlineLevel="0">
      <c r="A630" s="25"/>
      <c r="B630" s="26"/>
      <c r="C630" s="26"/>
      <c r="D630" s="26"/>
      <c r="E630" s="27"/>
      <c r="F630" s="27"/>
      <c r="G630" s="27"/>
      <c r="H630" s="27"/>
      <c r="I630" s="27"/>
      <c r="J630" s="27"/>
      <c r="K630" s="27"/>
      <c r="L630" s="27"/>
      <c r="M630" s="27"/>
    </row>
    <row r="631" s="6" collapsed="false" customFormat="true" customHeight="true" hidden="false" ht="25.5" outlineLevel="0">
      <c r="A631" s="25"/>
      <c r="B631" s="26"/>
      <c r="C631" s="26"/>
      <c r="D631" s="26"/>
      <c r="E631" s="27"/>
      <c r="F631" s="27"/>
      <c r="G631" s="27"/>
      <c r="H631" s="27"/>
      <c r="I631" s="27"/>
      <c r="J631" s="27"/>
      <c r="K631" s="27"/>
      <c r="L631" s="27"/>
      <c r="M631" s="27"/>
    </row>
    <row r="632" s="6" collapsed="false" customFormat="true" customHeight="true" hidden="false" ht="25.5" outlineLevel="0">
      <c r="A632" s="25"/>
      <c r="B632" s="26"/>
      <c r="C632" s="26"/>
      <c r="D632" s="26"/>
      <c r="E632" s="27"/>
      <c r="F632" s="27"/>
      <c r="G632" s="27"/>
      <c r="H632" s="27"/>
      <c r="I632" s="27"/>
      <c r="J632" s="27"/>
      <c r="K632" s="27"/>
      <c r="L632" s="27"/>
      <c r="M632" s="27"/>
    </row>
    <row r="633" s="6" collapsed="false" customFormat="true" customHeight="true" hidden="false" ht="25.5" outlineLevel="0">
      <c r="A633" s="25"/>
      <c r="B633" s="26"/>
      <c r="C633" s="26"/>
      <c r="D633" s="26"/>
      <c r="E633" s="27"/>
      <c r="F633" s="27"/>
      <c r="G633" s="27"/>
      <c r="H633" s="27"/>
      <c r="I633" s="27"/>
      <c r="J633" s="27"/>
      <c r="K633" s="27"/>
      <c r="L633" s="27"/>
      <c r="M633" s="27"/>
    </row>
    <row r="634" s="6" collapsed="false" customFormat="true" customHeight="true" hidden="false" ht="25.5" outlineLevel="0">
      <c r="A634" s="25"/>
      <c r="B634" s="26"/>
      <c r="C634" s="26"/>
      <c r="D634" s="26"/>
      <c r="E634" s="27"/>
      <c r="F634" s="27"/>
      <c r="G634" s="27"/>
      <c r="H634" s="27"/>
      <c r="I634" s="27"/>
      <c r="J634" s="27"/>
      <c r="K634" s="27"/>
      <c r="L634" s="27"/>
      <c r="M634" s="27"/>
    </row>
    <row r="635" s="6" collapsed="false" customFormat="true" customHeight="true" hidden="false" ht="25.5" outlineLevel="0">
      <c r="A635" s="25"/>
      <c r="B635" s="26"/>
      <c r="C635" s="26"/>
      <c r="D635" s="26"/>
      <c r="E635" s="27"/>
      <c r="F635" s="27"/>
      <c r="G635" s="27"/>
      <c r="H635" s="27"/>
      <c r="I635" s="27"/>
      <c r="J635" s="27"/>
      <c r="K635" s="27"/>
      <c r="L635" s="27"/>
      <c r="M635" s="27"/>
    </row>
    <row r="636" s="6" collapsed="false" customFormat="true" customHeight="true" hidden="false" ht="25.5" outlineLevel="0">
      <c r="A636" s="25"/>
      <c r="B636" s="26"/>
      <c r="C636" s="26"/>
      <c r="D636" s="26"/>
      <c r="E636" s="27"/>
      <c r="F636" s="27"/>
      <c r="G636" s="27"/>
      <c r="H636" s="27"/>
      <c r="I636" s="27"/>
      <c r="J636" s="27"/>
      <c r="K636" s="27"/>
      <c r="L636" s="27"/>
      <c r="M636" s="27"/>
    </row>
    <row r="637" s="6" collapsed="false" customFormat="true" customHeight="true" hidden="false" ht="25.5" outlineLevel="0">
      <c r="A637" s="25"/>
      <c r="B637" s="26"/>
      <c r="C637" s="26"/>
      <c r="D637" s="26"/>
      <c r="E637" s="27"/>
      <c r="F637" s="27"/>
      <c r="G637" s="27"/>
      <c r="H637" s="27"/>
      <c r="I637" s="27"/>
      <c r="J637" s="27"/>
      <c r="K637" s="27"/>
      <c r="L637" s="27"/>
      <c r="M637" s="27"/>
    </row>
    <row r="638" s="6" collapsed="false" customFormat="true" customHeight="true" hidden="false" ht="25.5" outlineLevel="0">
      <c r="A638" s="25"/>
      <c r="B638" s="26"/>
      <c r="C638" s="26"/>
      <c r="D638" s="26"/>
      <c r="E638" s="27"/>
      <c r="F638" s="27"/>
      <c r="G638" s="27"/>
      <c r="H638" s="27"/>
      <c r="I638" s="27"/>
      <c r="J638" s="27"/>
      <c r="K638" s="27"/>
      <c r="L638" s="27"/>
      <c r="M638" s="27"/>
    </row>
    <row r="639" s="6" collapsed="false" customFormat="true" customHeight="true" hidden="false" ht="25.5" outlineLevel="0">
      <c r="A639" s="25"/>
      <c r="B639" s="26"/>
      <c r="C639" s="26"/>
      <c r="D639" s="26"/>
      <c r="E639" s="27"/>
      <c r="F639" s="27"/>
      <c r="G639" s="27"/>
      <c r="H639" s="27"/>
      <c r="I639" s="27"/>
      <c r="J639" s="27"/>
      <c r="K639" s="27"/>
      <c r="L639" s="27"/>
      <c r="M639" s="27"/>
    </row>
    <row r="640" s="6" collapsed="false" customFormat="true" customHeight="true" hidden="false" ht="25.5" outlineLevel="0">
      <c r="A640" s="25"/>
      <c r="B640" s="26"/>
      <c r="C640" s="26"/>
      <c r="D640" s="26"/>
      <c r="E640" s="27"/>
      <c r="F640" s="27"/>
      <c r="G640" s="27"/>
      <c r="H640" s="27"/>
      <c r="I640" s="27"/>
      <c r="J640" s="27"/>
      <c r="K640" s="27"/>
      <c r="L640" s="27"/>
      <c r="M640" s="27"/>
    </row>
    <row r="641" s="6" collapsed="false" customFormat="true" customHeight="true" hidden="false" ht="25.5" outlineLevel="0">
      <c r="A641" s="25"/>
      <c r="B641" s="26"/>
      <c r="C641" s="26"/>
      <c r="D641" s="26"/>
      <c r="E641" s="27"/>
      <c r="F641" s="27"/>
      <c r="G641" s="27"/>
      <c r="H641" s="27"/>
      <c r="I641" s="27"/>
      <c r="J641" s="27"/>
      <c r="K641" s="27"/>
      <c r="L641" s="27"/>
      <c r="M641" s="27"/>
    </row>
    <row r="642" s="6" collapsed="false" customFormat="true" customHeight="true" hidden="false" ht="25.5" outlineLevel="0">
      <c r="A642" s="25"/>
      <c r="B642" s="26"/>
      <c r="C642" s="26"/>
      <c r="D642" s="26"/>
      <c r="E642" s="27"/>
      <c r="F642" s="27"/>
      <c r="G642" s="27"/>
      <c r="H642" s="27"/>
      <c r="I642" s="27"/>
      <c r="J642" s="27"/>
      <c r="K642" s="27"/>
      <c r="L642" s="27"/>
      <c r="M642" s="27"/>
    </row>
    <row r="643" s="6" collapsed="false" customFormat="true" customHeight="true" hidden="false" ht="25.5" outlineLevel="0">
      <c r="A643" s="25"/>
      <c r="B643" s="26"/>
      <c r="C643" s="26"/>
      <c r="D643" s="26"/>
      <c r="E643" s="27"/>
      <c r="F643" s="27"/>
      <c r="G643" s="27"/>
      <c r="H643" s="27"/>
      <c r="I643" s="27"/>
      <c r="J643" s="27"/>
      <c r="K643" s="27"/>
      <c r="L643" s="27"/>
      <c r="M643" s="27"/>
    </row>
    <row r="644" s="6" collapsed="false" customFormat="true" customHeight="true" hidden="false" ht="25.5" outlineLevel="0">
      <c r="A644" s="25"/>
      <c r="B644" s="26"/>
      <c r="C644" s="26"/>
      <c r="D644" s="26"/>
      <c r="E644" s="27"/>
      <c r="F644" s="27"/>
      <c r="G644" s="27"/>
      <c r="H644" s="27"/>
      <c r="I644" s="27"/>
      <c r="J644" s="27"/>
      <c r="K644" s="27"/>
      <c r="L644" s="27"/>
      <c r="M644" s="27"/>
    </row>
    <row r="645" s="6" collapsed="false" customFormat="true" customHeight="true" hidden="false" ht="25.5" outlineLevel="0">
      <c r="A645" s="25"/>
      <c r="B645" s="26"/>
      <c r="C645" s="26"/>
      <c r="D645" s="26"/>
      <c r="E645" s="27"/>
      <c r="F645" s="27"/>
      <c r="G645" s="27"/>
      <c r="H645" s="27"/>
      <c r="I645" s="27"/>
      <c r="J645" s="27"/>
      <c r="K645" s="27"/>
      <c r="L645" s="27"/>
      <c r="M645" s="27"/>
    </row>
    <row r="646" s="6" collapsed="false" customFormat="true" customHeight="true" hidden="false" ht="25.5" outlineLevel="0">
      <c r="A646" s="25"/>
      <c r="B646" s="26"/>
      <c r="C646" s="26"/>
      <c r="D646" s="26"/>
      <c r="E646" s="27"/>
      <c r="F646" s="27"/>
      <c r="G646" s="27"/>
      <c r="H646" s="27"/>
      <c r="I646" s="27"/>
      <c r="J646" s="27"/>
      <c r="K646" s="27"/>
      <c r="L646" s="27"/>
      <c r="M646" s="27"/>
    </row>
    <row r="647" s="6" collapsed="false" customFormat="true" customHeight="true" hidden="false" ht="25.5" outlineLevel="0">
      <c r="A647" s="25"/>
      <c r="B647" s="26"/>
      <c r="C647" s="26"/>
      <c r="D647" s="26"/>
      <c r="E647" s="27"/>
      <c r="F647" s="27"/>
      <c r="G647" s="27"/>
      <c r="H647" s="27"/>
      <c r="I647" s="27"/>
      <c r="J647" s="27"/>
      <c r="K647" s="27"/>
      <c r="L647" s="27"/>
      <c r="M647" s="27"/>
    </row>
    <row r="648" s="6" collapsed="false" customFormat="true" customHeight="true" hidden="false" ht="25.5" outlineLevel="0">
      <c r="A648" s="25"/>
      <c r="B648" s="26"/>
      <c r="C648" s="26"/>
      <c r="D648" s="26"/>
      <c r="E648" s="27"/>
      <c r="F648" s="27"/>
      <c r="G648" s="27"/>
      <c r="H648" s="27"/>
      <c r="I648" s="27"/>
      <c r="J648" s="27"/>
      <c r="K648" s="27"/>
      <c r="L648" s="27"/>
      <c r="M648" s="27"/>
    </row>
    <row r="649" s="6" collapsed="false" customFormat="true" customHeight="true" hidden="false" ht="25.5" outlineLevel="0">
      <c r="A649" s="25"/>
      <c r="B649" s="26"/>
      <c r="C649" s="26"/>
      <c r="D649" s="26"/>
      <c r="E649" s="27"/>
      <c r="F649" s="27"/>
      <c r="G649" s="27"/>
      <c r="H649" s="27"/>
      <c r="I649" s="27"/>
      <c r="J649" s="27"/>
      <c r="K649" s="27"/>
      <c r="L649" s="27"/>
      <c r="M649" s="27"/>
    </row>
    <row r="650" s="6" collapsed="false" customFormat="true" customHeight="true" hidden="false" ht="25.5" outlineLevel="0">
      <c r="A650" s="25"/>
      <c r="B650" s="26"/>
      <c r="C650" s="26"/>
      <c r="D650" s="26"/>
      <c r="E650" s="27"/>
      <c r="F650" s="27"/>
      <c r="G650" s="27"/>
      <c r="H650" s="27"/>
      <c r="I650" s="27"/>
      <c r="J650" s="27"/>
      <c r="K650" s="27"/>
      <c r="L650" s="27"/>
      <c r="M650" s="27"/>
    </row>
    <row r="651" s="6" collapsed="false" customFormat="true" customHeight="true" hidden="false" ht="25.5" outlineLevel="0">
      <c r="A651" s="25"/>
      <c r="B651" s="26"/>
      <c r="C651" s="26"/>
      <c r="D651" s="26"/>
      <c r="E651" s="27"/>
      <c r="F651" s="27"/>
      <c r="G651" s="27"/>
      <c r="H651" s="27"/>
      <c r="I651" s="27"/>
      <c r="J651" s="27"/>
      <c r="K651" s="27"/>
      <c r="L651" s="27"/>
      <c r="M651" s="27"/>
    </row>
    <row r="652" s="6" collapsed="false" customFormat="true" customHeight="true" hidden="false" ht="25.5" outlineLevel="0">
      <c r="A652" s="25"/>
      <c r="B652" s="26"/>
      <c r="C652" s="26"/>
      <c r="D652" s="26"/>
      <c r="E652" s="27"/>
      <c r="F652" s="27"/>
      <c r="G652" s="27"/>
      <c r="H652" s="27"/>
      <c r="I652" s="27"/>
      <c r="J652" s="27"/>
      <c r="K652" s="27"/>
      <c r="L652" s="27"/>
      <c r="M652" s="27"/>
    </row>
    <row r="653" s="6" collapsed="false" customFormat="true" customHeight="true" hidden="false" ht="25.5" outlineLevel="0">
      <c r="A653" s="25"/>
      <c r="B653" s="26"/>
      <c r="C653" s="26"/>
      <c r="D653" s="26"/>
      <c r="E653" s="27"/>
      <c r="F653" s="27"/>
      <c r="G653" s="27"/>
      <c r="H653" s="27"/>
      <c r="I653" s="27"/>
      <c r="J653" s="27"/>
      <c r="K653" s="27"/>
      <c r="L653" s="27"/>
      <c r="M653" s="27"/>
    </row>
    <row r="654" s="6" collapsed="false" customFormat="true" customHeight="true" hidden="false" ht="25.5" outlineLevel="0">
      <c r="A654" s="25"/>
      <c r="B654" s="26"/>
      <c r="C654" s="26"/>
      <c r="D654" s="26"/>
      <c r="E654" s="27"/>
      <c r="F654" s="27"/>
      <c r="G654" s="27"/>
      <c r="H654" s="27"/>
      <c r="I654" s="27"/>
      <c r="J654" s="27"/>
      <c r="K654" s="27"/>
      <c r="L654" s="27"/>
      <c r="M654" s="27"/>
    </row>
    <row r="655" s="6" collapsed="false" customFormat="true" customHeight="true" hidden="false" ht="25.5" outlineLevel="0">
      <c r="A655" s="25"/>
      <c r="B655" s="26"/>
      <c r="C655" s="26"/>
      <c r="D655" s="26"/>
      <c r="E655" s="27"/>
      <c r="F655" s="27"/>
      <c r="G655" s="27"/>
      <c r="H655" s="27"/>
      <c r="I655" s="27"/>
      <c r="J655" s="27"/>
      <c r="K655" s="27"/>
      <c r="L655" s="27"/>
      <c r="M655" s="27"/>
    </row>
    <row r="656" s="6" collapsed="false" customFormat="true" customHeight="true" hidden="false" ht="25.5" outlineLevel="0">
      <c r="A656" s="25"/>
      <c r="B656" s="26"/>
      <c r="C656" s="26"/>
      <c r="D656" s="26"/>
      <c r="E656" s="27"/>
      <c r="F656" s="27"/>
      <c r="G656" s="27"/>
      <c r="H656" s="27"/>
      <c r="I656" s="27"/>
      <c r="J656" s="27"/>
      <c r="K656" s="27"/>
      <c r="L656" s="27"/>
      <c r="M656" s="27"/>
    </row>
    <row r="657" s="6" collapsed="false" customFormat="true" customHeight="true" hidden="false" ht="25.5" outlineLevel="0">
      <c r="A657" s="25"/>
      <c r="B657" s="26"/>
      <c r="C657" s="26"/>
      <c r="D657" s="26"/>
      <c r="E657" s="27"/>
      <c r="F657" s="27"/>
      <c r="G657" s="27"/>
      <c r="H657" s="27"/>
      <c r="I657" s="27"/>
      <c r="J657" s="27"/>
      <c r="K657" s="27"/>
      <c r="L657" s="27"/>
      <c r="M657" s="27"/>
    </row>
    <row r="658" s="6" collapsed="false" customFormat="true" customHeight="true" hidden="false" ht="25.5" outlineLevel="0">
      <c r="A658" s="25"/>
      <c r="B658" s="26"/>
      <c r="C658" s="26"/>
      <c r="D658" s="26"/>
      <c r="E658" s="27"/>
      <c r="F658" s="27"/>
      <c r="G658" s="27"/>
      <c r="H658" s="27"/>
      <c r="I658" s="27"/>
      <c r="J658" s="27"/>
      <c r="K658" s="27"/>
      <c r="L658" s="27"/>
      <c r="M658" s="27"/>
    </row>
    <row r="659" s="6" collapsed="false" customFormat="true" customHeight="true" hidden="false" ht="25.5" outlineLevel="0">
      <c r="A659" s="25"/>
      <c r="B659" s="26"/>
      <c r="C659" s="26"/>
      <c r="D659" s="26"/>
      <c r="E659" s="27"/>
      <c r="F659" s="27"/>
      <c r="G659" s="27"/>
      <c r="H659" s="27"/>
      <c r="I659" s="27"/>
      <c r="J659" s="27"/>
      <c r="K659" s="27"/>
      <c r="L659" s="27"/>
      <c r="M659" s="27"/>
    </row>
    <row r="660" s="6" collapsed="false" customFormat="true" customHeight="true" hidden="false" ht="25.5" outlineLevel="0">
      <c r="A660" s="25"/>
      <c r="B660" s="26"/>
      <c r="C660" s="26"/>
      <c r="D660" s="26"/>
      <c r="E660" s="27"/>
      <c r="F660" s="27"/>
      <c r="G660" s="27"/>
      <c r="H660" s="27"/>
      <c r="I660" s="27"/>
      <c r="J660" s="27"/>
      <c r="K660" s="27"/>
      <c r="L660" s="27"/>
      <c r="M660" s="27"/>
    </row>
    <row r="661" s="6" collapsed="false" customFormat="true" customHeight="true" hidden="false" ht="25.5" outlineLevel="0">
      <c r="A661" s="25"/>
      <c r="B661" s="26"/>
      <c r="C661" s="26"/>
      <c r="D661" s="26"/>
      <c r="E661" s="27"/>
      <c r="F661" s="27"/>
      <c r="G661" s="27"/>
      <c r="H661" s="27"/>
      <c r="I661" s="27"/>
      <c r="J661" s="27"/>
      <c r="K661" s="27"/>
      <c r="L661" s="27"/>
      <c r="M661" s="27"/>
    </row>
    <row r="662" s="6" collapsed="false" customFormat="true" customHeight="true" hidden="false" ht="25.5" outlineLevel="0">
      <c r="A662" s="25"/>
      <c r="B662" s="26"/>
      <c r="C662" s="26"/>
      <c r="D662" s="26"/>
      <c r="E662" s="27"/>
      <c r="F662" s="27"/>
      <c r="G662" s="27"/>
      <c r="H662" s="27"/>
      <c r="I662" s="27"/>
      <c r="J662" s="27"/>
      <c r="K662" s="27"/>
      <c r="L662" s="27"/>
      <c r="M662" s="27"/>
    </row>
    <row r="663" s="6" collapsed="false" customFormat="true" customHeight="true" hidden="false" ht="25.5" outlineLevel="0">
      <c r="A663" s="25"/>
      <c r="B663" s="26"/>
      <c r="C663" s="26"/>
      <c r="D663" s="26"/>
      <c r="E663" s="27"/>
      <c r="F663" s="27"/>
      <c r="G663" s="27"/>
      <c r="H663" s="27"/>
      <c r="I663" s="27"/>
      <c r="J663" s="27"/>
      <c r="K663" s="27"/>
      <c r="L663" s="27"/>
      <c r="M663" s="27"/>
    </row>
    <row r="664" s="6" collapsed="false" customFormat="true" customHeight="true" hidden="false" ht="25.5" outlineLevel="0">
      <c r="A664" s="25"/>
      <c r="B664" s="26"/>
      <c r="C664" s="26"/>
      <c r="D664" s="26"/>
      <c r="E664" s="27"/>
      <c r="F664" s="27"/>
      <c r="G664" s="27"/>
      <c r="H664" s="27"/>
      <c r="I664" s="27"/>
      <c r="J664" s="27"/>
      <c r="K664" s="27"/>
      <c r="L664" s="27"/>
      <c r="M664" s="27"/>
    </row>
    <row r="665" s="6" collapsed="false" customFormat="true" customHeight="true" hidden="false" ht="25.5" outlineLevel="0">
      <c r="A665" s="25"/>
      <c r="B665" s="26"/>
      <c r="C665" s="26"/>
      <c r="D665" s="26"/>
      <c r="E665" s="27"/>
      <c r="F665" s="27"/>
      <c r="G665" s="27"/>
      <c r="H665" s="27"/>
      <c r="I665" s="27"/>
      <c r="J665" s="27"/>
      <c r="K665" s="27"/>
      <c r="L665" s="27"/>
      <c r="M665" s="27"/>
    </row>
    <row r="666" s="6" collapsed="false" customFormat="true" customHeight="true" hidden="false" ht="25.5" outlineLevel="0">
      <c r="A666" s="25"/>
      <c r="B666" s="26"/>
      <c r="C666" s="26"/>
      <c r="D666" s="26"/>
      <c r="E666" s="27"/>
      <c r="F666" s="27"/>
      <c r="G666" s="27"/>
      <c r="H666" s="27"/>
      <c r="I666" s="27"/>
      <c r="J666" s="27"/>
      <c r="K666" s="27"/>
      <c r="L666" s="27"/>
      <c r="M666" s="27"/>
    </row>
    <row r="667" s="6" collapsed="false" customFormat="true" customHeight="true" hidden="false" ht="25.5" outlineLevel="0">
      <c r="A667" s="25"/>
      <c r="B667" s="26"/>
      <c r="C667" s="26"/>
      <c r="D667" s="26"/>
      <c r="E667" s="27"/>
      <c r="F667" s="27"/>
      <c r="G667" s="27"/>
      <c r="H667" s="27"/>
      <c r="I667" s="27"/>
      <c r="J667" s="27"/>
      <c r="K667" s="27"/>
      <c r="L667" s="27"/>
      <c r="M667" s="27"/>
    </row>
    <row r="668" s="6" collapsed="false" customFormat="true" customHeight="true" hidden="false" ht="25.5" outlineLevel="0">
      <c r="A668" s="25"/>
      <c r="B668" s="26"/>
      <c r="C668" s="26"/>
      <c r="D668" s="26"/>
      <c r="E668" s="27"/>
      <c r="F668" s="27"/>
      <c r="G668" s="27"/>
      <c r="H668" s="27"/>
      <c r="I668" s="27"/>
      <c r="J668" s="27"/>
      <c r="K668" s="27"/>
      <c r="L668" s="27"/>
      <c r="M668" s="27"/>
    </row>
    <row r="669" s="6" collapsed="false" customFormat="true" customHeight="true" hidden="false" ht="25.5" outlineLevel="0">
      <c r="A669" s="25"/>
      <c r="B669" s="26"/>
      <c r="C669" s="26"/>
      <c r="D669" s="26"/>
      <c r="E669" s="27"/>
      <c r="F669" s="27"/>
      <c r="G669" s="27"/>
      <c r="H669" s="27"/>
      <c r="I669" s="27"/>
      <c r="J669" s="27"/>
      <c r="K669" s="27"/>
      <c r="L669" s="27"/>
      <c r="M669" s="27"/>
    </row>
    <row r="670" s="6" collapsed="false" customFormat="true" customHeight="true" hidden="false" ht="25.5" outlineLevel="0">
      <c r="A670" s="25"/>
      <c r="B670" s="26"/>
      <c r="C670" s="26"/>
      <c r="D670" s="26"/>
      <c r="E670" s="27"/>
      <c r="F670" s="27"/>
      <c r="G670" s="27"/>
      <c r="H670" s="27"/>
      <c r="I670" s="27"/>
      <c r="J670" s="27"/>
      <c r="K670" s="27"/>
      <c r="L670" s="27"/>
      <c r="M670" s="27"/>
    </row>
    <row r="671" s="6" collapsed="false" customFormat="true" customHeight="true" hidden="false" ht="25.5" outlineLevel="0">
      <c r="A671" s="25"/>
      <c r="B671" s="26"/>
      <c r="C671" s="26"/>
      <c r="D671" s="26"/>
      <c r="E671" s="27"/>
      <c r="F671" s="27"/>
      <c r="G671" s="27"/>
      <c r="H671" s="27"/>
      <c r="I671" s="27"/>
      <c r="J671" s="27"/>
      <c r="K671" s="27"/>
      <c r="L671" s="27"/>
      <c r="M671" s="27"/>
    </row>
    <row r="672" s="6" collapsed="false" customFormat="true" customHeight="true" hidden="false" ht="25.5" outlineLevel="0">
      <c r="A672" s="25"/>
      <c r="B672" s="26"/>
      <c r="C672" s="26"/>
      <c r="D672" s="26"/>
      <c r="E672" s="27"/>
      <c r="F672" s="27"/>
      <c r="G672" s="27"/>
      <c r="H672" s="27"/>
      <c r="I672" s="27"/>
      <c r="J672" s="27"/>
      <c r="K672" s="27"/>
      <c r="L672" s="27"/>
      <c r="M672" s="27"/>
    </row>
    <row r="673" s="6" collapsed="false" customFormat="true" customHeight="true" hidden="false" ht="25.5" outlineLevel="0">
      <c r="A673" s="25"/>
      <c r="B673" s="26"/>
      <c r="C673" s="26"/>
      <c r="D673" s="26"/>
      <c r="E673" s="27"/>
      <c r="F673" s="27"/>
      <c r="G673" s="27"/>
      <c r="H673" s="27"/>
      <c r="I673" s="27"/>
      <c r="J673" s="27"/>
      <c r="K673" s="27"/>
      <c r="L673" s="27"/>
      <c r="M673" s="27"/>
    </row>
    <row r="674" s="6" collapsed="false" customFormat="true" customHeight="true" hidden="false" ht="25.5" outlineLevel="0">
      <c r="A674" s="25"/>
      <c r="B674" s="26"/>
      <c r="C674" s="26"/>
      <c r="D674" s="26"/>
      <c r="E674" s="27"/>
      <c r="F674" s="27"/>
      <c r="G674" s="27"/>
      <c r="H674" s="27"/>
      <c r="I674" s="27"/>
      <c r="J674" s="27"/>
      <c r="K674" s="27"/>
      <c r="L674" s="27"/>
      <c r="M674" s="27"/>
    </row>
    <row r="675" s="6" collapsed="false" customFormat="true" customHeight="true" hidden="false" ht="25.5" outlineLevel="0">
      <c r="A675" s="25"/>
      <c r="B675" s="26"/>
      <c r="C675" s="26"/>
      <c r="D675" s="26"/>
      <c r="E675" s="27"/>
      <c r="F675" s="27"/>
      <c r="G675" s="27"/>
      <c r="H675" s="27"/>
      <c r="I675" s="27"/>
      <c r="J675" s="27"/>
      <c r="K675" s="27"/>
      <c r="L675" s="27"/>
      <c r="M675" s="27"/>
    </row>
    <row r="676" s="6" collapsed="false" customFormat="true" customHeight="true" hidden="false" ht="25.5" outlineLevel="0">
      <c r="A676" s="25"/>
      <c r="B676" s="26"/>
      <c r="C676" s="26"/>
      <c r="D676" s="26"/>
      <c r="E676" s="27"/>
      <c r="F676" s="27"/>
      <c r="G676" s="27"/>
      <c r="H676" s="27"/>
      <c r="I676" s="27"/>
      <c r="J676" s="27"/>
      <c r="K676" s="27"/>
      <c r="L676" s="27"/>
      <c r="M676" s="27"/>
    </row>
    <row r="677" s="6" collapsed="false" customFormat="true" customHeight="true" hidden="false" ht="25.5" outlineLevel="0">
      <c r="A677" s="25"/>
      <c r="B677" s="26"/>
      <c r="C677" s="26"/>
      <c r="D677" s="26"/>
      <c r="E677" s="27"/>
      <c r="F677" s="27"/>
      <c r="G677" s="27"/>
      <c r="H677" s="27"/>
      <c r="I677" s="27"/>
      <c r="J677" s="27"/>
      <c r="K677" s="27"/>
      <c r="L677" s="27"/>
      <c r="M677" s="27"/>
    </row>
    <row r="678" s="6" collapsed="false" customFormat="true" customHeight="true" hidden="false" ht="25.5" outlineLevel="0">
      <c r="A678" s="25"/>
      <c r="B678" s="26"/>
      <c r="C678" s="26"/>
      <c r="D678" s="26"/>
      <c r="E678" s="27"/>
      <c r="F678" s="27"/>
      <c r="G678" s="27"/>
      <c r="H678" s="27"/>
      <c r="I678" s="27"/>
      <c r="J678" s="27"/>
      <c r="K678" s="27"/>
      <c r="L678" s="27"/>
      <c r="M678" s="27"/>
    </row>
    <row r="679" s="6" collapsed="false" customFormat="true" customHeight="true" hidden="false" ht="25.5" outlineLevel="0">
      <c r="A679" s="25"/>
      <c r="B679" s="26"/>
      <c r="C679" s="26"/>
      <c r="D679" s="26"/>
      <c r="E679" s="27"/>
      <c r="F679" s="27"/>
      <c r="G679" s="27"/>
      <c r="H679" s="27"/>
      <c r="I679" s="27"/>
      <c r="J679" s="27"/>
      <c r="K679" s="27"/>
      <c r="L679" s="27"/>
      <c r="M679" s="27"/>
    </row>
    <row r="680" s="6" collapsed="false" customFormat="true" customHeight="true" hidden="false" ht="25.5" outlineLevel="0">
      <c r="A680" s="25"/>
      <c r="B680" s="26"/>
      <c r="C680" s="26"/>
      <c r="D680" s="26"/>
      <c r="E680" s="27"/>
      <c r="F680" s="27"/>
      <c r="G680" s="27"/>
      <c r="H680" s="27"/>
      <c r="I680" s="27"/>
      <c r="J680" s="27"/>
      <c r="K680" s="27"/>
      <c r="L680" s="27"/>
      <c r="M680" s="27"/>
    </row>
    <row r="681" s="6" collapsed="false" customFormat="true" customHeight="true" hidden="false" ht="25.5" outlineLevel="0">
      <c r="A681" s="25"/>
      <c r="B681" s="26"/>
      <c r="C681" s="26"/>
      <c r="D681" s="26"/>
      <c r="E681" s="27"/>
      <c r="F681" s="27"/>
      <c r="G681" s="27"/>
      <c r="H681" s="27"/>
      <c r="I681" s="27"/>
      <c r="J681" s="27"/>
      <c r="K681" s="27"/>
      <c r="L681" s="27"/>
      <c r="M681" s="27"/>
    </row>
    <row r="682" s="6" collapsed="false" customFormat="true" customHeight="true" hidden="false" ht="25.5" outlineLevel="0">
      <c r="A682" s="25"/>
      <c r="B682" s="26"/>
      <c r="C682" s="26"/>
      <c r="D682" s="26"/>
      <c r="E682" s="27"/>
      <c r="F682" s="27"/>
      <c r="G682" s="27"/>
      <c r="H682" s="27"/>
      <c r="I682" s="27"/>
      <c r="J682" s="27"/>
      <c r="K682" s="27"/>
      <c r="L682" s="27"/>
      <c r="M682" s="27"/>
    </row>
    <row r="683" s="6" collapsed="false" customFormat="true" customHeight="true" hidden="false" ht="25.5" outlineLevel="0">
      <c r="A683" s="25"/>
      <c r="B683" s="26"/>
      <c r="C683" s="26"/>
      <c r="D683" s="26"/>
      <c r="E683" s="27"/>
      <c r="F683" s="27"/>
      <c r="G683" s="27"/>
      <c r="H683" s="27"/>
      <c r="I683" s="27"/>
      <c r="J683" s="27"/>
      <c r="K683" s="27"/>
      <c r="L683" s="27"/>
      <c r="M683" s="27"/>
    </row>
    <row r="684" s="6" collapsed="false" customFormat="true" customHeight="true" hidden="false" ht="25.5" outlineLevel="0">
      <c r="A684" s="25"/>
      <c r="B684" s="26"/>
      <c r="C684" s="26"/>
      <c r="D684" s="26"/>
      <c r="E684" s="27"/>
      <c r="F684" s="27"/>
      <c r="G684" s="27"/>
      <c r="H684" s="27"/>
      <c r="I684" s="27"/>
      <c r="J684" s="27"/>
      <c r="K684" s="27"/>
      <c r="L684" s="27"/>
      <c r="M684" s="27"/>
    </row>
    <row r="685" s="6" collapsed="false" customFormat="true" customHeight="true" hidden="false" ht="25.5" outlineLevel="0">
      <c r="A685" s="25"/>
      <c r="B685" s="26"/>
      <c r="C685" s="26"/>
      <c r="D685" s="26"/>
      <c r="E685" s="27"/>
      <c r="F685" s="27"/>
      <c r="G685" s="27"/>
      <c r="H685" s="27"/>
      <c r="I685" s="27"/>
      <c r="J685" s="27"/>
      <c r="K685" s="27"/>
      <c r="L685" s="27"/>
      <c r="M685" s="27"/>
    </row>
    <row r="686" s="6" collapsed="false" customFormat="true" customHeight="true" hidden="false" ht="25.5" outlineLevel="0">
      <c r="A686" s="25"/>
      <c r="B686" s="26"/>
      <c r="C686" s="26"/>
      <c r="D686" s="26"/>
      <c r="E686" s="27"/>
      <c r="F686" s="27"/>
      <c r="G686" s="27"/>
      <c r="H686" s="27"/>
      <c r="I686" s="27"/>
      <c r="J686" s="27"/>
      <c r="K686" s="27"/>
      <c r="L686" s="27"/>
      <c r="M686" s="27"/>
    </row>
    <row r="687" s="6" collapsed="false" customFormat="true" customHeight="true" hidden="false" ht="25.5" outlineLevel="0">
      <c r="A687" s="25"/>
      <c r="B687" s="26"/>
      <c r="C687" s="26"/>
      <c r="D687" s="26"/>
      <c r="E687" s="27"/>
      <c r="F687" s="27"/>
      <c r="G687" s="27"/>
      <c r="H687" s="27"/>
      <c r="I687" s="27"/>
      <c r="J687" s="27"/>
      <c r="K687" s="27"/>
      <c r="L687" s="27"/>
      <c r="M687" s="27"/>
    </row>
    <row r="688" s="6" collapsed="false" customFormat="true" customHeight="true" hidden="false" ht="25.5" outlineLevel="0">
      <c r="A688" s="25"/>
      <c r="B688" s="26"/>
      <c r="C688" s="26"/>
      <c r="D688" s="26"/>
      <c r="E688" s="27"/>
      <c r="F688" s="27"/>
      <c r="G688" s="27"/>
      <c r="H688" s="27"/>
      <c r="I688" s="27"/>
      <c r="J688" s="27"/>
      <c r="K688" s="27"/>
      <c r="L688" s="27"/>
      <c r="M688" s="27"/>
    </row>
    <row r="689" s="6" collapsed="false" customFormat="true" customHeight="true" hidden="false" ht="25.5" outlineLevel="0">
      <c r="A689" s="25"/>
      <c r="B689" s="26"/>
      <c r="C689" s="26"/>
      <c r="D689" s="26"/>
      <c r="E689" s="27"/>
      <c r="F689" s="27"/>
      <c r="G689" s="27"/>
      <c r="H689" s="27"/>
      <c r="I689" s="27"/>
      <c r="J689" s="27"/>
      <c r="K689" s="27"/>
      <c r="L689" s="27"/>
      <c r="M689" s="27"/>
    </row>
    <row r="690" s="6" collapsed="false" customFormat="true" customHeight="true" hidden="false" ht="25.5" outlineLevel="0">
      <c r="A690" s="25"/>
      <c r="B690" s="26"/>
      <c r="C690" s="26"/>
      <c r="D690" s="26"/>
      <c r="E690" s="27"/>
      <c r="F690" s="27"/>
      <c r="G690" s="27"/>
      <c r="H690" s="27"/>
      <c r="I690" s="27"/>
      <c r="J690" s="27"/>
      <c r="K690" s="27"/>
      <c r="L690" s="27"/>
      <c r="M690" s="27"/>
    </row>
    <row r="691" s="6" collapsed="false" customFormat="true" customHeight="true" hidden="false" ht="25.5" outlineLevel="0">
      <c r="A691" s="25"/>
      <c r="B691" s="26"/>
      <c r="C691" s="26"/>
      <c r="D691" s="26"/>
      <c r="E691" s="27"/>
      <c r="F691" s="27"/>
      <c r="G691" s="27"/>
      <c r="H691" s="27"/>
      <c r="I691" s="27"/>
      <c r="J691" s="27"/>
      <c r="K691" s="27"/>
      <c r="L691" s="27"/>
      <c r="M691" s="27"/>
    </row>
    <row r="692" s="6" collapsed="false" customFormat="true" customHeight="true" hidden="false" ht="25.5" outlineLevel="0">
      <c r="A692" s="25"/>
      <c r="B692" s="26"/>
      <c r="C692" s="26"/>
      <c r="D692" s="26"/>
      <c r="E692" s="27"/>
      <c r="F692" s="27"/>
      <c r="G692" s="27"/>
      <c r="H692" s="27"/>
      <c r="I692" s="27"/>
      <c r="J692" s="27"/>
      <c r="K692" s="27"/>
      <c r="L692" s="27"/>
      <c r="M692" s="27"/>
    </row>
    <row r="693" s="6" collapsed="false" customFormat="true" customHeight="true" hidden="false" ht="25.5" outlineLevel="0">
      <c r="A693" s="25"/>
      <c r="B693" s="26"/>
      <c r="C693" s="26"/>
      <c r="D693" s="26"/>
      <c r="E693" s="27"/>
      <c r="F693" s="27"/>
      <c r="G693" s="27"/>
      <c r="H693" s="27"/>
      <c r="I693" s="27"/>
      <c r="J693" s="27"/>
      <c r="K693" s="27"/>
      <c r="L693" s="27"/>
      <c r="M693" s="27"/>
    </row>
    <row r="694" s="6" collapsed="false" customFormat="true" customHeight="true" hidden="false" ht="25.5" outlineLevel="0">
      <c r="A694" s="25"/>
      <c r="B694" s="26"/>
      <c r="C694" s="26"/>
      <c r="D694" s="26"/>
      <c r="E694" s="27"/>
      <c r="F694" s="27"/>
      <c r="G694" s="27"/>
      <c r="H694" s="27"/>
      <c r="I694" s="27"/>
      <c r="J694" s="27"/>
      <c r="K694" s="27"/>
      <c r="L694" s="27"/>
      <c r="M694" s="27"/>
    </row>
    <row r="695" s="6" collapsed="false" customFormat="true" customHeight="true" hidden="false" ht="25.5" outlineLevel="0">
      <c r="A695" s="25"/>
      <c r="B695" s="26"/>
      <c r="C695" s="26"/>
      <c r="D695" s="26"/>
      <c r="E695" s="27"/>
      <c r="F695" s="27"/>
      <c r="G695" s="27"/>
      <c r="H695" s="27"/>
      <c r="I695" s="27"/>
      <c r="J695" s="27"/>
      <c r="K695" s="27"/>
      <c r="L695" s="27"/>
      <c r="M695" s="27"/>
    </row>
    <row r="696" s="6" collapsed="false" customFormat="true" customHeight="true" hidden="false" ht="25.5" outlineLevel="0">
      <c r="A696" s="25"/>
      <c r="B696" s="26"/>
      <c r="C696" s="26"/>
      <c r="D696" s="26"/>
      <c r="E696" s="27"/>
      <c r="F696" s="27"/>
      <c r="G696" s="27"/>
      <c r="H696" s="27"/>
      <c r="I696" s="27"/>
      <c r="J696" s="27"/>
      <c r="K696" s="27"/>
      <c r="L696" s="27"/>
      <c r="M696" s="27"/>
    </row>
    <row r="697" s="6" collapsed="false" customFormat="true" customHeight="true" hidden="false" ht="25.5" outlineLevel="0">
      <c r="A697" s="25"/>
      <c r="B697" s="26"/>
      <c r="C697" s="26"/>
      <c r="D697" s="26"/>
      <c r="E697" s="27"/>
      <c r="F697" s="27"/>
      <c r="G697" s="27"/>
      <c r="H697" s="27"/>
      <c r="I697" s="27"/>
      <c r="J697" s="27"/>
      <c r="K697" s="27"/>
      <c r="L697" s="27"/>
      <c r="M697" s="27"/>
    </row>
    <row r="698" s="6" collapsed="false" customFormat="true" customHeight="true" hidden="false" ht="25.5" outlineLevel="0">
      <c r="A698" s="25"/>
      <c r="B698" s="26"/>
      <c r="C698" s="26"/>
      <c r="D698" s="26"/>
      <c r="E698" s="27"/>
      <c r="F698" s="27"/>
      <c r="G698" s="27"/>
      <c r="H698" s="27"/>
      <c r="I698" s="27"/>
      <c r="J698" s="27"/>
      <c r="K698" s="27"/>
      <c r="L698" s="27"/>
      <c r="M698" s="27"/>
    </row>
    <row r="699" s="6" collapsed="false" customFormat="true" customHeight="true" hidden="false" ht="25.5" outlineLevel="0">
      <c r="A699" s="25"/>
      <c r="B699" s="26"/>
      <c r="C699" s="26"/>
      <c r="D699" s="26"/>
      <c r="E699" s="27"/>
      <c r="F699" s="27"/>
      <c r="G699" s="27"/>
      <c r="H699" s="27"/>
      <c r="I699" s="27"/>
      <c r="J699" s="27"/>
      <c r="K699" s="27"/>
      <c r="L699" s="27"/>
      <c r="M699" s="27"/>
    </row>
    <row r="700" s="6" collapsed="false" customFormat="true" customHeight="true" hidden="false" ht="25.5" outlineLevel="0">
      <c r="A700" s="25"/>
      <c r="B700" s="26"/>
      <c r="C700" s="26"/>
      <c r="D700" s="26"/>
      <c r="E700" s="27"/>
      <c r="F700" s="27"/>
      <c r="G700" s="27"/>
      <c r="H700" s="27"/>
      <c r="I700" s="27"/>
      <c r="J700" s="27"/>
      <c r="K700" s="27"/>
      <c r="L700" s="27"/>
      <c r="M700" s="27"/>
    </row>
    <row r="701" s="6" collapsed="false" customFormat="true" customHeight="true" hidden="false" ht="25.5" outlineLevel="0">
      <c r="A701" s="25"/>
      <c r="B701" s="26"/>
      <c r="C701" s="26"/>
      <c r="D701" s="26"/>
      <c r="E701" s="27"/>
      <c r="F701" s="27"/>
      <c r="G701" s="27"/>
      <c r="H701" s="27"/>
      <c r="I701" s="27"/>
      <c r="J701" s="27"/>
      <c r="K701" s="27"/>
      <c r="L701" s="27"/>
      <c r="M701" s="27"/>
    </row>
    <row r="702" s="6" collapsed="false" customFormat="true" customHeight="true" hidden="false" ht="25.5" outlineLevel="0">
      <c r="A702" s="25"/>
      <c r="B702" s="26"/>
      <c r="C702" s="26"/>
      <c r="D702" s="26"/>
      <c r="E702" s="27"/>
      <c r="F702" s="27"/>
      <c r="G702" s="27"/>
      <c r="H702" s="27"/>
      <c r="I702" s="27"/>
      <c r="J702" s="27"/>
      <c r="K702" s="27"/>
      <c r="L702" s="27"/>
      <c r="M702" s="27"/>
    </row>
    <row r="703" s="6" collapsed="false" customFormat="true" customHeight="true" hidden="false" ht="25.5" outlineLevel="0">
      <c r="A703" s="25"/>
      <c r="B703" s="26"/>
      <c r="C703" s="26"/>
      <c r="D703" s="26"/>
      <c r="E703" s="27"/>
      <c r="F703" s="27"/>
      <c r="G703" s="27"/>
      <c r="H703" s="27"/>
      <c r="I703" s="27"/>
      <c r="J703" s="27"/>
      <c r="K703" s="27"/>
      <c r="L703" s="27"/>
      <c r="M703" s="27"/>
    </row>
    <row r="704" s="6" collapsed="false" customFormat="true" customHeight="true" hidden="false" ht="25.5" outlineLevel="0">
      <c r="A704" s="25"/>
      <c r="B704" s="26"/>
      <c r="C704" s="26"/>
      <c r="D704" s="26"/>
      <c r="E704" s="27"/>
      <c r="F704" s="27"/>
      <c r="G704" s="27"/>
      <c r="H704" s="27"/>
      <c r="I704" s="27"/>
      <c r="J704" s="27"/>
      <c r="K704" s="27"/>
      <c r="L704" s="27"/>
      <c r="M704" s="27"/>
    </row>
    <row r="705" s="6" collapsed="false" customFormat="true" customHeight="true" hidden="false" ht="25.5" outlineLevel="0">
      <c r="A705" s="25"/>
      <c r="B705" s="26"/>
      <c r="C705" s="26"/>
      <c r="D705" s="26"/>
      <c r="E705" s="27"/>
      <c r="F705" s="27"/>
      <c r="G705" s="27"/>
      <c r="H705" s="27"/>
      <c r="I705" s="27"/>
      <c r="J705" s="27"/>
      <c r="K705" s="27"/>
      <c r="L705" s="27"/>
      <c r="M705" s="27"/>
    </row>
    <row r="706" s="6" collapsed="false" customFormat="true" customHeight="true" hidden="false" ht="25.5" outlineLevel="0">
      <c r="A706" s="25"/>
      <c r="B706" s="26"/>
      <c r="C706" s="26"/>
      <c r="D706" s="26"/>
      <c r="E706" s="27"/>
      <c r="F706" s="27"/>
      <c r="G706" s="27"/>
      <c r="H706" s="27"/>
      <c r="I706" s="27"/>
      <c r="J706" s="27"/>
      <c r="K706" s="27"/>
      <c r="L706" s="27"/>
      <c r="M706" s="27"/>
    </row>
    <row r="707" s="6" collapsed="false" customFormat="true" customHeight="true" hidden="false" ht="25.5" outlineLevel="0">
      <c r="A707" s="25"/>
      <c r="B707" s="26"/>
      <c r="C707" s="26"/>
      <c r="D707" s="26"/>
      <c r="E707" s="27"/>
      <c r="F707" s="27"/>
      <c r="G707" s="27"/>
      <c r="H707" s="27"/>
      <c r="I707" s="27"/>
      <c r="J707" s="27"/>
      <c r="K707" s="27"/>
      <c r="L707" s="27"/>
      <c r="M707" s="27"/>
    </row>
    <row r="708" s="6" collapsed="false" customFormat="true" customHeight="true" hidden="false" ht="25.5" outlineLevel="0">
      <c r="A708" s="25"/>
      <c r="B708" s="26"/>
      <c r="C708" s="26"/>
      <c r="D708" s="26"/>
      <c r="E708" s="27"/>
      <c r="F708" s="27"/>
      <c r="G708" s="27"/>
      <c r="H708" s="27"/>
      <c r="I708" s="27"/>
      <c r="J708" s="27"/>
      <c r="K708" s="27"/>
      <c r="L708" s="27"/>
      <c r="M708" s="27"/>
    </row>
    <row r="709" s="6" collapsed="false" customFormat="true" customHeight="true" hidden="false" ht="25.5" outlineLevel="0">
      <c r="A709" s="25"/>
      <c r="B709" s="26"/>
      <c r="C709" s="26"/>
      <c r="D709" s="26"/>
      <c r="E709" s="27"/>
      <c r="F709" s="27"/>
      <c r="G709" s="27"/>
      <c r="H709" s="27"/>
      <c r="I709" s="27"/>
      <c r="J709" s="27"/>
      <c r="K709" s="27"/>
      <c r="L709" s="27"/>
      <c r="M709" s="27"/>
    </row>
    <row r="710" s="6" collapsed="false" customFormat="true" customHeight="true" hidden="false" ht="25.5" outlineLevel="0">
      <c r="A710" s="25"/>
      <c r="B710" s="26"/>
      <c r="C710" s="26"/>
      <c r="D710" s="26"/>
      <c r="E710" s="27"/>
      <c r="F710" s="27"/>
      <c r="G710" s="27"/>
      <c r="H710" s="27"/>
      <c r="I710" s="27"/>
      <c r="J710" s="27"/>
      <c r="K710" s="27"/>
      <c r="L710" s="27"/>
      <c r="M710" s="27"/>
    </row>
    <row r="711" s="6" collapsed="false" customFormat="true" customHeight="true" hidden="false" ht="25.5" outlineLevel="0">
      <c r="A711" s="25"/>
      <c r="B711" s="26"/>
      <c r="C711" s="26"/>
      <c r="D711" s="26"/>
      <c r="E711" s="27"/>
      <c r="F711" s="27"/>
      <c r="G711" s="27"/>
      <c r="H711" s="27"/>
      <c r="I711" s="27"/>
      <c r="J711" s="27"/>
      <c r="K711" s="27"/>
      <c r="L711" s="27"/>
      <c r="M711" s="27"/>
    </row>
    <row r="712" s="6" collapsed="false" customFormat="true" customHeight="true" hidden="false" ht="25.5" outlineLevel="0">
      <c r="A712" s="25"/>
      <c r="B712" s="26"/>
      <c r="C712" s="26"/>
      <c r="D712" s="26"/>
      <c r="E712" s="27"/>
      <c r="F712" s="27"/>
      <c r="G712" s="27"/>
      <c r="H712" s="27"/>
      <c r="I712" s="27"/>
      <c r="J712" s="27"/>
      <c r="K712" s="27"/>
      <c r="L712" s="27"/>
      <c r="M712" s="27"/>
    </row>
    <row r="713" s="6" collapsed="false" customFormat="true" customHeight="true" hidden="false" ht="25.5" outlineLevel="0">
      <c r="A713" s="25"/>
      <c r="B713" s="26"/>
      <c r="C713" s="26"/>
      <c r="D713" s="26"/>
      <c r="E713" s="27"/>
      <c r="F713" s="27"/>
      <c r="G713" s="27"/>
      <c r="H713" s="27"/>
      <c r="I713" s="27"/>
      <c r="J713" s="27"/>
      <c r="K713" s="27"/>
      <c r="L713" s="27"/>
      <c r="M713" s="27"/>
    </row>
    <row r="714" s="6" collapsed="false" customFormat="true" customHeight="true" hidden="false" ht="25.5" outlineLevel="0">
      <c r="A714" s="25"/>
      <c r="B714" s="26"/>
      <c r="C714" s="26"/>
      <c r="D714" s="26"/>
      <c r="E714" s="27"/>
      <c r="F714" s="27"/>
      <c r="G714" s="27"/>
      <c r="H714" s="27"/>
      <c r="I714" s="27"/>
      <c r="J714" s="27"/>
      <c r="K714" s="27"/>
      <c r="L714" s="27"/>
      <c r="M714" s="27"/>
    </row>
    <row r="715" s="6" collapsed="false" customFormat="true" customHeight="true" hidden="false" ht="25.5" outlineLevel="0">
      <c r="A715" s="25"/>
      <c r="B715" s="26"/>
      <c r="C715" s="26"/>
      <c r="D715" s="26"/>
      <c r="E715" s="27"/>
      <c r="F715" s="27"/>
      <c r="G715" s="27"/>
      <c r="H715" s="27"/>
      <c r="I715" s="27"/>
      <c r="J715" s="27"/>
      <c r="K715" s="27"/>
      <c r="L715" s="27"/>
      <c r="M715" s="27"/>
    </row>
    <row r="716" s="6" collapsed="false" customFormat="true" customHeight="true" hidden="false" ht="25.5" outlineLevel="0">
      <c r="A716" s="25"/>
      <c r="B716" s="26"/>
      <c r="C716" s="26"/>
      <c r="D716" s="26"/>
      <c r="E716" s="27"/>
      <c r="F716" s="27"/>
      <c r="G716" s="27"/>
      <c r="H716" s="27"/>
      <c r="I716" s="27"/>
      <c r="J716" s="27"/>
      <c r="K716" s="27"/>
      <c r="L716" s="27"/>
      <c r="M716" s="27"/>
    </row>
    <row r="717" s="6" collapsed="false" customFormat="true" customHeight="true" hidden="false" ht="25.5" outlineLevel="0">
      <c r="A717" s="25"/>
      <c r="B717" s="26"/>
      <c r="C717" s="26"/>
      <c r="D717" s="26"/>
      <c r="E717" s="27"/>
      <c r="F717" s="27"/>
      <c r="G717" s="27"/>
      <c r="H717" s="27"/>
      <c r="I717" s="27"/>
      <c r="J717" s="27"/>
      <c r="K717" s="27"/>
      <c r="L717" s="27"/>
      <c r="M717" s="27"/>
    </row>
    <row r="718" s="6" collapsed="false" customFormat="true" customHeight="true" hidden="false" ht="25.5" outlineLevel="0">
      <c r="A718" s="25"/>
      <c r="B718" s="26"/>
      <c r="C718" s="26"/>
      <c r="D718" s="26"/>
      <c r="E718" s="27"/>
      <c r="F718" s="27"/>
      <c r="G718" s="27"/>
      <c r="H718" s="27"/>
      <c r="I718" s="27"/>
      <c r="J718" s="27"/>
      <c r="K718" s="27"/>
      <c r="L718" s="27"/>
      <c r="M718" s="27"/>
    </row>
    <row r="719" s="6" collapsed="false" customFormat="true" customHeight="true" hidden="false" ht="25.5" outlineLevel="0">
      <c r="A719" s="25"/>
      <c r="B719" s="26"/>
      <c r="C719" s="26"/>
      <c r="D719" s="26"/>
      <c r="E719" s="27"/>
      <c r="F719" s="27"/>
      <c r="G719" s="27"/>
      <c r="H719" s="27"/>
      <c r="I719" s="27"/>
      <c r="J719" s="27"/>
      <c r="K719" s="27"/>
      <c r="L719" s="27"/>
      <c r="M719" s="27"/>
    </row>
    <row r="720" s="6" collapsed="false" customFormat="true" customHeight="true" hidden="false" ht="25.5" outlineLevel="0">
      <c r="A720" s="25"/>
      <c r="B720" s="26"/>
      <c r="C720" s="26"/>
      <c r="D720" s="26"/>
      <c r="E720" s="27"/>
      <c r="F720" s="27"/>
      <c r="G720" s="27"/>
      <c r="H720" s="27"/>
      <c r="I720" s="27"/>
      <c r="J720" s="27"/>
      <c r="K720" s="27"/>
      <c r="L720" s="27"/>
      <c r="M720" s="27"/>
    </row>
    <row r="721" s="6" collapsed="false" customFormat="true" customHeight="true" hidden="false" ht="25.5" outlineLevel="0">
      <c r="A721" s="25"/>
      <c r="B721" s="26"/>
      <c r="C721" s="26"/>
      <c r="D721" s="26"/>
      <c r="E721" s="27"/>
      <c r="F721" s="27"/>
      <c r="G721" s="27"/>
      <c r="H721" s="27"/>
      <c r="I721" s="27"/>
      <c r="J721" s="27"/>
      <c r="K721" s="27"/>
      <c r="L721" s="27"/>
      <c r="M721" s="27"/>
    </row>
    <row r="722" s="6" collapsed="false" customFormat="true" customHeight="true" hidden="false" ht="25.5" outlineLevel="0">
      <c r="A722" s="25"/>
      <c r="B722" s="26"/>
      <c r="C722" s="26"/>
      <c r="D722" s="26"/>
      <c r="E722" s="27"/>
      <c r="F722" s="27"/>
      <c r="G722" s="27"/>
      <c r="H722" s="27"/>
      <c r="I722" s="27"/>
      <c r="J722" s="27"/>
      <c r="K722" s="27"/>
      <c r="L722" s="27"/>
      <c r="M722" s="27"/>
    </row>
    <row r="723" s="6" collapsed="false" customFormat="true" customHeight="true" hidden="false" ht="25.5" outlineLevel="0">
      <c r="A723" s="25"/>
      <c r="B723" s="26"/>
      <c r="C723" s="26"/>
      <c r="D723" s="26"/>
      <c r="E723" s="27"/>
      <c r="F723" s="27"/>
      <c r="G723" s="27"/>
      <c r="H723" s="27"/>
      <c r="I723" s="27"/>
      <c r="J723" s="27"/>
      <c r="K723" s="27"/>
      <c r="L723" s="27"/>
      <c r="M723" s="27"/>
    </row>
    <row r="724" s="6" collapsed="false" customFormat="true" customHeight="true" hidden="false" ht="25.5" outlineLevel="0">
      <c r="A724" s="25"/>
      <c r="B724" s="26"/>
      <c r="C724" s="26"/>
      <c r="D724" s="26"/>
      <c r="E724" s="27"/>
      <c r="F724" s="27"/>
      <c r="G724" s="27"/>
      <c r="H724" s="27"/>
      <c r="I724" s="27"/>
      <c r="J724" s="27"/>
      <c r="K724" s="27"/>
      <c r="L724" s="27"/>
      <c r="M724" s="27"/>
    </row>
    <row r="725" s="6" collapsed="false" customFormat="true" customHeight="true" hidden="false" ht="25.5" outlineLevel="0">
      <c r="A725" s="25"/>
      <c r="B725" s="26"/>
      <c r="C725" s="26"/>
      <c r="D725" s="26"/>
      <c r="E725" s="27"/>
      <c r="F725" s="27"/>
      <c r="G725" s="27"/>
      <c r="H725" s="27"/>
      <c r="I725" s="27"/>
      <c r="J725" s="27"/>
      <c r="K725" s="27"/>
      <c r="L725" s="27"/>
      <c r="M725" s="27"/>
    </row>
    <row r="726" s="6" collapsed="false" customFormat="true" customHeight="true" hidden="false" ht="25.5" outlineLevel="0">
      <c r="A726" s="25"/>
      <c r="B726" s="26"/>
      <c r="C726" s="26"/>
      <c r="D726" s="26"/>
      <c r="E726" s="27"/>
      <c r="F726" s="27"/>
      <c r="G726" s="27"/>
      <c r="H726" s="27"/>
      <c r="I726" s="27"/>
      <c r="J726" s="27"/>
      <c r="K726" s="27"/>
      <c r="L726" s="27"/>
      <c r="M726" s="27"/>
    </row>
    <row r="727" s="6" collapsed="false" customFormat="true" customHeight="true" hidden="false" ht="25.5" outlineLevel="0">
      <c r="A727" s="25"/>
      <c r="B727" s="26"/>
      <c r="C727" s="26"/>
      <c r="D727" s="26"/>
      <c r="E727" s="27"/>
      <c r="F727" s="27"/>
      <c r="G727" s="27"/>
      <c r="H727" s="27"/>
      <c r="I727" s="27"/>
      <c r="J727" s="27"/>
      <c r="K727" s="27"/>
      <c r="L727" s="27"/>
      <c r="M727" s="27"/>
    </row>
    <row r="728" s="6" collapsed="false" customFormat="true" customHeight="true" hidden="false" ht="25.5" outlineLevel="0">
      <c r="A728" s="25"/>
      <c r="B728" s="26"/>
      <c r="C728" s="26"/>
      <c r="D728" s="26"/>
      <c r="E728" s="27"/>
      <c r="F728" s="27"/>
      <c r="G728" s="27"/>
      <c r="H728" s="27"/>
      <c r="I728" s="27"/>
      <c r="J728" s="27"/>
      <c r="K728" s="27"/>
      <c r="L728" s="27"/>
      <c r="M728" s="27"/>
    </row>
    <row r="729" s="6" collapsed="false" customFormat="true" customHeight="true" hidden="false" ht="25.5" outlineLevel="0">
      <c r="A729" s="25"/>
      <c r="B729" s="26"/>
      <c r="C729" s="26"/>
      <c r="D729" s="26"/>
      <c r="E729" s="27"/>
      <c r="F729" s="27"/>
      <c r="G729" s="27"/>
      <c r="H729" s="27"/>
      <c r="I729" s="27"/>
      <c r="J729" s="27"/>
      <c r="K729" s="27"/>
      <c r="L729" s="27"/>
      <c r="M729" s="27"/>
    </row>
    <row r="730" s="6" collapsed="false" customFormat="true" customHeight="true" hidden="false" ht="25.5" outlineLevel="0">
      <c r="A730" s="25"/>
      <c r="B730" s="26"/>
      <c r="C730" s="26"/>
      <c r="D730" s="26"/>
      <c r="E730" s="27"/>
      <c r="F730" s="27"/>
      <c r="G730" s="27"/>
      <c r="H730" s="27"/>
      <c r="I730" s="27"/>
      <c r="J730" s="27"/>
      <c r="K730" s="27"/>
      <c r="L730" s="27"/>
      <c r="M730" s="27"/>
    </row>
    <row r="731" s="6" collapsed="false" customFormat="true" customHeight="true" hidden="false" ht="25.5" outlineLevel="0">
      <c r="A731" s="25"/>
      <c r="B731" s="26"/>
      <c r="C731" s="26"/>
      <c r="D731" s="26"/>
      <c r="E731" s="27"/>
      <c r="F731" s="27"/>
      <c r="G731" s="27"/>
      <c r="H731" s="27"/>
      <c r="I731" s="27"/>
      <c r="J731" s="27"/>
      <c r="K731" s="27"/>
      <c r="L731" s="27"/>
      <c r="M731" s="27"/>
    </row>
    <row r="732" s="6" collapsed="false" customFormat="true" customHeight="true" hidden="false" ht="25.5" outlineLevel="0">
      <c r="A732" s="25"/>
      <c r="B732" s="26"/>
      <c r="C732" s="26"/>
      <c r="D732" s="26"/>
      <c r="E732" s="27"/>
      <c r="F732" s="27"/>
      <c r="G732" s="27"/>
      <c r="H732" s="27"/>
      <c r="I732" s="27"/>
      <c r="J732" s="27"/>
      <c r="K732" s="27"/>
      <c r="L732" s="27"/>
      <c r="M732" s="27"/>
    </row>
    <row r="733" s="6" collapsed="false" customFormat="true" customHeight="true" hidden="false" ht="25.5" outlineLevel="0">
      <c r="A733" s="25"/>
      <c r="B733" s="26"/>
      <c r="C733" s="26"/>
      <c r="D733" s="26"/>
      <c r="E733" s="27"/>
      <c r="F733" s="27"/>
      <c r="G733" s="27"/>
      <c r="H733" s="27"/>
      <c r="I733" s="27"/>
      <c r="J733" s="27"/>
      <c r="K733" s="27"/>
      <c r="L733" s="27"/>
      <c r="M733" s="27"/>
    </row>
    <row r="734" s="6" collapsed="false" customFormat="true" customHeight="true" hidden="false" ht="25.5" outlineLevel="0">
      <c r="A734" s="25"/>
      <c r="B734" s="26"/>
      <c r="C734" s="26"/>
      <c r="D734" s="26"/>
      <c r="E734" s="27"/>
      <c r="F734" s="27"/>
      <c r="G734" s="27"/>
      <c r="H734" s="27"/>
      <c r="I734" s="27"/>
      <c r="J734" s="27"/>
      <c r="K734" s="27"/>
      <c r="L734" s="27"/>
      <c r="M734" s="27"/>
    </row>
    <row r="735" s="6" collapsed="false" customFormat="true" customHeight="true" hidden="false" ht="25.5" outlineLevel="0">
      <c r="A735" s="25"/>
      <c r="B735" s="26"/>
      <c r="C735" s="26"/>
      <c r="D735" s="26"/>
      <c r="E735" s="27"/>
      <c r="F735" s="27"/>
      <c r="G735" s="27"/>
      <c r="H735" s="27"/>
      <c r="I735" s="27"/>
      <c r="J735" s="27"/>
      <c r="K735" s="27"/>
      <c r="L735" s="27"/>
      <c r="M735" s="27"/>
    </row>
    <row r="736" s="6" collapsed="false" customFormat="true" customHeight="true" hidden="false" ht="25.5" outlineLevel="0">
      <c r="A736" s="25"/>
      <c r="B736" s="26"/>
      <c r="C736" s="26"/>
      <c r="D736" s="26"/>
      <c r="E736" s="27"/>
      <c r="F736" s="27"/>
      <c r="G736" s="27"/>
      <c r="H736" s="27"/>
      <c r="I736" s="27"/>
      <c r="J736" s="27"/>
      <c r="K736" s="27"/>
      <c r="L736" s="27"/>
      <c r="M736" s="27"/>
    </row>
    <row r="737" s="6" collapsed="false" customFormat="true" customHeight="true" hidden="false" ht="25.5" outlineLevel="0">
      <c r="A737" s="25"/>
      <c r="B737" s="26"/>
      <c r="C737" s="26"/>
      <c r="D737" s="26"/>
      <c r="E737" s="27"/>
      <c r="F737" s="27"/>
      <c r="G737" s="27"/>
      <c r="H737" s="27"/>
      <c r="I737" s="27"/>
      <c r="J737" s="27"/>
      <c r="K737" s="27"/>
      <c r="L737" s="27"/>
      <c r="M737" s="27"/>
    </row>
    <row r="738" s="6" collapsed="false" customFormat="true" customHeight="true" hidden="false" ht="25.5" outlineLevel="0">
      <c r="A738" s="25"/>
      <c r="B738" s="26"/>
      <c r="C738" s="26"/>
      <c r="D738" s="26"/>
      <c r="E738" s="27"/>
      <c r="F738" s="27"/>
      <c r="G738" s="27"/>
      <c r="H738" s="27"/>
      <c r="I738" s="27"/>
      <c r="J738" s="27"/>
      <c r="K738" s="27"/>
      <c r="L738" s="27"/>
      <c r="M738" s="27"/>
    </row>
    <row r="739" s="6" collapsed="false" customFormat="true" customHeight="true" hidden="false" ht="25.5" outlineLevel="0">
      <c r="A739" s="25"/>
      <c r="B739" s="26"/>
      <c r="C739" s="26"/>
      <c r="D739" s="26"/>
      <c r="E739" s="27"/>
      <c r="F739" s="27"/>
      <c r="G739" s="27"/>
      <c r="H739" s="27"/>
      <c r="I739" s="27"/>
      <c r="J739" s="27"/>
      <c r="K739" s="27"/>
      <c r="L739" s="27"/>
      <c r="M739" s="27"/>
    </row>
    <row r="740" s="6" collapsed="false" customFormat="true" customHeight="true" hidden="false" ht="25.5" outlineLevel="0">
      <c r="A740" s="25"/>
      <c r="B740" s="26"/>
      <c r="C740" s="26"/>
      <c r="D740" s="26"/>
      <c r="E740" s="27"/>
      <c r="F740" s="27"/>
      <c r="G740" s="27"/>
      <c r="H740" s="27"/>
      <c r="I740" s="27"/>
      <c r="J740" s="27"/>
      <c r="K740" s="27"/>
      <c r="L740" s="27"/>
      <c r="M740" s="27"/>
    </row>
    <row r="741" s="6" collapsed="false" customFormat="true" customHeight="true" hidden="false" ht="25.5" outlineLevel="0">
      <c r="A741" s="25"/>
      <c r="B741" s="26"/>
      <c r="C741" s="26"/>
      <c r="D741" s="26"/>
      <c r="E741" s="27"/>
      <c r="F741" s="27"/>
      <c r="G741" s="27"/>
      <c r="H741" s="27"/>
      <c r="I741" s="27"/>
      <c r="J741" s="27"/>
      <c r="K741" s="27"/>
      <c r="L741" s="27"/>
      <c r="M741" s="27"/>
    </row>
    <row r="742" s="6" collapsed="false" customFormat="true" customHeight="true" hidden="false" ht="25.5" outlineLevel="0">
      <c r="A742" s="25"/>
      <c r="B742" s="26"/>
      <c r="C742" s="26"/>
      <c r="D742" s="26"/>
      <c r="E742" s="27"/>
      <c r="F742" s="27"/>
      <c r="G742" s="27"/>
      <c r="H742" s="27"/>
      <c r="I742" s="27"/>
      <c r="J742" s="27"/>
      <c r="K742" s="27"/>
      <c r="L742" s="27"/>
      <c r="M742" s="27"/>
    </row>
    <row r="743" s="6" collapsed="false" customFormat="true" customHeight="true" hidden="false" ht="25.5" outlineLevel="0">
      <c r="A743" s="25"/>
      <c r="B743" s="26"/>
      <c r="C743" s="26"/>
      <c r="D743" s="26"/>
      <c r="E743" s="27"/>
      <c r="F743" s="27"/>
      <c r="G743" s="27"/>
      <c r="H743" s="27"/>
      <c r="I743" s="27"/>
      <c r="J743" s="27"/>
      <c r="K743" s="27"/>
      <c r="L743" s="27"/>
      <c r="M743" s="27"/>
    </row>
    <row r="744" s="6" collapsed="false" customFormat="true" customHeight="true" hidden="false" ht="25.5" outlineLevel="0">
      <c r="A744" s="25"/>
      <c r="B744" s="26"/>
      <c r="C744" s="26"/>
      <c r="D744" s="26"/>
      <c r="E744" s="27"/>
      <c r="F744" s="27"/>
      <c r="G744" s="27"/>
      <c r="H744" s="27"/>
      <c r="I744" s="27"/>
      <c r="J744" s="27"/>
      <c r="K744" s="27"/>
      <c r="L744" s="27"/>
      <c r="M744" s="27"/>
    </row>
    <row r="745" s="6" collapsed="false" customFormat="true" customHeight="true" hidden="false" ht="25.5" outlineLevel="0">
      <c r="A745" s="25"/>
      <c r="B745" s="26"/>
      <c r="C745" s="26"/>
      <c r="D745" s="26"/>
      <c r="E745" s="27"/>
      <c r="F745" s="27"/>
      <c r="G745" s="27"/>
      <c r="H745" s="27"/>
      <c r="I745" s="27"/>
      <c r="J745" s="27"/>
      <c r="K745" s="27"/>
      <c r="L745" s="27"/>
      <c r="M745" s="27"/>
    </row>
    <row r="746" s="6" collapsed="false" customFormat="true" customHeight="true" hidden="false" ht="25.5" outlineLevel="0">
      <c r="A746" s="25"/>
      <c r="B746" s="26"/>
      <c r="C746" s="26"/>
      <c r="D746" s="26"/>
      <c r="E746" s="27"/>
      <c r="F746" s="27"/>
      <c r="G746" s="27"/>
      <c r="H746" s="27"/>
      <c r="I746" s="27"/>
      <c r="J746" s="27"/>
      <c r="K746" s="27"/>
      <c r="L746" s="27"/>
      <c r="M746" s="27"/>
    </row>
    <row r="747" s="6" collapsed="false" customFormat="true" customHeight="true" hidden="false" ht="25.5" outlineLevel="0">
      <c r="A747" s="25"/>
      <c r="B747" s="26"/>
      <c r="C747" s="26"/>
      <c r="D747" s="26"/>
      <c r="E747" s="27"/>
      <c r="F747" s="27"/>
      <c r="G747" s="27"/>
      <c r="H747" s="27"/>
      <c r="I747" s="27"/>
      <c r="J747" s="27"/>
      <c r="K747" s="27"/>
      <c r="L747" s="27"/>
      <c r="M747" s="27"/>
    </row>
    <row r="748" s="6" collapsed="false" customFormat="true" customHeight="true" hidden="false" ht="25.5" outlineLevel="0">
      <c r="A748" s="25"/>
      <c r="B748" s="26"/>
      <c r="C748" s="26"/>
      <c r="D748" s="26"/>
      <c r="E748" s="27"/>
      <c r="F748" s="27"/>
      <c r="G748" s="27"/>
      <c r="H748" s="27"/>
      <c r="I748" s="27"/>
      <c r="J748" s="27"/>
      <c r="K748" s="27"/>
      <c r="L748" s="27"/>
      <c r="M748" s="27"/>
    </row>
    <row r="749" s="6" collapsed="false" customFormat="true" customHeight="true" hidden="false" ht="25.5" outlineLevel="0">
      <c r="A749" s="25"/>
      <c r="B749" s="26"/>
      <c r="C749" s="26"/>
      <c r="D749" s="26"/>
      <c r="E749" s="27"/>
      <c r="F749" s="27"/>
      <c r="G749" s="27"/>
      <c r="H749" s="27"/>
      <c r="I749" s="27"/>
      <c r="J749" s="27"/>
      <c r="K749" s="27"/>
      <c r="L749" s="27"/>
      <c r="M749" s="27"/>
    </row>
    <row r="750" s="6" collapsed="false" customFormat="true" customHeight="true" hidden="false" ht="25.5" outlineLevel="0">
      <c r="A750" s="25"/>
      <c r="B750" s="26"/>
      <c r="C750" s="26"/>
      <c r="D750" s="26"/>
      <c r="E750" s="27"/>
      <c r="F750" s="27"/>
      <c r="G750" s="27"/>
      <c r="H750" s="27"/>
      <c r="I750" s="27"/>
      <c r="J750" s="27"/>
      <c r="K750" s="27"/>
      <c r="L750" s="27"/>
      <c r="M750" s="27"/>
    </row>
    <row r="751" s="6" collapsed="false" customFormat="true" customHeight="true" hidden="false" ht="25.5" outlineLevel="0">
      <c r="A751" s="25"/>
      <c r="B751" s="26"/>
      <c r="C751" s="26"/>
      <c r="D751" s="26"/>
      <c r="E751" s="27"/>
      <c r="F751" s="27"/>
      <c r="G751" s="27"/>
      <c r="H751" s="27"/>
      <c r="I751" s="27"/>
      <c r="J751" s="27"/>
      <c r="K751" s="27"/>
      <c r="L751" s="27"/>
      <c r="M751" s="27"/>
    </row>
    <row r="752" s="6" collapsed="false" customFormat="true" customHeight="true" hidden="false" ht="25.5" outlineLevel="0">
      <c r="A752" s="25"/>
      <c r="B752" s="26"/>
      <c r="C752" s="26"/>
      <c r="D752" s="26"/>
      <c r="E752" s="27"/>
      <c r="F752" s="27"/>
      <c r="G752" s="27"/>
      <c r="H752" s="27"/>
      <c r="I752" s="27"/>
      <c r="J752" s="27"/>
      <c r="K752" s="27"/>
      <c r="L752" s="27"/>
      <c r="M752" s="27"/>
    </row>
    <row r="753" s="6" collapsed="false" customFormat="true" customHeight="true" hidden="false" ht="25.5" outlineLevel="0">
      <c r="A753" s="25"/>
      <c r="B753" s="26"/>
      <c r="C753" s="26"/>
      <c r="D753" s="26"/>
      <c r="E753" s="27"/>
      <c r="F753" s="27"/>
      <c r="G753" s="27"/>
      <c r="H753" s="27"/>
      <c r="I753" s="27"/>
      <c r="J753" s="27"/>
      <c r="K753" s="27"/>
      <c r="L753" s="27"/>
      <c r="M753" s="27"/>
    </row>
    <row r="754" s="6" collapsed="false" customFormat="true" customHeight="true" hidden="false" ht="25.5" outlineLevel="0">
      <c r="A754" s="25"/>
      <c r="B754" s="26"/>
      <c r="C754" s="26"/>
      <c r="D754" s="26"/>
      <c r="E754" s="27"/>
      <c r="F754" s="27"/>
      <c r="G754" s="27"/>
      <c r="H754" s="27"/>
      <c r="I754" s="27"/>
      <c r="J754" s="27"/>
      <c r="K754" s="27"/>
      <c r="L754" s="27"/>
      <c r="M754" s="27"/>
    </row>
    <row r="755" s="6" collapsed="false" customFormat="true" customHeight="true" hidden="false" ht="25.5" outlineLevel="0">
      <c r="A755" s="25"/>
      <c r="B755" s="26"/>
      <c r="C755" s="26"/>
      <c r="D755" s="26"/>
      <c r="E755" s="27"/>
      <c r="F755" s="27"/>
      <c r="G755" s="27"/>
      <c r="H755" s="27"/>
      <c r="I755" s="27"/>
      <c r="J755" s="27"/>
      <c r="K755" s="27"/>
      <c r="L755" s="27"/>
      <c r="M755" s="27"/>
    </row>
    <row r="756" s="6" collapsed="false" customFormat="true" customHeight="true" hidden="false" ht="25.5" outlineLevel="0">
      <c r="A756" s="25"/>
      <c r="B756" s="26"/>
      <c r="C756" s="26"/>
      <c r="D756" s="26"/>
      <c r="E756" s="27"/>
      <c r="F756" s="27"/>
      <c r="G756" s="27"/>
      <c r="H756" s="27"/>
      <c r="I756" s="27"/>
      <c r="J756" s="27"/>
      <c r="K756" s="27"/>
      <c r="L756" s="27"/>
      <c r="M756" s="27"/>
    </row>
    <row r="757" s="6" collapsed="false" customFormat="true" customHeight="true" hidden="false" ht="25.5" outlineLevel="0">
      <c r="A757" s="25"/>
      <c r="B757" s="26"/>
      <c r="C757" s="26"/>
      <c r="D757" s="26"/>
      <c r="E757" s="27"/>
      <c r="F757" s="27"/>
      <c r="G757" s="27"/>
      <c r="H757" s="27"/>
      <c r="I757" s="27"/>
      <c r="J757" s="27"/>
      <c r="K757" s="27"/>
      <c r="L757" s="27"/>
      <c r="M757" s="27"/>
    </row>
    <row r="758" s="6" collapsed="false" customFormat="true" customHeight="true" hidden="false" ht="25.5" outlineLevel="0">
      <c r="A758" s="25"/>
      <c r="B758" s="26"/>
      <c r="C758" s="26"/>
      <c r="D758" s="26"/>
      <c r="E758" s="27"/>
      <c r="F758" s="27"/>
      <c r="G758" s="27"/>
      <c r="H758" s="27"/>
      <c r="I758" s="27"/>
      <c r="J758" s="27"/>
      <c r="K758" s="27"/>
      <c r="L758" s="27"/>
      <c r="M758" s="27"/>
    </row>
    <row r="759" s="6" collapsed="false" customFormat="true" customHeight="true" hidden="false" ht="25.5" outlineLevel="0">
      <c r="A759" s="25"/>
      <c r="B759" s="26"/>
      <c r="C759" s="26"/>
      <c r="D759" s="26"/>
      <c r="E759" s="27"/>
      <c r="F759" s="27"/>
      <c r="G759" s="27"/>
      <c r="H759" s="27"/>
      <c r="I759" s="27"/>
      <c r="J759" s="27"/>
      <c r="K759" s="27"/>
      <c r="L759" s="27"/>
      <c r="M759" s="27"/>
    </row>
    <row r="760" s="6" collapsed="false" customFormat="true" customHeight="true" hidden="false" ht="25.5" outlineLevel="0">
      <c r="A760" s="25"/>
      <c r="B760" s="26"/>
      <c r="C760" s="26"/>
      <c r="D760" s="26"/>
      <c r="E760" s="27"/>
      <c r="F760" s="27"/>
      <c r="G760" s="27"/>
      <c r="H760" s="27"/>
      <c r="I760" s="27"/>
      <c r="J760" s="27"/>
      <c r="K760" s="27"/>
      <c r="L760" s="27"/>
      <c r="M760" s="27"/>
    </row>
    <row r="761" s="6" collapsed="false" customFormat="true" customHeight="true" hidden="false" ht="25.5" outlineLevel="0">
      <c r="A761" s="25"/>
      <c r="B761" s="26"/>
      <c r="C761" s="26"/>
      <c r="D761" s="26"/>
      <c r="E761" s="27"/>
      <c r="F761" s="27"/>
      <c r="G761" s="27"/>
      <c r="H761" s="27"/>
      <c r="I761" s="27"/>
      <c r="J761" s="27"/>
      <c r="K761" s="27"/>
      <c r="L761" s="27"/>
      <c r="M761" s="27"/>
    </row>
    <row r="762" s="6" collapsed="false" customFormat="true" customHeight="true" hidden="false" ht="25.5" outlineLevel="0">
      <c r="A762" s="25"/>
      <c r="B762" s="26"/>
      <c r="C762" s="26"/>
      <c r="D762" s="26"/>
      <c r="E762" s="27"/>
      <c r="F762" s="27"/>
      <c r="G762" s="27"/>
      <c r="H762" s="27"/>
      <c r="I762" s="27"/>
      <c r="J762" s="27"/>
      <c r="K762" s="27"/>
      <c r="L762" s="27"/>
      <c r="M762" s="27"/>
    </row>
    <row r="763" s="6" collapsed="false" customFormat="true" customHeight="true" hidden="false" ht="25.5" outlineLevel="0">
      <c r="A763" s="25"/>
      <c r="B763" s="26"/>
      <c r="C763" s="26"/>
      <c r="D763" s="26"/>
      <c r="E763" s="27"/>
      <c r="F763" s="27"/>
      <c r="G763" s="27"/>
      <c r="H763" s="27"/>
      <c r="I763" s="27"/>
      <c r="J763" s="27"/>
      <c r="K763" s="27"/>
      <c r="L763" s="27"/>
      <c r="M763" s="27"/>
    </row>
    <row r="764" s="6" collapsed="false" customFormat="true" customHeight="true" hidden="false" ht="25.5" outlineLevel="0">
      <c r="A764" s="25"/>
      <c r="B764" s="26"/>
      <c r="C764" s="26"/>
      <c r="D764" s="26"/>
      <c r="E764" s="27"/>
      <c r="F764" s="27"/>
      <c r="G764" s="27"/>
      <c r="H764" s="27"/>
      <c r="I764" s="27"/>
      <c r="J764" s="27"/>
      <c r="K764" s="27"/>
      <c r="L764" s="27"/>
      <c r="M764" s="27"/>
    </row>
    <row r="765" s="6" collapsed="false" customFormat="true" customHeight="true" hidden="false" ht="25.5" outlineLevel="0">
      <c r="A765" s="25"/>
      <c r="B765" s="26"/>
      <c r="C765" s="26"/>
      <c r="D765" s="26"/>
      <c r="E765" s="27"/>
      <c r="F765" s="27"/>
      <c r="G765" s="27"/>
      <c r="H765" s="27"/>
      <c r="I765" s="27"/>
      <c r="J765" s="27"/>
      <c r="K765" s="27"/>
      <c r="L765" s="27"/>
      <c r="M765" s="27"/>
    </row>
    <row r="766" s="6" collapsed="false" customFormat="true" customHeight="true" hidden="false" ht="25.5" outlineLevel="0">
      <c r="A766" s="25"/>
      <c r="B766" s="26"/>
      <c r="C766" s="26"/>
      <c r="D766" s="26"/>
      <c r="E766" s="27"/>
      <c r="F766" s="27"/>
      <c r="G766" s="27"/>
      <c r="H766" s="27"/>
      <c r="I766" s="27"/>
      <c r="J766" s="27"/>
      <c r="K766" s="27"/>
      <c r="L766" s="27"/>
      <c r="M766" s="27"/>
    </row>
    <row r="767" s="6" collapsed="false" customFormat="true" customHeight="true" hidden="false" ht="25.5" outlineLevel="0">
      <c r="A767" s="25"/>
      <c r="B767" s="26"/>
      <c r="C767" s="26"/>
      <c r="D767" s="26"/>
      <c r="E767" s="27"/>
      <c r="F767" s="27"/>
      <c r="G767" s="27"/>
      <c r="H767" s="27"/>
      <c r="I767" s="27"/>
      <c r="J767" s="27"/>
      <c r="K767" s="27"/>
      <c r="L767" s="27"/>
      <c r="M767" s="27"/>
    </row>
    <row r="768" s="6" collapsed="false" customFormat="true" customHeight="true" hidden="false" ht="25.5" outlineLevel="0">
      <c r="A768" s="25"/>
      <c r="B768" s="26"/>
      <c r="C768" s="26"/>
      <c r="D768" s="26"/>
      <c r="E768" s="27"/>
      <c r="F768" s="27"/>
      <c r="G768" s="27"/>
      <c r="H768" s="27"/>
      <c r="I768" s="27"/>
      <c r="J768" s="27"/>
      <c r="K768" s="27"/>
      <c r="L768" s="27"/>
      <c r="M768" s="27"/>
    </row>
    <row r="769" s="6" collapsed="false" customFormat="true" customHeight="true" hidden="false" ht="25.5" outlineLevel="0">
      <c r="A769" s="25"/>
      <c r="B769" s="26"/>
      <c r="C769" s="26"/>
      <c r="D769" s="26"/>
      <c r="E769" s="27"/>
      <c r="F769" s="27"/>
      <c r="G769" s="27"/>
      <c r="H769" s="27"/>
      <c r="I769" s="27"/>
      <c r="J769" s="27"/>
      <c r="K769" s="27"/>
      <c r="L769" s="27"/>
      <c r="M769" s="27"/>
    </row>
    <row r="770" s="6" collapsed="false" customFormat="true" customHeight="true" hidden="false" ht="25.5" outlineLevel="0">
      <c r="A770" s="25"/>
      <c r="B770" s="26"/>
      <c r="C770" s="26"/>
      <c r="D770" s="26"/>
      <c r="E770" s="27"/>
      <c r="F770" s="27"/>
      <c r="G770" s="27"/>
      <c r="H770" s="27"/>
      <c r="I770" s="27"/>
      <c r="J770" s="27"/>
      <c r="K770" s="27"/>
      <c r="L770" s="27"/>
      <c r="M770" s="27"/>
    </row>
    <row r="771" s="6" collapsed="false" customFormat="true" customHeight="true" hidden="false" ht="25.5" outlineLevel="0">
      <c r="A771" s="25"/>
      <c r="B771" s="26"/>
      <c r="C771" s="26"/>
      <c r="D771" s="26"/>
      <c r="E771" s="27"/>
      <c r="F771" s="27"/>
      <c r="G771" s="27"/>
      <c r="H771" s="27"/>
      <c r="I771" s="27"/>
      <c r="J771" s="27"/>
      <c r="K771" s="27"/>
      <c r="L771" s="27"/>
      <c r="M771" s="27"/>
    </row>
    <row r="772" s="6" collapsed="false" customFormat="true" customHeight="true" hidden="false" ht="25.5" outlineLevel="0">
      <c r="A772" s="25"/>
      <c r="B772" s="26"/>
      <c r="C772" s="26"/>
      <c r="D772" s="26"/>
      <c r="E772" s="27"/>
      <c r="F772" s="27"/>
      <c r="G772" s="27"/>
      <c r="H772" s="27"/>
      <c r="I772" s="27"/>
      <c r="J772" s="27"/>
      <c r="K772" s="27"/>
      <c r="L772" s="27"/>
      <c r="M772" s="27"/>
    </row>
    <row r="773" s="6" collapsed="false" customFormat="true" customHeight="true" hidden="false" ht="25.5" outlineLevel="0">
      <c r="A773" s="25"/>
      <c r="B773" s="26"/>
      <c r="C773" s="26"/>
      <c r="D773" s="26"/>
      <c r="E773" s="27"/>
      <c r="F773" s="27"/>
      <c r="G773" s="27"/>
      <c r="H773" s="27"/>
      <c r="I773" s="27"/>
      <c r="J773" s="27"/>
      <c r="K773" s="27"/>
      <c r="L773" s="27"/>
      <c r="M773" s="27"/>
    </row>
    <row r="774" s="6" collapsed="false" customFormat="true" customHeight="true" hidden="false" ht="25.5" outlineLevel="0">
      <c r="A774" s="25"/>
      <c r="B774" s="26"/>
      <c r="C774" s="26"/>
      <c r="D774" s="26"/>
      <c r="E774" s="27"/>
      <c r="F774" s="27"/>
      <c r="G774" s="27"/>
      <c r="H774" s="27"/>
      <c r="I774" s="27"/>
      <c r="J774" s="27"/>
      <c r="K774" s="27"/>
      <c r="L774" s="27"/>
      <c r="M774" s="27"/>
    </row>
    <row r="775" s="6" collapsed="false" customFormat="true" customHeight="true" hidden="false" ht="25.5" outlineLevel="0">
      <c r="A775" s="25"/>
      <c r="B775" s="26"/>
      <c r="C775" s="26"/>
      <c r="D775" s="26"/>
      <c r="E775" s="27"/>
      <c r="F775" s="27"/>
      <c r="G775" s="27"/>
      <c r="H775" s="27"/>
      <c r="I775" s="27"/>
      <c r="J775" s="27"/>
      <c r="K775" s="27"/>
      <c r="L775" s="27"/>
      <c r="M775" s="27"/>
    </row>
    <row r="776" s="6" collapsed="false" customFormat="true" customHeight="true" hidden="false" ht="25.5" outlineLevel="0">
      <c r="A776" s="25"/>
      <c r="B776" s="26"/>
      <c r="C776" s="26"/>
      <c r="D776" s="26"/>
      <c r="E776" s="27"/>
      <c r="F776" s="27"/>
      <c r="G776" s="27"/>
      <c r="H776" s="27"/>
      <c r="I776" s="27"/>
      <c r="J776" s="27"/>
      <c r="K776" s="27"/>
      <c r="L776" s="27"/>
      <c r="M776" s="27"/>
    </row>
    <row r="777" s="6" collapsed="false" customFormat="true" customHeight="true" hidden="false" ht="25.5" outlineLevel="0">
      <c r="A777" s="25"/>
      <c r="B777" s="26"/>
      <c r="C777" s="26"/>
      <c r="D777" s="26"/>
      <c r="E777" s="27"/>
      <c r="F777" s="27"/>
      <c r="G777" s="27"/>
      <c r="H777" s="27"/>
      <c r="I777" s="27"/>
      <c r="J777" s="27"/>
      <c r="K777" s="27"/>
      <c r="L777" s="27"/>
      <c r="M777" s="27"/>
    </row>
    <row r="778" s="6" collapsed="false" customFormat="true" customHeight="true" hidden="false" ht="25.5" outlineLevel="0">
      <c r="A778" s="25"/>
      <c r="B778" s="26"/>
      <c r="C778" s="26"/>
      <c r="D778" s="26"/>
      <c r="E778" s="27"/>
      <c r="F778" s="27"/>
      <c r="G778" s="27"/>
      <c r="H778" s="27"/>
      <c r="I778" s="27"/>
      <c r="J778" s="27"/>
      <c r="K778" s="27"/>
      <c r="L778" s="27"/>
      <c r="M778" s="27"/>
    </row>
    <row r="779" s="6" collapsed="false" customFormat="true" customHeight="true" hidden="false" ht="25.5" outlineLevel="0">
      <c r="A779" s="25"/>
      <c r="B779" s="26"/>
      <c r="C779" s="26"/>
      <c r="D779" s="26"/>
      <c r="E779" s="27"/>
      <c r="F779" s="27"/>
      <c r="G779" s="27"/>
      <c r="H779" s="27"/>
      <c r="I779" s="27"/>
      <c r="J779" s="27"/>
      <c r="K779" s="27"/>
      <c r="L779" s="27"/>
      <c r="M779" s="27"/>
    </row>
    <row r="780" s="6" collapsed="false" customFormat="true" customHeight="true" hidden="false" ht="25.5" outlineLevel="0">
      <c r="A780" s="25"/>
      <c r="B780" s="26"/>
      <c r="C780" s="26"/>
      <c r="D780" s="26"/>
      <c r="E780" s="27"/>
      <c r="F780" s="27"/>
      <c r="G780" s="27"/>
      <c r="H780" s="27"/>
      <c r="I780" s="27"/>
      <c r="J780" s="27"/>
      <c r="K780" s="27"/>
      <c r="L780" s="27"/>
      <c r="M780" s="27"/>
    </row>
    <row r="781" s="6" collapsed="false" customFormat="true" customHeight="true" hidden="false" ht="25.5" outlineLevel="0">
      <c r="A781" s="25"/>
      <c r="B781" s="26"/>
      <c r="C781" s="26"/>
      <c r="D781" s="26"/>
      <c r="E781" s="27"/>
      <c r="F781" s="27"/>
      <c r="G781" s="27"/>
      <c r="H781" s="27"/>
      <c r="I781" s="27"/>
      <c r="J781" s="27"/>
      <c r="K781" s="27"/>
      <c r="L781" s="27"/>
      <c r="M781" s="27"/>
    </row>
    <row r="782" s="6" collapsed="false" customFormat="true" customHeight="true" hidden="false" ht="25.5" outlineLevel="0">
      <c r="A782" s="25"/>
      <c r="B782" s="26"/>
      <c r="C782" s="26"/>
      <c r="D782" s="26"/>
      <c r="E782" s="27"/>
      <c r="F782" s="27"/>
      <c r="G782" s="27"/>
      <c r="H782" s="27"/>
      <c r="I782" s="27"/>
      <c r="J782" s="27"/>
      <c r="K782" s="27"/>
      <c r="L782" s="27"/>
      <c r="M782" s="27"/>
    </row>
    <row r="783" s="6" collapsed="false" customFormat="true" customHeight="true" hidden="false" ht="25.5" outlineLevel="0">
      <c r="A783" s="25"/>
      <c r="B783" s="26"/>
      <c r="C783" s="26"/>
      <c r="D783" s="26"/>
      <c r="E783" s="27"/>
      <c r="F783" s="27"/>
      <c r="G783" s="27"/>
      <c r="H783" s="27"/>
      <c r="I783" s="27"/>
      <c r="J783" s="27"/>
      <c r="K783" s="27"/>
      <c r="L783" s="27"/>
      <c r="M783" s="27"/>
    </row>
    <row r="784" s="6" collapsed="false" customFormat="true" customHeight="true" hidden="false" ht="25.5" outlineLevel="0">
      <c r="A784" s="25"/>
      <c r="B784" s="26"/>
      <c r="C784" s="26"/>
      <c r="D784" s="26"/>
      <c r="E784" s="27"/>
      <c r="F784" s="27"/>
      <c r="G784" s="27"/>
      <c r="H784" s="27"/>
      <c r="I784" s="27"/>
      <c r="J784" s="27"/>
      <c r="K784" s="27"/>
      <c r="L784" s="27"/>
      <c r="M784" s="27"/>
    </row>
    <row r="785" s="6" collapsed="false" customFormat="true" customHeight="true" hidden="false" ht="25.5" outlineLevel="0">
      <c r="A785" s="25"/>
      <c r="B785" s="26"/>
      <c r="C785" s="26"/>
      <c r="D785" s="26"/>
      <c r="E785" s="27"/>
      <c r="F785" s="27"/>
      <c r="G785" s="27"/>
      <c r="H785" s="27"/>
      <c r="I785" s="27"/>
      <c r="J785" s="27"/>
      <c r="K785" s="27"/>
      <c r="L785" s="27"/>
      <c r="M785" s="27"/>
    </row>
    <row r="786" s="6" collapsed="false" customFormat="true" customHeight="true" hidden="false" ht="25.5" outlineLevel="0">
      <c r="A786" s="25"/>
      <c r="B786" s="26"/>
      <c r="C786" s="26"/>
      <c r="D786" s="26"/>
      <c r="E786" s="27"/>
      <c r="F786" s="27"/>
      <c r="G786" s="27"/>
      <c r="H786" s="27"/>
      <c r="I786" s="27"/>
      <c r="J786" s="27"/>
      <c r="K786" s="27"/>
      <c r="L786" s="27"/>
      <c r="M786" s="27"/>
    </row>
    <row r="787" s="6" collapsed="false" customFormat="true" customHeight="true" hidden="false" ht="25.5" outlineLevel="0">
      <c r="A787" s="25"/>
      <c r="B787" s="26"/>
      <c r="C787" s="26"/>
      <c r="D787" s="26"/>
      <c r="E787" s="27"/>
      <c r="F787" s="27"/>
      <c r="G787" s="27"/>
      <c r="H787" s="27"/>
      <c r="I787" s="27"/>
      <c r="J787" s="27"/>
      <c r="K787" s="27"/>
      <c r="L787" s="27"/>
      <c r="M787" s="27"/>
    </row>
    <row r="788" s="6" collapsed="false" customFormat="true" customHeight="true" hidden="false" ht="25.5" outlineLevel="0">
      <c r="A788" s="25"/>
      <c r="B788" s="26"/>
      <c r="C788" s="26"/>
      <c r="D788" s="26"/>
      <c r="E788" s="27"/>
      <c r="F788" s="27"/>
      <c r="G788" s="27"/>
      <c r="H788" s="27"/>
      <c r="I788" s="27"/>
      <c r="J788" s="27"/>
      <c r="K788" s="27"/>
      <c r="L788" s="27"/>
      <c r="M788" s="27"/>
    </row>
    <row r="789" s="6" collapsed="false" customFormat="true" customHeight="true" hidden="false" ht="25.5" outlineLevel="0">
      <c r="A789" s="25"/>
      <c r="B789" s="26"/>
      <c r="C789" s="26"/>
      <c r="D789" s="26"/>
      <c r="E789" s="27"/>
      <c r="F789" s="27"/>
      <c r="G789" s="27"/>
      <c r="H789" s="27"/>
      <c r="I789" s="27"/>
      <c r="J789" s="27"/>
      <c r="K789" s="27"/>
      <c r="L789" s="27"/>
      <c r="M789" s="27"/>
    </row>
    <row r="790" s="6" collapsed="false" customFormat="true" customHeight="true" hidden="false" ht="25.5" outlineLevel="0">
      <c r="A790" s="25"/>
      <c r="B790" s="26"/>
      <c r="C790" s="26"/>
      <c r="D790" s="26"/>
      <c r="E790" s="27"/>
      <c r="F790" s="27"/>
      <c r="G790" s="27"/>
      <c r="H790" s="27"/>
      <c r="I790" s="27"/>
      <c r="J790" s="27"/>
      <c r="K790" s="27"/>
      <c r="L790" s="27"/>
      <c r="M790" s="27"/>
    </row>
    <row r="791" s="6" collapsed="false" customFormat="true" customHeight="true" hidden="false" ht="25.5" outlineLevel="0">
      <c r="A791" s="25"/>
      <c r="B791" s="26"/>
      <c r="C791" s="26"/>
      <c r="D791" s="26"/>
      <c r="E791" s="27"/>
      <c r="F791" s="27"/>
      <c r="G791" s="27"/>
      <c r="H791" s="27"/>
      <c r="I791" s="27"/>
      <c r="J791" s="27"/>
      <c r="K791" s="27"/>
      <c r="L791" s="27"/>
      <c r="M791" s="27"/>
    </row>
    <row r="792" s="6" collapsed="false" customFormat="true" customHeight="true" hidden="false" ht="25.5" outlineLevel="0">
      <c r="A792" s="25"/>
      <c r="B792" s="26"/>
      <c r="C792" s="26"/>
      <c r="D792" s="26"/>
      <c r="E792" s="27"/>
      <c r="F792" s="27"/>
      <c r="G792" s="27"/>
      <c r="H792" s="27"/>
      <c r="I792" s="27"/>
      <c r="J792" s="27"/>
      <c r="K792" s="27"/>
      <c r="L792" s="27"/>
      <c r="M792" s="27"/>
    </row>
    <row r="793" s="6" collapsed="false" customFormat="true" customHeight="true" hidden="false" ht="25.5" outlineLevel="0">
      <c r="A793" s="25"/>
      <c r="B793" s="26"/>
      <c r="C793" s="26"/>
      <c r="D793" s="26"/>
      <c r="E793" s="27"/>
      <c r="F793" s="27"/>
      <c r="G793" s="27"/>
      <c r="H793" s="27"/>
      <c r="I793" s="27"/>
      <c r="J793" s="27"/>
      <c r="K793" s="27"/>
      <c r="L793" s="27"/>
      <c r="M793" s="27"/>
    </row>
    <row r="794" s="6" collapsed="false" customFormat="true" customHeight="true" hidden="false" ht="25.5" outlineLevel="0">
      <c r="A794" s="25"/>
      <c r="B794" s="26"/>
      <c r="C794" s="26"/>
      <c r="D794" s="26"/>
      <c r="E794" s="27"/>
      <c r="F794" s="27"/>
      <c r="G794" s="27"/>
      <c r="H794" s="27"/>
      <c r="I794" s="27"/>
      <c r="J794" s="27"/>
      <c r="K794" s="27"/>
      <c r="L794" s="27"/>
      <c r="M794" s="27"/>
    </row>
    <row r="795" s="6" collapsed="false" customFormat="true" customHeight="true" hidden="false" ht="25.5" outlineLevel="0">
      <c r="A795" s="25"/>
      <c r="B795" s="26"/>
      <c r="C795" s="26"/>
      <c r="D795" s="26"/>
      <c r="E795" s="27"/>
      <c r="F795" s="27"/>
      <c r="G795" s="27"/>
      <c r="H795" s="27"/>
      <c r="I795" s="27"/>
      <c r="J795" s="27"/>
      <c r="K795" s="27"/>
      <c r="L795" s="27"/>
      <c r="M795" s="27"/>
    </row>
    <row r="796" s="6" collapsed="false" customFormat="true" customHeight="true" hidden="false" ht="25.5" outlineLevel="0">
      <c r="A796" s="25"/>
      <c r="B796" s="26"/>
      <c r="C796" s="26"/>
      <c r="D796" s="26"/>
      <c r="E796" s="27"/>
      <c r="F796" s="27"/>
      <c r="G796" s="27"/>
      <c r="H796" s="27"/>
      <c r="I796" s="27"/>
      <c r="J796" s="27"/>
      <c r="K796" s="27"/>
      <c r="L796" s="27"/>
      <c r="M796" s="27"/>
    </row>
    <row r="797" s="6" collapsed="false" customFormat="true" customHeight="true" hidden="false" ht="25.5" outlineLevel="0">
      <c r="A797" s="25"/>
      <c r="B797" s="26"/>
      <c r="C797" s="26"/>
      <c r="D797" s="26"/>
      <c r="E797" s="27"/>
      <c r="F797" s="27"/>
      <c r="G797" s="27"/>
      <c r="H797" s="27"/>
      <c r="I797" s="27"/>
      <c r="J797" s="27"/>
      <c r="K797" s="27"/>
      <c r="L797" s="27"/>
      <c r="M797" s="27"/>
    </row>
    <row r="798" s="6" collapsed="false" customFormat="true" customHeight="true" hidden="false" ht="25.5" outlineLevel="0">
      <c r="A798" s="25"/>
      <c r="B798" s="26"/>
      <c r="C798" s="26"/>
      <c r="D798" s="26"/>
      <c r="E798" s="27"/>
      <c r="F798" s="27"/>
      <c r="G798" s="27"/>
      <c r="H798" s="27"/>
      <c r="I798" s="27"/>
      <c r="J798" s="27"/>
      <c r="K798" s="27"/>
      <c r="L798" s="27"/>
      <c r="M798" s="27"/>
    </row>
    <row r="799" s="6" collapsed="false" customFormat="true" customHeight="true" hidden="false" ht="25.5" outlineLevel="0">
      <c r="A799" s="25"/>
      <c r="B799" s="26"/>
      <c r="C799" s="26"/>
      <c r="D799" s="26"/>
      <c r="E799" s="27"/>
      <c r="F799" s="27"/>
      <c r="G799" s="27"/>
      <c r="H799" s="27"/>
      <c r="I799" s="27"/>
      <c r="J799" s="27"/>
      <c r="K799" s="27"/>
      <c r="L799" s="27"/>
      <c r="M799" s="27"/>
    </row>
    <row r="800" s="6" collapsed="false" customFormat="true" customHeight="true" hidden="false" ht="25.5" outlineLevel="0">
      <c r="A800" s="25"/>
      <c r="B800" s="26"/>
      <c r="C800" s="26"/>
      <c r="D800" s="26"/>
      <c r="E800" s="27"/>
      <c r="F800" s="27"/>
      <c r="G800" s="27"/>
      <c r="H800" s="27"/>
      <c r="I800" s="27"/>
      <c r="J800" s="27"/>
      <c r="K800" s="27"/>
      <c r="L800" s="27"/>
      <c r="M800" s="27"/>
    </row>
    <row r="801" s="6" collapsed="false" customFormat="true" customHeight="true" hidden="false" ht="25.5" outlineLevel="0">
      <c r="A801" s="25"/>
      <c r="B801" s="26"/>
      <c r="C801" s="26"/>
      <c r="D801" s="26"/>
      <c r="E801" s="27"/>
      <c r="F801" s="27"/>
      <c r="G801" s="27"/>
      <c r="H801" s="27"/>
      <c r="I801" s="27"/>
      <c r="J801" s="27"/>
      <c r="K801" s="27"/>
      <c r="L801" s="27"/>
      <c r="M801" s="27"/>
    </row>
    <row r="802" s="6" collapsed="false" customFormat="true" customHeight="true" hidden="false" ht="25.5" outlineLevel="0">
      <c r="A802" s="25"/>
      <c r="B802" s="26"/>
      <c r="C802" s="26"/>
      <c r="D802" s="26"/>
      <c r="E802" s="27"/>
      <c r="F802" s="27"/>
      <c r="G802" s="27"/>
      <c r="H802" s="27"/>
      <c r="I802" s="27"/>
      <c r="J802" s="27"/>
      <c r="K802" s="27"/>
      <c r="L802" s="27"/>
      <c r="M802" s="27"/>
    </row>
    <row r="803" s="6" collapsed="false" customFormat="true" customHeight="true" hidden="false" ht="25.5" outlineLevel="0">
      <c r="A803" s="25"/>
      <c r="B803" s="26"/>
      <c r="C803" s="26"/>
      <c r="D803" s="26"/>
      <c r="E803" s="27"/>
      <c r="F803" s="27"/>
      <c r="G803" s="27"/>
      <c r="H803" s="27"/>
      <c r="I803" s="27"/>
      <c r="J803" s="27"/>
      <c r="K803" s="27"/>
      <c r="L803" s="27"/>
      <c r="M803" s="27"/>
    </row>
    <row r="804" s="6" collapsed="false" customFormat="true" customHeight="true" hidden="false" ht="25.5" outlineLevel="0">
      <c r="A804" s="25"/>
      <c r="B804" s="26"/>
      <c r="C804" s="26"/>
      <c r="D804" s="26"/>
      <c r="E804" s="27"/>
      <c r="F804" s="27"/>
      <c r="G804" s="27"/>
      <c r="H804" s="27"/>
      <c r="I804" s="27"/>
      <c r="J804" s="27"/>
      <c r="K804" s="27"/>
      <c r="L804" s="27"/>
      <c r="M804" s="27"/>
    </row>
    <row r="805" s="6" collapsed="false" customFormat="true" customHeight="true" hidden="false" ht="25.5" outlineLevel="0">
      <c r="A805" s="25"/>
      <c r="B805" s="26"/>
      <c r="C805" s="26"/>
      <c r="D805" s="26"/>
      <c r="E805" s="27"/>
      <c r="F805" s="27"/>
      <c r="G805" s="27"/>
      <c r="H805" s="27"/>
      <c r="I805" s="27"/>
      <c r="J805" s="27"/>
      <c r="K805" s="27"/>
      <c r="L805" s="27"/>
      <c r="M805" s="27"/>
    </row>
    <row r="806" s="6" collapsed="false" customFormat="true" customHeight="true" hidden="false" ht="25.5" outlineLevel="0">
      <c r="A806" s="25"/>
      <c r="B806" s="26"/>
      <c r="C806" s="26"/>
      <c r="D806" s="26"/>
      <c r="E806" s="27"/>
      <c r="F806" s="27"/>
      <c r="G806" s="27"/>
      <c r="H806" s="27"/>
      <c r="I806" s="27"/>
      <c r="J806" s="27"/>
      <c r="K806" s="27"/>
      <c r="L806" s="27"/>
      <c r="M806" s="27"/>
    </row>
    <row r="807" s="6" collapsed="false" customFormat="true" customHeight="true" hidden="false" ht="25.5" outlineLevel="0">
      <c r="A807" s="25"/>
      <c r="B807" s="26"/>
      <c r="C807" s="26"/>
      <c r="D807" s="26"/>
      <c r="E807" s="27"/>
      <c r="F807" s="27"/>
      <c r="G807" s="27"/>
      <c r="H807" s="27"/>
      <c r="I807" s="27"/>
      <c r="J807" s="27"/>
      <c r="K807" s="27"/>
      <c r="L807" s="27"/>
      <c r="M807" s="27"/>
    </row>
    <row r="808" s="6" collapsed="false" customFormat="true" customHeight="true" hidden="false" ht="25.5" outlineLevel="0">
      <c r="A808" s="25"/>
      <c r="B808" s="26"/>
      <c r="C808" s="26"/>
      <c r="D808" s="26"/>
      <c r="E808" s="27"/>
      <c r="F808" s="27"/>
      <c r="G808" s="27"/>
      <c r="H808" s="27"/>
      <c r="I808" s="27"/>
      <c r="J808" s="27"/>
      <c r="K808" s="27"/>
      <c r="L808" s="27"/>
      <c r="M808" s="27"/>
    </row>
    <row r="809" s="6" collapsed="false" customFormat="true" customHeight="true" hidden="false" ht="25.5" outlineLevel="0">
      <c r="A809" s="25"/>
      <c r="B809" s="26"/>
      <c r="C809" s="26"/>
      <c r="D809" s="26"/>
      <c r="E809" s="27"/>
      <c r="F809" s="27"/>
      <c r="G809" s="27"/>
      <c r="H809" s="27"/>
      <c r="I809" s="27"/>
      <c r="J809" s="27"/>
      <c r="K809" s="27"/>
      <c r="L809" s="27"/>
      <c r="M809" s="27"/>
    </row>
    <row r="810" s="6" collapsed="false" customFormat="true" customHeight="true" hidden="false" ht="25.5" outlineLevel="0">
      <c r="A810" s="25"/>
      <c r="B810" s="26"/>
      <c r="C810" s="26"/>
      <c r="D810" s="26"/>
      <c r="E810" s="27"/>
      <c r="F810" s="27"/>
      <c r="G810" s="27"/>
      <c r="H810" s="27"/>
      <c r="I810" s="27"/>
      <c r="J810" s="27"/>
      <c r="K810" s="27"/>
      <c r="L810" s="27"/>
      <c r="M810" s="27"/>
    </row>
    <row r="811" s="6" collapsed="false" customFormat="true" customHeight="true" hidden="false" ht="25.5" outlineLevel="0">
      <c r="A811" s="25"/>
      <c r="B811" s="26"/>
      <c r="C811" s="26"/>
      <c r="D811" s="26"/>
      <c r="E811" s="27"/>
      <c r="F811" s="27"/>
      <c r="G811" s="27"/>
      <c r="H811" s="27"/>
      <c r="I811" s="27"/>
      <c r="J811" s="27"/>
      <c r="K811" s="27"/>
      <c r="L811" s="27"/>
      <c r="M811" s="27"/>
    </row>
    <row r="812" s="6" collapsed="false" customFormat="true" customHeight="true" hidden="false" ht="25.5" outlineLevel="0">
      <c r="A812" s="25"/>
      <c r="B812" s="26"/>
      <c r="C812" s="26"/>
      <c r="D812" s="26"/>
      <c r="E812" s="27"/>
      <c r="F812" s="27"/>
      <c r="G812" s="27"/>
      <c r="H812" s="27"/>
      <c r="I812" s="27"/>
      <c r="J812" s="27"/>
      <c r="K812" s="27"/>
      <c r="L812" s="27"/>
      <c r="M812" s="27"/>
    </row>
    <row r="813" s="6" collapsed="false" customFormat="true" customHeight="true" hidden="false" ht="25.5" outlineLevel="0">
      <c r="A813" s="25"/>
      <c r="B813" s="26"/>
      <c r="C813" s="26"/>
      <c r="D813" s="26"/>
      <c r="E813" s="27"/>
      <c r="F813" s="27"/>
      <c r="G813" s="27"/>
      <c r="H813" s="27"/>
      <c r="I813" s="27"/>
      <c r="J813" s="27"/>
      <c r="K813" s="27"/>
      <c r="L813" s="27"/>
      <c r="M813" s="27"/>
    </row>
    <row r="814" s="6" collapsed="false" customFormat="true" customHeight="true" hidden="false" ht="25.5" outlineLevel="0">
      <c r="A814" s="25"/>
      <c r="B814" s="26"/>
      <c r="C814" s="26"/>
      <c r="D814" s="26"/>
      <c r="E814" s="27"/>
      <c r="F814" s="27"/>
      <c r="G814" s="27"/>
      <c r="H814" s="27"/>
      <c r="I814" s="27"/>
      <c r="J814" s="27"/>
      <c r="K814" s="27"/>
      <c r="L814" s="27"/>
      <c r="M814" s="27"/>
    </row>
    <row r="815" s="6" collapsed="false" customFormat="true" customHeight="true" hidden="false" ht="25.5" outlineLevel="0">
      <c r="A815" s="25"/>
      <c r="B815" s="26"/>
      <c r="C815" s="26"/>
      <c r="D815" s="26"/>
      <c r="E815" s="27"/>
      <c r="F815" s="27"/>
      <c r="G815" s="27"/>
      <c r="H815" s="27"/>
      <c r="I815" s="27"/>
      <c r="J815" s="27"/>
      <c r="K815" s="27"/>
      <c r="L815" s="27"/>
      <c r="M815" s="27"/>
    </row>
    <row r="816" s="6" collapsed="false" customFormat="true" customHeight="true" hidden="false" ht="25.5" outlineLevel="0">
      <c r="A816" s="25"/>
      <c r="B816" s="26"/>
      <c r="C816" s="26"/>
      <c r="D816" s="26"/>
      <c r="E816" s="27"/>
      <c r="F816" s="27"/>
      <c r="G816" s="27"/>
      <c r="H816" s="27"/>
      <c r="I816" s="27"/>
      <c r="J816" s="27"/>
      <c r="K816" s="27"/>
      <c r="L816" s="27"/>
      <c r="M816" s="27"/>
    </row>
    <row r="817" s="6" collapsed="false" customFormat="true" customHeight="true" hidden="false" ht="25.5" outlineLevel="0">
      <c r="A817" s="25"/>
      <c r="B817" s="26"/>
      <c r="C817" s="26"/>
      <c r="D817" s="26"/>
      <c r="E817" s="27"/>
      <c r="F817" s="27"/>
      <c r="G817" s="27"/>
      <c r="H817" s="27"/>
      <c r="I817" s="27"/>
      <c r="J817" s="27"/>
      <c r="K817" s="27"/>
      <c r="L817" s="27"/>
      <c r="M817" s="27"/>
    </row>
    <row r="818" s="6" collapsed="false" customFormat="true" customHeight="true" hidden="false" ht="25.5" outlineLevel="0">
      <c r="A818" s="25"/>
      <c r="B818" s="26"/>
      <c r="C818" s="26"/>
      <c r="D818" s="26"/>
      <c r="E818" s="27"/>
      <c r="F818" s="27"/>
      <c r="G818" s="27"/>
      <c r="H818" s="27"/>
      <c r="I818" s="27"/>
      <c r="J818" s="27"/>
      <c r="K818" s="27"/>
      <c r="L818" s="27"/>
      <c r="M818" s="27"/>
    </row>
    <row r="819" s="6" collapsed="false" customFormat="true" customHeight="true" hidden="false" ht="25.5" outlineLevel="0">
      <c r="A819" s="25"/>
      <c r="B819" s="26"/>
      <c r="C819" s="26"/>
      <c r="D819" s="26"/>
      <c r="E819" s="27"/>
      <c r="F819" s="27"/>
      <c r="G819" s="27"/>
      <c r="H819" s="27"/>
      <c r="I819" s="27"/>
      <c r="J819" s="27"/>
      <c r="K819" s="27"/>
      <c r="L819" s="27"/>
      <c r="M819" s="27"/>
    </row>
    <row r="820" s="6" collapsed="false" customFormat="true" customHeight="true" hidden="false" ht="25.5" outlineLevel="0">
      <c r="A820" s="25"/>
      <c r="B820" s="26"/>
      <c r="C820" s="26"/>
      <c r="D820" s="26"/>
      <c r="E820" s="27"/>
      <c r="F820" s="27"/>
      <c r="G820" s="27"/>
      <c r="H820" s="27"/>
      <c r="I820" s="27"/>
      <c r="J820" s="27"/>
      <c r="K820" s="27"/>
      <c r="L820" s="27"/>
      <c r="M820" s="27"/>
    </row>
    <row r="821" s="6" collapsed="false" customFormat="true" customHeight="true" hidden="false" ht="25.5" outlineLevel="0">
      <c r="A821" s="25"/>
      <c r="B821" s="26"/>
      <c r="C821" s="26"/>
      <c r="D821" s="26"/>
      <c r="E821" s="27"/>
      <c r="F821" s="27"/>
      <c r="G821" s="27"/>
      <c r="H821" s="27"/>
      <c r="I821" s="27"/>
      <c r="J821" s="27"/>
      <c r="K821" s="27"/>
      <c r="L821" s="27"/>
      <c r="M821" s="27"/>
    </row>
    <row r="822" s="6" collapsed="false" customFormat="true" customHeight="true" hidden="false" ht="25.5" outlineLevel="0">
      <c r="A822" s="25"/>
      <c r="B822" s="26"/>
      <c r="C822" s="26"/>
      <c r="D822" s="26"/>
      <c r="E822" s="27"/>
      <c r="F822" s="27"/>
      <c r="G822" s="27"/>
      <c r="H822" s="27"/>
      <c r="I822" s="27"/>
      <c r="J822" s="27"/>
      <c r="K822" s="27"/>
      <c r="L822" s="27"/>
      <c r="M822" s="27"/>
    </row>
    <row r="823" s="6" collapsed="false" customFormat="true" customHeight="true" hidden="false" ht="25.5" outlineLevel="0">
      <c r="A823" s="25"/>
      <c r="B823" s="26"/>
      <c r="C823" s="26"/>
      <c r="D823" s="26"/>
      <c r="E823" s="27"/>
      <c r="F823" s="27"/>
      <c r="G823" s="27"/>
      <c r="H823" s="27"/>
      <c r="I823" s="27"/>
      <c r="J823" s="27"/>
      <c r="K823" s="27"/>
      <c r="L823" s="27"/>
      <c r="M823" s="27"/>
    </row>
    <row r="824" s="6" collapsed="false" customFormat="true" customHeight="true" hidden="false" ht="25.5" outlineLevel="0">
      <c r="A824" s="25"/>
      <c r="B824" s="26"/>
      <c r="C824" s="26"/>
      <c r="D824" s="26"/>
      <c r="E824" s="27"/>
      <c r="F824" s="27"/>
      <c r="G824" s="27"/>
      <c r="H824" s="27"/>
      <c r="I824" s="27"/>
      <c r="J824" s="27"/>
      <c r="K824" s="27"/>
      <c r="L824" s="27"/>
      <c r="M824" s="27"/>
    </row>
    <row r="825" s="6" collapsed="false" customFormat="true" customHeight="true" hidden="false" ht="25.5" outlineLevel="0">
      <c r="A825" s="25"/>
      <c r="B825" s="26"/>
      <c r="C825" s="26"/>
      <c r="D825" s="26"/>
      <c r="E825" s="27"/>
      <c r="F825" s="27"/>
      <c r="G825" s="27"/>
      <c r="H825" s="27"/>
      <c r="I825" s="27"/>
      <c r="J825" s="27"/>
      <c r="K825" s="27"/>
      <c r="L825" s="27"/>
      <c r="M825" s="27"/>
    </row>
    <row r="826" s="6" collapsed="false" customFormat="true" customHeight="true" hidden="false" ht="25.5" outlineLevel="0">
      <c r="A826" s="25"/>
      <c r="B826" s="26"/>
      <c r="C826" s="26"/>
      <c r="D826" s="26"/>
      <c r="E826" s="27"/>
      <c r="F826" s="27"/>
      <c r="G826" s="27"/>
      <c r="H826" s="27"/>
      <c r="I826" s="27"/>
      <c r="J826" s="27"/>
      <c r="K826" s="27"/>
      <c r="L826" s="27"/>
      <c r="M826" s="27"/>
    </row>
    <row r="827" s="6" collapsed="false" customFormat="true" customHeight="true" hidden="false" ht="25.5" outlineLevel="0">
      <c r="A827" s="25"/>
      <c r="B827" s="26"/>
      <c r="C827" s="26"/>
      <c r="D827" s="26"/>
      <c r="E827" s="27"/>
      <c r="F827" s="27"/>
      <c r="G827" s="27"/>
      <c r="H827" s="27"/>
      <c r="I827" s="27"/>
      <c r="J827" s="27"/>
      <c r="K827" s="27"/>
      <c r="L827" s="27"/>
      <c r="M827" s="27"/>
    </row>
    <row r="828" s="6" collapsed="false" customFormat="true" customHeight="true" hidden="false" ht="25.5" outlineLevel="0">
      <c r="A828" s="25"/>
      <c r="B828" s="26"/>
      <c r="C828" s="26"/>
      <c r="D828" s="26"/>
      <c r="E828" s="27"/>
      <c r="F828" s="27"/>
      <c r="G828" s="27"/>
      <c r="H828" s="27"/>
      <c r="I828" s="27"/>
      <c r="J828" s="27"/>
      <c r="K828" s="27"/>
      <c r="L828" s="27"/>
      <c r="M828" s="27"/>
    </row>
    <row r="829" s="6" collapsed="false" customFormat="true" customHeight="true" hidden="false" ht="25.5" outlineLevel="0">
      <c r="A829" s="25"/>
      <c r="B829" s="26"/>
      <c r="C829" s="26"/>
      <c r="D829" s="26"/>
      <c r="E829" s="27"/>
      <c r="F829" s="27"/>
      <c r="G829" s="27"/>
      <c r="H829" s="27"/>
      <c r="I829" s="27"/>
      <c r="J829" s="27"/>
      <c r="K829" s="27"/>
      <c r="L829" s="27"/>
      <c r="M829" s="27"/>
    </row>
    <row r="830" s="6" collapsed="false" customFormat="true" customHeight="true" hidden="false" ht="25.5" outlineLevel="0">
      <c r="A830" s="25"/>
      <c r="B830" s="26"/>
      <c r="C830" s="26"/>
      <c r="D830" s="26"/>
      <c r="E830" s="27"/>
      <c r="F830" s="27"/>
      <c r="G830" s="27"/>
      <c r="H830" s="27"/>
      <c r="I830" s="27"/>
      <c r="J830" s="27"/>
      <c r="K830" s="27"/>
      <c r="L830" s="27"/>
      <c r="M830" s="27"/>
    </row>
    <row r="831" s="6" collapsed="false" customFormat="true" customHeight="true" hidden="false" ht="25.5" outlineLevel="0">
      <c r="A831" s="25"/>
      <c r="B831" s="26"/>
      <c r="C831" s="26"/>
      <c r="D831" s="26"/>
      <c r="E831" s="27"/>
      <c r="F831" s="27"/>
      <c r="G831" s="27"/>
      <c r="H831" s="27"/>
      <c r="I831" s="27"/>
      <c r="J831" s="27"/>
      <c r="K831" s="27"/>
      <c r="L831" s="27"/>
      <c r="M831" s="27"/>
    </row>
    <row r="832" s="6" collapsed="false" customFormat="true" customHeight="true" hidden="false" ht="25.5" outlineLevel="0">
      <c r="A832" s="25"/>
      <c r="B832" s="26"/>
      <c r="C832" s="26"/>
      <c r="D832" s="26"/>
      <c r="E832" s="27"/>
      <c r="F832" s="27"/>
      <c r="G832" s="27"/>
      <c r="H832" s="27"/>
      <c r="I832" s="27"/>
      <c r="J832" s="27"/>
      <c r="K832" s="27"/>
      <c r="L832" s="27"/>
      <c r="M832" s="27"/>
    </row>
    <row r="833" s="6" collapsed="false" customFormat="true" customHeight="true" hidden="false" ht="25.5" outlineLevel="0">
      <c r="A833" s="25"/>
      <c r="B833" s="26"/>
      <c r="C833" s="26"/>
      <c r="D833" s="26"/>
      <c r="E833" s="27"/>
      <c r="F833" s="27"/>
      <c r="G833" s="27"/>
      <c r="H833" s="27"/>
      <c r="I833" s="27"/>
      <c r="J833" s="27"/>
      <c r="K833" s="27"/>
      <c r="L833" s="27"/>
      <c r="M833" s="27"/>
    </row>
    <row r="834" s="6" collapsed="false" customFormat="true" customHeight="true" hidden="false" ht="25.5" outlineLevel="0">
      <c r="A834" s="25"/>
      <c r="B834" s="26"/>
      <c r="C834" s="26"/>
      <c r="D834" s="26"/>
      <c r="E834" s="27"/>
      <c r="F834" s="27"/>
      <c r="G834" s="27"/>
      <c r="H834" s="27"/>
      <c r="I834" s="27"/>
      <c r="J834" s="27"/>
      <c r="K834" s="27"/>
      <c r="L834" s="27"/>
      <c r="M834" s="27"/>
    </row>
    <row r="835" s="6" collapsed="false" customFormat="true" customHeight="true" hidden="false" ht="25.5" outlineLevel="0">
      <c r="A835" s="25"/>
      <c r="B835" s="26"/>
      <c r="C835" s="26"/>
      <c r="D835" s="26"/>
      <c r="E835" s="27"/>
      <c r="F835" s="27"/>
      <c r="G835" s="27"/>
      <c r="H835" s="27"/>
      <c r="I835" s="27"/>
      <c r="J835" s="27"/>
      <c r="K835" s="27"/>
      <c r="L835" s="27"/>
      <c r="M835" s="27"/>
    </row>
    <row r="836" s="6" collapsed="false" customFormat="true" customHeight="true" hidden="false" ht="25.5" outlineLevel="0">
      <c r="A836" s="25"/>
      <c r="B836" s="26"/>
      <c r="C836" s="26"/>
      <c r="D836" s="26"/>
      <c r="E836" s="27"/>
      <c r="F836" s="27"/>
      <c r="G836" s="27"/>
      <c r="H836" s="27"/>
      <c r="I836" s="27"/>
      <c r="J836" s="27"/>
      <c r="K836" s="27"/>
      <c r="L836" s="27"/>
      <c r="M836" s="27"/>
    </row>
    <row r="837" s="6" collapsed="false" customFormat="true" customHeight="true" hidden="false" ht="25.5" outlineLevel="0">
      <c r="A837" s="25"/>
      <c r="B837" s="26"/>
      <c r="C837" s="26"/>
      <c r="D837" s="26"/>
      <c r="E837" s="27"/>
      <c r="F837" s="27"/>
      <c r="G837" s="27"/>
      <c r="H837" s="27"/>
      <c r="I837" s="27"/>
      <c r="J837" s="27"/>
      <c r="K837" s="27"/>
      <c r="L837" s="27"/>
      <c r="M837" s="27"/>
    </row>
    <row r="838" s="6" collapsed="false" customFormat="true" customHeight="true" hidden="false" ht="25.5" outlineLevel="0">
      <c r="A838" s="25"/>
      <c r="B838" s="26"/>
      <c r="C838" s="26"/>
      <c r="D838" s="26"/>
      <c r="E838" s="27"/>
      <c r="F838" s="27"/>
      <c r="G838" s="27"/>
      <c r="H838" s="27"/>
      <c r="I838" s="27"/>
      <c r="J838" s="27"/>
      <c r="K838" s="27"/>
      <c r="L838" s="27"/>
      <c r="M838" s="27"/>
    </row>
    <row r="839" s="6" collapsed="false" customFormat="true" customHeight="true" hidden="false" ht="25.5" outlineLevel="0">
      <c r="A839" s="25"/>
      <c r="B839" s="26"/>
      <c r="C839" s="26"/>
      <c r="D839" s="26"/>
      <c r="E839" s="27"/>
      <c r="F839" s="27"/>
      <c r="G839" s="27"/>
      <c r="H839" s="27"/>
      <c r="I839" s="27"/>
      <c r="J839" s="27"/>
      <c r="K839" s="27"/>
      <c r="L839" s="27"/>
      <c r="M839" s="27"/>
    </row>
    <row r="840" s="6" collapsed="false" customFormat="true" customHeight="true" hidden="false" ht="25.5" outlineLevel="0">
      <c r="A840" s="25"/>
      <c r="B840" s="26"/>
      <c r="C840" s="26"/>
      <c r="D840" s="26"/>
      <c r="E840" s="27"/>
      <c r="F840" s="27"/>
      <c r="G840" s="27"/>
      <c r="H840" s="27"/>
      <c r="I840" s="27"/>
      <c r="J840" s="27"/>
      <c r="K840" s="27"/>
      <c r="L840" s="27"/>
      <c r="M840" s="27"/>
    </row>
    <row r="841" s="6" collapsed="false" customFormat="true" customHeight="true" hidden="false" ht="25.5" outlineLevel="0">
      <c r="A841" s="25"/>
      <c r="B841" s="26"/>
      <c r="C841" s="26"/>
      <c r="D841" s="26"/>
      <c r="E841" s="27"/>
      <c r="F841" s="27"/>
      <c r="G841" s="27"/>
      <c r="H841" s="27"/>
      <c r="I841" s="27"/>
      <c r="J841" s="27"/>
      <c r="K841" s="27"/>
      <c r="L841" s="27"/>
      <c r="M841" s="27"/>
    </row>
    <row r="842" s="6" collapsed="false" customFormat="true" customHeight="true" hidden="false" ht="25.5" outlineLevel="0">
      <c r="A842" s="25"/>
      <c r="B842" s="26"/>
      <c r="C842" s="26"/>
      <c r="D842" s="26"/>
      <c r="E842" s="27"/>
      <c r="F842" s="27"/>
      <c r="G842" s="27"/>
      <c r="H842" s="27"/>
      <c r="I842" s="27"/>
      <c r="J842" s="27"/>
      <c r="K842" s="27"/>
      <c r="L842" s="27"/>
      <c r="M842" s="27"/>
    </row>
    <row r="843" s="6" collapsed="false" customFormat="true" customHeight="true" hidden="false" ht="25.5" outlineLevel="0">
      <c r="A843" s="25"/>
      <c r="B843" s="26"/>
      <c r="C843" s="26"/>
      <c r="D843" s="26"/>
      <c r="E843" s="27"/>
      <c r="F843" s="27"/>
      <c r="G843" s="27"/>
      <c r="H843" s="27"/>
      <c r="I843" s="27"/>
      <c r="J843" s="27"/>
      <c r="K843" s="27"/>
      <c r="L843" s="27"/>
      <c r="M843" s="27"/>
    </row>
    <row r="844" s="6" collapsed="false" customFormat="true" customHeight="true" hidden="false" ht="25.5" outlineLevel="0">
      <c r="A844" s="25"/>
      <c r="B844" s="26"/>
      <c r="C844" s="26"/>
      <c r="D844" s="26"/>
      <c r="E844" s="27"/>
      <c r="F844" s="27"/>
      <c r="G844" s="27"/>
      <c r="H844" s="27"/>
      <c r="I844" s="27"/>
      <c r="J844" s="27"/>
      <c r="K844" s="27"/>
      <c r="L844" s="27"/>
      <c r="M844" s="27"/>
    </row>
    <row r="845" s="6" collapsed="false" customFormat="true" customHeight="true" hidden="false" ht="25.5" outlineLevel="0">
      <c r="A845" s="25"/>
      <c r="B845" s="26"/>
      <c r="C845" s="26"/>
      <c r="D845" s="26"/>
      <c r="E845" s="27"/>
      <c r="F845" s="27"/>
      <c r="G845" s="27"/>
      <c r="H845" s="27"/>
      <c r="I845" s="27"/>
      <c r="J845" s="27"/>
      <c r="K845" s="27"/>
      <c r="L845" s="27"/>
      <c r="M845" s="27"/>
    </row>
    <row r="846" s="6" collapsed="false" customFormat="true" customHeight="true" hidden="false" ht="25.5" outlineLevel="0">
      <c r="A846" s="25"/>
      <c r="B846" s="26"/>
      <c r="C846" s="26"/>
      <c r="D846" s="26"/>
      <c r="E846" s="27"/>
      <c r="F846" s="27"/>
      <c r="G846" s="27"/>
      <c r="H846" s="27"/>
      <c r="I846" s="27"/>
      <c r="J846" s="27"/>
      <c r="K846" s="27"/>
      <c r="L846" s="27"/>
      <c r="M846" s="27"/>
    </row>
    <row r="847" s="6" collapsed="false" customFormat="true" customHeight="true" hidden="false" ht="25.5" outlineLevel="0">
      <c r="A847" s="25"/>
      <c r="B847" s="26"/>
      <c r="C847" s="26"/>
      <c r="D847" s="26"/>
      <c r="E847" s="27"/>
      <c r="F847" s="27"/>
      <c r="G847" s="27"/>
      <c r="H847" s="27"/>
      <c r="I847" s="27"/>
      <c r="J847" s="27"/>
      <c r="K847" s="27"/>
      <c r="L847" s="27"/>
      <c r="M847" s="27"/>
    </row>
    <row r="848" s="6" collapsed="false" customFormat="true" customHeight="true" hidden="false" ht="25.5" outlineLevel="0">
      <c r="A848" s="25"/>
      <c r="B848" s="26"/>
      <c r="C848" s="26"/>
      <c r="D848" s="26"/>
      <c r="E848" s="27"/>
      <c r="F848" s="27"/>
      <c r="G848" s="27"/>
      <c r="H848" s="27"/>
      <c r="I848" s="27"/>
      <c r="J848" s="27"/>
      <c r="K848" s="27"/>
      <c r="L848" s="27"/>
      <c r="M848" s="27"/>
    </row>
    <row r="849" s="6" collapsed="false" customFormat="true" customHeight="true" hidden="false" ht="25.5" outlineLevel="0">
      <c r="A849" s="25"/>
      <c r="B849" s="26"/>
      <c r="C849" s="26"/>
      <c r="D849" s="26"/>
      <c r="E849" s="27"/>
      <c r="F849" s="27"/>
      <c r="G849" s="27"/>
      <c r="H849" s="27"/>
      <c r="I849" s="27"/>
      <c r="J849" s="27"/>
      <c r="K849" s="27"/>
      <c r="L849" s="27"/>
      <c r="M849" s="27"/>
    </row>
    <row r="850" s="6" collapsed="false" customFormat="true" customHeight="true" hidden="false" ht="25.5" outlineLevel="0">
      <c r="A850" s="25"/>
      <c r="B850" s="26"/>
      <c r="C850" s="26"/>
      <c r="D850" s="26"/>
      <c r="E850" s="27"/>
      <c r="F850" s="27"/>
      <c r="G850" s="27"/>
      <c r="H850" s="27"/>
      <c r="I850" s="27"/>
      <c r="J850" s="27"/>
      <c r="K850" s="27"/>
      <c r="L850" s="27"/>
      <c r="M850" s="27"/>
    </row>
    <row r="851" s="6" collapsed="false" customFormat="true" customHeight="true" hidden="false" ht="25.5" outlineLevel="0">
      <c r="A851" s="25"/>
      <c r="B851" s="26"/>
      <c r="C851" s="26"/>
      <c r="D851" s="26"/>
      <c r="E851" s="27"/>
      <c r="F851" s="27"/>
      <c r="G851" s="27"/>
      <c r="H851" s="27"/>
      <c r="I851" s="27"/>
      <c r="J851" s="27"/>
      <c r="K851" s="27"/>
      <c r="L851" s="27"/>
      <c r="M851" s="27"/>
    </row>
    <row r="852" s="6" collapsed="false" customFormat="true" customHeight="true" hidden="false" ht="25.5" outlineLevel="0">
      <c r="A852" s="25"/>
      <c r="B852" s="26"/>
      <c r="C852" s="26"/>
      <c r="D852" s="26"/>
      <c r="E852" s="27"/>
      <c r="F852" s="27"/>
      <c r="G852" s="27"/>
      <c r="H852" s="27"/>
      <c r="I852" s="27"/>
      <c r="J852" s="27"/>
      <c r="K852" s="27"/>
      <c r="L852" s="27"/>
      <c r="M852" s="27"/>
    </row>
    <row r="853" s="6" collapsed="false" customFormat="true" customHeight="true" hidden="false" ht="25.5" outlineLevel="0">
      <c r="A853" s="25"/>
      <c r="B853" s="26"/>
      <c r="C853" s="26"/>
      <c r="D853" s="26"/>
      <c r="E853" s="27"/>
      <c r="F853" s="27"/>
      <c r="G853" s="27"/>
      <c r="H853" s="27"/>
      <c r="I853" s="27"/>
      <c r="J853" s="27"/>
      <c r="K853" s="27"/>
      <c r="L853" s="27"/>
      <c r="M853" s="27"/>
    </row>
    <row r="854" s="6" collapsed="false" customFormat="true" customHeight="true" hidden="false" ht="25.5" outlineLevel="0">
      <c r="A854" s="25"/>
      <c r="B854" s="26"/>
      <c r="C854" s="26"/>
      <c r="D854" s="26"/>
      <c r="E854" s="27"/>
      <c r="F854" s="27"/>
      <c r="G854" s="27"/>
      <c r="H854" s="27"/>
      <c r="I854" s="27"/>
      <c r="J854" s="27"/>
      <c r="K854" s="27"/>
      <c r="L854" s="27"/>
      <c r="M854" s="27"/>
    </row>
    <row r="855" s="6" collapsed="false" customFormat="true" customHeight="true" hidden="false" ht="25.5" outlineLevel="0">
      <c r="A855" s="25"/>
      <c r="B855" s="26"/>
      <c r="C855" s="26"/>
      <c r="D855" s="26"/>
      <c r="E855" s="27"/>
      <c r="F855" s="27"/>
      <c r="G855" s="27"/>
      <c r="H855" s="27"/>
      <c r="I855" s="27"/>
      <c r="J855" s="27"/>
      <c r="K855" s="27"/>
      <c r="L855" s="27"/>
      <c r="M855" s="27"/>
    </row>
    <row r="856" s="6" collapsed="false" customFormat="true" customHeight="true" hidden="false" ht="25.5" outlineLevel="0">
      <c r="A856" s="25"/>
      <c r="B856" s="26"/>
      <c r="C856" s="26"/>
      <c r="D856" s="26"/>
      <c r="E856" s="27"/>
      <c r="F856" s="27"/>
      <c r="G856" s="27"/>
      <c r="H856" s="27"/>
      <c r="I856" s="27"/>
      <c r="J856" s="27"/>
      <c r="K856" s="27"/>
      <c r="L856" s="27"/>
      <c r="M856" s="27"/>
    </row>
    <row r="857" s="6" collapsed="false" customFormat="true" customHeight="true" hidden="false" ht="25.5" outlineLevel="0">
      <c r="A857" s="25"/>
      <c r="B857" s="26"/>
      <c r="C857" s="26"/>
      <c r="D857" s="26"/>
      <c r="E857" s="27"/>
      <c r="F857" s="27"/>
      <c r="G857" s="27"/>
      <c r="H857" s="27"/>
      <c r="I857" s="27"/>
      <c r="J857" s="27"/>
      <c r="K857" s="27"/>
      <c r="L857" s="27"/>
      <c r="M857" s="27"/>
    </row>
    <row r="858" s="6" collapsed="false" customFormat="true" customHeight="true" hidden="false" ht="25.5" outlineLevel="0">
      <c r="A858" s="25"/>
      <c r="B858" s="26"/>
      <c r="C858" s="26"/>
      <c r="D858" s="26"/>
      <c r="E858" s="27"/>
      <c r="F858" s="27"/>
      <c r="G858" s="27"/>
      <c r="H858" s="27"/>
      <c r="I858" s="27"/>
      <c r="J858" s="27"/>
      <c r="K858" s="27"/>
      <c r="L858" s="27"/>
      <c r="M858" s="27"/>
    </row>
    <row r="859" s="6" collapsed="false" customFormat="true" customHeight="true" hidden="false" ht="25.5" outlineLevel="0">
      <c r="A859" s="25"/>
      <c r="B859" s="26"/>
      <c r="C859" s="26"/>
      <c r="D859" s="26"/>
      <c r="E859" s="27"/>
      <c r="F859" s="27"/>
      <c r="G859" s="27"/>
      <c r="H859" s="27"/>
      <c r="I859" s="27"/>
      <c r="J859" s="27"/>
      <c r="K859" s="27"/>
      <c r="L859" s="27"/>
      <c r="M859" s="27"/>
    </row>
    <row r="860" s="6" collapsed="false" customFormat="true" customHeight="true" hidden="false" ht="25.5" outlineLevel="0">
      <c r="A860" s="25"/>
      <c r="B860" s="26"/>
      <c r="C860" s="26"/>
      <c r="D860" s="26"/>
      <c r="E860" s="27"/>
      <c r="F860" s="27"/>
      <c r="G860" s="27"/>
      <c r="H860" s="27"/>
      <c r="I860" s="27"/>
      <c r="J860" s="27"/>
      <c r="K860" s="27"/>
      <c r="L860" s="27"/>
      <c r="M860" s="27"/>
    </row>
    <row r="861" s="6" collapsed="false" customFormat="true" customHeight="true" hidden="false" ht="25.5" outlineLevel="0">
      <c r="A861" s="25"/>
      <c r="B861" s="26"/>
      <c r="C861" s="26"/>
      <c r="D861" s="26"/>
      <c r="E861" s="27"/>
      <c r="F861" s="27"/>
      <c r="G861" s="27"/>
      <c r="H861" s="27"/>
      <c r="I861" s="27"/>
      <c r="J861" s="27"/>
      <c r="K861" s="27"/>
      <c r="L861" s="27"/>
      <c r="M861" s="27"/>
    </row>
    <row r="862" s="6" collapsed="false" customFormat="true" customHeight="true" hidden="false" ht="25.5" outlineLevel="0">
      <c r="A862" s="25"/>
      <c r="B862" s="26"/>
      <c r="C862" s="26"/>
      <c r="D862" s="26"/>
      <c r="E862" s="27"/>
      <c r="F862" s="27"/>
      <c r="G862" s="27"/>
      <c r="H862" s="27"/>
      <c r="I862" s="27"/>
      <c r="J862" s="27"/>
      <c r="K862" s="27"/>
      <c r="L862" s="27"/>
      <c r="M862" s="27"/>
    </row>
    <row r="863" s="6" collapsed="false" customFormat="true" customHeight="true" hidden="false" ht="25.5" outlineLevel="0">
      <c r="A863" s="25"/>
      <c r="B863" s="26"/>
      <c r="C863" s="26"/>
      <c r="D863" s="26"/>
      <c r="E863" s="27"/>
      <c r="F863" s="27"/>
      <c r="G863" s="27"/>
      <c r="H863" s="27"/>
      <c r="I863" s="27"/>
      <c r="J863" s="27"/>
      <c r="K863" s="27"/>
      <c r="L863" s="27"/>
      <c r="M863" s="27"/>
    </row>
    <row r="864" s="6" collapsed="false" customFormat="true" customHeight="true" hidden="false" ht="25.5" outlineLevel="0">
      <c r="A864" s="25"/>
      <c r="B864" s="26"/>
      <c r="C864" s="26"/>
      <c r="D864" s="26"/>
      <c r="E864" s="27"/>
      <c r="F864" s="27"/>
      <c r="G864" s="27"/>
      <c r="H864" s="27"/>
      <c r="I864" s="27"/>
      <c r="J864" s="27"/>
      <c r="K864" s="27"/>
      <c r="L864" s="27"/>
      <c r="M864" s="27"/>
    </row>
    <row r="865" s="6" collapsed="false" customFormat="true" customHeight="true" hidden="false" ht="25.5" outlineLevel="0">
      <c r="A865" s="25"/>
      <c r="B865" s="26"/>
      <c r="C865" s="26"/>
      <c r="D865" s="26"/>
      <c r="E865" s="27"/>
      <c r="F865" s="27"/>
      <c r="G865" s="27"/>
      <c r="H865" s="27"/>
      <c r="I865" s="27"/>
      <c r="J865" s="27"/>
      <c r="K865" s="27"/>
      <c r="L865" s="27"/>
      <c r="M865" s="27"/>
    </row>
    <row r="866" s="6" collapsed="false" customFormat="true" customHeight="true" hidden="false" ht="25.5" outlineLevel="0">
      <c r="A866" s="25"/>
      <c r="B866" s="26"/>
      <c r="C866" s="26"/>
      <c r="D866" s="26"/>
      <c r="E866" s="27"/>
      <c r="F866" s="27"/>
      <c r="G866" s="27"/>
      <c r="H866" s="27"/>
      <c r="I866" s="27"/>
      <c r="J866" s="27"/>
      <c r="K866" s="27"/>
      <c r="L866" s="27"/>
      <c r="M866" s="27"/>
    </row>
    <row r="867" s="6" collapsed="false" customFormat="true" customHeight="true" hidden="false" ht="25.5" outlineLevel="0">
      <c r="A867" s="25"/>
      <c r="B867" s="26"/>
      <c r="C867" s="26"/>
      <c r="D867" s="26"/>
      <c r="E867" s="27"/>
      <c r="F867" s="27"/>
      <c r="G867" s="27"/>
      <c r="H867" s="27"/>
      <c r="I867" s="27"/>
      <c r="J867" s="27"/>
      <c r="K867" s="27"/>
      <c r="L867" s="27"/>
      <c r="M867" s="27"/>
    </row>
    <row r="868" s="6" collapsed="false" customFormat="true" customHeight="true" hidden="false" ht="25.5" outlineLevel="0">
      <c r="A868" s="25"/>
      <c r="B868" s="26"/>
      <c r="C868" s="26"/>
      <c r="D868" s="26"/>
      <c r="E868" s="27"/>
      <c r="F868" s="27"/>
      <c r="G868" s="27"/>
      <c r="H868" s="27"/>
      <c r="I868" s="27"/>
      <c r="J868" s="27"/>
      <c r="K868" s="27"/>
      <c r="L868" s="27"/>
      <c r="M868" s="27"/>
    </row>
    <row r="869" s="6" collapsed="false" customFormat="true" customHeight="true" hidden="false" ht="25.5" outlineLevel="0">
      <c r="A869" s="25"/>
      <c r="B869" s="26"/>
      <c r="C869" s="26"/>
      <c r="D869" s="26"/>
      <c r="E869" s="27"/>
      <c r="F869" s="27"/>
      <c r="G869" s="27"/>
      <c r="H869" s="27"/>
      <c r="I869" s="27"/>
      <c r="J869" s="27"/>
      <c r="K869" s="27"/>
      <c r="L869" s="27"/>
      <c r="M869" s="27"/>
    </row>
    <row r="870" s="6" collapsed="false" customFormat="true" customHeight="true" hidden="false" ht="25.5" outlineLevel="0">
      <c r="A870" s="25"/>
      <c r="B870" s="26"/>
      <c r="C870" s="26"/>
      <c r="D870" s="26"/>
      <c r="E870" s="27"/>
      <c r="F870" s="27"/>
      <c r="G870" s="27"/>
      <c r="H870" s="27"/>
      <c r="I870" s="27"/>
      <c r="J870" s="27"/>
      <c r="K870" s="27"/>
      <c r="L870" s="27"/>
      <c r="M870" s="27"/>
    </row>
    <row r="871" s="6" collapsed="false" customFormat="true" customHeight="true" hidden="false" ht="25.5" outlineLevel="0">
      <c r="A871" s="25"/>
      <c r="B871" s="26"/>
      <c r="C871" s="26"/>
      <c r="D871" s="26"/>
      <c r="E871" s="27"/>
      <c r="F871" s="27"/>
      <c r="G871" s="27"/>
      <c r="H871" s="27"/>
      <c r="I871" s="27"/>
      <c r="J871" s="27"/>
      <c r="K871" s="27"/>
      <c r="L871" s="27"/>
      <c r="M871" s="27"/>
    </row>
    <row r="872" s="6" collapsed="false" customFormat="true" customHeight="true" hidden="false" ht="25.5" outlineLevel="0">
      <c r="A872" s="25"/>
      <c r="B872" s="26"/>
      <c r="C872" s="26"/>
      <c r="D872" s="26"/>
      <c r="E872" s="27"/>
      <c r="F872" s="27"/>
      <c r="G872" s="27"/>
      <c r="H872" s="27"/>
      <c r="I872" s="27"/>
      <c r="J872" s="27"/>
      <c r="K872" s="27"/>
      <c r="L872" s="27"/>
      <c r="M872" s="27"/>
    </row>
    <row r="873" s="6" collapsed="false" customFormat="true" customHeight="true" hidden="false" ht="25.5" outlineLevel="0">
      <c r="A873" s="25"/>
      <c r="B873" s="26"/>
      <c r="C873" s="26"/>
      <c r="D873" s="26"/>
      <c r="E873" s="27"/>
      <c r="F873" s="27"/>
      <c r="G873" s="27"/>
      <c r="H873" s="27"/>
      <c r="I873" s="27"/>
      <c r="J873" s="27"/>
      <c r="K873" s="27"/>
      <c r="L873" s="27"/>
      <c r="M873" s="27"/>
    </row>
    <row r="874" s="6" collapsed="false" customFormat="true" customHeight="true" hidden="false" ht="25.5" outlineLevel="0">
      <c r="A874" s="25"/>
      <c r="B874" s="26"/>
      <c r="C874" s="26"/>
      <c r="D874" s="26"/>
      <c r="E874" s="27"/>
      <c r="F874" s="27"/>
      <c r="G874" s="27"/>
      <c r="H874" s="27"/>
      <c r="I874" s="27"/>
      <c r="J874" s="27"/>
      <c r="K874" s="27"/>
      <c r="L874" s="27"/>
      <c r="M874" s="27"/>
    </row>
    <row r="875" s="6" collapsed="false" customFormat="true" customHeight="true" hidden="false" ht="25.5" outlineLevel="0">
      <c r="A875" s="25"/>
      <c r="B875" s="26"/>
      <c r="C875" s="26"/>
      <c r="D875" s="26"/>
      <c r="E875" s="27"/>
      <c r="F875" s="27"/>
      <c r="G875" s="27"/>
      <c r="H875" s="27"/>
      <c r="I875" s="27"/>
      <c r="J875" s="27"/>
      <c r="K875" s="27"/>
      <c r="L875" s="27"/>
      <c r="M875" s="27"/>
    </row>
    <row r="876" s="6" collapsed="false" customFormat="true" customHeight="true" hidden="false" ht="25.5" outlineLevel="0">
      <c r="A876" s="25"/>
      <c r="B876" s="26"/>
      <c r="C876" s="26"/>
      <c r="D876" s="26"/>
      <c r="E876" s="27"/>
      <c r="F876" s="27"/>
      <c r="G876" s="27"/>
      <c r="H876" s="27"/>
      <c r="I876" s="27"/>
      <c r="J876" s="27"/>
      <c r="K876" s="27"/>
      <c r="L876" s="27"/>
      <c r="M876" s="27"/>
    </row>
    <row r="877" s="6" collapsed="false" customFormat="true" customHeight="true" hidden="false" ht="25.5" outlineLevel="0">
      <c r="A877" s="25"/>
      <c r="B877" s="26"/>
      <c r="C877" s="26"/>
      <c r="D877" s="26"/>
      <c r="E877" s="27"/>
      <c r="F877" s="27"/>
      <c r="G877" s="27"/>
      <c r="H877" s="27"/>
      <c r="I877" s="27"/>
      <c r="J877" s="27"/>
      <c r="K877" s="27"/>
      <c r="L877" s="27"/>
      <c r="M877" s="27"/>
    </row>
    <row r="878" s="6" collapsed="false" customFormat="true" customHeight="true" hidden="false" ht="25.5" outlineLevel="0">
      <c r="A878" s="25"/>
      <c r="B878" s="26"/>
      <c r="C878" s="26"/>
      <c r="D878" s="26"/>
      <c r="E878" s="27"/>
      <c r="F878" s="27"/>
      <c r="G878" s="27"/>
      <c r="H878" s="27"/>
      <c r="I878" s="27"/>
      <c r="J878" s="27"/>
      <c r="K878" s="27"/>
      <c r="L878" s="27"/>
      <c r="M878" s="27"/>
    </row>
    <row r="879" s="6" collapsed="false" customFormat="true" customHeight="true" hidden="false" ht="25.5" outlineLevel="0">
      <c r="A879" s="25"/>
      <c r="B879" s="26"/>
      <c r="C879" s="26"/>
      <c r="D879" s="26"/>
      <c r="E879" s="27"/>
      <c r="F879" s="27"/>
      <c r="G879" s="27"/>
      <c r="H879" s="27"/>
      <c r="I879" s="27"/>
      <c r="J879" s="27"/>
      <c r="K879" s="27"/>
      <c r="L879" s="27"/>
      <c r="M879" s="27"/>
    </row>
    <row r="880" s="6" collapsed="false" customFormat="true" customHeight="true" hidden="false" ht="25.5" outlineLevel="0">
      <c r="A880" s="25"/>
      <c r="B880" s="26"/>
      <c r="C880" s="26"/>
      <c r="D880" s="26"/>
      <c r="E880" s="27"/>
      <c r="F880" s="27"/>
      <c r="G880" s="27"/>
      <c r="H880" s="27"/>
      <c r="I880" s="27"/>
      <c r="J880" s="27"/>
      <c r="K880" s="27"/>
      <c r="L880" s="27"/>
      <c r="M880" s="27"/>
    </row>
    <row r="881" s="6" collapsed="false" customFormat="true" customHeight="true" hidden="false" ht="25.5" outlineLevel="0">
      <c r="A881" s="25"/>
      <c r="B881" s="26"/>
      <c r="C881" s="26"/>
      <c r="D881" s="26"/>
      <c r="E881" s="27"/>
      <c r="F881" s="27"/>
      <c r="G881" s="27"/>
      <c r="H881" s="27"/>
      <c r="I881" s="27"/>
      <c r="J881" s="27"/>
      <c r="K881" s="27"/>
      <c r="L881" s="27"/>
      <c r="M881" s="27"/>
    </row>
    <row r="882" s="6" collapsed="false" customFormat="true" customHeight="true" hidden="false" ht="25.5" outlineLevel="0">
      <c r="A882" s="25"/>
      <c r="B882" s="26"/>
      <c r="C882" s="26"/>
      <c r="D882" s="26"/>
      <c r="E882" s="27"/>
      <c r="F882" s="27"/>
      <c r="G882" s="27"/>
      <c r="H882" s="27"/>
      <c r="I882" s="27"/>
      <c r="J882" s="27"/>
      <c r="K882" s="27"/>
      <c r="L882" s="27"/>
      <c r="M882" s="27"/>
    </row>
    <row r="883" s="6" collapsed="false" customFormat="true" customHeight="true" hidden="false" ht="25.5" outlineLevel="0">
      <c r="A883" s="25"/>
      <c r="B883" s="26"/>
      <c r="C883" s="26"/>
      <c r="D883" s="26"/>
      <c r="E883" s="27"/>
      <c r="F883" s="27"/>
      <c r="G883" s="27"/>
      <c r="H883" s="27"/>
      <c r="I883" s="27"/>
      <c r="J883" s="27"/>
      <c r="K883" s="27"/>
      <c r="L883" s="27"/>
      <c r="M883" s="27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3">
      <formula>0</formula>
    </cfRule>
    <cfRule type="cellIs" priority="5" operator="lessThan" aboveAverage="0" equalAverage="0" bottom="0" percent="0" rank="0" text="" dxfId="4">
      <formula>0</formula>
    </cfRule>
  </conditionalFormatting>
  <conditionalFormatting sqref="M4:M883">
    <cfRule type="cellIs" priority="6" operator="greaterThan" aboveAverage="0" equalAverage="0" bottom="0" percent="0" rank="0" text="" dxfId="3">
      <formula>0</formula>
    </cfRule>
    <cfRule type="cellIs" priority="7" operator="lessThan" aboveAverage="0" equalAverage="0" bottom="0" percent="0" rank="0" text="" dxfId="4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114</TotalTime>
  <Application>LibreOffice/26.2.1.2$Windows_X86_64 LibreOffice_project/620$Build-2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ko-KR</dc:language>
  <cp:lastModifiedBy/>
  <dcterms:modified xsi:type="dcterms:W3CDTF">2026-03-19T18:35:26Z</dcterms:modified>
  <cp:revision>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