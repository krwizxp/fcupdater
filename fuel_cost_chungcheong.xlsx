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<sst xmlns="http://schemas.openxmlformats.org/spreadsheetml/2006/main" count="4697" uniqueCount="1764">
  <si>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</si>
  <si>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</si>
  <si>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</si>
  <si>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</si>
  <si>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</si>
  <si>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</si>
  <si>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</si>
  <si>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</si>
  <si>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</si>
  <si>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</si>
  <si>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</si>
  <si>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</si>
  <si>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</si>
  <si>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</si>
  <si>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</si>
  <si>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</si>
  <si>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</si>
  <si>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</si>
  <si>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</si>
  <si>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</si>
  <si>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</si>
  <si>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</si>
  <si>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</si>
  <si>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</si>
  <si>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</si>
  <si>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</si>
  <si>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</si>
  <si>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</si>
  <si>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</si>
  <si>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</si>
  <si>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</si>
  <si>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</si>
  <si>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</si>
  <si>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</si>
  <si>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</si>
  <si>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</si>
  <si>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</si>
  <si>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</si>
  <si>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</si>
  <si>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</si>
  <si>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</si>
  <si>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</si>
  <si>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</si>
  <si>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</si>
  <si>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</si>
  <si>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</si>
  <si>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</si>
  <si>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</si>
  <si>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</si>
  <si>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</si>
  <si>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</si>
  <si>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</si>
  <si>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</si>
  <si>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</si>
  <si>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</si>
  <si>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</si>
  <si>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</si>
  <si>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</si>
  <si>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</si>
  <si>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</si>
  <si>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</si>
  <si>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</si>
  <si>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</si>
  <si>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</si>
  <si>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</si>
  <si>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</si>
  <si>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</si>
  <si>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</si>
  <si>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</si>
  <si>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</si>
  <si>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</si>
  <si>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</si>
  <si>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</si>
  <si>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</si>
  <si>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</si>
  <si>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</si>
  <si>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</si>
  <si>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</si>
  <si>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</si>
  <si>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</si>
  <si>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</si>
  <si>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</si>
  <si>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</si>
  <si>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</si>
  <si>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</si>
  <si>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</si>
  <si>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</si>
  <si>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</si>
  <si>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</si>
  <si>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</si>
  <si>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</si>
  <si>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</si>
  <si>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</si>
  <si>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</si>
  <si>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</si>
  <si>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</si>
  <si>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</si>
  <si>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</si>
  <si>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</si>
  <si>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</si>
  <si>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</si>
  <si>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</si>
  <si>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</si>
  <si>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</si>
  <si>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</si>
  <si>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</si>
  <si>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</si>
  <si>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</si>
  <si>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</si>
  <si>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</si>
  <si>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</si>
  <si>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</si>
  <si>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</si>
  <si>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</si>
  <si>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</si>
  <si>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</si>
  <si>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</si>
  <si>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</si>
  <si>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</si>
  <si>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</si>
  <si>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</si>
  <si>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</si>
  <si>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</si>
  <si>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</si>
  <si>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</si>
  <si>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</si>
  <si>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</si>
  <si>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</si>
  <si>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</si>
  <si>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</si>
  <si>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</si>
  <si>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</si>
  <si>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</si>
  <si>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</si>
  <si>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</si>
  <si>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</si>
  <si>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</si>
  <si>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</si>
  <si>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</si>
  <si>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</si>
  <si>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</si>
  <si>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</si>
  <si>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</si>
  <si>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</si>
  <si>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</si>
  <si>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</si>
  <si>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</si>
  <si>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</si>
  <si>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</si>
  <si>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</si>
  <si>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</si>
  <si>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</si>
  <si>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</si>
  <si>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</si>
  <si>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</si>
  <si>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</si>
  <si>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</si>
  <si>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</si>
  <si>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</si>
  <si>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</si>
  <si>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</si>
  <si>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</si>
  <si>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</si>
  <si>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</si>
  <si>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</si>
  <si>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</si>
  <si>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</si>
  <si>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</si>
  <si>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</si>
  <si>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</si>
  <si>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</si>
  <si>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</si>
  <si>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</si>
  <si>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</si>
  <si>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</si>
  <si>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</si>
  <si>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</si>
  <si>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</si>
  <si>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</si>
  <si>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</si>
  <si>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</si>
  <si>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</si>
  <si>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</si>
  <si>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</si>
  <si>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</si>
  <si>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</si>
  <si>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</si>
  <si>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</si>
  <si>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</si>
  <si>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</si>
  <si>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</si>
  <si>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</si>
  <si>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</si>
  <si>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</si>
  <si>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</si>
  <si>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</si>
  <si>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</si>
  <si>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</si>
  <si>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</si>
  <si>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</si>
  <si>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</si>
  <si>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</si>
  <si>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</si>
  <si>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</si>
  <si>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</si>
  <si>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</si>
  <si>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</si>
  <si>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</si>
  <si>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</si>
  <si>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</si>
  <si>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</si>
  <si>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</si>
  <si>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</si>
  <si>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</si>
  <si>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</si>
  <si>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</si>
  <si>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</si>
  <si>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</si>
  <si>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</si>
  <si>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</si>
  <si>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</si>
  <si>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</si>
  <si>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</si>
  <si>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</si>
  <si>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</si>
  <si>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</si>
  <si>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</si>
  <si>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</si>
  <si>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</si>
  <si>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</si>
  <si>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</si>
  <si>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</si>
  <si>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</si>
  <si>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</si>
  <si>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</si>
  <si>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</si>
  <si>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</si>
  <si>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</si>
  <si>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</si>
  <si>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</si>
  <si>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</si>
  <si>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</si>
  <si>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</si>
  <si>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</si>
  <si>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</si>
  <si>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</si>
  <si>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</si>
  <si>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</si>
  <si>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</si>
  <si>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</si>
  <si>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</si>
  <si>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</si>
  <si>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</si>
  <si>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</si>
  <si>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</si>
  <si>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</si>
  <si>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</si>
  <si>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</si>
  <si>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</si>
  <si>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</si>
  <si>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</si>
  <si>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</si>
  <si>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</si>
  <si>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</si>
  <si>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</si>
  <si>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</si>
  <si>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</si>
  <si>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</si>
  <si>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</si>
  <si>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</si>
  <si>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</si>
  <si>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</si>
  <si>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</si>
  <si>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</si>
  <si>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</si>
  <si>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</si>
  <si>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</si>
  <si>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</si>
  <si>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</si>
  <si>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</si>
  <si>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</si>
  <si>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</si>
  <si>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</si>
  <si>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</si>
  <si>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</si>
  <si>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</si>
  <si>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</si>
  <si>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</si>
  <si>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</si>
  <si>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</si>
  <si>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</si>
  <si>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</si>
  <si>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</si>
  <si>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</si>
  <si>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</si>
  <si>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</si>
  <si>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</si>
  <si>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</si>
  <si>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</si>
  <si>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</si>
  <si>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</si>
  <si>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</si>
  <si>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</si>
  <si>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</si>
  <si>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</si>
  <si>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</si>
  <si>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</si>
  <si>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</si>
  <si>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</si>
  <si>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</si>
  <si>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</si>
  <si>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</si>
  <si>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</si>
  <si>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</si>
  <si>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</si>
  <si>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</si>
  <si>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</si>
  <si>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</si>
  <si>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</si>
  <si>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</si>
  <si>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</si>
  <si>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</si>
  <si>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</si>
  <si>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</si>
  <si>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</si>
  <si>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</si>
  <si>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</si>
  <si>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</si>
  <si>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</si>
  <si>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</si>
  <si>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</si>
  <si>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</si>
  <si>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</si>
  <si>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</si>
  <si>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</si>
  <si>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</si>
  <si>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</si>
  <si>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</si>
  <si>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</si>
  <si>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</si>
  <si>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</si>
  <si>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</si>
  <si>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</si>
  <si>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</si>
  <si>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</si>
  <si>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</si>
  <si>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</si>
  <si>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</si>
  <si>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</si>
  <si>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</si>
  <si>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</si>
  <si>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</si>
  <si>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</si>
  <si>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</si>
  <si>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</si>
  <si>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</si>
  <si>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</si>
  <si>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</si>
  <si>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</si>
  <si>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</si>
  <si>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</si>
  <si>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</si>
  <si>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</si>
  <si>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</si>
  <si>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</si>
  <si>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</si>
  <si>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</si>
  <si>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</si>
  <si>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</si>
  <si>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</si>
  <si>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</si>
  <si>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</si>
  <si>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</si>
  <si>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</si>
  <si>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</si>
  <si>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</si>
  <si>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</si>
  <si>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</si>
  <si>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</si>
  <si>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</si>
  <si>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</si>
  <si>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</si>
  <si>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</si>
  <si>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</si>
  <si>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</si>
  <si>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</si>
  <si>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</si>
  <si>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</si>
  <si>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</si>
  <si>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</si>
  <si>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</si>
  <si>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</si>
  <si>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</si>
  <si>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</si>
  <si>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</si>
  <si>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</si>
  <si>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</si>
  <si>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</si>
  <si>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</si>
  <si>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</si>
  <si>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</si>
  <si>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</si>
  <si>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</si>
  <si>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</si>
  <si>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</si>
  <si>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</si>
  <si>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</si>
  <si>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</si>
  <si>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</si>
  <si>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</si>
  <si>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</si>
  <si>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</si>
  <si>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</si>
  <si>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</si>
  <si>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</si>
  <si>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</si>
  <si>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</si>
  <si>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</si>
  <si>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</si>
  <si>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</si>
  <si>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</si>
  <si>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</si>
  <si>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</si>
  <si>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</si>
  <si>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</si>
  <si>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</si>
  <si>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</si>
  <si>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</si>
  <si>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</si>
  <si>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</si>
  <si>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</si>
  <si>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</si>
  <si>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</si>
  <si>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</si>
  <si>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</si>
  <si>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</si>
  <si>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</si>
  <si>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</si>
  <si>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</si>
  <si>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</si>
  <si>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</si>
  <si>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</si>
  <si>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</si>
  <si>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</si>
  <si>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</si>
  <si>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</si>
  <si>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</si>
  <si>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</si>
  <si>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</si>
  <si>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</si>
  <si>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</si>
  <si>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</si>
  <si>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</si>
  <si>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</si>
  <si>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</si>
  <si>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</si>
  <si>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</si>
  <si>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</si>
  <si>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</si>
  <si>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</si>
  <si>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</si>
  <si>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</si>
  <si>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</si>
  <si>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</si>
  <si>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</si>
  <si>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</si>
  <si>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</si>
  <si>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</si>
  <si>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</si>
  <si>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</si>
  <si>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</si>
  <si>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</si>
  <si>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</si>
  <si>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</si>
  <si>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</si>
  <si>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</si>
  <si>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</si>
  <si>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</si>
  <si>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</si>
  <si>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</si>
  <si>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</si>
  <si>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</si>
  <si>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</si>
  <si>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</si>
  <si>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</si>
  <si>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</si>
  <si>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</si>
  <si>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</si>
  <si>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</si>
  <si>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</si>
  <si>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</si>
  <si>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</si>
  <si>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</si>
  <si>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</si>
  <si>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</si>
  <si>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</si>
  <si>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</si>
  <si>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</si>
  <si>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</si>
  <si>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</si>
  <si>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</si>
  <si>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</si>
  <si>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</si>
  <si>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</si>
  <si>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</si>
  <si>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</si>
  <si>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</si>
  <si>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</si>
  <si>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</si>
  <si>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</si>
  <si>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</si>
  <si>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</si>
  <si>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</si>
  <si>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</si>
  <si>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</si>
  <si>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</si>
  <si>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</si>
  <si>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</si>
  <si>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</si>
  <si>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</si>
  <si>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</si>
  <si>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</si>
  <si>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</si>
  <si>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</si>
  <si>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</si>
  <si>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</si>
  <si>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</si>
  <si>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</si>
  <si>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</si>
  <si>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</si>
  <si>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</si>
  <si>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</si>
  <si>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</si>
  <si>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</si>
  <si>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</si>
  <si>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</si>
  <si>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</si>
  <si>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</si>
  <si>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</si>
  <si>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</si>
  <si>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</si>
  <si>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</si>
  <si>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</si>
  <si>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</si>
  <si>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</si>
  <si>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</si>
  <si>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</si>
  <si>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</si>
  <si>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</si>
  <si>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</si>
  <si>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</si>
  <si>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</si>
  <si>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</si>
  <si>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</si>
  <si>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</si>
  <si>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</si>
  <si>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</si>
  <si>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</si>
  <si>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</si>
  <si>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</si>
  <si>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</si>
  <si>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</si>
  <si>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</si>
  <si>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</si>
  <si>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</si>
  <si>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</si>
  <si>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</si>
  <si>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</si>
  <si>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</si>
  <si>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</si>
  <si>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</si>
  <si>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</si>
  <si>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</si>
  <si>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</si>
  <si>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</si>
  <si>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</si>
  <si>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</si>
  <si>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</si>
  <si>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</si>
  <si>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</si>
  <si>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</si>
  <si>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</si>
  <si>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</si>
  <si>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</si>
  <si>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</si>
  <si>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</si>
  <si>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</si>
  <si>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</si>
  <si>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</si>
  <si>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</si>
  <si>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</si>
  <si>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</si>
  <si>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</si>
  <si>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</si>
  <si>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</si>
  <si>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</si>
  <si>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</si>
  <si>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</si>
  <si>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</si>
  <si>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</si>
  <si>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</si>
  <si>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</si>
  <si>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</si>
  <si>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</si>
  <si>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</si>
  <si>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</si>
  <si>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</si>
  <si>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</si>
  <si>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</si>
  <si>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</si>
  <si>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</si>
  <si>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</si>
  <si>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</si>
  <si>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</si>
  <si>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</si>
  <si>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</si>
  <si>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</si>
  <si>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</si>
  <si>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</si>
  <si>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</si>
  <si>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</si>
  <si>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</si>
  <si>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</si>
  <si>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</si>
  <si>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</si>
  <si>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</si>
  <si>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</si>
  <si>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</si>
  <si>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</si>
  <si>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</si>
  <si>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</si>
  <si>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</si>
  <si>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</si>
  <si>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</si>
  <si>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</si>
  <si>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</si>
  <si>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</si>
  <si>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</si>
  <si>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</si>
  <si>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</si>
  <si>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</si>
  <si>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</si>
  <si>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</si>
  <si>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</si>
  <si>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</si>
  <si>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</si>
  <si>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</si>
  <si>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</si>
  <si>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</si>
  <si>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</si>
  <si>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</si>
  <si>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</si>
  <si>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</si>
  <si>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</si>
  <si>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</si>
  <si>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</si>
  <si>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</si>
  <si>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</si>
  <si>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</si>
  <si>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</si>
  <si>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</si>
  <si>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</si>
  <si>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</si>
  <si>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</si>
  <si>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</si>
  <si>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</si>
  <si>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</si>
  <si>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</si>
  <si>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</si>
  <si>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</si>
  <si>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</si>
  <si>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</si>
  <si>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</si>
  <si>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</si>
  <si>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</si>
  <si>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</si>
  <si>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</si>
  <si>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</si>
  <si>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</si>
  <si>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</si>
  <si>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</si>
  <si>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</si>
  <si>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</si>
  <si>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</si>
  <si>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</si>
  <si>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</si>
  <si>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</si>
  <si>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</si>
  <si>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</si>
  <si>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</si>
  <si>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</si>
  <si>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</si>
  <si>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</si>
  <si>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</si>
  <si>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</si>
  <si>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</si>
  <si>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</si>
  <si>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</si>
  <si>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</si>
  <si>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</si>
  <si>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</si>
  <si>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</si>
  <si>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</si>
  <si>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</si>
  <si>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</si>
  <si>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</si>
  <si>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</si>
  <si>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</si>
  <si>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</si>
  <si>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</si>
  <si>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</si>
  <si>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</si>
  <si>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</si>
  <si>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</si>
  <si>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</si>
  <si>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</si>
  <si>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</si>
  <si>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</si>
  <si>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</si>
  <si>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</si>
  <si>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</si>
  <si>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</si>
  <si>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</si>
  <si>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</si>
  <si>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</si>
  <si>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</si>
  <si>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</si>
  <si>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</si>
  <si>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</si>
  <si>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</si>
  <si>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</si>
  <si>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</si>
  <si>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</si>
  <si>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</si>
  <si>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</si>
  <si>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</si>
  <si>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</si>
  <si>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</si>
  <si>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</si>
  <si>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</si>
  <si>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</si>
  <si>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</si>
  <si>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</si>
  <si>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</si>
  <si>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</si>
  <si>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</si>
  <si>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</si>
  <si>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</si>
  <si>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</si>
  <si>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</si>
  <si>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</si>
  <si>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</si>
  <si>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</si>
  <si>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</si>
  <si>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</si>
  <si>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</si>
  <si>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</si>
  <si>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</si>
  <si>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</si>
  <si>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</si>
  <si>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</si>
  <si>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</si>
  <si>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</si>
  <si>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</si>
  <si>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</si>
  <si>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</si>
  <si>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</si>
  <si>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</si>
  <si>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</si>
  <si>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</si>
  <si>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</si>
  <si>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</si>
  <si>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</si>
  <si>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</si>
  <si>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</si>
  <si>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</si>
  <si>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</si>
  <si>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</si>
  <si>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</si>
  <si>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</si>
  <si>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</si>
  <si>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</si>
  <si>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</si>
  <si>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</si>
  <si>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</si>
  <si>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</si>
  <si>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</si>
  <si>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</si>
  <si>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</si>
  <si>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</si>
  <si>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</si>
  <si>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</si>
  <si>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</si>
  <si>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</si>
  <si>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</si>
  <si>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</si>
  <si>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</si>
  <si>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</si>
  <si>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</si>
  <si>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</si>
  <si>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</si>
  <si>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</si>
  <si>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</si>
  <si>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</si>
  <si>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</si>
  <si>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</si>
  <si>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</si>
  <si>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</si>
  <si>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</si>
  <si>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</si>
  <si>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</si>
  <si>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</si>
  <si>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</si>
  <si>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</si>
  <si>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</si>
  <si>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</si>
  <si>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</si>
  <si>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</si>
  <si>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</si>
  <si>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</si>
  <si>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</si>
  <si>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</si>
  <si>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</si>
  <si>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</si>
  <si>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</si>
  <si>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</si>
  <si>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</si>
  <si>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</si>
  <si>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</si>
  <si>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</si>
  <si>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</si>
  <si>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</si>
  <si>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</si>
  <si>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</si>
  <si>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</si>
  <si>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</si>
  <si>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</si>
  <si>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</si>
  <si>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</si>
  <si>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</si>
  <si>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</si>
  <si>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</si>
  <si>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</si>
  <si>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</si>
  <si>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</si>
  <si>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</si>
  <si>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</si>
  <si>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</si>
  <si>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</si>
  <si>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</si>
  <si>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</si>
  <si>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</si>
  <si>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</si>
  <si>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</si>
  <si>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</si>
  <si>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</si>
  <si>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</si>
  <si>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</si>
  <si>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</si>
  <si>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</si>
  <si>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</si>
  <si>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</si>
  <si>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</si>
  <si>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</si>
  <si>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</si>
  <si>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</si>
  <si>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</si>
  <si>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</si>
  <si>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</si>
  <si>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</si>
  <si>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</si>
  <si>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</si>
  <si>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</si>
  <si>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</si>
  <si>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</si>
  <si>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</si>
  <si>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</si>
  <si>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</si>
  <si>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</si>
  <si>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</si>
  <si>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</si>
  <si>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</si>
  <si>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</si>
  <si>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</si>
  <si>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</si>
  <si>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</si>
  <si>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</si>
  <si>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</si>
  <si>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</si>
  <si>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</si>
  <si>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</si>
  <si>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</si>
  <si>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</si>
  <si>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</si>
  <si>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</si>
  <si>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</si>
  <si>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</si>
  <si>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</si>
  <si>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</si>
  <si>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</si>
  <si>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</si>
  <si>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</si>
  <si>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</si>
  <si>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</si>
  <si>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</si>
  <si>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</si>
  <si>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</si>
  <si>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</si>
  <si>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</si>
  <si>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</si>
  <si>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</si>
  <si>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</si>
  <si>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</si>
  <si>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</si>
  <si>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</si>
  <si>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</si>
  <si>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</si>
  <si>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</si>
  <si>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</si>
  <si>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</si>
  <si>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</si>
  <si>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</si>
  <si>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</si>
  <si>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</si>
  <si>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</si>
  <si>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</si>
  <si>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</si>
  <si>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</si>
  <si>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</si>
  <si>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</si>
  <si>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</si>
  <si>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</si>
  <si>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</si>
  <si>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</si>
  <si>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</si>
  <si>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</si>
  <si>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</si>
  <si>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</si>
  <si>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</si>
  <si>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</si>
  <si>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</si>
  <si>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</si>
  <si>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</si>
  <si>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</si>
  <si>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</si>
  <si>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</si>
  <si>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</si>
  <si>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</si>
  <si>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</si>
  <si>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</si>
  <si>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</si>
  <si>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</si>
  <si>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</si>
  <si>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</si>
  <si>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</si>
  <si>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</si>
  <si>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</si>
  <si>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</si>
  <si>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</si>
  <si>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</si>
  <si>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</si>
  <si>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</si>
  <si>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</si>
  <si>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</si>
  <si>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</si>
  <si>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</si>
  <si>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</si>
  <si>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</si>
  <si>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</si>
  <si>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</si>
  <si>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</si>
  <si>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</si>
  <si>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</si>
  <si>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</si>
  <si>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</si>
  <si>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</si>
  <si>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</si>
  <si>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</si>
  <si>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</si>
  <si>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</si>
  <si>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</si>
  <si>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</si>
  <si>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</si>
  <si>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</si>
  <si>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</si>
  <si>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</si>
  <si>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</si>
  <si>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</si>
  <si>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</si>
  <si>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</si>
  <si>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</si>
  <si>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</si>
  <si>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</si>
  <si>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</si>
  <si>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</si>
  <si>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</si>
  <si>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</si>
  <si>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</si>
  <si>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</si>
  <si>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</si>
  <si>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</si>
  <si>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</si>
  <si>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</si>
  <si>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</si>
  <si>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</si>
  <si>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</si>
  <si>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</si>
  <si>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</si>
  <si>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</si>
  <si>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</si>
  <si>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</si>
  <si>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</si>
  <si>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</si>
  <si>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</si>
  <si>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</si>
  <si>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</si>
  <si>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</si>
  <si>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</si>
  <si>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</si>
  <si>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</si>
  <si>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</si>
  <si>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</si>
  <si>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</si>
  <si>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</si>
  <si>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</si>
  <si>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</si>
  <si>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</si>
  <si>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</si>
  <si>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</si>
  <si>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</si>
  <si>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</si>
  <si>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</si>
  <si>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</si>
  <si>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</si>
  <si>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</si>
  <si>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</si>
  <si>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</si>
  <si>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</si>
  <si>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</si>
  <si>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</si>
  <si>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</si>
  <si>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</si>
  <si>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</si>
  <si>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</si>
  <si>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</si>
  <si>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</si>
  <si>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</si>
  <si>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</si>
  <si>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</si>
  <si>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</si>
  <si>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</si>
  <si>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</si>
  <si>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</si>
  <si>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</si>
  <si>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</si>
  <si>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</si>
  <si>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</si>
  <si>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</si>
  <si>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</si>
  <si>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</si>
  <si>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</si>
  <si>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</si>
  <si>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</si>
  <si>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</si>
  <si>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</si>
  <si>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</si>
  <si>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</si>
  <si>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</si>
  <si>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</si>
  <si>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</si>
  <si>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</si>
  <si>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</si>
  <si>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</si>
  <si>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</si>
  <si>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</si>
  <si>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</si>
  <si>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</si>
  <si>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</si>
  <si>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</si>
  <si>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</si>
  <si>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</si>
  <si>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</si>
  <si>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</si>
  <si>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</si>
  <si>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</si>
  <si>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</si>
  <si>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</si>
  <si>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</si>
  <si>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</si>
  <si>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</si>
  <si>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</si>
  <si>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</si>
  <si>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</si>
  <si>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</si>
  <si>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</si>
  <si>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</si>
  <si>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</si>
  <si>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</si>
  <si>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</si>
  <si>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</si>
  <si>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</si>
  <si>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</si>
  <si>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</si>
  <si>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</si>
  <si>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</si>
  <si>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</si>
  <si>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</si>
  <si>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</si>
  <si>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</si>
  <si>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</si>
  <si>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</si>
  <si>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</si>
  <si>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</si>
  <si>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</si>
  <si>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</si>
  <si>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</si>
  <si>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</si>
  <si>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</si>
  <si>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</si>
  <si>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</si>
  <si>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</si>
  <si>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</si>
  <si>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</si>
  <si>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</si>
  <si>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</si>
  <si>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</si>
  <si>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</si>
  <si>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</si>
  <si>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</si>
  <si>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</si>
  <si>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</si>
  <si>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</si>
  <si>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</si>
  <si>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</si>
  <si>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</si>
  <si>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</si>
  <si>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</si>
  <si>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</si>
  <si>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</si>
  <si>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</si>
  <si>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</si>
  <si>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</si>
  <si>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</si>
  <si>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</si>
  <si>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</si>
  <si>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</si>
  <si>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</si>
  <si>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</si>
  <si>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</si>
  <si>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</si>
  <si>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</si>
  <si>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</si>
  <si>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</si>
  <si>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</si>
  <si>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</si>
  <si>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</si>
  <si>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</si>
  <si>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</si>
  <si>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</si>
  <si>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</si>
  <si>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</si>
  <si>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</si>
  <si>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</si>
  <si>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</si>
  <si>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</si>
  <si>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</si>
  <si>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</si>
  <si>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</si>
  <si>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</si>
  <si>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</si>
  <si>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</si>
  <si>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</si>
  <si>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</si>
  <si>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</si>
  <si>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</si>
  <si>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</si>
  <si>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</si>
  <si>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</si>
  <si>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</si>
  <si>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</si>
  <si>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</si>
  <si>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</si>
  <si>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</si>
  <si>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</si>
  <si>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</si>
  <si>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</si>
  <si>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</si>
  <si>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</si>
  <si>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</si>
  <si>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</si>
  <si>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</si>
  <si>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</si>
  <si>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</si>
  <si>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</si>
  <si>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</si>
  <si>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</si>
  <si>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</si>
  <si>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</si>
  <si>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</si>
  <si>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</si>
  <si>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</si>
  <si>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</si>
  <si>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</si>
  <si>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</si>
  <si>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</si>
  <si>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</si>
  <si>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</si>
  <si>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</si>
  <si>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</si>
  <si>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</si>
  <si>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</si>
  <si>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</si>
  <si>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</si>
  <si>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</si>
  <si>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</si>
  <si>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</si>
  <si>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</si>
  <si>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</si>
  <si>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</si>
  <si>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</si>
  <si>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</si>
  <si>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</si>
  <si>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</si>
  <si>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</si>
  <si>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</si>
  <si>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</si>
  <si>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</si>
  <si>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</si>
  <si>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</si>
  <si>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</si>
  <si>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</si>
  <si>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</si>
  <si>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</si>
  <si>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</si>
  <si>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</si>
  <si>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</si>
  <si>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</si>
  <si>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</si>
  <si>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</si>
  <si>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</si>
  <si>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</si>
  <si>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</si>
  <si>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</si>
  <si>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</si>
  <si>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</si>
  <si>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</si>
  <si>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</si>
  <si>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</si>
  <si>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</si>
  <si>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</si>
  <si>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</si>
  <si>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</si>
  <si>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</si>
  <si>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</si>
  <si>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</si>
  <si>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</si>
  <si>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</si>
  <si>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</si>
  <si>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</si>
  <si>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</si>
  <si>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</si>
  <si>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</si>
  <si>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</si>
  <si>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</si>
  <si>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</si>
  <si>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</si>
  <si>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</si>
  <si>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</si>
  <si>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</si>
  <si>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</si>
  <si>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</si>
  <si>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</si>
  <si>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</si>
  <si>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</si>
  <si>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</si>
  <si>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</si>
  <si>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</si>
  <si>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</si>
  <si>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</si>
  <si>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</si>
  <si>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</si>
  <si>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</si>
  <si>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</si>
  <si>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</si>
  <si>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</si>
  <si>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</si>
  <si>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</si>
  <si>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</si>
  <si>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</si>
  <si>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</si>
  <si>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</si>
  <si>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</si>
  <si>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</si>
  <si>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</si>
  <si>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</si>
  <si>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</si>
  <si>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</si>
  <si>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</si>
  <si>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</si>
  <si>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</si>
  <si>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</si>
  <si>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</si>
  <si>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</si>
  <si>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</si>
  <si>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</si>
  <si>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</si>
  <si>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</si>
  <si>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</si>
  <si>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</si>
  <si>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</si>
  <si>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</si>
  <si>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</si>
  <si>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</si>
  <si>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</si>
  <si>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</si>
  <si>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</si>
  <si>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</si>
  <si>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</si>
  <si>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</si>
  <si>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</si>
  <si>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</si>
  <si>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</si>
  <si>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</si>
  <si>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</si>
  <si>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</si>
  <si>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</si>
  <si>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</si>
  <si>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</si>
  <si>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</si>
  <si>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</si>
  <si>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</si>
  <si>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</si>
  <si>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</si>
  <si>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</si>
  <si>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</si>
  <si>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</si>
  <si>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</si>
  <si>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</si>
  <si>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</si>
  <si>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</si>
  <si>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</si>
  <si>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</si>
  <si>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</si>
  <si>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</si>
  <si>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</si>
  <si>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</si>
  <si>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</si>
  <si>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</si>
  <si>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</si>
  <si>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</si>
  <si>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</si>
  <si>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</si>
  <si>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</si>
  <si>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</si>
  <si>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</si>
  <si>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</si>
  <si>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</si>
  <si>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</si>
  <si>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</si>
  <si>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</si>
  <si>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</si>
  <si>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</si>
  <si>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</si>
  <si>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</si>
  <si>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</si>
  <si>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</si>
  <si>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</si>
  <si>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</si>
  <si>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</si>
  <si>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</si>
  <si>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</si>
  <si>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</si>
  <si>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</si>
  <si>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</si>
  <si>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</si>
  <si>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</si>
  <si>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</si>
  <si>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</si>
  <si>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</si>
  <si>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</si>
  <si>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</si>
  <si>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</si>
  <si>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</si>
  <si>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</si>
  <si>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</si>
  <si>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</si>
  <si>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</si>
  <si>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</si>
  <si>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</si>
  <si>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</si>
  <si>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</si>
  <si>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</si>
  <si>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</si>
  <si>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</si>
  <si>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</si>
  <si>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</si>
  <si>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</si>
  <si>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</si>
  <si>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</si>
  <si>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</si>
  <si>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</si>
  <si>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</si>
  <si>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</si>
  <si>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</si>
  <si>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</si>
  <si>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</si>
  <si>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</si>
  <si>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</si>
  <si>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</si>
  <si>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</si>
  <si>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</si>
  <si>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</si>
  <si>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</si>
  <si>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</si>
  <si>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</si>
  <si>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</si>
  <si>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</si>
  <si>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</si>
  <si>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</si>
  <si>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</si>
  <si>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</si>
  <si>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</si>
  <si>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</si>
  <si>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</si>
  <si>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</si>
  <si>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</si>
  <si>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</si>
  <si>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</si>
  <si>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</si>
  <si>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</si>
  <si>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</si>
  <si>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</si>
  <si>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</si>
  <si>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</si>
  <si>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</si>
  <si>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</si>
  <si>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</si>
  <si>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</si>
  <si>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</si>
  <si>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</si>
  <si>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</si>
  <si>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</si>
  <si>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</si>
  <si>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</si>
  <si>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</si>
  <si>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</si>
  <si>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</si>
  <si>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</si>
  <si>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</si>
  <si>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</si>
  <si>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</si>
  <si>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</si>
  <si>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</si>
  <si>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</si>
  <si>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</si>
  <si>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</si>
  <si>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</si>
  <si>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</si>
  <si>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</si>
  <si>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</si>
  <si>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</si>
  <si>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</si>
  <si>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</si>
  <si>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</si>
  <si>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</si>
  <si>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</si>
  <si>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</si>
  <si>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</si>
  <si>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</si>
  <si>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</si>
  <si>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</si>
  <si>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</si>
  <si>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</si>
  <si>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</si>
  <si>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</si>
  <si>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</si>
  <si>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</si>
  <si>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</si>
  <si>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</si>
  <si>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</si>
  <si>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</si>
  <si>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</si>
  <si>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</si>
  <si>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</si>
  <si>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</si>
  <si>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</si>
  <si>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</si>
  <si>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</si>
  <si>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</si>
  <si>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</si>
  <si>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</si>
  <si>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</si>
  <si>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</si>
  <si>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</si>
  <si>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</si>
  <si>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</si>
  <si>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</si>
  <si>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</si>
  <si>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</si>
  <si>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</si>
  <si>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</si>
  <si>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</si>
  <si>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</si>
  <si>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</si>
  <si>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</si>
  <si>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</si>
  <si>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</si>
  <si>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</si>
  <si>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</si>
  <si>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</si>
  <si>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</si>
  <si>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</si>
  <si>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</si>
  <si>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</si>
  <si>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</si>
  <si>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</si>
  <si>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</si>
  <si>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</si>
  <si>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</si>
  <si>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</si>
  <si>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</si>
  <si>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</si>
  <si>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</si>
  <si>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</si>
  <si>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</si>
  <si>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</si>
  <si>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</si>
  <si>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</si>
  <si>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</si>
  <si>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</si>
  <si>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</si>
  <si>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</si>
  <si>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</si>
  <si>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</si>
  <si>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</si>
  <si>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</si>
  <si>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</si>
  <si>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</si>
  <si>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</si>
  <si>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</si>
  <si>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</si>
  <si>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</si>
  <si>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</si>
  <si>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</si>
  <si>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</si>
  <si>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</si>
  <si>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</si>
  <si>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</si>
  <si>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</si>
  <si>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</si>
  <si>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</si>
  <si>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</si>
  <si>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</si>
  <si>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</si>
  <si>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</si>
  <si>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</si>
  <si>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</si>
  <si>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</si>
  <si>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</si>
  <si>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</si>
  <si>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</si>
  <si>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</si>
  <si>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</si>
  <si>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</si>
  <si>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</si>
  <si>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</si>
  <si>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</si>
  <si>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</si>
  <si>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</si>
  <si>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</si>
  <si>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</si>
  <si>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</si>
  <si>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</si>
  <si>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</si>
  <si>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</si>
  <si>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</si>
  <si>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</si>
  <si>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</si>
  <si>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</si>
  <si>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</si>
  <si>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</si>
  <si>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</si>
  <si>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</si>
  <si>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</si>
  <si>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</si>
  <si>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</si>
  <si>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</si>
  <si>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</si>
  <si>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</si>
  <si>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</si>
  <si>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</si>
  <si>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</si>
  <si>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</si>
  <si>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</si>
  <si>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</si>
  <si>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</si>
  <si>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</si>
  <si>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</si>
  <si>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</si>
  <si>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</si>
  <si>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</si>
  <si>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</si>
  <si>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</si>
  <si>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</si>
  <si>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</si>
  <si>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</si>
  <si>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</si>
  <si>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</si>
  <si>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</si>
  <si>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</si>
  <si>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</si>
  <si>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</si>
  <si>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</si>
  <si>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</si>
  <si>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</si>
  <si>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</si>
  <si>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</si>
  <si>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</si>
  <si>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</si>
  <si>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</si>
  <si>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</si>
  <si>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</si>
  <si>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</si>
  <si>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</si>
  <si>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</si>
  <si>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</si>
  <si>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</si>
  <si>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</si>
  <si>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</si>
  <si>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</si>
  <si>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</si>
  <si>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</si>
  <si>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</si>
  <si>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</si>
  <si>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</si>
  <si>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</si>
  <si>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</si>
  <si>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</si>
  <si>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</si>
  <si>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</si>
  <si>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</si>
  <si>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</si>
  <si>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</si>
  <si>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</si>
  <si>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</si>
  <si>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</si>
  <si>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</si>
  <si>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</si>
  <si>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</si>
  <si>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</si>
  <si>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</si>
  <si>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</si>
  <si>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</si>
  <si>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</si>
  <si>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</si>
  <si>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</si>
  <si>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</si>
  <si>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</si>
  <si>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</si>
  <si>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</si>
  <si>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</si>
  <si>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</si>
  <si>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</si>
  <si>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</si>
  <si>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</si>
  <si>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</si>
  <si>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</si>
  <si>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</si>
  <si>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</si>
  <si>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</si>
  <si>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</si>
  <si>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</si>
  <si>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</si>
  <si>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</si>
  <si>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</si>
  <si>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</si>
  <si>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</si>
  <si>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</si>
  <si>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</si>
  <si>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</si>
  <si>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</si>
  <si>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</si>
  <si>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</si>
  <si>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</si>
  <si>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</si>
  <si>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</si>
  <si>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</si>
  <si>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</si>
  <si>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</si>
  <si>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</si>
  <si>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</si>
  <si>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</si>
  <si>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</si>
  <si>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</si>
  <si>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</si>
  <si>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</si>
  <si>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</si>
  <si>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</si>
  <si>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</si>
  <si>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</si>
  <si>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</si>
  <si>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</si>
  <si>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</si>
  <si>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</si>
  <si>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</si>
  <si>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</si>
  <si>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</si>
  <si>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</si>
  <si>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</si>
  <si>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</si>
  <si>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</si>
  <si>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</si>
  <si>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</si>
  <si>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</si>
  <si>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</si>
  <si>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</si>
  <si>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</si>
  <si>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</si>
  <si>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</si>
  <si>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</si>
  <si>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</si>
  <si>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</si>
  <si>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</si>
  <si>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</si>
  <si>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</si>
  <si>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</si>
  <si>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</si>
  <si>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</si>
  <si>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</si>
  <si>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</si>
  <si>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</si>
  <si>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</si>
  <si>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</si>
  <si>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</si>
  <si>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</si>
  <si>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</si>
  <si>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</si>
  <si>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</si>
  <si>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</si>
  <si>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</si>
  <si>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</si>
  <si>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</si>
  <si>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</si>
  <si>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</si>
  <si>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</si>
  <si>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</si>
  <si>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</si>
  <si>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</si>
  <si>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</si>
  <si>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</si>
  <si>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</si>
  <si>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</si>
  <si>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</si>
  <si>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</si>
  <si>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</si>
  <si>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</si>
  <si>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</si>
  <si>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</si>
  <si>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</si>
  <si>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</si>
  <si>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</si>
  <si>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</si>
  <si>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</si>
  <si>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현행화 일자: 2026-09-03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</si>
</sst>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1668</v>
      </c>
      <c r="D38" s="15" t="s">
        <v>80</v>
      </c>
      <c r="E38" s="11" t="s">
        <v>26</v>
      </c>
      <c r="F38" s="11" t="s">
        <v>1669</v>
      </c>
      <c r="G38" s="12">
        <v>1849</v>
      </c>
      <c r="H38" s="12">
        <v>2319</v>
      </c>
      <c r="I38" s="12"/>
      <c r="J38" s="12">
        <v>1819</v>
      </c>
      <c r="K38" s="12">
        <f t="shared" si="1"/>
        <v>0</v>
      </c>
      <c r="L38" s="12">
        <f t="shared" si="2"/>
        <v>1849</v>
      </c>
      <c r="M38" s="12">
        <f t="shared" si="3"/>
        <v>2319</v>
      </c>
      <c r="N38" s="12">
        <f t="shared" si="4"/>
        <v>1819</v>
      </c>
      <c r="O38" s="12" t="str">
        <f t="shared" si="5"/>
        <v>휘발유 46,225원 / 고급유 46,380원</v>
      </c>
      <c r="P38" s="12">
        <f t="shared" si="6"/>
        <v>92605</v>
      </c>
      <c r="Q38" s="12" t="s">
        <v>63</v>
      </c>
      <c r="R38" s="13">
        <f t="shared" si="7"/>
        <v>0.1</v>
      </c>
      <c r="S38" s="12">
        <f t="shared" si="8"/>
        <v>9260</v>
      </c>
      <c r="T38" s="12">
        <f t="shared" si="9"/>
        <v>83345</v>
      </c>
      <c r="U38" s="12">
        <f t="shared" si="10"/>
        <v>1852.1111111111111</v>
      </c>
      <c r="V38" s="12">
        <f t="shared" si="11"/>
        <v>2057.8888888888887</v>
      </c>
      <c r="W38" s="14">
        <f t="shared" si="12"/>
        <v>83345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1015</v>
      </c>
      <c r="D39" s="15" t="s">
        <v>80</v>
      </c>
      <c r="E39" s="11" t="s">
        <v>26</v>
      </c>
      <c r="F39" s="11" t="s">
        <v>1016</v>
      </c>
      <c r="G39" s="12">
        <v>1849</v>
      </c>
      <c r="H39" s="12">
        <v>2328</v>
      </c>
      <c r="I39" s="12"/>
      <c r="J39" s="12">
        <v>1839</v>
      </c>
      <c r="K39" s="12">
        <f t="shared" si="1"/>
        <v>0</v>
      </c>
      <c r="L39" s="12">
        <f t="shared" si="2"/>
        <v>1849</v>
      </c>
      <c r="M39" s="12">
        <f t="shared" si="3"/>
        <v>2328</v>
      </c>
      <c r="N39" s="12">
        <f t="shared" si="4"/>
        <v>1839</v>
      </c>
      <c r="O39" s="12" t="str">
        <f t="shared" si="5"/>
        <v>휘발유 46,225원 / 고급유 46,560원</v>
      </c>
      <c r="P39" s="12">
        <f t="shared" si="6"/>
        <v>92785</v>
      </c>
      <c r="Q39" s="12" t="s">
        <v>63</v>
      </c>
      <c r="R39" s="13">
        <f t="shared" si="7"/>
        <v>0.1</v>
      </c>
      <c r="S39" s="12">
        <f t="shared" si="8"/>
        <v>9278</v>
      </c>
      <c r="T39" s="12">
        <f t="shared" si="9"/>
        <v>83507</v>
      </c>
      <c r="U39" s="12">
        <f t="shared" si="10"/>
        <v>1855.7111111111112</v>
      </c>
      <c r="V39" s="12">
        <f t="shared" si="11"/>
        <v>2061.8888888888887</v>
      </c>
      <c r="W39" s="14">
        <f t="shared" si="12"/>
        <v>83507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1712</v>
      </c>
      <c r="D57" s="15" t="s">
        <v>45</v>
      </c>
      <c r="E57" s="11" t="s">
        <v>26</v>
      </c>
      <c r="F57" s="11" t="s">
        <v>1713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320</v>
      </c>
      <c r="D58" s="15" t="s">
        <v>45</v>
      </c>
      <c r="E58" s="11" t="s">
        <v>26</v>
      </c>
      <c r="F58" s="11" t="s">
        <v>321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1336</v>
      </c>
      <c r="D59" s="15" t="s">
        <v>45</v>
      </c>
      <c r="E59" s="11" t="s">
        <v>26</v>
      </c>
      <c r="F59" s="11" t="s">
        <v>1337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1517</v>
      </c>
      <c r="D60" s="15" t="s">
        <v>45</v>
      </c>
      <c r="E60" s="11" t="s">
        <v>26</v>
      </c>
      <c r="F60" s="11" t="s">
        <v>1518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888</v>
      </c>
      <c r="D61" s="15" t="s">
        <v>45</v>
      </c>
      <c r="E61" s="11" t="s">
        <v>26</v>
      </c>
      <c r="F61" s="11" t="s">
        <v>889</v>
      </c>
      <c r="G61" s="12">
        <v>1818</v>
      </c>
      <c r="H61" s="12">
        <v>2239</v>
      </c>
      <c r="I61" s="12"/>
      <c r="J61" s="12">
        <v>1799</v>
      </c>
      <c r="K61" s="12">
        <f t="shared" si="1"/>
        <v>0</v>
      </c>
      <c r="L61" s="12">
        <f t="shared" si="2"/>
        <v>1818</v>
      </c>
      <c r="M61" s="12">
        <f t="shared" si="3"/>
        <v>2239</v>
      </c>
      <c r="N61" s="12">
        <f t="shared" si="4"/>
        <v>1799</v>
      </c>
      <c r="O61" s="12" t="str">
        <f t="shared" si="5"/>
        <v>휘발유 45,450원 / 고급유 44,780원</v>
      </c>
      <c r="P61" s="12">
        <f t="shared" si="6"/>
        <v>90230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90230</v>
      </c>
      <c r="U61" s="12">
        <f t="shared" si="10"/>
        <v>2005.1111111111111</v>
      </c>
      <c r="V61" s="12">
        <f t="shared" si="11"/>
        <v>2005.1111111111111</v>
      </c>
      <c r="W61" s="14">
        <f t="shared" si="12"/>
        <v>90230</v>
      </c>
    </row>
    <row r="62" spans="1:23" s="16" customFormat="1" ht="28.5" customHeight="1">
      <c r="A62" s="11">
        <f t="shared" si="0"/>
        <v>48</v>
      </c>
      <c r="B62" s="11" t="s">
        <v>16</v>
      </c>
      <c r="C62" s="11" t="s">
        <v>651</v>
      </c>
      <c r="D62" s="11" t="s">
        <v>57</v>
      </c>
      <c r="E62" s="11" t="s">
        <v>26</v>
      </c>
      <c r="F62" s="11" t="s">
        <v>652</v>
      </c>
      <c r="G62" s="12">
        <v>1859</v>
      </c>
      <c r="H62" s="12">
        <v>2190</v>
      </c>
      <c r="I62" s="12"/>
      <c r="J62" s="12">
        <v>1819</v>
      </c>
      <c r="K62" s="12">
        <f t="shared" si="1"/>
        <v>0</v>
      </c>
      <c r="L62" s="12">
        <f t="shared" si="2"/>
        <v>1859</v>
      </c>
      <c r="M62" s="12">
        <f t="shared" si="3"/>
        <v>2190</v>
      </c>
      <c r="N62" s="12">
        <f t="shared" si="4"/>
        <v>1819</v>
      </c>
      <c r="O62" s="12" t="str">
        <f t="shared" si="5"/>
        <v>휘발유 46,475원 / 고급유 43,800원</v>
      </c>
      <c r="P62" s="12">
        <f t="shared" si="6"/>
        <v>90275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90275</v>
      </c>
      <c r="U62" s="12">
        <f t="shared" si="10"/>
        <v>2006.1111111111111</v>
      </c>
      <c r="V62" s="12">
        <f t="shared" si="11"/>
        <v>2006.1111111111111</v>
      </c>
      <c r="W62" s="14">
        <f t="shared" si="12"/>
        <v>90275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52</v>
      </c>
      <c r="D63" s="15" t="s">
        <v>45</v>
      </c>
      <c r="E63" s="11" t="s">
        <v>26</v>
      </c>
      <c r="F63" s="11" t="s">
        <v>53</v>
      </c>
      <c r="G63" s="12">
        <v>1807</v>
      </c>
      <c r="H63" s="12">
        <v>2256</v>
      </c>
      <c r="I63" s="12"/>
      <c r="J63" s="12">
        <v>1787</v>
      </c>
      <c r="K63" s="12">
        <f t="shared" si="1"/>
        <v>0</v>
      </c>
      <c r="L63" s="12">
        <f t="shared" si="2"/>
        <v>1807</v>
      </c>
      <c r="M63" s="12">
        <f t="shared" si="3"/>
        <v>2256</v>
      </c>
      <c r="N63" s="12">
        <f t="shared" si="4"/>
        <v>1787</v>
      </c>
      <c r="O63" s="12" t="str">
        <f t="shared" si="5"/>
        <v>휘발유 45,175원 / 고급유 45,120원</v>
      </c>
      <c r="P63" s="12">
        <f t="shared" si="6"/>
        <v>90295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90295</v>
      </c>
      <c r="U63" s="12">
        <f t="shared" si="10"/>
        <v>2006.5555555555557</v>
      </c>
      <c r="V63" s="12">
        <f t="shared" si="11"/>
        <v>2006.5555555555557</v>
      </c>
      <c r="W63" s="14">
        <f t="shared" si="12"/>
        <v>90295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563</v>
      </c>
      <c r="D64" s="15" t="s">
        <v>45</v>
      </c>
      <c r="E64" s="11" t="s">
        <v>26</v>
      </c>
      <c r="F64" s="11" t="s">
        <v>564</v>
      </c>
      <c r="G64" s="12">
        <v>1824</v>
      </c>
      <c r="H64" s="12">
        <v>2235</v>
      </c>
      <c r="I64" s="12"/>
      <c r="J64" s="12">
        <v>1814</v>
      </c>
      <c r="K64" s="12">
        <f t="shared" si="1"/>
        <v>0</v>
      </c>
      <c r="L64" s="12">
        <f t="shared" si="2"/>
        <v>1824</v>
      </c>
      <c r="M64" s="12">
        <f t="shared" si="3"/>
        <v>2235</v>
      </c>
      <c r="N64" s="12">
        <f t="shared" si="4"/>
        <v>1814</v>
      </c>
      <c r="O64" s="12" t="str">
        <f t="shared" si="5"/>
        <v>휘발유 45,600원 / 고급유 44,700원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2" customFormat="1" ht="28.5" customHeight="1">
      <c r="A65" s="11">
        <f t="shared" si="0"/>
        <v>50</v>
      </c>
      <c r="B65" s="11" t="s">
        <v>16</v>
      </c>
      <c r="C65" s="11" t="s">
        <v>1175</v>
      </c>
      <c r="D65" s="15" t="s">
        <v>60</v>
      </c>
      <c r="E65" s="11" t="s">
        <v>26</v>
      </c>
      <c r="F65" s="11" t="s">
        <v>1176</v>
      </c>
      <c r="G65" s="12">
        <v>1860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1860</v>
      </c>
      <c r="M65" s="12">
        <f t="shared" si="3"/>
        <v>2190</v>
      </c>
      <c r="N65" s="12">
        <f t="shared" si="4"/>
        <v>1819</v>
      </c>
      <c r="O65" s="12" t="str">
        <f t="shared" si="5"/>
        <v>휘발유 46,500원 / 고급유 43,800원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1041</v>
      </c>
      <c r="D66" s="11" t="s">
        <v>57</v>
      </c>
      <c r="E66" s="11" t="s">
        <v>26</v>
      </c>
      <c r="F66" s="11" t="s">
        <v>1042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1137</v>
      </c>
      <c r="D67" s="15" t="s">
        <v>45</v>
      </c>
      <c r="E67" s="11" t="s">
        <v>26</v>
      </c>
      <c r="F67" s="11" t="s">
        <v>1138</v>
      </c>
      <c r="G67" s="12">
        <v>1805</v>
      </c>
      <c r="H67" s="12">
        <v>2260</v>
      </c>
      <c r="I67" s="12"/>
      <c r="J67" s="12">
        <v>1793</v>
      </c>
      <c r="K67" s="12">
        <f t="shared" si="1"/>
        <v>0</v>
      </c>
      <c r="L67" s="12">
        <f t="shared" si="2"/>
        <v>1805</v>
      </c>
      <c r="M67" s="12">
        <f t="shared" si="3"/>
        <v>2260</v>
      </c>
      <c r="N67" s="12">
        <f t="shared" si="4"/>
        <v>1793</v>
      </c>
      <c r="O67" s="12" t="str">
        <f t="shared" si="5"/>
        <v>휘발유 45,125원 / 고급유 45,200원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53</v>
      </c>
      <c r="B68" s="11" t="s">
        <v>8</v>
      </c>
      <c r="C68" s="11" t="s">
        <v>816</v>
      </c>
      <c r="D68" s="15" t="s">
        <v>80</v>
      </c>
      <c r="E68" s="11" t="s">
        <v>26</v>
      </c>
      <c r="F68" s="11" t="s">
        <v>817</v>
      </c>
      <c r="G68" s="12">
        <v>1829</v>
      </c>
      <c r="H68" s="12">
        <v>2230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2230</v>
      </c>
      <c r="N68" s="12">
        <f t="shared" si="4"/>
        <v>1809</v>
      </c>
      <c r="O68" s="12" t="str">
        <f t="shared" si="5"/>
        <v>휘발유 45,725원 / 고급유 44,600원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55</v>
      </c>
      <c r="B69" s="11" t="s">
        <v>12</v>
      </c>
      <c r="C69" s="11" t="s">
        <v>1636</v>
      </c>
      <c r="D69" s="15" t="s">
        <v>60</v>
      </c>
      <c r="E69" s="11" t="s">
        <v>26</v>
      </c>
      <c r="F69" s="11" t="s">
        <v>1637</v>
      </c>
      <c r="G69" s="12">
        <v>1819</v>
      </c>
      <c r="H69" s="12">
        <v>2245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2245</v>
      </c>
      <c r="N69" s="12">
        <f t="shared" si="4"/>
        <v>1799</v>
      </c>
      <c r="O69" s="12" t="str">
        <f t="shared" si="5"/>
        <v>휘발유 45,475원 / 고급유 44,900원</v>
      </c>
      <c r="P69" s="12">
        <f t="shared" si="6"/>
        <v>90375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90375</v>
      </c>
      <c r="U69" s="12">
        <f t="shared" si="10"/>
        <v>2008.3333333333333</v>
      </c>
      <c r="V69" s="12">
        <f t="shared" si="11"/>
        <v>2008.3333333333333</v>
      </c>
      <c r="W69" s="14">
        <f t="shared" si="12"/>
        <v>90375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1383</v>
      </c>
      <c r="D70" s="15" t="s">
        <v>80</v>
      </c>
      <c r="E70" s="11" t="s">
        <v>26</v>
      </c>
      <c r="F70" s="11" t="s">
        <v>1384</v>
      </c>
      <c r="G70" s="12">
        <v>1818</v>
      </c>
      <c r="H70" s="12">
        <v>2248</v>
      </c>
      <c r="I70" s="12"/>
      <c r="J70" s="12">
        <v>1798</v>
      </c>
      <c r="K70" s="12">
        <f t="shared" si="1"/>
        <v>0</v>
      </c>
      <c r="L70" s="12">
        <f t="shared" si="2"/>
        <v>1818</v>
      </c>
      <c r="M70" s="12">
        <f t="shared" si="3"/>
        <v>2248</v>
      </c>
      <c r="N70" s="12">
        <f t="shared" si="4"/>
        <v>1798</v>
      </c>
      <c r="O70" s="12" t="str">
        <f t="shared" si="5"/>
        <v>휘발유 45,450원 / 고급유 44,960원</v>
      </c>
      <c r="P70" s="12">
        <f t="shared" si="6"/>
        <v>90410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90410</v>
      </c>
      <c r="U70" s="12">
        <f t="shared" si="10"/>
        <v>2009.1111111111111</v>
      </c>
      <c r="V70" s="12">
        <f t="shared" si="11"/>
        <v>2009.1111111111111</v>
      </c>
      <c r="W70" s="14">
        <f t="shared" si="12"/>
        <v>90410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246</v>
      </c>
      <c r="D71" s="15" t="s">
        <v>45</v>
      </c>
      <c r="E71" s="11" t="s">
        <v>26</v>
      </c>
      <c r="F71" s="11" t="s">
        <v>247</v>
      </c>
      <c r="G71" s="12">
        <v>1806</v>
      </c>
      <c r="H71" s="12">
        <v>2264</v>
      </c>
      <c r="I71" s="12"/>
      <c r="J71" s="12">
        <v>1792</v>
      </c>
      <c r="K71" s="12">
        <f t="shared" si="1"/>
        <v>0</v>
      </c>
      <c r="L71" s="12">
        <f t="shared" si="2"/>
        <v>1806</v>
      </c>
      <c r="M71" s="12">
        <f t="shared" si="3"/>
        <v>2264</v>
      </c>
      <c r="N71" s="12">
        <f t="shared" si="4"/>
        <v>1792</v>
      </c>
      <c r="O71" s="12" t="str">
        <f t="shared" si="5"/>
        <v>휘발유 45,150원 / 고급유 45,280원</v>
      </c>
      <c r="P71" s="12">
        <f t="shared" si="6"/>
        <v>90430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90430</v>
      </c>
      <c r="U71" s="12">
        <f t="shared" si="10"/>
        <v>2009.5555555555557</v>
      </c>
      <c r="V71" s="12">
        <f t="shared" si="11"/>
        <v>2009.5555555555557</v>
      </c>
      <c r="W71" s="14">
        <f t="shared" si="12"/>
        <v>90430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108</v>
      </c>
      <c r="D72" s="11" t="s">
        <v>57</v>
      </c>
      <c r="E72" s="11" t="s">
        <v>26</v>
      </c>
      <c r="F72" s="11" t="s">
        <v>109</v>
      </c>
      <c r="G72" s="12">
        <v>1819</v>
      </c>
      <c r="H72" s="12">
        <v>2248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2248</v>
      </c>
      <c r="N72" s="12">
        <f t="shared" si="4"/>
        <v>1799</v>
      </c>
      <c r="O72" s="12" t="str">
        <f t="shared" si="5"/>
        <v>휘발유 45,475원 / 고급유 44,960원</v>
      </c>
      <c r="P72" s="12">
        <f t="shared" si="6"/>
        <v>90435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90435</v>
      </c>
      <c r="U72" s="12">
        <f t="shared" si="10"/>
        <v>2009.6666666666667</v>
      </c>
      <c r="V72" s="12">
        <f t="shared" si="11"/>
        <v>2009.6666666666667</v>
      </c>
      <c r="W72" s="14">
        <f t="shared" si="12"/>
        <v>90435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244</v>
      </c>
      <c r="D73" s="15" t="s">
        <v>80</v>
      </c>
      <c r="E73" s="11" t="s">
        <v>26</v>
      </c>
      <c r="F73" s="11" t="s">
        <v>245</v>
      </c>
      <c r="G73" s="12">
        <v>1815</v>
      </c>
      <c r="H73" s="12">
        <v>2255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2255</v>
      </c>
      <c r="N73" s="12">
        <f t="shared" si="4"/>
        <v>1825</v>
      </c>
      <c r="O73" s="12" t="str">
        <f t="shared" si="5"/>
        <v>휘발유 45,375원 / 고급유 45,100원</v>
      </c>
      <c r="P73" s="12">
        <f t="shared" si="6"/>
        <v>90475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90475</v>
      </c>
      <c r="U73" s="12">
        <f t="shared" si="10"/>
        <v>2010.5555555555557</v>
      </c>
      <c r="V73" s="12">
        <f t="shared" si="11"/>
        <v>2010.5555555555557</v>
      </c>
      <c r="W73" s="14">
        <f t="shared" si="12"/>
        <v>90475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1045</v>
      </c>
      <c r="D74" s="15" t="s">
        <v>45</v>
      </c>
      <c r="E74" s="11" t="s">
        <v>26</v>
      </c>
      <c r="F74" s="11" t="s">
        <v>1046</v>
      </c>
      <c r="G74" s="12">
        <v>1828</v>
      </c>
      <c r="H74" s="12">
        <v>2239</v>
      </c>
      <c r="I74" s="12"/>
      <c r="J74" s="12">
        <v>1814</v>
      </c>
      <c r="K74" s="12">
        <f t="shared" si="1"/>
        <v>0</v>
      </c>
      <c r="L74" s="12">
        <f t="shared" si="2"/>
        <v>1828</v>
      </c>
      <c r="M74" s="12">
        <f t="shared" si="3"/>
        <v>2239</v>
      </c>
      <c r="N74" s="12">
        <f t="shared" si="4"/>
        <v>1814</v>
      </c>
      <c r="O74" s="12" t="str">
        <f t="shared" si="5"/>
        <v>휘발유 45,700원 / 고급유 44,780원</v>
      </c>
      <c r="P74" s="12">
        <f t="shared" si="6"/>
        <v>90480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90480</v>
      </c>
      <c r="U74" s="12">
        <f t="shared" si="10"/>
        <v>2010.6666666666667</v>
      </c>
      <c r="V74" s="12">
        <f t="shared" si="11"/>
        <v>2010.6666666666667</v>
      </c>
      <c r="W74" s="14">
        <f t="shared" si="12"/>
        <v>90480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584</v>
      </c>
      <c r="D75" s="15" t="s">
        <v>80</v>
      </c>
      <c r="E75" s="11" t="s">
        <v>61</v>
      </c>
      <c r="F75" s="11" t="s">
        <v>585</v>
      </c>
      <c r="G75" s="12">
        <v>1823</v>
      </c>
      <c r="H75" s="12">
        <v>2248</v>
      </c>
      <c r="I75" s="12"/>
      <c r="J75" s="12">
        <v>1829</v>
      </c>
      <c r="K75" s="12">
        <f t="shared" si="1"/>
        <v>0</v>
      </c>
      <c r="L75" s="12">
        <f t="shared" si="2"/>
        <v>1823</v>
      </c>
      <c r="M75" s="12">
        <f t="shared" si="3"/>
        <v>2248</v>
      </c>
      <c r="N75" s="12">
        <f t="shared" si="4"/>
        <v>1829</v>
      </c>
      <c r="O75" s="12" t="str">
        <f t="shared" si="5"/>
        <v>휘발유 45,575원 / 고급유 44,960원</v>
      </c>
      <c r="P75" s="12">
        <f t="shared" si="6"/>
        <v>90535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90535</v>
      </c>
      <c r="U75" s="12">
        <f t="shared" si="10"/>
        <v>2011.8888888888889</v>
      </c>
      <c r="V75" s="12">
        <f t="shared" si="11"/>
        <v>2011.8888888888889</v>
      </c>
      <c r="W75" s="14">
        <f t="shared" si="12"/>
        <v>90535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82</v>
      </c>
      <c r="D76" s="15" t="s">
        <v>60</v>
      </c>
      <c r="E76" s="11" t="s">
        <v>26</v>
      </c>
      <c r="F76" s="11" t="s">
        <v>83</v>
      </c>
      <c r="G76" s="12">
        <v>1788</v>
      </c>
      <c r="H76" s="12">
        <v>2295</v>
      </c>
      <c r="I76" s="12"/>
      <c r="J76" s="12">
        <v>1795</v>
      </c>
      <c r="K76" s="12">
        <f t="shared" si="1"/>
        <v>0</v>
      </c>
      <c r="L76" s="12">
        <f t="shared" si="2"/>
        <v>1788</v>
      </c>
      <c r="M76" s="12">
        <f t="shared" si="3"/>
        <v>2295</v>
      </c>
      <c r="N76" s="12">
        <f t="shared" si="4"/>
        <v>1795</v>
      </c>
      <c r="O76" s="12" t="str">
        <f t="shared" si="5"/>
        <v>휘발유 44,700원 / 고급유 45,900원</v>
      </c>
      <c r="P76" s="12">
        <f t="shared" si="6"/>
        <v>90600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90600</v>
      </c>
      <c r="U76" s="12">
        <f t="shared" si="10"/>
        <v>2013.3333333333333</v>
      </c>
      <c r="V76" s="12">
        <f t="shared" si="11"/>
        <v>2013.3333333333333</v>
      </c>
      <c r="W76" s="14">
        <f t="shared" si="12"/>
        <v>90600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1607</v>
      </c>
      <c r="D77" s="15" t="s">
        <v>80</v>
      </c>
      <c r="E77" s="11" t="s">
        <v>26</v>
      </c>
      <c r="F77" s="11" t="s">
        <v>1608</v>
      </c>
      <c r="G77" s="12">
        <v>1820</v>
      </c>
      <c r="H77" s="12">
        <v>2260</v>
      </c>
      <c r="I77" s="12"/>
      <c r="J77" s="12">
        <v>1810</v>
      </c>
      <c r="K77" s="12">
        <f t="shared" si="1"/>
        <v>0</v>
      </c>
      <c r="L77" s="12">
        <f t="shared" si="2"/>
        <v>1820</v>
      </c>
      <c r="M77" s="12">
        <f t="shared" si="3"/>
        <v>2260</v>
      </c>
      <c r="N77" s="12">
        <f t="shared" si="4"/>
        <v>1810</v>
      </c>
      <c r="O77" s="12" t="str">
        <f t="shared" si="5"/>
        <v>휘발유 45,500원 / 고급유 45,200원</v>
      </c>
      <c r="P77" s="12">
        <f t="shared" si="6"/>
        <v>90700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90700</v>
      </c>
      <c r="U77" s="12">
        <f t="shared" si="10"/>
        <v>2015.5555555555557</v>
      </c>
      <c r="V77" s="12">
        <f t="shared" si="11"/>
        <v>2015.5555555555557</v>
      </c>
      <c r="W77" s="14">
        <f t="shared" si="12"/>
        <v>90700</v>
      </c>
    </row>
    <row r="78" spans="1:23" s="16" customFormat="1" ht="28.5" customHeight="1">
      <c r="A78" s="11">
        <f t="shared" si="0"/>
        <v>64</v>
      </c>
      <c r="B78" s="11" t="s">
        <v>10</v>
      </c>
      <c r="C78" s="11" t="s">
        <v>1340</v>
      </c>
      <c r="D78" s="11" t="s">
        <v>48</v>
      </c>
      <c r="E78" s="11" t="s">
        <v>26</v>
      </c>
      <c r="F78" s="11" t="s">
        <v>1341</v>
      </c>
      <c r="G78" s="12">
        <v>1829</v>
      </c>
      <c r="H78" s="12">
        <v>2249</v>
      </c>
      <c r="I78" s="12"/>
      <c r="J78" s="12">
        <v>1797</v>
      </c>
      <c r="K78" s="12">
        <f t="shared" si="1"/>
        <v>0</v>
      </c>
      <c r="L78" s="12">
        <f t="shared" si="2"/>
        <v>1829</v>
      </c>
      <c r="M78" s="12">
        <f t="shared" si="3"/>
        <v>2249</v>
      </c>
      <c r="N78" s="12">
        <f t="shared" si="4"/>
        <v>1797</v>
      </c>
      <c r="O78" s="12" t="str">
        <f t="shared" si="5"/>
        <v>휘발유 45,725원 / 고급유 44,980원</v>
      </c>
      <c r="P78" s="12">
        <f t="shared" si="6"/>
        <v>90705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90705</v>
      </c>
      <c r="U78" s="12">
        <f t="shared" si="10"/>
        <v>2015.6666666666667</v>
      </c>
      <c r="V78" s="12">
        <f t="shared" si="11"/>
        <v>2015.6666666666667</v>
      </c>
      <c r="W78" s="14">
        <f t="shared" si="12"/>
        <v>90705</v>
      </c>
    </row>
    <row r="79" spans="1:23" s="16" customFormat="1" ht="28.5" customHeight="1">
      <c r="A79" s="11">
        <f t="shared" ref="A79:A142" si="13">IF($T79="","",1+COUNTIF($W$15:$W$882,"&lt;"&amp;W79))</f>
        <v>65</v>
      </c>
      <c r="B79" s="11" t="s">
        <v>6</v>
      </c>
      <c r="C79" s="11" t="s">
        <v>712</v>
      </c>
      <c r="D79" s="15" t="s">
        <v>45</v>
      </c>
      <c r="E79" s="11" t="s">
        <v>26</v>
      </c>
      <c r="F79" s="11" t="s">
        <v>713</v>
      </c>
      <c r="G79" s="12">
        <v>1815</v>
      </c>
      <c r="H79" s="12">
        <v>2269</v>
      </c>
      <c r="I79" s="12"/>
      <c r="J79" s="12">
        <v>1795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2269</v>
      </c>
      <c r="N79" s="12">
        <f t="shared" ref="N79:N142" si="17">IF($J79="","",$J79+$K79)</f>
        <v>1795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45,380원</v>
      </c>
      <c r="P79" s="12">
        <f t="shared" ref="P79:P142" si="19">IF($B$10=0,"",IFERROR(IF($B$4&gt;0,IF($L79="",1/0,$L79*$B$4),0)+IF($B$5&gt;0,IF($M79="",1/0,$M79*$B$5),0)+IF($B$6&gt;0,IF($N79="",1/0,$N79*$B$6),0),""))</f>
        <v>90755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90755</v>
      </c>
      <c r="U79" s="12">
        <f t="shared" ref="U79:U142" si="23">IF($T79="","",IF($B$10=0,"",$T79/$B$10))</f>
        <v>2016.7777777777778</v>
      </c>
      <c r="V79" s="12">
        <f t="shared" ref="V79:V142" si="24">IF($P79="","",IF($B$10=0,"",$P79/$B$10))</f>
        <v>2016.7777777777778</v>
      </c>
      <c r="W79" s="14">
        <f t="shared" ref="W79:W142" si="25">IF($T79="",1000000000000000,$T79)</f>
        <v>90755</v>
      </c>
    </row>
    <row r="80" spans="1:23" s="7" customFormat="1" ht="28.5" customHeight="1">
      <c r="A80" s="11">
        <f t="shared" si="13"/>
        <v>66</v>
      </c>
      <c r="B80" s="11" t="s">
        <v>12</v>
      </c>
      <c r="C80" s="11" t="s">
        <v>894</v>
      </c>
      <c r="D80" s="15" t="s">
        <v>45</v>
      </c>
      <c r="E80" s="11" t="s">
        <v>26</v>
      </c>
      <c r="F80" s="11" t="s">
        <v>895</v>
      </c>
      <c r="G80" s="12">
        <v>1819</v>
      </c>
      <c r="H80" s="12">
        <v>2265</v>
      </c>
      <c r="I80" s="12"/>
      <c r="J80" s="12">
        <v>1799</v>
      </c>
      <c r="K80" s="12">
        <f t="shared" si="14"/>
        <v>0</v>
      </c>
      <c r="L80" s="12">
        <f t="shared" si="15"/>
        <v>1819</v>
      </c>
      <c r="M80" s="12">
        <f t="shared" si="16"/>
        <v>2265</v>
      </c>
      <c r="N80" s="12">
        <f t="shared" si="17"/>
        <v>1799</v>
      </c>
      <c r="O80" s="12" t="str">
        <f t="shared" si="18"/>
        <v>휘발유 45,475원 / 고급유 45,300원</v>
      </c>
      <c r="P80" s="12">
        <f t="shared" si="19"/>
        <v>90775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90775</v>
      </c>
      <c r="U80" s="12">
        <f t="shared" si="23"/>
        <v>2017.2222222222222</v>
      </c>
      <c r="V80" s="12">
        <f t="shared" si="24"/>
        <v>2017.2222222222222</v>
      </c>
      <c r="W80" s="14">
        <f t="shared" si="25"/>
        <v>90775</v>
      </c>
    </row>
    <row r="81" spans="1:23" s="7" customFormat="1" ht="28.5" customHeight="1">
      <c r="A81" s="11">
        <f t="shared" si="13"/>
        <v>67</v>
      </c>
      <c r="B81" s="11" t="s">
        <v>10</v>
      </c>
      <c r="C81" s="11" t="s">
        <v>332</v>
      </c>
      <c r="D81" s="15" t="s">
        <v>80</v>
      </c>
      <c r="E81" s="11" t="s">
        <v>26</v>
      </c>
      <c r="F81" s="11" t="s">
        <v>333</v>
      </c>
      <c r="G81" s="12">
        <v>1824</v>
      </c>
      <c r="H81" s="12">
        <v>2259</v>
      </c>
      <c r="I81" s="12"/>
      <c r="J81" s="12">
        <v>1798</v>
      </c>
      <c r="K81" s="12">
        <f t="shared" si="14"/>
        <v>0</v>
      </c>
      <c r="L81" s="12">
        <f t="shared" si="15"/>
        <v>1824</v>
      </c>
      <c r="M81" s="12">
        <f t="shared" si="16"/>
        <v>2259</v>
      </c>
      <c r="N81" s="12">
        <f t="shared" si="17"/>
        <v>1798</v>
      </c>
      <c r="O81" s="12" t="str">
        <f t="shared" si="18"/>
        <v>휘발유 45,600원 / 고급유 45,180원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2" customFormat="1" ht="28.5" customHeight="1">
      <c r="A82" s="11">
        <f t="shared" si="13"/>
        <v>67</v>
      </c>
      <c r="B82" s="11" t="s">
        <v>18</v>
      </c>
      <c r="C82" s="11" t="s">
        <v>392</v>
      </c>
      <c r="D82" s="15" t="s">
        <v>60</v>
      </c>
      <c r="E82" s="11" t="s">
        <v>26</v>
      </c>
      <c r="F82" s="11" t="s">
        <v>393</v>
      </c>
      <c r="G82" s="12">
        <v>1832</v>
      </c>
      <c r="H82" s="12">
        <v>2249</v>
      </c>
      <c r="I82" s="12"/>
      <c r="J82" s="12">
        <v>1812</v>
      </c>
      <c r="K82" s="12">
        <f t="shared" si="14"/>
        <v>0</v>
      </c>
      <c r="L82" s="12">
        <f t="shared" si="15"/>
        <v>1832</v>
      </c>
      <c r="M82" s="12">
        <f t="shared" si="16"/>
        <v>2249</v>
      </c>
      <c r="N82" s="12">
        <f t="shared" si="17"/>
        <v>1812</v>
      </c>
      <c r="O82" s="12" t="str">
        <f t="shared" si="18"/>
        <v>휘발유 45,800원 / 고급유 44,980원</v>
      </c>
      <c r="P82" s="12">
        <f t="shared" si="19"/>
        <v>90780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90780</v>
      </c>
      <c r="U82" s="12">
        <f t="shared" si="23"/>
        <v>2017.3333333333333</v>
      </c>
      <c r="V82" s="12">
        <f t="shared" si="24"/>
        <v>2017.3333333333333</v>
      </c>
      <c r="W82" s="14">
        <f t="shared" si="25"/>
        <v>90780</v>
      </c>
    </row>
    <row r="83" spans="1:23" s="16" customFormat="1" ht="28.5" customHeight="1">
      <c r="A83" s="11">
        <f t="shared" si="13"/>
        <v>69</v>
      </c>
      <c r="B83" s="11" t="s">
        <v>12</v>
      </c>
      <c r="C83" s="11" t="s">
        <v>310</v>
      </c>
      <c r="D83" s="15" t="s">
        <v>60</v>
      </c>
      <c r="E83" s="11" t="s">
        <v>26</v>
      </c>
      <c r="F83" s="11" t="s">
        <v>311</v>
      </c>
      <c r="G83" s="12">
        <v>1809</v>
      </c>
      <c r="H83" s="12">
        <v>2280</v>
      </c>
      <c r="I83" s="12"/>
      <c r="J83" s="12">
        <v>1814</v>
      </c>
      <c r="K83" s="12">
        <f t="shared" si="14"/>
        <v>0</v>
      </c>
      <c r="L83" s="12">
        <f t="shared" si="15"/>
        <v>1809</v>
      </c>
      <c r="M83" s="12">
        <f t="shared" si="16"/>
        <v>2280</v>
      </c>
      <c r="N83" s="12">
        <f t="shared" si="17"/>
        <v>1814</v>
      </c>
      <c r="O83" s="12" t="str">
        <f t="shared" si="18"/>
        <v>휘발유 45,225원 / 고급유 45,600원</v>
      </c>
      <c r="P83" s="12">
        <f t="shared" si="19"/>
        <v>90825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90825</v>
      </c>
      <c r="U83" s="12">
        <f t="shared" si="23"/>
        <v>2018.3333333333333</v>
      </c>
      <c r="V83" s="12">
        <f t="shared" si="24"/>
        <v>2018.3333333333333</v>
      </c>
      <c r="W83" s="14">
        <f t="shared" si="25"/>
        <v>90825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1543</v>
      </c>
      <c r="D84" s="11" t="s">
        <v>71</v>
      </c>
      <c r="E84" s="11" t="s">
        <v>26</v>
      </c>
      <c r="F84" s="11" t="s">
        <v>1544</v>
      </c>
      <c r="G84" s="12">
        <v>1819</v>
      </c>
      <c r="H84" s="12">
        <v>2268</v>
      </c>
      <c r="I84" s="12"/>
      <c r="J84" s="12">
        <v>1799</v>
      </c>
      <c r="K84" s="12">
        <f t="shared" si="14"/>
        <v>0</v>
      </c>
      <c r="L84" s="12">
        <f t="shared" si="15"/>
        <v>1819</v>
      </c>
      <c r="M84" s="12">
        <f t="shared" si="16"/>
        <v>2268</v>
      </c>
      <c r="N84" s="12">
        <f t="shared" si="17"/>
        <v>1799</v>
      </c>
      <c r="O84" s="12" t="str">
        <f t="shared" si="18"/>
        <v>휘발유 45,475원 / 고급유 45,360원</v>
      </c>
      <c r="P84" s="12">
        <f t="shared" si="19"/>
        <v>90835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90835</v>
      </c>
      <c r="U84" s="12">
        <f t="shared" si="23"/>
        <v>2018.5555555555557</v>
      </c>
      <c r="V84" s="12">
        <f t="shared" si="24"/>
        <v>2018.5555555555557</v>
      </c>
      <c r="W84" s="14">
        <f t="shared" si="25"/>
        <v>90835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747</v>
      </c>
      <c r="D85" s="11" t="s">
        <v>57</v>
      </c>
      <c r="E85" s="11" t="s">
        <v>26</v>
      </c>
      <c r="F85" s="11" t="s">
        <v>748</v>
      </c>
      <c r="G85" s="12">
        <v>1829</v>
      </c>
      <c r="H85" s="12">
        <v>2259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2259</v>
      </c>
      <c r="N85" s="12">
        <f t="shared" si="17"/>
        <v>1809</v>
      </c>
      <c r="O85" s="12" t="str">
        <f t="shared" si="18"/>
        <v>휘발유 45,725원 / 고급유 45,180원</v>
      </c>
      <c r="P85" s="12">
        <f t="shared" si="19"/>
        <v>90905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90905</v>
      </c>
      <c r="U85" s="12">
        <f t="shared" si="23"/>
        <v>2020.1111111111111</v>
      </c>
      <c r="V85" s="12">
        <f t="shared" si="24"/>
        <v>2020.1111111111111</v>
      </c>
      <c r="W85" s="14">
        <f t="shared" si="25"/>
        <v>90905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449</v>
      </c>
      <c r="D86" s="11" t="s">
        <v>57</v>
      </c>
      <c r="E86" s="11" t="s">
        <v>26</v>
      </c>
      <c r="F86" s="11" t="s">
        <v>450</v>
      </c>
      <c r="G86" s="12">
        <v>1847</v>
      </c>
      <c r="H86" s="12">
        <v>2237</v>
      </c>
      <c r="I86" s="12"/>
      <c r="J86" s="12">
        <v>1827</v>
      </c>
      <c r="K86" s="12">
        <f t="shared" si="14"/>
        <v>0</v>
      </c>
      <c r="L86" s="12">
        <f t="shared" si="15"/>
        <v>1847</v>
      </c>
      <c r="M86" s="12">
        <f t="shared" si="16"/>
        <v>2237</v>
      </c>
      <c r="N86" s="12">
        <f t="shared" si="17"/>
        <v>1827</v>
      </c>
      <c r="O86" s="12" t="str">
        <f t="shared" si="18"/>
        <v>휘발유 46,175원 / 고급유 44,740원</v>
      </c>
      <c r="P86" s="12">
        <f t="shared" si="19"/>
        <v>90915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90915</v>
      </c>
      <c r="U86" s="12">
        <f t="shared" si="23"/>
        <v>2020.3333333333333</v>
      </c>
      <c r="V86" s="12">
        <f t="shared" si="24"/>
        <v>2020.3333333333333</v>
      </c>
      <c r="W86" s="14">
        <f t="shared" si="25"/>
        <v>90915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565</v>
      </c>
      <c r="D87" s="15" t="s">
        <v>45</v>
      </c>
      <c r="E87" s="11" t="s">
        <v>26</v>
      </c>
      <c r="F87" s="11" t="s">
        <v>566</v>
      </c>
      <c r="G87" s="12">
        <v>1819</v>
      </c>
      <c r="H87" s="12">
        <v>2275</v>
      </c>
      <c r="I87" s="12"/>
      <c r="J87" s="12">
        <v>1798</v>
      </c>
      <c r="K87" s="12">
        <f t="shared" si="14"/>
        <v>0</v>
      </c>
      <c r="L87" s="12">
        <f t="shared" si="15"/>
        <v>1819</v>
      </c>
      <c r="M87" s="12">
        <f t="shared" si="16"/>
        <v>2275</v>
      </c>
      <c r="N87" s="12">
        <f t="shared" si="17"/>
        <v>1798</v>
      </c>
      <c r="O87" s="12" t="str">
        <f t="shared" si="18"/>
        <v>휘발유 45,475원 / 고급유 45,500원</v>
      </c>
      <c r="P87" s="12">
        <f t="shared" si="19"/>
        <v>90975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90975</v>
      </c>
      <c r="U87" s="12">
        <f t="shared" si="23"/>
        <v>2021.6666666666667</v>
      </c>
      <c r="V87" s="12">
        <f t="shared" si="24"/>
        <v>2021.6666666666667</v>
      </c>
      <c r="W87" s="14">
        <f t="shared" si="25"/>
        <v>90975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1409</v>
      </c>
      <c r="D88" s="15" t="s">
        <v>60</v>
      </c>
      <c r="E88" s="11" t="s">
        <v>61</v>
      </c>
      <c r="F88" s="11" t="s">
        <v>1410</v>
      </c>
      <c r="G88" s="12">
        <v>1828</v>
      </c>
      <c r="H88" s="12">
        <v>2265</v>
      </c>
      <c r="I88" s="12"/>
      <c r="J88" s="12">
        <v>1799</v>
      </c>
      <c r="K88" s="12">
        <f t="shared" si="14"/>
        <v>0</v>
      </c>
      <c r="L88" s="12">
        <f t="shared" si="15"/>
        <v>1828</v>
      </c>
      <c r="M88" s="12">
        <f t="shared" si="16"/>
        <v>2265</v>
      </c>
      <c r="N88" s="12">
        <f t="shared" si="17"/>
        <v>1799</v>
      </c>
      <c r="O88" s="12" t="str">
        <f t="shared" si="18"/>
        <v>휘발유 45,700원 / 고급유 45,300원</v>
      </c>
      <c r="P88" s="12">
        <f t="shared" si="19"/>
        <v>91000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91000</v>
      </c>
      <c r="U88" s="12">
        <f t="shared" si="23"/>
        <v>2022.2222222222222</v>
      </c>
      <c r="V88" s="12">
        <f t="shared" si="24"/>
        <v>2022.2222222222222</v>
      </c>
      <c r="W88" s="14">
        <f t="shared" si="25"/>
        <v>91000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264</v>
      </c>
      <c r="D89" s="15" t="s">
        <v>80</v>
      </c>
      <c r="E89" s="11" t="s">
        <v>26</v>
      </c>
      <c r="F89" s="11" t="s">
        <v>265</v>
      </c>
      <c r="G89" s="12">
        <v>1858</v>
      </c>
      <c r="H89" s="12">
        <v>2229</v>
      </c>
      <c r="I89" s="12"/>
      <c r="J89" s="12">
        <v>1808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1808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75</v>
      </c>
      <c r="B90" s="11" t="s">
        <v>12</v>
      </c>
      <c r="C90" s="11" t="s">
        <v>252</v>
      </c>
      <c r="D90" s="15" t="s">
        <v>80</v>
      </c>
      <c r="E90" s="11" t="s">
        <v>26</v>
      </c>
      <c r="F90" s="11" t="s">
        <v>253</v>
      </c>
      <c r="G90" s="12">
        <v>1858</v>
      </c>
      <c r="H90" s="12">
        <v>2229</v>
      </c>
      <c r="I90" s="12"/>
      <c r="J90" s="12">
        <v>1809</v>
      </c>
      <c r="K90" s="12">
        <f t="shared" si="14"/>
        <v>0</v>
      </c>
      <c r="L90" s="12">
        <f t="shared" si="15"/>
        <v>1858</v>
      </c>
      <c r="M90" s="12">
        <f t="shared" si="16"/>
        <v>2229</v>
      </c>
      <c r="N90" s="12">
        <f t="shared" si="17"/>
        <v>1809</v>
      </c>
      <c r="O90" s="12" t="str">
        <f t="shared" si="18"/>
        <v>휘발유 46,450원 / 고급유 44,580원</v>
      </c>
      <c r="P90" s="12">
        <f t="shared" si="19"/>
        <v>91030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91030</v>
      </c>
      <c r="U90" s="12">
        <f t="shared" si="23"/>
        <v>2022.8888888888889</v>
      </c>
      <c r="V90" s="12">
        <f t="shared" si="24"/>
        <v>2022.8888888888889</v>
      </c>
      <c r="W90" s="14">
        <f t="shared" si="25"/>
        <v>91030</v>
      </c>
    </row>
    <row r="91" spans="1:23" s="7" customFormat="1" ht="28.5" customHeight="1">
      <c r="A91" s="11">
        <f t="shared" si="13"/>
        <v>77</v>
      </c>
      <c r="B91" s="11" t="s">
        <v>6</v>
      </c>
      <c r="C91" s="11" t="s">
        <v>1237</v>
      </c>
      <c r="D91" s="15" t="s">
        <v>45</v>
      </c>
      <c r="E91" s="11" t="s">
        <v>26</v>
      </c>
      <c r="F91" s="11" t="s">
        <v>1238</v>
      </c>
      <c r="G91" s="12">
        <v>1805</v>
      </c>
      <c r="H91" s="12">
        <v>2298</v>
      </c>
      <c r="I91" s="12"/>
      <c r="J91" s="12">
        <v>1793</v>
      </c>
      <c r="K91" s="12">
        <f t="shared" si="14"/>
        <v>0</v>
      </c>
      <c r="L91" s="12">
        <f t="shared" si="15"/>
        <v>1805</v>
      </c>
      <c r="M91" s="12">
        <f t="shared" si="16"/>
        <v>2298</v>
      </c>
      <c r="N91" s="12">
        <f t="shared" si="17"/>
        <v>1793</v>
      </c>
      <c r="O91" s="12" t="str">
        <f t="shared" si="18"/>
        <v>휘발유 45,125원 / 고급유 45,960원</v>
      </c>
      <c r="P91" s="12">
        <f t="shared" si="19"/>
        <v>91085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91085</v>
      </c>
      <c r="U91" s="12">
        <f t="shared" si="23"/>
        <v>2024.1111111111111</v>
      </c>
      <c r="V91" s="12">
        <f t="shared" si="24"/>
        <v>2024.1111111111111</v>
      </c>
      <c r="W91" s="14">
        <f t="shared" si="25"/>
        <v>91085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1436</v>
      </c>
      <c r="D92" s="15" t="s">
        <v>60</v>
      </c>
      <c r="E92" s="11" t="s">
        <v>26</v>
      </c>
      <c r="F92" s="11" t="s">
        <v>1437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2" customFormat="1" ht="28.5" customHeight="1">
      <c r="A93" s="11">
        <f t="shared" si="13"/>
        <v>78</v>
      </c>
      <c r="B93" s="11" t="s">
        <v>6</v>
      </c>
      <c r="C93" s="11" t="s">
        <v>1440</v>
      </c>
      <c r="D93" s="15" t="s">
        <v>60</v>
      </c>
      <c r="E93" s="11" t="s">
        <v>26</v>
      </c>
      <c r="F93" s="11" t="s">
        <v>1441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16" customFormat="1" ht="28.5" customHeight="1">
      <c r="A94" s="11">
        <f t="shared" si="13"/>
        <v>78</v>
      </c>
      <c r="B94" s="11" t="s">
        <v>6</v>
      </c>
      <c r="C94" s="11" t="s">
        <v>1456</v>
      </c>
      <c r="D94" s="15" t="s">
        <v>60</v>
      </c>
      <c r="E94" s="11" t="s">
        <v>26</v>
      </c>
      <c r="F94" s="11" t="s">
        <v>1457</v>
      </c>
      <c r="G94" s="12">
        <v>1845</v>
      </c>
      <c r="H94" s="12">
        <v>2249</v>
      </c>
      <c r="I94" s="12"/>
      <c r="J94" s="12">
        <v>1849</v>
      </c>
      <c r="K94" s="12">
        <f t="shared" si="14"/>
        <v>0</v>
      </c>
      <c r="L94" s="12">
        <f t="shared" si="15"/>
        <v>1845</v>
      </c>
      <c r="M94" s="12">
        <f t="shared" si="16"/>
        <v>2249</v>
      </c>
      <c r="N94" s="12">
        <f t="shared" si="17"/>
        <v>1849</v>
      </c>
      <c r="O94" s="12" t="str">
        <f t="shared" si="18"/>
        <v>휘발유 46,125원 / 고급유 44,980원</v>
      </c>
      <c r="P94" s="12">
        <f t="shared" si="19"/>
        <v>91105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91105</v>
      </c>
      <c r="U94" s="12">
        <f t="shared" si="23"/>
        <v>2024.5555555555557</v>
      </c>
      <c r="V94" s="12">
        <f t="shared" si="24"/>
        <v>2024.5555555555557</v>
      </c>
      <c r="W94" s="14">
        <f t="shared" si="25"/>
        <v>91105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1640</v>
      </c>
      <c r="D97" s="15" t="s">
        <v>80</v>
      </c>
      <c r="E97" s="11" t="s">
        <v>26</v>
      </c>
      <c r="F97" s="11" t="s">
        <v>1641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1438</v>
      </c>
      <c r="D100" s="15" t="s">
        <v>60</v>
      </c>
      <c r="E100" s="11" t="s">
        <v>26</v>
      </c>
      <c r="F100" s="11" t="s">
        <v>1439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1575</v>
      </c>
      <c r="D101" s="11" t="s">
        <v>57</v>
      </c>
      <c r="E101" s="11" t="s">
        <v>26</v>
      </c>
      <c r="F101" s="11" t="s">
        <v>1576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1491</v>
      </c>
      <c r="D102" s="11" t="s">
        <v>48</v>
      </c>
      <c r="E102" s="11" t="s">
        <v>26</v>
      </c>
      <c r="F102" s="11" t="s">
        <v>1492</v>
      </c>
      <c r="G102" s="12">
        <v>1814</v>
      </c>
      <c r="H102" s="12">
        <v>2299</v>
      </c>
      <c r="I102" s="12"/>
      <c r="J102" s="12">
        <v>1798</v>
      </c>
      <c r="K102" s="12">
        <f t="shared" si="14"/>
        <v>0</v>
      </c>
      <c r="L102" s="12">
        <f t="shared" si="15"/>
        <v>1814</v>
      </c>
      <c r="M102" s="12">
        <f t="shared" si="16"/>
        <v>2299</v>
      </c>
      <c r="N102" s="12">
        <f t="shared" si="17"/>
        <v>1798</v>
      </c>
      <c r="O102" s="12" t="str">
        <f t="shared" si="18"/>
        <v>휘발유 45,350원 / 고급유 45,980원</v>
      </c>
      <c r="P102" s="12">
        <f t="shared" si="19"/>
        <v>91330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91330</v>
      </c>
      <c r="U102" s="12">
        <f t="shared" si="23"/>
        <v>2029.5555555555557</v>
      </c>
      <c r="V102" s="12">
        <f t="shared" si="24"/>
        <v>2029.5555555555557</v>
      </c>
      <c r="W102" s="14">
        <f t="shared" si="25"/>
        <v>91330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1720</v>
      </c>
      <c r="D103" s="15" t="s">
        <v>45</v>
      </c>
      <c r="E103" s="11" t="s">
        <v>26</v>
      </c>
      <c r="F103" s="11" t="s">
        <v>1721</v>
      </c>
      <c r="G103" s="12">
        <v>1822</v>
      </c>
      <c r="H103" s="12">
        <v>2290</v>
      </c>
      <c r="I103" s="12"/>
      <c r="J103" s="12">
        <v>1812</v>
      </c>
      <c r="K103" s="12">
        <f t="shared" si="14"/>
        <v>0</v>
      </c>
      <c r="L103" s="12">
        <f t="shared" si="15"/>
        <v>1822</v>
      </c>
      <c r="M103" s="12">
        <f t="shared" si="16"/>
        <v>2290</v>
      </c>
      <c r="N103" s="12">
        <f t="shared" si="17"/>
        <v>1812</v>
      </c>
      <c r="O103" s="12" t="str">
        <f t="shared" si="18"/>
        <v>휘발유 45,550원 / 고급유 45,800원</v>
      </c>
      <c r="P103" s="12">
        <f t="shared" si="19"/>
        <v>91350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91350</v>
      </c>
      <c r="U103" s="12">
        <f t="shared" si="23"/>
        <v>2030</v>
      </c>
      <c r="V103" s="12">
        <f t="shared" si="24"/>
        <v>2030</v>
      </c>
      <c r="W103" s="14">
        <f t="shared" si="25"/>
        <v>91350</v>
      </c>
    </row>
    <row r="104" spans="1:23" s="7" customFormat="1" ht="28.5" customHeight="1">
      <c r="A104" s="11">
        <f t="shared" si="13"/>
        <v>90</v>
      </c>
      <c r="B104" s="11" t="s">
        <v>14</v>
      </c>
      <c r="C104" s="11" t="s">
        <v>464</v>
      </c>
      <c r="D104" s="11" t="s">
        <v>57</v>
      </c>
      <c r="E104" s="11" t="s">
        <v>26</v>
      </c>
      <c r="F104" s="11" t="s">
        <v>465</v>
      </c>
      <c r="G104" s="12">
        <v>1835</v>
      </c>
      <c r="H104" s="12">
        <v>2275</v>
      </c>
      <c r="I104" s="12"/>
      <c r="J104" s="12">
        <v>1832</v>
      </c>
      <c r="K104" s="12">
        <f t="shared" si="14"/>
        <v>0</v>
      </c>
      <c r="L104" s="12">
        <f t="shared" si="15"/>
        <v>1835</v>
      </c>
      <c r="M104" s="12">
        <f t="shared" si="16"/>
        <v>2275</v>
      </c>
      <c r="N104" s="12">
        <f t="shared" si="17"/>
        <v>1832</v>
      </c>
      <c r="O104" s="12" t="str">
        <f t="shared" si="18"/>
        <v>휘발유 45,875원 / 고급유 45,500원</v>
      </c>
      <c r="P104" s="12">
        <f t="shared" si="19"/>
        <v>91375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91375</v>
      </c>
      <c r="U104" s="12">
        <f t="shared" si="23"/>
        <v>2030.5555555555557</v>
      </c>
      <c r="V104" s="12">
        <f t="shared" si="24"/>
        <v>2030.5555555555557</v>
      </c>
      <c r="W104" s="14">
        <f t="shared" si="25"/>
        <v>91375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574</v>
      </c>
      <c r="D105" s="15" t="s">
        <v>80</v>
      </c>
      <c r="E105" s="11" t="s">
        <v>26</v>
      </c>
      <c r="F105" s="11" t="s">
        <v>575</v>
      </c>
      <c r="G105" s="12">
        <v>1839</v>
      </c>
      <c r="H105" s="12">
        <v>2271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2271</v>
      </c>
      <c r="N105" s="12">
        <f t="shared" si="17"/>
        <v>1839</v>
      </c>
      <c r="O105" s="12" t="str">
        <f t="shared" si="18"/>
        <v>휘발유 45,975원 / 고급유 45,420원</v>
      </c>
      <c r="P105" s="12">
        <f t="shared" si="19"/>
        <v>91395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91395</v>
      </c>
      <c r="U105" s="12">
        <f t="shared" si="23"/>
        <v>2031</v>
      </c>
      <c r="V105" s="12">
        <f t="shared" si="24"/>
        <v>2031</v>
      </c>
      <c r="W105" s="14">
        <f t="shared" si="25"/>
        <v>91395</v>
      </c>
    </row>
    <row r="106" spans="1:23" s="7" customFormat="1" ht="28.5" customHeight="1">
      <c r="A106" s="11">
        <f t="shared" si="13"/>
        <v>92</v>
      </c>
      <c r="B106" s="11" t="s">
        <v>14</v>
      </c>
      <c r="C106" s="11" t="s">
        <v>1415</v>
      </c>
      <c r="D106" s="15" t="s">
        <v>60</v>
      </c>
      <c r="E106" s="11" t="s">
        <v>26</v>
      </c>
      <c r="F106" s="11" t="s">
        <v>1416</v>
      </c>
      <c r="G106" s="12">
        <v>1839</v>
      </c>
      <c r="H106" s="12">
        <v>2275</v>
      </c>
      <c r="I106" s="12"/>
      <c r="J106" s="12">
        <v>1829</v>
      </c>
      <c r="K106" s="12">
        <f t="shared" si="14"/>
        <v>0</v>
      </c>
      <c r="L106" s="12">
        <f t="shared" si="15"/>
        <v>1839</v>
      </c>
      <c r="M106" s="12">
        <f t="shared" si="16"/>
        <v>2275</v>
      </c>
      <c r="N106" s="12">
        <f t="shared" si="17"/>
        <v>1829</v>
      </c>
      <c r="O106" s="12" t="str">
        <f t="shared" si="18"/>
        <v>휘발유 45,975원 / 고급유 45,500원</v>
      </c>
      <c r="P106" s="12">
        <f t="shared" si="19"/>
        <v>91475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91475</v>
      </c>
      <c r="U106" s="12">
        <f t="shared" si="23"/>
        <v>2032.7777777777778</v>
      </c>
      <c r="V106" s="12">
        <f t="shared" si="24"/>
        <v>2032.7777777777778</v>
      </c>
      <c r="W106" s="14">
        <f t="shared" si="25"/>
        <v>91475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1342</v>
      </c>
      <c r="D107" s="15" t="s">
        <v>80</v>
      </c>
      <c r="E107" s="11" t="s">
        <v>26</v>
      </c>
      <c r="F107" s="11" t="s">
        <v>1343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14</v>
      </c>
      <c r="C108" s="11" t="s">
        <v>172</v>
      </c>
      <c r="D108" s="11" t="s">
        <v>57</v>
      </c>
      <c r="E108" s="11" t="s">
        <v>26</v>
      </c>
      <c r="F108" s="11" t="s">
        <v>173</v>
      </c>
      <c r="G108" s="12">
        <v>1839</v>
      </c>
      <c r="H108" s="12">
        <v>2279</v>
      </c>
      <c r="I108" s="12"/>
      <c r="J108" s="12">
        <v>1819</v>
      </c>
      <c r="K108" s="12">
        <f t="shared" si="14"/>
        <v>0</v>
      </c>
      <c r="L108" s="12">
        <f t="shared" si="15"/>
        <v>1839</v>
      </c>
      <c r="M108" s="12">
        <f t="shared" si="16"/>
        <v>2279</v>
      </c>
      <c r="N108" s="12">
        <f t="shared" si="17"/>
        <v>1819</v>
      </c>
      <c r="O108" s="12" t="str">
        <f t="shared" si="18"/>
        <v>휘발유 45,975원 / 고급유 45,580원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94</v>
      </c>
      <c r="B109" s="11" t="s">
        <v>14</v>
      </c>
      <c r="C109" s="11" t="s">
        <v>1585</v>
      </c>
      <c r="D109" s="15" t="s">
        <v>80</v>
      </c>
      <c r="E109" s="11" t="s">
        <v>26</v>
      </c>
      <c r="F109" s="11" t="s">
        <v>1586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96</v>
      </c>
      <c r="B110" s="11" t="s">
        <v>12</v>
      </c>
      <c r="C110" s="11" t="s">
        <v>657</v>
      </c>
      <c r="D110" s="15" t="s">
        <v>57</v>
      </c>
      <c r="E110" s="11" t="s">
        <v>26</v>
      </c>
      <c r="F110" s="11" t="s">
        <v>658</v>
      </c>
      <c r="G110" s="12">
        <v>1829</v>
      </c>
      <c r="H110" s="12">
        <v>2295</v>
      </c>
      <c r="I110" s="12"/>
      <c r="J110" s="12">
        <v>1789</v>
      </c>
      <c r="K110" s="12">
        <f t="shared" si="14"/>
        <v>0</v>
      </c>
      <c r="L110" s="12">
        <f t="shared" si="15"/>
        <v>1829</v>
      </c>
      <c r="M110" s="12">
        <f t="shared" si="16"/>
        <v>2295</v>
      </c>
      <c r="N110" s="12">
        <f t="shared" si="17"/>
        <v>1789</v>
      </c>
      <c r="O110" s="12" t="str">
        <f t="shared" si="18"/>
        <v>휘발유 45,725원 / 고급유 45,900원</v>
      </c>
      <c r="P110" s="12">
        <f t="shared" si="19"/>
        <v>91625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91625</v>
      </c>
      <c r="U110" s="12">
        <f t="shared" si="23"/>
        <v>2036.1111111111111</v>
      </c>
      <c r="V110" s="12">
        <f t="shared" si="24"/>
        <v>2036.1111111111111</v>
      </c>
      <c r="W110" s="14">
        <f t="shared" si="25"/>
        <v>91625</v>
      </c>
    </row>
    <row r="111" spans="1:23" s="2" customFormat="1" ht="28.5" customHeight="1">
      <c r="A111" s="11">
        <f t="shared" si="13"/>
        <v>96</v>
      </c>
      <c r="B111" s="11" t="s">
        <v>16</v>
      </c>
      <c r="C111" s="11" t="s">
        <v>614</v>
      </c>
      <c r="D111" s="15" t="s">
        <v>45</v>
      </c>
      <c r="E111" s="11" t="s">
        <v>26</v>
      </c>
      <c r="F111" s="11" t="s">
        <v>615</v>
      </c>
      <c r="G111" s="12">
        <v>1885</v>
      </c>
      <c r="H111" s="12">
        <v>2225</v>
      </c>
      <c r="I111" s="12"/>
      <c r="J111" s="12">
        <v>1855</v>
      </c>
      <c r="K111" s="12">
        <f t="shared" si="14"/>
        <v>0</v>
      </c>
      <c r="L111" s="12">
        <f t="shared" si="15"/>
        <v>1885</v>
      </c>
      <c r="M111" s="12">
        <f t="shared" si="16"/>
        <v>2225</v>
      </c>
      <c r="N111" s="12">
        <f t="shared" si="17"/>
        <v>1855</v>
      </c>
      <c r="O111" s="12" t="str">
        <f t="shared" si="18"/>
        <v>휘발유 47,125원 / 고급유 44,500원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IF($T143="","",1+COUNTIF($W$15:$W$882,"&lt;"&amp;W143))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1697</v>
      </c>
      <c r="D149" s="15" t="s">
        <v>45</v>
      </c>
      <c r="E149" s="11" t="s">
        <v>61</v>
      </c>
      <c r="F149" s="11" t="s">
        <v>1698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7" customFormat="1" ht="28.5" customHeight="1">
      <c r="A151" s="11">
        <f t="shared" si="26"/>
        <v>137</v>
      </c>
      <c r="B151" s="11" t="s">
        <v>12</v>
      </c>
      <c r="C151" s="11" t="s">
        <v>1511</v>
      </c>
      <c r="D151" s="11" t="s">
        <v>104</v>
      </c>
      <c r="E151" s="11" t="s">
        <v>26</v>
      </c>
      <c r="F151" s="11" t="s">
        <v>1512</v>
      </c>
      <c r="G151" s="12">
        <v>1814</v>
      </c>
      <c r="H151" s="12">
        <v>2368</v>
      </c>
      <c r="I151" s="12"/>
      <c r="J151" s="12">
        <v>1825</v>
      </c>
      <c r="K151" s="12">
        <f t="shared" si="27"/>
        <v>0</v>
      </c>
      <c r="L151" s="12">
        <f t="shared" si="28"/>
        <v>1814</v>
      </c>
      <c r="M151" s="12">
        <f t="shared" si="29"/>
        <v>2368</v>
      </c>
      <c r="N151" s="12">
        <f t="shared" si="30"/>
        <v>1825</v>
      </c>
      <c r="O151" s="12" t="str">
        <f t="shared" si="31"/>
        <v>휘발유 45,350원 / 고급유 47,360원</v>
      </c>
      <c r="P151" s="12">
        <f t="shared" si="32"/>
        <v>92710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92710</v>
      </c>
      <c r="U151" s="12">
        <f t="shared" si="36"/>
        <v>2060.2222222222222</v>
      </c>
      <c r="V151" s="12">
        <f t="shared" si="37"/>
        <v>2060.2222222222222</v>
      </c>
      <c r="W151" s="14">
        <f t="shared" si="38"/>
        <v>92710</v>
      </c>
    </row>
    <row r="152" spans="1:23" s="2" customFormat="1" ht="28.5" customHeight="1">
      <c r="A152" s="11">
        <f t="shared" si="26"/>
        <v>138</v>
      </c>
      <c r="B152" s="11" t="s">
        <v>8</v>
      </c>
      <c r="C152" s="11" t="s">
        <v>194</v>
      </c>
      <c r="D152" s="15" t="s">
        <v>45</v>
      </c>
      <c r="E152" s="11" t="s">
        <v>26</v>
      </c>
      <c r="F152" s="11" t="s">
        <v>195</v>
      </c>
      <c r="G152" s="12">
        <v>1864</v>
      </c>
      <c r="H152" s="12">
        <v>2329</v>
      </c>
      <c r="I152" s="12"/>
      <c r="J152" s="12">
        <v>1852</v>
      </c>
      <c r="K152" s="12">
        <f t="shared" si="27"/>
        <v>-10</v>
      </c>
      <c r="L152" s="12">
        <f t="shared" si="28"/>
        <v>1854</v>
      </c>
      <c r="M152" s="12">
        <f t="shared" si="29"/>
        <v>2319</v>
      </c>
      <c r="N152" s="12">
        <f t="shared" si="30"/>
        <v>1842</v>
      </c>
      <c r="O152" s="12" t="str">
        <f t="shared" si="31"/>
        <v>휘발유 46,350원 / 고급유 46,380원</v>
      </c>
      <c r="P152" s="12">
        <f t="shared" si="32"/>
        <v>92730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92730</v>
      </c>
      <c r="U152" s="12">
        <f t="shared" si="36"/>
        <v>2060.6666666666665</v>
      </c>
      <c r="V152" s="12">
        <f t="shared" si="37"/>
        <v>2060.6666666666665</v>
      </c>
      <c r="W152" s="14">
        <f t="shared" si="38"/>
        <v>92730</v>
      </c>
    </row>
    <row r="153" spans="1:23" s="2" customFormat="1" ht="28.5" customHeight="1">
      <c r="A153" s="11">
        <f t="shared" si="26"/>
        <v>139</v>
      </c>
      <c r="B153" s="11" t="s">
        <v>14</v>
      </c>
      <c r="C153" s="11" t="s">
        <v>312</v>
      </c>
      <c r="D153" s="15" t="s">
        <v>45</v>
      </c>
      <c r="E153" s="11" t="s">
        <v>26</v>
      </c>
      <c r="F153" s="11" t="s">
        <v>313</v>
      </c>
      <c r="G153" s="12">
        <v>1815</v>
      </c>
      <c r="H153" s="12">
        <v>2369</v>
      </c>
      <c r="I153" s="12"/>
      <c r="J153" s="12">
        <v>1798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1798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7" customFormat="1" ht="28.5" customHeight="1">
      <c r="A154" s="11">
        <f t="shared" si="26"/>
        <v>139</v>
      </c>
      <c r="B154" s="11" t="s">
        <v>14</v>
      </c>
      <c r="C154" s="11" t="s">
        <v>164</v>
      </c>
      <c r="D154" s="15" t="s">
        <v>60</v>
      </c>
      <c r="E154" s="11" t="s">
        <v>26</v>
      </c>
      <c r="F154" s="11" t="s">
        <v>165</v>
      </c>
      <c r="G154" s="12">
        <v>1815</v>
      </c>
      <c r="H154" s="12">
        <v>2369</v>
      </c>
      <c r="I154" s="12"/>
      <c r="J154" s="12">
        <v>1799</v>
      </c>
      <c r="K154" s="12">
        <f t="shared" si="27"/>
        <v>0</v>
      </c>
      <c r="L154" s="12">
        <f t="shared" si="28"/>
        <v>1815</v>
      </c>
      <c r="M154" s="12">
        <f t="shared" si="29"/>
        <v>2369</v>
      </c>
      <c r="N154" s="12">
        <f t="shared" si="30"/>
        <v>1799</v>
      </c>
      <c r="O154" s="12" t="str">
        <f t="shared" si="31"/>
        <v>휘발유 45,375원 / 고급유 47,380원</v>
      </c>
      <c r="P154" s="12">
        <f t="shared" si="32"/>
        <v>92755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92755</v>
      </c>
      <c r="U154" s="12">
        <f t="shared" si="36"/>
        <v>2061.2222222222222</v>
      </c>
      <c r="V154" s="12">
        <f t="shared" si="37"/>
        <v>2061.2222222222222</v>
      </c>
      <c r="W154" s="14">
        <f t="shared" si="38"/>
        <v>92755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202</v>
      </c>
      <c r="D155" s="15" t="s">
        <v>45</v>
      </c>
      <c r="E155" s="11" t="s">
        <v>26</v>
      </c>
      <c r="F155" s="11" t="s">
        <v>203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216</v>
      </c>
      <c r="D156" s="15" t="s">
        <v>45</v>
      </c>
      <c r="E156" s="11" t="s">
        <v>26</v>
      </c>
      <c r="F156" s="11" t="s">
        <v>217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206</v>
      </c>
      <c r="D157" s="15" t="s">
        <v>45</v>
      </c>
      <c r="E157" s="11" t="s">
        <v>61</v>
      </c>
      <c r="F157" s="11" t="s">
        <v>207</v>
      </c>
      <c r="G157" s="12">
        <v>1862</v>
      </c>
      <c r="H157" s="12">
        <v>2337</v>
      </c>
      <c r="I157" s="12" t="s">
        <v>63</v>
      </c>
      <c r="J157" s="12">
        <v>1843</v>
      </c>
      <c r="K157" s="12">
        <f t="shared" si="27"/>
        <v>-10</v>
      </c>
      <c r="L157" s="12">
        <f t="shared" si="28"/>
        <v>1852</v>
      </c>
      <c r="M157" s="12">
        <f t="shared" si="29"/>
        <v>2327</v>
      </c>
      <c r="N157" s="12">
        <f t="shared" si="30"/>
        <v>1833</v>
      </c>
      <c r="O157" s="12" t="str">
        <f t="shared" si="31"/>
        <v>휘발유 46,300원 / 고급유 46,540원</v>
      </c>
      <c r="P157" s="12">
        <f t="shared" si="32"/>
        <v>92840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92840</v>
      </c>
      <c r="U157" s="12">
        <f t="shared" si="36"/>
        <v>2063.1111111111113</v>
      </c>
      <c r="V157" s="12">
        <f t="shared" si="37"/>
        <v>2063.1111111111113</v>
      </c>
      <c r="W157" s="14">
        <f t="shared" si="38"/>
        <v>92840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230</v>
      </c>
      <c r="D158" s="15" t="s">
        <v>80</v>
      </c>
      <c r="E158" s="11" t="s">
        <v>26</v>
      </c>
      <c r="F158" s="11" t="s">
        <v>231</v>
      </c>
      <c r="G158" s="12">
        <v>1845</v>
      </c>
      <c r="H158" s="12">
        <v>2340</v>
      </c>
      <c r="I158" s="12"/>
      <c r="J158" s="12">
        <v>1832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1832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426</v>
      </c>
      <c r="D159" s="15" t="s">
        <v>45</v>
      </c>
      <c r="E159" s="11" t="s">
        <v>26</v>
      </c>
      <c r="F159" s="11" t="s">
        <v>427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224</v>
      </c>
      <c r="D160" s="15" t="s">
        <v>45</v>
      </c>
      <c r="E160" s="11" t="s">
        <v>61</v>
      </c>
      <c r="F160" s="11" t="s">
        <v>225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142</v>
      </c>
      <c r="D161" s="15" t="s">
        <v>45</v>
      </c>
      <c r="E161" s="11" t="s">
        <v>26</v>
      </c>
      <c r="F161" s="11" t="s">
        <v>143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730</v>
      </c>
      <c r="D162" s="11" t="s">
        <v>104</v>
      </c>
      <c r="E162" s="11" t="s">
        <v>26</v>
      </c>
      <c r="F162" s="11" t="s">
        <v>731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1470</v>
      </c>
      <c r="D163" s="15" t="s">
        <v>60</v>
      </c>
      <c r="E163" s="11" t="s">
        <v>26</v>
      </c>
      <c r="F163" s="11" t="s">
        <v>1471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302</v>
      </c>
      <c r="D164" s="11" t="s">
        <v>57</v>
      </c>
      <c r="E164" s="11" t="s">
        <v>26</v>
      </c>
      <c r="F164" s="11" t="s">
        <v>303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1710</v>
      </c>
      <c r="D166" s="15" t="s">
        <v>80</v>
      </c>
      <c r="E166" s="11" t="s">
        <v>26</v>
      </c>
      <c r="F166" s="11" t="s">
        <v>1711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1685</v>
      </c>
      <c r="D183" s="15" t="s">
        <v>45</v>
      </c>
      <c r="E183" s="11" t="s">
        <v>26</v>
      </c>
      <c r="F183" s="11" t="s">
        <v>1686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1820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1820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417</v>
      </c>
      <c r="D197" s="15" t="s">
        <v>60</v>
      </c>
      <c r="E197" s="11" t="s">
        <v>26</v>
      </c>
      <c r="F197" s="11" t="s">
        <v>418</v>
      </c>
      <c r="G197" s="12">
        <v>1852</v>
      </c>
      <c r="H197" s="12"/>
      <c r="I197" s="12"/>
      <c r="J197" s="12">
        <v>1812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1812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986</v>
      </c>
      <c r="D198" s="11" t="s">
        <v>57</v>
      </c>
      <c r="E198" s="11" t="s">
        <v>26</v>
      </c>
      <c r="F198" s="11" t="s">
        <v>987</v>
      </c>
      <c r="G198" s="12">
        <v>1852</v>
      </c>
      <c r="H198" s="12"/>
      <c r="I198" s="12"/>
      <c r="J198" s="12">
        <v>1832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1832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1579</v>
      </c>
      <c r="D199" s="11" t="s">
        <v>48</v>
      </c>
      <c r="E199" s="11" t="s">
        <v>26</v>
      </c>
      <c r="F199" s="11" t="s">
        <v>1580</v>
      </c>
      <c r="G199" s="12">
        <v>1813</v>
      </c>
      <c r="H199" s="12"/>
      <c r="I199" s="12"/>
      <c r="J199" s="12">
        <v>1800</v>
      </c>
      <c r="K199" s="12">
        <f t="shared" si="27"/>
        <v>0</v>
      </c>
      <c r="L199" s="12">
        <f t="shared" si="28"/>
        <v>1813</v>
      </c>
      <c r="M199" s="12" t="str">
        <f t="shared" si="29"/>
        <v/>
      </c>
      <c r="N199" s="12">
        <f t="shared" si="30"/>
        <v>1800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16</v>
      </c>
      <c r="C200" s="11" t="s">
        <v>934</v>
      </c>
      <c r="D200" s="15" t="s">
        <v>80</v>
      </c>
      <c r="E200" s="11" t="s">
        <v>61</v>
      </c>
      <c r="F200" s="11" t="s">
        <v>935</v>
      </c>
      <c r="G200" s="12">
        <v>1855</v>
      </c>
      <c r="H200" s="12"/>
      <c r="I200" s="12"/>
      <c r="J200" s="12">
        <v>1830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1830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5" t="s">
        <v>786</v>
      </c>
      <c r="D201" s="15" t="s">
        <v>45</v>
      </c>
      <c r="E201" s="11" t="s">
        <v>61</v>
      </c>
      <c r="F201" s="11" t="s">
        <v>787</v>
      </c>
      <c r="G201" s="12">
        <v>1855</v>
      </c>
      <c r="H201" s="12"/>
      <c r="I201" s="12"/>
      <c r="J201" s="12">
        <v>1835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1835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286</v>
      </c>
      <c r="D203" s="11" t="s">
        <v>95</v>
      </c>
      <c r="E203" s="11" t="s">
        <v>26</v>
      </c>
      <c r="F203" s="11" t="s">
        <v>287</v>
      </c>
      <c r="G203" s="12">
        <v>1814</v>
      </c>
      <c r="H203" s="12"/>
      <c r="I203" s="12"/>
      <c r="J203" s="12">
        <v>1788</v>
      </c>
      <c r="K203" s="12">
        <f t="shared" si="27"/>
        <v>0</v>
      </c>
      <c r="L203" s="12">
        <f t="shared" si="28"/>
        <v>1814</v>
      </c>
      <c r="M203" s="12" t="str">
        <f t="shared" si="29"/>
        <v/>
      </c>
      <c r="N203" s="12">
        <f t="shared" si="30"/>
        <v>1788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543</v>
      </c>
      <c r="D204" s="15" t="s">
        <v>80</v>
      </c>
      <c r="E204" s="11" t="s">
        <v>61</v>
      </c>
      <c r="F204" s="11" t="s">
        <v>544</v>
      </c>
      <c r="G204" s="12">
        <v>1815</v>
      </c>
      <c r="H204" s="12"/>
      <c r="I204" s="12"/>
      <c r="J204" s="12">
        <v>1795</v>
      </c>
      <c r="K204" s="12">
        <f t="shared" si="27"/>
        <v>0</v>
      </c>
      <c r="L204" s="12">
        <f t="shared" si="28"/>
        <v>1815</v>
      </c>
      <c r="M204" s="12" t="str">
        <f t="shared" si="29"/>
        <v/>
      </c>
      <c r="N204" s="12">
        <f t="shared" si="30"/>
        <v>1795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14</v>
      </c>
      <c r="C205" s="11" t="s">
        <v>1002</v>
      </c>
      <c r="D205" s="15" t="s">
        <v>45</v>
      </c>
      <c r="E205" s="11" t="s">
        <v>26</v>
      </c>
      <c r="F205" s="11" t="s">
        <v>1003</v>
      </c>
      <c r="G205" s="12">
        <v>1815</v>
      </c>
      <c r="H205" s="12"/>
      <c r="I205" s="12"/>
      <c r="J205" s="12">
        <v>1818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1818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18</v>
      </c>
      <c r="C206" s="11" t="s">
        <v>1081</v>
      </c>
      <c r="D206" s="15" t="s">
        <v>45</v>
      </c>
      <c r="E206" s="11" t="s">
        <v>61</v>
      </c>
      <c r="F206" s="11" t="s">
        <v>1082</v>
      </c>
      <c r="G206" s="12">
        <v>1857</v>
      </c>
      <c r="H206" s="12"/>
      <c r="I206" s="12"/>
      <c r="J206" s="12">
        <v>1837</v>
      </c>
      <c r="K206" s="12">
        <f t="shared" si="27"/>
        <v>0</v>
      </c>
      <c r="L206" s="12">
        <f t="shared" si="28"/>
        <v>1857</v>
      </c>
      <c r="M206" s="12" t="str">
        <f t="shared" si="29"/>
        <v/>
      </c>
      <c r="N206" s="12">
        <f t="shared" si="30"/>
        <v>1837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IF($T207="","",1+COUNTIF($W$15:$W$882,"&lt;"&amp;W207))</f>
        <v/>
      </c>
      <c r="B207" s="11" t="s">
        <v>18</v>
      </c>
      <c r="C207" s="11" t="s">
        <v>1515</v>
      </c>
      <c r="D207" s="15" t="s">
        <v>60</v>
      </c>
      <c r="E207" s="11" t="s">
        <v>61</v>
      </c>
      <c r="F207" s="11" t="s">
        <v>1516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1326</v>
      </c>
      <c r="D208" s="15" t="s">
        <v>80</v>
      </c>
      <c r="E208" s="11" t="s">
        <v>61</v>
      </c>
      <c r="F208" s="11" t="s">
        <v>1327</v>
      </c>
      <c r="G208" s="12">
        <v>1857</v>
      </c>
      <c r="H208" s="12"/>
      <c r="I208" s="12"/>
      <c r="J208" s="12">
        <v>1847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1847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16</v>
      </c>
      <c r="C209" s="11" t="s">
        <v>902</v>
      </c>
      <c r="D209" s="15" t="s">
        <v>60</v>
      </c>
      <c r="E209" s="11" t="s">
        <v>61</v>
      </c>
      <c r="F209" s="11" t="s">
        <v>903</v>
      </c>
      <c r="G209" s="12">
        <v>1859</v>
      </c>
      <c r="H209" s="12"/>
      <c r="I209" s="12"/>
      <c r="J209" s="12">
        <v>1804</v>
      </c>
      <c r="K209" s="12">
        <f t="shared" si="40"/>
        <v>0</v>
      </c>
      <c r="L209" s="12">
        <f t="shared" si="41"/>
        <v>1859</v>
      </c>
      <c r="M209" s="12" t="str">
        <f t="shared" si="42"/>
        <v/>
      </c>
      <c r="N209" s="12">
        <f t="shared" si="43"/>
        <v>1804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1155</v>
      </c>
      <c r="D210" s="11" t="s">
        <v>57</v>
      </c>
      <c r="E210" s="11" t="s">
        <v>61</v>
      </c>
      <c r="F210" s="11" t="s">
        <v>1156</v>
      </c>
      <c r="G210" s="12">
        <v>1859</v>
      </c>
      <c r="H210" s="12"/>
      <c r="I210" s="12"/>
      <c r="J210" s="12">
        <v>1839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1839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7" customFormat="1" ht="28.5" customHeight="1">
      <c r="A211" s="11" t="str">
        <f t="shared" si="39"/>
        <v/>
      </c>
      <c r="B211" s="11" t="s">
        <v>18</v>
      </c>
      <c r="C211" s="11" t="s">
        <v>886</v>
      </c>
      <c r="D211" s="11" t="s">
        <v>57</v>
      </c>
      <c r="E211" s="11" t="s">
        <v>26</v>
      </c>
      <c r="F211" s="11" t="s">
        <v>887</v>
      </c>
      <c r="G211" s="12">
        <v>1859</v>
      </c>
      <c r="H211" s="12"/>
      <c r="I211" s="12"/>
      <c r="J211" s="12">
        <v>1849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1849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1519</v>
      </c>
      <c r="D212" s="15" t="s">
        <v>60</v>
      </c>
      <c r="E212" s="11" t="s">
        <v>61</v>
      </c>
      <c r="F212" s="11" t="s">
        <v>1520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370</v>
      </c>
      <c r="D213" s="15" t="s">
        <v>45</v>
      </c>
      <c r="E213" s="11" t="s">
        <v>26</v>
      </c>
      <c r="F213" s="11" t="s">
        <v>371</v>
      </c>
      <c r="G213" s="12">
        <v>1818</v>
      </c>
      <c r="H213" s="12"/>
      <c r="I213" s="12"/>
      <c r="J213" s="12">
        <v>1788</v>
      </c>
      <c r="K213" s="12">
        <f t="shared" si="40"/>
        <v>0</v>
      </c>
      <c r="L213" s="12">
        <f t="shared" si="41"/>
        <v>1818</v>
      </c>
      <c r="M213" s="12" t="str">
        <f t="shared" si="42"/>
        <v/>
      </c>
      <c r="N213" s="12">
        <f t="shared" si="43"/>
        <v>1788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1268</v>
      </c>
      <c r="D214" s="15" t="s">
        <v>45</v>
      </c>
      <c r="E214" s="11" t="s">
        <v>26</v>
      </c>
      <c r="F214" s="11" t="s">
        <v>1269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978</v>
      </c>
      <c r="D215" s="15" t="s">
        <v>80</v>
      </c>
      <c r="E215" s="11" t="s">
        <v>26</v>
      </c>
      <c r="F215" s="11" t="s">
        <v>979</v>
      </c>
      <c r="G215" s="12">
        <v>1860</v>
      </c>
      <c r="H215" s="12"/>
      <c r="I215" s="12"/>
      <c r="J215" s="12">
        <v>1825</v>
      </c>
      <c r="K215" s="12">
        <f t="shared" si="40"/>
        <v>0</v>
      </c>
      <c r="L215" s="12">
        <f t="shared" si="41"/>
        <v>1860</v>
      </c>
      <c r="M215" s="12" t="str">
        <f t="shared" si="42"/>
        <v/>
      </c>
      <c r="N215" s="12">
        <f t="shared" si="43"/>
        <v>1825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388</v>
      </c>
      <c r="D216" s="11" t="s">
        <v>57</v>
      </c>
      <c r="E216" s="11" t="s">
        <v>26</v>
      </c>
      <c r="F216" s="11" t="s">
        <v>389</v>
      </c>
      <c r="G216" s="12">
        <v>1860</v>
      </c>
      <c r="H216" s="12"/>
      <c r="I216" s="12"/>
      <c r="J216" s="12">
        <v>1860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1860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362</v>
      </c>
      <c r="D217" s="15" t="s">
        <v>45</v>
      </c>
      <c r="E217" s="11" t="s">
        <v>26</v>
      </c>
      <c r="F217" s="11" t="s">
        <v>363</v>
      </c>
      <c r="G217" s="12">
        <v>1819</v>
      </c>
      <c r="H217" s="12"/>
      <c r="I217" s="12"/>
      <c r="J217" s="12">
        <v>1799</v>
      </c>
      <c r="K217" s="12">
        <f t="shared" si="40"/>
        <v>0</v>
      </c>
      <c r="L217" s="12">
        <f t="shared" si="41"/>
        <v>1819</v>
      </c>
      <c r="M217" s="12" t="str">
        <f t="shared" si="42"/>
        <v/>
      </c>
      <c r="N217" s="12">
        <f t="shared" si="43"/>
        <v>1799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1316</v>
      </c>
      <c r="D218" s="15" t="s">
        <v>80</v>
      </c>
      <c r="E218" s="11" t="s">
        <v>61</v>
      </c>
      <c r="F218" s="11" t="s">
        <v>1317</v>
      </c>
      <c r="G218" s="12">
        <v>1819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12</v>
      </c>
      <c r="C219" s="11" t="s">
        <v>1599</v>
      </c>
      <c r="D219" s="15" t="s">
        <v>57</v>
      </c>
      <c r="E219" s="11" t="s">
        <v>26</v>
      </c>
      <c r="F219" s="11" t="s">
        <v>1600</v>
      </c>
      <c r="G219" s="12">
        <v>1819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1373</v>
      </c>
      <c r="D220" s="11" t="s">
        <v>57</v>
      </c>
      <c r="E220" s="11" t="s">
        <v>26</v>
      </c>
      <c r="F220" s="11" t="s">
        <v>1374</v>
      </c>
      <c r="G220" s="12">
        <v>1862</v>
      </c>
      <c r="H220" s="12"/>
      <c r="I220" s="12"/>
      <c r="J220" s="12">
        <v>1832</v>
      </c>
      <c r="K220" s="12">
        <f t="shared" si="40"/>
        <v>0</v>
      </c>
      <c r="L220" s="12">
        <f t="shared" si="41"/>
        <v>1862</v>
      </c>
      <c r="M220" s="12" t="str">
        <f t="shared" si="42"/>
        <v/>
      </c>
      <c r="N220" s="12">
        <f t="shared" si="43"/>
        <v>1832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1674</v>
      </c>
      <c r="D221" s="15" t="s">
        <v>80</v>
      </c>
      <c r="E221" s="11" t="s">
        <v>26</v>
      </c>
      <c r="F221" s="11" t="s">
        <v>1675</v>
      </c>
      <c r="G221" s="12">
        <v>1865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1865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152</v>
      </c>
      <c r="D223" s="11" t="s">
        <v>48</v>
      </c>
      <c r="E223" s="11" t="s">
        <v>26</v>
      </c>
      <c r="F223" s="11" t="s">
        <v>153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12</v>
      </c>
      <c r="C225" s="11" t="s">
        <v>344</v>
      </c>
      <c r="D225" s="15" t="s">
        <v>45</v>
      </c>
      <c r="E225" s="11" t="s">
        <v>26</v>
      </c>
      <c r="F225" s="11" t="s">
        <v>345</v>
      </c>
      <c r="G225" s="12">
        <v>1825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1825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598</v>
      </c>
      <c r="D226" s="15" t="s">
        <v>57</v>
      </c>
      <c r="E226" s="11" t="s">
        <v>26</v>
      </c>
      <c r="F226" s="11" t="s">
        <v>599</v>
      </c>
      <c r="G226" s="12">
        <v>1825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778</v>
      </c>
      <c r="D227" s="11" t="s">
        <v>57</v>
      </c>
      <c r="E227" s="11" t="s">
        <v>26</v>
      </c>
      <c r="F227" s="11" t="s">
        <v>779</v>
      </c>
      <c r="G227" s="12">
        <v>1825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982</v>
      </c>
      <c r="D228" s="15" t="s">
        <v>80</v>
      </c>
      <c r="E228" s="11" t="s">
        <v>61</v>
      </c>
      <c r="F228" s="11" t="s">
        <v>983</v>
      </c>
      <c r="G228" s="12">
        <v>1867</v>
      </c>
      <c r="H228" s="12"/>
      <c r="I228" s="12"/>
      <c r="J228" s="12">
        <v>1827</v>
      </c>
      <c r="K228" s="12">
        <f t="shared" si="40"/>
        <v>0</v>
      </c>
      <c r="L228" s="12">
        <f t="shared" si="41"/>
        <v>1867</v>
      </c>
      <c r="M228" s="12" t="str">
        <f t="shared" si="42"/>
        <v/>
      </c>
      <c r="N228" s="12">
        <f t="shared" si="43"/>
        <v>1827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803</v>
      </c>
      <c r="D229" s="15" t="s">
        <v>80</v>
      </c>
      <c r="E229" s="11" t="s">
        <v>61</v>
      </c>
      <c r="F229" s="11" t="s">
        <v>804</v>
      </c>
      <c r="G229" s="12">
        <v>1867</v>
      </c>
      <c r="H229" s="12"/>
      <c r="I229" s="12"/>
      <c r="J229" s="12">
        <v>1857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1857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1171</v>
      </c>
      <c r="D230" s="15" t="s">
        <v>45</v>
      </c>
      <c r="E230" s="11" t="s">
        <v>26</v>
      </c>
      <c r="F230" s="11" t="s">
        <v>1172</v>
      </c>
      <c r="G230" s="12">
        <v>1827</v>
      </c>
      <c r="H230" s="12"/>
      <c r="I230" s="12"/>
      <c r="J230" s="12">
        <v>1797</v>
      </c>
      <c r="K230" s="12">
        <f t="shared" si="40"/>
        <v>0</v>
      </c>
      <c r="L230" s="12">
        <f t="shared" si="41"/>
        <v>1827</v>
      </c>
      <c r="M230" s="12" t="str">
        <f t="shared" si="42"/>
        <v/>
      </c>
      <c r="N230" s="12">
        <f t="shared" si="43"/>
        <v>1797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1658</v>
      </c>
      <c r="D231" s="15" t="s">
        <v>80</v>
      </c>
      <c r="E231" s="11" t="s">
        <v>61</v>
      </c>
      <c r="F231" s="11" t="s">
        <v>1659</v>
      </c>
      <c r="G231" s="12">
        <v>1869</v>
      </c>
      <c r="H231" s="12"/>
      <c r="I231" s="12"/>
      <c r="J231" s="12">
        <v>1849</v>
      </c>
      <c r="K231" s="12">
        <f t="shared" si="40"/>
        <v>0</v>
      </c>
      <c r="L231" s="12">
        <f t="shared" si="41"/>
        <v>1869</v>
      </c>
      <c r="M231" s="12" t="str">
        <f t="shared" si="42"/>
        <v/>
      </c>
      <c r="N231" s="12">
        <f t="shared" si="43"/>
        <v>1849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12</v>
      </c>
      <c r="C232" s="11" t="s">
        <v>872</v>
      </c>
      <c r="D232" s="15" t="s">
        <v>57</v>
      </c>
      <c r="E232" s="11" t="s">
        <v>26</v>
      </c>
      <c r="F232" s="11" t="s">
        <v>873</v>
      </c>
      <c r="G232" s="12">
        <v>1828</v>
      </c>
      <c r="H232" s="12"/>
      <c r="I232" s="12"/>
      <c r="J232" s="12">
        <v>1798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1798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702</v>
      </c>
      <c r="D233" s="11" t="s">
        <v>48</v>
      </c>
      <c r="E233" s="11" t="s">
        <v>61</v>
      </c>
      <c r="F233" s="11" t="s">
        <v>703</v>
      </c>
      <c r="G233" s="12">
        <v>1828</v>
      </c>
      <c r="H233" s="12"/>
      <c r="I233" s="12"/>
      <c r="J233" s="12">
        <v>1799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904</v>
      </c>
      <c r="D235" s="15" t="s">
        <v>45</v>
      </c>
      <c r="E235" s="11" t="s">
        <v>26</v>
      </c>
      <c r="F235" s="11" t="s">
        <v>905</v>
      </c>
      <c r="G235" s="12">
        <v>1870</v>
      </c>
      <c r="H235" s="12"/>
      <c r="I235" s="12"/>
      <c r="J235" s="12">
        <v>1850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1850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924</v>
      </c>
      <c r="D236" s="15" t="s">
        <v>80</v>
      </c>
      <c r="E236" s="11" t="s">
        <v>61</v>
      </c>
      <c r="F236" s="11" t="s">
        <v>925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1687</v>
      </c>
      <c r="D239" s="15" t="s">
        <v>45</v>
      </c>
      <c r="E239" s="11" t="s">
        <v>26</v>
      </c>
      <c r="F239" s="11" t="s">
        <v>1688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1346</v>
      </c>
      <c r="D246" s="15" t="s">
        <v>45</v>
      </c>
      <c r="E246" s="11" t="s">
        <v>26</v>
      </c>
      <c r="F246" s="11" t="s">
        <v>1347</v>
      </c>
      <c r="G246" s="12">
        <v>1833</v>
      </c>
      <c r="H246" s="12"/>
      <c r="I246" s="12"/>
      <c r="J246" s="12">
        <v>1811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1811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561</v>
      </c>
      <c r="D247" s="15" t="s">
        <v>80</v>
      </c>
      <c r="E247" s="11" t="s">
        <v>26</v>
      </c>
      <c r="F247" s="11" t="s">
        <v>562</v>
      </c>
      <c r="G247" s="12">
        <v>1833</v>
      </c>
      <c r="H247" s="12"/>
      <c r="I247" s="12"/>
      <c r="J247" s="12">
        <v>1821</v>
      </c>
      <c r="K247" s="12">
        <f t="shared" si="40"/>
        <v>0</v>
      </c>
      <c r="L247" s="12">
        <f t="shared" si="41"/>
        <v>1833</v>
      </c>
      <c r="M247" s="12" t="str">
        <f t="shared" si="42"/>
        <v/>
      </c>
      <c r="N247" s="12">
        <f t="shared" si="43"/>
        <v>1821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18</v>
      </c>
      <c r="C248" s="11" t="s">
        <v>1038</v>
      </c>
      <c r="D248" s="15" t="s">
        <v>80</v>
      </c>
      <c r="E248" s="11" t="s">
        <v>61</v>
      </c>
      <c r="F248" s="11" t="s">
        <v>1039</v>
      </c>
      <c r="G248" s="12">
        <v>1875</v>
      </c>
      <c r="H248" s="12"/>
      <c r="I248" s="12"/>
      <c r="J248" s="12">
        <v>1855</v>
      </c>
      <c r="K248" s="12">
        <f t="shared" si="40"/>
        <v>0</v>
      </c>
      <c r="L248" s="12">
        <f t="shared" si="41"/>
        <v>1875</v>
      </c>
      <c r="M248" s="12" t="str">
        <f t="shared" si="42"/>
        <v/>
      </c>
      <c r="N248" s="12">
        <f t="shared" si="43"/>
        <v>1855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515</v>
      </c>
      <c r="D249" s="15" t="s">
        <v>60</v>
      </c>
      <c r="E249" s="11" t="s">
        <v>26</v>
      </c>
      <c r="F249" s="11" t="s">
        <v>516</v>
      </c>
      <c r="G249" s="12">
        <v>1835</v>
      </c>
      <c r="H249" s="12"/>
      <c r="I249" s="12"/>
      <c r="J249" s="12">
        <v>1808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1808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382</v>
      </c>
      <c r="D250" s="11" t="s">
        <v>57</v>
      </c>
      <c r="E250" s="11" t="s">
        <v>26</v>
      </c>
      <c r="F250" s="11" t="s">
        <v>383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428</v>
      </c>
      <c r="D251" s="15" t="s">
        <v>80</v>
      </c>
      <c r="E251" s="11" t="s">
        <v>26</v>
      </c>
      <c r="F251" s="11" t="s">
        <v>429</v>
      </c>
      <c r="G251" s="12">
        <v>1835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1284</v>
      </c>
      <c r="D252" s="15" t="s">
        <v>80</v>
      </c>
      <c r="E252" s="11" t="s">
        <v>26</v>
      </c>
      <c r="F252" s="11" t="s">
        <v>1285</v>
      </c>
      <c r="G252" s="12">
        <v>1877</v>
      </c>
      <c r="H252" s="12"/>
      <c r="I252" s="12"/>
      <c r="J252" s="12">
        <v>1847</v>
      </c>
      <c r="K252" s="12">
        <f t="shared" si="40"/>
        <v>0</v>
      </c>
      <c r="L252" s="12">
        <f t="shared" si="41"/>
        <v>1877</v>
      </c>
      <c r="M252" s="12" t="str">
        <f t="shared" si="42"/>
        <v/>
      </c>
      <c r="N252" s="12">
        <f t="shared" si="43"/>
        <v>1847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678</v>
      </c>
      <c r="D253" s="15" t="s">
        <v>45</v>
      </c>
      <c r="E253" s="11" t="s">
        <v>61</v>
      </c>
      <c r="F253" s="11" t="s">
        <v>679</v>
      </c>
      <c r="G253" s="12">
        <v>1878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1110</v>
      </c>
      <c r="D254" s="15" t="s">
        <v>80</v>
      </c>
      <c r="E254" s="11" t="s">
        <v>61</v>
      </c>
      <c r="F254" s="11" t="s">
        <v>1111</v>
      </c>
      <c r="G254" s="12">
        <v>1878</v>
      </c>
      <c r="H254" s="12"/>
      <c r="I254" s="12"/>
      <c r="J254" s="12">
        <v>1868</v>
      </c>
      <c r="K254" s="12">
        <f t="shared" si="40"/>
        <v>0</v>
      </c>
      <c r="L254" s="12">
        <f t="shared" si="41"/>
        <v>1878</v>
      </c>
      <c r="M254" s="12" t="str">
        <f t="shared" si="42"/>
        <v/>
      </c>
      <c r="N254" s="12">
        <f t="shared" si="43"/>
        <v>1868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686</v>
      </c>
      <c r="D255" s="15" t="s">
        <v>80</v>
      </c>
      <c r="E255" s="11" t="s">
        <v>26</v>
      </c>
      <c r="F255" s="11" t="s">
        <v>687</v>
      </c>
      <c r="G255" s="12">
        <v>1837</v>
      </c>
      <c r="H255" s="12"/>
      <c r="I255" s="12"/>
      <c r="J255" s="12">
        <v>1793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1793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782</v>
      </c>
      <c r="D256" s="15" t="s">
        <v>45</v>
      </c>
      <c r="E256" s="11" t="s">
        <v>61</v>
      </c>
      <c r="F256" s="11" t="s">
        <v>783</v>
      </c>
      <c r="G256" s="12">
        <v>1837</v>
      </c>
      <c r="H256" s="12"/>
      <c r="I256" s="12"/>
      <c r="J256" s="12">
        <v>1817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734</v>
      </c>
      <c r="D257" s="15" t="s">
        <v>80</v>
      </c>
      <c r="E257" s="11" t="s">
        <v>26</v>
      </c>
      <c r="F257" s="11" t="s">
        <v>735</v>
      </c>
      <c r="G257" s="12">
        <v>1837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559</v>
      </c>
      <c r="D258" s="15" t="s">
        <v>45</v>
      </c>
      <c r="E258" s="11" t="s">
        <v>26</v>
      </c>
      <c r="F258" s="11" t="s">
        <v>560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970</v>
      </c>
      <c r="D259" s="15" t="s">
        <v>60</v>
      </c>
      <c r="E259" s="11" t="s">
        <v>26</v>
      </c>
      <c r="F259" s="11" t="s">
        <v>971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1583</v>
      </c>
      <c r="D260" s="11" t="s">
        <v>95</v>
      </c>
      <c r="E260" s="11" t="s">
        <v>26</v>
      </c>
      <c r="F260" s="11" t="s">
        <v>1584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1529</v>
      </c>
      <c r="D261" s="15" t="s">
        <v>60</v>
      </c>
      <c r="E261" s="11" t="s">
        <v>61</v>
      </c>
      <c r="F261" s="11" t="s">
        <v>1530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1729</v>
      </c>
      <c r="D262" s="15" t="s">
        <v>80</v>
      </c>
      <c r="E262" s="11" t="s">
        <v>61</v>
      </c>
      <c r="F262" s="11" t="s">
        <v>1730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1705</v>
      </c>
      <c r="D268" s="15" t="s">
        <v>80</v>
      </c>
      <c r="E268" s="11" t="s">
        <v>61</v>
      </c>
      <c r="F268" s="11" t="s">
        <v>1706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1722</v>
      </c>
      <c r="D269" s="15" t="s">
        <v>45</v>
      </c>
      <c r="E269" s="11" t="s">
        <v>26</v>
      </c>
      <c r="F269" s="11" t="s">
        <v>1723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IF($T271="","",1+COUNTIF($W$15:$W$882,"&lt;"&amp;W271))</f>
        <v/>
      </c>
      <c r="B271" s="11" t="s">
        <v>10</v>
      </c>
      <c r="C271" s="11" t="s">
        <v>1683</v>
      </c>
      <c r="D271" s="11" t="s">
        <v>57</v>
      </c>
      <c r="E271" s="11" t="s">
        <v>26</v>
      </c>
      <c r="F271" s="11" t="s">
        <v>1684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482</v>
      </c>
      <c r="D274" s="15" t="s">
        <v>60</v>
      </c>
      <c r="E274" s="11" t="s">
        <v>26</v>
      </c>
      <c r="F274" s="11" t="s">
        <v>483</v>
      </c>
      <c r="G274" s="12">
        <v>1845</v>
      </c>
      <c r="H274" s="12"/>
      <c r="I274" s="12"/>
      <c r="J274" s="12">
        <v>1824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1824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1419</v>
      </c>
      <c r="D275" s="11" t="s">
        <v>48</v>
      </c>
      <c r="E275" s="11" t="s">
        <v>26</v>
      </c>
      <c r="F275" s="11" t="s">
        <v>1420</v>
      </c>
      <c r="G275" s="12">
        <v>1845</v>
      </c>
      <c r="H275" s="12"/>
      <c r="I275" s="12"/>
      <c r="J275" s="12">
        <v>1832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1832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645</v>
      </c>
      <c r="D276" s="15" t="s">
        <v>45</v>
      </c>
      <c r="E276" s="11" t="s">
        <v>26</v>
      </c>
      <c r="F276" s="11" t="s">
        <v>646</v>
      </c>
      <c r="G276" s="12">
        <v>1887</v>
      </c>
      <c r="H276" s="12"/>
      <c r="I276" s="12"/>
      <c r="J276" s="12">
        <v>1857</v>
      </c>
      <c r="K276" s="12">
        <f t="shared" si="53"/>
        <v>0</v>
      </c>
      <c r="L276" s="12">
        <f t="shared" si="54"/>
        <v>1887</v>
      </c>
      <c r="M276" s="12" t="str">
        <f t="shared" si="55"/>
        <v/>
      </c>
      <c r="N276" s="12">
        <f t="shared" si="56"/>
        <v>1857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826</v>
      </c>
      <c r="D277" s="15" t="s">
        <v>80</v>
      </c>
      <c r="E277" s="11" t="s">
        <v>26</v>
      </c>
      <c r="F277" s="11" t="s">
        <v>827</v>
      </c>
      <c r="G277" s="12">
        <v>1846</v>
      </c>
      <c r="H277" s="12"/>
      <c r="I277" s="12"/>
      <c r="J277" s="12">
        <v>1846</v>
      </c>
      <c r="K277" s="12">
        <f t="shared" si="53"/>
        <v>0</v>
      </c>
      <c r="L277" s="12">
        <f t="shared" si="54"/>
        <v>1846</v>
      </c>
      <c r="M277" s="12" t="str">
        <f t="shared" si="55"/>
        <v/>
      </c>
      <c r="N277" s="12">
        <f t="shared" si="56"/>
        <v>1846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533</v>
      </c>
      <c r="D278" s="11" t="s">
        <v>57</v>
      </c>
      <c r="E278" s="11" t="s">
        <v>61</v>
      </c>
      <c r="F278" s="11" t="s">
        <v>534</v>
      </c>
      <c r="G278" s="12">
        <v>1847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1847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14</v>
      </c>
      <c r="C279" s="11" t="s">
        <v>356</v>
      </c>
      <c r="D279" s="15" t="s">
        <v>45</v>
      </c>
      <c r="E279" s="11" t="s">
        <v>26</v>
      </c>
      <c r="F279" s="11" t="s">
        <v>357</v>
      </c>
      <c r="G279" s="12">
        <v>1848</v>
      </c>
      <c r="H279" s="12"/>
      <c r="I279" s="12"/>
      <c r="J279" s="12">
        <v>1798</v>
      </c>
      <c r="K279" s="12">
        <f t="shared" si="53"/>
        <v>0</v>
      </c>
      <c r="L279" s="12">
        <f t="shared" si="54"/>
        <v>1848</v>
      </c>
      <c r="M279" s="12" t="str">
        <f t="shared" si="55"/>
        <v/>
      </c>
      <c r="N279" s="12">
        <f t="shared" si="56"/>
        <v>1798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1497</v>
      </c>
      <c r="D280" s="15" t="s">
        <v>80</v>
      </c>
      <c r="E280" s="11" t="s">
        <v>61</v>
      </c>
      <c r="F280" s="11" t="s">
        <v>1498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1689</v>
      </c>
      <c r="D281" s="15" t="s">
        <v>45</v>
      </c>
      <c r="E281" s="11" t="s">
        <v>61</v>
      </c>
      <c r="F281" s="11" t="s">
        <v>1690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1423</v>
      </c>
      <c r="D282" s="11" t="s">
        <v>57</v>
      </c>
      <c r="E282" s="11" t="s">
        <v>61</v>
      </c>
      <c r="F282" s="11" t="s">
        <v>1424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1324</v>
      </c>
      <c r="D291" s="15" t="s">
        <v>80</v>
      </c>
      <c r="E291" s="11" t="s">
        <v>26</v>
      </c>
      <c r="F291" s="11" t="s">
        <v>1325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1274</v>
      </c>
      <c r="D293" s="15" t="s">
        <v>60</v>
      </c>
      <c r="E293" s="11" t="s">
        <v>26</v>
      </c>
      <c r="F293" s="11" t="s">
        <v>1275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1646</v>
      </c>
      <c r="D294" s="15" t="s">
        <v>60</v>
      </c>
      <c r="E294" s="11" t="s">
        <v>61</v>
      </c>
      <c r="F294" s="11" t="s">
        <v>1647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637</v>
      </c>
      <c r="D295" s="15" t="s">
        <v>45</v>
      </c>
      <c r="E295" s="11" t="s">
        <v>26</v>
      </c>
      <c r="F295" s="11" t="s">
        <v>638</v>
      </c>
      <c r="G295" s="12">
        <v>1854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1854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1714</v>
      </c>
      <c r="D296" s="11" t="s">
        <v>57</v>
      </c>
      <c r="E296" s="11" t="s">
        <v>26</v>
      </c>
      <c r="F296" s="11" t="s">
        <v>1715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1735</v>
      </c>
      <c r="D297" s="15" t="s">
        <v>60</v>
      </c>
      <c r="E297" s="11" t="s">
        <v>26</v>
      </c>
      <c r="F297" s="11" t="s">
        <v>1736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6</v>
      </c>
      <c r="C298" s="11" t="s">
        <v>1670</v>
      </c>
      <c r="D298" s="15" t="s">
        <v>45</v>
      </c>
      <c r="E298" s="11" t="s">
        <v>26</v>
      </c>
      <c r="F298" s="11" t="s">
        <v>1671</v>
      </c>
      <c r="G298" s="12">
        <v>1855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551</v>
      </c>
      <c r="D299" s="15" t="s">
        <v>45</v>
      </c>
      <c r="E299" s="11" t="s">
        <v>61</v>
      </c>
      <c r="F299" s="11" t="s">
        <v>552</v>
      </c>
      <c r="G299" s="12">
        <v>1855</v>
      </c>
      <c r="H299" s="12"/>
      <c r="I299" s="12"/>
      <c r="J299" s="12">
        <v>1845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1845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868</v>
      </c>
      <c r="D300" s="15" t="s">
        <v>80</v>
      </c>
      <c r="E300" s="11" t="s">
        <v>26</v>
      </c>
      <c r="F300" s="11" t="s">
        <v>869</v>
      </c>
      <c r="G300" s="12">
        <v>1899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18</v>
      </c>
      <c r="C301" s="11" t="s">
        <v>527</v>
      </c>
      <c r="D301" s="11" t="s">
        <v>57</v>
      </c>
      <c r="E301" s="11" t="s">
        <v>61</v>
      </c>
      <c r="F301" s="11" t="s">
        <v>528</v>
      </c>
      <c r="G301" s="12">
        <v>1899</v>
      </c>
      <c r="H301" s="12"/>
      <c r="I301" s="12"/>
      <c r="J301" s="12">
        <v>1859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1859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1169</v>
      </c>
      <c r="D302" s="15" t="s">
        <v>80</v>
      </c>
      <c r="E302" s="11" t="s">
        <v>26</v>
      </c>
      <c r="F302" s="11" t="s">
        <v>1170</v>
      </c>
      <c r="G302" s="12">
        <v>1899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1703</v>
      </c>
      <c r="D303" s="11" t="s">
        <v>57</v>
      </c>
      <c r="E303" s="11" t="s">
        <v>61</v>
      </c>
      <c r="F303" s="11" t="s">
        <v>1704</v>
      </c>
      <c r="G303" s="12">
        <v>1899</v>
      </c>
      <c r="H303" s="12"/>
      <c r="I303" s="12"/>
      <c r="J303" s="12">
        <v>1899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1899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849</v>
      </c>
      <c r="D304" s="15" t="s">
        <v>60</v>
      </c>
      <c r="E304" s="11" t="s">
        <v>26</v>
      </c>
      <c r="F304" s="11" t="s">
        <v>850</v>
      </c>
      <c r="G304" s="12">
        <v>1857</v>
      </c>
      <c r="H304" s="12"/>
      <c r="I304" s="12"/>
      <c r="J304" s="12">
        <v>1827</v>
      </c>
      <c r="K304" s="12">
        <f t="shared" si="53"/>
        <v>0</v>
      </c>
      <c r="L304" s="12">
        <f t="shared" si="54"/>
        <v>1857</v>
      </c>
      <c r="M304" s="12" t="str">
        <f t="shared" si="55"/>
        <v/>
      </c>
      <c r="N304" s="12">
        <f t="shared" si="56"/>
        <v>1827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1217</v>
      </c>
      <c r="D305" s="11" t="s">
        <v>57</v>
      </c>
      <c r="E305" s="11" t="s">
        <v>61</v>
      </c>
      <c r="F305" s="11" t="s">
        <v>1218</v>
      </c>
      <c r="G305" s="12">
        <v>1857</v>
      </c>
      <c r="H305" s="12"/>
      <c r="I305" s="12"/>
      <c r="J305" s="12">
        <v>1837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1837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12</v>
      </c>
      <c r="C306" s="11" t="s">
        <v>1371</v>
      </c>
      <c r="D306" s="15" t="s">
        <v>57</v>
      </c>
      <c r="E306" s="11" t="s">
        <v>26</v>
      </c>
      <c r="F306" s="11" t="s">
        <v>1372</v>
      </c>
      <c r="G306" s="12">
        <v>1857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1081</v>
      </c>
      <c r="D307" s="15" t="s">
        <v>80</v>
      </c>
      <c r="E307" s="11" t="s">
        <v>26</v>
      </c>
      <c r="F307" s="11" t="s">
        <v>1083</v>
      </c>
      <c r="G307" s="12">
        <v>1858</v>
      </c>
      <c r="H307" s="12"/>
      <c r="I307" s="12"/>
      <c r="J307" s="12">
        <v>1828</v>
      </c>
      <c r="K307" s="12">
        <f t="shared" si="53"/>
        <v>0</v>
      </c>
      <c r="L307" s="12">
        <f t="shared" si="54"/>
        <v>1858</v>
      </c>
      <c r="M307" s="12" t="str">
        <f t="shared" si="55"/>
        <v/>
      </c>
      <c r="N307" s="12">
        <f t="shared" si="56"/>
        <v>1828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1270</v>
      </c>
      <c r="D308" s="15" t="s">
        <v>60</v>
      </c>
      <c r="E308" s="11" t="s">
        <v>61</v>
      </c>
      <c r="F308" s="11" t="s">
        <v>1271</v>
      </c>
      <c r="G308" s="12">
        <v>1858</v>
      </c>
      <c r="H308" s="12"/>
      <c r="I308" s="12"/>
      <c r="J308" s="12">
        <v>1848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1848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12</v>
      </c>
      <c r="C309" s="11" t="s">
        <v>186</v>
      </c>
      <c r="D309" s="15" t="s">
        <v>60</v>
      </c>
      <c r="E309" s="11" t="s">
        <v>26</v>
      </c>
      <c r="F309" s="11" t="s">
        <v>187</v>
      </c>
      <c r="G309" s="12">
        <v>1859</v>
      </c>
      <c r="H309" s="12"/>
      <c r="I309" s="12"/>
      <c r="J309" s="12">
        <v>1819</v>
      </c>
      <c r="K309" s="12">
        <f t="shared" si="53"/>
        <v>0</v>
      </c>
      <c r="L309" s="12">
        <f t="shared" si="54"/>
        <v>1859</v>
      </c>
      <c r="M309" s="12" t="str">
        <f t="shared" si="55"/>
        <v/>
      </c>
      <c r="N309" s="12">
        <f t="shared" si="56"/>
        <v>1819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7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6</v>
      </c>
      <c r="C310" s="11" t="s">
        <v>408</v>
      </c>
      <c r="D310" s="15" t="s">
        <v>60</v>
      </c>
      <c r="E310" s="11" t="s">
        <v>61</v>
      </c>
      <c r="F310" s="11" t="s">
        <v>409</v>
      </c>
      <c r="G310" s="12">
        <v>1859</v>
      </c>
      <c r="H310" s="12"/>
      <c r="I310" s="12"/>
      <c r="J310" s="12">
        <v>1829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1829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734</v>
      </c>
      <c r="D311" s="15" t="s">
        <v>80</v>
      </c>
      <c r="E311" s="11" t="s">
        <v>61</v>
      </c>
      <c r="F311" s="11" t="s">
        <v>736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59</v>
      </c>
      <c r="D312" s="15" t="s">
        <v>60</v>
      </c>
      <c r="E312" s="11" t="s">
        <v>61</v>
      </c>
      <c r="F312" s="11" t="s">
        <v>62</v>
      </c>
      <c r="G312" s="12">
        <v>1859</v>
      </c>
      <c r="H312" s="12"/>
      <c r="I312" s="12"/>
      <c r="J312" s="12">
        <v>1839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1839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1549</v>
      </c>
      <c r="D313" s="11" t="s">
        <v>95</v>
      </c>
      <c r="E313" s="11" t="s">
        <v>61</v>
      </c>
      <c r="F313" s="11" t="s">
        <v>1550</v>
      </c>
      <c r="G313" s="12">
        <v>1859</v>
      </c>
      <c r="H313" s="12"/>
      <c r="I313" s="12"/>
      <c r="J313" s="12">
        <v>1845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1845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1086</v>
      </c>
      <c r="D314" s="11" t="s">
        <v>57</v>
      </c>
      <c r="E314" s="11" t="s">
        <v>26</v>
      </c>
      <c r="F314" s="11" t="s">
        <v>1087</v>
      </c>
      <c r="G314" s="12">
        <v>1859</v>
      </c>
      <c r="H314" s="12"/>
      <c r="I314" s="12"/>
      <c r="J314" s="12">
        <v>1847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1847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970</v>
      </c>
      <c r="D315" s="15" t="s">
        <v>45</v>
      </c>
      <c r="E315" s="11" t="s">
        <v>26</v>
      </c>
      <c r="F315" s="11" t="s">
        <v>972</v>
      </c>
      <c r="G315" s="12">
        <v>1859</v>
      </c>
      <c r="H315" s="12"/>
      <c r="I315" s="12"/>
      <c r="J315" s="12">
        <v>1849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7" customFormat="1" ht="28.5" customHeight="1">
      <c r="A316" s="11" t="str">
        <f t="shared" si="52"/>
        <v/>
      </c>
      <c r="B316" s="11" t="s">
        <v>12</v>
      </c>
      <c r="C316" s="11" t="s">
        <v>633</v>
      </c>
      <c r="D316" s="15" t="s">
        <v>80</v>
      </c>
      <c r="E316" s="11" t="s">
        <v>26</v>
      </c>
      <c r="F316" s="11" t="s">
        <v>634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769</v>
      </c>
      <c r="D317" s="11" t="s">
        <v>57</v>
      </c>
      <c r="E317" s="11" t="s">
        <v>26</v>
      </c>
      <c r="F317" s="11" t="s">
        <v>770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7" customFormat="1" ht="28.5" customHeight="1">
      <c r="A318" s="11" t="str">
        <f t="shared" si="52"/>
        <v/>
      </c>
      <c r="B318" s="11" t="s">
        <v>6</v>
      </c>
      <c r="C318" s="11" t="s">
        <v>822</v>
      </c>
      <c r="D318" s="11" t="s">
        <v>57</v>
      </c>
      <c r="E318" s="11" t="s">
        <v>26</v>
      </c>
      <c r="F318" s="11" t="s">
        <v>823</v>
      </c>
      <c r="G318" s="12">
        <v>1859</v>
      </c>
      <c r="H318" s="12"/>
      <c r="I318" s="12"/>
      <c r="J318" s="12">
        <v>1859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1859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6</v>
      </c>
      <c r="C319" s="11" t="s">
        <v>643</v>
      </c>
      <c r="D319" s="11" t="s">
        <v>57</v>
      </c>
      <c r="E319" s="11" t="s">
        <v>26</v>
      </c>
      <c r="F319" s="11" t="s">
        <v>644</v>
      </c>
      <c r="G319" s="12">
        <v>1860</v>
      </c>
      <c r="H319" s="12"/>
      <c r="I319" s="12"/>
      <c r="J319" s="12">
        <v>1830</v>
      </c>
      <c r="K319" s="12">
        <f t="shared" si="53"/>
        <v>0</v>
      </c>
      <c r="L319" s="12">
        <f t="shared" si="54"/>
        <v>1860</v>
      </c>
      <c r="M319" s="12" t="str">
        <f t="shared" si="55"/>
        <v/>
      </c>
      <c r="N319" s="12">
        <f t="shared" si="56"/>
        <v>1830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184</v>
      </c>
      <c r="D320" s="15" t="s">
        <v>60</v>
      </c>
      <c r="E320" s="11" t="s">
        <v>26</v>
      </c>
      <c r="F320" s="11" t="s">
        <v>185</v>
      </c>
      <c r="G320" s="12">
        <v>1864</v>
      </c>
      <c r="H320" s="12"/>
      <c r="I320" s="12"/>
      <c r="J320" s="12">
        <v>1853</v>
      </c>
      <c r="K320" s="12">
        <f t="shared" si="53"/>
        <v>0</v>
      </c>
      <c r="L320" s="12">
        <f t="shared" si="54"/>
        <v>1864</v>
      </c>
      <c r="M320" s="12" t="str">
        <f t="shared" si="55"/>
        <v/>
      </c>
      <c r="N320" s="12">
        <f t="shared" si="56"/>
        <v>1853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1296</v>
      </c>
      <c r="D321" s="15" t="s">
        <v>80</v>
      </c>
      <c r="E321" s="11" t="s">
        <v>26</v>
      </c>
      <c r="F321" s="11" t="s">
        <v>1297</v>
      </c>
      <c r="G321" s="12">
        <v>1865</v>
      </c>
      <c r="H321" s="12"/>
      <c r="I321" s="12"/>
      <c r="J321" s="12">
        <v>1847</v>
      </c>
      <c r="K321" s="12">
        <f t="shared" si="53"/>
        <v>0</v>
      </c>
      <c r="L321" s="12">
        <f t="shared" si="54"/>
        <v>1865</v>
      </c>
      <c r="M321" s="12" t="str">
        <f t="shared" si="55"/>
        <v/>
      </c>
      <c r="N321" s="12">
        <f t="shared" si="56"/>
        <v>1847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838</v>
      </c>
      <c r="D322" s="15" t="s">
        <v>80</v>
      </c>
      <c r="E322" s="11" t="s">
        <v>61</v>
      </c>
      <c r="F322" s="11" t="s">
        <v>839</v>
      </c>
      <c r="G322" s="12">
        <v>1866</v>
      </c>
      <c r="H322" s="12"/>
      <c r="I322" s="12"/>
      <c r="J322" s="12">
        <v>1846</v>
      </c>
      <c r="K322" s="12">
        <f t="shared" si="53"/>
        <v>0</v>
      </c>
      <c r="L322" s="12">
        <f t="shared" si="54"/>
        <v>1866</v>
      </c>
      <c r="M322" s="12" t="str">
        <f t="shared" si="55"/>
        <v/>
      </c>
      <c r="N322" s="12">
        <f t="shared" si="56"/>
        <v>1846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674</v>
      </c>
      <c r="D323" s="11" t="s">
        <v>57</v>
      </c>
      <c r="E323" s="11" t="s">
        <v>26</v>
      </c>
      <c r="F323" s="11" t="s">
        <v>675</v>
      </c>
      <c r="G323" s="12">
        <v>1867</v>
      </c>
      <c r="H323" s="12"/>
      <c r="I323" s="12"/>
      <c r="J323" s="12">
        <v>1817</v>
      </c>
      <c r="K323" s="12">
        <f t="shared" si="53"/>
        <v>0</v>
      </c>
      <c r="L323" s="12">
        <f t="shared" si="54"/>
        <v>1867</v>
      </c>
      <c r="M323" s="12" t="str">
        <f t="shared" si="55"/>
        <v/>
      </c>
      <c r="N323" s="12">
        <f t="shared" si="56"/>
        <v>1817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8</v>
      </c>
      <c r="C324" s="11" t="s">
        <v>1430</v>
      </c>
      <c r="D324" s="15" t="s">
        <v>60</v>
      </c>
      <c r="E324" s="11" t="s">
        <v>26</v>
      </c>
      <c r="F324" s="11" t="s">
        <v>1431</v>
      </c>
      <c r="G324" s="12">
        <v>1867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12</v>
      </c>
      <c r="C325" s="11" t="s">
        <v>732</v>
      </c>
      <c r="D325" s="15" t="s">
        <v>80</v>
      </c>
      <c r="E325" s="11" t="s">
        <v>26</v>
      </c>
      <c r="F325" s="11" t="s">
        <v>733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1017</v>
      </c>
      <c r="D326" s="15" t="s">
        <v>57</v>
      </c>
      <c r="E326" s="11" t="s">
        <v>26</v>
      </c>
      <c r="F326" s="11" t="s">
        <v>1018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12</v>
      </c>
      <c r="C327" s="11" t="s">
        <v>616</v>
      </c>
      <c r="D327" s="15" t="s">
        <v>45</v>
      </c>
      <c r="E327" s="11" t="s">
        <v>61</v>
      </c>
      <c r="F327" s="11" t="s">
        <v>617</v>
      </c>
      <c r="G327" s="12">
        <v>1868</v>
      </c>
      <c r="H327" s="12"/>
      <c r="I327" s="12"/>
      <c r="J327" s="12">
        <v>1848</v>
      </c>
      <c r="K327" s="12">
        <f t="shared" si="53"/>
        <v>0</v>
      </c>
      <c r="L327" s="12">
        <f t="shared" si="54"/>
        <v>1868</v>
      </c>
      <c r="M327" s="12" t="str">
        <f t="shared" si="55"/>
        <v/>
      </c>
      <c r="N327" s="12">
        <f t="shared" si="56"/>
        <v>1848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7" customFormat="1" ht="28.5" customHeight="1">
      <c r="A328" s="11" t="str">
        <f t="shared" si="52"/>
        <v/>
      </c>
      <c r="B328" s="11" t="s">
        <v>14</v>
      </c>
      <c r="C328" s="11" t="s">
        <v>451</v>
      </c>
      <c r="D328" s="15" t="s">
        <v>80</v>
      </c>
      <c r="E328" s="11" t="s">
        <v>61</v>
      </c>
      <c r="F328" s="11" t="s">
        <v>452</v>
      </c>
      <c r="G328" s="12">
        <v>1869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1869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509</v>
      </c>
      <c r="D329" s="15" t="s">
        <v>45</v>
      </c>
      <c r="E329" s="11" t="s">
        <v>61</v>
      </c>
      <c r="F329" s="11" t="s">
        <v>510</v>
      </c>
      <c r="G329" s="12">
        <v>1869</v>
      </c>
      <c r="H329" s="12"/>
      <c r="I329" s="12"/>
      <c r="J329" s="12">
        <v>1849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1849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916</v>
      </c>
      <c r="D330" s="15" t="s">
        <v>60</v>
      </c>
      <c r="E330" s="11" t="s">
        <v>26</v>
      </c>
      <c r="F330" s="11" t="s">
        <v>917</v>
      </c>
      <c r="G330" s="12">
        <v>1869</v>
      </c>
      <c r="H330" s="12"/>
      <c r="I330" s="12"/>
      <c r="J330" s="12">
        <v>1856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1856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970</v>
      </c>
      <c r="D331" s="11" t="s">
        <v>57</v>
      </c>
      <c r="E331" s="11" t="s">
        <v>26</v>
      </c>
      <c r="F331" s="11" t="s">
        <v>973</v>
      </c>
      <c r="G331" s="12">
        <v>1869</v>
      </c>
      <c r="H331" s="12"/>
      <c r="I331" s="12"/>
      <c r="J331" s="12">
        <v>1859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1290</v>
      </c>
      <c r="D332" s="15" t="s">
        <v>80</v>
      </c>
      <c r="E332" s="11" t="s">
        <v>61</v>
      </c>
      <c r="F332" s="11" t="s">
        <v>1291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16" customFormat="1" ht="28.5" customHeight="1">
      <c r="A333" s="11" t="str">
        <f t="shared" si="52"/>
        <v/>
      </c>
      <c r="B333" s="11" t="s">
        <v>6</v>
      </c>
      <c r="C333" s="11" t="s">
        <v>444</v>
      </c>
      <c r="D333" s="15" t="s">
        <v>60</v>
      </c>
      <c r="E333" s="11" t="s">
        <v>61</v>
      </c>
      <c r="F333" s="11" t="s">
        <v>445</v>
      </c>
      <c r="G333" s="12">
        <v>1869</v>
      </c>
      <c r="H333" s="12"/>
      <c r="I333" s="12"/>
      <c r="J333" s="12">
        <v>1869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1869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1509</v>
      </c>
      <c r="D334" s="15" t="s">
        <v>80</v>
      </c>
      <c r="E334" s="11" t="s">
        <v>26</v>
      </c>
      <c r="F334" s="11" t="s">
        <v>1510</v>
      </c>
      <c r="G334" s="12">
        <v>1869</v>
      </c>
      <c r="H334" s="12"/>
      <c r="I334" s="12"/>
      <c r="J334" s="12">
        <v>1897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1897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14</v>
      </c>
      <c r="C335" s="11" t="s">
        <v>761</v>
      </c>
      <c r="D335" s="11" t="s">
        <v>57</v>
      </c>
      <c r="E335" s="11" t="s">
        <v>61</v>
      </c>
      <c r="F335" s="11" t="s">
        <v>762</v>
      </c>
      <c r="G335" s="12">
        <v>1870</v>
      </c>
      <c r="H335" s="12"/>
      <c r="I335" s="12"/>
      <c r="J335" s="12">
        <v>1860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1870</v>
      </c>
      <c r="M335" s="12" t="str">
        <f t="shared" ref="M335:M398" si="68">IF($H335="","",$H335+$K335)</f>
        <v/>
      </c>
      <c r="N335" s="12">
        <f t="shared" ref="N335:N398" si="69">IF($J335="","",$J335+$K335)</f>
        <v>1860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625</v>
      </c>
      <c r="D336" s="15" t="s">
        <v>57</v>
      </c>
      <c r="E336" s="11" t="s">
        <v>61</v>
      </c>
      <c r="F336" s="11" t="s">
        <v>626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1725</v>
      </c>
      <c r="D337" s="15" t="s">
        <v>45</v>
      </c>
      <c r="E337" s="11" t="s">
        <v>61</v>
      </c>
      <c r="F337" s="11" t="s">
        <v>1726</v>
      </c>
      <c r="G337" s="12">
        <v>1875</v>
      </c>
      <c r="H337" s="12"/>
      <c r="I337" s="12"/>
      <c r="J337" s="12">
        <v>1855</v>
      </c>
      <c r="K337" s="12">
        <f t="shared" si="66"/>
        <v>0</v>
      </c>
      <c r="L337" s="12">
        <f t="shared" si="67"/>
        <v>1875</v>
      </c>
      <c r="M337" s="12" t="str">
        <f t="shared" si="68"/>
        <v/>
      </c>
      <c r="N337" s="12">
        <f t="shared" si="69"/>
        <v>1855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525</v>
      </c>
      <c r="D338" s="15" t="s">
        <v>80</v>
      </c>
      <c r="E338" s="11" t="s">
        <v>61</v>
      </c>
      <c r="F338" s="11" t="s">
        <v>526</v>
      </c>
      <c r="G338" s="12">
        <v>1875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1334</v>
      </c>
      <c r="D339" s="11" t="s">
        <v>57</v>
      </c>
      <c r="E339" s="11" t="s">
        <v>61</v>
      </c>
      <c r="F339" s="11" t="s">
        <v>1335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1527</v>
      </c>
      <c r="D340" s="15" t="s">
        <v>45</v>
      </c>
      <c r="E340" s="11" t="s">
        <v>61</v>
      </c>
      <c r="F340" s="11" t="s">
        <v>1528</v>
      </c>
      <c r="G340" s="12">
        <v>1878</v>
      </c>
      <c r="H340" s="12"/>
      <c r="I340" s="12"/>
      <c r="J340" s="12">
        <v>1858</v>
      </c>
      <c r="K340" s="12">
        <f t="shared" si="66"/>
        <v>0</v>
      </c>
      <c r="L340" s="12">
        <f t="shared" si="67"/>
        <v>1878</v>
      </c>
      <c r="M340" s="12" t="str">
        <f t="shared" si="68"/>
        <v/>
      </c>
      <c r="N340" s="12">
        <f t="shared" si="69"/>
        <v>1858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14</v>
      </c>
      <c r="C341" s="11" t="s">
        <v>1428</v>
      </c>
      <c r="D341" s="11" t="s">
        <v>57</v>
      </c>
      <c r="E341" s="11" t="s">
        <v>61</v>
      </c>
      <c r="F341" s="11" t="s">
        <v>1429</v>
      </c>
      <c r="G341" s="12">
        <v>1878</v>
      </c>
      <c r="H341" s="12"/>
      <c r="I341" s="12"/>
      <c r="J341" s="12">
        <v>1868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1868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14</v>
      </c>
      <c r="C342" s="11" t="s">
        <v>398</v>
      </c>
      <c r="D342" s="15" t="s">
        <v>45</v>
      </c>
      <c r="E342" s="11" t="s">
        <v>26</v>
      </c>
      <c r="F342" s="11" t="s">
        <v>399</v>
      </c>
      <c r="G342" s="12">
        <v>1878</v>
      </c>
      <c r="H342" s="12"/>
      <c r="I342" s="12"/>
      <c r="J342" s="12">
        <v>1874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1874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1108</v>
      </c>
      <c r="D345" s="11" t="s">
        <v>57</v>
      </c>
      <c r="E345" s="11" t="s">
        <v>26</v>
      </c>
      <c r="F345" s="11" t="s">
        <v>1109</v>
      </c>
      <c r="G345" s="12">
        <v>1879</v>
      </c>
      <c r="H345" s="12"/>
      <c r="I345" s="12"/>
      <c r="J345" s="12">
        <v>1864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1864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865</v>
      </c>
      <c r="D346" s="15" t="s">
        <v>45</v>
      </c>
      <c r="E346" s="11" t="s">
        <v>61</v>
      </c>
      <c r="F346" s="11" t="s">
        <v>866</v>
      </c>
      <c r="G346" s="12">
        <v>1879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1615</v>
      </c>
      <c r="D347" s="11" t="s">
        <v>57</v>
      </c>
      <c r="E347" s="11" t="s">
        <v>26</v>
      </c>
      <c r="F347" s="11" t="s">
        <v>1616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14</v>
      </c>
      <c r="C348" s="11" t="s">
        <v>1302</v>
      </c>
      <c r="D348" s="11" t="s">
        <v>71</v>
      </c>
      <c r="E348" s="11" t="s">
        <v>26</v>
      </c>
      <c r="F348" s="11" t="s">
        <v>1303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10</v>
      </c>
      <c r="C349" s="11" t="s">
        <v>1073</v>
      </c>
      <c r="D349" s="15" t="s">
        <v>60</v>
      </c>
      <c r="E349" s="11" t="s">
        <v>61</v>
      </c>
      <c r="F349" s="11" t="s">
        <v>1074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1381</v>
      </c>
      <c r="D350" s="15" t="s">
        <v>45</v>
      </c>
      <c r="E350" s="11" t="s">
        <v>61</v>
      </c>
      <c r="F350" s="11" t="s">
        <v>1382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944</v>
      </c>
      <c r="D351" s="15" t="s">
        <v>45</v>
      </c>
      <c r="E351" s="11" t="s">
        <v>61</v>
      </c>
      <c r="F351" s="11" t="s">
        <v>945</v>
      </c>
      <c r="G351" s="12">
        <v>1879</v>
      </c>
      <c r="H351" s="12"/>
      <c r="I351" s="12"/>
      <c r="J351" s="12">
        <v>1879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1879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6</v>
      </c>
      <c r="C352" s="11" t="s">
        <v>1654</v>
      </c>
      <c r="D352" s="11" t="s">
        <v>57</v>
      </c>
      <c r="E352" s="11" t="s">
        <v>26</v>
      </c>
      <c r="F352" s="11" t="s">
        <v>1655</v>
      </c>
      <c r="G352" s="12">
        <v>1883</v>
      </c>
      <c r="H352" s="12"/>
      <c r="I352" s="12"/>
      <c r="J352" s="12">
        <v>1874</v>
      </c>
      <c r="K352" s="12">
        <f t="shared" si="66"/>
        <v>0</v>
      </c>
      <c r="L352" s="12">
        <f t="shared" si="67"/>
        <v>1883</v>
      </c>
      <c r="M352" s="12" t="str">
        <f t="shared" si="68"/>
        <v/>
      </c>
      <c r="N352" s="12">
        <f t="shared" si="69"/>
        <v>1874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1434</v>
      </c>
      <c r="D353" s="15" t="s">
        <v>45</v>
      </c>
      <c r="E353" s="11" t="s">
        <v>26</v>
      </c>
      <c r="F353" s="11" t="s">
        <v>1435</v>
      </c>
      <c r="G353" s="12">
        <v>1884</v>
      </c>
      <c r="H353" s="12"/>
      <c r="I353" s="12"/>
      <c r="J353" s="12">
        <v>1873</v>
      </c>
      <c r="K353" s="12">
        <f t="shared" si="66"/>
        <v>0</v>
      </c>
      <c r="L353" s="12">
        <f t="shared" si="67"/>
        <v>1884</v>
      </c>
      <c r="M353" s="12" t="str">
        <f t="shared" si="68"/>
        <v/>
      </c>
      <c r="N353" s="12">
        <f t="shared" si="69"/>
        <v>1873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863</v>
      </c>
      <c r="D354" s="15" t="s">
        <v>80</v>
      </c>
      <c r="E354" s="11" t="s">
        <v>26</v>
      </c>
      <c r="F354" s="11" t="s">
        <v>864</v>
      </c>
      <c r="G354" s="12">
        <v>1885</v>
      </c>
      <c r="H354" s="12"/>
      <c r="I354" s="12"/>
      <c r="J354" s="12">
        <v>1845</v>
      </c>
      <c r="K354" s="12">
        <f t="shared" si="66"/>
        <v>0</v>
      </c>
      <c r="L354" s="12">
        <f t="shared" si="67"/>
        <v>1885</v>
      </c>
      <c r="M354" s="12" t="str">
        <f t="shared" si="68"/>
        <v/>
      </c>
      <c r="N354" s="12">
        <f t="shared" si="69"/>
        <v>1845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1318</v>
      </c>
      <c r="D355" s="15" t="s">
        <v>60</v>
      </c>
      <c r="E355" s="11" t="s">
        <v>26</v>
      </c>
      <c r="F355" s="11" t="s">
        <v>1319</v>
      </c>
      <c r="G355" s="12">
        <v>1887</v>
      </c>
      <c r="H355" s="12"/>
      <c r="I355" s="12"/>
      <c r="J355" s="12">
        <v>1868</v>
      </c>
      <c r="K355" s="12">
        <f t="shared" si="66"/>
        <v>0</v>
      </c>
      <c r="L355" s="12">
        <f t="shared" si="67"/>
        <v>1887</v>
      </c>
      <c r="M355" s="12" t="str">
        <f t="shared" si="68"/>
        <v/>
      </c>
      <c r="N355" s="12">
        <f t="shared" si="69"/>
        <v>1868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14</v>
      </c>
      <c r="C356" s="11" t="s">
        <v>606</v>
      </c>
      <c r="D356" s="15" t="s">
        <v>45</v>
      </c>
      <c r="E356" s="11" t="s">
        <v>61</v>
      </c>
      <c r="F356" s="11" t="s">
        <v>607</v>
      </c>
      <c r="G356" s="12">
        <v>1889</v>
      </c>
      <c r="H356" s="12"/>
      <c r="I356" s="12"/>
      <c r="J356" s="12">
        <v>1879</v>
      </c>
      <c r="K356" s="12">
        <f t="shared" si="66"/>
        <v>0</v>
      </c>
      <c r="L356" s="12">
        <f t="shared" si="67"/>
        <v>1889</v>
      </c>
      <c r="M356" s="12" t="str">
        <f t="shared" si="68"/>
        <v/>
      </c>
      <c r="N356" s="12">
        <f t="shared" si="69"/>
        <v>1879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1681</v>
      </c>
      <c r="D357" s="15" t="s">
        <v>45</v>
      </c>
      <c r="E357" s="11" t="s">
        <v>26</v>
      </c>
      <c r="F357" s="11" t="s">
        <v>1682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10</v>
      </c>
      <c r="C358" s="11" t="s">
        <v>908</v>
      </c>
      <c r="D358" s="11" t="s">
        <v>57</v>
      </c>
      <c r="E358" s="11" t="s">
        <v>26</v>
      </c>
      <c r="F358" s="11" t="s">
        <v>909</v>
      </c>
      <c r="G358" s="12">
        <v>1889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10</v>
      </c>
      <c r="C359" s="11" t="s">
        <v>1733</v>
      </c>
      <c r="D359" s="15" t="s">
        <v>45</v>
      </c>
      <c r="E359" s="11" t="s">
        <v>26</v>
      </c>
      <c r="F359" s="11" t="s">
        <v>1734</v>
      </c>
      <c r="G359" s="12">
        <v>1890</v>
      </c>
      <c r="H359" s="12"/>
      <c r="I359" s="12"/>
      <c r="J359" s="12">
        <v>1870</v>
      </c>
      <c r="K359" s="12">
        <f t="shared" si="66"/>
        <v>0</v>
      </c>
      <c r="L359" s="12">
        <f t="shared" si="67"/>
        <v>1890</v>
      </c>
      <c r="M359" s="12" t="str">
        <f t="shared" si="68"/>
        <v/>
      </c>
      <c r="N359" s="12">
        <f t="shared" si="69"/>
        <v>1870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8</v>
      </c>
      <c r="C360" s="11" t="s">
        <v>792</v>
      </c>
      <c r="D360" s="15" t="s">
        <v>45</v>
      </c>
      <c r="E360" s="11" t="s">
        <v>61</v>
      </c>
      <c r="F360" s="11" t="s">
        <v>793</v>
      </c>
      <c r="G360" s="12">
        <v>1890</v>
      </c>
      <c r="H360" s="12"/>
      <c r="I360" s="12"/>
      <c r="J360" s="12">
        <v>1890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1890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1587</v>
      </c>
      <c r="D361" s="15" t="s">
        <v>45</v>
      </c>
      <c r="E361" s="11" t="s">
        <v>26</v>
      </c>
      <c r="F361" s="11" t="s">
        <v>1588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496</v>
      </c>
      <c r="D362" s="15" t="s">
        <v>80</v>
      </c>
      <c r="E362" s="11" t="s">
        <v>26</v>
      </c>
      <c r="F362" s="11" t="s">
        <v>497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1521</v>
      </c>
      <c r="D363" s="15" t="s">
        <v>45</v>
      </c>
      <c r="E363" s="11" t="s">
        <v>26</v>
      </c>
      <c r="F363" s="11" t="s">
        <v>1522</v>
      </c>
      <c r="G363" s="12">
        <v>1891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1891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99</v>
      </c>
      <c r="D364" s="15" t="s">
        <v>45</v>
      </c>
      <c r="E364" s="11" t="s">
        <v>26</v>
      </c>
      <c r="F364" s="11" t="s">
        <v>100</v>
      </c>
      <c r="G364" s="12">
        <v>1894</v>
      </c>
      <c r="H364" s="12"/>
      <c r="I364" s="12"/>
      <c r="J364" s="12">
        <v>1864</v>
      </c>
      <c r="K364" s="12">
        <f t="shared" si="66"/>
        <v>0</v>
      </c>
      <c r="L364" s="12">
        <f t="shared" si="67"/>
        <v>1894</v>
      </c>
      <c r="M364" s="12" t="str">
        <f t="shared" si="68"/>
        <v/>
      </c>
      <c r="N364" s="12">
        <f t="shared" si="69"/>
        <v>1864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6</v>
      </c>
      <c r="C365" s="11" t="s">
        <v>1258</v>
      </c>
      <c r="D365" s="11" t="s">
        <v>57</v>
      </c>
      <c r="E365" s="11" t="s">
        <v>61</v>
      </c>
      <c r="F365" s="11" t="s">
        <v>1259</v>
      </c>
      <c r="G365" s="12">
        <v>1895</v>
      </c>
      <c r="H365" s="12"/>
      <c r="I365" s="12"/>
      <c r="J365" s="12">
        <v>1854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380</v>
      </c>
      <c r="D366" s="15" t="s">
        <v>60</v>
      </c>
      <c r="E366" s="11" t="s">
        <v>61</v>
      </c>
      <c r="F366" s="11" t="s">
        <v>381</v>
      </c>
      <c r="G366" s="12">
        <v>1895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1260</v>
      </c>
      <c r="D368" s="15" t="s">
        <v>45</v>
      </c>
      <c r="E368" s="11" t="s">
        <v>61</v>
      </c>
      <c r="F368" s="11" t="s">
        <v>1261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1348</v>
      </c>
      <c r="D374" s="15" t="s">
        <v>45</v>
      </c>
      <c r="E374" s="11" t="s">
        <v>61</v>
      </c>
      <c r="F374" s="11" t="s">
        <v>1349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1256</v>
      </c>
      <c r="D375" s="11" t="s">
        <v>57</v>
      </c>
      <c r="E375" s="11" t="s">
        <v>26</v>
      </c>
      <c r="F375" s="11" t="s">
        <v>1257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838</v>
      </c>
      <c r="D384" s="15" t="s">
        <v>45</v>
      </c>
      <c r="E384" s="11" t="s">
        <v>61</v>
      </c>
      <c r="F384" s="11" t="s">
        <v>840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438</v>
      </c>
      <c r="D385" s="15" t="s">
        <v>80</v>
      </c>
      <c r="E385" s="11" t="s">
        <v>26</v>
      </c>
      <c r="F385" s="11" t="s">
        <v>439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505</v>
      </c>
      <c r="D386" s="15" t="s">
        <v>60</v>
      </c>
      <c r="E386" s="11" t="s">
        <v>26</v>
      </c>
      <c r="F386" s="11" t="s">
        <v>506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1708</v>
      </c>
      <c r="D387" s="11" t="s">
        <v>57</v>
      </c>
      <c r="E387" s="11" t="s">
        <v>26</v>
      </c>
      <c r="F387" s="11" t="s">
        <v>1709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1531</v>
      </c>
      <c r="D388" s="15" t="s">
        <v>80</v>
      </c>
      <c r="E388" s="11" t="s">
        <v>26</v>
      </c>
      <c r="F388" s="11" t="s">
        <v>1532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428</v>
      </c>
      <c r="D389" s="15" t="s">
        <v>45</v>
      </c>
      <c r="E389" s="11" t="s">
        <v>61</v>
      </c>
      <c r="F389" s="11" t="s">
        <v>430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64</v>
      </c>
      <c r="D390" s="15" t="s">
        <v>60</v>
      </c>
      <c r="E390" s="11" t="s">
        <v>61</v>
      </c>
      <c r="F390" s="11" t="s">
        <v>65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280</v>
      </c>
      <c r="D391" s="15" t="s">
        <v>45</v>
      </c>
      <c r="E391" s="11" t="s">
        <v>26</v>
      </c>
      <c r="F391" s="11" t="s">
        <v>281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496</v>
      </c>
      <c r="D392" s="11" t="s">
        <v>57</v>
      </c>
      <c r="E392" s="11" t="s">
        <v>26</v>
      </c>
      <c r="F392" s="11" t="s">
        <v>498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10</v>
      </c>
      <c r="C393" s="11" t="s">
        <v>1611</v>
      </c>
      <c r="D393" s="15" t="s">
        <v>60</v>
      </c>
      <c r="E393" s="11" t="s">
        <v>61</v>
      </c>
      <c r="F393" s="11" t="s">
        <v>1612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1718</v>
      </c>
      <c r="D394" s="11" t="s">
        <v>57</v>
      </c>
      <c r="E394" s="11" t="s">
        <v>61</v>
      </c>
      <c r="F394" s="11" t="s">
        <v>1719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16" customFormat="1" ht="28.5" customHeight="1">
      <c r="A395" s="11" t="str">
        <f t="shared" si="65"/>
        <v/>
      </c>
      <c r="B395" s="11" t="s">
        <v>12</v>
      </c>
      <c r="C395" s="11" t="s">
        <v>805</v>
      </c>
      <c r="D395" s="15" t="s">
        <v>57</v>
      </c>
      <c r="E395" s="11" t="s">
        <v>61</v>
      </c>
      <c r="F395" s="11" t="s">
        <v>806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774</v>
      </c>
      <c r="D396" s="15" t="s">
        <v>45</v>
      </c>
      <c r="E396" s="11" t="s">
        <v>26</v>
      </c>
      <c r="F396" s="11" t="s">
        <v>775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1547</v>
      </c>
      <c r="D397" s="15" t="s">
        <v>45</v>
      </c>
      <c r="E397" s="11" t="s">
        <v>61</v>
      </c>
      <c r="F397" s="11" t="s">
        <v>1548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1613</v>
      </c>
      <c r="D398" s="15" t="s">
        <v>45</v>
      </c>
      <c r="E398" s="11" t="s">
        <v>61</v>
      </c>
      <c r="F398" s="11" t="s">
        <v>1614</v>
      </c>
      <c r="G398" s="12">
        <v>1899</v>
      </c>
      <c r="H398" s="12"/>
      <c r="I398" s="12"/>
      <c r="J398" s="12">
        <v>1898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1898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8</v>
      </c>
      <c r="C399" s="11" t="s">
        <v>661</v>
      </c>
      <c r="D399" s="15" t="s">
        <v>80</v>
      </c>
      <c r="E399" s="11" t="s">
        <v>61</v>
      </c>
      <c r="F399" s="11" t="s">
        <v>662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14</v>
      </c>
      <c r="C400" s="11" t="s">
        <v>946</v>
      </c>
      <c r="D400" s="11" t="s">
        <v>57</v>
      </c>
      <c r="E400" s="11" t="s">
        <v>61</v>
      </c>
      <c r="F400" s="11" t="s">
        <v>947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988</v>
      </c>
      <c r="D401" s="15" t="s">
        <v>45</v>
      </c>
      <c r="E401" s="11" t="s">
        <v>26</v>
      </c>
      <c r="F401" s="11" t="s">
        <v>989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1057</v>
      </c>
      <c r="D402" s="11" t="s">
        <v>57</v>
      </c>
      <c r="E402" s="11" t="s">
        <v>61</v>
      </c>
      <c r="F402" s="11" t="s">
        <v>1058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1375</v>
      </c>
      <c r="D403" s="11" t="s">
        <v>57</v>
      </c>
      <c r="E403" s="11" t="s">
        <v>61</v>
      </c>
      <c r="F403" s="11" t="s">
        <v>1376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154</v>
      </c>
      <c r="D404" s="15" t="s">
        <v>57</v>
      </c>
      <c r="E404" s="11" t="s">
        <v>26</v>
      </c>
      <c r="F404" s="11" t="s">
        <v>155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432</v>
      </c>
      <c r="D405" s="15" t="s">
        <v>45</v>
      </c>
      <c r="E405" s="11" t="s">
        <v>61</v>
      </c>
      <c r="F405" s="11" t="s">
        <v>433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861</v>
      </c>
      <c r="D406" s="15" t="s">
        <v>80</v>
      </c>
      <c r="E406" s="11" t="s">
        <v>26</v>
      </c>
      <c r="F406" s="11" t="s">
        <v>862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1563</v>
      </c>
      <c r="D407" s="15" t="s">
        <v>57</v>
      </c>
      <c r="E407" s="11" t="s">
        <v>26</v>
      </c>
      <c r="F407" s="11" t="s">
        <v>1564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10</v>
      </c>
      <c r="C408" s="11" t="s">
        <v>922</v>
      </c>
      <c r="D408" s="15" t="s">
        <v>45</v>
      </c>
      <c r="E408" s="11" t="s">
        <v>26</v>
      </c>
      <c r="F408" s="11" t="s">
        <v>923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1183</v>
      </c>
      <c r="D409" s="11" t="s">
        <v>57</v>
      </c>
      <c r="E409" s="11" t="s">
        <v>61</v>
      </c>
      <c r="F409" s="11" t="s">
        <v>1184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1185</v>
      </c>
      <c r="D410" s="15" t="s">
        <v>80</v>
      </c>
      <c r="E410" s="11" t="s">
        <v>61</v>
      </c>
      <c r="F410" s="11" t="s">
        <v>1186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1055</v>
      </c>
      <c r="D411" s="15" t="s">
        <v>80</v>
      </c>
      <c r="E411" s="11" t="s">
        <v>26</v>
      </c>
      <c r="F411" s="11" t="s">
        <v>1056</v>
      </c>
      <c r="G411" s="12">
        <v>1900</v>
      </c>
      <c r="H411" s="12"/>
      <c r="I411" s="12"/>
      <c r="J411" s="12">
        <v>1900</v>
      </c>
      <c r="K411" s="12">
        <f t="shared" si="79"/>
        <v>0</v>
      </c>
      <c r="L411" s="12">
        <f t="shared" si="80"/>
        <v>1900</v>
      </c>
      <c r="M411" s="12" t="str">
        <f t="shared" si="81"/>
        <v/>
      </c>
      <c r="N411" s="12">
        <f t="shared" si="82"/>
        <v>1900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18</v>
      </c>
      <c r="C412" s="11" t="s">
        <v>1129</v>
      </c>
      <c r="D412" s="11" t="s">
        <v>57</v>
      </c>
      <c r="E412" s="11" t="s">
        <v>61</v>
      </c>
      <c r="F412" s="11" t="s">
        <v>1130</v>
      </c>
      <c r="G412" s="12">
        <v>1949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1949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12</v>
      </c>
      <c r="C413" s="11" t="s">
        <v>1106</v>
      </c>
      <c r="D413" s="15" t="s">
        <v>60</v>
      </c>
      <c r="E413" s="11" t="s">
        <v>61</v>
      </c>
      <c r="F413" s="11" t="s">
        <v>1107</v>
      </c>
      <c r="G413" s="12">
        <v>1908</v>
      </c>
      <c r="H413" s="12"/>
      <c r="I413" s="12"/>
      <c r="J413" s="12">
        <v>1898</v>
      </c>
      <c r="K413" s="12">
        <f t="shared" si="79"/>
        <v>0</v>
      </c>
      <c r="L413" s="12">
        <f t="shared" si="80"/>
        <v>1908</v>
      </c>
      <c r="M413" s="12" t="str">
        <f t="shared" si="81"/>
        <v/>
      </c>
      <c r="N413" s="12">
        <f t="shared" si="82"/>
        <v>1898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796</v>
      </c>
      <c r="D414" s="11" t="s">
        <v>57</v>
      </c>
      <c r="E414" s="11" t="s">
        <v>61</v>
      </c>
      <c r="F414" s="11" t="s">
        <v>797</v>
      </c>
      <c r="G414" s="12">
        <v>1909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807</v>
      </c>
      <c r="D415" s="15" t="s">
        <v>60</v>
      </c>
      <c r="E415" s="11" t="s">
        <v>61</v>
      </c>
      <c r="F415" s="11" t="s">
        <v>809</v>
      </c>
      <c r="G415" s="12">
        <v>1909</v>
      </c>
      <c r="H415" s="12"/>
      <c r="I415" s="12"/>
      <c r="J415" s="12">
        <v>1909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1909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992</v>
      </c>
      <c r="D416" s="15" t="s">
        <v>45</v>
      </c>
      <c r="E416" s="11" t="s">
        <v>61</v>
      </c>
      <c r="F416" s="11" t="s">
        <v>993</v>
      </c>
      <c r="G416" s="12">
        <v>1910</v>
      </c>
      <c r="H416" s="12"/>
      <c r="I416" s="12"/>
      <c r="J416" s="12">
        <v>1870</v>
      </c>
      <c r="K416" s="12">
        <f t="shared" si="79"/>
        <v>0</v>
      </c>
      <c r="L416" s="12">
        <f t="shared" si="80"/>
        <v>1910</v>
      </c>
      <c r="M416" s="12" t="str">
        <f t="shared" si="81"/>
        <v/>
      </c>
      <c r="N416" s="12">
        <f t="shared" si="82"/>
        <v>1870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569</v>
      </c>
      <c r="D417" s="15" t="s">
        <v>60</v>
      </c>
      <c r="E417" s="11" t="s">
        <v>61</v>
      </c>
      <c r="F417" s="11" t="s">
        <v>570</v>
      </c>
      <c r="G417" s="12">
        <v>1915</v>
      </c>
      <c r="H417" s="12"/>
      <c r="I417" s="12"/>
      <c r="J417" s="12">
        <v>1897</v>
      </c>
      <c r="K417" s="12">
        <f t="shared" si="79"/>
        <v>0</v>
      </c>
      <c r="L417" s="12">
        <f t="shared" si="80"/>
        <v>1915</v>
      </c>
      <c r="M417" s="12" t="str">
        <f t="shared" si="81"/>
        <v/>
      </c>
      <c r="N417" s="12">
        <f t="shared" si="82"/>
        <v>1897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755</v>
      </c>
      <c r="D418" s="15" t="s">
        <v>45</v>
      </c>
      <c r="E418" s="11" t="s">
        <v>61</v>
      </c>
      <c r="F418" s="11" t="s">
        <v>756</v>
      </c>
      <c r="G418" s="12">
        <v>1918</v>
      </c>
      <c r="H418" s="12"/>
      <c r="I418" s="12"/>
      <c r="J418" s="12">
        <v>1908</v>
      </c>
      <c r="K418" s="12">
        <f t="shared" si="79"/>
        <v>0</v>
      </c>
      <c r="L418" s="12">
        <f t="shared" si="80"/>
        <v>1918</v>
      </c>
      <c r="M418" s="12" t="str">
        <f t="shared" si="81"/>
        <v/>
      </c>
      <c r="N418" s="12">
        <f t="shared" si="82"/>
        <v>1908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10</v>
      </c>
      <c r="C419" s="11" t="s">
        <v>596</v>
      </c>
      <c r="D419" s="15" t="s">
        <v>45</v>
      </c>
      <c r="E419" s="11" t="s">
        <v>61</v>
      </c>
      <c r="F419" s="11" t="s">
        <v>597</v>
      </c>
      <c r="G419" s="12">
        <v>1929</v>
      </c>
      <c r="H419" s="12"/>
      <c r="I419" s="12"/>
      <c r="J419" s="12">
        <v>1929</v>
      </c>
      <c r="K419" s="12">
        <f t="shared" si="79"/>
        <v>0</v>
      </c>
      <c r="L419" s="12">
        <f t="shared" si="80"/>
        <v>1929</v>
      </c>
      <c r="M419" s="12" t="str">
        <f t="shared" si="81"/>
        <v/>
      </c>
      <c r="N419" s="12">
        <f t="shared" si="82"/>
        <v>1929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1225</v>
      </c>
      <c r="D420" s="11" t="s">
        <v>57</v>
      </c>
      <c r="E420" s="11" t="s">
        <v>61</v>
      </c>
      <c r="F420" s="11" t="s">
        <v>1226</v>
      </c>
      <c r="G420" s="12">
        <v>1938</v>
      </c>
      <c r="H420" s="12"/>
      <c r="I420" s="12"/>
      <c r="J420" s="12">
        <v>1938</v>
      </c>
      <c r="K420" s="12">
        <f t="shared" si="79"/>
        <v>0</v>
      </c>
      <c r="L420" s="12">
        <f t="shared" si="80"/>
        <v>1938</v>
      </c>
      <c r="M420" s="12" t="str">
        <f t="shared" si="81"/>
        <v/>
      </c>
      <c r="N420" s="12">
        <f t="shared" si="82"/>
        <v>1938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1603</v>
      </c>
      <c r="D421" s="15" t="s">
        <v>80</v>
      </c>
      <c r="E421" s="11" t="s">
        <v>61</v>
      </c>
      <c r="F421" s="11" t="s">
        <v>1604</v>
      </c>
      <c r="G421" s="12">
        <v>1939</v>
      </c>
      <c r="H421" s="12"/>
      <c r="I421" s="12"/>
      <c r="J421" s="12">
        <v>1869</v>
      </c>
      <c r="K421" s="12">
        <f t="shared" si="79"/>
        <v>0</v>
      </c>
      <c r="L421" s="12">
        <f t="shared" si="80"/>
        <v>1939</v>
      </c>
      <c r="M421" s="12" t="str">
        <f t="shared" si="81"/>
        <v/>
      </c>
      <c r="N421" s="12">
        <f t="shared" si="82"/>
        <v>1869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1029</v>
      </c>
      <c r="D422" s="15" t="s">
        <v>60</v>
      </c>
      <c r="E422" s="11" t="s">
        <v>61</v>
      </c>
      <c r="F422" s="11" t="s">
        <v>1030</v>
      </c>
      <c r="G422" s="12">
        <v>1940</v>
      </c>
      <c r="H422" s="12"/>
      <c r="I422" s="12"/>
      <c r="J422" s="12">
        <v>1930</v>
      </c>
      <c r="K422" s="12">
        <f t="shared" si="79"/>
        <v>0</v>
      </c>
      <c r="L422" s="12">
        <f t="shared" si="80"/>
        <v>1940</v>
      </c>
      <c r="M422" s="12" t="str">
        <f t="shared" si="81"/>
        <v/>
      </c>
      <c r="N422" s="12">
        <f t="shared" si="82"/>
        <v>1930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1119</v>
      </c>
      <c r="D423" s="15" t="s">
        <v>60</v>
      </c>
      <c r="E423" s="11" t="s">
        <v>61</v>
      </c>
      <c r="F423" s="11" t="s">
        <v>1120</v>
      </c>
      <c r="G423" s="12">
        <v>1945</v>
      </c>
      <c r="H423" s="12"/>
      <c r="I423" s="12"/>
      <c r="J423" s="12">
        <v>1895</v>
      </c>
      <c r="K423" s="12">
        <f t="shared" si="79"/>
        <v>0</v>
      </c>
      <c r="L423" s="12">
        <f t="shared" si="80"/>
        <v>1945</v>
      </c>
      <c r="M423" s="12" t="str">
        <f t="shared" si="81"/>
        <v/>
      </c>
      <c r="N423" s="12">
        <f t="shared" si="82"/>
        <v>1895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6</v>
      </c>
      <c r="C424" s="11" t="s">
        <v>865</v>
      </c>
      <c r="D424" s="11" t="s">
        <v>57</v>
      </c>
      <c r="E424" s="11" t="s">
        <v>26</v>
      </c>
      <c r="F424" s="11" t="s">
        <v>867</v>
      </c>
      <c r="G424" s="12">
        <v>1948</v>
      </c>
      <c r="H424" s="12"/>
      <c r="I424" s="12"/>
      <c r="J424" s="12">
        <v>1939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1939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270</v>
      </c>
      <c r="D425" s="15" t="s">
        <v>80</v>
      </c>
      <c r="E425" s="11" t="s">
        <v>61</v>
      </c>
      <c r="F425" s="11" t="s">
        <v>271</v>
      </c>
      <c r="G425" s="12">
        <v>1948</v>
      </c>
      <c r="H425" s="12"/>
      <c r="I425" s="12"/>
      <c r="J425" s="12">
        <v>1948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1948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404</v>
      </c>
      <c r="D426" s="15" t="s">
        <v>45</v>
      </c>
      <c r="E426" s="11" t="s">
        <v>61</v>
      </c>
      <c r="F426" s="11" t="s">
        <v>405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828</v>
      </c>
      <c r="D427" s="15" t="s">
        <v>60</v>
      </c>
      <c r="E427" s="11" t="s">
        <v>61</v>
      </c>
      <c r="F427" s="11" t="s">
        <v>829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776</v>
      </c>
      <c r="D428" s="15" t="s">
        <v>60</v>
      </c>
      <c r="E428" s="11" t="s">
        <v>61</v>
      </c>
      <c r="F428" s="11" t="s">
        <v>777</v>
      </c>
      <c r="G428" s="12">
        <v>1950</v>
      </c>
      <c r="H428" s="12"/>
      <c r="I428" s="12"/>
      <c r="J428" s="12">
        <v>1920</v>
      </c>
      <c r="K428" s="12">
        <f t="shared" si="79"/>
        <v>0</v>
      </c>
      <c r="L428" s="12">
        <f t="shared" si="80"/>
        <v>1950</v>
      </c>
      <c r="M428" s="12" t="str">
        <f t="shared" si="81"/>
        <v/>
      </c>
      <c r="N428" s="12">
        <f t="shared" si="82"/>
        <v>1920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1489</v>
      </c>
      <c r="D429" s="15" t="s">
        <v>80</v>
      </c>
      <c r="E429" s="11" t="s">
        <v>61</v>
      </c>
      <c r="F429" s="11" t="s">
        <v>1490</v>
      </c>
      <c r="G429" s="12">
        <v>1958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1958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1705</v>
      </c>
      <c r="D430" s="15" t="s">
        <v>60</v>
      </c>
      <c r="E430" s="11" t="s">
        <v>61</v>
      </c>
      <c r="F430" s="11" t="s">
        <v>1707</v>
      </c>
      <c r="G430" s="12">
        <v>1960</v>
      </c>
      <c r="H430" s="12"/>
      <c r="I430" s="12"/>
      <c r="J430" s="12">
        <v>1950</v>
      </c>
      <c r="K430" s="12">
        <f t="shared" si="79"/>
        <v>0</v>
      </c>
      <c r="L430" s="12">
        <f t="shared" si="80"/>
        <v>1960</v>
      </c>
      <c r="M430" s="12" t="str">
        <f t="shared" si="81"/>
        <v/>
      </c>
      <c r="N430" s="12">
        <f t="shared" si="82"/>
        <v>1950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12</v>
      </c>
      <c r="C431" s="11" t="s">
        <v>948</v>
      </c>
      <c r="D431" s="15" t="s">
        <v>45</v>
      </c>
      <c r="E431" s="11" t="s">
        <v>26</v>
      </c>
      <c r="F431" s="11" t="s">
        <v>949</v>
      </c>
      <c r="G431" s="12">
        <v>1788</v>
      </c>
      <c r="H431" s="12"/>
      <c r="I431" s="12"/>
      <c r="J431" s="12">
        <v>1856</v>
      </c>
      <c r="K431" s="12">
        <f t="shared" si="79"/>
        <v>0</v>
      </c>
      <c r="L431" s="12">
        <f t="shared" si="80"/>
        <v>1788</v>
      </c>
      <c r="M431" s="12" t="str">
        <f t="shared" si="81"/>
        <v/>
      </c>
      <c r="N431" s="12">
        <f t="shared" si="82"/>
        <v>1856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912</v>
      </c>
      <c r="D432" s="11" t="s">
        <v>57</v>
      </c>
      <c r="E432" s="11" t="s">
        <v>26</v>
      </c>
      <c r="F432" s="11" t="s">
        <v>913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1011</v>
      </c>
      <c r="D433" s="15" t="s">
        <v>57</v>
      </c>
      <c r="E433" s="11" t="s">
        <v>26</v>
      </c>
      <c r="F433" s="11" t="s">
        <v>1012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1391</v>
      </c>
      <c r="D434" s="15" t="s">
        <v>57</v>
      </c>
      <c r="E434" s="11" t="s">
        <v>26</v>
      </c>
      <c r="F434" s="11" t="s">
        <v>1392</v>
      </c>
      <c r="G434" s="12">
        <v>1789</v>
      </c>
      <c r="H434" s="12"/>
      <c r="I434" s="12"/>
      <c r="J434" s="12">
        <v>1805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1805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1507</v>
      </c>
      <c r="D435" s="15" t="s">
        <v>57</v>
      </c>
      <c r="E435" s="11" t="s">
        <v>26</v>
      </c>
      <c r="F435" s="11" t="s">
        <v>1508</v>
      </c>
      <c r="G435" s="12">
        <v>1789</v>
      </c>
      <c r="H435" s="12"/>
      <c r="I435" s="12"/>
      <c r="J435" s="12">
        <v>1815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1815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75</v>
      </c>
      <c r="D436" s="15" t="s">
        <v>60</v>
      </c>
      <c r="E436" s="11" t="s">
        <v>26</v>
      </c>
      <c r="F436" s="11" t="s">
        <v>76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824</v>
      </c>
      <c r="D437" s="15" t="s">
        <v>57</v>
      </c>
      <c r="E437" s="11" t="s">
        <v>61</v>
      </c>
      <c r="F437" s="11" t="s">
        <v>825</v>
      </c>
      <c r="G437" s="12">
        <v>1995</v>
      </c>
      <c r="H437" s="12"/>
      <c r="I437" s="12"/>
      <c r="J437" s="12">
        <v>1995</v>
      </c>
      <c r="K437" s="12">
        <f t="shared" si="79"/>
        <v>0</v>
      </c>
      <c r="L437" s="12">
        <f t="shared" si="80"/>
        <v>1995</v>
      </c>
      <c r="M437" s="12" t="str">
        <f t="shared" si="81"/>
        <v/>
      </c>
      <c r="N437" s="12">
        <f t="shared" si="82"/>
        <v>1995</v>
      </c>
      <c r="O437" s="12" t="str">
        <f t="shared" si="83"/>
        <v/>
      </c>
      <c r="P437" s="12" t="str">
        <f t="shared" si="84"/>
        <v/>
      </c>
      <c r="Q437" s="12" t="s">
        <v>63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667</v>
      </c>
      <c r="D438" s="15" t="s">
        <v>80</v>
      </c>
      <c r="E438" s="11" t="s">
        <v>26</v>
      </c>
      <c r="F438" s="11" t="s">
        <v>668</v>
      </c>
      <c r="G438" s="12">
        <v>1798</v>
      </c>
      <c r="H438" s="12"/>
      <c r="I438" s="12"/>
      <c r="J438" s="12">
        <v>1779</v>
      </c>
      <c r="K438" s="12">
        <f t="shared" si="79"/>
        <v>0</v>
      </c>
      <c r="L438" s="12">
        <f t="shared" si="80"/>
        <v>1798</v>
      </c>
      <c r="M438" s="12" t="str">
        <f t="shared" si="81"/>
        <v/>
      </c>
      <c r="N438" s="12">
        <f t="shared" si="82"/>
        <v>1779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6</v>
      </c>
      <c r="C439" s="11" t="s">
        <v>122</v>
      </c>
      <c r="D439" s="15" t="s">
        <v>60</v>
      </c>
      <c r="E439" s="11" t="s">
        <v>61</v>
      </c>
      <c r="F439" s="11" t="s">
        <v>123</v>
      </c>
      <c r="G439" s="12">
        <v>1998</v>
      </c>
      <c r="H439" s="12"/>
      <c r="I439" s="12"/>
      <c r="J439" s="12">
        <v>1998</v>
      </c>
      <c r="K439" s="12">
        <f t="shared" si="79"/>
        <v>0</v>
      </c>
      <c r="L439" s="12">
        <f t="shared" si="80"/>
        <v>1998</v>
      </c>
      <c r="M439" s="12" t="str">
        <f t="shared" si="81"/>
        <v/>
      </c>
      <c r="N439" s="12">
        <f t="shared" si="82"/>
        <v>1998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535</v>
      </c>
      <c r="D440" s="15" t="s">
        <v>45</v>
      </c>
      <c r="E440" s="11" t="s">
        <v>26</v>
      </c>
      <c r="F440" s="11" t="s">
        <v>536</v>
      </c>
      <c r="G440" s="12">
        <v>1799</v>
      </c>
      <c r="H440" s="12"/>
      <c r="I440" s="12"/>
      <c r="J440" s="12">
        <v>1785</v>
      </c>
      <c r="K440" s="12">
        <f t="shared" si="79"/>
        <v>0</v>
      </c>
      <c r="L440" s="12">
        <f t="shared" si="80"/>
        <v>1799</v>
      </c>
      <c r="M440" s="12" t="str">
        <f t="shared" si="81"/>
        <v/>
      </c>
      <c r="N440" s="12">
        <f t="shared" si="82"/>
        <v>1785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567</v>
      </c>
      <c r="D441" s="15" t="s">
        <v>45</v>
      </c>
      <c r="E441" s="11" t="s">
        <v>26</v>
      </c>
      <c r="F441" s="11" t="s">
        <v>568</v>
      </c>
      <c r="G441" s="12">
        <v>1799</v>
      </c>
      <c r="H441" s="12"/>
      <c r="I441" s="12"/>
      <c r="J441" s="12">
        <v>1789</v>
      </c>
      <c r="K441" s="12">
        <f t="shared" si="79"/>
        <v>0</v>
      </c>
      <c r="L441" s="12">
        <f t="shared" si="80"/>
        <v>1799</v>
      </c>
      <c r="M441" s="12" t="str">
        <f t="shared" si="81"/>
        <v/>
      </c>
      <c r="N441" s="12">
        <f t="shared" si="82"/>
        <v>1789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1756</v>
      </c>
      <c r="D442" s="11" t="s">
        <v>104</v>
      </c>
      <c r="E442" s="11" t="s">
        <v>26</v>
      </c>
      <c r="F442" s="11" t="s">
        <v>1757</v>
      </c>
      <c r="G442" s="12">
        <v>1799</v>
      </c>
      <c r="H442" s="12"/>
      <c r="I442" s="12"/>
      <c r="J442" s="12">
        <v>1824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1824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1595</v>
      </c>
      <c r="D443" s="15" t="s">
        <v>45</v>
      </c>
      <c r="E443" s="11" t="s">
        <v>61</v>
      </c>
      <c r="F443" s="11" t="s">
        <v>1596</v>
      </c>
      <c r="G443" s="12">
        <v>1999</v>
      </c>
      <c r="H443" s="12"/>
      <c r="I443" s="12"/>
      <c r="J443" s="12">
        <v>1989</v>
      </c>
      <c r="K443" s="12">
        <f t="shared" si="79"/>
        <v>0</v>
      </c>
      <c r="L443" s="12">
        <f t="shared" si="80"/>
        <v>1999</v>
      </c>
      <c r="M443" s="12" t="str">
        <f t="shared" si="81"/>
        <v/>
      </c>
      <c r="N443" s="12">
        <f t="shared" si="82"/>
        <v>1989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665</v>
      </c>
      <c r="D444" s="15" t="s">
        <v>80</v>
      </c>
      <c r="E444" s="11" t="s">
        <v>26</v>
      </c>
      <c r="F444" s="11" t="s">
        <v>666</v>
      </c>
      <c r="G444" s="12">
        <v>1805</v>
      </c>
      <c r="H444" s="12"/>
      <c r="I444" s="12"/>
      <c r="J444" s="12">
        <v>1793</v>
      </c>
      <c r="K444" s="12">
        <f t="shared" si="79"/>
        <v>0</v>
      </c>
      <c r="L444" s="12">
        <f t="shared" si="80"/>
        <v>1805</v>
      </c>
      <c r="M444" s="12" t="str">
        <f t="shared" si="81"/>
        <v/>
      </c>
      <c r="N444" s="12">
        <f t="shared" si="82"/>
        <v>1793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6</v>
      </c>
      <c r="C445" s="11" t="s">
        <v>1227</v>
      </c>
      <c r="D445" s="15" t="s">
        <v>80</v>
      </c>
      <c r="E445" s="11" t="s">
        <v>26</v>
      </c>
      <c r="F445" s="11" t="s">
        <v>1228</v>
      </c>
      <c r="G445" s="12">
        <v>1805</v>
      </c>
      <c r="H445" s="12"/>
      <c r="I445" s="12"/>
      <c r="J445" s="12">
        <v>1793</v>
      </c>
      <c r="K445" s="12">
        <f t="shared" si="79"/>
        <v>0</v>
      </c>
      <c r="L445" s="12">
        <f t="shared" si="80"/>
        <v>1805</v>
      </c>
      <c r="M445" s="12" t="str">
        <f t="shared" si="81"/>
        <v/>
      </c>
      <c r="N445" s="12">
        <f t="shared" si="82"/>
        <v>1793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1294</v>
      </c>
      <c r="D446" s="15" t="s">
        <v>80</v>
      </c>
      <c r="E446" s="11" t="s">
        <v>26</v>
      </c>
      <c r="F446" s="11" t="s">
        <v>1295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743</v>
      </c>
      <c r="D447" s="15" t="s">
        <v>57</v>
      </c>
      <c r="E447" s="11" t="s">
        <v>26</v>
      </c>
      <c r="F447" s="11" t="s">
        <v>744</v>
      </c>
      <c r="G447" s="12">
        <v>1805</v>
      </c>
      <c r="H447" s="12"/>
      <c r="I447" s="12"/>
      <c r="J447" s="12">
        <v>1805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1805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1027</v>
      </c>
      <c r="D448" s="15" t="s">
        <v>45</v>
      </c>
      <c r="E448" s="11" t="s">
        <v>26</v>
      </c>
      <c r="F448" s="11" t="s">
        <v>1028</v>
      </c>
      <c r="G448" s="12">
        <v>1805</v>
      </c>
      <c r="H448" s="12"/>
      <c r="I448" s="12"/>
      <c r="J448" s="12">
        <v>1815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1815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501</v>
      </c>
      <c r="D449" s="11" t="s">
        <v>57</v>
      </c>
      <c r="E449" s="11" t="s">
        <v>26</v>
      </c>
      <c r="F449" s="11" t="s">
        <v>502</v>
      </c>
      <c r="G449" s="12">
        <v>1806</v>
      </c>
      <c r="H449" s="12"/>
      <c r="I449" s="12"/>
      <c r="J449" s="12">
        <v>1794</v>
      </c>
      <c r="K449" s="12">
        <f t="shared" si="79"/>
        <v>0</v>
      </c>
      <c r="L449" s="12">
        <f t="shared" si="80"/>
        <v>1806</v>
      </c>
      <c r="M449" s="12" t="str">
        <f t="shared" si="81"/>
        <v/>
      </c>
      <c r="N449" s="12">
        <f t="shared" si="82"/>
        <v>1794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635</v>
      </c>
      <c r="D450" s="11" t="s">
        <v>57</v>
      </c>
      <c r="E450" s="11" t="s">
        <v>26</v>
      </c>
      <c r="F450" s="11" t="s">
        <v>636</v>
      </c>
      <c r="G450" s="12">
        <v>1807</v>
      </c>
      <c r="H450" s="12"/>
      <c r="I450" s="12"/>
      <c r="J450" s="12">
        <v>1787</v>
      </c>
      <c r="K450" s="12">
        <f t="shared" si="79"/>
        <v>0</v>
      </c>
      <c r="L450" s="12">
        <f t="shared" si="80"/>
        <v>1807</v>
      </c>
      <c r="M450" s="12" t="str">
        <f t="shared" si="81"/>
        <v/>
      </c>
      <c r="N450" s="12">
        <f t="shared" si="82"/>
        <v>1787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453</v>
      </c>
      <c r="D451" s="15" t="s">
        <v>45</v>
      </c>
      <c r="E451" s="11" t="s">
        <v>26</v>
      </c>
      <c r="F451" s="11" t="s">
        <v>454</v>
      </c>
      <c r="G451" s="12">
        <v>1807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1807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1298</v>
      </c>
      <c r="D452" s="15" t="s">
        <v>45</v>
      </c>
      <c r="E452" s="11" t="s">
        <v>26</v>
      </c>
      <c r="F452" s="11" t="s">
        <v>1299</v>
      </c>
      <c r="G452" s="12">
        <v>1807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342</v>
      </c>
      <c r="D453" s="11" t="s">
        <v>57</v>
      </c>
      <c r="E453" s="11" t="s">
        <v>26</v>
      </c>
      <c r="F453" s="11" t="s">
        <v>343</v>
      </c>
      <c r="G453" s="12">
        <v>1808</v>
      </c>
      <c r="H453" s="12"/>
      <c r="I453" s="12"/>
      <c r="J453" s="12">
        <v>1794</v>
      </c>
      <c r="K453" s="12">
        <f t="shared" si="79"/>
        <v>0</v>
      </c>
      <c r="L453" s="12">
        <f t="shared" si="80"/>
        <v>1808</v>
      </c>
      <c r="M453" s="12" t="str">
        <f t="shared" si="81"/>
        <v/>
      </c>
      <c r="N453" s="12">
        <f t="shared" si="82"/>
        <v>1794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920</v>
      </c>
      <c r="D454" s="15" t="s">
        <v>45</v>
      </c>
      <c r="E454" s="11" t="s">
        <v>26</v>
      </c>
      <c r="F454" s="11" t="s">
        <v>921</v>
      </c>
      <c r="G454" s="12">
        <v>1808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1808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16" customFormat="1" ht="28.5" customHeight="1">
      <c r="A455" s="11" t="str">
        <f t="shared" si="78"/>
        <v/>
      </c>
      <c r="B455" s="11" t="s">
        <v>6</v>
      </c>
      <c r="C455" s="11" t="s">
        <v>68</v>
      </c>
      <c r="D455" s="11" t="s">
        <v>57</v>
      </c>
      <c r="E455" s="11" t="s">
        <v>26</v>
      </c>
      <c r="F455" s="11" t="s">
        <v>69</v>
      </c>
      <c r="G455" s="12">
        <v>1808</v>
      </c>
      <c r="H455" s="12"/>
      <c r="I455" s="12"/>
      <c r="J455" s="12">
        <v>1797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6</v>
      </c>
      <c r="C456" s="11" t="s">
        <v>1151</v>
      </c>
      <c r="D456" s="15" t="s">
        <v>80</v>
      </c>
      <c r="E456" s="11" t="s">
        <v>26</v>
      </c>
      <c r="F456" s="11" t="s">
        <v>1152</v>
      </c>
      <c r="G456" s="12">
        <v>1808</v>
      </c>
      <c r="H456" s="12"/>
      <c r="I456" s="12"/>
      <c r="J456" s="12">
        <v>1798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1798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73</v>
      </c>
      <c r="D457" s="15" t="s">
        <v>60</v>
      </c>
      <c r="E457" s="11" t="s">
        <v>26</v>
      </c>
      <c r="F457" s="11" t="s">
        <v>74</v>
      </c>
      <c r="G457" s="12">
        <v>1809</v>
      </c>
      <c r="H457" s="12"/>
      <c r="I457" s="12"/>
      <c r="J457" s="12">
        <v>1779</v>
      </c>
      <c r="K457" s="12">
        <f t="shared" si="79"/>
        <v>0</v>
      </c>
      <c r="L457" s="12">
        <f t="shared" si="80"/>
        <v>1809</v>
      </c>
      <c r="M457" s="12" t="str">
        <f t="shared" si="81"/>
        <v/>
      </c>
      <c r="N457" s="12">
        <f t="shared" si="82"/>
        <v>1779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14</v>
      </c>
      <c r="C458" s="11" t="s">
        <v>629</v>
      </c>
      <c r="D458" s="11" t="s">
        <v>57</v>
      </c>
      <c r="E458" s="11" t="s">
        <v>26</v>
      </c>
      <c r="F458" s="11" t="s">
        <v>630</v>
      </c>
      <c r="G458" s="12">
        <v>1809</v>
      </c>
      <c r="H458" s="12"/>
      <c r="I458" s="12"/>
      <c r="J458" s="12">
        <v>1789</v>
      </c>
      <c r="K458" s="12">
        <f t="shared" si="79"/>
        <v>0</v>
      </c>
      <c r="L458" s="12">
        <f t="shared" si="80"/>
        <v>1809</v>
      </c>
      <c r="M458" s="12" t="str">
        <f t="shared" si="81"/>
        <v/>
      </c>
      <c r="N458" s="12">
        <f t="shared" si="82"/>
        <v>1789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14</v>
      </c>
      <c r="C459" s="11" t="s">
        <v>1739</v>
      </c>
      <c r="D459" s="15" t="s">
        <v>45</v>
      </c>
      <c r="E459" s="11" t="s">
        <v>26</v>
      </c>
      <c r="F459" s="11" t="s">
        <v>1740</v>
      </c>
      <c r="G459" s="12">
        <v>1809</v>
      </c>
      <c r="H459" s="12"/>
      <c r="I459" s="12"/>
      <c r="J459" s="12">
        <v>1789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1789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116</v>
      </c>
      <c r="D460" s="15" t="s">
        <v>80</v>
      </c>
      <c r="E460" s="11" t="s">
        <v>26</v>
      </c>
      <c r="F460" s="11" t="s">
        <v>117</v>
      </c>
      <c r="G460" s="12">
        <v>1809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7" customFormat="1" ht="28.5" customHeight="1">
      <c r="A461" s="11" t="str">
        <f t="shared" si="78"/>
        <v/>
      </c>
      <c r="B461" s="11" t="s">
        <v>6</v>
      </c>
      <c r="C461" s="11" t="s">
        <v>523</v>
      </c>
      <c r="D461" s="15" t="s">
        <v>80</v>
      </c>
      <c r="E461" s="11" t="s">
        <v>26</v>
      </c>
      <c r="F461" s="11" t="s">
        <v>524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976</v>
      </c>
      <c r="D462" s="15" t="s">
        <v>60</v>
      </c>
      <c r="E462" s="11" t="s">
        <v>26</v>
      </c>
      <c r="F462" s="11" t="s">
        <v>977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1215</v>
      </c>
      <c r="D463" s="15" t="s">
        <v>45</v>
      </c>
      <c r="E463" s="11" t="s">
        <v>26</v>
      </c>
      <c r="F463" s="11" t="s">
        <v>1216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92</v>
      </c>
      <c r="D464" s="15" t="s">
        <v>80</v>
      </c>
      <c r="E464" s="11" t="s">
        <v>26</v>
      </c>
      <c r="F464" s="11" t="s">
        <v>93</v>
      </c>
      <c r="G464" s="12">
        <v>1809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162</v>
      </c>
      <c r="D465" s="15" t="s">
        <v>60</v>
      </c>
      <c r="E465" s="11" t="s">
        <v>26</v>
      </c>
      <c r="F465" s="11" t="s">
        <v>163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980</v>
      </c>
      <c r="D466" s="15" t="s">
        <v>45</v>
      </c>
      <c r="E466" s="11" t="s">
        <v>26</v>
      </c>
      <c r="F466" s="11" t="s">
        <v>981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1094</v>
      </c>
      <c r="D467" s="11" t="s">
        <v>48</v>
      </c>
      <c r="E467" s="11" t="s">
        <v>26</v>
      </c>
      <c r="F467" s="11" t="s">
        <v>1095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1513</v>
      </c>
      <c r="D468" s="11" t="s">
        <v>57</v>
      </c>
      <c r="E468" s="11" t="s">
        <v>26</v>
      </c>
      <c r="F468" s="11" t="s">
        <v>1514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1666</v>
      </c>
      <c r="D469" s="15" t="s">
        <v>80</v>
      </c>
      <c r="E469" s="11" t="s">
        <v>26</v>
      </c>
      <c r="F469" s="11" t="s">
        <v>1667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1143</v>
      </c>
      <c r="D470" s="15" t="s">
        <v>60</v>
      </c>
      <c r="E470" s="11" t="s">
        <v>26</v>
      </c>
      <c r="F470" s="11" t="s">
        <v>1144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1241</v>
      </c>
      <c r="D471" s="11" t="s">
        <v>57</v>
      </c>
      <c r="E471" s="11" t="s">
        <v>26</v>
      </c>
      <c r="F471" s="11" t="s">
        <v>1242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88</v>
      </c>
      <c r="D472" s="15" t="s">
        <v>80</v>
      </c>
      <c r="E472" s="11" t="s">
        <v>61</v>
      </c>
      <c r="F472" s="11" t="s">
        <v>89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706</v>
      </c>
      <c r="D473" s="15" t="s">
        <v>45</v>
      </c>
      <c r="E473" s="11" t="s">
        <v>26</v>
      </c>
      <c r="F473" s="11" t="s">
        <v>707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708</v>
      </c>
      <c r="D474" s="15" t="s">
        <v>45</v>
      </c>
      <c r="E474" s="11" t="s">
        <v>26</v>
      </c>
      <c r="F474" s="11" t="s">
        <v>709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1567</v>
      </c>
      <c r="D475" s="15" t="s">
        <v>45</v>
      </c>
      <c r="E475" s="11" t="s">
        <v>26</v>
      </c>
      <c r="F475" s="11" t="s">
        <v>1568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1141</v>
      </c>
      <c r="D476" s="15" t="s">
        <v>45</v>
      </c>
      <c r="E476" s="11" t="s">
        <v>26</v>
      </c>
      <c r="F476" s="11" t="s">
        <v>1142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494</v>
      </c>
      <c r="D477" s="15" t="s">
        <v>60</v>
      </c>
      <c r="E477" s="11" t="s">
        <v>26</v>
      </c>
      <c r="F477" s="11" t="s">
        <v>495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16" customFormat="1" ht="28.5" customHeight="1">
      <c r="A478" s="11" t="str">
        <f t="shared" si="91"/>
        <v/>
      </c>
      <c r="B478" s="11" t="s">
        <v>12</v>
      </c>
      <c r="C478" s="11" t="s">
        <v>684</v>
      </c>
      <c r="D478" s="15" t="s">
        <v>57</v>
      </c>
      <c r="E478" s="11" t="s">
        <v>26</v>
      </c>
      <c r="F478" s="11" t="s">
        <v>685</v>
      </c>
      <c r="G478" s="12">
        <v>1809</v>
      </c>
      <c r="H478" s="12"/>
      <c r="I478" s="12"/>
      <c r="J478" s="12">
        <v>1879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1879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1597</v>
      </c>
      <c r="D479" s="15" t="s">
        <v>45</v>
      </c>
      <c r="E479" s="11" t="s">
        <v>26</v>
      </c>
      <c r="F479" s="11" t="s">
        <v>1598</v>
      </c>
      <c r="G479" s="12">
        <v>1812</v>
      </c>
      <c r="H479" s="12"/>
      <c r="I479" s="12"/>
      <c r="J479" s="12">
        <v>1792</v>
      </c>
      <c r="K479" s="12">
        <f t="shared" si="92"/>
        <v>0</v>
      </c>
      <c r="L479" s="12">
        <f t="shared" si="93"/>
        <v>1812</v>
      </c>
      <c r="M479" s="12" t="str">
        <f t="shared" si="94"/>
        <v/>
      </c>
      <c r="N479" s="12">
        <f t="shared" si="95"/>
        <v>1792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557</v>
      </c>
      <c r="D480" s="15" t="s">
        <v>60</v>
      </c>
      <c r="E480" s="11" t="s">
        <v>26</v>
      </c>
      <c r="F480" s="11" t="s">
        <v>558</v>
      </c>
      <c r="G480" s="12">
        <v>1812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1405</v>
      </c>
      <c r="D481" s="15" t="s">
        <v>60</v>
      </c>
      <c r="E481" s="11" t="s">
        <v>26</v>
      </c>
      <c r="F481" s="11" t="s">
        <v>1406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346</v>
      </c>
      <c r="D482" s="11" t="s">
        <v>48</v>
      </c>
      <c r="E482" s="11" t="s">
        <v>26</v>
      </c>
      <c r="F482" s="11" t="s">
        <v>347</v>
      </c>
      <c r="G482" s="12">
        <v>1813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1813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1397</v>
      </c>
      <c r="D483" s="15" t="s">
        <v>60</v>
      </c>
      <c r="E483" s="11" t="s">
        <v>26</v>
      </c>
      <c r="F483" s="11" t="s">
        <v>1398</v>
      </c>
      <c r="G483" s="12">
        <v>1813</v>
      </c>
      <c r="H483" s="12"/>
      <c r="I483" s="12"/>
      <c r="J483" s="12">
        <v>1800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1800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1573</v>
      </c>
      <c r="D484" s="11" t="s">
        <v>57</v>
      </c>
      <c r="E484" s="11" t="s">
        <v>26</v>
      </c>
      <c r="F484" s="11" t="s">
        <v>1574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272</v>
      </c>
      <c r="D485" s="15" t="s">
        <v>80</v>
      </c>
      <c r="E485" s="11" t="s">
        <v>26</v>
      </c>
      <c r="F485" s="11" t="s">
        <v>273</v>
      </c>
      <c r="G485" s="12">
        <v>1813</v>
      </c>
      <c r="H485" s="12"/>
      <c r="I485" s="12"/>
      <c r="J485" s="12">
        <v>1813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1813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77</v>
      </c>
      <c r="D486" s="15" t="s">
        <v>60</v>
      </c>
      <c r="E486" s="11" t="s">
        <v>26</v>
      </c>
      <c r="F486" s="11" t="s">
        <v>78</v>
      </c>
      <c r="G486" s="12">
        <v>1814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1814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499</v>
      </c>
      <c r="D487" s="11" t="s">
        <v>57</v>
      </c>
      <c r="E487" s="11" t="s">
        <v>26</v>
      </c>
      <c r="F487" s="11" t="s">
        <v>500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918</v>
      </c>
      <c r="D488" s="15" t="s">
        <v>45</v>
      </c>
      <c r="E488" s="11" t="s">
        <v>26</v>
      </c>
      <c r="F488" s="11" t="s">
        <v>919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10</v>
      </c>
      <c r="C489" s="11" t="s">
        <v>763</v>
      </c>
      <c r="D489" s="15" t="s">
        <v>45</v>
      </c>
      <c r="E489" s="11" t="s">
        <v>26</v>
      </c>
      <c r="F489" s="11" t="s">
        <v>764</v>
      </c>
      <c r="G489" s="12">
        <v>1814</v>
      </c>
      <c r="H489" s="12"/>
      <c r="I489" s="12"/>
      <c r="J489" s="12">
        <v>1798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1798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994</v>
      </c>
      <c r="D490" s="15" t="s">
        <v>45</v>
      </c>
      <c r="E490" s="11" t="s">
        <v>26</v>
      </c>
      <c r="F490" s="11" t="s">
        <v>995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1177</v>
      </c>
      <c r="D491" s="15" t="s">
        <v>45</v>
      </c>
      <c r="E491" s="11" t="s">
        <v>26</v>
      </c>
      <c r="F491" s="11" t="s">
        <v>1178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1533</v>
      </c>
      <c r="D492" s="15" t="s">
        <v>45</v>
      </c>
      <c r="E492" s="11" t="s">
        <v>26</v>
      </c>
      <c r="F492" s="11" t="s">
        <v>1534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368</v>
      </c>
      <c r="D493" s="15" t="s">
        <v>45</v>
      </c>
      <c r="E493" s="11" t="s">
        <v>26</v>
      </c>
      <c r="F493" s="11" t="s">
        <v>369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1278</v>
      </c>
      <c r="D494" s="15" t="s">
        <v>45</v>
      </c>
      <c r="E494" s="11" t="s">
        <v>26</v>
      </c>
      <c r="F494" s="11" t="s">
        <v>1279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926</v>
      </c>
      <c r="D495" s="15" t="s">
        <v>71</v>
      </c>
      <c r="E495" s="11" t="s">
        <v>26</v>
      </c>
      <c r="F495" s="11" t="s">
        <v>927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453</v>
      </c>
      <c r="D496" s="15" t="s">
        <v>45</v>
      </c>
      <c r="E496" s="11" t="s">
        <v>61</v>
      </c>
      <c r="F496" s="11" t="s">
        <v>455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1065</v>
      </c>
      <c r="D497" s="15" t="s">
        <v>57</v>
      </c>
      <c r="E497" s="11" t="s">
        <v>26</v>
      </c>
      <c r="F497" s="11" t="s">
        <v>1066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1272</v>
      </c>
      <c r="D498" s="15" t="s">
        <v>80</v>
      </c>
      <c r="E498" s="11" t="s">
        <v>26</v>
      </c>
      <c r="F498" s="11" t="s">
        <v>1273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1577</v>
      </c>
      <c r="D499" s="11" t="s">
        <v>57</v>
      </c>
      <c r="E499" s="11" t="s">
        <v>61</v>
      </c>
      <c r="F499" s="11" t="s">
        <v>1578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647</v>
      </c>
      <c r="D500" s="15" t="s">
        <v>80</v>
      </c>
      <c r="E500" s="11" t="s">
        <v>26</v>
      </c>
      <c r="F500" s="11" t="s">
        <v>648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6</v>
      </c>
      <c r="C501" s="11" t="s">
        <v>106</v>
      </c>
      <c r="D501" s="11" t="s">
        <v>57</v>
      </c>
      <c r="E501" s="11" t="s">
        <v>26</v>
      </c>
      <c r="F501" s="11" t="s">
        <v>107</v>
      </c>
      <c r="G501" s="12">
        <v>1815</v>
      </c>
      <c r="H501" s="12"/>
      <c r="I501" s="12"/>
      <c r="J501" s="12">
        <v>1802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1802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1145</v>
      </c>
      <c r="D502" s="15" t="s">
        <v>45</v>
      </c>
      <c r="E502" s="11" t="s">
        <v>26</v>
      </c>
      <c r="F502" s="11" t="s">
        <v>1146</v>
      </c>
      <c r="G502" s="12">
        <v>1815</v>
      </c>
      <c r="H502" s="12"/>
      <c r="I502" s="12"/>
      <c r="J502" s="12">
        <v>1805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1071</v>
      </c>
      <c r="D503" s="15" t="s">
        <v>45</v>
      </c>
      <c r="E503" s="11" t="s">
        <v>26</v>
      </c>
      <c r="F503" s="11" t="s">
        <v>1072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1401</v>
      </c>
      <c r="D504" s="15" t="s">
        <v>45</v>
      </c>
      <c r="E504" s="11" t="s">
        <v>26</v>
      </c>
      <c r="F504" s="11" t="s">
        <v>1402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1648</v>
      </c>
      <c r="D505" s="11" t="s">
        <v>57</v>
      </c>
      <c r="E505" s="11" t="s">
        <v>26</v>
      </c>
      <c r="F505" s="11" t="s">
        <v>1649</v>
      </c>
      <c r="G505" s="12">
        <v>1815</v>
      </c>
      <c r="H505" s="12"/>
      <c r="I505" s="12"/>
      <c r="J505" s="12">
        <v>1809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16" customFormat="1" ht="28.5" customHeight="1">
      <c r="A506" s="11" t="str">
        <f t="shared" si="91"/>
        <v/>
      </c>
      <c r="B506" s="11" t="s">
        <v>6</v>
      </c>
      <c r="C506" s="11" t="s">
        <v>1632</v>
      </c>
      <c r="D506" s="15" t="s">
        <v>45</v>
      </c>
      <c r="E506" s="11" t="s">
        <v>26</v>
      </c>
      <c r="F506" s="11" t="s">
        <v>1633</v>
      </c>
      <c r="G506" s="12">
        <v>1815</v>
      </c>
      <c r="H506" s="12"/>
      <c r="I506" s="12"/>
      <c r="J506" s="12">
        <v>1825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1825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12</v>
      </c>
      <c r="C507" s="11" t="s">
        <v>180</v>
      </c>
      <c r="D507" s="15" t="s">
        <v>80</v>
      </c>
      <c r="E507" s="11" t="s">
        <v>26</v>
      </c>
      <c r="F507" s="11" t="s">
        <v>181</v>
      </c>
      <c r="G507" s="12">
        <v>1816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1816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294</v>
      </c>
      <c r="D508" s="11" t="s">
        <v>57</v>
      </c>
      <c r="E508" s="11" t="s">
        <v>61</v>
      </c>
      <c r="F508" s="11" t="s">
        <v>295</v>
      </c>
      <c r="G508" s="12">
        <v>1817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1817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14</v>
      </c>
      <c r="C509" s="11" t="s">
        <v>1121</v>
      </c>
      <c r="D509" s="15" t="s">
        <v>60</v>
      </c>
      <c r="E509" s="11" t="s">
        <v>26</v>
      </c>
      <c r="F509" s="11" t="s">
        <v>1122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1127</v>
      </c>
      <c r="D510" s="15" t="s">
        <v>80</v>
      </c>
      <c r="E510" s="11" t="s">
        <v>26</v>
      </c>
      <c r="F510" s="11" t="s">
        <v>1128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1276</v>
      </c>
      <c r="D511" s="15" t="s">
        <v>60</v>
      </c>
      <c r="E511" s="11" t="s">
        <v>26</v>
      </c>
      <c r="F511" s="11" t="s">
        <v>1277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236</v>
      </c>
      <c r="D512" s="15" t="s">
        <v>80</v>
      </c>
      <c r="E512" s="11" t="s">
        <v>26</v>
      </c>
      <c r="F512" s="11" t="s">
        <v>237</v>
      </c>
      <c r="G512" s="12">
        <v>1818</v>
      </c>
      <c r="H512" s="12"/>
      <c r="I512" s="12"/>
      <c r="J512" s="12">
        <v>1799</v>
      </c>
      <c r="K512" s="12">
        <f t="shared" si="92"/>
        <v>0</v>
      </c>
      <c r="L512" s="12">
        <f t="shared" si="93"/>
        <v>1818</v>
      </c>
      <c r="M512" s="12" t="str">
        <f t="shared" si="94"/>
        <v/>
      </c>
      <c r="N512" s="12">
        <f t="shared" si="95"/>
        <v>1799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340</v>
      </c>
      <c r="D513" s="15" t="s">
        <v>80</v>
      </c>
      <c r="E513" s="11" t="s">
        <v>26</v>
      </c>
      <c r="F513" s="11" t="s">
        <v>341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7" customFormat="1" ht="28.5" customHeight="1">
      <c r="A514" s="11" t="str">
        <f t="shared" si="91"/>
        <v/>
      </c>
      <c r="B514" s="11" t="s">
        <v>10</v>
      </c>
      <c r="C514" s="11" t="s">
        <v>336</v>
      </c>
      <c r="D514" s="15" t="s">
        <v>45</v>
      </c>
      <c r="E514" s="11" t="s">
        <v>26</v>
      </c>
      <c r="F514" s="11" t="s">
        <v>337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1286</v>
      </c>
      <c r="D515" s="11" t="s">
        <v>57</v>
      </c>
      <c r="E515" s="11" t="s">
        <v>26</v>
      </c>
      <c r="F515" s="11" t="s">
        <v>1287</v>
      </c>
      <c r="G515" s="12">
        <v>1818</v>
      </c>
      <c r="H515" s="12"/>
      <c r="I515" s="12"/>
      <c r="J515" s="12">
        <v>1819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1819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1569</v>
      </c>
      <c r="D516" s="11" t="s">
        <v>57</v>
      </c>
      <c r="E516" s="11" t="s">
        <v>26</v>
      </c>
      <c r="F516" s="11" t="s">
        <v>1570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1250</v>
      </c>
      <c r="D517" s="11" t="s">
        <v>57</v>
      </c>
      <c r="E517" s="11" t="s">
        <v>26</v>
      </c>
      <c r="F517" s="11" t="s">
        <v>1251</v>
      </c>
      <c r="G517" s="12">
        <v>1819</v>
      </c>
      <c r="H517" s="12"/>
      <c r="I517" s="12"/>
      <c r="J517" s="12">
        <v>1791</v>
      </c>
      <c r="K517" s="12">
        <f t="shared" si="92"/>
        <v>0</v>
      </c>
      <c r="L517" s="12">
        <f t="shared" si="93"/>
        <v>1819</v>
      </c>
      <c r="M517" s="12" t="str">
        <f t="shared" si="94"/>
        <v/>
      </c>
      <c r="N517" s="12">
        <f t="shared" si="95"/>
        <v>1791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18</v>
      </c>
      <c r="C518" s="11" t="s">
        <v>306</v>
      </c>
      <c r="D518" s="15" t="s">
        <v>45</v>
      </c>
      <c r="E518" s="11" t="s">
        <v>26</v>
      </c>
      <c r="F518" s="11" t="s">
        <v>307</v>
      </c>
      <c r="G518" s="12">
        <v>1819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134</v>
      </c>
      <c r="D519" s="15" t="s">
        <v>80</v>
      </c>
      <c r="E519" s="11" t="s">
        <v>26</v>
      </c>
      <c r="F519" s="11" t="s">
        <v>135</v>
      </c>
      <c r="G519" s="12">
        <v>1819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836</v>
      </c>
      <c r="D520" s="11" t="s">
        <v>57</v>
      </c>
      <c r="E520" s="11" t="s">
        <v>26</v>
      </c>
      <c r="F520" s="11" t="s">
        <v>837</v>
      </c>
      <c r="G520" s="12">
        <v>1819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490</v>
      </c>
      <c r="D521" s="15" t="s">
        <v>45</v>
      </c>
      <c r="E521" s="11" t="s">
        <v>26</v>
      </c>
      <c r="F521" s="11" t="s">
        <v>491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1314</v>
      </c>
      <c r="D522" s="15" t="s">
        <v>45</v>
      </c>
      <c r="E522" s="11" t="s">
        <v>26</v>
      </c>
      <c r="F522" s="11" t="s">
        <v>1315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146</v>
      </c>
      <c r="D523" s="15" t="s">
        <v>60</v>
      </c>
      <c r="E523" s="11" t="s">
        <v>26</v>
      </c>
      <c r="F523" s="11" t="s">
        <v>147</v>
      </c>
      <c r="G523" s="12">
        <v>1819</v>
      </c>
      <c r="H523" s="12"/>
      <c r="I523" s="12"/>
      <c r="J523" s="12">
        <v>1799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461</v>
      </c>
      <c r="D524" s="11" t="s">
        <v>48</v>
      </c>
      <c r="E524" s="11" t="s">
        <v>26</v>
      </c>
      <c r="F524" s="11" t="s">
        <v>463</v>
      </c>
      <c r="G524" s="12">
        <v>1819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1179</v>
      </c>
      <c r="D525" s="15" t="s">
        <v>45</v>
      </c>
      <c r="E525" s="11" t="s">
        <v>26</v>
      </c>
      <c r="F525" s="11" t="s">
        <v>1180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10</v>
      </c>
      <c r="C526" s="11" t="s">
        <v>408</v>
      </c>
      <c r="D526" s="11" t="s">
        <v>48</v>
      </c>
      <c r="E526" s="11" t="s">
        <v>26</v>
      </c>
      <c r="F526" s="11" t="s">
        <v>410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7" customFormat="1" ht="28.5" customHeight="1">
      <c r="A527" s="11" t="str">
        <f t="shared" ref="A527:A590" si="104">IF($T527="","",1+COUNTIF($W$15:$W$882,"&lt;"&amp;W527))</f>
        <v/>
      </c>
      <c r="B527" s="11" t="s">
        <v>10</v>
      </c>
      <c r="C527" s="11" t="s">
        <v>472</v>
      </c>
      <c r="D527" s="15" t="s">
        <v>45</v>
      </c>
      <c r="E527" s="11" t="s">
        <v>26</v>
      </c>
      <c r="F527" s="11" t="s">
        <v>473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794</v>
      </c>
      <c r="D528" s="15" t="s">
        <v>45</v>
      </c>
      <c r="E528" s="11" t="s">
        <v>26</v>
      </c>
      <c r="F528" s="11" t="s">
        <v>795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1407</v>
      </c>
      <c r="D529" s="15" t="s">
        <v>60</v>
      </c>
      <c r="E529" s="11" t="s">
        <v>26</v>
      </c>
      <c r="F529" s="11" t="s">
        <v>1408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10</v>
      </c>
      <c r="C530" s="11" t="s">
        <v>1537</v>
      </c>
      <c r="D530" s="11" t="s">
        <v>71</v>
      </c>
      <c r="E530" s="11" t="s">
        <v>26</v>
      </c>
      <c r="F530" s="11" t="s">
        <v>1538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1617</v>
      </c>
      <c r="D531" s="11" t="s">
        <v>48</v>
      </c>
      <c r="E531" s="11" t="s">
        <v>26</v>
      </c>
      <c r="F531" s="11" t="s">
        <v>1618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1727</v>
      </c>
      <c r="D532" s="15" t="s">
        <v>80</v>
      </c>
      <c r="E532" s="11" t="s">
        <v>26</v>
      </c>
      <c r="F532" s="11" t="s">
        <v>1728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7" customFormat="1" ht="28.5" customHeight="1">
      <c r="A533" s="11" t="str">
        <f t="shared" si="104"/>
        <v/>
      </c>
      <c r="B533" s="11" t="s">
        <v>6</v>
      </c>
      <c r="C533" s="11" t="s">
        <v>70</v>
      </c>
      <c r="D533" s="11" t="s">
        <v>71</v>
      </c>
      <c r="E533" s="11" t="s">
        <v>26</v>
      </c>
      <c r="F533" s="11" t="s">
        <v>72</v>
      </c>
      <c r="G533" s="12">
        <v>1819</v>
      </c>
      <c r="H533" s="12"/>
      <c r="I533" s="12"/>
      <c r="J533" s="12">
        <v>1814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1814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890</v>
      </c>
      <c r="D534" s="15" t="s">
        <v>80</v>
      </c>
      <c r="E534" s="11" t="s">
        <v>26</v>
      </c>
      <c r="F534" s="11" t="s">
        <v>891</v>
      </c>
      <c r="G534" s="12">
        <v>1819</v>
      </c>
      <c r="H534" s="12"/>
      <c r="I534" s="12"/>
      <c r="J534" s="12">
        <v>1814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1814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8</v>
      </c>
      <c r="C535" s="11" t="s">
        <v>952</v>
      </c>
      <c r="D535" s="11" t="s">
        <v>57</v>
      </c>
      <c r="E535" s="11" t="s">
        <v>26</v>
      </c>
      <c r="F535" s="11" t="s">
        <v>953</v>
      </c>
      <c r="G535" s="12">
        <v>1819</v>
      </c>
      <c r="H535" s="12"/>
      <c r="I535" s="12"/>
      <c r="J535" s="12">
        <v>1815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386</v>
      </c>
      <c r="D536" s="15" t="s">
        <v>60</v>
      </c>
      <c r="E536" s="11" t="s">
        <v>26</v>
      </c>
      <c r="F536" s="11" t="s">
        <v>387</v>
      </c>
      <c r="G536" s="12">
        <v>1819</v>
      </c>
      <c r="H536" s="12"/>
      <c r="I536" s="12"/>
      <c r="J536" s="12">
        <v>1818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250</v>
      </c>
      <c r="D537" s="15" t="s">
        <v>80</v>
      </c>
      <c r="E537" s="11" t="s">
        <v>26</v>
      </c>
      <c r="F537" s="11" t="s">
        <v>251</v>
      </c>
      <c r="G537" s="12">
        <v>1819</v>
      </c>
      <c r="H537" s="12"/>
      <c r="I537" s="12"/>
      <c r="J537" s="12">
        <v>1823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1823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10</v>
      </c>
      <c r="C538" s="11" t="s">
        <v>753</v>
      </c>
      <c r="D538" s="15" t="s">
        <v>45</v>
      </c>
      <c r="E538" s="11" t="s">
        <v>26</v>
      </c>
      <c r="F538" s="11" t="s">
        <v>754</v>
      </c>
      <c r="G538" s="12">
        <v>1819</v>
      </c>
      <c r="H538" s="12"/>
      <c r="I538" s="12"/>
      <c r="J538" s="12">
        <v>1839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1839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18</v>
      </c>
      <c r="C539" s="11" t="s">
        <v>112</v>
      </c>
      <c r="D539" s="11" t="s">
        <v>57</v>
      </c>
      <c r="E539" s="11" t="s">
        <v>26</v>
      </c>
      <c r="F539" s="11" t="s">
        <v>113</v>
      </c>
      <c r="G539" s="12">
        <v>1822</v>
      </c>
      <c r="H539" s="12"/>
      <c r="I539" s="12"/>
      <c r="J539" s="12">
        <v>1802</v>
      </c>
      <c r="K539" s="12">
        <f t="shared" si="105"/>
        <v>0</v>
      </c>
      <c r="L539" s="12">
        <f t="shared" si="106"/>
        <v>1822</v>
      </c>
      <c r="M539" s="12" t="str">
        <f t="shared" si="107"/>
        <v/>
      </c>
      <c r="N539" s="12">
        <f t="shared" si="108"/>
        <v>1802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18</v>
      </c>
      <c r="C540" s="11" t="s">
        <v>396</v>
      </c>
      <c r="D540" s="15" t="s">
        <v>60</v>
      </c>
      <c r="E540" s="11" t="s">
        <v>26</v>
      </c>
      <c r="F540" s="11" t="s">
        <v>397</v>
      </c>
      <c r="G540" s="12">
        <v>1822</v>
      </c>
      <c r="H540" s="12"/>
      <c r="I540" s="12"/>
      <c r="J540" s="12">
        <v>1802</v>
      </c>
      <c r="K540" s="12">
        <f t="shared" si="105"/>
        <v>0</v>
      </c>
      <c r="L540" s="12">
        <f t="shared" si="106"/>
        <v>1822</v>
      </c>
      <c r="M540" s="12" t="str">
        <f t="shared" si="107"/>
        <v/>
      </c>
      <c r="N540" s="12">
        <f t="shared" si="108"/>
        <v>1802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10</v>
      </c>
      <c r="C541" s="11" t="s">
        <v>882</v>
      </c>
      <c r="D541" s="11" t="s">
        <v>57</v>
      </c>
      <c r="E541" s="11" t="s">
        <v>26</v>
      </c>
      <c r="F541" s="11" t="s">
        <v>883</v>
      </c>
      <c r="G541" s="12">
        <v>1823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1761</v>
      </c>
      <c r="D542" s="11" t="s">
        <v>48</v>
      </c>
      <c r="E542" s="11" t="s">
        <v>26</v>
      </c>
      <c r="F542" s="11" t="s">
        <v>1762</v>
      </c>
      <c r="G542" s="12">
        <v>1823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1123</v>
      </c>
      <c r="D543" s="15" t="s">
        <v>45</v>
      </c>
      <c r="E543" s="11" t="s">
        <v>26</v>
      </c>
      <c r="F543" s="11" t="s">
        <v>1124</v>
      </c>
      <c r="G543" s="12">
        <v>1823</v>
      </c>
      <c r="H543" s="12"/>
      <c r="I543" s="12"/>
      <c r="J543" s="12">
        <v>1813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1813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394</v>
      </c>
      <c r="D544" s="11" t="s">
        <v>71</v>
      </c>
      <c r="E544" s="11" t="s">
        <v>26</v>
      </c>
      <c r="F544" s="11" t="s">
        <v>395</v>
      </c>
      <c r="G544" s="12">
        <v>1823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10</v>
      </c>
      <c r="C545" s="11" t="s">
        <v>1063</v>
      </c>
      <c r="D545" s="11" t="s">
        <v>57</v>
      </c>
      <c r="E545" s="11" t="s">
        <v>26</v>
      </c>
      <c r="F545" s="11" t="s">
        <v>1064</v>
      </c>
      <c r="G545" s="12">
        <v>1823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1102</v>
      </c>
      <c r="D546" s="11" t="s">
        <v>57</v>
      </c>
      <c r="E546" s="11" t="s">
        <v>26</v>
      </c>
      <c r="F546" s="11" t="s">
        <v>1103</v>
      </c>
      <c r="G546" s="12">
        <v>1824</v>
      </c>
      <c r="H546" s="12"/>
      <c r="I546" s="12"/>
      <c r="J546" s="12">
        <v>1814</v>
      </c>
      <c r="K546" s="12">
        <f t="shared" si="105"/>
        <v>0</v>
      </c>
      <c r="L546" s="12">
        <f t="shared" si="106"/>
        <v>1824</v>
      </c>
      <c r="M546" s="12" t="str">
        <f t="shared" si="107"/>
        <v/>
      </c>
      <c r="N546" s="12">
        <f t="shared" si="108"/>
        <v>1814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130</v>
      </c>
      <c r="D547" s="15" t="s">
        <v>45</v>
      </c>
      <c r="E547" s="11" t="s">
        <v>26</v>
      </c>
      <c r="F547" s="11" t="s">
        <v>131</v>
      </c>
      <c r="G547" s="12">
        <v>1824</v>
      </c>
      <c r="H547" s="12"/>
      <c r="I547" s="12"/>
      <c r="J547" s="12">
        <v>1824</v>
      </c>
      <c r="K547" s="12">
        <f t="shared" si="105"/>
        <v>0</v>
      </c>
      <c r="L547" s="12">
        <f t="shared" si="106"/>
        <v>1824</v>
      </c>
      <c r="M547" s="12" t="str">
        <f t="shared" si="107"/>
        <v/>
      </c>
      <c r="N547" s="12">
        <f t="shared" si="108"/>
        <v>1824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288</v>
      </c>
      <c r="D548" s="11" t="s">
        <v>57</v>
      </c>
      <c r="E548" s="11" t="s">
        <v>26</v>
      </c>
      <c r="F548" s="11" t="s">
        <v>289</v>
      </c>
      <c r="G548" s="12">
        <v>1825</v>
      </c>
      <c r="H548" s="12"/>
      <c r="I548" s="12"/>
      <c r="J548" s="12">
        <v>1789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1789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1555</v>
      </c>
      <c r="D549" s="15" t="s">
        <v>80</v>
      </c>
      <c r="E549" s="11" t="s">
        <v>26</v>
      </c>
      <c r="F549" s="11" t="s">
        <v>1556</v>
      </c>
      <c r="G549" s="12">
        <v>1825</v>
      </c>
      <c r="H549" s="12"/>
      <c r="I549" s="12"/>
      <c r="J549" s="12">
        <v>1789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1789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314</v>
      </c>
      <c r="D550" s="15" t="s">
        <v>45</v>
      </c>
      <c r="E550" s="11" t="s">
        <v>26</v>
      </c>
      <c r="F550" s="11" t="s">
        <v>315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316</v>
      </c>
      <c r="D551" s="15" t="s">
        <v>45</v>
      </c>
      <c r="E551" s="11" t="s">
        <v>26</v>
      </c>
      <c r="F551" s="11" t="s">
        <v>317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1523</v>
      </c>
      <c r="D552" s="11" t="s">
        <v>57</v>
      </c>
      <c r="E552" s="11" t="s">
        <v>26</v>
      </c>
      <c r="F552" s="11" t="s">
        <v>1524</v>
      </c>
      <c r="G552" s="12">
        <v>1825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79</v>
      </c>
      <c r="D553" s="15" t="s">
        <v>80</v>
      </c>
      <c r="E553" s="11" t="s">
        <v>26</v>
      </c>
      <c r="F553" s="11" t="s">
        <v>81</v>
      </c>
      <c r="G553" s="12">
        <v>1825</v>
      </c>
      <c r="H553" s="12"/>
      <c r="I553" s="12"/>
      <c r="J553" s="12">
        <v>1798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44</v>
      </c>
      <c r="D554" s="15" t="s">
        <v>45</v>
      </c>
      <c r="E554" s="11" t="s">
        <v>26</v>
      </c>
      <c r="F554" s="11" t="s">
        <v>46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682</v>
      </c>
      <c r="D555" s="11" t="s">
        <v>48</v>
      </c>
      <c r="E555" s="11" t="s">
        <v>26</v>
      </c>
      <c r="F555" s="11" t="s">
        <v>683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400</v>
      </c>
      <c r="D556" s="11" t="s">
        <v>48</v>
      </c>
      <c r="E556" s="11" t="s">
        <v>26</v>
      </c>
      <c r="F556" s="11" t="s">
        <v>401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10</v>
      </c>
      <c r="C557" s="11" t="s">
        <v>772</v>
      </c>
      <c r="D557" s="15" t="s">
        <v>60</v>
      </c>
      <c r="E557" s="11" t="s">
        <v>26</v>
      </c>
      <c r="F557" s="11" t="s">
        <v>773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1219</v>
      </c>
      <c r="D558" s="11" t="s">
        <v>48</v>
      </c>
      <c r="E558" s="11" t="s">
        <v>26</v>
      </c>
      <c r="F558" s="11" t="s">
        <v>1220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1352</v>
      </c>
      <c r="D559" s="11" t="s">
        <v>57</v>
      </c>
      <c r="E559" s="11" t="s">
        <v>26</v>
      </c>
      <c r="F559" s="11" t="s">
        <v>1353</v>
      </c>
      <c r="G559" s="12">
        <v>1825</v>
      </c>
      <c r="H559" s="12"/>
      <c r="I559" s="12"/>
      <c r="J559" s="12">
        <v>1805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1432</v>
      </c>
      <c r="D560" s="15" t="s">
        <v>45</v>
      </c>
      <c r="E560" s="11" t="s">
        <v>26</v>
      </c>
      <c r="F560" s="11" t="s">
        <v>1433</v>
      </c>
      <c r="G560" s="12">
        <v>1825</v>
      </c>
      <c r="H560" s="12"/>
      <c r="I560" s="12"/>
      <c r="J560" s="12">
        <v>1808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7" customFormat="1" ht="28.5" customHeight="1">
      <c r="A561" s="11" t="str">
        <f t="shared" si="104"/>
        <v/>
      </c>
      <c r="B561" s="11" t="s">
        <v>10</v>
      </c>
      <c r="C561" s="11" t="s">
        <v>322</v>
      </c>
      <c r="D561" s="11" t="s">
        <v>48</v>
      </c>
      <c r="E561" s="11" t="s">
        <v>26</v>
      </c>
      <c r="F561" s="11" t="s">
        <v>323</v>
      </c>
      <c r="G561" s="12">
        <v>1825</v>
      </c>
      <c r="H561" s="12"/>
      <c r="I561" s="12"/>
      <c r="J561" s="12">
        <v>1808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1758</v>
      </c>
      <c r="D562" s="11" t="s">
        <v>57</v>
      </c>
      <c r="E562" s="11" t="s">
        <v>26</v>
      </c>
      <c r="F562" s="11" t="s">
        <v>448</v>
      </c>
      <c r="G562" s="12">
        <v>1825</v>
      </c>
      <c r="H562" s="12"/>
      <c r="I562" s="12"/>
      <c r="J562" s="12">
        <v>1808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1656</v>
      </c>
      <c r="D563" s="15" t="s">
        <v>45</v>
      </c>
      <c r="E563" s="11" t="s">
        <v>26</v>
      </c>
      <c r="F563" s="11" t="s">
        <v>1657</v>
      </c>
      <c r="G563" s="12">
        <v>1825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6</v>
      </c>
      <c r="C564" s="11" t="s">
        <v>352</v>
      </c>
      <c r="D564" s="15" t="s">
        <v>45</v>
      </c>
      <c r="E564" s="11" t="s">
        <v>26</v>
      </c>
      <c r="F564" s="11" t="s">
        <v>353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690</v>
      </c>
      <c r="D565" s="11" t="s">
        <v>104</v>
      </c>
      <c r="E565" s="11" t="s">
        <v>26</v>
      </c>
      <c r="F565" s="11" t="s">
        <v>691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727</v>
      </c>
      <c r="D566" s="15" t="s">
        <v>45</v>
      </c>
      <c r="E566" s="11" t="s">
        <v>26</v>
      </c>
      <c r="F566" s="11" t="s">
        <v>729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6</v>
      </c>
      <c r="C567" s="11" t="s">
        <v>1366</v>
      </c>
      <c r="D567" s="11" t="s">
        <v>57</v>
      </c>
      <c r="E567" s="11" t="s">
        <v>26</v>
      </c>
      <c r="F567" s="11" t="s">
        <v>1367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1075</v>
      </c>
      <c r="D568" s="15" t="s">
        <v>80</v>
      </c>
      <c r="E568" s="11" t="s">
        <v>26</v>
      </c>
      <c r="F568" s="11" t="s">
        <v>1076</v>
      </c>
      <c r="G568" s="12">
        <v>1825</v>
      </c>
      <c r="H568" s="12"/>
      <c r="I568" s="12"/>
      <c r="J568" s="12">
        <v>1812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1812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1079</v>
      </c>
      <c r="D569" s="11" t="s">
        <v>48</v>
      </c>
      <c r="E569" s="11" t="s">
        <v>26</v>
      </c>
      <c r="F569" s="11" t="s">
        <v>1080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569</v>
      </c>
      <c r="D570" s="15" t="s">
        <v>45</v>
      </c>
      <c r="E570" s="11" t="s">
        <v>26</v>
      </c>
      <c r="F570" s="11" t="s">
        <v>572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578</v>
      </c>
      <c r="D571" s="15" t="s">
        <v>80</v>
      </c>
      <c r="E571" s="11" t="s">
        <v>26</v>
      </c>
      <c r="F571" s="11" t="s">
        <v>579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1235</v>
      </c>
      <c r="D572" s="11" t="s">
        <v>57</v>
      </c>
      <c r="E572" s="11" t="s">
        <v>26</v>
      </c>
      <c r="F572" s="11" t="s">
        <v>1236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14</v>
      </c>
      <c r="C573" s="11" t="s">
        <v>1113</v>
      </c>
      <c r="D573" s="15" t="s">
        <v>45</v>
      </c>
      <c r="E573" s="11" t="s">
        <v>26</v>
      </c>
      <c r="F573" s="11" t="s">
        <v>1114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12</v>
      </c>
      <c r="C574" s="11" t="s">
        <v>158</v>
      </c>
      <c r="D574" s="15" t="s">
        <v>57</v>
      </c>
      <c r="E574" s="11" t="s">
        <v>26</v>
      </c>
      <c r="F574" s="11" t="s">
        <v>159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1731</v>
      </c>
      <c r="D575" s="15" t="s">
        <v>45</v>
      </c>
      <c r="E575" s="11" t="s">
        <v>26</v>
      </c>
      <c r="F575" s="11" t="s">
        <v>1732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110</v>
      </c>
      <c r="D576" s="11" t="s">
        <v>57</v>
      </c>
      <c r="E576" s="11" t="s">
        <v>26</v>
      </c>
      <c r="F576" s="11" t="s">
        <v>111</v>
      </c>
      <c r="G576" s="12">
        <v>1825</v>
      </c>
      <c r="H576" s="12"/>
      <c r="I576" s="12"/>
      <c r="J576" s="12">
        <v>1819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1332</v>
      </c>
      <c r="D577" s="15" t="s">
        <v>60</v>
      </c>
      <c r="E577" s="11" t="s">
        <v>26</v>
      </c>
      <c r="F577" s="11" t="s">
        <v>1333</v>
      </c>
      <c r="G577" s="12">
        <v>1827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1827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18</v>
      </c>
      <c r="C578" s="11" t="s">
        <v>1621</v>
      </c>
      <c r="D578" s="11" t="s">
        <v>57</v>
      </c>
      <c r="E578" s="11" t="s">
        <v>26</v>
      </c>
      <c r="F578" s="11" t="s">
        <v>1623</v>
      </c>
      <c r="G578" s="12">
        <v>1827</v>
      </c>
      <c r="H578" s="12"/>
      <c r="I578" s="12"/>
      <c r="J578" s="12">
        <v>1817</v>
      </c>
      <c r="K578" s="12">
        <f t="shared" si="105"/>
        <v>0</v>
      </c>
      <c r="L578" s="12">
        <f t="shared" si="106"/>
        <v>1827</v>
      </c>
      <c r="M578" s="12" t="str">
        <f t="shared" si="107"/>
        <v/>
      </c>
      <c r="N578" s="12">
        <f t="shared" si="108"/>
        <v>1817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8</v>
      </c>
      <c r="C579" s="11" t="s">
        <v>1482</v>
      </c>
      <c r="D579" s="15" t="s">
        <v>45</v>
      </c>
      <c r="E579" s="11" t="s">
        <v>26</v>
      </c>
      <c r="F579" s="11" t="s">
        <v>1483</v>
      </c>
      <c r="G579" s="12">
        <v>1828</v>
      </c>
      <c r="H579" s="12"/>
      <c r="I579" s="12"/>
      <c r="J579" s="12">
        <v>1805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1805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1320</v>
      </c>
      <c r="D580" s="11" t="s">
        <v>95</v>
      </c>
      <c r="E580" s="11" t="s">
        <v>61</v>
      </c>
      <c r="F580" s="11" t="s">
        <v>1321</v>
      </c>
      <c r="G580" s="12">
        <v>1828</v>
      </c>
      <c r="H580" s="12"/>
      <c r="I580" s="12"/>
      <c r="J580" s="12">
        <v>1812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470</v>
      </c>
      <c r="D581" s="15" t="s">
        <v>60</v>
      </c>
      <c r="E581" s="11" t="s">
        <v>26</v>
      </c>
      <c r="F581" s="11" t="s">
        <v>471</v>
      </c>
      <c r="G581" s="12">
        <v>1828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6</v>
      </c>
      <c r="C582" s="11" t="s">
        <v>549</v>
      </c>
      <c r="D582" s="15" t="s">
        <v>45</v>
      </c>
      <c r="E582" s="11" t="s">
        <v>26</v>
      </c>
      <c r="F582" s="11" t="s">
        <v>550</v>
      </c>
      <c r="G582" s="12">
        <v>1828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1759</v>
      </c>
      <c r="D583" s="11" t="s">
        <v>45</v>
      </c>
      <c r="E583" s="11" t="s">
        <v>26</v>
      </c>
      <c r="F583" s="11" t="s">
        <v>1760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1535</v>
      </c>
      <c r="D584" s="15" t="s">
        <v>45</v>
      </c>
      <c r="E584" s="11" t="s">
        <v>26</v>
      </c>
      <c r="F584" s="11" t="s">
        <v>1536</v>
      </c>
      <c r="G584" s="12">
        <v>1828</v>
      </c>
      <c r="H584" s="12"/>
      <c r="I584" s="12"/>
      <c r="J584" s="12">
        <v>1815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1571</v>
      </c>
      <c r="D585" s="11" t="s">
        <v>57</v>
      </c>
      <c r="E585" s="11" t="s">
        <v>26</v>
      </c>
      <c r="F585" s="11" t="s">
        <v>1572</v>
      </c>
      <c r="G585" s="12">
        <v>1828</v>
      </c>
      <c r="H585" s="12"/>
      <c r="I585" s="12"/>
      <c r="J585" s="12">
        <v>1815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1266</v>
      </c>
      <c r="D586" s="15" t="s">
        <v>60</v>
      </c>
      <c r="E586" s="11" t="s">
        <v>26</v>
      </c>
      <c r="F586" s="11" t="s">
        <v>1267</v>
      </c>
      <c r="G586" s="12">
        <v>1828</v>
      </c>
      <c r="H586" s="12"/>
      <c r="I586" s="12"/>
      <c r="J586" s="12">
        <v>1818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1818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737</v>
      </c>
      <c r="D587" s="15" t="s">
        <v>60</v>
      </c>
      <c r="E587" s="11" t="s">
        <v>26</v>
      </c>
      <c r="F587" s="11" t="s">
        <v>738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1025</v>
      </c>
      <c r="D588" s="11" t="s">
        <v>57</v>
      </c>
      <c r="E588" s="11" t="s">
        <v>26</v>
      </c>
      <c r="F588" s="11" t="s">
        <v>1026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1678</v>
      </c>
      <c r="D589" s="15" t="s">
        <v>45</v>
      </c>
      <c r="E589" s="11" t="s">
        <v>61</v>
      </c>
      <c r="F589" s="11" t="s">
        <v>1680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14</v>
      </c>
      <c r="C590" s="11" t="s">
        <v>834</v>
      </c>
      <c r="D590" s="15" t="s">
        <v>60</v>
      </c>
      <c r="E590" s="11" t="s">
        <v>26</v>
      </c>
      <c r="F590" s="11" t="s">
        <v>835</v>
      </c>
      <c r="G590" s="12">
        <v>1828</v>
      </c>
      <c r="H590" s="12"/>
      <c r="I590" s="12"/>
      <c r="J590" s="12">
        <v>1838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1838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12</v>
      </c>
      <c r="C591" s="11" t="s">
        <v>1247</v>
      </c>
      <c r="D591" s="15" t="s">
        <v>60</v>
      </c>
      <c r="E591" s="11" t="s">
        <v>26</v>
      </c>
      <c r="F591" s="11" t="s">
        <v>1249</v>
      </c>
      <c r="G591" s="12">
        <v>1829</v>
      </c>
      <c r="H591" s="12"/>
      <c r="I591" s="12"/>
      <c r="J591" s="12">
        <v>1789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1789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1061</v>
      </c>
      <c r="D592" s="15" t="s">
        <v>80</v>
      </c>
      <c r="E592" s="11" t="s">
        <v>26</v>
      </c>
      <c r="F592" s="11" t="s">
        <v>1062</v>
      </c>
      <c r="G592" s="12">
        <v>1829</v>
      </c>
      <c r="H592" s="12"/>
      <c r="I592" s="12"/>
      <c r="J592" s="12">
        <v>1798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1393</v>
      </c>
      <c r="D593" s="11" t="s">
        <v>57</v>
      </c>
      <c r="E593" s="11" t="s">
        <v>61</v>
      </c>
      <c r="F593" s="11" t="s">
        <v>1394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16" customFormat="1" ht="28.5" customHeight="1">
      <c r="A594" s="11" t="str">
        <f t="shared" si="117"/>
        <v/>
      </c>
      <c r="B594" s="11" t="s">
        <v>10</v>
      </c>
      <c r="C594" s="11" t="s">
        <v>507</v>
      </c>
      <c r="D594" s="11" t="s">
        <v>48</v>
      </c>
      <c r="E594" s="11" t="s">
        <v>26</v>
      </c>
      <c r="F594" s="11" t="s">
        <v>508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717</v>
      </c>
      <c r="D595" s="15" t="s">
        <v>45</v>
      </c>
      <c r="E595" s="11" t="s">
        <v>26</v>
      </c>
      <c r="F595" s="11" t="s">
        <v>718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318</v>
      </c>
      <c r="D596" s="15" t="s">
        <v>45</v>
      </c>
      <c r="E596" s="11" t="s">
        <v>26</v>
      </c>
      <c r="F596" s="11" t="s">
        <v>319</v>
      </c>
      <c r="G596" s="12">
        <v>1829</v>
      </c>
      <c r="H596" s="12"/>
      <c r="I596" s="12"/>
      <c r="J596" s="12">
        <v>1809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1809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232</v>
      </c>
      <c r="D597" s="15" t="s">
        <v>80</v>
      </c>
      <c r="E597" s="11" t="s">
        <v>26</v>
      </c>
      <c r="F597" s="11" t="s">
        <v>233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938</v>
      </c>
      <c r="D598" s="11" t="s">
        <v>57</v>
      </c>
      <c r="E598" s="11" t="s">
        <v>26</v>
      </c>
      <c r="F598" s="11" t="s">
        <v>939</v>
      </c>
      <c r="G598" s="12">
        <v>1829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1006</v>
      </c>
      <c r="D599" s="11" t="s">
        <v>57</v>
      </c>
      <c r="E599" s="11" t="s">
        <v>26</v>
      </c>
      <c r="F599" s="11" t="s">
        <v>1008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148</v>
      </c>
      <c r="D600" s="15" t="s">
        <v>80</v>
      </c>
      <c r="E600" s="11" t="s">
        <v>26</v>
      </c>
      <c r="F600" s="11" t="s">
        <v>149</v>
      </c>
      <c r="G600" s="12">
        <v>1829</v>
      </c>
      <c r="H600" s="12"/>
      <c r="I600" s="12"/>
      <c r="J600" s="12">
        <v>1814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1814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582</v>
      </c>
      <c r="D601" s="15" t="s">
        <v>80</v>
      </c>
      <c r="E601" s="11" t="s">
        <v>26</v>
      </c>
      <c r="F601" s="11" t="s">
        <v>583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616</v>
      </c>
      <c r="D602" s="15" t="s">
        <v>45</v>
      </c>
      <c r="E602" s="11" t="s">
        <v>26</v>
      </c>
      <c r="F602" s="11" t="s">
        <v>618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801</v>
      </c>
      <c r="D603" s="11" t="s">
        <v>57</v>
      </c>
      <c r="E603" s="11" t="s">
        <v>26</v>
      </c>
      <c r="F603" s="11" t="s">
        <v>802</v>
      </c>
      <c r="G603" s="12">
        <v>1829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1203</v>
      </c>
      <c r="D604" s="11" t="s">
        <v>104</v>
      </c>
      <c r="E604" s="11" t="s">
        <v>26</v>
      </c>
      <c r="F604" s="11" t="s">
        <v>1204</v>
      </c>
      <c r="G604" s="12">
        <v>1829</v>
      </c>
      <c r="H604" s="12"/>
      <c r="I604" s="12"/>
      <c r="J604" s="12">
        <v>1818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1818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16" customFormat="1" ht="28.5" customHeight="1">
      <c r="A605" s="11" t="str">
        <f t="shared" si="117"/>
        <v/>
      </c>
      <c r="B605" s="11" t="s">
        <v>18</v>
      </c>
      <c r="C605" s="11" t="s">
        <v>1223</v>
      </c>
      <c r="D605" s="15" t="s">
        <v>45</v>
      </c>
      <c r="E605" s="11" t="s">
        <v>26</v>
      </c>
      <c r="F605" s="11" t="s">
        <v>1224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8</v>
      </c>
      <c r="C606" s="11" t="s">
        <v>956</v>
      </c>
      <c r="D606" s="15" t="s">
        <v>45</v>
      </c>
      <c r="E606" s="11" t="s">
        <v>26</v>
      </c>
      <c r="F606" s="11" t="s">
        <v>957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958</v>
      </c>
      <c r="D607" s="15" t="s">
        <v>57</v>
      </c>
      <c r="E607" s="11" t="s">
        <v>26</v>
      </c>
      <c r="F607" s="11" t="s">
        <v>959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1561</v>
      </c>
      <c r="D608" s="11" t="s">
        <v>48</v>
      </c>
      <c r="E608" s="11" t="s">
        <v>26</v>
      </c>
      <c r="F608" s="11" t="s">
        <v>1562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1664</v>
      </c>
      <c r="D609" s="15" t="s">
        <v>57</v>
      </c>
      <c r="E609" s="11" t="s">
        <v>26</v>
      </c>
      <c r="F609" s="11" t="s">
        <v>1665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7" customFormat="1" ht="28.5" customHeight="1">
      <c r="A610" s="11" t="str">
        <f t="shared" si="117"/>
        <v/>
      </c>
      <c r="B610" s="11" t="s">
        <v>10</v>
      </c>
      <c r="C610" s="11" t="s">
        <v>328</v>
      </c>
      <c r="D610" s="15" t="s">
        <v>45</v>
      </c>
      <c r="E610" s="11" t="s">
        <v>26</v>
      </c>
      <c r="F610" s="11" t="s">
        <v>329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884</v>
      </c>
      <c r="D611" s="11" t="s">
        <v>57</v>
      </c>
      <c r="E611" s="11" t="s">
        <v>26</v>
      </c>
      <c r="F611" s="11" t="s">
        <v>885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1110</v>
      </c>
      <c r="D612" s="11" t="s">
        <v>48</v>
      </c>
      <c r="E612" s="11" t="s">
        <v>26</v>
      </c>
      <c r="F612" s="11" t="s">
        <v>1112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1362</v>
      </c>
      <c r="D613" s="15" t="s">
        <v>60</v>
      </c>
      <c r="E613" s="11" t="s">
        <v>26</v>
      </c>
      <c r="F613" s="11" t="s">
        <v>1363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1699</v>
      </c>
      <c r="D614" s="15" t="s">
        <v>45</v>
      </c>
      <c r="E614" s="11" t="s">
        <v>26</v>
      </c>
      <c r="F614" s="11" t="s">
        <v>1700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8</v>
      </c>
      <c r="C615" s="11" t="s">
        <v>954</v>
      </c>
      <c r="D615" s="11" t="s">
        <v>71</v>
      </c>
      <c r="E615" s="11" t="s">
        <v>26</v>
      </c>
      <c r="F615" s="11" t="s">
        <v>955</v>
      </c>
      <c r="G615" s="12">
        <v>1829</v>
      </c>
      <c r="H615" s="12"/>
      <c r="I615" s="12"/>
      <c r="J615" s="12">
        <v>1820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1820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488</v>
      </c>
      <c r="D616" s="15" t="s">
        <v>45</v>
      </c>
      <c r="E616" s="11" t="s">
        <v>26</v>
      </c>
      <c r="F616" s="11" t="s">
        <v>489</v>
      </c>
      <c r="G616" s="12">
        <v>1829</v>
      </c>
      <c r="H616" s="12"/>
      <c r="I616" s="12"/>
      <c r="J616" s="12">
        <v>1829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511</v>
      </c>
      <c r="D617" s="11" t="s">
        <v>57</v>
      </c>
      <c r="E617" s="11" t="s">
        <v>26</v>
      </c>
      <c r="F617" s="11" t="s">
        <v>512</v>
      </c>
      <c r="G617" s="12">
        <v>1829</v>
      </c>
      <c r="H617" s="12"/>
      <c r="I617" s="12"/>
      <c r="J617" s="12">
        <v>1829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16" customFormat="1" ht="28.5" customHeight="1">
      <c r="A618" s="11" t="str">
        <f t="shared" si="117"/>
        <v/>
      </c>
      <c r="B618" s="11" t="s">
        <v>10</v>
      </c>
      <c r="C618" s="11" t="s">
        <v>820</v>
      </c>
      <c r="D618" s="11" t="s">
        <v>48</v>
      </c>
      <c r="E618" s="11" t="s">
        <v>26</v>
      </c>
      <c r="F618" s="11" t="s">
        <v>821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7" customFormat="1" ht="28.5" customHeight="1">
      <c r="A619" s="11" t="str">
        <f t="shared" si="117"/>
        <v/>
      </c>
      <c r="B619" s="11" t="s">
        <v>10</v>
      </c>
      <c r="C619" s="11" t="s">
        <v>928</v>
      </c>
      <c r="D619" s="15" t="s">
        <v>80</v>
      </c>
      <c r="E619" s="11" t="s">
        <v>26</v>
      </c>
      <c r="F619" s="11" t="s">
        <v>929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1501</v>
      </c>
      <c r="D620" s="15" t="s">
        <v>45</v>
      </c>
      <c r="E620" s="11" t="s">
        <v>26</v>
      </c>
      <c r="F620" s="11" t="s">
        <v>1502</v>
      </c>
      <c r="G620" s="12">
        <v>1829</v>
      </c>
      <c r="H620" s="12"/>
      <c r="I620" s="12"/>
      <c r="J620" s="12">
        <v>1837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1837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1503</v>
      </c>
      <c r="D621" s="15" t="s">
        <v>71</v>
      </c>
      <c r="E621" s="11" t="s">
        <v>26</v>
      </c>
      <c r="F621" s="11" t="s">
        <v>1504</v>
      </c>
      <c r="G621" s="12">
        <v>1829</v>
      </c>
      <c r="H621" s="12"/>
      <c r="I621" s="12"/>
      <c r="J621" s="12">
        <v>1837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1837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12</v>
      </c>
      <c r="C622" s="11" t="s">
        <v>1505</v>
      </c>
      <c r="D622" s="15" t="s">
        <v>71</v>
      </c>
      <c r="E622" s="11" t="s">
        <v>26</v>
      </c>
      <c r="F622" s="11" t="s">
        <v>1506</v>
      </c>
      <c r="G622" s="12">
        <v>1829</v>
      </c>
      <c r="H622" s="12"/>
      <c r="I622" s="12"/>
      <c r="J622" s="12">
        <v>1837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1837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749</v>
      </c>
      <c r="D623" s="11" t="s">
        <v>95</v>
      </c>
      <c r="E623" s="11" t="s">
        <v>26</v>
      </c>
      <c r="F623" s="11" t="s">
        <v>750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784</v>
      </c>
      <c r="D624" s="11" t="s">
        <v>95</v>
      </c>
      <c r="E624" s="11" t="s">
        <v>26</v>
      </c>
      <c r="F624" s="11" t="s">
        <v>785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66</v>
      </c>
      <c r="D625" s="15" t="s">
        <v>45</v>
      </c>
      <c r="E625" s="11" t="s">
        <v>26</v>
      </c>
      <c r="F625" s="11" t="s">
        <v>67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1589</v>
      </c>
      <c r="D626" s="11" t="s">
        <v>57</v>
      </c>
      <c r="E626" s="11" t="s">
        <v>26</v>
      </c>
      <c r="F626" s="11" t="s">
        <v>1591</v>
      </c>
      <c r="G626" s="12">
        <v>1830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18</v>
      </c>
      <c r="C627" s="11" t="s">
        <v>529</v>
      </c>
      <c r="D627" s="11" t="s">
        <v>71</v>
      </c>
      <c r="E627" s="11" t="s">
        <v>26</v>
      </c>
      <c r="F627" s="11" t="s">
        <v>530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292</v>
      </c>
      <c r="D628" s="11" t="s">
        <v>104</v>
      </c>
      <c r="E628" s="11" t="s">
        <v>26</v>
      </c>
      <c r="F628" s="11" t="s">
        <v>293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18</v>
      </c>
      <c r="C629" s="11" t="s">
        <v>1153</v>
      </c>
      <c r="D629" s="15" t="s">
        <v>45</v>
      </c>
      <c r="E629" s="11" t="s">
        <v>26</v>
      </c>
      <c r="F629" s="11" t="s">
        <v>1154</v>
      </c>
      <c r="G629" s="12">
        <v>1832</v>
      </c>
      <c r="H629" s="12"/>
      <c r="I629" s="12"/>
      <c r="J629" s="12">
        <v>1812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1812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101</v>
      </c>
      <c r="D630" s="11" t="s">
        <v>57</v>
      </c>
      <c r="E630" s="11" t="s">
        <v>26</v>
      </c>
      <c r="F630" s="11" t="s">
        <v>102</v>
      </c>
      <c r="G630" s="12">
        <v>1832</v>
      </c>
      <c r="H630" s="12"/>
      <c r="I630" s="12"/>
      <c r="J630" s="12">
        <v>1822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1822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14</v>
      </c>
      <c r="C631" s="11" t="s">
        <v>114</v>
      </c>
      <c r="D631" s="15" t="s">
        <v>80</v>
      </c>
      <c r="E631" s="11" t="s">
        <v>26</v>
      </c>
      <c r="F631" s="11" t="s">
        <v>115</v>
      </c>
      <c r="G631" s="12">
        <v>1833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1833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14</v>
      </c>
      <c r="C632" s="11" t="s">
        <v>1387</v>
      </c>
      <c r="D632" s="11" t="s">
        <v>57</v>
      </c>
      <c r="E632" s="11" t="s">
        <v>26</v>
      </c>
      <c r="F632" s="11" t="s">
        <v>1388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12</v>
      </c>
      <c r="C633" s="11" t="s">
        <v>1630</v>
      </c>
      <c r="D633" s="11" t="s">
        <v>57</v>
      </c>
      <c r="E633" s="11" t="s">
        <v>26</v>
      </c>
      <c r="F633" s="11" t="s">
        <v>1631</v>
      </c>
      <c r="G633" s="12">
        <v>1834</v>
      </c>
      <c r="H633" s="12"/>
      <c r="I633" s="12"/>
      <c r="J633" s="12">
        <v>1799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1799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234</v>
      </c>
      <c r="D634" s="15" t="s">
        <v>80</v>
      </c>
      <c r="E634" s="11" t="s">
        <v>26</v>
      </c>
      <c r="F634" s="11" t="s">
        <v>235</v>
      </c>
      <c r="G634" s="12">
        <v>1834</v>
      </c>
      <c r="H634" s="12"/>
      <c r="I634" s="12"/>
      <c r="J634" s="12">
        <v>1810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1810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1067</v>
      </c>
      <c r="D635" s="11" t="s">
        <v>57</v>
      </c>
      <c r="E635" s="11" t="s">
        <v>26</v>
      </c>
      <c r="F635" s="11" t="s">
        <v>1068</v>
      </c>
      <c r="G635" s="12">
        <v>1834</v>
      </c>
      <c r="H635" s="12"/>
      <c r="I635" s="12"/>
      <c r="J635" s="12">
        <v>1822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1822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10</v>
      </c>
      <c r="C636" s="11" t="s">
        <v>688</v>
      </c>
      <c r="D636" s="11" t="s">
        <v>104</v>
      </c>
      <c r="E636" s="11" t="s">
        <v>26</v>
      </c>
      <c r="F636" s="11" t="s">
        <v>689</v>
      </c>
      <c r="G636" s="12">
        <v>1834</v>
      </c>
      <c r="H636" s="12"/>
      <c r="I636" s="12"/>
      <c r="J636" s="12">
        <v>1824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8</v>
      </c>
      <c r="C637" s="11" t="s">
        <v>503</v>
      </c>
      <c r="D637" s="15" t="s">
        <v>45</v>
      </c>
      <c r="E637" s="11" t="s">
        <v>26</v>
      </c>
      <c r="F637" s="11" t="s">
        <v>504</v>
      </c>
      <c r="G637" s="12">
        <v>1834</v>
      </c>
      <c r="H637" s="12"/>
      <c r="I637" s="12"/>
      <c r="J637" s="12">
        <v>1834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1834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8</v>
      </c>
      <c r="C638" s="11" t="s">
        <v>974</v>
      </c>
      <c r="D638" s="11" t="s">
        <v>71</v>
      </c>
      <c r="E638" s="11" t="s">
        <v>26</v>
      </c>
      <c r="F638" s="11" t="s">
        <v>975</v>
      </c>
      <c r="G638" s="12">
        <v>1834</v>
      </c>
      <c r="H638" s="12"/>
      <c r="I638" s="12"/>
      <c r="J638" s="12">
        <v>1834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1834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1288</v>
      </c>
      <c r="D639" s="15" t="s">
        <v>60</v>
      </c>
      <c r="E639" s="11" t="s">
        <v>26</v>
      </c>
      <c r="F639" s="11" t="s">
        <v>1289</v>
      </c>
      <c r="G639" s="12">
        <v>1835</v>
      </c>
      <c r="H639" s="12"/>
      <c r="I639" s="12"/>
      <c r="J639" s="12">
        <v>1815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1815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1605</v>
      </c>
      <c r="D640" s="15" t="s">
        <v>60</v>
      </c>
      <c r="E640" s="11" t="s">
        <v>26</v>
      </c>
      <c r="F640" s="11" t="s">
        <v>1606</v>
      </c>
      <c r="G640" s="12">
        <v>1835</v>
      </c>
      <c r="H640" s="12"/>
      <c r="I640" s="12"/>
      <c r="J640" s="12">
        <v>1815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1815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812</v>
      </c>
      <c r="D641" s="11" t="s">
        <v>48</v>
      </c>
      <c r="E641" s="11" t="s">
        <v>26</v>
      </c>
      <c r="F641" s="11" t="s">
        <v>813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14</v>
      </c>
      <c r="C642" s="11" t="s">
        <v>843</v>
      </c>
      <c r="D642" s="15" t="s">
        <v>80</v>
      </c>
      <c r="E642" s="11" t="s">
        <v>26</v>
      </c>
      <c r="F642" s="11" t="s">
        <v>844</v>
      </c>
      <c r="G642" s="12">
        <v>1835</v>
      </c>
      <c r="H642" s="12"/>
      <c r="I642" s="12"/>
      <c r="J642" s="12">
        <v>1820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1820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6</v>
      </c>
      <c r="C643" s="11" t="s">
        <v>950</v>
      </c>
      <c r="D643" s="15" t="s">
        <v>80</v>
      </c>
      <c r="E643" s="11" t="s">
        <v>26</v>
      </c>
      <c r="F643" s="11" t="s">
        <v>951</v>
      </c>
      <c r="G643" s="12">
        <v>1835</v>
      </c>
      <c r="H643" s="12"/>
      <c r="I643" s="12"/>
      <c r="J643" s="12">
        <v>1825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1825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8</v>
      </c>
      <c r="C644" s="11" t="s">
        <v>796</v>
      </c>
      <c r="D644" s="11" t="s">
        <v>57</v>
      </c>
      <c r="E644" s="11" t="s">
        <v>26</v>
      </c>
      <c r="F644" s="11" t="s">
        <v>798</v>
      </c>
      <c r="G644" s="12">
        <v>1835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7" customFormat="1" ht="28.5" customHeight="1">
      <c r="A645" s="11" t="str">
        <f t="shared" si="117"/>
        <v/>
      </c>
      <c r="B645" s="11" t="s">
        <v>10</v>
      </c>
      <c r="C645" s="11" t="s">
        <v>1411</v>
      </c>
      <c r="D645" s="11" t="s">
        <v>104</v>
      </c>
      <c r="E645" s="11" t="s">
        <v>26</v>
      </c>
      <c r="F645" s="11" t="s">
        <v>1412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406</v>
      </c>
      <c r="D646" s="11" t="s">
        <v>57</v>
      </c>
      <c r="E646" s="11" t="s">
        <v>26</v>
      </c>
      <c r="F646" s="11" t="s">
        <v>407</v>
      </c>
      <c r="G646" s="12">
        <v>1835</v>
      </c>
      <c r="H646" s="12"/>
      <c r="I646" s="12"/>
      <c r="J646" s="12">
        <v>1837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1837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1557</v>
      </c>
      <c r="D647" s="15" t="s">
        <v>80</v>
      </c>
      <c r="E647" s="11" t="s">
        <v>26</v>
      </c>
      <c r="F647" s="11" t="s">
        <v>1558</v>
      </c>
      <c r="G647" s="12">
        <v>1836</v>
      </c>
      <c r="H647" s="12"/>
      <c r="I647" s="12"/>
      <c r="J647" s="12">
        <v>1799</v>
      </c>
      <c r="K647" s="12">
        <f t="shared" si="118"/>
        <v>0</v>
      </c>
      <c r="L647" s="12">
        <f t="shared" si="119"/>
        <v>1836</v>
      </c>
      <c r="M647" s="12" t="str">
        <f t="shared" si="120"/>
        <v/>
      </c>
      <c r="N647" s="12">
        <f t="shared" si="121"/>
        <v>1799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10</v>
      </c>
      <c r="C648" s="11" t="s">
        <v>372</v>
      </c>
      <c r="D648" s="15" t="s">
        <v>45</v>
      </c>
      <c r="E648" s="11" t="s">
        <v>26</v>
      </c>
      <c r="F648" s="11" t="s">
        <v>373</v>
      </c>
      <c r="G648" s="12">
        <v>1836</v>
      </c>
      <c r="H648" s="12"/>
      <c r="I648" s="12"/>
      <c r="J648" s="12">
        <v>1829</v>
      </c>
      <c r="K648" s="12">
        <f t="shared" si="118"/>
        <v>0</v>
      </c>
      <c r="L648" s="12">
        <f t="shared" si="119"/>
        <v>1836</v>
      </c>
      <c r="M648" s="12" t="str">
        <f t="shared" si="120"/>
        <v/>
      </c>
      <c r="N648" s="12">
        <f t="shared" si="121"/>
        <v>1829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10</v>
      </c>
      <c r="C649" s="11" t="s">
        <v>54</v>
      </c>
      <c r="D649" s="11" t="s">
        <v>48</v>
      </c>
      <c r="E649" s="11" t="s">
        <v>26</v>
      </c>
      <c r="F649" s="11" t="s">
        <v>55</v>
      </c>
      <c r="G649" s="12">
        <v>1837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1837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14</v>
      </c>
      <c r="C650" s="11" t="s">
        <v>128</v>
      </c>
      <c r="D650" s="15" t="s">
        <v>80</v>
      </c>
      <c r="E650" s="11" t="s">
        <v>26</v>
      </c>
      <c r="F650" s="11" t="s">
        <v>129</v>
      </c>
      <c r="G650" s="12">
        <v>1838</v>
      </c>
      <c r="H650" s="12"/>
      <c r="I650" s="12"/>
      <c r="J650" s="12">
        <v>1813</v>
      </c>
      <c r="K650" s="12">
        <f t="shared" si="118"/>
        <v>0</v>
      </c>
      <c r="L650" s="12">
        <f t="shared" si="119"/>
        <v>1838</v>
      </c>
      <c r="M650" s="12" t="str">
        <f t="shared" si="120"/>
        <v/>
      </c>
      <c r="N650" s="12">
        <f t="shared" si="121"/>
        <v>1813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1193</v>
      </c>
      <c r="D651" s="15" t="s">
        <v>80</v>
      </c>
      <c r="E651" s="11" t="s">
        <v>26</v>
      </c>
      <c r="F651" s="11" t="s">
        <v>1194</v>
      </c>
      <c r="G651" s="12">
        <v>1838</v>
      </c>
      <c r="H651" s="12"/>
      <c r="I651" s="12"/>
      <c r="J651" s="12">
        <v>1818</v>
      </c>
      <c r="K651" s="12">
        <f t="shared" si="118"/>
        <v>0</v>
      </c>
      <c r="L651" s="12">
        <f t="shared" si="119"/>
        <v>1838</v>
      </c>
      <c r="M651" s="12" t="str">
        <f t="shared" si="120"/>
        <v/>
      </c>
      <c r="N651" s="12">
        <f t="shared" si="121"/>
        <v>1818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6</v>
      </c>
      <c r="C652" s="11" t="s">
        <v>1077</v>
      </c>
      <c r="D652" s="11" t="s">
        <v>71</v>
      </c>
      <c r="E652" s="11" t="s">
        <v>26</v>
      </c>
      <c r="F652" s="11" t="s">
        <v>1078</v>
      </c>
      <c r="G652" s="12">
        <v>1838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1838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1306</v>
      </c>
      <c r="D653" s="15" t="s">
        <v>45</v>
      </c>
      <c r="E653" s="11" t="s">
        <v>26</v>
      </c>
      <c r="F653" s="11" t="s">
        <v>1307</v>
      </c>
      <c r="G653" s="12">
        <v>1839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1553</v>
      </c>
      <c r="D654" s="15" t="s">
        <v>80</v>
      </c>
      <c r="E654" s="11" t="s">
        <v>26</v>
      </c>
      <c r="F654" s="11" t="s">
        <v>1554</v>
      </c>
      <c r="G654" s="12">
        <v>1839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IF($T655="","",1+COUNTIF($W$15:$W$882,"&lt;"&amp;W655))</f>
        <v/>
      </c>
      <c r="B655" s="11" t="s">
        <v>10</v>
      </c>
      <c r="C655" s="11" t="s">
        <v>998</v>
      </c>
      <c r="D655" s="11" t="s">
        <v>48</v>
      </c>
      <c r="E655" s="11" t="s">
        <v>26</v>
      </c>
      <c r="F655" s="11" t="s">
        <v>999</v>
      </c>
      <c r="G655" s="12">
        <v>1839</v>
      </c>
      <c r="H655" s="12"/>
      <c r="I655" s="12"/>
      <c r="J655" s="12">
        <v>1809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1809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1737</v>
      </c>
      <c r="D656" s="15" t="s">
        <v>45</v>
      </c>
      <c r="E656" s="11" t="s">
        <v>61</v>
      </c>
      <c r="F656" s="11" t="s">
        <v>1738</v>
      </c>
      <c r="G656" s="12">
        <v>1839</v>
      </c>
      <c r="H656" s="12"/>
      <c r="I656" s="12"/>
      <c r="J656" s="12">
        <v>1809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1809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16</v>
      </c>
      <c r="C657" s="11" t="s">
        <v>610</v>
      </c>
      <c r="D657" s="15" t="s">
        <v>45</v>
      </c>
      <c r="E657" s="11" t="s">
        <v>26</v>
      </c>
      <c r="F657" s="11" t="s">
        <v>611</v>
      </c>
      <c r="G657" s="12">
        <v>1839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14</v>
      </c>
      <c r="C658" s="11" t="s">
        <v>166</v>
      </c>
      <c r="D658" s="11" t="s">
        <v>57</v>
      </c>
      <c r="E658" s="11" t="s">
        <v>26</v>
      </c>
      <c r="F658" s="11" t="s">
        <v>167</v>
      </c>
      <c r="G658" s="12">
        <v>1839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14</v>
      </c>
      <c r="C659" s="11" t="s">
        <v>176</v>
      </c>
      <c r="D659" s="11" t="s">
        <v>57</v>
      </c>
      <c r="E659" s="11" t="s">
        <v>26</v>
      </c>
      <c r="F659" s="11" t="s">
        <v>177</v>
      </c>
      <c r="G659" s="12">
        <v>1839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623</v>
      </c>
      <c r="D660" s="11" t="s">
        <v>57</v>
      </c>
      <c r="E660" s="11" t="s">
        <v>26</v>
      </c>
      <c r="F660" s="11" t="s">
        <v>624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759</v>
      </c>
      <c r="D661" s="15" t="s">
        <v>45</v>
      </c>
      <c r="E661" s="11" t="s">
        <v>26</v>
      </c>
      <c r="F661" s="11" t="s">
        <v>760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6</v>
      </c>
      <c r="C662" s="11" t="s">
        <v>569</v>
      </c>
      <c r="D662" s="11" t="s">
        <v>57</v>
      </c>
      <c r="E662" s="11" t="s">
        <v>26</v>
      </c>
      <c r="F662" s="11" t="s">
        <v>573</v>
      </c>
      <c r="G662" s="12">
        <v>1839</v>
      </c>
      <c r="H662" s="12"/>
      <c r="I662" s="12"/>
      <c r="J662" s="12">
        <v>1827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1827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274</v>
      </c>
      <c r="D663" s="11" t="s">
        <v>104</v>
      </c>
      <c r="E663" s="11" t="s">
        <v>26</v>
      </c>
      <c r="F663" s="11" t="s">
        <v>275</v>
      </c>
      <c r="G663" s="12">
        <v>1839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276</v>
      </c>
      <c r="D664" s="11" t="s">
        <v>104</v>
      </c>
      <c r="E664" s="11" t="s">
        <v>26</v>
      </c>
      <c r="F664" s="11" t="s">
        <v>277</v>
      </c>
      <c r="G664" s="12">
        <v>1839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7" customFormat="1" ht="28.5" customHeight="1">
      <c r="A665" s="11" t="str">
        <f t="shared" si="130"/>
        <v/>
      </c>
      <c r="B665" s="11" t="s">
        <v>10</v>
      </c>
      <c r="C665" s="11" t="s">
        <v>278</v>
      </c>
      <c r="D665" s="11" t="s">
        <v>104</v>
      </c>
      <c r="E665" s="11" t="s">
        <v>26</v>
      </c>
      <c r="F665" s="11" t="s">
        <v>279</v>
      </c>
      <c r="G665" s="12">
        <v>1839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103</v>
      </c>
      <c r="D666" s="11" t="s">
        <v>104</v>
      </c>
      <c r="E666" s="11" t="s">
        <v>26</v>
      </c>
      <c r="F666" s="11" t="s">
        <v>105</v>
      </c>
      <c r="G666" s="12">
        <v>1839</v>
      </c>
      <c r="H666" s="12"/>
      <c r="I666" s="12"/>
      <c r="J666" s="12">
        <v>1829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10</v>
      </c>
      <c r="C667" s="11" t="s">
        <v>1201</v>
      </c>
      <c r="D667" s="11" t="s">
        <v>104</v>
      </c>
      <c r="E667" s="11" t="s">
        <v>26</v>
      </c>
      <c r="F667" s="11" t="s">
        <v>1202</v>
      </c>
      <c r="G667" s="12">
        <v>1839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1360</v>
      </c>
      <c r="D668" s="15" t="s">
        <v>80</v>
      </c>
      <c r="E668" s="11" t="s">
        <v>26</v>
      </c>
      <c r="F668" s="11" t="s">
        <v>1361</v>
      </c>
      <c r="G668" s="12">
        <v>1839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513</v>
      </c>
      <c r="D669" s="11" t="s">
        <v>71</v>
      </c>
      <c r="E669" s="11" t="s">
        <v>26</v>
      </c>
      <c r="F669" s="11" t="s">
        <v>514</v>
      </c>
      <c r="G669" s="12">
        <v>1839</v>
      </c>
      <c r="H669" s="12"/>
      <c r="I669" s="12"/>
      <c r="J669" s="12">
        <v>1838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1838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120</v>
      </c>
      <c r="D670" s="15" t="s">
        <v>45</v>
      </c>
      <c r="E670" s="11" t="s">
        <v>26</v>
      </c>
      <c r="F670" s="11" t="s">
        <v>121</v>
      </c>
      <c r="G670" s="12">
        <v>1839</v>
      </c>
      <c r="H670" s="12"/>
      <c r="I670" s="12"/>
      <c r="J670" s="12">
        <v>1839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631</v>
      </c>
      <c r="D671" s="11" t="s">
        <v>48</v>
      </c>
      <c r="E671" s="11" t="s">
        <v>26</v>
      </c>
      <c r="F671" s="11" t="s">
        <v>632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8</v>
      </c>
      <c r="C672" s="11" t="s">
        <v>880</v>
      </c>
      <c r="D672" s="15" t="s">
        <v>80</v>
      </c>
      <c r="E672" s="11" t="s">
        <v>26</v>
      </c>
      <c r="F672" s="11" t="s">
        <v>881</v>
      </c>
      <c r="G672" s="12">
        <v>1839</v>
      </c>
      <c r="H672" s="12"/>
      <c r="I672" s="12"/>
      <c r="J672" s="12">
        <v>1839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1139</v>
      </c>
      <c r="D673" s="11" t="s">
        <v>48</v>
      </c>
      <c r="E673" s="11" t="s">
        <v>26</v>
      </c>
      <c r="F673" s="11" t="s">
        <v>1140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8</v>
      </c>
      <c r="C674" s="11" t="s">
        <v>1098</v>
      </c>
      <c r="D674" s="11" t="s">
        <v>57</v>
      </c>
      <c r="E674" s="11" t="s">
        <v>26</v>
      </c>
      <c r="F674" s="11" t="s">
        <v>1099</v>
      </c>
      <c r="G674" s="12">
        <v>1839</v>
      </c>
      <c r="H674" s="12"/>
      <c r="I674" s="12"/>
      <c r="J674" s="12">
        <v>1849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1849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16</v>
      </c>
      <c r="C675" s="11" t="s">
        <v>50</v>
      </c>
      <c r="D675" s="11" t="s">
        <v>48</v>
      </c>
      <c r="E675" s="11" t="s">
        <v>26</v>
      </c>
      <c r="F675" s="11" t="s">
        <v>51</v>
      </c>
      <c r="G675" s="12">
        <v>1840</v>
      </c>
      <c r="H675" s="12"/>
      <c r="I675" s="12"/>
      <c r="J675" s="12">
        <v>1800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1800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18</v>
      </c>
      <c r="C676" s="11" t="s">
        <v>680</v>
      </c>
      <c r="D676" s="15" t="s">
        <v>80</v>
      </c>
      <c r="E676" s="11" t="s">
        <v>26</v>
      </c>
      <c r="F676" s="11" t="s">
        <v>681</v>
      </c>
      <c r="G676" s="12">
        <v>1840</v>
      </c>
      <c r="H676" s="12"/>
      <c r="I676" s="12"/>
      <c r="J676" s="12">
        <v>1830</v>
      </c>
      <c r="K676" s="12">
        <f t="shared" si="131"/>
        <v>0</v>
      </c>
      <c r="L676" s="12">
        <f t="shared" si="132"/>
        <v>1840</v>
      </c>
      <c r="M676" s="12" t="str">
        <f t="shared" si="133"/>
        <v/>
      </c>
      <c r="N676" s="12">
        <f t="shared" si="134"/>
        <v>1830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930</v>
      </c>
      <c r="D677" s="15" t="s">
        <v>80</v>
      </c>
      <c r="E677" s="11" t="s">
        <v>26</v>
      </c>
      <c r="F677" s="11" t="s">
        <v>931</v>
      </c>
      <c r="G677" s="12">
        <v>1840</v>
      </c>
      <c r="H677" s="12"/>
      <c r="I677" s="12"/>
      <c r="J677" s="12">
        <v>1830</v>
      </c>
      <c r="K677" s="12">
        <f t="shared" si="131"/>
        <v>0</v>
      </c>
      <c r="L677" s="12">
        <f t="shared" si="132"/>
        <v>1840</v>
      </c>
      <c r="M677" s="12" t="str">
        <f t="shared" si="133"/>
        <v/>
      </c>
      <c r="N677" s="12">
        <f t="shared" si="134"/>
        <v>1830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1472</v>
      </c>
      <c r="D678" s="15" t="s">
        <v>60</v>
      </c>
      <c r="E678" s="11" t="s">
        <v>26</v>
      </c>
      <c r="F678" s="11" t="s">
        <v>1473</v>
      </c>
      <c r="G678" s="12">
        <v>1840</v>
      </c>
      <c r="H678" s="12"/>
      <c r="I678" s="12"/>
      <c r="J678" s="12">
        <v>1849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1849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1464</v>
      </c>
      <c r="D679" s="15" t="s">
        <v>60</v>
      </c>
      <c r="E679" s="11" t="s">
        <v>26</v>
      </c>
      <c r="F679" s="11" t="s">
        <v>1465</v>
      </c>
      <c r="G679" s="12">
        <v>1841</v>
      </c>
      <c r="H679" s="12"/>
      <c r="I679" s="12"/>
      <c r="J679" s="12">
        <v>1849</v>
      </c>
      <c r="K679" s="12">
        <f t="shared" si="131"/>
        <v>0</v>
      </c>
      <c r="L679" s="12">
        <f t="shared" si="132"/>
        <v>1841</v>
      </c>
      <c r="M679" s="12" t="str">
        <f t="shared" si="133"/>
        <v/>
      </c>
      <c r="N679" s="12">
        <f t="shared" si="134"/>
        <v>1849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12</v>
      </c>
      <c r="C680" s="11" t="s">
        <v>942</v>
      </c>
      <c r="D680" s="15" t="s">
        <v>45</v>
      </c>
      <c r="E680" s="11" t="s">
        <v>26</v>
      </c>
      <c r="F680" s="11" t="s">
        <v>943</v>
      </c>
      <c r="G680" s="12">
        <v>1842</v>
      </c>
      <c r="H680" s="12"/>
      <c r="I680" s="12"/>
      <c r="J680" s="12">
        <v>1808</v>
      </c>
      <c r="K680" s="12">
        <f t="shared" si="131"/>
        <v>0</v>
      </c>
      <c r="L680" s="12">
        <f t="shared" si="132"/>
        <v>1842</v>
      </c>
      <c r="M680" s="12" t="str">
        <f t="shared" si="133"/>
        <v/>
      </c>
      <c r="N680" s="12">
        <f t="shared" si="134"/>
        <v>1808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12</v>
      </c>
      <c r="C681" s="11" t="s">
        <v>712</v>
      </c>
      <c r="D681" s="15" t="s">
        <v>60</v>
      </c>
      <c r="E681" s="11" t="s">
        <v>26</v>
      </c>
      <c r="F681" s="11" t="s">
        <v>714</v>
      </c>
      <c r="G681" s="12">
        <v>1842</v>
      </c>
      <c r="H681" s="12"/>
      <c r="I681" s="12"/>
      <c r="J681" s="12">
        <v>1823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1823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10</v>
      </c>
      <c r="C682" s="11" t="s">
        <v>1207</v>
      </c>
      <c r="D682" s="15" t="s">
        <v>60</v>
      </c>
      <c r="E682" s="11" t="s">
        <v>26</v>
      </c>
      <c r="F682" s="11" t="s">
        <v>1208</v>
      </c>
      <c r="G682" s="12">
        <v>1842</v>
      </c>
      <c r="H682" s="12"/>
      <c r="I682" s="12"/>
      <c r="J682" s="12">
        <v>1825</v>
      </c>
      <c r="K682" s="12">
        <f t="shared" si="131"/>
        <v>0</v>
      </c>
      <c r="L682" s="12">
        <f t="shared" si="132"/>
        <v>1842</v>
      </c>
      <c r="M682" s="12" t="str">
        <f t="shared" si="133"/>
        <v/>
      </c>
      <c r="N682" s="12">
        <f t="shared" si="134"/>
        <v>1825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1100</v>
      </c>
      <c r="D683" s="11" t="s">
        <v>57</v>
      </c>
      <c r="E683" s="11" t="s">
        <v>26</v>
      </c>
      <c r="F683" s="11" t="s">
        <v>1101</v>
      </c>
      <c r="G683" s="12">
        <v>1842</v>
      </c>
      <c r="H683" s="12"/>
      <c r="I683" s="12"/>
      <c r="J683" s="12">
        <v>1829</v>
      </c>
      <c r="K683" s="12">
        <f t="shared" si="131"/>
        <v>0</v>
      </c>
      <c r="L683" s="12">
        <f t="shared" si="132"/>
        <v>1842</v>
      </c>
      <c r="M683" s="12" t="str">
        <f t="shared" si="133"/>
        <v/>
      </c>
      <c r="N683" s="12">
        <f t="shared" si="134"/>
        <v>1829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1366</v>
      </c>
      <c r="D684" s="11" t="s">
        <v>57</v>
      </c>
      <c r="E684" s="11" t="s">
        <v>26</v>
      </c>
      <c r="F684" s="11" t="s">
        <v>1368</v>
      </c>
      <c r="G684" s="12">
        <v>1842</v>
      </c>
      <c r="H684" s="12"/>
      <c r="I684" s="12"/>
      <c r="J684" s="12">
        <v>1832</v>
      </c>
      <c r="K684" s="12">
        <f t="shared" si="131"/>
        <v>0</v>
      </c>
      <c r="L684" s="12">
        <f t="shared" si="132"/>
        <v>1842</v>
      </c>
      <c r="M684" s="12" t="str">
        <f t="shared" si="133"/>
        <v/>
      </c>
      <c r="N684" s="12">
        <f t="shared" si="134"/>
        <v>1832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739</v>
      </c>
      <c r="D685" s="15" t="s">
        <v>60</v>
      </c>
      <c r="E685" s="11" t="s">
        <v>26</v>
      </c>
      <c r="F685" s="11" t="s">
        <v>740</v>
      </c>
      <c r="G685" s="12">
        <v>1843</v>
      </c>
      <c r="H685" s="12"/>
      <c r="I685" s="12"/>
      <c r="J685" s="12">
        <v>1823</v>
      </c>
      <c r="K685" s="12">
        <f t="shared" si="131"/>
        <v>0</v>
      </c>
      <c r="L685" s="12">
        <f t="shared" si="132"/>
        <v>1843</v>
      </c>
      <c r="M685" s="12" t="str">
        <f t="shared" si="133"/>
        <v/>
      </c>
      <c r="N685" s="12">
        <f t="shared" si="134"/>
        <v>1823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1233</v>
      </c>
      <c r="D686" s="11" t="s">
        <v>48</v>
      </c>
      <c r="E686" s="11" t="s">
        <v>61</v>
      </c>
      <c r="F686" s="11" t="s">
        <v>1234</v>
      </c>
      <c r="G686" s="12">
        <v>1844</v>
      </c>
      <c r="H686" s="12"/>
      <c r="I686" s="12"/>
      <c r="J686" s="12">
        <v>1814</v>
      </c>
      <c r="K686" s="12">
        <f t="shared" si="131"/>
        <v>0</v>
      </c>
      <c r="L686" s="12">
        <f t="shared" si="132"/>
        <v>1844</v>
      </c>
      <c r="M686" s="12" t="str">
        <f t="shared" si="133"/>
        <v/>
      </c>
      <c r="N686" s="12">
        <f t="shared" si="134"/>
        <v>1814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330</v>
      </c>
      <c r="D687" s="15" t="s">
        <v>45</v>
      </c>
      <c r="E687" s="11" t="s">
        <v>26</v>
      </c>
      <c r="F687" s="11" t="s">
        <v>331</v>
      </c>
      <c r="G687" s="12">
        <v>1844</v>
      </c>
      <c r="H687" s="12"/>
      <c r="I687" s="12"/>
      <c r="J687" s="12">
        <v>1815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1815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1652</v>
      </c>
      <c r="D688" s="15" t="s">
        <v>45</v>
      </c>
      <c r="E688" s="11" t="s">
        <v>26</v>
      </c>
      <c r="F688" s="11" t="s">
        <v>1653</v>
      </c>
      <c r="G688" s="12">
        <v>1844</v>
      </c>
      <c r="H688" s="12"/>
      <c r="I688" s="12"/>
      <c r="J688" s="12">
        <v>1834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1834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18</v>
      </c>
      <c r="C689" s="11" t="s">
        <v>1624</v>
      </c>
      <c r="D689" s="11" t="s">
        <v>104</v>
      </c>
      <c r="E689" s="11" t="s">
        <v>26</v>
      </c>
      <c r="F689" s="11" t="s">
        <v>1625</v>
      </c>
      <c r="G689" s="12">
        <v>1844</v>
      </c>
      <c r="H689" s="12"/>
      <c r="I689" s="12"/>
      <c r="J689" s="12">
        <v>1837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1837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18</v>
      </c>
      <c r="C690" s="11" t="s">
        <v>1626</v>
      </c>
      <c r="D690" s="11" t="s">
        <v>104</v>
      </c>
      <c r="E690" s="11" t="s">
        <v>26</v>
      </c>
      <c r="F690" s="11" t="s">
        <v>1627</v>
      </c>
      <c r="G690" s="12">
        <v>1844</v>
      </c>
      <c r="H690" s="12"/>
      <c r="I690" s="12"/>
      <c r="J690" s="12">
        <v>1837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1837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132</v>
      </c>
      <c r="D691" s="15" t="s">
        <v>45</v>
      </c>
      <c r="E691" s="11" t="s">
        <v>61</v>
      </c>
      <c r="F691" s="11" t="s">
        <v>133</v>
      </c>
      <c r="G691" s="12">
        <v>1844</v>
      </c>
      <c r="H691" s="12"/>
      <c r="I691" s="12"/>
      <c r="J691" s="12">
        <v>1839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1209</v>
      </c>
      <c r="D692" s="11" t="s">
        <v>71</v>
      </c>
      <c r="E692" s="11" t="s">
        <v>26</v>
      </c>
      <c r="F692" s="11" t="s">
        <v>1210</v>
      </c>
      <c r="G692" s="12">
        <v>1844</v>
      </c>
      <c r="H692" s="12"/>
      <c r="I692" s="12"/>
      <c r="J692" s="12">
        <v>1839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10</v>
      </c>
      <c r="C693" s="11" t="s">
        <v>1047</v>
      </c>
      <c r="D693" s="15" t="s">
        <v>80</v>
      </c>
      <c r="E693" s="11" t="s">
        <v>26</v>
      </c>
      <c r="F693" s="11" t="s">
        <v>1048</v>
      </c>
      <c r="G693" s="12">
        <v>1845</v>
      </c>
      <c r="H693" s="12"/>
      <c r="I693" s="12"/>
      <c r="J693" s="12">
        <v>1809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1809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715</v>
      </c>
      <c r="D694" s="15" t="s">
        <v>45</v>
      </c>
      <c r="E694" s="11" t="s">
        <v>26</v>
      </c>
      <c r="F694" s="11" t="s">
        <v>716</v>
      </c>
      <c r="G694" s="12">
        <v>1845</v>
      </c>
      <c r="H694" s="12"/>
      <c r="I694" s="12"/>
      <c r="J694" s="12">
        <v>1833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1833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18</v>
      </c>
      <c r="C695" s="11" t="s">
        <v>1254</v>
      </c>
      <c r="D695" s="15" t="s">
        <v>45</v>
      </c>
      <c r="E695" s="11" t="s">
        <v>61</v>
      </c>
      <c r="F695" s="11" t="s">
        <v>1255</v>
      </c>
      <c r="G695" s="12">
        <v>1845</v>
      </c>
      <c r="H695" s="12"/>
      <c r="I695" s="12"/>
      <c r="J695" s="12">
        <v>1835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1835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14</v>
      </c>
      <c r="C696" s="11" t="s">
        <v>1115</v>
      </c>
      <c r="D696" s="15" t="s">
        <v>80</v>
      </c>
      <c r="E696" s="11" t="s">
        <v>26</v>
      </c>
      <c r="F696" s="11" t="s">
        <v>1116</v>
      </c>
      <c r="G696" s="12">
        <v>1845</v>
      </c>
      <c r="H696" s="12"/>
      <c r="I696" s="12"/>
      <c r="J696" s="12">
        <v>1835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1835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12</v>
      </c>
      <c r="C697" s="11" t="s">
        <v>1053</v>
      </c>
      <c r="D697" s="15" t="s">
        <v>45</v>
      </c>
      <c r="E697" s="11" t="s">
        <v>26</v>
      </c>
      <c r="F697" s="11" t="s">
        <v>1054</v>
      </c>
      <c r="G697" s="12">
        <v>1845</v>
      </c>
      <c r="H697" s="12"/>
      <c r="I697" s="12"/>
      <c r="J697" s="12">
        <v>1835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1835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12</v>
      </c>
      <c r="C698" s="11" t="s">
        <v>1131</v>
      </c>
      <c r="D698" s="15" t="s">
        <v>71</v>
      </c>
      <c r="E698" s="11" t="s">
        <v>61</v>
      </c>
      <c r="F698" s="11" t="s">
        <v>1132</v>
      </c>
      <c r="G698" s="12">
        <v>1845</v>
      </c>
      <c r="H698" s="12"/>
      <c r="I698" s="12"/>
      <c r="J698" s="12">
        <v>1838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1838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1133</v>
      </c>
      <c r="D699" s="15" t="s">
        <v>71</v>
      </c>
      <c r="E699" s="11" t="s">
        <v>61</v>
      </c>
      <c r="F699" s="11" t="s">
        <v>1134</v>
      </c>
      <c r="G699" s="12">
        <v>1845</v>
      </c>
      <c r="H699" s="12"/>
      <c r="I699" s="12"/>
      <c r="J699" s="12">
        <v>1838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1838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1135</v>
      </c>
      <c r="D700" s="15" t="s">
        <v>71</v>
      </c>
      <c r="E700" s="11" t="s">
        <v>26</v>
      </c>
      <c r="F700" s="11" t="s">
        <v>1136</v>
      </c>
      <c r="G700" s="12">
        <v>1845</v>
      </c>
      <c r="H700" s="12"/>
      <c r="I700" s="12"/>
      <c r="J700" s="12">
        <v>1838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1838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1462</v>
      </c>
      <c r="D701" s="15" t="s">
        <v>60</v>
      </c>
      <c r="E701" s="11" t="s">
        <v>26</v>
      </c>
      <c r="F701" s="11" t="s">
        <v>1463</v>
      </c>
      <c r="G701" s="12">
        <v>1845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384</v>
      </c>
      <c r="D702" s="15" t="s">
        <v>80</v>
      </c>
      <c r="E702" s="11" t="s">
        <v>61</v>
      </c>
      <c r="F702" s="11" t="s">
        <v>385</v>
      </c>
      <c r="G702" s="12">
        <v>1847</v>
      </c>
      <c r="H702" s="12"/>
      <c r="I702" s="12"/>
      <c r="J702" s="12">
        <v>1827</v>
      </c>
      <c r="K702" s="12">
        <f t="shared" si="131"/>
        <v>0</v>
      </c>
      <c r="L702" s="12">
        <f t="shared" si="132"/>
        <v>1847</v>
      </c>
      <c r="M702" s="12" t="str">
        <f t="shared" si="133"/>
        <v/>
      </c>
      <c r="N702" s="12">
        <f t="shared" si="134"/>
        <v>1827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10</v>
      </c>
      <c r="C703" s="11" t="s">
        <v>1205</v>
      </c>
      <c r="D703" s="15" t="s">
        <v>80</v>
      </c>
      <c r="E703" s="11" t="s">
        <v>26</v>
      </c>
      <c r="F703" s="11" t="s">
        <v>1206</v>
      </c>
      <c r="G703" s="12">
        <v>1847</v>
      </c>
      <c r="H703" s="12"/>
      <c r="I703" s="12"/>
      <c r="J703" s="12">
        <v>1837</v>
      </c>
      <c r="K703" s="12">
        <f t="shared" si="131"/>
        <v>0</v>
      </c>
      <c r="L703" s="12">
        <f t="shared" si="132"/>
        <v>1847</v>
      </c>
      <c r="M703" s="12" t="str">
        <f t="shared" si="133"/>
        <v/>
      </c>
      <c r="N703" s="12">
        <f t="shared" si="134"/>
        <v>1837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14</v>
      </c>
      <c r="C704" s="11" t="s">
        <v>334</v>
      </c>
      <c r="D704" s="11" t="s">
        <v>57</v>
      </c>
      <c r="E704" s="11" t="s">
        <v>26</v>
      </c>
      <c r="F704" s="11" t="s">
        <v>335</v>
      </c>
      <c r="G704" s="12">
        <v>1848</v>
      </c>
      <c r="H704" s="12"/>
      <c r="I704" s="12"/>
      <c r="J704" s="12">
        <v>1798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1798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390</v>
      </c>
      <c r="D705" s="15" t="s">
        <v>60</v>
      </c>
      <c r="E705" s="11" t="s">
        <v>26</v>
      </c>
      <c r="F705" s="11" t="s">
        <v>391</v>
      </c>
      <c r="G705" s="12">
        <v>1848</v>
      </c>
      <c r="H705" s="12"/>
      <c r="I705" s="12"/>
      <c r="J705" s="12">
        <v>1818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1818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14</v>
      </c>
      <c r="C706" s="11" t="s">
        <v>97</v>
      </c>
      <c r="D706" s="15" t="s">
        <v>60</v>
      </c>
      <c r="E706" s="11" t="s">
        <v>26</v>
      </c>
      <c r="F706" s="11" t="s">
        <v>98</v>
      </c>
      <c r="G706" s="12">
        <v>1848</v>
      </c>
      <c r="H706" s="12"/>
      <c r="I706" s="12"/>
      <c r="J706" s="12">
        <v>1824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1824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8</v>
      </c>
      <c r="C707" s="11" t="s">
        <v>1090</v>
      </c>
      <c r="D707" s="15" t="s">
        <v>45</v>
      </c>
      <c r="E707" s="11" t="s">
        <v>26</v>
      </c>
      <c r="F707" s="11" t="s">
        <v>1091</v>
      </c>
      <c r="G707" s="12">
        <v>1848</v>
      </c>
      <c r="H707" s="12"/>
      <c r="I707" s="12"/>
      <c r="J707" s="12">
        <v>1828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1828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1609</v>
      </c>
      <c r="D708" s="15" t="s">
        <v>80</v>
      </c>
      <c r="E708" s="11" t="s">
        <v>61</v>
      </c>
      <c r="F708" s="11" t="s">
        <v>1610</v>
      </c>
      <c r="G708" s="12">
        <v>1848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10</v>
      </c>
      <c r="C709" s="11" t="s">
        <v>898</v>
      </c>
      <c r="D709" s="15" t="s">
        <v>45</v>
      </c>
      <c r="E709" s="11" t="s">
        <v>26</v>
      </c>
      <c r="F709" s="11" t="s">
        <v>899</v>
      </c>
      <c r="G709" s="12">
        <v>1848</v>
      </c>
      <c r="H709" s="12"/>
      <c r="I709" s="12"/>
      <c r="J709" s="12">
        <v>1838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1838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16" customFormat="1" ht="28.5" customHeight="1">
      <c r="A710" s="11" t="str">
        <f t="shared" si="130"/>
        <v/>
      </c>
      <c r="B710" s="11" t="s">
        <v>12</v>
      </c>
      <c r="C710" s="11" t="s">
        <v>676</v>
      </c>
      <c r="D710" s="15" t="s">
        <v>71</v>
      </c>
      <c r="E710" s="11" t="s">
        <v>61</v>
      </c>
      <c r="F710" s="11" t="s">
        <v>677</v>
      </c>
      <c r="G710" s="12">
        <v>1848</v>
      </c>
      <c r="H710" s="12"/>
      <c r="I710" s="12"/>
      <c r="J710" s="12">
        <v>1845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1845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1476</v>
      </c>
      <c r="D711" s="15" t="s">
        <v>71</v>
      </c>
      <c r="E711" s="11" t="s">
        <v>26</v>
      </c>
      <c r="F711" s="11" t="s">
        <v>1477</v>
      </c>
      <c r="G711" s="12">
        <v>1848</v>
      </c>
      <c r="H711" s="12"/>
      <c r="I711" s="12"/>
      <c r="J711" s="12">
        <v>1848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1848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16" customFormat="1" ht="28.5" customHeight="1">
      <c r="A712" s="11" t="str">
        <f t="shared" si="130"/>
        <v/>
      </c>
      <c r="B712" s="11" t="s">
        <v>10</v>
      </c>
      <c r="C712" s="11" t="s">
        <v>537</v>
      </c>
      <c r="D712" s="11" t="s">
        <v>48</v>
      </c>
      <c r="E712" s="11" t="s">
        <v>61</v>
      </c>
      <c r="F712" s="11" t="s">
        <v>538</v>
      </c>
      <c r="G712" s="12">
        <v>1848</v>
      </c>
      <c r="H712" s="12"/>
      <c r="I712" s="12"/>
      <c r="J712" s="12">
        <v>1849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1849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18</v>
      </c>
      <c r="C713" s="11" t="s">
        <v>1031</v>
      </c>
      <c r="D713" s="15" t="s">
        <v>80</v>
      </c>
      <c r="E713" s="11" t="s">
        <v>26</v>
      </c>
      <c r="F713" s="11" t="s">
        <v>1032</v>
      </c>
      <c r="G713" s="12">
        <v>1849</v>
      </c>
      <c r="H713" s="12"/>
      <c r="I713" s="12"/>
      <c r="J713" s="12">
        <v>1799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1799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16" customFormat="1" ht="28.5" customHeight="1">
      <c r="A714" s="11" t="str">
        <f t="shared" si="130"/>
        <v/>
      </c>
      <c r="B714" s="11" t="s">
        <v>6</v>
      </c>
      <c r="C714" s="11" t="s">
        <v>296</v>
      </c>
      <c r="D714" s="15" t="s">
        <v>45</v>
      </c>
      <c r="E714" s="11" t="s">
        <v>61</v>
      </c>
      <c r="F714" s="11" t="s">
        <v>297</v>
      </c>
      <c r="G714" s="12">
        <v>1849</v>
      </c>
      <c r="H714" s="12"/>
      <c r="I714" s="12"/>
      <c r="J714" s="12">
        <v>1814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1814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14</v>
      </c>
      <c r="C715" s="11" t="s">
        <v>696</v>
      </c>
      <c r="D715" s="11" t="s">
        <v>71</v>
      </c>
      <c r="E715" s="11" t="s">
        <v>61</v>
      </c>
      <c r="F715" s="11" t="s">
        <v>697</v>
      </c>
      <c r="G715" s="12">
        <v>1849</v>
      </c>
      <c r="H715" s="12"/>
      <c r="I715" s="12"/>
      <c r="J715" s="12">
        <v>1829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1829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940</v>
      </c>
      <c r="D716" s="15" t="s">
        <v>71</v>
      </c>
      <c r="E716" s="11" t="s">
        <v>26</v>
      </c>
      <c r="F716" s="11" t="s">
        <v>941</v>
      </c>
      <c r="G716" s="12">
        <v>1849</v>
      </c>
      <c r="H716" s="12"/>
      <c r="I716" s="12"/>
      <c r="J716" s="12">
        <v>1829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1829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7" customFormat="1" ht="28.5" customHeight="1">
      <c r="A717" s="11" t="str">
        <f t="shared" si="130"/>
        <v/>
      </c>
      <c r="B717" s="11" t="s">
        <v>10</v>
      </c>
      <c r="C717" s="11" t="s">
        <v>1634</v>
      </c>
      <c r="D717" s="15" t="s">
        <v>45</v>
      </c>
      <c r="E717" s="11" t="s">
        <v>26</v>
      </c>
      <c r="F717" s="11" t="s">
        <v>1635</v>
      </c>
      <c r="G717" s="12">
        <v>1849</v>
      </c>
      <c r="H717" s="12"/>
      <c r="I717" s="12"/>
      <c r="J717" s="12">
        <v>1829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1829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6</v>
      </c>
      <c r="C718" s="11" t="s">
        <v>710</v>
      </c>
      <c r="D718" s="11" t="s">
        <v>57</v>
      </c>
      <c r="E718" s="11" t="s">
        <v>26</v>
      </c>
      <c r="F718" s="11" t="s">
        <v>711</v>
      </c>
      <c r="G718" s="12">
        <v>1849</v>
      </c>
      <c r="H718" s="12"/>
      <c r="I718" s="12"/>
      <c r="J718" s="12">
        <v>1834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1834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6</v>
      </c>
      <c r="C719" s="11" t="s">
        <v>486</v>
      </c>
      <c r="D719" s="11" t="s">
        <v>71</v>
      </c>
      <c r="E719" s="11" t="s">
        <v>26</v>
      </c>
      <c r="F719" s="11" t="s">
        <v>487</v>
      </c>
      <c r="G719" s="12">
        <v>1849</v>
      </c>
      <c r="H719" s="12"/>
      <c r="I719" s="12"/>
      <c r="J719" s="12">
        <v>1839</v>
      </c>
      <c r="K719" s="12">
        <f>IF(AND(IFERROR(SEARCH("현대오일뱅크",$C719),0)&gt;0,IFERROR(SEARCH("직영",$C719),0)&gt;0),$B$13,0)</f>
        <v>0</v>
      </c>
      <c r="L719" s="12">
        <f t="shared" ref="L719:L782" si="144">IF($G719="","",$G719+$K719)</f>
        <v>1849</v>
      </c>
      <c r="M719" s="12" t="str">
        <f t="shared" ref="M719:M782" si="145">IF($H719="","",$H719+$K719)</f>
        <v/>
      </c>
      <c r="N719" s="12">
        <f t="shared" ref="N719:N782" si="146">IF($J719="","",$J719+$K719)</f>
        <v>1839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1322</v>
      </c>
      <c r="D720" s="15" t="s">
        <v>71</v>
      </c>
      <c r="E720" s="11" t="s">
        <v>26</v>
      </c>
      <c r="F720" s="11" t="s">
        <v>1323</v>
      </c>
      <c r="G720" s="12">
        <v>1849</v>
      </c>
      <c r="H720" s="12"/>
      <c r="I720" s="12"/>
      <c r="J720" s="12">
        <v>1839</v>
      </c>
      <c r="K720" s="12">
        <f>IF(AND(IFERROR(SEARCH("현대오일뱅크",$C720),0)&gt;0,IFERROR(SEARCH("직영",$C720),0)&gt;0),$B$13,0)</f>
        <v>0</v>
      </c>
      <c r="L720" s="12">
        <f t="shared" si="144"/>
        <v>1849</v>
      </c>
      <c r="M720" s="12" t="str">
        <f t="shared" si="145"/>
        <v/>
      </c>
      <c r="N720" s="12">
        <f t="shared" si="146"/>
        <v>1839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2" customFormat="1" ht="28.5" customHeight="1">
      <c r="A721" s="11" t="str">
        <f t="shared" si="143"/>
        <v/>
      </c>
      <c r="B721" s="11" t="s">
        <v>10</v>
      </c>
      <c r="C721" s="11" t="s">
        <v>1157</v>
      </c>
      <c r="D721" s="11" t="s">
        <v>57</v>
      </c>
      <c r="E721" s="11" t="s">
        <v>61</v>
      </c>
      <c r="F721" s="11" t="s">
        <v>1158</v>
      </c>
      <c r="G721" s="12">
        <v>1849</v>
      </c>
      <c r="H721" s="12"/>
      <c r="I721" s="12"/>
      <c r="J721" s="12">
        <v>1839</v>
      </c>
      <c r="K721" s="12">
        <f>IF(AND(IFERROR(SEARCH("현대오일뱅크",$C721),0)&gt;0,IFERROR(SEARCH("직영",$C721),0)&gt;0),$B$13,0)</f>
        <v>0</v>
      </c>
      <c r="L721" s="12">
        <f t="shared" si="144"/>
        <v>1849</v>
      </c>
      <c r="M721" s="12" t="str">
        <f t="shared" si="145"/>
        <v/>
      </c>
      <c r="N721" s="12">
        <f t="shared" si="146"/>
        <v>1839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1199</v>
      </c>
      <c r="D722" s="15" t="s">
        <v>45</v>
      </c>
      <c r="E722" s="11" t="s">
        <v>26</v>
      </c>
      <c r="F722" s="11" t="s">
        <v>1200</v>
      </c>
      <c r="G722" s="12">
        <v>1850</v>
      </c>
      <c r="H722" s="12"/>
      <c r="I722" s="12"/>
      <c r="J722" s="12">
        <v>1840</v>
      </c>
      <c r="K722" s="12">
        <f>IF(AND(IFERROR(SEARCH("현대오일뱅크",$C722),0)&gt;0,IFERROR(SEARCH("직영",$C722),0)&gt;0),$B$13,0)</f>
        <v>0</v>
      </c>
      <c r="L722" s="12">
        <f t="shared" si="144"/>
        <v>1850</v>
      </c>
      <c r="M722" s="12" t="str">
        <f t="shared" si="145"/>
        <v/>
      </c>
      <c r="N722" s="12">
        <f t="shared" si="146"/>
        <v>1840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519</v>
      </c>
      <c r="D723" s="15" t="s">
        <v>80</v>
      </c>
      <c r="E723" s="11" t="s">
        <v>61</v>
      </c>
      <c r="F723" s="11" t="s">
        <v>520</v>
      </c>
      <c r="G723" s="12">
        <v>1850</v>
      </c>
      <c r="H723" s="12"/>
      <c r="I723" s="12"/>
      <c r="J723" s="12">
        <v>1850</v>
      </c>
      <c r="K723" s="12">
        <f>IF(AND(IFERROR(SEARCH("현대오일뱅크",$C723),0)&gt;0,IFERROR(SEARCH("직영",$C723),0)&gt;0),$B$13,0)</f>
        <v>0</v>
      </c>
      <c r="L723" s="12">
        <f t="shared" si="144"/>
        <v>1850</v>
      </c>
      <c r="M723" s="12" t="str">
        <f t="shared" si="145"/>
        <v/>
      </c>
      <c r="N723" s="12">
        <f t="shared" si="146"/>
        <v>1850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7" customFormat="1" ht="28.5" customHeight="1">
      <c r="A724" s="11" t="str">
        <f t="shared" si="143"/>
        <v/>
      </c>
      <c r="B724" s="11" t="s">
        <v>18</v>
      </c>
      <c r="C724" s="11" t="s">
        <v>188</v>
      </c>
      <c r="D724" s="15" t="s">
        <v>45</v>
      </c>
      <c r="E724" s="11" t="s">
        <v>61</v>
      </c>
      <c r="F724" s="11" t="s">
        <v>189</v>
      </c>
      <c r="G724" s="12">
        <v>1852</v>
      </c>
      <c r="H724" s="12"/>
      <c r="I724" s="12"/>
      <c r="J724" s="12">
        <v>1840</v>
      </c>
      <c r="K724" s="12">
        <v>0</v>
      </c>
      <c r="L724" s="12">
        <f t="shared" si="144"/>
        <v>1852</v>
      </c>
      <c r="M724" s="12" t="str">
        <f t="shared" si="145"/>
        <v/>
      </c>
      <c r="N724" s="12">
        <f t="shared" si="146"/>
        <v>1840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16" customFormat="1" ht="28.5" customHeight="1">
      <c r="A725" s="11" t="str">
        <f t="shared" si="143"/>
        <v/>
      </c>
      <c r="B725" s="11" t="s">
        <v>6</v>
      </c>
      <c r="C725" s="11" t="s">
        <v>468</v>
      </c>
      <c r="D725" s="11" t="s">
        <v>57</v>
      </c>
      <c r="E725" s="11" t="s">
        <v>26</v>
      </c>
      <c r="F725" s="11" t="s">
        <v>469</v>
      </c>
      <c r="G725" s="12">
        <v>1852</v>
      </c>
      <c r="H725" s="12"/>
      <c r="I725" s="12"/>
      <c r="J725" s="12">
        <v>1842</v>
      </c>
      <c r="K725" s="12">
        <f t="shared" ref="K725:K756" si="155">IF(AND(IFERROR(SEARCH("현대오일뱅크",$C725),0)&gt;0,IFERROR(SEARCH("직영",$C725),0)&gt;0),$B$13,0)</f>
        <v>0</v>
      </c>
      <c r="L725" s="12">
        <f t="shared" si="144"/>
        <v>1852</v>
      </c>
      <c r="M725" s="12" t="str">
        <f t="shared" si="145"/>
        <v/>
      </c>
      <c r="N725" s="12">
        <f t="shared" si="146"/>
        <v>1842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466</v>
      </c>
      <c r="D726" s="11" t="s">
        <v>57</v>
      </c>
      <c r="E726" s="11" t="s">
        <v>61</v>
      </c>
      <c r="F726" s="11" t="s">
        <v>467</v>
      </c>
      <c r="G726" s="12">
        <v>1852</v>
      </c>
      <c r="H726" s="12"/>
      <c r="I726" s="12"/>
      <c r="J726" s="12">
        <v>1842</v>
      </c>
      <c r="K726" s="12">
        <f t="shared" si="155"/>
        <v>0</v>
      </c>
      <c r="L726" s="12">
        <f t="shared" si="144"/>
        <v>1852</v>
      </c>
      <c r="M726" s="12" t="str">
        <f t="shared" si="145"/>
        <v/>
      </c>
      <c r="N726" s="12">
        <f t="shared" si="146"/>
        <v>1842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453</v>
      </c>
      <c r="D727" s="11" t="s">
        <v>95</v>
      </c>
      <c r="E727" s="11" t="s">
        <v>61</v>
      </c>
      <c r="F727" s="11" t="s">
        <v>456</v>
      </c>
      <c r="G727" s="12">
        <v>1853</v>
      </c>
      <c r="H727" s="12"/>
      <c r="I727" s="12"/>
      <c r="J727" s="12">
        <v>1823</v>
      </c>
      <c r="K727" s="12">
        <f t="shared" si="155"/>
        <v>0</v>
      </c>
      <c r="L727" s="12">
        <f t="shared" si="144"/>
        <v>1853</v>
      </c>
      <c r="M727" s="12" t="str">
        <f t="shared" si="145"/>
        <v/>
      </c>
      <c r="N727" s="12">
        <f t="shared" si="146"/>
        <v>1823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2" customFormat="1" ht="28.5" customHeight="1">
      <c r="A728" s="11" t="str">
        <f t="shared" si="143"/>
        <v/>
      </c>
      <c r="B728" s="11" t="s">
        <v>8</v>
      </c>
      <c r="C728" s="11" t="s">
        <v>1043</v>
      </c>
      <c r="D728" s="11" t="s">
        <v>48</v>
      </c>
      <c r="E728" s="11" t="s">
        <v>26</v>
      </c>
      <c r="F728" s="11" t="s">
        <v>1044</v>
      </c>
      <c r="G728" s="12">
        <v>1853</v>
      </c>
      <c r="H728" s="12"/>
      <c r="I728" s="12"/>
      <c r="J728" s="12">
        <v>1823</v>
      </c>
      <c r="K728" s="12">
        <f t="shared" si="155"/>
        <v>0</v>
      </c>
      <c r="L728" s="12">
        <f t="shared" si="144"/>
        <v>1853</v>
      </c>
      <c r="M728" s="12" t="str">
        <f t="shared" si="145"/>
        <v/>
      </c>
      <c r="N728" s="12">
        <f t="shared" si="146"/>
        <v>1823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7" customFormat="1" ht="28.5" customHeight="1">
      <c r="A729" s="11" t="str">
        <f t="shared" si="143"/>
        <v/>
      </c>
      <c r="B729" s="11" t="s">
        <v>10</v>
      </c>
      <c r="C729" s="11" t="s">
        <v>457</v>
      </c>
      <c r="D729" s="15" t="s">
        <v>80</v>
      </c>
      <c r="E729" s="11" t="s">
        <v>26</v>
      </c>
      <c r="F729" s="11" t="s">
        <v>458</v>
      </c>
      <c r="G729" s="12">
        <v>1853</v>
      </c>
      <c r="H729" s="12"/>
      <c r="I729" s="12"/>
      <c r="J729" s="12">
        <v>1833</v>
      </c>
      <c r="K729" s="12">
        <f t="shared" si="155"/>
        <v>0</v>
      </c>
      <c r="L729" s="12">
        <f t="shared" si="144"/>
        <v>1853</v>
      </c>
      <c r="M729" s="12" t="str">
        <f t="shared" si="145"/>
        <v/>
      </c>
      <c r="N729" s="12">
        <f t="shared" si="146"/>
        <v>1833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841</v>
      </c>
      <c r="D730" s="15" t="s">
        <v>80</v>
      </c>
      <c r="E730" s="11" t="s">
        <v>61</v>
      </c>
      <c r="F730" s="11" t="s">
        <v>842</v>
      </c>
      <c r="G730" s="12">
        <v>1854</v>
      </c>
      <c r="H730" s="12"/>
      <c r="I730" s="12"/>
      <c r="J730" s="12">
        <v>1828</v>
      </c>
      <c r="K730" s="12">
        <f t="shared" si="155"/>
        <v>0</v>
      </c>
      <c r="L730" s="12">
        <f t="shared" si="144"/>
        <v>1854</v>
      </c>
      <c r="M730" s="12" t="str">
        <f t="shared" si="145"/>
        <v/>
      </c>
      <c r="N730" s="12">
        <f t="shared" si="146"/>
        <v>1828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308</v>
      </c>
      <c r="D731" s="15" t="s">
        <v>45</v>
      </c>
      <c r="E731" s="11" t="s">
        <v>26</v>
      </c>
      <c r="F731" s="11" t="s">
        <v>309</v>
      </c>
      <c r="G731" s="12">
        <v>1854</v>
      </c>
      <c r="H731" s="12"/>
      <c r="I731" s="12"/>
      <c r="J731" s="12">
        <v>1834</v>
      </c>
      <c r="K731" s="12">
        <f t="shared" si="155"/>
        <v>0</v>
      </c>
      <c r="L731" s="12">
        <f t="shared" si="144"/>
        <v>1854</v>
      </c>
      <c r="M731" s="12" t="str">
        <f t="shared" si="145"/>
        <v/>
      </c>
      <c r="N731" s="12">
        <f t="shared" si="146"/>
        <v>1834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960</v>
      </c>
      <c r="D732" s="11" t="s">
        <v>57</v>
      </c>
      <c r="E732" s="11" t="s">
        <v>26</v>
      </c>
      <c r="F732" s="11" t="s">
        <v>961</v>
      </c>
      <c r="G732" s="12">
        <v>1854</v>
      </c>
      <c r="H732" s="12"/>
      <c r="I732" s="12"/>
      <c r="J732" s="12">
        <v>1842</v>
      </c>
      <c r="K732" s="12">
        <f t="shared" si="155"/>
        <v>0</v>
      </c>
      <c r="L732" s="12">
        <f t="shared" si="144"/>
        <v>1854</v>
      </c>
      <c r="M732" s="12" t="str">
        <f t="shared" si="145"/>
        <v/>
      </c>
      <c r="N732" s="12">
        <f t="shared" si="146"/>
        <v>1842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7" customFormat="1" ht="28.5" customHeight="1">
      <c r="A733" s="11" t="str">
        <f t="shared" si="143"/>
        <v/>
      </c>
      <c r="B733" s="11" t="s">
        <v>12</v>
      </c>
      <c r="C733" s="11" t="s">
        <v>1448</v>
      </c>
      <c r="D733" s="15" t="s">
        <v>60</v>
      </c>
      <c r="E733" s="11" t="s">
        <v>26</v>
      </c>
      <c r="F733" s="11" t="s">
        <v>1449</v>
      </c>
      <c r="G733" s="12">
        <v>1854</v>
      </c>
      <c r="H733" s="12"/>
      <c r="I733" s="12"/>
      <c r="J733" s="12">
        <v>1849</v>
      </c>
      <c r="K733" s="12">
        <f t="shared" si="155"/>
        <v>0</v>
      </c>
      <c r="L733" s="12">
        <f t="shared" si="144"/>
        <v>1854</v>
      </c>
      <c r="M733" s="12" t="str">
        <f t="shared" si="145"/>
        <v/>
      </c>
      <c r="N733" s="12">
        <f t="shared" si="146"/>
        <v>1849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16" customFormat="1" ht="28.5" customHeight="1">
      <c r="A734" s="11" t="str">
        <f t="shared" si="143"/>
        <v/>
      </c>
      <c r="B734" s="11" t="s">
        <v>12</v>
      </c>
      <c r="C734" s="11" t="s">
        <v>1474</v>
      </c>
      <c r="D734" s="15" t="s">
        <v>60</v>
      </c>
      <c r="E734" s="11" t="s">
        <v>26</v>
      </c>
      <c r="F734" s="11" t="s">
        <v>1475</v>
      </c>
      <c r="G734" s="12">
        <v>1854</v>
      </c>
      <c r="H734" s="12"/>
      <c r="I734" s="12"/>
      <c r="J734" s="12">
        <v>1849</v>
      </c>
      <c r="K734" s="12">
        <f t="shared" si="155"/>
        <v>0</v>
      </c>
      <c r="L734" s="12">
        <f t="shared" si="144"/>
        <v>1854</v>
      </c>
      <c r="M734" s="12" t="str">
        <f t="shared" si="145"/>
        <v/>
      </c>
      <c r="N734" s="12">
        <f t="shared" si="146"/>
        <v>1849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1051</v>
      </c>
      <c r="D735" s="15" t="s">
        <v>80</v>
      </c>
      <c r="E735" s="11" t="s">
        <v>26</v>
      </c>
      <c r="F735" s="11" t="s">
        <v>1052</v>
      </c>
      <c r="G735" s="12">
        <v>1855</v>
      </c>
      <c r="H735" s="12"/>
      <c r="I735" s="12"/>
      <c r="J735" s="12">
        <v>1825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1825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876</v>
      </c>
      <c r="D736" s="15" t="s">
        <v>60</v>
      </c>
      <c r="E736" s="11" t="s">
        <v>61</v>
      </c>
      <c r="F736" s="11" t="s">
        <v>877</v>
      </c>
      <c r="G736" s="12">
        <v>1855</v>
      </c>
      <c r="H736" s="12"/>
      <c r="I736" s="12"/>
      <c r="J736" s="12">
        <v>1825</v>
      </c>
      <c r="K736" s="12">
        <f t="shared" si="155"/>
        <v>0</v>
      </c>
      <c r="L736" s="12">
        <f t="shared" si="144"/>
        <v>1855</v>
      </c>
      <c r="M736" s="12" t="str">
        <f t="shared" si="145"/>
        <v/>
      </c>
      <c r="N736" s="12">
        <f t="shared" si="146"/>
        <v>1825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910</v>
      </c>
      <c r="D737" s="11" t="s">
        <v>57</v>
      </c>
      <c r="E737" s="11" t="s">
        <v>26</v>
      </c>
      <c r="F737" s="11" t="s">
        <v>911</v>
      </c>
      <c r="G737" s="12">
        <v>1855</v>
      </c>
      <c r="H737" s="12"/>
      <c r="I737" s="12"/>
      <c r="J737" s="12">
        <v>1825</v>
      </c>
      <c r="K737" s="12">
        <f t="shared" si="155"/>
        <v>0</v>
      </c>
      <c r="L737" s="12">
        <f t="shared" si="144"/>
        <v>1855</v>
      </c>
      <c r="M737" s="12" t="str">
        <f t="shared" si="145"/>
        <v/>
      </c>
      <c r="N737" s="12">
        <f t="shared" si="146"/>
        <v>1825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1191</v>
      </c>
      <c r="D738" s="11" t="s">
        <v>57</v>
      </c>
      <c r="E738" s="11" t="s">
        <v>26</v>
      </c>
      <c r="F738" s="11" t="s">
        <v>1192</v>
      </c>
      <c r="G738" s="12">
        <v>1855</v>
      </c>
      <c r="H738" s="12"/>
      <c r="I738" s="12"/>
      <c r="J738" s="12">
        <v>1825</v>
      </c>
      <c r="K738" s="12">
        <f t="shared" si="155"/>
        <v>0</v>
      </c>
      <c r="L738" s="12">
        <f t="shared" si="144"/>
        <v>1855</v>
      </c>
      <c r="M738" s="12" t="str">
        <f t="shared" si="145"/>
        <v/>
      </c>
      <c r="N738" s="12">
        <f t="shared" si="146"/>
        <v>1825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2" customFormat="1" ht="28.5" customHeight="1">
      <c r="A739" s="11" t="str">
        <f t="shared" si="143"/>
        <v/>
      </c>
      <c r="B739" s="11" t="s">
        <v>6</v>
      </c>
      <c r="C739" s="11" t="s">
        <v>604</v>
      </c>
      <c r="D739" s="11" t="s">
        <v>57</v>
      </c>
      <c r="E739" s="11" t="s">
        <v>26</v>
      </c>
      <c r="F739" s="11" t="s">
        <v>605</v>
      </c>
      <c r="G739" s="12">
        <v>1855</v>
      </c>
      <c r="H739" s="12"/>
      <c r="I739" s="12"/>
      <c r="J739" s="12">
        <v>1835</v>
      </c>
      <c r="K739" s="12">
        <f t="shared" si="155"/>
        <v>0</v>
      </c>
      <c r="L739" s="12">
        <f t="shared" si="144"/>
        <v>1855</v>
      </c>
      <c r="M739" s="12" t="str">
        <f t="shared" si="145"/>
        <v/>
      </c>
      <c r="N739" s="12">
        <f t="shared" si="146"/>
        <v>1835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2" customFormat="1" ht="28.5" customHeight="1">
      <c r="A740" s="11" t="str">
        <f t="shared" si="143"/>
        <v/>
      </c>
      <c r="B740" s="11" t="s">
        <v>14</v>
      </c>
      <c r="C740" s="11" t="s">
        <v>1423</v>
      </c>
      <c r="D740" s="15" t="s">
        <v>60</v>
      </c>
      <c r="E740" s="11" t="s">
        <v>61</v>
      </c>
      <c r="F740" s="11" t="s">
        <v>1425</v>
      </c>
      <c r="G740" s="12">
        <v>1855</v>
      </c>
      <c r="H740" s="12"/>
      <c r="I740" s="12"/>
      <c r="J740" s="12">
        <v>1835</v>
      </c>
      <c r="K740" s="12">
        <f t="shared" si="155"/>
        <v>0</v>
      </c>
      <c r="L740" s="12">
        <f t="shared" si="144"/>
        <v>1855</v>
      </c>
      <c r="M740" s="12" t="str">
        <f t="shared" si="145"/>
        <v/>
      </c>
      <c r="N740" s="12">
        <f t="shared" si="146"/>
        <v>1835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16" customFormat="1" ht="28.5" customHeight="1">
      <c r="A741" s="11" t="str">
        <f t="shared" si="143"/>
        <v/>
      </c>
      <c r="B741" s="11" t="s">
        <v>14</v>
      </c>
      <c r="C741" s="11" t="s">
        <v>492</v>
      </c>
      <c r="D741" s="15" t="s">
        <v>45</v>
      </c>
      <c r="E741" s="11" t="s">
        <v>26</v>
      </c>
      <c r="F741" s="11" t="s">
        <v>493</v>
      </c>
      <c r="G741" s="12">
        <v>1855</v>
      </c>
      <c r="H741" s="12"/>
      <c r="I741" s="12"/>
      <c r="J741" s="12">
        <v>1845</v>
      </c>
      <c r="K741" s="12">
        <f t="shared" si="155"/>
        <v>0</v>
      </c>
      <c r="L741" s="12">
        <f t="shared" si="144"/>
        <v>1855</v>
      </c>
      <c r="M741" s="12" t="str">
        <f t="shared" si="145"/>
        <v/>
      </c>
      <c r="N741" s="12">
        <f t="shared" si="146"/>
        <v>1845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7" customFormat="1" ht="28.5" customHeight="1">
      <c r="A742" s="11" t="str">
        <f t="shared" si="143"/>
        <v/>
      </c>
      <c r="B742" s="11" t="s">
        <v>8</v>
      </c>
      <c r="C742" s="11" t="s">
        <v>962</v>
      </c>
      <c r="D742" s="11" t="s">
        <v>71</v>
      </c>
      <c r="E742" s="11" t="s">
        <v>26</v>
      </c>
      <c r="F742" s="11" t="s">
        <v>963</v>
      </c>
      <c r="G742" s="12">
        <v>1855</v>
      </c>
      <c r="H742" s="12"/>
      <c r="I742" s="12"/>
      <c r="J742" s="12">
        <v>1846</v>
      </c>
      <c r="K742" s="12">
        <f t="shared" si="155"/>
        <v>0</v>
      </c>
      <c r="L742" s="12">
        <f t="shared" si="144"/>
        <v>1855</v>
      </c>
      <c r="M742" s="12" t="str">
        <f t="shared" si="145"/>
        <v/>
      </c>
      <c r="N742" s="12">
        <f t="shared" si="146"/>
        <v>1846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136</v>
      </c>
      <c r="D743" s="15" t="s">
        <v>45</v>
      </c>
      <c r="E743" s="11" t="s">
        <v>26</v>
      </c>
      <c r="F743" s="11" t="s">
        <v>137</v>
      </c>
      <c r="G743" s="12">
        <v>1855</v>
      </c>
      <c r="H743" s="12"/>
      <c r="I743" s="12"/>
      <c r="J743" s="12">
        <v>1855</v>
      </c>
      <c r="K743" s="12">
        <f t="shared" si="155"/>
        <v>0</v>
      </c>
      <c r="L743" s="12">
        <f t="shared" si="144"/>
        <v>1855</v>
      </c>
      <c r="M743" s="12" t="str">
        <f t="shared" si="145"/>
        <v/>
      </c>
      <c r="N743" s="12">
        <f t="shared" si="146"/>
        <v>1855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1034</v>
      </c>
      <c r="D744" s="15" t="s">
        <v>45</v>
      </c>
      <c r="E744" s="11" t="s">
        <v>61</v>
      </c>
      <c r="F744" s="11" t="s">
        <v>1035</v>
      </c>
      <c r="G744" s="12">
        <v>1856</v>
      </c>
      <c r="H744" s="12"/>
      <c r="I744" s="12"/>
      <c r="J744" s="12">
        <v>1856</v>
      </c>
      <c r="K744" s="12">
        <f t="shared" si="155"/>
        <v>0</v>
      </c>
      <c r="L744" s="12">
        <f t="shared" si="144"/>
        <v>1856</v>
      </c>
      <c r="M744" s="12" t="str">
        <f t="shared" si="145"/>
        <v/>
      </c>
      <c r="N744" s="12">
        <f t="shared" si="146"/>
        <v>1856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1693</v>
      </c>
      <c r="D745" s="15" t="s">
        <v>45</v>
      </c>
      <c r="E745" s="11" t="s">
        <v>61</v>
      </c>
      <c r="F745" s="11" t="s">
        <v>1694</v>
      </c>
      <c r="G745" s="12">
        <v>1856</v>
      </c>
      <c r="H745" s="12"/>
      <c r="I745" s="12"/>
      <c r="J745" s="12">
        <v>1856</v>
      </c>
      <c r="K745" s="12">
        <f t="shared" si="155"/>
        <v>0</v>
      </c>
      <c r="L745" s="12">
        <f t="shared" si="144"/>
        <v>1856</v>
      </c>
      <c r="M745" s="12" t="str">
        <f t="shared" si="145"/>
        <v/>
      </c>
      <c r="N745" s="12">
        <f t="shared" si="146"/>
        <v>1856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16" customFormat="1" ht="28.5" customHeight="1">
      <c r="A746" s="11" t="str">
        <f t="shared" si="143"/>
        <v/>
      </c>
      <c r="B746" s="11" t="s">
        <v>6</v>
      </c>
      <c r="C746" s="11" t="s">
        <v>653</v>
      </c>
      <c r="D746" s="15" t="s">
        <v>45</v>
      </c>
      <c r="E746" s="11" t="s">
        <v>26</v>
      </c>
      <c r="F746" s="11" t="s">
        <v>654</v>
      </c>
      <c r="G746" s="12">
        <v>1857</v>
      </c>
      <c r="H746" s="12"/>
      <c r="I746" s="12"/>
      <c r="J746" s="12">
        <v>1827</v>
      </c>
      <c r="K746" s="12">
        <f t="shared" si="155"/>
        <v>0</v>
      </c>
      <c r="L746" s="12">
        <f t="shared" si="144"/>
        <v>1857</v>
      </c>
      <c r="M746" s="12" t="str">
        <f t="shared" si="145"/>
        <v/>
      </c>
      <c r="N746" s="12">
        <f t="shared" si="146"/>
        <v>1827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1031</v>
      </c>
      <c r="D747" s="11" t="s">
        <v>57</v>
      </c>
      <c r="E747" s="11" t="s">
        <v>61</v>
      </c>
      <c r="F747" s="11" t="s">
        <v>1033</v>
      </c>
      <c r="G747" s="12">
        <v>1857</v>
      </c>
      <c r="H747" s="12"/>
      <c r="I747" s="12"/>
      <c r="J747" s="12">
        <v>1837</v>
      </c>
      <c r="K747" s="12">
        <f t="shared" si="155"/>
        <v>0</v>
      </c>
      <c r="L747" s="12">
        <f t="shared" si="144"/>
        <v>1857</v>
      </c>
      <c r="M747" s="12" t="str">
        <f t="shared" si="145"/>
        <v/>
      </c>
      <c r="N747" s="12">
        <f t="shared" si="146"/>
        <v>1837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1486</v>
      </c>
      <c r="D748" s="11" t="s">
        <v>57</v>
      </c>
      <c r="E748" s="11" t="s">
        <v>61</v>
      </c>
      <c r="F748" s="11" t="s">
        <v>1488</v>
      </c>
      <c r="G748" s="12">
        <v>1858</v>
      </c>
      <c r="H748" s="12"/>
      <c r="I748" s="12"/>
      <c r="J748" s="12">
        <v>1835</v>
      </c>
      <c r="K748" s="12">
        <f t="shared" si="155"/>
        <v>0</v>
      </c>
      <c r="L748" s="12">
        <f t="shared" si="144"/>
        <v>1858</v>
      </c>
      <c r="M748" s="12" t="str">
        <f t="shared" si="145"/>
        <v/>
      </c>
      <c r="N748" s="12">
        <f t="shared" si="146"/>
        <v>1835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1104</v>
      </c>
      <c r="D749" s="11" t="s">
        <v>57</v>
      </c>
      <c r="E749" s="11" t="s">
        <v>26</v>
      </c>
      <c r="F749" s="11" t="s">
        <v>1105</v>
      </c>
      <c r="G749" s="12">
        <v>1858</v>
      </c>
      <c r="H749" s="12"/>
      <c r="I749" s="12"/>
      <c r="J749" s="12">
        <v>1838</v>
      </c>
      <c r="K749" s="12">
        <f t="shared" si="155"/>
        <v>0</v>
      </c>
      <c r="L749" s="12">
        <f t="shared" si="144"/>
        <v>1858</v>
      </c>
      <c r="M749" s="12" t="str">
        <f t="shared" si="145"/>
        <v/>
      </c>
      <c r="N749" s="12">
        <f t="shared" si="146"/>
        <v>1838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5"/>
        <v>0</v>
      </c>
      <c r="L750" s="12">
        <f t="shared" si="144"/>
        <v>1858</v>
      </c>
      <c r="M750" s="12" t="str">
        <f t="shared" si="145"/>
        <v/>
      </c>
      <c r="N750" s="12">
        <f t="shared" si="146"/>
        <v>1838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539</v>
      </c>
      <c r="D751" s="15" t="s">
        <v>45</v>
      </c>
      <c r="E751" s="11" t="s">
        <v>26</v>
      </c>
      <c r="F751" s="11" t="s">
        <v>540</v>
      </c>
      <c r="G751" s="12">
        <v>1858</v>
      </c>
      <c r="H751" s="12"/>
      <c r="I751" s="12"/>
      <c r="J751" s="12">
        <v>1848</v>
      </c>
      <c r="K751" s="12">
        <f t="shared" si="155"/>
        <v>0</v>
      </c>
      <c r="L751" s="12">
        <f t="shared" si="144"/>
        <v>1858</v>
      </c>
      <c r="M751" s="12" t="str">
        <f t="shared" si="145"/>
        <v/>
      </c>
      <c r="N751" s="12">
        <f t="shared" si="146"/>
        <v>1848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1454</v>
      </c>
      <c r="D752" s="15" t="s">
        <v>60</v>
      </c>
      <c r="E752" s="11" t="s">
        <v>61</v>
      </c>
      <c r="F752" s="11" t="s">
        <v>1455</v>
      </c>
      <c r="G752" s="12">
        <v>1858</v>
      </c>
      <c r="H752" s="12"/>
      <c r="I752" s="12"/>
      <c r="J752" s="12">
        <v>1849</v>
      </c>
      <c r="K752" s="12">
        <f t="shared" si="155"/>
        <v>0</v>
      </c>
      <c r="L752" s="12">
        <f t="shared" si="144"/>
        <v>1858</v>
      </c>
      <c r="M752" s="12" t="str">
        <f t="shared" si="145"/>
        <v/>
      </c>
      <c r="N752" s="12">
        <f t="shared" si="146"/>
        <v>1849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140</v>
      </c>
      <c r="D753" s="15" t="s">
        <v>80</v>
      </c>
      <c r="E753" s="11" t="s">
        <v>26</v>
      </c>
      <c r="F753" s="11" t="s">
        <v>141</v>
      </c>
      <c r="G753" s="12">
        <v>1859</v>
      </c>
      <c r="H753" s="12"/>
      <c r="I753" s="12"/>
      <c r="J753" s="12">
        <v>1814</v>
      </c>
      <c r="K753" s="12">
        <f t="shared" si="155"/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1814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7" customFormat="1" ht="28.5" customHeight="1">
      <c r="A754" s="11" t="str">
        <f t="shared" si="143"/>
        <v/>
      </c>
      <c r="B754" s="11" t="s">
        <v>16</v>
      </c>
      <c r="C754" s="11" t="s">
        <v>1036</v>
      </c>
      <c r="D754" s="11" t="s">
        <v>57</v>
      </c>
      <c r="E754" s="11" t="s">
        <v>61</v>
      </c>
      <c r="F754" s="11" t="s">
        <v>1037</v>
      </c>
      <c r="G754" s="12">
        <v>1859</v>
      </c>
      <c r="H754" s="12"/>
      <c r="I754" s="12"/>
      <c r="J754" s="12">
        <v>1819</v>
      </c>
      <c r="K754" s="12">
        <f t="shared" si="155"/>
        <v>0</v>
      </c>
      <c r="L754" s="12">
        <f t="shared" si="144"/>
        <v>1859</v>
      </c>
      <c r="M754" s="12" t="str">
        <f t="shared" si="145"/>
        <v/>
      </c>
      <c r="N754" s="12">
        <f t="shared" si="146"/>
        <v>1819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7" customFormat="1" ht="28.5" customHeight="1">
      <c r="A755" s="11" t="str">
        <f t="shared" si="143"/>
        <v/>
      </c>
      <c r="B755" s="11" t="s">
        <v>18</v>
      </c>
      <c r="C755" s="11" t="s">
        <v>1628</v>
      </c>
      <c r="D755" s="11" t="s">
        <v>57</v>
      </c>
      <c r="E755" s="11" t="s">
        <v>61</v>
      </c>
      <c r="F755" s="11" t="s">
        <v>1629</v>
      </c>
      <c r="G755" s="12">
        <v>1859</v>
      </c>
      <c r="H755" s="12"/>
      <c r="I755" s="12"/>
      <c r="J755" s="12">
        <v>1820</v>
      </c>
      <c r="K755" s="12">
        <f t="shared" si="155"/>
        <v>0</v>
      </c>
      <c r="L755" s="12">
        <f t="shared" si="144"/>
        <v>1859</v>
      </c>
      <c r="M755" s="12" t="str">
        <f t="shared" si="145"/>
        <v/>
      </c>
      <c r="N755" s="12">
        <f t="shared" si="146"/>
        <v>1820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7" customFormat="1" ht="28.5" customHeight="1">
      <c r="A756" s="11" t="str">
        <f t="shared" si="143"/>
        <v/>
      </c>
      <c r="B756" s="11" t="s">
        <v>6</v>
      </c>
      <c r="C756" s="11" t="s">
        <v>545</v>
      </c>
      <c r="D756" s="11" t="s">
        <v>57</v>
      </c>
      <c r="E756" s="11" t="s">
        <v>61</v>
      </c>
      <c r="F756" s="11" t="s">
        <v>546</v>
      </c>
      <c r="G756" s="12">
        <v>1859</v>
      </c>
      <c r="H756" s="12"/>
      <c r="I756" s="12"/>
      <c r="J756" s="12">
        <v>1839</v>
      </c>
      <c r="K756" s="12">
        <f t="shared" si="155"/>
        <v>0</v>
      </c>
      <c r="L756" s="12">
        <f t="shared" si="144"/>
        <v>1859</v>
      </c>
      <c r="M756" s="12" t="str">
        <f t="shared" si="145"/>
        <v/>
      </c>
      <c r="N756" s="12">
        <f t="shared" si="146"/>
        <v>1839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870</v>
      </c>
      <c r="D757" s="15" t="s">
        <v>45</v>
      </c>
      <c r="E757" s="11" t="s">
        <v>61</v>
      </c>
      <c r="F757" s="11" t="s">
        <v>871</v>
      </c>
      <c r="G757" s="12">
        <v>1859</v>
      </c>
      <c r="H757" s="12"/>
      <c r="I757" s="12"/>
      <c r="J757" s="12">
        <v>1839</v>
      </c>
      <c r="K757" s="12">
        <f t="shared" ref="K757:K765" si="156">IF(AND(IFERROR(SEARCH("현대오일뱅크",$C757),0)&gt;0,IFERROR(SEARCH("직영",$C757),0)&gt;0),$B$13,0)</f>
        <v>0</v>
      </c>
      <c r="L757" s="12">
        <f t="shared" si="144"/>
        <v>1859</v>
      </c>
      <c r="M757" s="12" t="str">
        <f t="shared" si="145"/>
        <v/>
      </c>
      <c r="N757" s="12">
        <f t="shared" si="146"/>
        <v>1839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2" customFormat="1" ht="28.5" customHeight="1">
      <c r="A758" s="11" t="str">
        <f t="shared" si="143"/>
        <v/>
      </c>
      <c r="B758" s="11" t="s">
        <v>12</v>
      </c>
      <c r="C758" s="11" t="s">
        <v>818</v>
      </c>
      <c r="D758" s="15" t="s">
        <v>57</v>
      </c>
      <c r="E758" s="11" t="s">
        <v>26</v>
      </c>
      <c r="F758" s="11" t="s">
        <v>819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4"/>
        <v>1859</v>
      </c>
      <c r="M758" s="12" t="str">
        <f t="shared" si="145"/>
        <v/>
      </c>
      <c r="N758" s="12">
        <f t="shared" si="146"/>
        <v>1849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170</v>
      </c>
      <c r="D759" s="11" t="s">
        <v>57</v>
      </c>
      <c r="E759" s="11" t="s">
        <v>26</v>
      </c>
      <c r="F759" s="11" t="s">
        <v>171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4"/>
        <v>1859</v>
      </c>
      <c r="M759" s="12" t="str">
        <f t="shared" si="145"/>
        <v/>
      </c>
      <c r="N759" s="12">
        <f t="shared" si="146"/>
        <v>1849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7" customFormat="1" ht="28.5" customHeight="1">
      <c r="A760" s="11" t="str">
        <f t="shared" si="143"/>
        <v/>
      </c>
      <c r="B760" s="11" t="s">
        <v>10</v>
      </c>
      <c r="C760" s="11" t="s">
        <v>1539</v>
      </c>
      <c r="D760" s="11" t="s">
        <v>71</v>
      </c>
      <c r="E760" s="11" t="s">
        <v>61</v>
      </c>
      <c r="F760" s="11" t="s">
        <v>1540</v>
      </c>
      <c r="G760" s="12">
        <v>1859</v>
      </c>
      <c r="H760" s="12"/>
      <c r="I760" s="12"/>
      <c r="J760" s="12">
        <v>1849</v>
      </c>
      <c r="K760" s="12">
        <f t="shared" si="156"/>
        <v>0</v>
      </c>
      <c r="L760" s="12">
        <f t="shared" si="144"/>
        <v>1859</v>
      </c>
      <c r="M760" s="12" t="str">
        <f t="shared" si="145"/>
        <v/>
      </c>
      <c r="N760" s="12">
        <f t="shared" si="146"/>
        <v>1849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348</v>
      </c>
      <c r="D761" s="15" t="s">
        <v>45</v>
      </c>
      <c r="E761" s="11" t="s">
        <v>26</v>
      </c>
      <c r="F761" s="11" t="s">
        <v>349</v>
      </c>
      <c r="G761" s="12">
        <v>1859</v>
      </c>
      <c r="H761" s="12"/>
      <c r="I761" s="12"/>
      <c r="J761" s="12">
        <v>1869</v>
      </c>
      <c r="K761" s="12">
        <f t="shared" si="156"/>
        <v>0</v>
      </c>
      <c r="L761" s="12">
        <f t="shared" si="144"/>
        <v>1859</v>
      </c>
      <c r="M761" s="12" t="str">
        <f t="shared" si="145"/>
        <v/>
      </c>
      <c r="N761" s="12">
        <f t="shared" si="146"/>
        <v>1869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7" customFormat="1" ht="28.5" customHeight="1">
      <c r="A762" s="11" t="str">
        <f t="shared" si="143"/>
        <v/>
      </c>
      <c r="B762" s="11" t="s">
        <v>14</v>
      </c>
      <c r="C762" s="11" t="s">
        <v>1650</v>
      </c>
      <c r="D762" s="11" t="s">
        <v>57</v>
      </c>
      <c r="E762" s="11" t="s">
        <v>26</v>
      </c>
      <c r="F762" s="11" t="s">
        <v>1651</v>
      </c>
      <c r="G762" s="12">
        <v>1859</v>
      </c>
      <c r="H762" s="12"/>
      <c r="I762" s="12"/>
      <c r="J762" s="12">
        <v>1869</v>
      </c>
      <c r="K762" s="12">
        <f t="shared" si="156"/>
        <v>0</v>
      </c>
      <c r="L762" s="12">
        <f t="shared" si="144"/>
        <v>1859</v>
      </c>
      <c r="M762" s="12" t="str">
        <f t="shared" si="145"/>
        <v/>
      </c>
      <c r="N762" s="12">
        <f t="shared" si="146"/>
        <v>1869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7" customFormat="1" ht="28.5" customHeight="1">
      <c r="A763" s="11" t="str">
        <f t="shared" si="143"/>
        <v/>
      </c>
      <c r="B763" s="11" t="s">
        <v>16</v>
      </c>
      <c r="C763" s="11" t="s">
        <v>612</v>
      </c>
      <c r="D763" s="15" t="s">
        <v>45</v>
      </c>
      <c r="E763" s="11" t="s">
        <v>26</v>
      </c>
      <c r="F763" s="11" t="s">
        <v>613</v>
      </c>
      <c r="G763" s="12">
        <v>1860</v>
      </c>
      <c r="H763" s="12"/>
      <c r="I763" s="12"/>
      <c r="J763" s="12">
        <v>1820</v>
      </c>
      <c r="K763" s="12">
        <f t="shared" si="156"/>
        <v>0</v>
      </c>
      <c r="L763" s="12">
        <f t="shared" si="144"/>
        <v>1860</v>
      </c>
      <c r="M763" s="12" t="str">
        <f t="shared" si="145"/>
        <v/>
      </c>
      <c r="N763" s="12">
        <f t="shared" si="146"/>
        <v>1820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1525</v>
      </c>
      <c r="D764" s="11" t="s">
        <v>71</v>
      </c>
      <c r="E764" s="11" t="s">
        <v>61</v>
      </c>
      <c r="F764" s="11" t="s">
        <v>1526</v>
      </c>
      <c r="G764" s="12">
        <v>1860</v>
      </c>
      <c r="H764" s="12"/>
      <c r="I764" s="12"/>
      <c r="J764" s="12">
        <v>1820</v>
      </c>
      <c r="K764" s="12">
        <f t="shared" si="156"/>
        <v>0</v>
      </c>
      <c r="L764" s="12">
        <f t="shared" si="144"/>
        <v>1860</v>
      </c>
      <c r="M764" s="12" t="str">
        <f t="shared" si="145"/>
        <v/>
      </c>
      <c r="N764" s="12">
        <f t="shared" si="146"/>
        <v>1820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1213</v>
      </c>
      <c r="D765" s="15" t="s">
        <v>45</v>
      </c>
      <c r="E765" s="11" t="s">
        <v>26</v>
      </c>
      <c r="F765" s="11" t="s">
        <v>1214</v>
      </c>
      <c r="G765" s="12">
        <v>1860</v>
      </c>
      <c r="H765" s="12"/>
      <c r="I765" s="12"/>
      <c r="J765" s="12">
        <v>1830</v>
      </c>
      <c r="K765" s="12">
        <f t="shared" si="156"/>
        <v>0</v>
      </c>
      <c r="L765" s="12">
        <f t="shared" si="144"/>
        <v>1860</v>
      </c>
      <c r="M765" s="12" t="str">
        <f t="shared" si="145"/>
        <v/>
      </c>
      <c r="N765" s="12">
        <f t="shared" si="146"/>
        <v>1830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2" customFormat="1" ht="28.5" customHeight="1">
      <c r="A766" s="11" t="str">
        <f t="shared" si="143"/>
        <v/>
      </c>
      <c r="B766" s="11" t="s">
        <v>10</v>
      </c>
      <c r="C766" s="11" t="s">
        <v>226</v>
      </c>
      <c r="D766" s="15" t="s">
        <v>45</v>
      </c>
      <c r="E766" s="11" t="s">
        <v>26</v>
      </c>
      <c r="F766" s="11" t="s">
        <v>227</v>
      </c>
      <c r="G766" s="12">
        <v>1864</v>
      </c>
      <c r="H766" s="12"/>
      <c r="I766" s="12"/>
      <c r="J766" s="12">
        <v>1854</v>
      </c>
      <c r="K766" s="12">
        <v>0</v>
      </c>
      <c r="L766" s="12">
        <f t="shared" si="144"/>
        <v>1864</v>
      </c>
      <c r="M766" s="12" t="str">
        <f t="shared" si="145"/>
        <v/>
      </c>
      <c r="N766" s="12">
        <f t="shared" si="146"/>
        <v>1854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1662</v>
      </c>
      <c r="D767" s="11" t="s">
        <v>57</v>
      </c>
      <c r="E767" s="11" t="s">
        <v>26</v>
      </c>
      <c r="F767" s="11" t="s">
        <v>1663</v>
      </c>
      <c r="G767" s="12">
        <v>1865</v>
      </c>
      <c r="H767" s="12"/>
      <c r="I767" s="12"/>
      <c r="J767" s="12">
        <v>1825</v>
      </c>
      <c r="K767" s="12">
        <f>IF(AND(IFERROR(SEARCH("현대오일뱅크",$C767),0)&gt;0,IFERROR(SEARCH("직영",$C767),0)&gt;0),$B$13,0)</f>
        <v>0</v>
      </c>
      <c r="L767" s="12">
        <f t="shared" si="144"/>
        <v>1865</v>
      </c>
      <c r="M767" s="12" t="str">
        <f t="shared" si="145"/>
        <v/>
      </c>
      <c r="N767" s="12">
        <f t="shared" si="146"/>
        <v>1825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2" customFormat="1" ht="28.5" customHeight="1">
      <c r="A768" s="11" t="str">
        <f t="shared" si="143"/>
        <v/>
      </c>
      <c r="B768" s="11" t="s">
        <v>12</v>
      </c>
      <c r="C768" s="11" t="s">
        <v>799</v>
      </c>
      <c r="D768" s="15" t="s">
        <v>45</v>
      </c>
      <c r="E768" s="11" t="s">
        <v>26</v>
      </c>
      <c r="F768" s="11" t="s">
        <v>800</v>
      </c>
      <c r="G768" s="12">
        <v>1865</v>
      </c>
      <c r="H768" s="12"/>
      <c r="I768" s="12"/>
      <c r="J768" s="12">
        <v>1845</v>
      </c>
      <c r="K768" s="12">
        <f>IF(AND(IFERROR(SEARCH("현대오일뱅크",$C768),0)&gt;0,IFERROR(SEARCH("직영",$C768),0)&gt;0),$B$13,0)</f>
        <v>0</v>
      </c>
      <c r="L768" s="12">
        <f t="shared" si="144"/>
        <v>1865</v>
      </c>
      <c r="M768" s="12" t="str">
        <f t="shared" si="145"/>
        <v/>
      </c>
      <c r="N768" s="12">
        <f t="shared" si="146"/>
        <v>1845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1695</v>
      </c>
      <c r="D769" s="15" t="s">
        <v>45</v>
      </c>
      <c r="E769" s="11" t="s">
        <v>61</v>
      </c>
      <c r="F769" s="11" t="s">
        <v>1696</v>
      </c>
      <c r="G769" s="12">
        <v>1866</v>
      </c>
      <c r="H769" s="12"/>
      <c r="I769" s="12"/>
      <c r="J769" s="12">
        <v>1850</v>
      </c>
      <c r="K769" s="12">
        <v>0</v>
      </c>
      <c r="L769" s="12">
        <f t="shared" si="144"/>
        <v>1866</v>
      </c>
      <c r="M769" s="12" t="str">
        <f t="shared" si="145"/>
        <v/>
      </c>
      <c r="N769" s="12">
        <f t="shared" si="146"/>
        <v>1850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7" customFormat="1" ht="28.5" customHeight="1">
      <c r="A770" s="11" t="str">
        <f t="shared" si="143"/>
        <v/>
      </c>
      <c r="B770" s="11" t="s">
        <v>14</v>
      </c>
      <c r="C770" s="11" t="s">
        <v>1478</v>
      </c>
      <c r="D770" s="15" t="s">
        <v>80</v>
      </c>
      <c r="E770" s="11" t="s">
        <v>26</v>
      </c>
      <c r="F770" s="11" t="s">
        <v>1479</v>
      </c>
      <c r="G770" s="12">
        <v>1867</v>
      </c>
      <c r="H770" s="12"/>
      <c r="I770" s="12"/>
      <c r="J770" s="12">
        <v>1853</v>
      </c>
      <c r="K770" s="12">
        <f t="shared" ref="K770:K788" si="157">IF(AND(IFERROR(SEARCH("현대오일뱅크",$C770),0)&gt;0,IFERROR(SEARCH("직영",$C770),0)&gt;0),$B$13,0)</f>
        <v>0</v>
      </c>
      <c r="L770" s="12">
        <f t="shared" si="144"/>
        <v>1867</v>
      </c>
      <c r="M770" s="12" t="str">
        <f t="shared" si="145"/>
        <v/>
      </c>
      <c r="N770" s="12">
        <f t="shared" si="146"/>
        <v>1853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1619</v>
      </c>
      <c r="D771" s="15" t="s">
        <v>45</v>
      </c>
      <c r="E771" s="11" t="s">
        <v>26</v>
      </c>
      <c r="F771" s="11" t="s">
        <v>1620</v>
      </c>
      <c r="G771" s="12">
        <v>1867</v>
      </c>
      <c r="H771" s="12"/>
      <c r="I771" s="12"/>
      <c r="J771" s="12">
        <v>1867</v>
      </c>
      <c r="K771" s="12">
        <f t="shared" si="157"/>
        <v>0</v>
      </c>
      <c r="L771" s="12">
        <f t="shared" si="144"/>
        <v>1867</v>
      </c>
      <c r="M771" s="12" t="str">
        <f t="shared" si="145"/>
        <v/>
      </c>
      <c r="N771" s="12">
        <f t="shared" si="146"/>
        <v>1867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1358</v>
      </c>
      <c r="D772" s="11" t="s">
        <v>71</v>
      </c>
      <c r="E772" s="11" t="s">
        <v>61</v>
      </c>
      <c r="F772" s="11" t="s">
        <v>1359</v>
      </c>
      <c r="G772" s="12">
        <v>1868</v>
      </c>
      <c r="H772" s="12"/>
      <c r="I772" s="12"/>
      <c r="J772" s="12">
        <v>1838</v>
      </c>
      <c r="K772" s="12">
        <f t="shared" si="157"/>
        <v>0</v>
      </c>
      <c r="L772" s="12">
        <f t="shared" si="144"/>
        <v>1868</v>
      </c>
      <c r="M772" s="12" t="str">
        <f t="shared" si="145"/>
        <v/>
      </c>
      <c r="N772" s="12">
        <f t="shared" si="146"/>
        <v>1838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1239</v>
      </c>
      <c r="D773" s="15" t="s">
        <v>57</v>
      </c>
      <c r="E773" s="11" t="s">
        <v>61</v>
      </c>
      <c r="F773" s="11" t="s">
        <v>1240</v>
      </c>
      <c r="G773" s="12">
        <v>1868</v>
      </c>
      <c r="H773" s="12"/>
      <c r="I773" s="12"/>
      <c r="J773" s="12">
        <v>1848</v>
      </c>
      <c r="K773" s="12">
        <f t="shared" si="157"/>
        <v>0</v>
      </c>
      <c r="L773" s="12">
        <f t="shared" si="144"/>
        <v>1868</v>
      </c>
      <c r="M773" s="12" t="str">
        <f t="shared" si="145"/>
        <v/>
      </c>
      <c r="N773" s="12">
        <f t="shared" si="146"/>
        <v>1848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16" customFormat="1" ht="28.5" customHeight="1">
      <c r="A774" s="11" t="str">
        <f t="shared" si="143"/>
        <v/>
      </c>
      <c r="B774" s="11" t="s">
        <v>18</v>
      </c>
      <c r="C774" s="11" t="s">
        <v>358</v>
      </c>
      <c r="D774" s="11" t="s">
        <v>57</v>
      </c>
      <c r="E774" s="11" t="s">
        <v>26</v>
      </c>
      <c r="F774" s="11" t="s">
        <v>359</v>
      </c>
      <c r="G774" s="12">
        <v>1869</v>
      </c>
      <c r="H774" s="12"/>
      <c r="I774" s="12"/>
      <c r="J774" s="12">
        <v>1833</v>
      </c>
      <c r="K774" s="12">
        <f t="shared" si="157"/>
        <v>0</v>
      </c>
      <c r="L774" s="12">
        <f t="shared" si="144"/>
        <v>1869</v>
      </c>
      <c r="M774" s="12" t="str">
        <f t="shared" si="145"/>
        <v/>
      </c>
      <c r="N774" s="12">
        <f t="shared" si="146"/>
        <v>1833</v>
      </c>
      <c r="O774" s="12" t="str">
        <f t="shared" si="147"/>
        <v/>
      </c>
      <c r="P774" s="12" t="str">
        <f t="shared" si="148"/>
        <v/>
      </c>
      <c r="Q774" s="12"/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360</v>
      </c>
      <c r="D775" s="11" t="s">
        <v>57</v>
      </c>
      <c r="E775" s="11" t="s">
        <v>26</v>
      </c>
      <c r="F775" s="11" t="s">
        <v>361</v>
      </c>
      <c r="G775" s="12">
        <v>1869</v>
      </c>
      <c r="H775" s="12"/>
      <c r="I775" s="12"/>
      <c r="J775" s="12">
        <v>1833</v>
      </c>
      <c r="K775" s="12">
        <f t="shared" si="157"/>
        <v>0</v>
      </c>
      <c r="L775" s="12">
        <f t="shared" si="144"/>
        <v>1869</v>
      </c>
      <c r="M775" s="12" t="str">
        <f t="shared" si="145"/>
        <v/>
      </c>
      <c r="N775" s="12">
        <f t="shared" si="146"/>
        <v>1833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1354</v>
      </c>
      <c r="D776" s="11" t="s">
        <v>57</v>
      </c>
      <c r="E776" s="11" t="s">
        <v>26</v>
      </c>
      <c r="F776" s="11" t="s">
        <v>1355</v>
      </c>
      <c r="G776" s="12">
        <v>1869</v>
      </c>
      <c r="H776" s="12"/>
      <c r="I776" s="12"/>
      <c r="J776" s="12">
        <v>1834</v>
      </c>
      <c r="K776" s="12">
        <f t="shared" si="157"/>
        <v>0</v>
      </c>
      <c r="L776" s="12">
        <f t="shared" si="144"/>
        <v>1869</v>
      </c>
      <c r="M776" s="12" t="str">
        <f t="shared" si="145"/>
        <v/>
      </c>
      <c r="N776" s="12">
        <f t="shared" si="146"/>
        <v>1834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1282</v>
      </c>
      <c r="D777" s="15" t="s">
        <v>45</v>
      </c>
      <c r="E777" s="11" t="s">
        <v>61</v>
      </c>
      <c r="F777" s="11" t="s">
        <v>1283</v>
      </c>
      <c r="G777" s="12">
        <v>1869</v>
      </c>
      <c r="H777" s="12"/>
      <c r="I777" s="12"/>
      <c r="J777" s="12">
        <v>1839</v>
      </c>
      <c r="K777" s="12">
        <f t="shared" si="157"/>
        <v>0</v>
      </c>
      <c r="L777" s="12">
        <f t="shared" si="144"/>
        <v>1869</v>
      </c>
      <c r="M777" s="12" t="str">
        <f t="shared" si="145"/>
        <v/>
      </c>
      <c r="N777" s="12">
        <f t="shared" si="146"/>
        <v>1839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2" customFormat="1" ht="28.5" customHeight="1">
      <c r="A778" s="11" t="str">
        <f t="shared" si="143"/>
        <v/>
      </c>
      <c r="B778" s="11" t="s">
        <v>14</v>
      </c>
      <c r="C778" s="11" t="s">
        <v>790</v>
      </c>
      <c r="D778" s="15" t="s">
        <v>45</v>
      </c>
      <c r="E778" s="11" t="s">
        <v>61</v>
      </c>
      <c r="F778" s="11" t="s">
        <v>791</v>
      </c>
      <c r="G778" s="12">
        <v>1869</v>
      </c>
      <c r="H778" s="12"/>
      <c r="I778" s="12"/>
      <c r="J778" s="12">
        <v>1839</v>
      </c>
      <c r="K778" s="12">
        <f t="shared" si="157"/>
        <v>0</v>
      </c>
      <c r="L778" s="12">
        <f t="shared" si="144"/>
        <v>1869</v>
      </c>
      <c r="M778" s="12" t="str">
        <f t="shared" si="145"/>
        <v/>
      </c>
      <c r="N778" s="12">
        <f t="shared" si="146"/>
        <v>1839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446</v>
      </c>
      <c r="D779" s="11" t="s">
        <v>57</v>
      </c>
      <c r="E779" s="11" t="s">
        <v>26</v>
      </c>
      <c r="F779" s="11" t="s">
        <v>447</v>
      </c>
      <c r="G779" s="12">
        <v>1869</v>
      </c>
      <c r="H779" s="12"/>
      <c r="I779" s="12"/>
      <c r="J779" s="12">
        <v>1849</v>
      </c>
      <c r="K779" s="12">
        <f t="shared" si="157"/>
        <v>0</v>
      </c>
      <c r="L779" s="12">
        <f t="shared" si="144"/>
        <v>1869</v>
      </c>
      <c r="M779" s="12" t="str">
        <f t="shared" si="145"/>
        <v/>
      </c>
      <c r="N779" s="12">
        <f t="shared" si="146"/>
        <v>1849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7" customFormat="1" ht="28.5" customHeight="1">
      <c r="A780" s="11" t="str">
        <f t="shared" si="143"/>
        <v/>
      </c>
      <c r="B780" s="11" t="s">
        <v>12</v>
      </c>
      <c r="C780" s="11" t="s">
        <v>1716</v>
      </c>
      <c r="D780" s="15" t="s">
        <v>80</v>
      </c>
      <c r="E780" s="11" t="s">
        <v>26</v>
      </c>
      <c r="F780" s="11" t="s">
        <v>1717</v>
      </c>
      <c r="G780" s="12">
        <v>1869</v>
      </c>
      <c r="H780" s="12"/>
      <c r="I780" s="12"/>
      <c r="J780" s="12">
        <v>1859</v>
      </c>
      <c r="K780" s="12">
        <f t="shared" si="157"/>
        <v>0</v>
      </c>
      <c r="L780" s="12">
        <f t="shared" si="144"/>
        <v>1869</v>
      </c>
      <c r="M780" s="12" t="str">
        <f t="shared" si="145"/>
        <v/>
      </c>
      <c r="N780" s="12">
        <f t="shared" si="146"/>
        <v>1859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7" customFormat="1" ht="28.5" customHeight="1">
      <c r="A781" s="11" t="str">
        <f t="shared" si="143"/>
        <v/>
      </c>
      <c r="B781" s="11" t="s">
        <v>10</v>
      </c>
      <c r="C781" s="11" t="s">
        <v>906</v>
      </c>
      <c r="D781" s="15" t="s">
        <v>45</v>
      </c>
      <c r="E781" s="11" t="s">
        <v>61</v>
      </c>
      <c r="F781" s="11" t="s">
        <v>907</v>
      </c>
      <c r="G781" s="12">
        <v>1869</v>
      </c>
      <c r="H781" s="12"/>
      <c r="I781" s="12"/>
      <c r="J781" s="12">
        <v>1859</v>
      </c>
      <c r="K781" s="12">
        <f t="shared" si="157"/>
        <v>0</v>
      </c>
      <c r="L781" s="12">
        <f t="shared" si="144"/>
        <v>1869</v>
      </c>
      <c r="M781" s="12" t="str">
        <f t="shared" si="145"/>
        <v/>
      </c>
      <c r="N781" s="12">
        <f t="shared" si="146"/>
        <v>1859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1167</v>
      </c>
      <c r="D782" s="11" t="s">
        <v>71</v>
      </c>
      <c r="E782" s="11" t="s">
        <v>26</v>
      </c>
      <c r="F782" s="11" t="s">
        <v>1168</v>
      </c>
      <c r="G782" s="12">
        <v>1869</v>
      </c>
      <c r="H782" s="12"/>
      <c r="I782" s="12"/>
      <c r="J782" s="12">
        <v>1869</v>
      </c>
      <c r="K782" s="12">
        <f t="shared" si="157"/>
        <v>0</v>
      </c>
      <c r="L782" s="12">
        <f t="shared" si="144"/>
        <v>1869</v>
      </c>
      <c r="M782" s="12" t="str">
        <f t="shared" si="145"/>
        <v/>
      </c>
      <c r="N782" s="12">
        <f t="shared" si="146"/>
        <v>1869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16" customFormat="1" ht="28.5" customHeight="1">
      <c r="A783" s="11" t="str">
        <f t="shared" ref="A783:A846" si="158">IF($T783="","",1+COUNTIF($W$15:$W$882,"&lt;"&amp;W783))</f>
        <v/>
      </c>
      <c r="B783" s="11" t="s">
        <v>16</v>
      </c>
      <c r="C783" s="11" t="s">
        <v>442</v>
      </c>
      <c r="D783" s="15" t="s">
        <v>80</v>
      </c>
      <c r="E783" s="11" t="s">
        <v>26</v>
      </c>
      <c r="F783" s="11" t="s">
        <v>443</v>
      </c>
      <c r="G783" s="12">
        <v>1870</v>
      </c>
      <c r="H783" s="12"/>
      <c r="I783" s="12"/>
      <c r="J783" s="12">
        <v>1830</v>
      </c>
      <c r="K783" s="12">
        <f t="shared" si="157"/>
        <v>0</v>
      </c>
      <c r="L783" s="12">
        <f t="shared" ref="L783:L846" si="159">IF($G783="","",$G783+$K783)</f>
        <v>1870</v>
      </c>
      <c r="M783" s="12" t="str">
        <f t="shared" ref="M783:M846" si="160">IF($H783="","",$H783+$K783)</f>
        <v/>
      </c>
      <c r="N783" s="12">
        <f t="shared" ref="N783:N846" si="161">IF($J783="","",$J783+$K783)</f>
        <v>1830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8</v>
      </c>
      <c r="C784" s="11" t="s">
        <v>964</v>
      </c>
      <c r="D784" s="11" t="s">
        <v>71</v>
      </c>
      <c r="E784" s="11" t="s">
        <v>61</v>
      </c>
      <c r="F784" s="11" t="s">
        <v>965</v>
      </c>
      <c r="G784" s="12">
        <v>1870</v>
      </c>
      <c r="H784" s="12"/>
      <c r="I784" s="12"/>
      <c r="J784" s="12">
        <v>1850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12</v>
      </c>
      <c r="C785" s="11" t="s">
        <v>1426</v>
      </c>
      <c r="D785" s="15" t="s">
        <v>45</v>
      </c>
      <c r="E785" s="11" t="s">
        <v>61</v>
      </c>
      <c r="F785" s="11" t="s">
        <v>1427</v>
      </c>
      <c r="G785" s="12">
        <v>1870</v>
      </c>
      <c r="H785" s="12"/>
      <c r="I785" s="12"/>
      <c r="J785" s="12">
        <v>1850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10</v>
      </c>
      <c r="C786" s="11" t="s">
        <v>459</v>
      </c>
      <c r="D786" s="15" t="s">
        <v>80</v>
      </c>
      <c r="E786" s="11" t="s">
        <v>61</v>
      </c>
      <c r="F786" s="11" t="s">
        <v>460</v>
      </c>
      <c r="G786" s="12">
        <v>1870</v>
      </c>
      <c r="H786" s="12"/>
      <c r="I786" s="12"/>
      <c r="J786" s="12">
        <v>1860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1860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1310</v>
      </c>
      <c r="D787" s="11" t="s">
        <v>71</v>
      </c>
      <c r="E787" s="11" t="s">
        <v>61</v>
      </c>
      <c r="F787" s="11" t="s">
        <v>1311</v>
      </c>
      <c r="G787" s="12">
        <v>1870</v>
      </c>
      <c r="H787" s="12"/>
      <c r="I787" s="12"/>
      <c r="J787" s="12">
        <v>1870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1870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1581</v>
      </c>
      <c r="D788" s="11" t="s">
        <v>71</v>
      </c>
      <c r="E788" s="11" t="s">
        <v>61</v>
      </c>
      <c r="F788" s="11" t="s">
        <v>1582</v>
      </c>
      <c r="G788" s="12">
        <v>1870</v>
      </c>
      <c r="H788" s="12"/>
      <c r="I788" s="12"/>
      <c r="J788" s="12">
        <v>1870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1870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10</v>
      </c>
      <c r="C789" s="11" t="s">
        <v>220</v>
      </c>
      <c r="D789" s="15" t="s">
        <v>45</v>
      </c>
      <c r="E789" s="11" t="s">
        <v>61</v>
      </c>
      <c r="F789" s="11" t="s">
        <v>221</v>
      </c>
      <c r="G789" s="12">
        <v>1874</v>
      </c>
      <c r="H789" s="12"/>
      <c r="I789" s="12"/>
      <c r="J789" s="12">
        <v>1854</v>
      </c>
      <c r="K789" s="12">
        <v>0</v>
      </c>
      <c r="L789" s="12">
        <f t="shared" si="159"/>
        <v>1874</v>
      </c>
      <c r="M789" s="12" t="str">
        <f t="shared" si="160"/>
        <v/>
      </c>
      <c r="N789" s="12">
        <f t="shared" si="161"/>
        <v>1854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18</v>
      </c>
      <c r="C790" s="11" t="s">
        <v>541</v>
      </c>
      <c r="D790" s="15" t="s">
        <v>45</v>
      </c>
      <c r="E790" s="11" t="s">
        <v>26</v>
      </c>
      <c r="F790" s="11" t="s">
        <v>542</v>
      </c>
      <c r="G790" s="12">
        <v>1874</v>
      </c>
      <c r="H790" s="12"/>
      <c r="I790" s="12"/>
      <c r="J790" s="12">
        <v>1855</v>
      </c>
      <c r="K790" s="12">
        <f>IF(AND(IFERROR(SEARCH("현대오일뱅크",$C790),0)&gt;0,IFERROR(SEARCH("직영",$C790),0)&gt;0),$B$13,0)</f>
        <v>0</v>
      </c>
      <c r="L790" s="12">
        <f t="shared" si="159"/>
        <v>1874</v>
      </c>
      <c r="M790" s="12" t="str">
        <f t="shared" si="160"/>
        <v/>
      </c>
      <c r="N790" s="12">
        <f t="shared" si="161"/>
        <v>1855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7" customFormat="1" ht="28.5" customHeight="1">
      <c r="A791" s="11" t="str">
        <f t="shared" si="158"/>
        <v/>
      </c>
      <c r="B791" s="11" t="s">
        <v>8</v>
      </c>
      <c r="C791" s="11" t="s">
        <v>968</v>
      </c>
      <c r="D791" s="11" t="s">
        <v>71</v>
      </c>
      <c r="E791" s="11" t="s">
        <v>26</v>
      </c>
      <c r="F791" s="11" t="s">
        <v>969</v>
      </c>
      <c r="G791" s="12">
        <v>1875</v>
      </c>
      <c r="H791" s="12"/>
      <c r="I791" s="12"/>
      <c r="J791" s="12">
        <v>1855</v>
      </c>
      <c r="K791" s="12">
        <f>IF(AND(IFERROR(SEARCH("현대오일뱅크",$C791),0)&gt;0,IFERROR(SEARCH("직영",$C791),0)&gt;0),$B$13,0)</f>
        <v>0</v>
      </c>
      <c r="L791" s="12">
        <f t="shared" si="159"/>
        <v>1875</v>
      </c>
      <c r="M791" s="12" t="str">
        <f t="shared" si="160"/>
        <v/>
      </c>
      <c r="N791" s="12">
        <f t="shared" si="161"/>
        <v>1855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16" customFormat="1" ht="28.5" customHeight="1">
      <c r="A792" s="11" t="str">
        <f t="shared" si="158"/>
        <v/>
      </c>
      <c r="B792" s="11" t="s">
        <v>8</v>
      </c>
      <c r="C792" s="11" t="s">
        <v>655</v>
      </c>
      <c r="D792" s="11" t="s">
        <v>71</v>
      </c>
      <c r="E792" s="11" t="s">
        <v>61</v>
      </c>
      <c r="F792" s="11" t="s">
        <v>656</v>
      </c>
      <c r="G792" s="12">
        <v>1875</v>
      </c>
      <c r="H792" s="12"/>
      <c r="I792" s="12"/>
      <c r="J792" s="12">
        <v>1859</v>
      </c>
      <c r="K792" s="12">
        <f>IF(AND(IFERROR(SEARCH("현대오일뱅크",$C792),0)&gt;0,IFERROR(SEARCH("직영",$C792),0)&gt;0),$B$13,0)</f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1859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16</v>
      </c>
      <c r="C793" s="11" t="s">
        <v>1211</v>
      </c>
      <c r="D793" s="11" t="s">
        <v>71</v>
      </c>
      <c r="E793" s="11" t="s">
        <v>26</v>
      </c>
      <c r="F793" s="11" t="s">
        <v>1212</v>
      </c>
      <c r="G793" s="12">
        <v>1875</v>
      </c>
      <c r="H793" s="12"/>
      <c r="I793" s="12"/>
      <c r="J793" s="12">
        <v>1865</v>
      </c>
      <c r="K793" s="12">
        <f>IF(AND(IFERROR(SEARCH("현대오일뱅크",$C793),0)&gt;0,IFERROR(SEARCH("직영",$C793),0)&gt;0),$B$13,0)</f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1865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14</v>
      </c>
      <c r="C794" s="11" t="s">
        <v>1545</v>
      </c>
      <c r="D794" s="11" t="s">
        <v>57</v>
      </c>
      <c r="E794" s="11" t="s">
        <v>26</v>
      </c>
      <c r="F794" s="11" t="s">
        <v>1546</v>
      </c>
      <c r="G794" s="12">
        <v>1875</v>
      </c>
      <c r="H794" s="12"/>
      <c r="I794" s="12"/>
      <c r="J794" s="12">
        <v>1868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1868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12</v>
      </c>
      <c r="C795" s="11" t="s">
        <v>200</v>
      </c>
      <c r="D795" s="15" t="s">
        <v>45</v>
      </c>
      <c r="E795" s="11" t="s">
        <v>61</v>
      </c>
      <c r="F795" s="11" t="s">
        <v>201</v>
      </c>
      <c r="G795" s="12">
        <v>1875</v>
      </c>
      <c r="H795" s="12"/>
      <c r="I795" s="12"/>
      <c r="J795" s="12">
        <v>1870</v>
      </c>
      <c r="K795" s="12"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1870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12</v>
      </c>
      <c r="C796" s="11" t="s">
        <v>214</v>
      </c>
      <c r="D796" s="15" t="s">
        <v>45</v>
      </c>
      <c r="E796" s="11" t="s">
        <v>61</v>
      </c>
      <c r="F796" s="11" t="s">
        <v>215</v>
      </c>
      <c r="G796" s="12">
        <v>1875</v>
      </c>
      <c r="H796" s="12"/>
      <c r="I796" s="12"/>
      <c r="J796" s="12">
        <v>1870</v>
      </c>
      <c r="K796" s="12"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1870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7" customFormat="1" ht="28.5" customHeight="1">
      <c r="A797" s="11" t="str">
        <f t="shared" si="158"/>
        <v/>
      </c>
      <c r="B797" s="11" t="s">
        <v>12</v>
      </c>
      <c r="C797" s="11" t="s">
        <v>228</v>
      </c>
      <c r="D797" s="15" t="s">
        <v>45</v>
      </c>
      <c r="E797" s="11" t="s">
        <v>61</v>
      </c>
      <c r="F797" s="11" t="s">
        <v>229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1870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6</v>
      </c>
      <c r="C798" s="11" t="s">
        <v>138</v>
      </c>
      <c r="D798" s="15" t="s">
        <v>45</v>
      </c>
      <c r="E798" s="11" t="s">
        <v>26</v>
      </c>
      <c r="F798" s="11" t="s">
        <v>139</v>
      </c>
      <c r="G798" s="12">
        <v>1875</v>
      </c>
      <c r="H798" s="12"/>
      <c r="I798" s="12"/>
      <c r="J798" s="12">
        <v>1875</v>
      </c>
      <c r="K798" s="12">
        <f t="shared" ref="K798:K829" si="170">IF(AND(IFERROR(SEARCH("현대오일뱅크",$C798),0)&gt;0,IFERROR(SEARCH("직영",$C798),0)&gt;0),$B$13,0)</f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1875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254</v>
      </c>
      <c r="D799" s="15" t="s">
        <v>80</v>
      </c>
      <c r="E799" s="11" t="s">
        <v>61</v>
      </c>
      <c r="F799" s="11" t="s">
        <v>255</v>
      </c>
      <c r="G799" s="12">
        <v>1878</v>
      </c>
      <c r="H799" s="12"/>
      <c r="I799" s="12"/>
      <c r="J799" s="12">
        <v>1822</v>
      </c>
      <c r="K799" s="12">
        <f t="shared" si="170"/>
        <v>0</v>
      </c>
      <c r="L799" s="12">
        <f t="shared" si="159"/>
        <v>1878</v>
      </c>
      <c r="M799" s="12" t="str">
        <f t="shared" si="160"/>
        <v/>
      </c>
      <c r="N799" s="12">
        <f t="shared" si="161"/>
        <v>1822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7" customFormat="1" ht="28.5" customHeight="1">
      <c r="A800" s="11" t="str">
        <f t="shared" si="158"/>
        <v/>
      </c>
      <c r="B800" s="11" t="s">
        <v>14</v>
      </c>
      <c r="C800" s="11" t="s">
        <v>1350</v>
      </c>
      <c r="D800" s="11" t="s">
        <v>57</v>
      </c>
      <c r="E800" s="11" t="s">
        <v>26</v>
      </c>
      <c r="F800" s="11" t="s">
        <v>1351</v>
      </c>
      <c r="G800" s="12">
        <v>1878</v>
      </c>
      <c r="H800" s="12"/>
      <c r="I800" s="12"/>
      <c r="J800" s="12">
        <v>1857</v>
      </c>
      <c r="K800" s="12">
        <f t="shared" si="170"/>
        <v>0</v>
      </c>
      <c r="L800" s="12">
        <f t="shared" si="159"/>
        <v>1878</v>
      </c>
      <c r="M800" s="12" t="str">
        <f t="shared" si="160"/>
        <v/>
      </c>
      <c r="N800" s="12">
        <f t="shared" si="161"/>
        <v>1857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7" customFormat="1" ht="28.5" customHeight="1">
      <c r="A801" s="11" t="str">
        <f t="shared" si="158"/>
        <v/>
      </c>
      <c r="B801" s="11" t="s">
        <v>14</v>
      </c>
      <c r="C801" s="11" t="s">
        <v>698</v>
      </c>
      <c r="D801" s="11" t="s">
        <v>57</v>
      </c>
      <c r="E801" s="11" t="s">
        <v>26</v>
      </c>
      <c r="F801" s="11" t="s">
        <v>699</v>
      </c>
      <c r="G801" s="12">
        <v>1878</v>
      </c>
      <c r="H801" s="12"/>
      <c r="I801" s="12"/>
      <c r="J801" s="12">
        <v>1878</v>
      </c>
      <c r="K801" s="12">
        <f t="shared" si="170"/>
        <v>0</v>
      </c>
      <c r="L801" s="12">
        <f t="shared" si="159"/>
        <v>1878</v>
      </c>
      <c r="M801" s="12" t="str">
        <f t="shared" si="160"/>
        <v/>
      </c>
      <c r="N801" s="12">
        <f t="shared" si="161"/>
        <v>1878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16" customFormat="1" ht="28.5" customHeight="1">
      <c r="A802" s="11" t="str">
        <f t="shared" si="158"/>
        <v/>
      </c>
      <c r="B802" s="11" t="s">
        <v>10</v>
      </c>
      <c r="C802" s="11" t="s">
        <v>378</v>
      </c>
      <c r="D802" s="15" t="s">
        <v>45</v>
      </c>
      <c r="E802" s="11" t="s">
        <v>26</v>
      </c>
      <c r="F802" s="11" t="s">
        <v>379</v>
      </c>
      <c r="G802" s="12">
        <v>1879</v>
      </c>
      <c r="H802" s="12"/>
      <c r="I802" s="12"/>
      <c r="J802" s="12">
        <v>1859</v>
      </c>
      <c r="K802" s="12">
        <f t="shared" si="170"/>
        <v>0</v>
      </c>
      <c r="L802" s="12">
        <f t="shared" si="159"/>
        <v>1879</v>
      </c>
      <c r="M802" s="12" t="str">
        <f t="shared" si="160"/>
        <v/>
      </c>
      <c r="N802" s="12">
        <f t="shared" si="161"/>
        <v>1859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14</v>
      </c>
      <c r="C803" s="11" t="s">
        <v>1084</v>
      </c>
      <c r="D803" s="11" t="s">
        <v>57</v>
      </c>
      <c r="E803" s="11" t="s">
        <v>26</v>
      </c>
      <c r="F803" s="11" t="s">
        <v>1085</v>
      </c>
      <c r="G803" s="12">
        <v>1879</v>
      </c>
      <c r="H803" s="12"/>
      <c r="I803" s="12"/>
      <c r="J803" s="12">
        <v>1865</v>
      </c>
      <c r="K803" s="12">
        <f t="shared" si="170"/>
        <v>0</v>
      </c>
      <c r="L803" s="12">
        <f t="shared" si="159"/>
        <v>1879</v>
      </c>
      <c r="M803" s="12" t="str">
        <f t="shared" si="160"/>
        <v/>
      </c>
      <c r="N803" s="12">
        <f t="shared" si="161"/>
        <v>1865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16" customFormat="1" ht="28.5" customHeight="1">
      <c r="A804" s="11" t="str">
        <f t="shared" si="158"/>
        <v/>
      </c>
      <c r="B804" s="11" t="s">
        <v>14</v>
      </c>
      <c r="C804" s="11" t="s">
        <v>1330</v>
      </c>
      <c r="D804" s="15" t="s">
        <v>60</v>
      </c>
      <c r="E804" s="11" t="s">
        <v>26</v>
      </c>
      <c r="F804" s="11" t="s">
        <v>1331</v>
      </c>
      <c r="G804" s="12">
        <v>1879</v>
      </c>
      <c r="H804" s="12"/>
      <c r="I804" s="12"/>
      <c r="J804" s="12">
        <v>1865</v>
      </c>
      <c r="K804" s="12">
        <f t="shared" si="170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1865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18</v>
      </c>
      <c r="C805" s="11" t="s">
        <v>1421</v>
      </c>
      <c r="D805" s="15" t="s">
        <v>80</v>
      </c>
      <c r="E805" s="11" t="s">
        <v>26</v>
      </c>
      <c r="F805" s="11" t="s">
        <v>1422</v>
      </c>
      <c r="G805" s="12">
        <v>1879</v>
      </c>
      <c r="H805" s="12"/>
      <c r="I805" s="12"/>
      <c r="J805" s="12">
        <v>1869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14</v>
      </c>
      <c r="C806" s="11" t="s">
        <v>1344</v>
      </c>
      <c r="D806" s="15" t="s">
        <v>45</v>
      </c>
      <c r="E806" s="11" t="s">
        <v>61</v>
      </c>
      <c r="F806" s="11" t="s">
        <v>1345</v>
      </c>
      <c r="G806" s="12">
        <v>1879</v>
      </c>
      <c r="H806" s="12"/>
      <c r="I806" s="12"/>
      <c r="J806" s="12">
        <v>1869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14</v>
      </c>
      <c r="C807" s="11" t="s">
        <v>1672</v>
      </c>
      <c r="D807" s="15" t="s">
        <v>80</v>
      </c>
      <c r="E807" s="11" t="s">
        <v>26</v>
      </c>
      <c r="F807" s="11" t="s">
        <v>1673</v>
      </c>
      <c r="G807" s="12">
        <v>1879</v>
      </c>
      <c r="H807" s="12"/>
      <c r="I807" s="12"/>
      <c r="J807" s="12">
        <v>1869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1092</v>
      </c>
      <c r="D808" s="15" t="s">
        <v>45</v>
      </c>
      <c r="E808" s="11" t="s">
        <v>61</v>
      </c>
      <c r="F808" s="11" t="s">
        <v>1093</v>
      </c>
      <c r="G808" s="12">
        <v>1879</v>
      </c>
      <c r="H808" s="12"/>
      <c r="I808" s="12"/>
      <c r="J808" s="12">
        <v>1879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1879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16" customFormat="1" ht="28.5" customHeight="1">
      <c r="A809" s="11" t="str">
        <f t="shared" si="158"/>
        <v/>
      </c>
      <c r="B809" s="11" t="s">
        <v>18</v>
      </c>
      <c r="C809" s="11" t="s">
        <v>1304</v>
      </c>
      <c r="D809" s="15" t="s">
        <v>45</v>
      </c>
      <c r="E809" s="11" t="s">
        <v>61</v>
      </c>
      <c r="F809" s="11" t="s">
        <v>1305</v>
      </c>
      <c r="G809" s="12">
        <v>1885</v>
      </c>
      <c r="H809" s="12"/>
      <c r="I809" s="12"/>
      <c r="J809" s="12">
        <v>1850</v>
      </c>
      <c r="K809" s="12">
        <f t="shared" si="170"/>
        <v>0</v>
      </c>
      <c r="L809" s="12">
        <f t="shared" si="159"/>
        <v>1885</v>
      </c>
      <c r="M809" s="12" t="str">
        <f t="shared" si="160"/>
        <v/>
      </c>
      <c r="N809" s="12">
        <f t="shared" si="161"/>
        <v>1850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8</v>
      </c>
      <c r="C810" s="11" t="s">
        <v>1161</v>
      </c>
      <c r="D810" s="15" t="s">
        <v>60</v>
      </c>
      <c r="E810" s="11" t="s">
        <v>61</v>
      </c>
      <c r="F810" s="11" t="s">
        <v>1162</v>
      </c>
      <c r="G810" s="12">
        <v>1885</v>
      </c>
      <c r="H810" s="12"/>
      <c r="I810" s="12"/>
      <c r="J810" s="12">
        <v>1875</v>
      </c>
      <c r="K810" s="12">
        <f t="shared" si="170"/>
        <v>0</v>
      </c>
      <c r="L810" s="12">
        <f t="shared" si="159"/>
        <v>1885</v>
      </c>
      <c r="M810" s="12" t="str">
        <f t="shared" si="160"/>
        <v/>
      </c>
      <c r="N810" s="12">
        <f t="shared" si="161"/>
        <v>1875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2" customFormat="1" ht="28.5" customHeight="1">
      <c r="A811" s="11" t="str">
        <f t="shared" si="158"/>
        <v/>
      </c>
      <c r="B811" s="11" t="s">
        <v>14</v>
      </c>
      <c r="C811" s="11" t="s">
        <v>415</v>
      </c>
      <c r="D811" s="15" t="s">
        <v>45</v>
      </c>
      <c r="E811" s="11" t="s">
        <v>61</v>
      </c>
      <c r="F811" s="11" t="s">
        <v>416</v>
      </c>
      <c r="G811" s="12">
        <v>1886</v>
      </c>
      <c r="H811" s="12"/>
      <c r="I811" s="12"/>
      <c r="J811" s="12">
        <v>1856</v>
      </c>
      <c r="K811" s="12">
        <f t="shared" si="170"/>
        <v>0</v>
      </c>
      <c r="L811" s="12">
        <f t="shared" si="159"/>
        <v>1886</v>
      </c>
      <c r="M811" s="12" t="str">
        <f t="shared" si="160"/>
        <v/>
      </c>
      <c r="N811" s="12">
        <f t="shared" si="161"/>
        <v>1856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7" customFormat="1" ht="28.5" customHeight="1">
      <c r="A812" s="11" t="str">
        <f t="shared" si="158"/>
        <v/>
      </c>
      <c r="B812" s="11" t="s">
        <v>12</v>
      </c>
      <c r="C812" s="11" t="s">
        <v>814</v>
      </c>
      <c r="D812" s="15" t="s">
        <v>57</v>
      </c>
      <c r="E812" s="11" t="s">
        <v>26</v>
      </c>
      <c r="F812" s="11" t="s">
        <v>815</v>
      </c>
      <c r="G812" s="12">
        <v>1887</v>
      </c>
      <c r="H812" s="12"/>
      <c r="I812" s="12"/>
      <c r="J812" s="12">
        <v>1827</v>
      </c>
      <c r="K812" s="12">
        <f t="shared" si="170"/>
        <v>0</v>
      </c>
      <c r="L812" s="12">
        <f t="shared" si="159"/>
        <v>1887</v>
      </c>
      <c r="M812" s="12" t="str">
        <f t="shared" si="160"/>
        <v/>
      </c>
      <c r="N812" s="12">
        <f t="shared" si="161"/>
        <v>1827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18</v>
      </c>
      <c r="C813" s="11" t="s">
        <v>1280</v>
      </c>
      <c r="D813" s="11" t="s">
        <v>57</v>
      </c>
      <c r="E813" s="11" t="s">
        <v>61</v>
      </c>
      <c r="F813" s="11" t="s">
        <v>1281</v>
      </c>
      <c r="G813" s="12">
        <v>1887</v>
      </c>
      <c r="H813" s="12"/>
      <c r="I813" s="12"/>
      <c r="J813" s="12">
        <v>1857</v>
      </c>
      <c r="K813" s="12">
        <f t="shared" si="170"/>
        <v>0</v>
      </c>
      <c r="L813" s="12">
        <f t="shared" si="159"/>
        <v>1887</v>
      </c>
      <c r="M813" s="12" t="str">
        <f t="shared" si="160"/>
        <v/>
      </c>
      <c r="N813" s="12">
        <f t="shared" si="161"/>
        <v>1857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10</v>
      </c>
      <c r="C814" s="11" t="s">
        <v>553</v>
      </c>
      <c r="D814" s="15" t="s">
        <v>60</v>
      </c>
      <c r="E814" s="11" t="s">
        <v>61</v>
      </c>
      <c r="F814" s="11" t="s">
        <v>554</v>
      </c>
      <c r="G814" s="12">
        <v>1888</v>
      </c>
      <c r="H814" s="12"/>
      <c r="I814" s="12"/>
      <c r="J814" s="12">
        <v>1878</v>
      </c>
      <c r="K814" s="12">
        <f t="shared" si="170"/>
        <v>0</v>
      </c>
      <c r="L814" s="12">
        <f t="shared" si="159"/>
        <v>1888</v>
      </c>
      <c r="M814" s="12" t="str">
        <f t="shared" si="160"/>
        <v/>
      </c>
      <c r="N814" s="12">
        <f t="shared" si="161"/>
        <v>1878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16" customFormat="1" ht="28.5" customHeight="1">
      <c r="A815" s="11" t="str">
        <f t="shared" si="158"/>
        <v/>
      </c>
      <c r="B815" s="11" t="s">
        <v>10</v>
      </c>
      <c r="C815" s="11" t="s">
        <v>260</v>
      </c>
      <c r="D815" s="15" t="s">
        <v>80</v>
      </c>
      <c r="E815" s="11" t="s">
        <v>61</v>
      </c>
      <c r="F815" s="11" t="s">
        <v>261</v>
      </c>
      <c r="G815" s="12">
        <v>1889</v>
      </c>
      <c r="H815" s="12"/>
      <c r="I815" s="12"/>
      <c r="J815" s="12">
        <v>1828</v>
      </c>
      <c r="K815" s="12">
        <f t="shared" si="170"/>
        <v>0</v>
      </c>
      <c r="L815" s="12">
        <f t="shared" si="159"/>
        <v>1889</v>
      </c>
      <c r="M815" s="12" t="str">
        <f t="shared" si="160"/>
        <v/>
      </c>
      <c r="N815" s="12">
        <f t="shared" si="161"/>
        <v>1828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12</v>
      </c>
      <c r="C816" s="11" t="s">
        <v>649</v>
      </c>
      <c r="D816" s="15" t="s">
        <v>60</v>
      </c>
      <c r="E816" s="11" t="s">
        <v>61</v>
      </c>
      <c r="F816" s="11" t="s">
        <v>650</v>
      </c>
      <c r="G816" s="12">
        <v>1889</v>
      </c>
      <c r="H816" s="12"/>
      <c r="I816" s="12"/>
      <c r="J816" s="12">
        <v>1859</v>
      </c>
      <c r="K816" s="12">
        <f t="shared" si="170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1859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7" customFormat="1" ht="28.5" customHeight="1">
      <c r="A817" s="11" t="str">
        <f t="shared" si="158"/>
        <v/>
      </c>
      <c r="B817" s="11" t="s">
        <v>10</v>
      </c>
      <c r="C817" s="11" t="s">
        <v>1195</v>
      </c>
      <c r="D817" s="11" t="s">
        <v>57</v>
      </c>
      <c r="E817" s="11" t="s">
        <v>26</v>
      </c>
      <c r="F817" s="11" t="s">
        <v>1196</v>
      </c>
      <c r="G817" s="12">
        <v>1889</v>
      </c>
      <c r="H817" s="12"/>
      <c r="I817" s="12"/>
      <c r="J817" s="12">
        <v>1859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1859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914</v>
      </c>
      <c r="D818" s="11" t="s">
        <v>71</v>
      </c>
      <c r="E818" s="11" t="s">
        <v>61</v>
      </c>
      <c r="F818" s="11" t="s">
        <v>915</v>
      </c>
      <c r="G818" s="12">
        <v>1889</v>
      </c>
      <c r="H818" s="12"/>
      <c r="I818" s="12"/>
      <c r="J818" s="12">
        <v>1869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1869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14</v>
      </c>
      <c r="C819" s="11" t="s">
        <v>1660</v>
      </c>
      <c r="D819" s="15" t="s">
        <v>45</v>
      </c>
      <c r="E819" s="11" t="s">
        <v>61</v>
      </c>
      <c r="F819" s="11" t="s">
        <v>1661</v>
      </c>
      <c r="G819" s="12">
        <v>1889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16" customFormat="1" ht="28.5" customHeight="1">
      <c r="A820" s="11" t="str">
        <f t="shared" si="158"/>
        <v/>
      </c>
      <c r="B820" s="11" t="s">
        <v>10</v>
      </c>
      <c r="C820" s="11" t="s">
        <v>1187</v>
      </c>
      <c r="D820" s="15" t="s">
        <v>60</v>
      </c>
      <c r="E820" s="11" t="s">
        <v>61</v>
      </c>
      <c r="F820" s="11" t="s">
        <v>1188</v>
      </c>
      <c r="G820" s="12">
        <v>1889</v>
      </c>
      <c r="H820" s="12"/>
      <c r="I820" s="12"/>
      <c r="J820" s="12">
        <v>1879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1879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18</v>
      </c>
      <c r="C821" s="11" t="s">
        <v>411</v>
      </c>
      <c r="D821" s="11" t="s">
        <v>71</v>
      </c>
      <c r="E821" s="11" t="s">
        <v>61</v>
      </c>
      <c r="F821" s="11" t="s">
        <v>412</v>
      </c>
      <c r="G821" s="12">
        <v>1889</v>
      </c>
      <c r="H821" s="12"/>
      <c r="I821" s="12"/>
      <c r="J821" s="12">
        <v>1889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1889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10</v>
      </c>
      <c r="C822" s="11" t="s">
        <v>1243</v>
      </c>
      <c r="D822" s="15" t="s">
        <v>45</v>
      </c>
      <c r="E822" s="11" t="s">
        <v>26</v>
      </c>
      <c r="F822" s="11" t="s">
        <v>1244</v>
      </c>
      <c r="G822" s="12">
        <v>1889</v>
      </c>
      <c r="H822" s="12"/>
      <c r="I822" s="12"/>
      <c r="J822" s="12">
        <v>1899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1899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547</v>
      </c>
      <c r="D823" s="15" t="s">
        <v>80</v>
      </c>
      <c r="E823" s="11" t="s">
        <v>26</v>
      </c>
      <c r="F823" s="11" t="s">
        <v>548</v>
      </c>
      <c r="G823" s="12">
        <v>1890</v>
      </c>
      <c r="H823" s="12"/>
      <c r="I823" s="12"/>
      <c r="J823" s="12">
        <v>1845</v>
      </c>
      <c r="K823" s="12">
        <f t="shared" si="170"/>
        <v>0</v>
      </c>
      <c r="L823" s="12">
        <f t="shared" si="159"/>
        <v>1890</v>
      </c>
      <c r="M823" s="12" t="str">
        <f t="shared" si="160"/>
        <v/>
      </c>
      <c r="N823" s="12">
        <f t="shared" si="161"/>
        <v>1845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16</v>
      </c>
      <c r="C824" s="11" t="s">
        <v>1493</v>
      </c>
      <c r="D824" s="11" t="s">
        <v>71</v>
      </c>
      <c r="E824" s="11" t="s">
        <v>26</v>
      </c>
      <c r="F824" s="11" t="s">
        <v>1494</v>
      </c>
      <c r="G824" s="12">
        <v>1890</v>
      </c>
      <c r="H824" s="12"/>
      <c r="I824" s="12"/>
      <c r="J824" s="12">
        <v>1850</v>
      </c>
      <c r="K824" s="12">
        <f t="shared" si="170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1850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16" customFormat="1" ht="28.5" customHeight="1">
      <c r="A825" s="11" t="str">
        <f t="shared" si="158"/>
        <v/>
      </c>
      <c r="B825" s="11" t="s">
        <v>16</v>
      </c>
      <c r="C825" s="11" t="s">
        <v>1495</v>
      </c>
      <c r="D825" s="11" t="s">
        <v>71</v>
      </c>
      <c r="E825" s="11" t="s">
        <v>61</v>
      </c>
      <c r="F825" s="11" t="s">
        <v>1496</v>
      </c>
      <c r="G825" s="12">
        <v>1890</v>
      </c>
      <c r="H825" s="12"/>
      <c r="I825" s="12"/>
      <c r="J825" s="12">
        <v>1870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1870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517</v>
      </c>
      <c r="D826" s="15" t="s">
        <v>80</v>
      </c>
      <c r="E826" s="11" t="s">
        <v>61</v>
      </c>
      <c r="F826" s="11" t="s">
        <v>518</v>
      </c>
      <c r="G826" s="12">
        <v>1890</v>
      </c>
      <c r="H826" s="12"/>
      <c r="I826" s="12"/>
      <c r="J826" s="12">
        <v>1880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1880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16</v>
      </c>
      <c r="C827" s="11" t="s">
        <v>1262</v>
      </c>
      <c r="D827" s="11" t="s">
        <v>71</v>
      </c>
      <c r="E827" s="11" t="s">
        <v>61</v>
      </c>
      <c r="F827" s="11" t="s">
        <v>1263</v>
      </c>
      <c r="G827" s="12">
        <v>1890</v>
      </c>
      <c r="H827" s="12"/>
      <c r="I827" s="12"/>
      <c r="J827" s="12">
        <v>1880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1880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1264</v>
      </c>
      <c r="D828" s="11" t="s">
        <v>71</v>
      </c>
      <c r="E828" s="11" t="s">
        <v>61</v>
      </c>
      <c r="F828" s="11" t="s">
        <v>1265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16</v>
      </c>
      <c r="C829" s="11" t="s">
        <v>1377</v>
      </c>
      <c r="D829" s="11" t="s">
        <v>71</v>
      </c>
      <c r="E829" s="11" t="s">
        <v>26</v>
      </c>
      <c r="F829" s="11" t="s">
        <v>1378</v>
      </c>
      <c r="G829" s="12">
        <v>1890</v>
      </c>
      <c r="H829" s="12"/>
      <c r="I829" s="12"/>
      <c r="J829" s="12">
        <v>1880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16" customFormat="1" ht="28.5" customHeight="1">
      <c r="A830" s="11" t="str">
        <f t="shared" si="158"/>
        <v/>
      </c>
      <c r="B830" s="11" t="s">
        <v>10</v>
      </c>
      <c r="C830" s="11" t="s">
        <v>1601</v>
      </c>
      <c r="D830" s="15" t="s">
        <v>80</v>
      </c>
      <c r="E830" s="11" t="s">
        <v>61</v>
      </c>
      <c r="F830" s="11" t="s">
        <v>1602</v>
      </c>
      <c r="G830" s="12">
        <v>1895</v>
      </c>
      <c r="H830" s="12"/>
      <c r="I830" s="12"/>
      <c r="J830" s="12">
        <v>1839</v>
      </c>
      <c r="K830" s="12">
        <f t="shared" ref="K830:K861" si="171">IF(AND(IFERROR(SEARCH("현대오일뱅크",$C830),0)&gt;0,IFERROR(SEARCH("직영",$C830),0)&gt;0),$B$13,0)</f>
        <v>0</v>
      </c>
      <c r="L830" s="12">
        <f t="shared" si="159"/>
        <v>1895</v>
      </c>
      <c r="M830" s="12" t="str">
        <f t="shared" si="160"/>
        <v/>
      </c>
      <c r="N830" s="12">
        <f t="shared" si="161"/>
        <v>1839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16" customFormat="1" ht="28.5" customHeight="1">
      <c r="A831" s="11" t="str">
        <f t="shared" si="158"/>
        <v/>
      </c>
      <c r="B831" s="11" t="s">
        <v>18</v>
      </c>
      <c r="C831" s="11" t="s">
        <v>984</v>
      </c>
      <c r="D831" s="11" t="s">
        <v>57</v>
      </c>
      <c r="E831" s="11" t="s">
        <v>61</v>
      </c>
      <c r="F831" s="11" t="s">
        <v>985</v>
      </c>
      <c r="G831" s="12">
        <v>1895</v>
      </c>
      <c r="H831" s="12"/>
      <c r="I831" s="12"/>
      <c r="J831" s="12">
        <v>1869</v>
      </c>
      <c r="K831" s="12">
        <f t="shared" si="171"/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1869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6</v>
      </c>
      <c r="C832" s="11" t="s">
        <v>436</v>
      </c>
      <c r="D832" s="15" t="s">
        <v>45</v>
      </c>
      <c r="E832" s="11" t="s">
        <v>26</v>
      </c>
      <c r="F832" s="11" t="s">
        <v>437</v>
      </c>
      <c r="G832" s="12">
        <v>1895</v>
      </c>
      <c r="H832" s="12"/>
      <c r="I832" s="12"/>
      <c r="J832" s="12">
        <v>1875</v>
      </c>
      <c r="K832" s="12">
        <f t="shared" si="171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1875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16</v>
      </c>
      <c r="C833" s="11" t="s">
        <v>1754</v>
      </c>
      <c r="D833" s="11" t="s">
        <v>57</v>
      </c>
      <c r="E833" s="11" t="s">
        <v>26</v>
      </c>
      <c r="F833" s="11" t="s">
        <v>1755</v>
      </c>
      <c r="G833" s="12">
        <v>1895</v>
      </c>
      <c r="H833" s="12"/>
      <c r="I833" s="12"/>
      <c r="J833" s="12">
        <v>1875</v>
      </c>
      <c r="K833" s="12">
        <f t="shared" si="171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16" customFormat="1" ht="28.5" customHeight="1">
      <c r="A834" s="11" t="str">
        <f t="shared" si="158"/>
        <v/>
      </c>
      <c r="B834" s="11" t="s">
        <v>12</v>
      </c>
      <c r="C834" s="11" t="s">
        <v>1096</v>
      </c>
      <c r="D834" s="15" t="s">
        <v>57</v>
      </c>
      <c r="E834" s="11" t="s">
        <v>61</v>
      </c>
      <c r="F834" s="11" t="s">
        <v>1097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7" customFormat="1" ht="28.5" customHeight="1">
      <c r="A835" s="11" t="str">
        <f t="shared" si="158"/>
        <v/>
      </c>
      <c r="B835" s="11" t="s">
        <v>10</v>
      </c>
      <c r="C835" s="11" t="s">
        <v>1589</v>
      </c>
      <c r="D835" s="15" t="s">
        <v>60</v>
      </c>
      <c r="E835" s="11" t="s">
        <v>61</v>
      </c>
      <c r="F835" s="11" t="s">
        <v>1592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10</v>
      </c>
      <c r="C836" s="11" t="s">
        <v>1701</v>
      </c>
      <c r="D836" s="11" t="s">
        <v>57</v>
      </c>
      <c r="E836" s="11" t="s">
        <v>61</v>
      </c>
      <c r="F836" s="11" t="s">
        <v>1702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832</v>
      </c>
      <c r="D837" s="15" t="s">
        <v>45</v>
      </c>
      <c r="E837" s="11" t="s">
        <v>61</v>
      </c>
      <c r="F837" s="11" t="s">
        <v>833</v>
      </c>
      <c r="G837" s="12">
        <v>1895</v>
      </c>
      <c r="H837" s="12"/>
      <c r="I837" s="12"/>
      <c r="J837" s="12">
        <v>1885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1885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1541</v>
      </c>
      <c r="D838" s="15" t="s">
        <v>45</v>
      </c>
      <c r="E838" s="11" t="s">
        <v>61</v>
      </c>
      <c r="F838" s="11" t="s">
        <v>1542</v>
      </c>
      <c r="G838" s="12">
        <v>1895</v>
      </c>
      <c r="H838" s="12"/>
      <c r="I838" s="12"/>
      <c r="J838" s="12">
        <v>1885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1885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1252</v>
      </c>
      <c r="D839" s="11" t="s">
        <v>71</v>
      </c>
      <c r="E839" s="11" t="s">
        <v>61</v>
      </c>
      <c r="F839" s="11" t="s">
        <v>1253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1385</v>
      </c>
      <c r="D840" s="15" t="s">
        <v>60</v>
      </c>
      <c r="E840" s="11" t="s">
        <v>61</v>
      </c>
      <c r="F840" s="11" t="s">
        <v>1386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757</v>
      </c>
      <c r="D841" s="15" t="s">
        <v>80</v>
      </c>
      <c r="E841" s="11" t="s">
        <v>61</v>
      </c>
      <c r="F841" s="11" t="s">
        <v>758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859</v>
      </c>
      <c r="D842" s="15" t="s">
        <v>80</v>
      </c>
      <c r="E842" s="11" t="s">
        <v>26</v>
      </c>
      <c r="F842" s="11" t="s">
        <v>860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1642</v>
      </c>
      <c r="D843" s="15" t="s">
        <v>45</v>
      </c>
      <c r="E843" s="11" t="s">
        <v>26</v>
      </c>
      <c r="F843" s="11" t="s">
        <v>1643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14</v>
      </c>
      <c r="C844" s="11" t="s">
        <v>1691</v>
      </c>
      <c r="D844" s="11" t="s">
        <v>57</v>
      </c>
      <c r="E844" s="11" t="s">
        <v>61</v>
      </c>
      <c r="F844" s="11" t="s">
        <v>1692</v>
      </c>
      <c r="G844" s="12">
        <v>1898</v>
      </c>
      <c r="H844" s="12"/>
      <c r="I844" s="12"/>
      <c r="J844" s="12">
        <v>1881</v>
      </c>
      <c r="K844" s="12">
        <f t="shared" si="171"/>
        <v>0</v>
      </c>
      <c r="L844" s="12">
        <f t="shared" si="159"/>
        <v>1898</v>
      </c>
      <c r="M844" s="12" t="str">
        <f t="shared" si="160"/>
        <v/>
      </c>
      <c r="N844" s="12">
        <f t="shared" si="161"/>
        <v>1881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1308</v>
      </c>
      <c r="D845" s="15" t="s">
        <v>45</v>
      </c>
      <c r="E845" s="11" t="s">
        <v>26</v>
      </c>
      <c r="F845" s="11" t="s">
        <v>1309</v>
      </c>
      <c r="G845" s="12">
        <v>1899</v>
      </c>
      <c r="H845" s="12"/>
      <c r="I845" s="12"/>
      <c r="J845" s="12">
        <v>1849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1849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14</v>
      </c>
      <c r="C846" s="11" t="s">
        <v>780</v>
      </c>
      <c r="D846" s="11" t="s">
        <v>71</v>
      </c>
      <c r="E846" s="11" t="s">
        <v>26</v>
      </c>
      <c r="F846" s="11" t="s">
        <v>781</v>
      </c>
      <c r="G846" s="12">
        <v>1899</v>
      </c>
      <c r="H846" s="12"/>
      <c r="I846" s="12"/>
      <c r="J846" s="12">
        <v>1869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1869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2" customFormat="1" ht="28.5" customHeight="1">
      <c r="A847" s="11" t="str">
        <f t="shared" ref="A847:A882" si="172">IF($T847="","",1+COUNTIF($W$15:$W$882,"&lt;"&amp;W847))</f>
        <v/>
      </c>
      <c r="B847" s="11" t="s">
        <v>14</v>
      </c>
      <c r="C847" s="11" t="s">
        <v>663</v>
      </c>
      <c r="D847" s="15" t="s">
        <v>80</v>
      </c>
      <c r="E847" s="11" t="s">
        <v>61</v>
      </c>
      <c r="F847" s="11" t="s">
        <v>664</v>
      </c>
      <c r="G847" s="12">
        <v>1899</v>
      </c>
      <c r="H847" s="12"/>
      <c r="I847" s="12"/>
      <c r="J847" s="12">
        <v>1870</v>
      </c>
      <c r="K847" s="12">
        <f t="shared" si="171"/>
        <v>0</v>
      </c>
      <c r="L847" s="12">
        <f t="shared" ref="L847:L882" si="173">IF($G847="","",$G847+$K847)</f>
        <v>1899</v>
      </c>
      <c r="M847" s="12" t="str">
        <f t="shared" ref="M847:M882" si="174">IF($H847="","",$H847+$K847)</f>
        <v/>
      </c>
      <c r="N847" s="12">
        <f t="shared" ref="N847:N882" si="175">IF($J847="","",$J847+$K847)</f>
        <v>1870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1221</v>
      </c>
      <c r="D851" s="11" t="s">
        <v>71</v>
      </c>
      <c r="E851" s="11" t="s">
        <v>61</v>
      </c>
      <c r="F851" s="11" t="s">
        <v>1222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16" customFormat="1" ht="28.5" customHeight="1">
      <c r="A852" s="11" t="str">
        <f t="shared" si="172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1894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1328</v>
      </c>
      <c r="D853" s="15" t="s">
        <v>45</v>
      </c>
      <c r="E853" s="11" t="s">
        <v>26</v>
      </c>
      <c r="F853" s="11" t="s">
        <v>1329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10</v>
      </c>
      <c r="C854" s="11" t="s">
        <v>1165</v>
      </c>
      <c r="D854" s="15" t="s">
        <v>45</v>
      </c>
      <c r="E854" s="11" t="s">
        <v>26</v>
      </c>
      <c r="F854" s="11" t="s">
        <v>1166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16" customFormat="1" ht="28.5" customHeight="1">
      <c r="A855" s="11" t="str">
        <f t="shared" si="172"/>
        <v/>
      </c>
      <c r="B855" s="11" t="s">
        <v>10</v>
      </c>
      <c r="C855" s="11" t="s">
        <v>168</v>
      </c>
      <c r="D855" s="15" t="s">
        <v>60</v>
      </c>
      <c r="E855" s="11" t="s">
        <v>26</v>
      </c>
      <c r="F855" s="11" t="s">
        <v>169</v>
      </c>
      <c r="G855" s="12">
        <v>1899</v>
      </c>
      <c r="H855" s="12"/>
      <c r="I855" s="12"/>
      <c r="J855" s="12">
        <v>1899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521</v>
      </c>
      <c r="D856" s="15" t="s">
        <v>60</v>
      </c>
      <c r="E856" s="11" t="s">
        <v>61</v>
      </c>
      <c r="F856" s="11" t="s">
        <v>522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990</v>
      </c>
      <c r="D857" s="15" t="s">
        <v>60</v>
      </c>
      <c r="E857" s="11" t="s">
        <v>61</v>
      </c>
      <c r="F857" s="11" t="s">
        <v>991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1117</v>
      </c>
      <c r="D858" s="11" t="s">
        <v>57</v>
      </c>
      <c r="E858" s="11" t="s">
        <v>26</v>
      </c>
      <c r="F858" s="11" t="s">
        <v>1118</v>
      </c>
      <c r="G858" s="12">
        <v>1899</v>
      </c>
      <c r="H858" s="12"/>
      <c r="I858" s="12"/>
      <c r="J858" s="12">
        <v>1929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1929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12</v>
      </c>
      <c r="C859" s="11" t="s">
        <v>996</v>
      </c>
      <c r="D859" s="15" t="s">
        <v>45</v>
      </c>
      <c r="E859" s="11" t="s">
        <v>61</v>
      </c>
      <c r="F859" s="11" t="s">
        <v>997</v>
      </c>
      <c r="G859" s="12">
        <v>1899</v>
      </c>
      <c r="H859" s="12"/>
      <c r="I859" s="12"/>
      <c r="J859" s="12">
        <v>1948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1948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1644</v>
      </c>
      <c r="D860" s="15" t="s">
        <v>80</v>
      </c>
      <c r="E860" s="11" t="s">
        <v>61</v>
      </c>
      <c r="F860" s="11" t="s">
        <v>1645</v>
      </c>
      <c r="G860" s="12">
        <v>1908</v>
      </c>
      <c r="H860" s="12"/>
      <c r="I860" s="12"/>
      <c r="J860" s="12">
        <v>1878</v>
      </c>
      <c r="K860" s="12">
        <f t="shared" si="171"/>
        <v>0</v>
      </c>
      <c r="L860" s="12">
        <f t="shared" si="173"/>
        <v>1908</v>
      </c>
      <c r="M860" s="12" t="str">
        <f t="shared" si="174"/>
        <v/>
      </c>
      <c r="N860" s="12">
        <f t="shared" si="175"/>
        <v>1878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1860</v>
      </c>
      <c r="K861" s="12">
        <f t="shared" si="171"/>
        <v>0</v>
      </c>
      <c r="L861" s="12">
        <f t="shared" si="173"/>
        <v>1909</v>
      </c>
      <c r="M861" s="12" t="str">
        <f t="shared" si="174"/>
        <v/>
      </c>
      <c r="N861" s="12">
        <f t="shared" si="175"/>
        <v>1860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16" customFormat="1" ht="28.5" customHeight="1">
      <c r="A862" s="11" t="str">
        <f t="shared" si="172"/>
        <v/>
      </c>
      <c r="B862" s="11" t="s">
        <v>8</v>
      </c>
      <c r="C862" s="11" t="s">
        <v>174</v>
      </c>
      <c r="D862" s="15" t="s">
        <v>60</v>
      </c>
      <c r="E862" s="11" t="s">
        <v>61</v>
      </c>
      <c r="F862" s="11" t="s">
        <v>175</v>
      </c>
      <c r="G862" s="12">
        <v>1909</v>
      </c>
      <c r="H862" s="12"/>
      <c r="I862" s="12"/>
      <c r="J862" s="12">
        <v>1879</v>
      </c>
      <c r="K862" s="12">
        <f t="shared" ref="K862:K882" si="184">IF(AND(IFERROR(SEARCH("현대오일뱅크",$C862),0)&gt;0,IFERROR(SEARCH("직영",$C862),0)&gt;0),$B$13,0)</f>
        <v>0</v>
      </c>
      <c r="L862" s="12">
        <f t="shared" si="173"/>
        <v>1909</v>
      </c>
      <c r="M862" s="12" t="str">
        <f t="shared" si="174"/>
        <v/>
      </c>
      <c r="N862" s="12">
        <f t="shared" si="175"/>
        <v>1879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531</v>
      </c>
      <c r="D863" s="15" t="s">
        <v>80</v>
      </c>
      <c r="E863" s="11" t="s">
        <v>61</v>
      </c>
      <c r="F863" s="11" t="s">
        <v>532</v>
      </c>
      <c r="G863" s="12">
        <v>1919</v>
      </c>
      <c r="H863" s="12"/>
      <c r="I863" s="12"/>
      <c r="J863" s="12">
        <v>1906</v>
      </c>
      <c r="K863" s="12">
        <f t="shared" si="184"/>
        <v>0</v>
      </c>
      <c r="L863" s="12">
        <f t="shared" si="173"/>
        <v>1919</v>
      </c>
      <c r="M863" s="12" t="str">
        <f t="shared" si="174"/>
        <v/>
      </c>
      <c r="N863" s="12">
        <f t="shared" si="175"/>
        <v>1906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14</v>
      </c>
      <c r="C864" s="11" t="s">
        <v>853</v>
      </c>
      <c r="D864" s="15" t="s">
        <v>60</v>
      </c>
      <c r="E864" s="11" t="s">
        <v>26</v>
      </c>
      <c r="F864" s="11" t="s">
        <v>854</v>
      </c>
      <c r="G864" s="12">
        <v>1928</v>
      </c>
      <c r="H864" s="12"/>
      <c r="I864" s="12"/>
      <c r="J864" s="12">
        <v>1918</v>
      </c>
      <c r="K864" s="12">
        <f t="shared" si="184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1918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12</v>
      </c>
      <c r="C865" s="11" t="s">
        <v>741</v>
      </c>
      <c r="D865" s="15" t="s">
        <v>60</v>
      </c>
      <c r="E865" s="11" t="s">
        <v>61</v>
      </c>
      <c r="F865" s="11" t="s">
        <v>742</v>
      </c>
      <c r="G865" s="12">
        <v>1928</v>
      </c>
      <c r="H865" s="12"/>
      <c r="I865" s="12"/>
      <c r="J865" s="12">
        <v>1928</v>
      </c>
      <c r="K865" s="12">
        <f t="shared" si="184"/>
        <v>0</v>
      </c>
      <c r="L865" s="12">
        <f t="shared" si="173"/>
        <v>1928</v>
      </c>
      <c r="M865" s="12" t="str">
        <f t="shared" si="174"/>
        <v/>
      </c>
      <c r="N865" s="12">
        <f t="shared" si="175"/>
        <v>1928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7" customFormat="1" ht="28.5" customHeight="1">
      <c r="A866" s="11" t="str">
        <f t="shared" si="172"/>
        <v/>
      </c>
      <c r="B866" s="11" t="s">
        <v>10</v>
      </c>
      <c r="C866" s="11" t="s">
        <v>721</v>
      </c>
      <c r="D866" s="15" t="s">
        <v>80</v>
      </c>
      <c r="E866" s="11" t="s">
        <v>61</v>
      </c>
      <c r="F866" s="11" t="s">
        <v>722</v>
      </c>
      <c r="G866" s="12">
        <v>1929</v>
      </c>
      <c r="H866" s="12"/>
      <c r="I866" s="12"/>
      <c r="J866" s="12">
        <v>1895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1895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12</v>
      </c>
      <c r="C867" s="11" t="s">
        <v>855</v>
      </c>
      <c r="D867" s="15" t="s">
        <v>45</v>
      </c>
      <c r="E867" s="11" t="s">
        <v>61</v>
      </c>
      <c r="F867" s="11" t="s">
        <v>856</v>
      </c>
      <c r="G867" s="12">
        <v>1929</v>
      </c>
      <c r="H867" s="12"/>
      <c r="I867" s="12"/>
      <c r="J867" s="12">
        <v>1928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1356</v>
      </c>
      <c r="D868" s="11" t="s">
        <v>57</v>
      </c>
      <c r="E868" s="11" t="s">
        <v>61</v>
      </c>
      <c r="F868" s="11" t="s">
        <v>1357</v>
      </c>
      <c r="G868" s="12">
        <v>1929</v>
      </c>
      <c r="H868" s="12"/>
      <c r="I868" s="12"/>
      <c r="J868" s="12">
        <v>1929</v>
      </c>
      <c r="K868" s="12">
        <f t="shared" si="184"/>
        <v>0</v>
      </c>
      <c r="L868" s="12">
        <f t="shared" si="173"/>
        <v>1929</v>
      </c>
      <c r="M868" s="12" t="str">
        <f t="shared" si="174"/>
        <v/>
      </c>
      <c r="N868" s="12">
        <f t="shared" si="175"/>
        <v>1929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621</v>
      </c>
      <c r="D869" s="11" t="s">
        <v>57</v>
      </c>
      <c r="E869" s="11" t="s">
        <v>61</v>
      </c>
      <c r="F869" s="11" t="s">
        <v>622</v>
      </c>
      <c r="G869" s="12">
        <v>1939</v>
      </c>
      <c r="H869" s="12"/>
      <c r="I869" s="12"/>
      <c r="J869" s="12">
        <v>1919</v>
      </c>
      <c r="K869" s="12">
        <f t="shared" si="184"/>
        <v>0</v>
      </c>
      <c r="L869" s="12">
        <f t="shared" si="173"/>
        <v>1939</v>
      </c>
      <c r="M869" s="12" t="str">
        <f t="shared" si="174"/>
        <v/>
      </c>
      <c r="N869" s="12">
        <f t="shared" si="175"/>
        <v>1919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10</v>
      </c>
      <c r="C870" s="11" t="s">
        <v>284</v>
      </c>
      <c r="D870" s="15" t="s">
        <v>80</v>
      </c>
      <c r="E870" s="11" t="s">
        <v>26</v>
      </c>
      <c r="F870" s="11" t="s">
        <v>285</v>
      </c>
      <c r="G870" s="12">
        <v>1945</v>
      </c>
      <c r="H870" s="12"/>
      <c r="I870" s="12"/>
      <c r="J870" s="12">
        <v>1945</v>
      </c>
      <c r="K870" s="12">
        <f t="shared" si="184"/>
        <v>0</v>
      </c>
      <c r="L870" s="12">
        <f t="shared" si="173"/>
        <v>1945</v>
      </c>
      <c r="M870" s="12" t="str">
        <f t="shared" si="174"/>
        <v/>
      </c>
      <c r="N870" s="12">
        <f t="shared" si="175"/>
        <v>1945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12</v>
      </c>
      <c r="C871" s="11" t="s">
        <v>1499</v>
      </c>
      <c r="D871" s="15" t="s">
        <v>57</v>
      </c>
      <c r="E871" s="11" t="s">
        <v>26</v>
      </c>
      <c r="F871" s="11" t="s">
        <v>1500</v>
      </c>
      <c r="G871" s="12">
        <v>1955</v>
      </c>
      <c r="H871" s="12"/>
      <c r="I871" s="12"/>
      <c r="J871" s="12">
        <v>1935</v>
      </c>
      <c r="K871" s="12">
        <f t="shared" si="184"/>
        <v>0</v>
      </c>
      <c r="L871" s="12">
        <f t="shared" si="173"/>
        <v>1955</v>
      </c>
      <c r="M871" s="12" t="str">
        <f t="shared" si="174"/>
        <v/>
      </c>
      <c r="N871" s="12">
        <f t="shared" si="175"/>
        <v>1935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6</v>
      </c>
      <c r="C872" s="11" t="s">
        <v>1722</v>
      </c>
      <c r="D872" s="15" t="s">
        <v>80</v>
      </c>
      <c r="E872" s="11" t="s">
        <v>26</v>
      </c>
      <c r="F872" s="11" t="s">
        <v>1724</v>
      </c>
      <c r="G872" s="12">
        <v>1977</v>
      </c>
      <c r="H872" s="12"/>
      <c r="I872" s="12"/>
      <c r="J872" s="12">
        <v>1977</v>
      </c>
      <c r="K872" s="12">
        <f t="shared" si="184"/>
        <v>0</v>
      </c>
      <c r="L872" s="12">
        <f t="shared" si="173"/>
        <v>1977</v>
      </c>
      <c r="M872" s="12" t="str">
        <f t="shared" si="174"/>
        <v/>
      </c>
      <c r="N872" s="12">
        <f t="shared" si="175"/>
        <v>1977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6</v>
      </c>
      <c r="C873" s="11" t="s">
        <v>788</v>
      </c>
      <c r="D873" s="15" t="s">
        <v>80</v>
      </c>
      <c r="E873" s="11" t="s">
        <v>26</v>
      </c>
      <c r="F873" s="11" t="s">
        <v>789</v>
      </c>
      <c r="G873" s="12">
        <v>2199</v>
      </c>
      <c r="H873" s="12"/>
      <c r="I873" s="12"/>
      <c r="J873" s="12">
        <v>2199</v>
      </c>
      <c r="K873" s="12">
        <f t="shared" si="184"/>
        <v>0</v>
      </c>
      <c r="L873" s="12">
        <f t="shared" si="173"/>
        <v>2199</v>
      </c>
      <c r="M873" s="12" t="str">
        <f t="shared" si="174"/>
        <v/>
      </c>
      <c r="N873" s="12">
        <f t="shared" si="175"/>
        <v>2199</v>
      </c>
      <c r="O873" s="12" t="str">
        <f t="shared" si="176"/>
        <v/>
      </c>
      <c r="P873" s="12" t="str">
        <f t="shared" si="177"/>
        <v/>
      </c>
      <c r="Q873" s="12" t="s">
        <v>63</v>
      </c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16" customFormat="1" ht="28.5" customHeight="1">
      <c r="A874" s="11" t="str">
        <f t="shared" si="172"/>
        <v/>
      </c>
      <c r="B874" s="11" t="s">
        <v>14</v>
      </c>
      <c r="C874" s="11" t="s">
        <v>671</v>
      </c>
      <c r="D874" s="15" t="s">
        <v>60</v>
      </c>
      <c r="E874" s="11" t="s">
        <v>61</v>
      </c>
      <c r="F874" s="11" t="s">
        <v>673</v>
      </c>
      <c r="G874" s="12">
        <v>1995</v>
      </c>
      <c r="H874" s="12"/>
      <c r="I874" s="12"/>
      <c r="J874" s="12">
        <v>1995</v>
      </c>
      <c r="K874" s="12">
        <f t="shared" si="184"/>
        <v>0</v>
      </c>
      <c r="L874" s="12">
        <f t="shared" si="173"/>
        <v>1995</v>
      </c>
      <c r="M874" s="12" t="str">
        <f t="shared" si="174"/>
        <v/>
      </c>
      <c r="N874" s="12">
        <f t="shared" si="175"/>
        <v>1995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14</v>
      </c>
      <c r="C875" s="11" t="s">
        <v>376</v>
      </c>
      <c r="D875" s="11" t="s">
        <v>57</v>
      </c>
      <c r="E875" s="11" t="s">
        <v>61</v>
      </c>
      <c r="F875" s="11" t="s">
        <v>377</v>
      </c>
      <c r="G875" s="12">
        <v>1999</v>
      </c>
      <c r="H875" s="12"/>
      <c r="I875" s="12"/>
      <c r="J875" s="12">
        <v>1989</v>
      </c>
      <c r="K875" s="12">
        <f t="shared" si="184"/>
        <v>0</v>
      </c>
      <c r="L875" s="12">
        <f t="shared" si="173"/>
        <v>1999</v>
      </c>
      <c r="M875" s="12" t="str">
        <f t="shared" si="174"/>
        <v/>
      </c>
      <c r="N875" s="12">
        <f t="shared" si="175"/>
        <v>1989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282</v>
      </c>
      <c r="D876" s="15" t="s">
        <v>45</v>
      </c>
      <c r="E876" s="11" t="s">
        <v>26</v>
      </c>
      <c r="F876" s="11" t="s">
        <v>283</v>
      </c>
      <c r="G876" s="12">
        <v>2080</v>
      </c>
      <c r="H876" s="12"/>
      <c r="I876" s="12"/>
      <c r="J876" s="12">
        <v>1807</v>
      </c>
      <c r="K876" s="12">
        <f t="shared" si="184"/>
        <v>0</v>
      </c>
      <c r="L876" s="12">
        <f t="shared" si="173"/>
        <v>2080</v>
      </c>
      <c r="M876" s="12" t="str">
        <f t="shared" si="174"/>
        <v/>
      </c>
      <c r="N876" s="12">
        <f t="shared" si="175"/>
        <v>1807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1593</v>
      </c>
      <c r="D877" s="15" t="s">
        <v>60</v>
      </c>
      <c r="E877" s="11" t="s">
        <v>61</v>
      </c>
      <c r="F877" s="11" t="s">
        <v>1594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144</v>
      </c>
      <c r="D878" s="11" t="s">
        <v>57</v>
      </c>
      <c r="E878" s="11" t="s">
        <v>61</v>
      </c>
      <c r="F878" s="11" t="s">
        <v>145</v>
      </c>
      <c r="G878" s="12"/>
      <c r="H878" s="12">
        <v>2357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2357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 t="s">
        <v>63</v>
      </c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160</v>
      </c>
      <c r="D879" s="15" t="s">
        <v>60</v>
      </c>
      <c r="E879" s="11" t="s">
        <v>26</v>
      </c>
      <c r="F879" s="11" t="s">
        <v>161</v>
      </c>
      <c r="G879" s="12"/>
      <c r="H879" s="12">
        <v>2459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2459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1000</v>
      </c>
      <c r="D880" s="11" t="s">
        <v>95</v>
      </c>
      <c r="E880" s="11" t="s">
        <v>26</v>
      </c>
      <c r="F880" s="11" t="s">
        <v>1001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63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16" customFormat="1" ht="28.5" customHeight="1">
      <c r="A881" s="11" t="str">
        <f t="shared" si="172"/>
        <v/>
      </c>
      <c r="B881" s="11" t="s">
        <v>10</v>
      </c>
      <c r="C881" s="11" t="s">
        <v>569</v>
      </c>
      <c r="D881" s="15" t="s">
        <v>80</v>
      </c>
      <c r="E881" s="11" t="s">
        <v>61</v>
      </c>
      <c r="F881" s="11" t="s">
        <v>571</v>
      </c>
      <c r="G881" s="12"/>
      <c r="H881" s="12"/>
      <c r="I881" s="12"/>
      <c r="J881" s="12">
        <v>1899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1899</v>
      </c>
      <c r="O881" s="12" t="str">
        <f t="shared" si="176"/>
        <v/>
      </c>
      <c r="P881" s="12" t="str">
        <f t="shared" si="177"/>
        <v/>
      </c>
      <c r="Q881" s="12" t="s">
        <v>63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94</v>
      </c>
      <c r="D882" s="11" t="s">
        <v>95</v>
      </c>
      <c r="E882" s="11" t="s">
        <v>61</v>
      </c>
      <c r="F882" s="11" t="s">
        <v>96</v>
      </c>
      <c r="G882" s="12"/>
      <c r="H882" s="12"/>
      <c r="I882" s="12"/>
      <c r="J882" s="12">
        <v>1970</v>
      </c>
      <c r="K882" s="12">
        <f t="shared" si="184"/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