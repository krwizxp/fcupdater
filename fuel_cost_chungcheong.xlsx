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<sst xmlns="http://schemas.openxmlformats.org/spreadsheetml/2006/main" count="4722" uniqueCount="1757">
  <si>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</si>
  <si>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</si>
  <si>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</si>
  <si>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</si>
  <si>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</si>
  <si>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</si>
  <si>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</si>
  <si>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</si>
  <si>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</si>
  <si>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</si>
  <si>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</si>
  <si>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</si>
  <si>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</si>
  <si>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</si>
  <si>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</si>
  <si>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</si>
  <si>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</si>
  <si>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</si>
  <si>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</si>
  <si>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</si>
  <si>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</si>
  <si>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</si>
  <si>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</si>
  <si>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</si>
  <si>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</si>
  <si>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</si>
  <si>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</si>
  <si>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</si>
  <si>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</si>
  <si>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</si>
  <si>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</si>
  <si>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</si>
  <si>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</si>
  <si>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</si>
  <si>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</si>
  <si>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</si>
  <si>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</si>
  <si>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</si>
  <si>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</si>
  <si>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</si>
  <si>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</si>
  <si>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</si>
  <si>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</si>
  <si>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</si>
  <si>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</si>
  <si>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</si>
  <si>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</si>
  <si>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</si>
  <si>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</si>
  <si>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</si>
  <si>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</si>
  <si>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</si>
  <si>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</si>
  <si>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</si>
  <si>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</si>
  <si>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</si>
  <si>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</si>
  <si>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</si>
  <si>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</si>
  <si>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</si>
  <si>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</si>
  <si>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</si>
  <si>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</si>
  <si>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</si>
  <si>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</si>
  <si>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</si>
  <si>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</si>
  <si>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</si>
  <si>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</si>
  <si>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</si>
  <si>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</si>
  <si>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</si>
  <si>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</si>
  <si>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</si>
  <si>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</si>
  <si>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</si>
  <si>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</si>
  <si>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</si>
  <si>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</si>
  <si>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</si>
  <si>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</si>
  <si>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</si>
  <si>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</si>
  <si>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</si>
  <si>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</si>
  <si>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</si>
  <si>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</si>
  <si>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</si>
  <si>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</si>
  <si>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</si>
  <si>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</si>
  <si>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</si>
  <si>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</si>
  <si>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</si>
  <si>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</si>
  <si>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</si>
  <si>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</si>
  <si>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</si>
  <si>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</si>
  <si>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</si>
  <si>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</si>
  <si>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</si>
  <si>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</si>
  <si>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</si>
  <si>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</si>
  <si>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</si>
  <si>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</si>
  <si>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</si>
  <si>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</si>
  <si>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</si>
  <si>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</si>
  <si>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</si>
  <si>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</si>
  <si>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</si>
  <si>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</si>
  <si>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</si>
  <si>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</si>
  <si>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</si>
  <si>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</si>
  <si>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</si>
  <si>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</si>
  <si>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</si>
  <si>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</si>
  <si>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</si>
  <si>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</si>
  <si>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</si>
  <si>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</si>
  <si>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</si>
  <si>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</si>
  <si>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</si>
  <si>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</si>
  <si>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</si>
  <si>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</si>
  <si>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</si>
  <si>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</si>
  <si>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</si>
  <si>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</si>
  <si>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</si>
  <si>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</si>
  <si>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</si>
  <si>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</si>
  <si>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</si>
  <si>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</si>
  <si>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</si>
  <si>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</si>
  <si>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</si>
  <si>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</si>
  <si>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</si>
  <si>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</si>
  <si>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</si>
  <si>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</si>
  <si>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</si>
  <si>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</si>
  <si>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</si>
  <si>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</si>
  <si>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</si>
  <si>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</si>
  <si>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</si>
  <si>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</si>
  <si>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</si>
  <si>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</si>
  <si>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</si>
  <si>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</si>
  <si>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</si>
  <si>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</si>
  <si>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</si>
  <si>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</si>
  <si>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</si>
  <si>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</si>
  <si>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</si>
  <si>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</si>
  <si>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</si>
  <si>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</si>
  <si>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</si>
  <si>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</si>
  <si>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</si>
  <si>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</si>
  <si>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</si>
  <si>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</si>
  <si>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</si>
  <si>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</si>
  <si>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</si>
  <si>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</si>
  <si>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</si>
  <si>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</si>
  <si>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</si>
  <si>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</si>
  <si>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</si>
  <si>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</si>
  <si>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</si>
  <si>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</si>
  <si>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</si>
  <si>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</si>
  <si>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</si>
  <si>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</si>
  <si>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</si>
  <si>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</si>
  <si>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</si>
  <si>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</si>
  <si>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</si>
  <si>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</si>
  <si>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</si>
  <si>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</si>
  <si>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</si>
  <si>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</si>
  <si>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</si>
  <si>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</si>
  <si>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</si>
  <si>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</si>
  <si>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</si>
  <si>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</si>
  <si>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</si>
  <si>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</si>
  <si>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</si>
  <si>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</si>
  <si>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</si>
  <si>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</si>
  <si>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</si>
  <si>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</si>
  <si>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</si>
  <si>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</si>
  <si>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</si>
  <si>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</si>
  <si>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</si>
  <si>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</si>
  <si>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</si>
  <si>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</si>
  <si>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</si>
  <si>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</si>
  <si>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</si>
  <si>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</si>
  <si>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</si>
  <si>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</si>
  <si>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</si>
  <si>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</si>
  <si>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</si>
  <si>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</si>
  <si>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</si>
  <si>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</si>
  <si>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</si>
  <si>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</si>
  <si>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</si>
  <si>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</si>
  <si>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</si>
  <si>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</si>
  <si>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</si>
  <si>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</si>
  <si>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</si>
  <si>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</si>
  <si>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</si>
  <si>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</si>
  <si>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</si>
  <si>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</si>
  <si>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</si>
  <si>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</si>
  <si>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</si>
  <si>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</si>
  <si>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</si>
  <si>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</si>
  <si>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</si>
  <si>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</si>
  <si>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</si>
  <si>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</si>
  <si>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</si>
  <si>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</si>
  <si>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</si>
  <si>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</si>
  <si>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</si>
  <si>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</si>
  <si>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</si>
  <si>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</si>
  <si>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</si>
  <si>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</si>
  <si>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</si>
  <si>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</si>
  <si>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</si>
  <si>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</si>
  <si>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</si>
  <si>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</si>
  <si>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</si>
  <si>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</si>
  <si>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</si>
  <si>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</si>
  <si>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</si>
  <si>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</si>
  <si>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</si>
  <si>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</si>
  <si>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</si>
  <si>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</si>
  <si>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</si>
  <si>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</si>
  <si>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</si>
  <si>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</si>
  <si>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</si>
  <si>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</si>
  <si>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</si>
  <si>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</si>
  <si>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</si>
  <si>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</si>
  <si>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</si>
  <si>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</si>
  <si>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</si>
  <si>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</si>
  <si>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</si>
  <si>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</si>
  <si>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</si>
  <si>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</si>
  <si>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</si>
  <si>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</si>
  <si>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</si>
  <si>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</si>
  <si>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</si>
  <si>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</si>
  <si>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</si>
  <si>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</si>
  <si>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</si>
  <si>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</si>
  <si>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</si>
  <si>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</si>
  <si>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</si>
  <si>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</si>
  <si>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</si>
  <si>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</si>
  <si>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</si>
  <si>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</si>
  <si>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</si>
  <si>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</si>
  <si>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</si>
  <si>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</si>
  <si>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</si>
  <si>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</si>
  <si>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</si>
  <si>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</si>
  <si>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</si>
  <si>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</si>
  <si>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</si>
  <si>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</si>
  <si>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</si>
  <si>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</si>
  <si>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</si>
  <si>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</si>
  <si>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</si>
  <si>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</si>
  <si>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</si>
  <si>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</si>
  <si>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</si>
  <si>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</si>
  <si>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</si>
  <si>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</si>
  <si>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</si>
  <si>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</si>
  <si>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</si>
  <si>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</si>
  <si>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</si>
  <si>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</si>
  <si>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</si>
  <si>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</si>
  <si>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</si>
  <si>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</si>
  <si>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</si>
  <si>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</si>
  <si>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</si>
  <si>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</si>
  <si>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</si>
  <si>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</si>
  <si>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</si>
  <si>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</si>
  <si>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</si>
  <si>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</si>
  <si>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</si>
  <si>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</si>
  <si>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</si>
  <si>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</si>
  <si>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</si>
  <si>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</si>
  <si>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</si>
  <si>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</si>
  <si>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</si>
  <si>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</si>
  <si>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</si>
  <si>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</si>
  <si>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</si>
  <si>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</si>
  <si>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</si>
  <si>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</si>
  <si>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</si>
  <si>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</si>
  <si>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</si>
  <si>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</si>
  <si>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</si>
  <si>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</si>
  <si>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</si>
  <si>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</si>
  <si>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</si>
  <si>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</si>
  <si>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</si>
  <si>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</si>
  <si>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</si>
  <si>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</si>
  <si>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</si>
  <si>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</si>
  <si>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</si>
  <si>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</si>
  <si>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</si>
  <si>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</si>
  <si>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</si>
  <si>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</si>
  <si>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</si>
  <si>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</si>
  <si>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</si>
  <si>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</si>
  <si>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</si>
  <si>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</si>
  <si>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</si>
  <si>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</si>
  <si>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</si>
  <si>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</si>
  <si>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</si>
  <si>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</si>
  <si>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</si>
  <si>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</si>
  <si>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</si>
  <si>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</si>
  <si>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</si>
  <si>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</si>
  <si>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</si>
  <si>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</si>
  <si>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</si>
  <si>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</si>
  <si>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</si>
  <si>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</si>
  <si>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</si>
  <si>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</si>
  <si>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</si>
  <si>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</si>
  <si>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</si>
  <si>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</si>
  <si>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</si>
  <si>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</si>
  <si>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</si>
  <si>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</si>
  <si>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</si>
  <si>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</si>
  <si>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</si>
  <si>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</si>
  <si>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</si>
  <si>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</si>
  <si>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</si>
  <si>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</si>
  <si>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</si>
  <si>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</si>
  <si>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</si>
  <si>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</si>
  <si>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</si>
  <si>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</si>
  <si>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</si>
  <si>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</si>
  <si>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</si>
  <si>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</si>
  <si>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</si>
  <si>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</si>
  <si>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</si>
  <si>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</si>
  <si>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</si>
  <si>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</si>
  <si>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</si>
  <si>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</si>
  <si>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</si>
  <si>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</si>
  <si>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</si>
  <si>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</si>
  <si>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</si>
  <si>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</si>
  <si>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</si>
  <si>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</si>
  <si>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</si>
  <si>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</si>
  <si>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</si>
  <si>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</si>
  <si>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</si>
  <si>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</si>
  <si>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</si>
  <si>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</si>
  <si>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</si>
  <si>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</si>
  <si>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</si>
  <si>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</si>
  <si>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</si>
  <si>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</si>
  <si>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</si>
  <si>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</si>
  <si>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</si>
  <si>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</si>
  <si>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</si>
  <si>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</si>
  <si>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</si>
  <si>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</si>
  <si>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</si>
  <si>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</si>
  <si>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</si>
  <si>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</si>
  <si>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</si>
  <si>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</si>
  <si>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</si>
  <si>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</si>
  <si>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</si>
  <si>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</si>
  <si>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</si>
  <si>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</si>
  <si>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</si>
  <si>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</si>
  <si>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</si>
  <si>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</si>
  <si>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</si>
  <si>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</si>
  <si>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</si>
  <si>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</si>
  <si>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</si>
  <si>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</si>
  <si>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</si>
  <si>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</si>
  <si>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</si>
  <si>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</si>
  <si>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</si>
  <si>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</si>
  <si>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</si>
  <si>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</si>
  <si>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</si>
  <si>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</si>
  <si>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</si>
  <si>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</si>
  <si>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</si>
  <si>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</si>
  <si>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</si>
  <si>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</si>
  <si>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</si>
  <si>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</si>
  <si>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</si>
  <si>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</si>
  <si>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</si>
  <si>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</si>
  <si>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</si>
  <si>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</si>
  <si>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</si>
  <si>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</si>
  <si>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</si>
  <si>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</si>
  <si>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</si>
  <si>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</si>
  <si>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</si>
  <si>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</si>
  <si>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</si>
  <si>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</si>
  <si>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</si>
  <si>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</si>
  <si>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</si>
  <si>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</si>
  <si>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</si>
  <si>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</si>
  <si>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</si>
  <si>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</si>
  <si>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</si>
  <si>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</si>
  <si>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</si>
  <si>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</si>
  <si>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</si>
  <si>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</si>
  <si>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</si>
  <si>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</si>
  <si>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</si>
  <si>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</si>
  <si>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</si>
  <si>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</si>
  <si>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</si>
  <si>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</si>
  <si>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</si>
  <si>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</si>
  <si>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</si>
  <si>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</si>
  <si>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</si>
  <si>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</si>
  <si>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</si>
  <si>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</si>
  <si>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</si>
  <si>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</si>
  <si>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</si>
  <si>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</si>
  <si>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</si>
  <si>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</si>
  <si>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</si>
  <si>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</si>
  <si>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</si>
  <si>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</si>
  <si>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</si>
  <si>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</si>
  <si>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</si>
  <si>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</si>
  <si>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</si>
  <si>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</si>
  <si>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</si>
  <si>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</si>
  <si>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</si>
  <si>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</si>
  <si>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</si>
  <si>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</si>
  <si>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</si>
  <si>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</si>
  <si>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</si>
  <si>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</si>
  <si>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</si>
  <si>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</si>
  <si>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</si>
  <si>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</si>
  <si>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</si>
  <si>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</si>
  <si>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</si>
  <si>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</si>
  <si>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</si>
  <si>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</si>
  <si>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</si>
  <si>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</si>
  <si>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</si>
  <si>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</si>
  <si>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</si>
  <si>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</si>
  <si>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</si>
  <si>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</si>
  <si>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</si>
  <si>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</si>
  <si>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</si>
  <si>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</si>
  <si>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</si>
  <si>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</si>
  <si>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</si>
  <si>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</si>
  <si>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</si>
  <si>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</si>
  <si>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</si>
  <si>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</si>
  <si>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</si>
  <si>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</si>
  <si>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</si>
  <si>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</si>
  <si>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</si>
  <si>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</si>
  <si>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</si>
  <si>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</si>
  <si>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</si>
  <si>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</si>
  <si>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</si>
  <si>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</si>
  <si>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</si>
  <si>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</si>
  <si>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</si>
  <si>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</si>
  <si>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</si>
  <si>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</si>
  <si>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</si>
  <si>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</si>
  <si>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</si>
  <si>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</si>
  <si>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</si>
  <si>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</si>
  <si>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</si>
  <si>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</si>
  <si>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</si>
  <si>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</si>
  <si>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</si>
  <si>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</si>
  <si>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</si>
  <si>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</si>
  <si>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</si>
  <si>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</si>
  <si>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</si>
  <si>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</si>
  <si>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</si>
  <si>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</si>
  <si>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</si>
  <si>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</si>
  <si>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</si>
  <si>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</si>
  <si>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</si>
  <si>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</si>
  <si>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</si>
  <si>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</si>
  <si>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</si>
  <si>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</si>
  <si>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</si>
  <si>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</si>
  <si>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</si>
  <si>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</si>
  <si>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</si>
  <si>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</si>
  <si>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</si>
  <si>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</si>
  <si>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</si>
  <si>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</si>
  <si>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</si>
  <si>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</si>
  <si>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</si>
  <si>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</si>
  <si>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</si>
  <si>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</si>
  <si>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</si>
  <si>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</si>
  <si>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</si>
  <si>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</si>
  <si>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</si>
  <si>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</si>
  <si>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</si>
  <si>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</si>
  <si>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</si>
  <si>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</si>
  <si>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</si>
  <si>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</si>
  <si>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</si>
  <si>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</si>
  <si>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</si>
  <si>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</si>
  <si>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</si>
  <si>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</si>
  <si>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</si>
  <si>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</si>
  <si>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</si>
  <si>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</si>
  <si>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</si>
  <si>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</si>
  <si>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</si>
  <si>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</si>
  <si>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</si>
  <si>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</si>
  <si>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</si>
  <si>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</si>
  <si>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</si>
  <si>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</si>
  <si>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</si>
  <si>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</si>
  <si>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</si>
  <si>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</si>
  <si>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</si>
  <si>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</si>
  <si>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</si>
  <si>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</si>
  <si>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</si>
  <si>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</si>
  <si>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</si>
  <si>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</si>
  <si>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</si>
  <si>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</si>
  <si>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</si>
  <si>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</si>
  <si>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</si>
  <si>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</si>
  <si>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</si>
  <si>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</si>
  <si>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</si>
  <si>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</si>
  <si>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</si>
  <si>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</si>
  <si>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</si>
  <si>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</si>
  <si>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</si>
  <si>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</si>
  <si>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</si>
  <si>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</si>
  <si>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</si>
  <si>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</si>
  <si>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</si>
  <si>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</si>
  <si>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</si>
  <si>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</si>
  <si>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</si>
  <si>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</si>
  <si>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</si>
  <si>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</si>
  <si>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</si>
  <si>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</si>
  <si>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</si>
  <si>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</si>
  <si>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</si>
  <si>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</si>
  <si>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</si>
  <si>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</si>
  <si>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</si>
  <si>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</si>
  <si>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</si>
  <si>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</si>
  <si>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</si>
  <si>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</si>
  <si>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</si>
  <si>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</si>
  <si>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</si>
  <si>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</si>
  <si>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</si>
  <si>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</si>
  <si>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</si>
  <si>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</si>
  <si>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</si>
  <si>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</si>
  <si>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</si>
  <si>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</si>
  <si>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</si>
  <si>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</si>
  <si>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</si>
  <si>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</si>
  <si>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</si>
  <si>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</si>
  <si>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</si>
  <si>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</si>
  <si>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</si>
  <si>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</si>
  <si>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</si>
  <si>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</si>
  <si>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</si>
  <si>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</si>
  <si>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</si>
  <si>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</si>
  <si>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</si>
  <si>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</si>
  <si>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</si>
  <si>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</si>
  <si>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</si>
  <si>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</si>
  <si>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</si>
  <si>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</si>
  <si>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</si>
  <si>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</si>
  <si>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</si>
  <si>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</si>
  <si>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</si>
  <si>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</si>
  <si>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</si>
  <si>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</si>
  <si>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</si>
  <si>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</si>
  <si>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</si>
  <si>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</si>
  <si>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</si>
  <si>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</si>
  <si>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</si>
  <si>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</si>
  <si>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</si>
  <si>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</si>
  <si>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</si>
  <si>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</si>
  <si>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</si>
  <si>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</si>
  <si>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</si>
  <si>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</si>
  <si>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</si>
  <si>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</si>
  <si>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</si>
  <si>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</si>
  <si>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</si>
  <si>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</si>
  <si>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</si>
  <si>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</si>
  <si>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</si>
  <si>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</si>
  <si>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</si>
  <si>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</si>
  <si>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</si>
  <si>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</si>
  <si>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</si>
  <si>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</si>
  <si>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</si>
  <si>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</si>
  <si>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</si>
  <si>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</si>
  <si>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</si>
  <si>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</si>
  <si>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</si>
  <si>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</si>
  <si>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</si>
  <si>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</si>
  <si>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</si>
  <si>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</si>
  <si>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</si>
  <si>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</si>
  <si>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</si>
  <si>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</si>
  <si>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</si>
  <si>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</si>
  <si>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</si>
  <si>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</si>
  <si>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</si>
  <si>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</si>
  <si>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</si>
  <si>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</si>
  <si>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</si>
  <si>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</si>
  <si>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</si>
  <si>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</si>
  <si>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</si>
  <si>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</si>
  <si>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</si>
  <si>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</si>
  <si>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</si>
  <si>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</si>
  <si>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</si>
  <si>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</si>
  <si>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</si>
  <si>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</si>
  <si>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</si>
  <si>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</si>
  <si>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</si>
  <si>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</si>
  <si>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</si>
  <si>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</si>
  <si>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</si>
  <si>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</si>
  <si>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</si>
  <si>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</si>
  <si>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</si>
  <si>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</si>
  <si>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</si>
  <si>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</si>
  <si>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</si>
  <si>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</si>
  <si>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</si>
  <si>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</si>
  <si>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</si>
  <si>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</si>
  <si>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</si>
  <si>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</si>
  <si>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</si>
  <si>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</si>
  <si>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</si>
  <si>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</si>
  <si>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</si>
  <si>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</si>
  <si>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</si>
  <si>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</si>
  <si>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</si>
  <si>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</si>
  <si>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</si>
  <si>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</si>
  <si>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</si>
  <si>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</si>
  <si>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</si>
  <si>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</si>
  <si>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</si>
  <si>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</si>
  <si>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</si>
  <si>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</si>
  <si>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</si>
  <si>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</si>
  <si>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</si>
  <si>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</si>
  <si>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</si>
  <si>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</si>
  <si>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</si>
  <si>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</si>
  <si>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</si>
  <si>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</si>
  <si>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</si>
  <si>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</si>
  <si>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</si>
  <si>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</si>
  <si>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</si>
  <si>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</si>
  <si>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</si>
  <si>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</si>
  <si>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</si>
  <si>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</si>
  <si>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</si>
  <si>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</si>
  <si>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</si>
  <si>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</si>
  <si>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</si>
  <si>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</si>
  <si>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</si>
  <si>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</si>
  <si>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</si>
  <si>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</si>
  <si>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</si>
  <si>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</si>
  <si>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</si>
  <si>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</si>
  <si>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</si>
  <si>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</si>
  <si>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</si>
  <si>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</si>
  <si>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</si>
  <si>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</si>
  <si>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</si>
  <si>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</si>
  <si>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</si>
  <si>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</si>
  <si>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</si>
  <si>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</si>
  <si>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</si>
  <si>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</si>
  <si>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</si>
  <si>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</si>
  <si>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</si>
  <si>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</si>
  <si>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</si>
  <si>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</si>
  <si>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</si>
  <si>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</si>
  <si>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</si>
  <si>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</si>
  <si>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</si>
  <si>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</si>
  <si>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</si>
  <si>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</si>
  <si>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</si>
  <si>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</si>
  <si>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</si>
  <si>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</si>
  <si>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</si>
  <si>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</si>
  <si>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</si>
  <si>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</si>
  <si>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</si>
  <si>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</si>
  <si>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</si>
  <si>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</si>
  <si>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</si>
  <si>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</si>
  <si>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</si>
  <si>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</si>
  <si>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</si>
  <si>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</si>
  <si>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</si>
  <si>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</si>
  <si>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</si>
  <si>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</si>
  <si>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</si>
  <si>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</si>
  <si>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</si>
  <si>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</si>
  <si>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</si>
  <si>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</si>
  <si>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</si>
  <si>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</si>
  <si>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</si>
  <si>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</si>
  <si>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</si>
  <si>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</si>
  <si>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</si>
  <si>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</si>
  <si>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</si>
  <si>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</si>
  <si>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</si>
  <si>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</si>
  <si>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</si>
  <si>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</si>
  <si>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</si>
  <si>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</si>
  <si>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</si>
  <si>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</si>
  <si>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</si>
  <si>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</si>
  <si>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</si>
  <si>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</si>
  <si>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</si>
  <si>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</si>
  <si>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</si>
  <si>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</si>
  <si>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</si>
  <si>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</si>
  <si>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</si>
  <si>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</si>
  <si>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</si>
  <si>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</si>
  <si>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</si>
  <si>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</si>
  <si>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</si>
  <si>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</si>
  <si>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</si>
  <si>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</si>
  <si>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</si>
  <si>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</si>
  <si>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</si>
  <si>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</si>
  <si>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</si>
  <si>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</si>
  <si>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</si>
  <si>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</si>
  <si>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</si>
  <si>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</si>
  <si>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</si>
  <si>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</si>
  <si>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</si>
  <si>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</si>
  <si>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</si>
  <si>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</si>
  <si>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</si>
  <si>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</si>
  <si>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</si>
  <si>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</si>
  <si>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</si>
  <si>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</si>
  <si>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</si>
  <si>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</si>
  <si>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</si>
  <si>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</si>
  <si>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</si>
  <si>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</si>
  <si>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</si>
  <si>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</si>
  <si>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</si>
  <si>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</si>
  <si>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</si>
  <si>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</si>
  <si>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</si>
  <si>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</si>
  <si>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</si>
  <si>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</si>
  <si>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</si>
  <si>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</si>
  <si>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</si>
  <si>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</si>
  <si>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</si>
  <si>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</si>
  <si>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</si>
  <si>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</si>
  <si>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</si>
  <si>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</si>
  <si>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</si>
  <si>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</si>
  <si>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</si>
  <si>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</si>
  <si>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</si>
  <si>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</si>
  <si>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</si>
  <si>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</si>
  <si>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</si>
  <si>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</si>
  <si>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</si>
  <si>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</si>
  <si>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</si>
  <si>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</si>
  <si>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</si>
  <si>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</si>
  <si>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</si>
  <si>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</si>
  <si>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</si>
  <si>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</si>
  <si>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</si>
  <si>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</si>
  <si>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</si>
  <si>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</si>
  <si>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</si>
  <si>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</si>
  <si>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</si>
  <si>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</si>
  <si>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</si>
  <si>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</si>
  <si>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</si>
  <si>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</si>
  <si>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</si>
  <si>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</si>
  <si>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</si>
  <si>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</si>
  <si>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</si>
  <si>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</si>
  <si>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</si>
  <si>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</si>
  <si>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</si>
  <si>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</si>
  <si>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</si>
  <si>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</si>
  <si>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</si>
  <si>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</si>
  <si>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</si>
  <si>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</si>
  <si>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</si>
  <si>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</si>
  <si>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</si>
  <si>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</si>
  <si>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</si>
  <si>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</si>
  <si>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</si>
  <si>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</si>
  <si>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</si>
  <si>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</si>
  <si>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</si>
  <si>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</si>
  <si>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</si>
  <si>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</si>
  <si>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</si>
  <si>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</si>
  <si>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</si>
  <si>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</si>
  <si>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</si>
  <si>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</si>
  <si>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</si>
  <si>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</si>
  <si>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</si>
  <si>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</si>
  <si>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</si>
  <si>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</si>
  <si>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</si>
  <si>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</si>
  <si>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</si>
  <si>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</si>
  <si>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</si>
  <si>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</si>
  <si>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</si>
  <si>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</si>
  <si>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</si>
  <si>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</si>
  <si>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</si>
  <si>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</si>
  <si>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</si>
  <si>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</si>
  <si>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</si>
  <si>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</si>
  <si>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</si>
  <si>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</si>
  <si>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</si>
  <si>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</si>
  <si>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</si>
  <si>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</si>
  <si>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</si>
  <si>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</si>
  <si>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</si>
  <si>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</si>
  <si>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</si>
  <si>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</si>
  <si>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</si>
  <si>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</si>
  <si>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</si>
  <si>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</si>
  <si>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</si>
  <si>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</si>
  <si>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</si>
  <si>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</si>
  <si>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</si>
  <si>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</si>
  <si>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</si>
  <si>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</si>
  <si>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</si>
  <si>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</si>
  <si>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</si>
  <si>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</si>
  <si>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</si>
  <si>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</si>
  <si>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</si>
  <si>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</si>
  <si>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</si>
  <si>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</si>
  <si>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</si>
  <si>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</si>
  <si>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</si>
  <si>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</si>
  <si>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</si>
  <si>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</si>
  <si>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</si>
  <si>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</si>
  <si>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</si>
  <si>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</si>
  <si>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</si>
  <si>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</si>
  <si>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</si>
  <si>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</si>
  <si>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</si>
  <si>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</si>
  <si>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</si>
  <si>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</si>
  <si>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</si>
  <si>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</si>
  <si>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</si>
  <si>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</si>
  <si>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</si>
  <si>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</si>
  <si>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</si>
  <si>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</si>
  <si>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</si>
  <si>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</si>
  <si>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</si>
  <si>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</si>
  <si>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</si>
  <si>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</si>
  <si>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</si>
  <si>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</si>
  <si>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</si>
  <si>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</si>
  <si>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</si>
  <si>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</si>
  <si>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</si>
  <si>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</si>
  <si>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</si>
  <si>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</si>
  <si>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</si>
  <si>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</si>
  <si>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</si>
  <si>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</si>
  <si>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</si>
  <si>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</si>
  <si>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</si>
  <si>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</si>
  <si>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</si>
  <si>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</si>
  <si>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</si>
  <si>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</si>
  <si>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</si>
  <si>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</si>
  <si>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</si>
  <si>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</si>
  <si>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</si>
  <si>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</si>
  <si>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</si>
  <si>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</si>
  <si>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</si>
  <si>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</si>
  <si>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</si>
  <si>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</si>
  <si>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</si>
  <si>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</si>
  <si>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</si>
  <si>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</si>
  <si>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</si>
  <si>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</si>
  <si>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</si>
  <si>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</si>
  <si>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</si>
  <si>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</si>
  <si>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</si>
  <si>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</si>
  <si>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</si>
  <si>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</si>
  <si>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</si>
  <si>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</si>
  <si>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</si>
  <si>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</si>
  <si>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</si>
  <si>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</si>
  <si>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</si>
  <si>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</si>
  <si>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</si>
  <si>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</si>
  <si>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</si>
  <si>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</si>
  <si>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</si>
  <si>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</si>
  <si>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</si>
  <si>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</si>
  <si>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</si>
  <si>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</si>
  <si>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</si>
  <si>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</si>
  <si>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</si>
  <si>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</si>
  <si>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</si>
  <si>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</si>
  <si>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</si>
  <si>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</si>
  <si>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</si>
  <si>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</si>
  <si>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</si>
  <si>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</si>
  <si>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</si>
  <si>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</si>
  <si>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</si>
  <si>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</si>
  <si>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</si>
  <si>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</si>
  <si>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</si>
  <si>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</si>
  <si>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</si>
  <si>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</si>
  <si>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</si>
  <si>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</si>
  <si>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</si>
  <si>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</si>
  <si>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</si>
  <si>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</si>
  <si>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</si>
  <si>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</si>
  <si>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</si>
  <si>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</si>
  <si>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</si>
  <si>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</si>
  <si>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</si>
  <si>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</si>
  <si>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</si>
  <si>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</si>
  <si>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</si>
  <si>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</si>
  <si>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</si>
  <si>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</si>
  <si>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</si>
  <si>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</si>
  <si>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</si>
  <si>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</si>
  <si>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</si>
  <si>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</si>
  <si>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</si>
  <si>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</si>
  <si>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</si>
  <si>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</si>
  <si>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</si>
  <si>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</si>
  <si>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</si>
  <si>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</si>
  <si>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</si>
  <si>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</si>
  <si>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</si>
  <si>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</si>
  <si>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</si>
  <si>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</si>
  <si>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</si>
  <si>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</si>
  <si>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</si>
  <si>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</si>
  <si>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</si>
  <si>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</si>
  <si>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</si>
  <si>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</si>
  <si>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</si>
  <si>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</si>
  <si>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</si>
  <si>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</si>
  <si>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</si>
  <si>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</si>
  <si>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</si>
  <si>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</si>
  <si>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</si>
  <si>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</si>
  <si>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</si>
  <si>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</si>
  <si>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</si>
  <si>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</si>
  <si>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</si>
  <si>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</si>
  <si>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</si>
  <si>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</si>
  <si>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</si>
  <si>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</si>
  <si>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</si>
  <si>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</si>
  <si>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</si>
  <si>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</si>
  <si>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</si>
  <si>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</si>
  <si>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</si>
  <si>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</si>
  <si>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</si>
  <si>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</si>
  <si>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</si>
  <si>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</si>
  <si>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</si>
  <si>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</si>
  <si>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</si>
  <si>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</si>
  <si>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</si>
  <si>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</si>
  <si>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</si>
  <si>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</si>
  <si>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</si>
  <si>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</si>
  <si>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</si>
  <si>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</si>
  <si>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</si>
  <si>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</si>
  <si>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</si>
  <si>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</si>
  <si>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</si>
  <si>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</si>
  <si>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</si>
  <si>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</si>
  <si>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</si>
  <si>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</si>
  <si>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</si>
  <si>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</si>
  <si>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</si>
  <si>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</si>
  <si>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</si>
  <si>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</si>
  <si>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</si>
  <si>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</si>
  <si>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</si>
  <si>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</si>
  <si>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</si>
  <si>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</si>
  <si>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</si>
  <si>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</si>
  <si>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</si>
  <si>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</si>
  <si>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</si>
  <si>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</si>
  <si>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</si>
  <si>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</si>
  <si>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</si>
  <si>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</si>
  <si>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</si>
  <si>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</si>
  <si>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</si>
  <si>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</si>
  <si>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</si>
  <si>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</si>
  <si>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</si>
  <si>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</si>
  <si>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</si>
  <si>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</si>
  <si>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</si>
  <si>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</si>
  <si>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</si>
  <si>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</si>
  <si>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</si>
  <si>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</si>
  <si>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</si>
  <si>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</si>
  <si>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</si>
  <si>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</si>
  <si>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</si>
  <si>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</si>
  <si>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</si>
  <si>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</si>
  <si>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</si>
  <si>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</si>
  <si>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</si>
  <si>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</si>
  <si>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</si>
  <si>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</si>
  <si>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</si>
  <si>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</si>
  <si>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</si>
  <si>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</si>
  <si>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</si>
  <si>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</si>
  <si>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</si>
  <si>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</si>
  <si>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</si>
  <si>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</si>
  <si>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</si>
  <si>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</si>
  <si>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</si>
  <si>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</si>
  <si>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</si>
  <si>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</si>
  <si>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</si>
  <si>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</si>
  <si>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</si>
  <si>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</si>
  <si>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</si>
  <si>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</si>
  <si>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</si>
  <si>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</si>
  <si>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</si>
  <si>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</si>
  <si>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</si>
  <si>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</si>
  <si>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</si>
  <si>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</si>
  <si>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</si>
  <si>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</si>
  <si>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</si>
  <si>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</si>
  <si>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</si>
  <si>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</si>
  <si>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</si>
  <si>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</si>
  <si>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</si>
  <si>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</si>
  <si>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</si>
  <si>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</si>
  <si>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</si>
  <si>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</si>
  <si>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</si>
  <si>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</si>
  <si>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</si>
  <si>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</si>
  <si>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</si>
  <si>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</si>
  <si>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</si>
  <si>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</si>
  <si>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</si>
  <si>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</si>
  <si>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</si>
  <si>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</si>
  <si>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</si>
  <si>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</si>
  <si>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</si>
  <si>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</si>
  <si>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</si>
  <si>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</si>
  <si>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</si>
  <si>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</si>
  <si>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</si>
  <si>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</si>
  <si>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</si>
  <si>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</si>
  <si>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</si>
  <si>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</si>
  <si>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</si>
  <si>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</si>
  <si>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</si>
  <si>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</si>
  <si>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</si>
  <si>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</si>
  <si>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</si>
  <si>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</si>
  <si>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</si>
  <si>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</si>
  <si>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</si>
  <si>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</si>
  <si>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</si>
  <si>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</si>
  <si>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</si>
  <si>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</si>
  <si>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</si>
  <si>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</si>
  <si>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</si>
  <si>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</si>
  <si>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</si>
  <si>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</si>
  <si>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</si>
  <si>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</si>
  <si>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</si>
  <si>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</si>
  <si>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</si>
  <si>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</si>
  <si>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</si>
  <si>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</si>
  <si>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</si>
  <si>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</si>
  <si>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</si>
  <si>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</si>
  <si>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</si>
  <si>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</si>
  <si>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</si>
  <si>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</si>
  <si>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</si>
  <si>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</si>
  <si>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</si>
  <si>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</si>
  <si>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</si>
  <si>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</si>
  <si>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</si>
  <si>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</si>
  <si>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</si>
  <si>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</si>
  <si>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</si>
  <si>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</si>
  <si>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</si>
  <si>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</si>
  <si>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</si>
  <si>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</si>
  <si>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</si>
  <si>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</si>
  <si>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</si>
  <si>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</si>
  <si>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</si>
  <si>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</si>
  <si>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</si>
  <si>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</si>
  <si>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</si>
  <si>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</si>
  <si>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</si>
  <si>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</si>
  <si>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</si>
  <si>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</si>
  <si>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</si>
  <si>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</si>
  <si>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</si>
  <si>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</si>
  <si>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</si>
  <si>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</si>
  <si>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</si>
  <si>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</si>
  <si>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</si>
  <si>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</si>
  <si>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</si>
  <si>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</si>
  <si>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</si>
  <si>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</si>
  <si>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</si>
  <si>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</si>
  <si>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</si>
  <si>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</si>
  <si>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</si>
  <si>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</si>
  <si>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</si>
  <si>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</si>
  <si>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</si>
  <si>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</si>
  <si>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</si>
  <si>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</si>
  <si>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</si>
  <si>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</si>
  <si>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</si>
  <si>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</si>
  <si>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</si>
  <si>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</si>
  <si>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</si>
  <si>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</si>
  <si>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</si>
  <si>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</si>
  <si>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</si>
  <si>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</si>
  <si>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</si>
  <si>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</si>
  <si>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</si>
  <si>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</si>
  <si>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</si>
  <si>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</si>
  <si>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</si>
  <si>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</si>
  <si>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</si>
  <si>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</si>
  <si>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</si>
  <si>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</si>
  <si>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</si>
  <si>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</si>
  <si>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</si>
  <si>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</si>
  <si>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</si>
  <si>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</si>
  <si>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</si>
  <si>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</si>
  <si>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</si>
  <si>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</si>
  <si>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</si>
  <si>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</si>
  <si>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</si>
  <si>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</si>
  <si>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</si>
  <si>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</si>
  <si>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</si>
  <si>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</si>
  <si>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</si>
  <si>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</si>
  <si>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</si>
  <si>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</si>
  <si>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</si>
  <si>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</si>
  <si>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</si>
  <si>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</si>
  <si>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</si>
  <si>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</si>
  <si>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</si>
  <si>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</si>
  <si>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</si>
  <si>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</si>
  <si>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</si>
  <si>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</si>
  <si>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</si>
  <si>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</si>
  <si>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</si>
  <si>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</si>
  <si>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</si>
  <si>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</si>
  <si>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</si>
  <si>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</si>
  <si>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</si>
  <si>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</si>
  <si>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</si>
  <si>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</si>
  <si>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</si>
  <si>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</si>
  <si>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가격변동</t>
  </si>
  <si>
    <t>현행화 일자: 2026-08-30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</si>
</sst>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1749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272</v>
      </c>
      <c r="D56" s="16" t="s">
        <v>49</v>
      </c>
      <c r="E56" s="12" t="s">
        <v>26</v>
      </c>
      <c r="F56" s="12" t="s">
        <v>273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295</v>
      </c>
      <c r="D57" s="16" t="s">
        <v>49</v>
      </c>
      <c r="E57" s="12" t="s">
        <v>26</v>
      </c>
      <c r="F57" s="12" t="s">
        <v>296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280</v>
      </c>
      <c r="D58" s="12" t="s">
        <v>49</v>
      </c>
      <c r="E58" s="12" t="s">
        <v>26</v>
      </c>
      <c r="F58" s="12" t="s">
        <v>282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206</v>
      </c>
      <c r="D60" s="16" t="s">
        <v>49</v>
      </c>
      <c r="E60" s="12" t="s">
        <v>26</v>
      </c>
      <c r="F60" s="12" t="s">
        <v>207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212</v>
      </c>
      <c r="D63" s="12" t="s">
        <v>82</v>
      </c>
      <c r="E63" s="12" t="s">
        <v>26</v>
      </c>
      <c r="F63" s="12" t="s">
        <v>213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230</v>
      </c>
      <c r="D65" s="16" t="s">
        <v>52</v>
      </c>
      <c r="E65" s="12" t="s">
        <v>26</v>
      </c>
      <c r="F65" s="12" t="s">
        <v>231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163</v>
      </c>
      <c r="D66" s="16" t="s">
        <v>49</v>
      </c>
      <c r="E66" s="12" t="s">
        <v>26</v>
      </c>
      <c r="F66" s="12" t="s">
        <v>164</v>
      </c>
      <c r="G66" s="13">
        <v>1806</v>
      </c>
      <c r="H66" s="13">
        <v>2264</v>
      </c>
      <c r="I66" s="13"/>
      <c r="J66" s="13">
        <v>1792</v>
      </c>
      <c r="K66" s="13">
        <f t="shared" si="1"/>
        <v>0</v>
      </c>
      <c r="L66" s="13">
        <f t="shared" si="2"/>
        <v>1806</v>
      </c>
      <c r="M66" s="13">
        <f t="shared" si="3"/>
        <v>2264</v>
      </c>
      <c r="N66" s="13">
        <f t="shared" si="4"/>
        <v>1792</v>
      </c>
      <c r="O66" s="13" t="str">
        <f t="shared" si="5"/>
        <v>휘발유 45,150원 / 고급유 45,280원</v>
      </c>
      <c r="P66" s="13">
        <f t="shared" si="6"/>
        <v>90430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90430</v>
      </c>
      <c r="U66" s="13">
        <f t="shared" si="10"/>
        <v>2009.5555555555557</v>
      </c>
      <c r="V66" s="13">
        <f t="shared" si="11"/>
        <v>2009.5555555555557</v>
      </c>
      <c r="W66" s="15">
        <f t="shared" si="12"/>
        <v>90430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260</v>
      </c>
      <c r="D67" s="12" t="s">
        <v>82</v>
      </c>
      <c r="E67" s="12" t="s">
        <v>26</v>
      </c>
      <c r="F67" s="12" t="s">
        <v>261</v>
      </c>
      <c r="G67" s="13">
        <v>1819</v>
      </c>
      <c r="H67" s="13">
        <v>2248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2248</v>
      </c>
      <c r="N67" s="13">
        <f t="shared" si="4"/>
        <v>1799</v>
      </c>
      <c r="O67" s="13" t="str">
        <f t="shared" si="5"/>
        <v>휘발유 45,475원 / 고급유 44,960원</v>
      </c>
      <c r="P67" s="13">
        <f t="shared" si="6"/>
        <v>90435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90435</v>
      </c>
      <c r="U67" s="13">
        <f t="shared" si="10"/>
        <v>2009.6666666666667</v>
      </c>
      <c r="V67" s="13">
        <f t="shared" si="11"/>
        <v>2009.6666666666667</v>
      </c>
      <c r="W67" s="15">
        <f t="shared" si="12"/>
        <v>90435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130</v>
      </c>
      <c r="D68" s="16" t="s">
        <v>49</v>
      </c>
      <c r="E68" s="12" t="s">
        <v>26</v>
      </c>
      <c r="F68" s="12" t="s">
        <v>131</v>
      </c>
      <c r="G68" s="13">
        <v>1828</v>
      </c>
      <c r="H68" s="13">
        <v>2239</v>
      </c>
      <c r="I68" s="13"/>
      <c r="J68" s="13">
        <v>1814</v>
      </c>
      <c r="K68" s="13">
        <f t="shared" si="1"/>
        <v>0</v>
      </c>
      <c r="L68" s="13">
        <f t="shared" si="2"/>
        <v>1828</v>
      </c>
      <c r="M68" s="13">
        <f t="shared" si="3"/>
        <v>2239</v>
      </c>
      <c r="N68" s="13">
        <f t="shared" si="4"/>
        <v>1814</v>
      </c>
      <c r="O68" s="13" t="str">
        <f t="shared" si="5"/>
        <v>휘발유 45,700원 / 고급유 44,780원</v>
      </c>
      <c r="P68" s="13">
        <f t="shared" si="6"/>
        <v>90480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90480</v>
      </c>
      <c r="U68" s="13">
        <f t="shared" si="10"/>
        <v>2010.6666666666667</v>
      </c>
      <c r="V68" s="13">
        <f t="shared" si="11"/>
        <v>2010.6666666666667</v>
      </c>
      <c r="W68" s="15">
        <f t="shared" si="12"/>
        <v>90480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208</v>
      </c>
      <c r="D69" s="16" t="s">
        <v>52</v>
      </c>
      <c r="E69" s="12" t="s">
        <v>70</v>
      </c>
      <c r="F69" s="12" t="s">
        <v>209</v>
      </c>
      <c r="G69" s="13">
        <v>1823</v>
      </c>
      <c r="H69" s="13">
        <v>2248</v>
      </c>
      <c r="I69" s="13"/>
      <c r="J69" s="13">
        <v>1829</v>
      </c>
      <c r="K69" s="13">
        <f t="shared" si="1"/>
        <v>0</v>
      </c>
      <c r="L69" s="13">
        <f t="shared" si="2"/>
        <v>1823</v>
      </c>
      <c r="M69" s="13">
        <f t="shared" si="3"/>
        <v>2248</v>
      </c>
      <c r="N69" s="13">
        <f t="shared" si="4"/>
        <v>1829</v>
      </c>
      <c r="O69" s="13" t="str">
        <f t="shared" si="5"/>
        <v>휘발유 45,575원 / 고급유 44,960원</v>
      </c>
      <c r="P69" s="13">
        <f t="shared" si="6"/>
        <v>90535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90535</v>
      </c>
      <c r="U69" s="13">
        <f t="shared" si="10"/>
        <v>2011.8888888888889</v>
      </c>
      <c r="V69" s="13">
        <f t="shared" si="11"/>
        <v>2011.8888888888889</v>
      </c>
      <c r="W69" s="15">
        <f t="shared" si="12"/>
        <v>90535</v>
      </c>
    </row>
    <row r="70" spans="1:23" s="2" customFormat="1" ht="28.5" customHeight="1">
      <c r="A70" s="12">
        <f t="shared" si="0"/>
        <v>56</v>
      </c>
      <c r="B70" s="12" t="s">
        <v>12</v>
      </c>
      <c r="C70" s="12" t="s">
        <v>161</v>
      </c>
      <c r="D70" s="16" t="s">
        <v>61</v>
      </c>
      <c r="E70" s="12" t="s">
        <v>26</v>
      </c>
      <c r="F70" s="12" t="s">
        <v>162</v>
      </c>
      <c r="G70" s="13">
        <v>1788</v>
      </c>
      <c r="H70" s="13">
        <v>2295</v>
      </c>
      <c r="I70" s="13"/>
      <c r="J70" s="13">
        <v>1795</v>
      </c>
      <c r="K70" s="13">
        <f t="shared" si="1"/>
        <v>0</v>
      </c>
      <c r="L70" s="13">
        <f t="shared" si="2"/>
        <v>1788</v>
      </c>
      <c r="M70" s="13">
        <f t="shared" si="3"/>
        <v>2295</v>
      </c>
      <c r="N70" s="13">
        <f t="shared" si="4"/>
        <v>1795</v>
      </c>
      <c r="O70" s="13" t="str">
        <f t="shared" si="5"/>
        <v>휘발유 44,700원 / 고급유 45,900원</v>
      </c>
      <c r="P70" s="13">
        <f t="shared" si="6"/>
        <v>90600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90600</v>
      </c>
      <c r="U70" s="13">
        <f t="shared" si="10"/>
        <v>2013.3333333333333</v>
      </c>
      <c r="V70" s="13">
        <f t="shared" si="11"/>
        <v>2013.3333333333333</v>
      </c>
      <c r="W70" s="15">
        <f t="shared" si="12"/>
        <v>90600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124</v>
      </c>
      <c r="D71" s="16" t="s">
        <v>52</v>
      </c>
      <c r="E71" s="12" t="s">
        <v>26</v>
      </c>
      <c r="F71" s="12" t="s">
        <v>125</v>
      </c>
      <c r="G71" s="13">
        <v>1810</v>
      </c>
      <c r="H71" s="13">
        <v>2269</v>
      </c>
      <c r="I71" s="13"/>
      <c r="J71" s="13">
        <v>1815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1815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145</v>
      </c>
      <c r="D72" s="16" t="s">
        <v>52</v>
      </c>
      <c r="E72" s="12" t="s">
        <v>26</v>
      </c>
      <c r="F72" s="12" t="s">
        <v>146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1066</v>
      </c>
      <c r="D73" s="12" t="s">
        <v>45</v>
      </c>
      <c r="E73" s="12" t="s">
        <v>26</v>
      </c>
      <c r="F73" s="12" t="s">
        <v>1067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128</v>
      </c>
      <c r="D74" s="16" t="s">
        <v>52</v>
      </c>
      <c r="E74" s="12" t="s">
        <v>26</v>
      </c>
      <c r="F74" s="12" t="s">
        <v>129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134</v>
      </c>
      <c r="D75" s="16" t="s">
        <v>49</v>
      </c>
      <c r="E75" s="12" t="s">
        <v>26</v>
      </c>
      <c r="F75" s="12" t="s">
        <v>135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149</v>
      </c>
      <c r="D76" s="16" t="s">
        <v>49</v>
      </c>
      <c r="E76" s="12" t="s">
        <v>26</v>
      </c>
      <c r="F76" s="12" t="s">
        <v>150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167</v>
      </c>
      <c r="D77" s="16" t="s">
        <v>49</v>
      </c>
      <c r="E77" s="12" t="s">
        <v>26</v>
      </c>
      <c r="F77" s="12" t="s">
        <v>168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17" customFormat="1" ht="28.5" customHeight="1">
      <c r="A78" s="12">
        <f t="shared" si="0"/>
        <v>64</v>
      </c>
      <c r="B78" s="12" t="s">
        <v>10</v>
      </c>
      <c r="C78" s="12" t="s">
        <v>171</v>
      </c>
      <c r="D78" s="16" t="s">
        <v>52</v>
      </c>
      <c r="E78" s="12" t="s">
        <v>26</v>
      </c>
      <c r="F78" s="12" t="s">
        <v>172</v>
      </c>
      <c r="G78" s="13">
        <v>1824</v>
      </c>
      <c r="H78" s="13">
        <v>2259</v>
      </c>
      <c r="I78" s="13"/>
      <c r="J78" s="13">
        <v>1798</v>
      </c>
      <c r="K78" s="13">
        <f t="shared" si="1"/>
        <v>0</v>
      </c>
      <c r="L78" s="13">
        <f t="shared" si="2"/>
        <v>1824</v>
      </c>
      <c r="M78" s="13">
        <f t="shared" si="3"/>
        <v>2259</v>
      </c>
      <c r="N78" s="13">
        <f t="shared" si="4"/>
        <v>1798</v>
      </c>
      <c r="O78" s="13" t="str">
        <f t="shared" si="5"/>
        <v>휘발유 45,600원 / 고급유 45,180원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8" customFormat="1" ht="28.5" customHeight="1">
      <c r="A79" s="12">
        <f t="shared" ref="A79:A142" si="13">IF($T79="","",1+COUNTIF($W$15:$W$878,"&lt;"&amp;W79))</f>
        <v>64</v>
      </c>
      <c r="B79" s="12" t="s">
        <v>18</v>
      </c>
      <c r="C79" s="12" t="s">
        <v>190</v>
      </c>
      <c r="D79" s="16" t="s">
        <v>61</v>
      </c>
      <c r="E79" s="12" t="s">
        <v>26</v>
      </c>
      <c r="F79" s="12" t="s">
        <v>191</v>
      </c>
      <c r="G79" s="13">
        <v>1832</v>
      </c>
      <c r="H79" s="13">
        <v>2249</v>
      </c>
      <c r="I79" s="13"/>
      <c r="J79" s="13">
        <v>1812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1832</v>
      </c>
      <c r="M79" s="13">
        <f t="shared" ref="M79:M142" si="16">IF($H79="","",$H79+$K79)</f>
        <v>2249</v>
      </c>
      <c r="N79" s="13">
        <f t="shared" ref="N79:N142" si="17">IF($J79="","",$J79+$K79)</f>
        <v>1812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176</v>
      </c>
      <c r="D80" s="16" t="s">
        <v>61</v>
      </c>
      <c r="E80" s="12" t="s">
        <v>26</v>
      </c>
      <c r="F80" s="12" t="s">
        <v>177</v>
      </c>
      <c r="G80" s="13">
        <v>1809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1809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45,225원 / 고급유 45,600원</v>
      </c>
      <c r="P80" s="13">
        <f t="shared" si="19"/>
        <v>90825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90825</v>
      </c>
      <c r="U80" s="13">
        <f t="shared" si="23"/>
        <v>2018.3333333333333</v>
      </c>
      <c r="V80" s="13">
        <f t="shared" si="24"/>
        <v>2018.3333333333333</v>
      </c>
      <c r="W80" s="15">
        <f t="shared" si="25"/>
        <v>90825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136</v>
      </c>
      <c r="D81" s="12" t="s">
        <v>137</v>
      </c>
      <c r="E81" s="12" t="s">
        <v>26</v>
      </c>
      <c r="F81" s="12" t="s">
        <v>138</v>
      </c>
      <c r="G81" s="13">
        <v>1819</v>
      </c>
      <c r="H81" s="13">
        <v>2268</v>
      </c>
      <c r="I81" s="13"/>
      <c r="J81" s="13">
        <v>1799</v>
      </c>
      <c r="K81" s="13">
        <f t="shared" si="14"/>
        <v>0</v>
      </c>
      <c r="L81" s="13">
        <f t="shared" si="15"/>
        <v>1819</v>
      </c>
      <c r="M81" s="13">
        <f t="shared" si="16"/>
        <v>2268</v>
      </c>
      <c r="N81" s="13">
        <f t="shared" si="17"/>
        <v>1799</v>
      </c>
      <c r="O81" s="13" t="str">
        <f t="shared" si="18"/>
        <v>휘발유 45,475원 / 고급유 45,360원</v>
      </c>
      <c r="P81" s="13">
        <f t="shared" si="19"/>
        <v>90835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90835</v>
      </c>
      <c r="U81" s="13">
        <f t="shared" si="23"/>
        <v>2018.5555555555557</v>
      </c>
      <c r="V81" s="13">
        <f t="shared" si="24"/>
        <v>2018.5555555555557</v>
      </c>
      <c r="W81" s="15">
        <f t="shared" si="25"/>
        <v>90835</v>
      </c>
    </row>
    <row r="82" spans="1:23" s="8" customFormat="1" ht="28.5" customHeight="1">
      <c r="A82" s="12">
        <f t="shared" si="13"/>
        <v>68</v>
      </c>
      <c r="B82" s="12" t="s">
        <v>10</v>
      </c>
      <c r="C82" s="12" t="s">
        <v>204</v>
      </c>
      <c r="D82" s="12" t="s">
        <v>82</v>
      </c>
      <c r="E82" s="12" t="s">
        <v>26</v>
      </c>
      <c r="F82" s="12" t="s">
        <v>205</v>
      </c>
      <c r="G82" s="13">
        <v>1829</v>
      </c>
      <c r="H82" s="13">
        <v>2259</v>
      </c>
      <c r="I82" s="13"/>
      <c r="J82" s="13">
        <v>1809</v>
      </c>
      <c r="K82" s="13">
        <f t="shared" si="14"/>
        <v>0</v>
      </c>
      <c r="L82" s="13">
        <f t="shared" si="15"/>
        <v>1829</v>
      </c>
      <c r="M82" s="13">
        <f t="shared" si="16"/>
        <v>2259</v>
      </c>
      <c r="N82" s="13">
        <f t="shared" si="17"/>
        <v>1809</v>
      </c>
      <c r="O82" s="13" t="str">
        <f t="shared" si="18"/>
        <v>휘발유 45,725원 / 고급유 45,180원</v>
      </c>
      <c r="P82" s="13">
        <f t="shared" si="19"/>
        <v>90905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90905</v>
      </c>
      <c r="U82" s="13">
        <f t="shared" si="23"/>
        <v>2020.1111111111111</v>
      </c>
      <c r="V82" s="13">
        <f t="shared" si="24"/>
        <v>2020.1111111111111</v>
      </c>
      <c r="W82" s="15">
        <f t="shared" si="25"/>
        <v>90905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173</v>
      </c>
      <c r="D83" s="12" t="s">
        <v>82</v>
      </c>
      <c r="E83" s="12" t="s">
        <v>26</v>
      </c>
      <c r="F83" s="12" t="s">
        <v>174</v>
      </c>
      <c r="G83" s="13">
        <v>1847</v>
      </c>
      <c r="H83" s="13">
        <v>2237</v>
      </c>
      <c r="I83" s="13"/>
      <c r="J83" s="13">
        <v>1827</v>
      </c>
      <c r="K83" s="13">
        <f t="shared" si="14"/>
        <v>0</v>
      </c>
      <c r="L83" s="13">
        <f t="shared" si="15"/>
        <v>1847</v>
      </c>
      <c r="M83" s="13">
        <f t="shared" si="16"/>
        <v>2237</v>
      </c>
      <c r="N83" s="13">
        <f t="shared" si="17"/>
        <v>1827</v>
      </c>
      <c r="O83" s="13" t="str">
        <f t="shared" si="18"/>
        <v>휘발유 46,175원 / 고급유 44,740원</v>
      </c>
      <c r="P83" s="13">
        <f t="shared" si="19"/>
        <v>90915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90915</v>
      </c>
      <c r="U83" s="13">
        <f t="shared" si="23"/>
        <v>2020.3333333333333</v>
      </c>
      <c r="V83" s="13">
        <f t="shared" si="24"/>
        <v>2020.3333333333333</v>
      </c>
      <c r="W83" s="15">
        <f t="shared" si="25"/>
        <v>90915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143</v>
      </c>
      <c r="D84" s="16" t="s">
        <v>49</v>
      </c>
      <c r="E84" s="12" t="s">
        <v>26</v>
      </c>
      <c r="F84" s="12" t="s">
        <v>144</v>
      </c>
      <c r="G84" s="13">
        <v>1819</v>
      </c>
      <c r="H84" s="13">
        <v>2275</v>
      </c>
      <c r="I84" s="13"/>
      <c r="J84" s="13">
        <v>1798</v>
      </c>
      <c r="K84" s="13">
        <f t="shared" si="14"/>
        <v>0</v>
      </c>
      <c r="L84" s="13">
        <f t="shared" si="15"/>
        <v>1819</v>
      </c>
      <c r="M84" s="13">
        <f t="shared" si="16"/>
        <v>2275</v>
      </c>
      <c r="N84" s="13">
        <f t="shared" si="17"/>
        <v>1798</v>
      </c>
      <c r="O84" s="13" t="str">
        <f t="shared" si="18"/>
        <v>휘발유 45,475원 / 고급유 45,500원</v>
      </c>
      <c r="P84" s="13">
        <f t="shared" si="19"/>
        <v>90975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90975</v>
      </c>
      <c r="U84" s="13">
        <f t="shared" si="23"/>
        <v>2021.6666666666667</v>
      </c>
      <c r="V84" s="13">
        <f t="shared" si="24"/>
        <v>2021.6666666666667</v>
      </c>
      <c r="W84" s="15">
        <f t="shared" si="25"/>
        <v>90975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147</v>
      </c>
      <c r="D85" s="16" t="s">
        <v>61</v>
      </c>
      <c r="E85" s="12" t="s">
        <v>70</v>
      </c>
      <c r="F85" s="12" t="s">
        <v>148</v>
      </c>
      <c r="G85" s="13">
        <v>1828</v>
      </c>
      <c r="H85" s="13">
        <v>2265</v>
      </c>
      <c r="I85" s="13"/>
      <c r="J85" s="13">
        <v>1799</v>
      </c>
      <c r="K85" s="13">
        <f t="shared" si="14"/>
        <v>0</v>
      </c>
      <c r="L85" s="13">
        <f t="shared" si="15"/>
        <v>1828</v>
      </c>
      <c r="M85" s="13">
        <f t="shared" si="16"/>
        <v>2265</v>
      </c>
      <c r="N85" s="13">
        <f t="shared" si="17"/>
        <v>1799</v>
      </c>
      <c r="O85" s="13" t="str">
        <f t="shared" si="18"/>
        <v>휘발유 45,700원 / 고급유 45,300원</v>
      </c>
      <c r="P85" s="13">
        <f t="shared" si="19"/>
        <v>91000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91000</v>
      </c>
      <c r="U85" s="13">
        <f t="shared" si="23"/>
        <v>2022.2222222222222</v>
      </c>
      <c r="V85" s="13">
        <f t="shared" si="24"/>
        <v>2022.2222222222222</v>
      </c>
      <c r="W85" s="15">
        <f t="shared" si="25"/>
        <v>91000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1752</v>
      </c>
      <c r="D86" s="12" t="s">
        <v>52</v>
      </c>
      <c r="E86" s="12" t="s">
        <v>26</v>
      </c>
      <c r="F86" s="12" t="s">
        <v>1753</v>
      </c>
      <c r="G86" s="13">
        <v>1858</v>
      </c>
      <c r="H86" s="13">
        <v>2229</v>
      </c>
      <c r="I86" s="13"/>
      <c r="J86" s="13">
        <v>1808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1808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8" customFormat="1" ht="28.5" customHeight="1">
      <c r="A87" s="12">
        <f t="shared" si="13"/>
        <v>72</v>
      </c>
      <c r="B87" s="12" t="s">
        <v>12</v>
      </c>
      <c r="C87" s="12" t="s">
        <v>194</v>
      </c>
      <c r="D87" s="16" t="s">
        <v>52</v>
      </c>
      <c r="E87" s="12" t="s">
        <v>26</v>
      </c>
      <c r="F87" s="12" t="s">
        <v>195</v>
      </c>
      <c r="G87" s="13">
        <v>1858</v>
      </c>
      <c r="H87" s="13">
        <v>2229</v>
      </c>
      <c r="I87" s="13"/>
      <c r="J87" s="13">
        <v>1809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1809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155</v>
      </c>
      <c r="D88" s="16" t="s">
        <v>49</v>
      </c>
      <c r="E88" s="12" t="s">
        <v>26</v>
      </c>
      <c r="F88" s="12" t="s">
        <v>156</v>
      </c>
      <c r="G88" s="13">
        <v>1805</v>
      </c>
      <c r="H88" s="13">
        <v>2298</v>
      </c>
      <c r="I88" s="13"/>
      <c r="J88" s="13">
        <v>1793</v>
      </c>
      <c r="K88" s="13">
        <f t="shared" si="14"/>
        <v>0</v>
      </c>
      <c r="L88" s="13">
        <f t="shared" si="15"/>
        <v>1805</v>
      </c>
      <c r="M88" s="13">
        <f t="shared" si="16"/>
        <v>2298</v>
      </c>
      <c r="N88" s="13">
        <f t="shared" si="17"/>
        <v>1793</v>
      </c>
      <c r="O88" s="13" t="str">
        <f t="shared" si="18"/>
        <v>휘발유 45,125원 / 고급유 45,960원</v>
      </c>
      <c r="P88" s="13">
        <f t="shared" si="19"/>
        <v>91085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91085</v>
      </c>
      <c r="U88" s="13">
        <f t="shared" si="23"/>
        <v>2024.1111111111111</v>
      </c>
      <c r="V88" s="13">
        <f t="shared" si="24"/>
        <v>2024.1111111111111</v>
      </c>
      <c r="W88" s="15">
        <f t="shared" si="25"/>
        <v>91085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216</v>
      </c>
      <c r="D89" s="16" t="s">
        <v>61</v>
      </c>
      <c r="E89" s="12" t="s">
        <v>26</v>
      </c>
      <c r="F89" s="12" t="s">
        <v>217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2" customFormat="1" ht="28.5" customHeight="1">
      <c r="A90" s="12">
        <f t="shared" si="13"/>
        <v>75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8" customFormat="1" ht="28.5" customHeight="1">
      <c r="A91" s="12">
        <f t="shared" si="13"/>
        <v>75</v>
      </c>
      <c r="B91" s="12" t="s">
        <v>6</v>
      </c>
      <c r="C91" s="12" t="s">
        <v>222</v>
      </c>
      <c r="D91" s="16" t="s">
        <v>61</v>
      </c>
      <c r="E91" s="12" t="s">
        <v>26</v>
      </c>
      <c r="F91" s="12" t="s">
        <v>223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78</v>
      </c>
      <c r="B92" s="12" t="s">
        <v>16</v>
      </c>
      <c r="C92" s="12" t="s">
        <v>352</v>
      </c>
      <c r="D92" s="16" t="s">
        <v>49</v>
      </c>
      <c r="E92" s="12" t="s">
        <v>26</v>
      </c>
      <c r="F92" s="12" t="s">
        <v>353</v>
      </c>
      <c r="G92" s="13">
        <v>1865</v>
      </c>
      <c r="H92" s="13">
        <v>2225</v>
      </c>
      <c r="I92" s="13"/>
      <c r="J92" s="13">
        <v>1855</v>
      </c>
      <c r="K92" s="13">
        <f t="shared" si="14"/>
        <v>0</v>
      </c>
      <c r="L92" s="13">
        <f t="shared" si="15"/>
        <v>1865</v>
      </c>
      <c r="M92" s="13">
        <f t="shared" si="16"/>
        <v>2225</v>
      </c>
      <c r="N92" s="13">
        <f t="shared" si="17"/>
        <v>1855</v>
      </c>
      <c r="O92" s="13" t="str">
        <f t="shared" si="18"/>
        <v>휘발유 46,625원 / 고급유 44,500원</v>
      </c>
      <c r="P92" s="13">
        <f t="shared" si="19"/>
        <v>91125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91125</v>
      </c>
      <c r="U92" s="13">
        <f t="shared" si="23"/>
        <v>2025</v>
      </c>
      <c r="V92" s="13">
        <f t="shared" si="24"/>
        <v>2025</v>
      </c>
      <c r="W92" s="15">
        <f t="shared" si="25"/>
        <v>91125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246</v>
      </c>
      <c r="D93" s="16" t="s">
        <v>61</v>
      </c>
      <c r="E93" s="12" t="s">
        <v>26</v>
      </c>
      <c r="F93" s="12" t="s">
        <v>247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184</v>
      </c>
      <c r="D94" s="16" t="s">
        <v>61</v>
      </c>
      <c r="E94" s="12" t="s">
        <v>26</v>
      </c>
      <c r="F94" s="12" t="s">
        <v>185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238</v>
      </c>
      <c r="D95" s="16" t="s">
        <v>52</v>
      </c>
      <c r="E95" s="12" t="s">
        <v>26</v>
      </c>
      <c r="F95" s="12" t="s">
        <v>239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196</v>
      </c>
      <c r="D96" s="16" t="s">
        <v>52</v>
      </c>
      <c r="E96" s="12" t="s">
        <v>26</v>
      </c>
      <c r="F96" s="12" t="s">
        <v>197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180</v>
      </c>
      <c r="D97" s="12" t="s">
        <v>82</v>
      </c>
      <c r="E97" s="12" t="s">
        <v>70</v>
      </c>
      <c r="F97" s="12" t="s">
        <v>181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226</v>
      </c>
      <c r="D98" s="16" t="s">
        <v>61</v>
      </c>
      <c r="E98" s="12" t="s">
        <v>26</v>
      </c>
      <c r="F98" s="12" t="s">
        <v>227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169</v>
      </c>
      <c r="D99" s="12" t="s">
        <v>82</v>
      </c>
      <c r="E99" s="12" t="s">
        <v>26</v>
      </c>
      <c r="F99" s="12" t="s">
        <v>170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264</v>
      </c>
      <c r="D100" s="16" t="s">
        <v>49</v>
      </c>
      <c r="E100" s="12" t="s">
        <v>26</v>
      </c>
      <c r="F100" s="12" t="s">
        <v>265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192</v>
      </c>
      <c r="D101" s="12" t="s">
        <v>82</v>
      </c>
      <c r="E101" s="12" t="s">
        <v>26</v>
      </c>
      <c r="F101" s="12" t="s">
        <v>193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198</v>
      </c>
      <c r="D102" s="16" t="s">
        <v>52</v>
      </c>
      <c r="E102" s="12" t="s">
        <v>26</v>
      </c>
      <c r="F102" s="12" t="s">
        <v>199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165</v>
      </c>
      <c r="D103" s="16" t="s">
        <v>61</v>
      </c>
      <c r="E103" s="12" t="s">
        <v>26</v>
      </c>
      <c r="F103" s="12" t="s">
        <v>166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214</v>
      </c>
      <c r="D104" s="16" t="s">
        <v>61</v>
      </c>
      <c r="E104" s="12" t="s">
        <v>26</v>
      </c>
      <c r="F104" s="12" t="s">
        <v>215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200</v>
      </c>
      <c r="D105" s="16" t="s">
        <v>52</v>
      </c>
      <c r="E105" s="12" t="s">
        <v>26</v>
      </c>
      <c r="F105" s="12" t="s">
        <v>201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297</v>
      </c>
      <c r="D106" s="12" t="s">
        <v>45</v>
      </c>
      <c r="E106" s="12" t="s">
        <v>26</v>
      </c>
      <c r="F106" s="12" t="s">
        <v>298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278</v>
      </c>
      <c r="D107" s="16" t="s">
        <v>82</v>
      </c>
      <c r="E107" s="12" t="s">
        <v>26</v>
      </c>
      <c r="F107" s="12" t="s">
        <v>279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178</v>
      </c>
      <c r="D108" s="12" t="s">
        <v>45</v>
      </c>
      <c r="E108" s="12" t="s">
        <v>26</v>
      </c>
      <c r="F108" s="12" t="s">
        <v>179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342</v>
      </c>
      <c r="D109" s="16" t="s">
        <v>52</v>
      </c>
      <c r="E109" s="12" t="s">
        <v>26</v>
      </c>
      <c r="F109" s="12" t="s">
        <v>343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274</v>
      </c>
      <c r="D110" s="16" t="s">
        <v>52</v>
      </c>
      <c r="E110" s="12" t="s">
        <v>26</v>
      </c>
      <c r="F110" s="12" t="s">
        <v>275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289</v>
      </c>
      <c r="D111" s="16" t="s">
        <v>52</v>
      </c>
      <c r="E111" s="12" t="s">
        <v>26</v>
      </c>
      <c r="F111" s="12" t="s">
        <v>290</v>
      </c>
      <c r="G111" s="13">
        <v>1878</v>
      </c>
      <c r="H111" s="13">
        <v>2239</v>
      </c>
      <c r="I111" s="13"/>
      <c r="J111" s="13">
        <v>1819</v>
      </c>
      <c r="K111" s="13">
        <f t="shared" si="14"/>
        <v>0</v>
      </c>
      <c r="L111" s="13">
        <f t="shared" si="15"/>
        <v>1878</v>
      </c>
      <c r="M111" s="13">
        <f t="shared" si="16"/>
        <v>2239</v>
      </c>
      <c r="N111" s="13">
        <f t="shared" si="17"/>
        <v>1819</v>
      </c>
      <c r="O111" s="13" t="str">
        <f t="shared" si="18"/>
        <v>휘발유 46,950원 / 고급유 44,780원</v>
      </c>
      <c r="P111" s="13">
        <f t="shared" si="19"/>
        <v>91730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91730</v>
      </c>
      <c r="U111" s="13">
        <f t="shared" si="23"/>
        <v>2038.4444444444443</v>
      </c>
      <c r="V111" s="13">
        <f t="shared" si="24"/>
        <v>2038.4444444444443</v>
      </c>
      <c r="W111" s="15">
        <f t="shared" si="25"/>
        <v>91730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182</v>
      </c>
      <c r="D112" s="16" t="s">
        <v>61</v>
      </c>
      <c r="E112" s="12" t="s">
        <v>26</v>
      </c>
      <c r="F112" s="12" t="s">
        <v>183</v>
      </c>
      <c r="G112" s="13">
        <v>1855</v>
      </c>
      <c r="H112" s="13">
        <v>2269</v>
      </c>
      <c r="I112" s="13"/>
      <c r="J112" s="13">
        <v>1835</v>
      </c>
      <c r="K112" s="13">
        <f t="shared" si="14"/>
        <v>0</v>
      </c>
      <c r="L112" s="13">
        <f t="shared" si="15"/>
        <v>1855</v>
      </c>
      <c r="M112" s="13">
        <f t="shared" si="16"/>
        <v>2269</v>
      </c>
      <c r="N112" s="13">
        <f t="shared" si="17"/>
        <v>1835</v>
      </c>
      <c r="O112" s="13" t="str">
        <f t="shared" si="18"/>
        <v>휘발유 46,375원 / 고급유 45,380원</v>
      </c>
      <c r="P112" s="13">
        <f t="shared" si="19"/>
        <v>91755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91755</v>
      </c>
      <c r="U112" s="13">
        <f t="shared" si="23"/>
        <v>2039</v>
      </c>
      <c r="V112" s="13">
        <f t="shared" si="24"/>
        <v>2039</v>
      </c>
      <c r="W112" s="15">
        <f t="shared" si="25"/>
        <v>91755</v>
      </c>
    </row>
    <row r="113" spans="1:23" s="2" customFormat="1" ht="28.5" customHeight="1">
      <c r="A113" s="12">
        <f t="shared" si="13"/>
        <v>99</v>
      </c>
      <c r="B113" s="12" t="s">
        <v>12</v>
      </c>
      <c r="C113" s="12" t="s">
        <v>334</v>
      </c>
      <c r="D113" s="16" t="s">
        <v>49</v>
      </c>
      <c r="E113" s="12" t="s">
        <v>26</v>
      </c>
      <c r="F113" s="12" t="s">
        <v>335</v>
      </c>
      <c r="G113" s="13">
        <v>1845</v>
      </c>
      <c r="H113" s="13">
        <v>2285</v>
      </c>
      <c r="I113" s="13"/>
      <c r="J113" s="13">
        <v>1835</v>
      </c>
      <c r="K113" s="13">
        <f t="shared" si="14"/>
        <v>0</v>
      </c>
      <c r="L113" s="13">
        <f t="shared" si="15"/>
        <v>1845</v>
      </c>
      <c r="M113" s="13">
        <f t="shared" si="16"/>
        <v>2285</v>
      </c>
      <c r="N113" s="13">
        <f t="shared" si="17"/>
        <v>1835</v>
      </c>
      <c r="O113" s="13" t="str">
        <f t="shared" si="18"/>
        <v>휘발유 46,125원 / 고급유 45,700원</v>
      </c>
      <c r="P113" s="13">
        <f t="shared" si="19"/>
        <v>91825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91825</v>
      </c>
      <c r="U113" s="13">
        <f t="shared" si="23"/>
        <v>2040.5555555555557</v>
      </c>
      <c r="V113" s="13">
        <f t="shared" si="24"/>
        <v>2040.5555555555557</v>
      </c>
      <c r="W113" s="15">
        <f t="shared" si="25"/>
        <v>91825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188</v>
      </c>
      <c r="D114" s="12" t="s">
        <v>45</v>
      </c>
      <c r="E114" s="12" t="s">
        <v>26</v>
      </c>
      <c r="F114" s="12" t="s">
        <v>189</v>
      </c>
      <c r="G114" s="13">
        <v>1834</v>
      </c>
      <c r="H114" s="13">
        <v>2299</v>
      </c>
      <c r="I114" s="13"/>
      <c r="J114" s="13">
        <v>1822</v>
      </c>
      <c r="K114" s="13">
        <f t="shared" si="14"/>
        <v>0</v>
      </c>
      <c r="L114" s="13">
        <f t="shared" si="15"/>
        <v>1834</v>
      </c>
      <c r="M114" s="13">
        <f t="shared" si="16"/>
        <v>2299</v>
      </c>
      <c r="N114" s="13">
        <f t="shared" si="17"/>
        <v>1822</v>
      </c>
      <c r="O114" s="13" t="str">
        <f t="shared" si="18"/>
        <v>휘발유 45,850원 / 고급유 45,980원</v>
      </c>
      <c r="P114" s="13">
        <f t="shared" si="19"/>
        <v>91830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91830</v>
      </c>
      <c r="U114" s="13">
        <f t="shared" si="23"/>
        <v>2040.6666666666667</v>
      </c>
      <c r="V114" s="13">
        <f t="shared" si="24"/>
        <v>2040.6666666666667</v>
      </c>
      <c r="W114" s="15">
        <f t="shared" si="25"/>
        <v>91830</v>
      </c>
    </row>
    <row r="115" spans="1:23" s="8" customFormat="1" ht="28.5" customHeight="1">
      <c r="A115" s="12">
        <f t="shared" si="13"/>
        <v>101</v>
      </c>
      <c r="B115" s="12" t="s">
        <v>12</v>
      </c>
      <c r="C115" s="12" t="s">
        <v>234</v>
      </c>
      <c r="D115" s="16" t="s">
        <v>61</v>
      </c>
      <c r="E115" s="12" t="s">
        <v>26</v>
      </c>
      <c r="F115" s="12" t="s">
        <v>235</v>
      </c>
      <c r="G115" s="13">
        <v>1845</v>
      </c>
      <c r="H115" s="13">
        <v>2287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2287</v>
      </c>
      <c r="N115" s="13">
        <f t="shared" si="17"/>
        <v>1849</v>
      </c>
      <c r="O115" s="13" t="str">
        <f t="shared" si="18"/>
        <v>휘발유 46,125원 / 고급유 45,740원</v>
      </c>
      <c r="P115" s="13">
        <f t="shared" si="19"/>
        <v>91865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91865</v>
      </c>
      <c r="U115" s="13">
        <f t="shared" si="23"/>
        <v>2041.4444444444443</v>
      </c>
      <c r="V115" s="13">
        <f t="shared" si="24"/>
        <v>2041.4444444444443</v>
      </c>
      <c r="W115" s="15">
        <f t="shared" si="25"/>
        <v>91865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186</v>
      </c>
      <c r="D116" s="16" t="s">
        <v>52</v>
      </c>
      <c r="E116" s="12" t="s">
        <v>26</v>
      </c>
      <c r="F116" s="12" t="s">
        <v>187</v>
      </c>
      <c r="G116" s="13">
        <v>1855</v>
      </c>
      <c r="H116" s="13">
        <v>2278</v>
      </c>
      <c r="I116" s="13"/>
      <c r="J116" s="13">
        <v>1815</v>
      </c>
      <c r="K116" s="13">
        <f t="shared" si="14"/>
        <v>0</v>
      </c>
      <c r="L116" s="13">
        <f t="shared" si="15"/>
        <v>1855</v>
      </c>
      <c r="M116" s="13">
        <f t="shared" si="16"/>
        <v>2278</v>
      </c>
      <c r="N116" s="13">
        <f t="shared" si="17"/>
        <v>1815</v>
      </c>
      <c r="O116" s="13" t="str">
        <f t="shared" si="18"/>
        <v>휘발유 46,375원 / 고급유 45,560원</v>
      </c>
      <c r="P116" s="13">
        <f t="shared" si="19"/>
        <v>91935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91935</v>
      </c>
      <c r="U116" s="13">
        <f t="shared" si="23"/>
        <v>2043</v>
      </c>
      <c r="V116" s="13">
        <f t="shared" si="24"/>
        <v>2043</v>
      </c>
      <c r="W116" s="15">
        <f t="shared" si="25"/>
        <v>91935</v>
      </c>
    </row>
    <row r="117" spans="1:23" s="17" customFormat="1" ht="28.5" customHeight="1">
      <c r="A117" s="12">
        <f t="shared" si="13"/>
        <v>103</v>
      </c>
      <c r="B117" s="12" t="s">
        <v>8</v>
      </c>
      <c r="C117" s="12" t="s">
        <v>244</v>
      </c>
      <c r="D117" s="16" t="s">
        <v>52</v>
      </c>
      <c r="E117" s="12" t="s">
        <v>26</v>
      </c>
      <c r="F117" s="12" t="s">
        <v>245</v>
      </c>
      <c r="G117" s="13">
        <v>1839</v>
      </c>
      <c r="H117" s="13">
        <v>2299</v>
      </c>
      <c r="I117" s="13"/>
      <c r="J117" s="13">
        <v>1839</v>
      </c>
      <c r="K117" s="13">
        <f t="shared" si="14"/>
        <v>0</v>
      </c>
      <c r="L117" s="13">
        <f t="shared" si="15"/>
        <v>1839</v>
      </c>
      <c r="M117" s="13">
        <f t="shared" si="16"/>
        <v>2299</v>
      </c>
      <c r="N117" s="13">
        <f t="shared" si="17"/>
        <v>1839</v>
      </c>
      <c r="O117" s="13" t="str">
        <f t="shared" si="18"/>
        <v>휘발유 45,975원 / 고급유 45,980원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2" customFormat="1" ht="28.5" customHeight="1">
      <c r="A118" s="12">
        <f t="shared" si="13"/>
        <v>103</v>
      </c>
      <c r="B118" s="12" t="s">
        <v>12</v>
      </c>
      <c r="C118" s="12" t="s">
        <v>270</v>
      </c>
      <c r="D118" s="16" t="s">
        <v>52</v>
      </c>
      <c r="E118" s="12" t="s">
        <v>70</v>
      </c>
      <c r="F118" s="12" t="s">
        <v>271</v>
      </c>
      <c r="G118" s="13">
        <v>1887</v>
      </c>
      <c r="H118" s="13">
        <v>2239</v>
      </c>
      <c r="I118" s="13"/>
      <c r="J118" s="13">
        <v>1823</v>
      </c>
      <c r="K118" s="13">
        <f t="shared" si="14"/>
        <v>0</v>
      </c>
      <c r="L118" s="13">
        <f t="shared" si="15"/>
        <v>1887</v>
      </c>
      <c r="M118" s="13">
        <f t="shared" si="16"/>
        <v>2239</v>
      </c>
      <c r="N118" s="13">
        <f t="shared" si="17"/>
        <v>1823</v>
      </c>
      <c r="O118" s="13" t="str">
        <f t="shared" si="18"/>
        <v>휘발유 47,175원 / 고급유 44,780원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348</v>
      </c>
      <c r="D119" s="16" t="s">
        <v>52</v>
      </c>
      <c r="E119" s="12" t="s">
        <v>26</v>
      </c>
      <c r="F119" s="12" t="s">
        <v>349</v>
      </c>
      <c r="G119" s="13">
        <v>1848</v>
      </c>
      <c r="H119" s="13">
        <v>2289</v>
      </c>
      <c r="I119" s="13"/>
      <c r="J119" s="13">
        <v>1819</v>
      </c>
      <c r="K119" s="13">
        <f t="shared" si="14"/>
        <v>0</v>
      </c>
      <c r="L119" s="13">
        <f t="shared" si="15"/>
        <v>1848</v>
      </c>
      <c r="M119" s="13">
        <f t="shared" si="16"/>
        <v>2289</v>
      </c>
      <c r="N119" s="13">
        <f t="shared" si="17"/>
        <v>1819</v>
      </c>
      <c r="O119" s="13" t="str">
        <f t="shared" si="18"/>
        <v>휘발유 46,200원 / 고급유 45,780원</v>
      </c>
      <c r="P119" s="13">
        <f t="shared" si="19"/>
        <v>91980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91980</v>
      </c>
      <c r="U119" s="13">
        <f t="shared" si="23"/>
        <v>2044</v>
      </c>
      <c r="V119" s="13">
        <f t="shared" si="24"/>
        <v>2044</v>
      </c>
      <c r="W119" s="15">
        <f t="shared" si="25"/>
        <v>91980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202</v>
      </c>
      <c r="D120" s="16" t="s">
        <v>52</v>
      </c>
      <c r="E120" s="12" t="s">
        <v>26</v>
      </c>
      <c r="F120" s="12" t="s">
        <v>203</v>
      </c>
      <c r="G120" s="13">
        <v>1828</v>
      </c>
      <c r="H120" s="13">
        <v>2315</v>
      </c>
      <c r="I120" s="13"/>
      <c r="J120" s="13">
        <v>1799</v>
      </c>
      <c r="K120" s="13">
        <f t="shared" si="14"/>
        <v>0</v>
      </c>
      <c r="L120" s="13">
        <f t="shared" si="15"/>
        <v>1828</v>
      </c>
      <c r="M120" s="13">
        <f t="shared" si="16"/>
        <v>2315</v>
      </c>
      <c r="N120" s="13">
        <f t="shared" si="17"/>
        <v>1799</v>
      </c>
      <c r="O120" s="13" t="str">
        <f t="shared" si="18"/>
        <v>휘발유 45,700원 / 고급유 46,300원</v>
      </c>
      <c r="P120" s="13">
        <f t="shared" si="19"/>
        <v>92000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92000</v>
      </c>
      <c r="U120" s="13">
        <f t="shared" si="23"/>
        <v>2044.4444444444443</v>
      </c>
      <c r="V120" s="13">
        <f t="shared" si="24"/>
        <v>2044.4444444444443</v>
      </c>
      <c r="W120" s="15">
        <f t="shared" si="25"/>
        <v>92000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324</v>
      </c>
      <c r="D121" s="16" t="s">
        <v>52</v>
      </c>
      <c r="E121" s="12" t="s">
        <v>26</v>
      </c>
      <c r="F121" s="12" t="s">
        <v>325</v>
      </c>
      <c r="G121" s="13">
        <v>1849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1849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46,225원 / 고급유 45,780원</v>
      </c>
      <c r="P121" s="13">
        <f t="shared" si="19"/>
        <v>92005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92005</v>
      </c>
      <c r="U121" s="13">
        <f t="shared" si="23"/>
        <v>2044.5555555555557</v>
      </c>
      <c r="V121" s="13">
        <f t="shared" si="24"/>
        <v>2044.5555555555557</v>
      </c>
      <c r="W121" s="15">
        <f t="shared" si="25"/>
        <v>92005</v>
      </c>
    </row>
    <row r="122" spans="1:23" s="17" customFormat="1" ht="28.5" customHeight="1">
      <c r="A122" s="12">
        <f t="shared" si="13"/>
        <v>108</v>
      </c>
      <c r="B122" s="12" t="s">
        <v>8</v>
      </c>
      <c r="C122" s="12" t="s">
        <v>210</v>
      </c>
      <c r="D122" s="16" t="s">
        <v>52</v>
      </c>
      <c r="E122" s="12" t="s">
        <v>26</v>
      </c>
      <c r="F122" s="12" t="s">
        <v>211</v>
      </c>
      <c r="G122" s="13">
        <v>1858</v>
      </c>
      <c r="H122" s="13">
        <v>2278</v>
      </c>
      <c r="I122" s="13"/>
      <c r="J122" s="13">
        <v>1809</v>
      </c>
      <c r="K122" s="13">
        <f t="shared" si="14"/>
        <v>0</v>
      </c>
      <c r="L122" s="13">
        <f t="shared" si="15"/>
        <v>1858</v>
      </c>
      <c r="M122" s="13">
        <f t="shared" si="16"/>
        <v>2278</v>
      </c>
      <c r="N122" s="13">
        <f t="shared" si="17"/>
        <v>1809</v>
      </c>
      <c r="O122" s="13" t="str">
        <f t="shared" si="18"/>
        <v>휘발유 46,450원 / 고급유 45,560원</v>
      </c>
      <c r="P122" s="13">
        <f t="shared" si="19"/>
        <v>92010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92010</v>
      </c>
      <c r="U122" s="13">
        <f t="shared" si="23"/>
        <v>2044.6666666666667</v>
      </c>
      <c r="V122" s="13">
        <f t="shared" si="24"/>
        <v>2044.6666666666667</v>
      </c>
      <c r="W122" s="15">
        <f t="shared" si="25"/>
        <v>92010</v>
      </c>
    </row>
    <row r="123" spans="1:23" s="17" customFormat="1" ht="28.5" customHeight="1">
      <c r="A123" s="12">
        <f t="shared" si="13"/>
        <v>109</v>
      </c>
      <c r="B123" s="12" t="s">
        <v>6</v>
      </c>
      <c r="C123" s="12" t="s">
        <v>291</v>
      </c>
      <c r="D123" s="16" t="s">
        <v>61</v>
      </c>
      <c r="E123" s="12" t="s">
        <v>26</v>
      </c>
      <c r="F123" s="12" t="s">
        <v>292</v>
      </c>
      <c r="G123" s="13">
        <v>1825</v>
      </c>
      <c r="H123" s="13">
        <v>2320</v>
      </c>
      <c r="I123" s="13"/>
      <c r="J123" s="13">
        <v>1815</v>
      </c>
      <c r="K123" s="13">
        <f t="shared" si="14"/>
        <v>0</v>
      </c>
      <c r="L123" s="13">
        <f t="shared" si="15"/>
        <v>1825</v>
      </c>
      <c r="M123" s="13">
        <f t="shared" si="16"/>
        <v>2320</v>
      </c>
      <c r="N123" s="13">
        <f t="shared" si="17"/>
        <v>1815</v>
      </c>
      <c r="O123" s="13" t="str">
        <f t="shared" si="18"/>
        <v>휘발유 45,625원 / 고급유 46,400원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220</v>
      </c>
      <c r="D124" s="16" t="s">
        <v>61</v>
      </c>
      <c r="E124" s="12" t="s">
        <v>26</v>
      </c>
      <c r="F124" s="12" t="s">
        <v>221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110</v>
      </c>
      <c r="B125" s="12" t="s">
        <v>6</v>
      </c>
      <c r="C125" s="12" t="s">
        <v>224</v>
      </c>
      <c r="D125" s="16" t="s">
        <v>61</v>
      </c>
      <c r="E125" s="12" t="s">
        <v>26</v>
      </c>
      <c r="F125" s="12" t="s">
        <v>225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110</v>
      </c>
      <c r="B126" s="12" t="s">
        <v>10</v>
      </c>
      <c r="C126" s="12" t="s">
        <v>326</v>
      </c>
      <c r="D126" s="16" t="s">
        <v>61</v>
      </c>
      <c r="E126" s="12" t="s">
        <v>70</v>
      </c>
      <c r="F126" s="12" t="s">
        <v>327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113</v>
      </c>
      <c r="B127" s="12" t="s">
        <v>6</v>
      </c>
      <c r="C127" s="12" t="s">
        <v>236</v>
      </c>
      <c r="D127" s="16" t="s">
        <v>49</v>
      </c>
      <c r="E127" s="12" t="s">
        <v>26</v>
      </c>
      <c r="F127" s="12" t="s">
        <v>237</v>
      </c>
      <c r="G127" s="13">
        <v>1808</v>
      </c>
      <c r="H127" s="13">
        <v>2346</v>
      </c>
      <c r="I127" s="13"/>
      <c r="J127" s="13">
        <v>1797</v>
      </c>
      <c r="K127" s="13">
        <f t="shared" si="14"/>
        <v>0</v>
      </c>
      <c r="L127" s="13">
        <f t="shared" si="15"/>
        <v>1808</v>
      </c>
      <c r="M127" s="13">
        <f t="shared" si="16"/>
        <v>2346</v>
      </c>
      <c r="N127" s="13">
        <f t="shared" si="17"/>
        <v>1797</v>
      </c>
      <c r="O127" s="13" t="str">
        <f t="shared" si="18"/>
        <v>휘발유 45,200원 / 고급유 46,920원</v>
      </c>
      <c r="P127" s="13">
        <f t="shared" si="19"/>
        <v>92120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92120</v>
      </c>
      <c r="U127" s="13">
        <f t="shared" si="23"/>
        <v>2047.1111111111111</v>
      </c>
      <c r="V127" s="13">
        <f t="shared" si="24"/>
        <v>2047.1111111111111</v>
      </c>
      <c r="W127" s="15">
        <f t="shared" si="25"/>
        <v>92120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228</v>
      </c>
      <c r="D128" s="16" t="s">
        <v>49</v>
      </c>
      <c r="E128" s="12" t="s">
        <v>26</v>
      </c>
      <c r="F128" s="12" t="s">
        <v>229</v>
      </c>
      <c r="G128" s="13">
        <v>1809</v>
      </c>
      <c r="H128" s="13">
        <v>2346</v>
      </c>
      <c r="I128" s="13"/>
      <c r="J128" s="13">
        <v>1798</v>
      </c>
      <c r="K128" s="13">
        <f t="shared" si="14"/>
        <v>0</v>
      </c>
      <c r="L128" s="13">
        <f t="shared" si="15"/>
        <v>1809</v>
      </c>
      <c r="M128" s="13">
        <f t="shared" si="16"/>
        <v>2346</v>
      </c>
      <c r="N128" s="13">
        <f t="shared" si="17"/>
        <v>1798</v>
      </c>
      <c r="O128" s="13" t="str">
        <f t="shared" si="18"/>
        <v>휘발유 45,225원 / 고급유 46,920원</v>
      </c>
      <c r="P128" s="13">
        <f t="shared" si="19"/>
        <v>92145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92145</v>
      </c>
      <c r="U128" s="13">
        <f t="shared" si="23"/>
        <v>2047.6666666666667</v>
      </c>
      <c r="V128" s="13">
        <f t="shared" si="24"/>
        <v>2047.6666666666667</v>
      </c>
      <c r="W128" s="15">
        <f t="shared" si="25"/>
        <v>92145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285</v>
      </c>
      <c r="D129" s="16" t="s">
        <v>61</v>
      </c>
      <c r="E129" s="12" t="s">
        <v>26</v>
      </c>
      <c r="F129" s="12" t="s">
        <v>286</v>
      </c>
      <c r="G129" s="13">
        <v>1830</v>
      </c>
      <c r="H129" s="13">
        <v>2320</v>
      </c>
      <c r="I129" s="13"/>
      <c r="J129" s="13">
        <v>1819</v>
      </c>
      <c r="K129" s="13">
        <f t="shared" si="14"/>
        <v>0</v>
      </c>
      <c r="L129" s="13">
        <f t="shared" si="15"/>
        <v>1830</v>
      </c>
      <c r="M129" s="13">
        <f t="shared" si="16"/>
        <v>2320</v>
      </c>
      <c r="N129" s="13">
        <f t="shared" si="17"/>
        <v>1819</v>
      </c>
      <c r="O129" s="13" t="str">
        <f t="shared" si="18"/>
        <v>휘발유 45,750원 / 고급유 46,400원</v>
      </c>
      <c r="P129" s="13">
        <f t="shared" si="19"/>
        <v>92150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92150</v>
      </c>
      <c r="U129" s="13">
        <f t="shared" si="23"/>
        <v>2047.7777777777778</v>
      </c>
      <c r="V129" s="13">
        <f t="shared" si="24"/>
        <v>2047.7777777777778</v>
      </c>
      <c r="W129" s="15">
        <f t="shared" si="25"/>
        <v>92150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232</v>
      </c>
      <c r="D130" s="16" t="s">
        <v>61</v>
      </c>
      <c r="E130" s="12" t="s">
        <v>26</v>
      </c>
      <c r="F130" s="12" t="s">
        <v>233</v>
      </c>
      <c r="G130" s="13">
        <v>1835</v>
      </c>
      <c r="H130" s="13">
        <v>2315</v>
      </c>
      <c r="I130" s="13"/>
      <c r="J130" s="13">
        <v>1815</v>
      </c>
      <c r="K130" s="13">
        <f t="shared" si="14"/>
        <v>0</v>
      </c>
      <c r="L130" s="13">
        <f t="shared" si="15"/>
        <v>1835</v>
      </c>
      <c r="M130" s="13">
        <f t="shared" si="16"/>
        <v>2315</v>
      </c>
      <c r="N130" s="13">
        <f t="shared" si="17"/>
        <v>1815</v>
      </c>
      <c r="O130" s="13" t="str">
        <f t="shared" si="18"/>
        <v>휘발유 45,875원 / 고급유 46,300원</v>
      </c>
      <c r="P130" s="13">
        <f t="shared" si="19"/>
        <v>92175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92175</v>
      </c>
      <c r="U130" s="13">
        <f t="shared" si="23"/>
        <v>2048.3333333333335</v>
      </c>
      <c r="V130" s="13">
        <f t="shared" si="24"/>
        <v>2048.3333333333335</v>
      </c>
      <c r="W130" s="15">
        <f t="shared" si="25"/>
        <v>92175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254</v>
      </c>
      <c r="D131" s="12" t="s">
        <v>82</v>
      </c>
      <c r="E131" s="12" t="s">
        <v>26</v>
      </c>
      <c r="F131" s="12" t="s">
        <v>255</v>
      </c>
      <c r="G131" s="13">
        <v>1859</v>
      </c>
      <c r="H131" s="13">
        <v>2288</v>
      </c>
      <c r="I131" s="13"/>
      <c r="J131" s="13">
        <v>1839</v>
      </c>
      <c r="K131" s="13">
        <f t="shared" si="14"/>
        <v>0</v>
      </c>
      <c r="L131" s="13">
        <f t="shared" si="15"/>
        <v>1859</v>
      </c>
      <c r="M131" s="13">
        <f t="shared" si="16"/>
        <v>2288</v>
      </c>
      <c r="N131" s="13">
        <f t="shared" si="17"/>
        <v>1839</v>
      </c>
      <c r="O131" s="13" t="str">
        <f t="shared" si="18"/>
        <v>휘발유 46,475원 / 고급유 45,760원</v>
      </c>
      <c r="P131" s="13">
        <f t="shared" si="19"/>
        <v>92235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92235</v>
      </c>
      <c r="U131" s="13">
        <f t="shared" si="23"/>
        <v>2049.6666666666665</v>
      </c>
      <c r="V131" s="13">
        <f t="shared" si="24"/>
        <v>2049.6666666666665</v>
      </c>
      <c r="W131" s="15">
        <f t="shared" si="25"/>
        <v>92235</v>
      </c>
    </row>
    <row r="132" spans="1:23" s="2" customFormat="1" ht="28.5" customHeight="1">
      <c r="A132" s="12">
        <f t="shared" si="13"/>
        <v>118</v>
      </c>
      <c r="B132" s="12" t="s">
        <v>8</v>
      </c>
      <c r="C132" s="12" t="s">
        <v>240</v>
      </c>
      <c r="D132" s="16" t="s">
        <v>49</v>
      </c>
      <c r="E132" s="12" t="s">
        <v>26</v>
      </c>
      <c r="F132" s="12" t="s">
        <v>241</v>
      </c>
      <c r="G132" s="13">
        <v>1854</v>
      </c>
      <c r="H132" s="13">
        <v>2319</v>
      </c>
      <c r="I132" s="13"/>
      <c r="J132" s="13">
        <v>1842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1832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118</v>
      </c>
      <c r="B133" s="12" t="s">
        <v>10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1844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1834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8" customFormat="1" ht="28.5" customHeight="1">
      <c r="A134" s="12">
        <f t="shared" si="13"/>
        <v>120</v>
      </c>
      <c r="B134" s="12" t="s">
        <v>8</v>
      </c>
      <c r="C134" s="12" t="s">
        <v>330</v>
      </c>
      <c r="D134" s="12" t="s">
        <v>82</v>
      </c>
      <c r="E134" s="12" t="s">
        <v>26</v>
      </c>
      <c r="F134" s="12" t="s">
        <v>331</v>
      </c>
      <c r="G134" s="13">
        <v>1855</v>
      </c>
      <c r="H134" s="13">
        <v>2299</v>
      </c>
      <c r="I134" s="13"/>
      <c r="J134" s="13">
        <v>1839</v>
      </c>
      <c r="K134" s="13">
        <f t="shared" si="14"/>
        <v>0</v>
      </c>
      <c r="L134" s="13">
        <f t="shared" si="15"/>
        <v>1855</v>
      </c>
      <c r="M134" s="13">
        <f t="shared" si="16"/>
        <v>2299</v>
      </c>
      <c r="N134" s="13">
        <f t="shared" si="17"/>
        <v>1839</v>
      </c>
      <c r="O134" s="13" t="str">
        <f t="shared" si="18"/>
        <v>휘발유 46,375원 / 고급유 45,980원</v>
      </c>
      <c r="P134" s="13">
        <f t="shared" si="19"/>
        <v>92355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92355</v>
      </c>
      <c r="U134" s="13">
        <f t="shared" si="23"/>
        <v>2052.3333333333335</v>
      </c>
      <c r="V134" s="13">
        <f t="shared" si="24"/>
        <v>2052.3333333333335</v>
      </c>
      <c r="W134" s="15">
        <f t="shared" si="25"/>
        <v>92355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322</v>
      </c>
      <c r="D135" s="16" t="s">
        <v>52</v>
      </c>
      <c r="E135" s="12" t="s">
        <v>26</v>
      </c>
      <c r="F135" s="12" t="s">
        <v>323</v>
      </c>
      <c r="G135" s="13">
        <v>1855</v>
      </c>
      <c r="H135" s="13">
        <v>2300</v>
      </c>
      <c r="I135" s="13"/>
      <c r="J135" s="13">
        <v>1855</v>
      </c>
      <c r="K135" s="13">
        <f t="shared" si="14"/>
        <v>0</v>
      </c>
      <c r="L135" s="13">
        <f t="shared" si="15"/>
        <v>1855</v>
      </c>
      <c r="M135" s="13">
        <f t="shared" si="16"/>
        <v>2300</v>
      </c>
      <c r="N135" s="13">
        <f t="shared" si="17"/>
        <v>1855</v>
      </c>
      <c r="O135" s="13" t="str">
        <f t="shared" si="18"/>
        <v>휘발유 46,375원 / 고급유 46,000원</v>
      </c>
      <c r="P135" s="13">
        <f t="shared" si="19"/>
        <v>92375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92375</v>
      </c>
      <c r="U135" s="13">
        <f t="shared" si="23"/>
        <v>2052.7777777777778</v>
      </c>
      <c r="V135" s="13">
        <f t="shared" si="24"/>
        <v>2052.7777777777778</v>
      </c>
      <c r="W135" s="15">
        <f t="shared" si="25"/>
        <v>92375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248</v>
      </c>
      <c r="D136" s="16" t="s">
        <v>49</v>
      </c>
      <c r="E136" s="12" t="s">
        <v>26</v>
      </c>
      <c r="F136" s="12" t="s">
        <v>249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17" customFormat="1" ht="28.5" customHeight="1">
      <c r="A137" s="12">
        <f t="shared" si="13"/>
        <v>122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1475</v>
      </c>
      <c r="D138" s="16" t="s">
        <v>61</v>
      </c>
      <c r="E138" s="12" t="s">
        <v>26</v>
      </c>
      <c r="F138" s="12" t="s">
        <v>1476</v>
      </c>
      <c r="G138" s="13">
        <v>1857</v>
      </c>
      <c r="H138" s="13">
        <v>2299</v>
      </c>
      <c r="I138" s="13"/>
      <c r="J138" s="13">
        <v>1844</v>
      </c>
      <c r="K138" s="13">
        <f t="shared" si="14"/>
        <v>0</v>
      </c>
      <c r="L138" s="13">
        <f t="shared" si="15"/>
        <v>1857</v>
      </c>
      <c r="M138" s="13">
        <f t="shared" si="16"/>
        <v>2299</v>
      </c>
      <c r="N138" s="13">
        <f t="shared" si="17"/>
        <v>1844</v>
      </c>
      <c r="O138" s="13" t="str">
        <f t="shared" si="18"/>
        <v>휘발유 46,425원 / 고급유 45,980원</v>
      </c>
      <c r="P138" s="13">
        <f t="shared" si="19"/>
        <v>92405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92405</v>
      </c>
      <c r="U138" s="13">
        <f t="shared" si="23"/>
        <v>2053.4444444444443</v>
      </c>
      <c r="V138" s="13">
        <f t="shared" si="24"/>
        <v>2053.4444444444443</v>
      </c>
      <c r="W138" s="15">
        <f t="shared" si="25"/>
        <v>92405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356</v>
      </c>
      <c r="D139" s="16" t="s">
        <v>52</v>
      </c>
      <c r="E139" s="12" t="s">
        <v>26</v>
      </c>
      <c r="F139" s="12" t="s">
        <v>357</v>
      </c>
      <c r="G139" s="13">
        <v>1858</v>
      </c>
      <c r="H139" s="13">
        <v>2298</v>
      </c>
      <c r="I139" s="13"/>
      <c r="J139" s="13">
        <v>1848</v>
      </c>
      <c r="K139" s="13">
        <f t="shared" si="14"/>
        <v>0</v>
      </c>
      <c r="L139" s="13">
        <f t="shared" si="15"/>
        <v>1858</v>
      </c>
      <c r="M139" s="13">
        <f t="shared" si="16"/>
        <v>2298</v>
      </c>
      <c r="N139" s="13">
        <f t="shared" si="17"/>
        <v>1848</v>
      </c>
      <c r="O139" s="13" t="str">
        <f t="shared" si="18"/>
        <v>휘발유 46,450원 / 고급유 45,960원</v>
      </c>
      <c r="P139" s="13">
        <f t="shared" si="19"/>
        <v>92410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92410</v>
      </c>
      <c r="U139" s="13">
        <f t="shared" si="23"/>
        <v>2053.5555555555557</v>
      </c>
      <c r="V139" s="13">
        <f t="shared" si="24"/>
        <v>2053.5555555555557</v>
      </c>
      <c r="W139" s="15">
        <f t="shared" si="25"/>
        <v>92410</v>
      </c>
    </row>
    <row r="140" spans="1:23" s="2" customFormat="1" ht="28.5" customHeight="1">
      <c r="A140" s="12">
        <f t="shared" si="13"/>
        <v>126</v>
      </c>
      <c r="B140" s="12" t="s">
        <v>14</v>
      </c>
      <c r="C140" s="12" t="s">
        <v>293</v>
      </c>
      <c r="D140" s="16" t="s">
        <v>61</v>
      </c>
      <c r="E140" s="12" t="s">
        <v>26</v>
      </c>
      <c r="F140" s="12" t="s">
        <v>294</v>
      </c>
      <c r="G140" s="13">
        <v>1845</v>
      </c>
      <c r="H140" s="13">
        <v>2315</v>
      </c>
      <c r="I140" s="13"/>
      <c r="J140" s="13">
        <v>1849</v>
      </c>
      <c r="K140" s="13">
        <f t="shared" si="14"/>
        <v>0</v>
      </c>
      <c r="L140" s="13">
        <f t="shared" si="15"/>
        <v>1845</v>
      </c>
      <c r="M140" s="13">
        <f t="shared" si="16"/>
        <v>2315</v>
      </c>
      <c r="N140" s="13">
        <f t="shared" si="17"/>
        <v>1849</v>
      </c>
      <c r="O140" s="13" t="str">
        <f t="shared" si="18"/>
        <v>휘발유 46,125원 / 고급유 46,300원</v>
      </c>
      <c r="P140" s="13">
        <f t="shared" si="19"/>
        <v>92425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92425</v>
      </c>
      <c r="U140" s="13">
        <f t="shared" si="23"/>
        <v>2053.8888888888887</v>
      </c>
      <c r="V140" s="13">
        <f t="shared" si="24"/>
        <v>2053.8888888888887</v>
      </c>
      <c r="W140" s="15">
        <f t="shared" si="25"/>
        <v>92425</v>
      </c>
    </row>
    <row r="141" spans="1:23" s="8" customFormat="1" ht="28.5" customHeight="1">
      <c r="A141" s="12">
        <f t="shared" si="13"/>
        <v>127</v>
      </c>
      <c r="B141" s="12" t="s">
        <v>10</v>
      </c>
      <c r="C141" s="12" t="s">
        <v>252</v>
      </c>
      <c r="D141" s="16" t="s">
        <v>61</v>
      </c>
      <c r="E141" s="12" t="s">
        <v>70</v>
      </c>
      <c r="F141" s="12" t="s">
        <v>253</v>
      </c>
      <c r="G141" s="13">
        <v>1858</v>
      </c>
      <c r="H141" s="13">
        <v>2299</v>
      </c>
      <c r="I141" s="13"/>
      <c r="J141" s="13">
        <v>1838</v>
      </c>
      <c r="K141" s="13">
        <f t="shared" si="14"/>
        <v>0</v>
      </c>
      <c r="L141" s="13">
        <f t="shared" si="15"/>
        <v>1858</v>
      </c>
      <c r="M141" s="13">
        <f t="shared" si="16"/>
        <v>2299</v>
      </c>
      <c r="N141" s="13">
        <f t="shared" si="17"/>
        <v>1838</v>
      </c>
      <c r="O141" s="13" t="str">
        <f t="shared" si="18"/>
        <v>휘발유 46,450원 / 고급유 45,980원</v>
      </c>
      <c r="P141" s="13">
        <f t="shared" si="19"/>
        <v>92430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92430</v>
      </c>
      <c r="U141" s="13">
        <f t="shared" si="23"/>
        <v>2054</v>
      </c>
      <c r="V141" s="13">
        <f t="shared" si="24"/>
        <v>2054</v>
      </c>
      <c r="W141" s="15">
        <f t="shared" si="25"/>
        <v>92430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256</v>
      </c>
      <c r="D142" s="16" t="s">
        <v>49</v>
      </c>
      <c r="E142" s="12" t="s">
        <v>70</v>
      </c>
      <c r="F142" s="12" t="s">
        <v>257</v>
      </c>
      <c r="G142" s="13">
        <v>1860</v>
      </c>
      <c r="H142" s="13">
        <v>2320</v>
      </c>
      <c r="I142" s="13"/>
      <c r="J142" s="13">
        <v>1855</v>
      </c>
      <c r="K142" s="13">
        <f t="shared" si="14"/>
        <v>-10</v>
      </c>
      <c r="L142" s="13">
        <f t="shared" si="15"/>
        <v>1850</v>
      </c>
      <c r="M142" s="13">
        <f t="shared" si="16"/>
        <v>2310</v>
      </c>
      <c r="N142" s="13">
        <f t="shared" si="17"/>
        <v>1845</v>
      </c>
      <c r="O142" s="13" t="str">
        <f t="shared" si="18"/>
        <v>휘발유 46,250원 / 고급유 46,200원</v>
      </c>
      <c r="P142" s="13">
        <f t="shared" si="19"/>
        <v>92450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92450</v>
      </c>
      <c r="U142" s="13">
        <f t="shared" si="23"/>
        <v>2054.4444444444443</v>
      </c>
      <c r="V142" s="13">
        <f t="shared" si="24"/>
        <v>2054.4444444444443</v>
      </c>
      <c r="W142" s="15">
        <f t="shared" si="25"/>
        <v>92450</v>
      </c>
    </row>
    <row r="143" spans="1:23" s="2" customFormat="1" ht="28.5" customHeight="1">
      <c r="A143" s="12">
        <f t="shared" ref="A143:A206" si="26">IF($T143="","",1+COUNTIF($W$15:$W$878,"&lt;"&amp;W143))</f>
        <v>129</v>
      </c>
      <c r="B143" s="12" t="s">
        <v>18</v>
      </c>
      <c r="C143" s="12" t="s">
        <v>258</v>
      </c>
      <c r="D143" s="12" t="s">
        <v>82</v>
      </c>
      <c r="E143" s="12" t="s">
        <v>26</v>
      </c>
      <c r="F143" s="12" t="s">
        <v>259</v>
      </c>
      <c r="G143" s="13">
        <v>1859</v>
      </c>
      <c r="H143" s="13">
        <v>2299</v>
      </c>
      <c r="I143" s="13"/>
      <c r="J143" s="13">
        <v>1829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1859</v>
      </c>
      <c r="M143" s="13">
        <f t="shared" ref="M143:M206" si="29">IF($H143="","",$H143+$K143)</f>
        <v>2299</v>
      </c>
      <c r="N143" s="13">
        <f t="shared" ref="N143:N206" si="30">IF($J143="","",$J143+$K143)</f>
        <v>1829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92455</v>
      </c>
      <c r="U143" s="13">
        <f t="shared" ref="U143:U206" si="36">IF($T143="","",IF($B$10=0,"",$T143/$B$10))</f>
        <v>2054.5555555555557</v>
      </c>
      <c r="V143" s="13">
        <f t="shared" ref="V143:V206" si="37">IF($P143="","",IF($B$10=0,"",$P143/$B$10))</f>
        <v>2054.5555555555557</v>
      </c>
      <c r="W143" s="15">
        <f t="shared" ref="W143:W206" si="38">IF($T143="",1000000000000000,$T143)</f>
        <v>92455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299</v>
      </c>
      <c r="D144" s="16" t="s">
        <v>61</v>
      </c>
      <c r="E144" s="12" t="s">
        <v>26</v>
      </c>
      <c r="F144" s="12" t="s">
        <v>300</v>
      </c>
      <c r="G144" s="13">
        <v>1865</v>
      </c>
      <c r="H144" s="13">
        <v>2292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2292</v>
      </c>
      <c r="N144" s="13">
        <f t="shared" si="30"/>
        <v>1849</v>
      </c>
      <c r="O144" s="13" t="str">
        <f t="shared" si="31"/>
        <v>휘발유 46,625원 / 고급유 45,840원</v>
      </c>
      <c r="P144" s="13">
        <f t="shared" si="32"/>
        <v>92465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92465</v>
      </c>
      <c r="U144" s="13">
        <f t="shared" si="36"/>
        <v>2054.7777777777778</v>
      </c>
      <c r="V144" s="13">
        <f t="shared" si="37"/>
        <v>2054.7777777777778</v>
      </c>
      <c r="W144" s="15">
        <f t="shared" si="38"/>
        <v>92465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266</v>
      </c>
      <c r="D145" s="16" t="s">
        <v>61</v>
      </c>
      <c r="E145" s="12" t="s">
        <v>26</v>
      </c>
      <c r="F145" s="12" t="s">
        <v>267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17" customFormat="1" ht="28.5" customHeight="1">
      <c r="A146" s="12">
        <f t="shared" si="26"/>
        <v>131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276</v>
      </c>
      <c r="D147" s="16" t="s">
        <v>49</v>
      </c>
      <c r="E147" s="12" t="s">
        <v>70</v>
      </c>
      <c r="F147" s="12" t="s">
        <v>277</v>
      </c>
      <c r="G147" s="13">
        <v>1866</v>
      </c>
      <c r="H147" s="13">
        <v>2319</v>
      </c>
      <c r="I147" s="13"/>
      <c r="J147" s="13">
        <v>1850</v>
      </c>
      <c r="K147" s="13">
        <f t="shared" si="27"/>
        <v>-10</v>
      </c>
      <c r="L147" s="13">
        <f t="shared" si="28"/>
        <v>1856</v>
      </c>
      <c r="M147" s="13">
        <f t="shared" si="29"/>
        <v>2309</v>
      </c>
      <c r="N147" s="13">
        <f t="shared" si="30"/>
        <v>1840</v>
      </c>
      <c r="O147" s="13" t="str">
        <f t="shared" si="31"/>
        <v>휘발유 46,400원 / 고급유 46,180원</v>
      </c>
      <c r="P147" s="13">
        <f t="shared" si="32"/>
        <v>92580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92580</v>
      </c>
      <c r="U147" s="13">
        <f t="shared" si="36"/>
        <v>2057.3333333333335</v>
      </c>
      <c r="V147" s="13">
        <f t="shared" si="37"/>
        <v>2057.3333333333335</v>
      </c>
      <c r="W147" s="15">
        <f t="shared" si="38"/>
        <v>92580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262</v>
      </c>
      <c r="D148" s="16" t="s">
        <v>52</v>
      </c>
      <c r="E148" s="12" t="s">
        <v>26</v>
      </c>
      <c r="F148" s="12" t="s">
        <v>263</v>
      </c>
      <c r="G148" s="13">
        <v>1832</v>
      </c>
      <c r="H148" s="13">
        <v>2340</v>
      </c>
      <c r="I148" s="13"/>
      <c r="J148" s="13">
        <v>1825</v>
      </c>
      <c r="K148" s="13">
        <f t="shared" si="27"/>
        <v>0</v>
      </c>
      <c r="L148" s="13">
        <f t="shared" si="28"/>
        <v>1832</v>
      </c>
      <c r="M148" s="13">
        <f t="shared" si="29"/>
        <v>2340</v>
      </c>
      <c r="N148" s="13">
        <f t="shared" si="30"/>
        <v>1825</v>
      </c>
      <c r="O148" s="13" t="str">
        <f t="shared" si="31"/>
        <v>휘발유 45,800원 / 고급유 46,800원</v>
      </c>
      <c r="P148" s="13">
        <f t="shared" si="32"/>
        <v>92600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92600</v>
      </c>
      <c r="U148" s="13">
        <f t="shared" si="36"/>
        <v>2057.7777777777778</v>
      </c>
      <c r="V148" s="13">
        <f t="shared" si="37"/>
        <v>2057.7777777777778</v>
      </c>
      <c r="W148" s="15">
        <f t="shared" si="38"/>
        <v>92600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354</v>
      </c>
      <c r="D149" s="16" t="s">
        <v>49</v>
      </c>
      <c r="E149" s="12" t="s">
        <v>26</v>
      </c>
      <c r="F149" s="12" t="s">
        <v>355</v>
      </c>
      <c r="G149" s="13">
        <v>1828</v>
      </c>
      <c r="H149" s="13">
        <v>2349</v>
      </c>
      <c r="I149" s="13"/>
      <c r="J149" s="13">
        <v>1813</v>
      </c>
      <c r="K149" s="13">
        <f t="shared" si="27"/>
        <v>0</v>
      </c>
      <c r="L149" s="13">
        <f t="shared" si="28"/>
        <v>1828</v>
      </c>
      <c r="M149" s="13">
        <f t="shared" si="29"/>
        <v>2349</v>
      </c>
      <c r="N149" s="13">
        <f t="shared" si="30"/>
        <v>1813</v>
      </c>
      <c r="O149" s="13" t="str">
        <f t="shared" si="31"/>
        <v>휘발유 45,700원 / 고급유 46,980원</v>
      </c>
      <c r="P149" s="13">
        <f t="shared" si="32"/>
        <v>92680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92680</v>
      </c>
      <c r="U149" s="13">
        <f t="shared" si="36"/>
        <v>2059.5555555555557</v>
      </c>
      <c r="V149" s="13">
        <f t="shared" si="37"/>
        <v>2059.5555555555557</v>
      </c>
      <c r="W149" s="15">
        <f t="shared" si="38"/>
        <v>92680</v>
      </c>
    </row>
    <row r="150" spans="1:23" s="8" customFormat="1" ht="28.5" customHeight="1">
      <c r="A150" s="12">
        <f t="shared" si="26"/>
        <v>136</v>
      </c>
      <c r="B150" s="12" t="s">
        <v>8</v>
      </c>
      <c r="C150" s="12" t="s">
        <v>283</v>
      </c>
      <c r="D150" s="16" t="s">
        <v>49</v>
      </c>
      <c r="E150" s="12" t="s">
        <v>26</v>
      </c>
      <c r="F150" s="12" t="s">
        <v>284</v>
      </c>
      <c r="G150" s="13">
        <v>1864</v>
      </c>
      <c r="H150" s="13">
        <v>2329</v>
      </c>
      <c r="I150" s="13"/>
      <c r="J150" s="13">
        <v>1852</v>
      </c>
      <c r="K150" s="13">
        <f t="shared" si="27"/>
        <v>-10</v>
      </c>
      <c r="L150" s="13">
        <f t="shared" si="28"/>
        <v>1854</v>
      </c>
      <c r="M150" s="13">
        <f t="shared" si="29"/>
        <v>2319</v>
      </c>
      <c r="N150" s="13">
        <f t="shared" si="30"/>
        <v>1842</v>
      </c>
      <c r="O150" s="13" t="str">
        <f t="shared" si="31"/>
        <v>휘발유 46,350원 / 고급유 46,380원</v>
      </c>
      <c r="P150" s="13">
        <f t="shared" si="32"/>
        <v>92730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92730</v>
      </c>
      <c r="U150" s="13">
        <f t="shared" si="36"/>
        <v>2060.6666666666665</v>
      </c>
      <c r="V150" s="13">
        <f t="shared" si="37"/>
        <v>2060.6666666666665</v>
      </c>
      <c r="W150" s="15">
        <f t="shared" si="38"/>
        <v>92730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1119</v>
      </c>
      <c r="D151" s="16" t="s">
        <v>49</v>
      </c>
      <c r="E151" s="12" t="s">
        <v>26</v>
      </c>
      <c r="F151" s="12" t="s">
        <v>1120</v>
      </c>
      <c r="G151" s="13">
        <v>1815</v>
      </c>
      <c r="H151" s="13">
        <v>2369</v>
      </c>
      <c r="I151" s="13"/>
      <c r="J151" s="13">
        <v>1798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1798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2" customFormat="1" ht="28.5" customHeight="1">
      <c r="A152" s="12">
        <f t="shared" si="26"/>
        <v>137</v>
      </c>
      <c r="B152" s="12" t="s">
        <v>14</v>
      </c>
      <c r="C152" s="12" t="s">
        <v>316</v>
      </c>
      <c r="D152" s="16" t="s">
        <v>61</v>
      </c>
      <c r="E152" s="12" t="s">
        <v>26</v>
      </c>
      <c r="F152" s="12" t="s">
        <v>317</v>
      </c>
      <c r="G152" s="13">
        <v>1815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139</v>
      </c>
      <c r="B153" s="12" t="s">
        <v>12</v>
      </c>
      <c r="C153" s="12" t="s">
        <v>360</v>
      </c>
      <c r="D153" s="16" t="s">
        <v>49</v>
      </c>
      <c r="E153" s="12" t="s">
        <v>26</v>
      </c>
      <c r="F153" s="12" t="s">
        <v>361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139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287</v>
      </c>
      <c r="D155" s="16" t="s">
        <v>49</v>
      </c>
      <c r="E155" s="12" t="s">
        <v>70</v>
      </c>
      <c r="F155" s="12" t="s">
        <v>288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308</v>
      </c>
      <c r="D156" s="16" t="s">
        <v>49</v>
      </c>
      <c r="E156" s="12" t="s">
        <v>26</v>
      </c>
      <c r="F156" s="12" t="s">
        <v>309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301</v>
      </c>
      <c r="D157" s="16" t="s">
        <v>49</v>
      </c>
      <c r="E157" s="12" t="s">
        <v>70</v>
      </c>
      <c r="F157" s="12" t="s">
        <v>302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303</v>
      </c>
      <c r="D158" s="16" t="s">
        <v>49</v>
      </c>
      <c r="E158" s="12" t="s">
        <v>26</v>
      </c>
      <c r="F158" s="12" t="s">
        <v>304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305</v>
      </c>
      <c r="D159" s="12" t="s">
        <v>306</v>
      </c>
      <c r="E159" s="12" t="s">
        <v>26</v>
      </c>
      <c r="F159" s="12" t="s">
        <v>307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336</v>
      </c>
      <c r="D160" s="16" t="s">
        <v>61</v>
      </c>
      <c r="E160" s="12" t="s">
        <v>26</v>
      </c>
      <c r="F160" s="12" t="s">
        <v>337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310</v>
      </c>
      <c r="D161" s="12" t="s">
        <v>82</v>
      </c>
      <c r="E161" s="12" t="s">
        <v>26</v>
      </c>
      <c r="F161" s="12" t="s">
        <v>311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312</v>
      </c>
      <c r="D162" s="12" t="s">
        <v>306</v>
      </c>
      <c r="E162" s="12" t="s">
        <v>26</v>
      </c>
      <c r="F162" s="12" t="s">
        <v>313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314</v>
      </c>
      <c r="D163" s="16" t="s">
        <v>49</v>
      </c>
      <c r="E163" s="12" t="s">
        <v>70</v>
      </c>
      <c r="F163" s="12" t="s">
        <v>315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358</v>
      </c>
      <c r="D164" s="16" t="s">
        <v>52</v>
      </c>
      <c r="E164" s="12" t="s">
        <v>26</v>
      </c>
      <c r="F164" s="12" t="s">
        <v>359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318</v>
      </c>
      <c r="D165" s="16" t="s">
        <v>49</v>
      </c>
      <c r="E165" s="12" t="s">
        <v>26</v>
      </c>
      <c r="F165" s="12" t="s">
        <v>319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320</v>
      </c>
      <c r="D166" s="12" t="s">
        <v>82</v>
      </c>
      <c r="E166" s="12" t="s">
        <v>26</v>
      </c>
      <c r="F166" s="12" t="s">
        <v>321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350</v>
      </c>
      <c r="D167" s="16" t="s">
        <v>49</v>
      </c>
      <c r="E167" s="12" t="s">
        <v>26</v>
      </c>
      <c r="F167" s="12" t="s">
        <v>351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17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49</v>
      </c>
      <c r="E168" s="12" t="s">
        <v>26</v>
      </c>
      <c r="F168" s="12" t="s">
        <v>345</v>
      </c>
      <c r="G168" s="13">
        <v>1835</v>
      </c>
      <c r="H168" s="13">
        <v>2385</v>
      </c>
      <c r="I168" s="13"/>
      <c r="J168" s="13">
        <v>1825</v>
      </c>
      <c r="K168" s="13">
        <f t="shared" si="27"/>
        <v>0</v>
      </c>
      <c r="L168" s="13">
        <f t="shared" si="28"/>
        <v>1835</v>
      </c>
      <c r="M168" s="13">
        <f t="shared" si="29"/>
        <v>2385</v>
      </c>
      <c r="N168" s="13">
        <f t="shared" si="30"/>
        <v>1825</v>
      </c>
      <c r="O168" s="13" t="str">
        <f t="shared" si="31"/>
        <v>휘발유 45,875원 / 고급유 47,700원</v>
      </c>
      <c r="P168" s="13">
        <f t="shared" si="32"/>
        <v>93575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93575</v>
      </c>
      <c r="U168" s="13">
        <f t="shared" si="36"/>
        <v>2079.4444444444443</v>
      </c>
      <c r="V168" s="13">
        <f t="shared" si="37"/>
        <v>2079.4444444444443</v>
      </c>
      <c r="W168" s="15">
        <f t="shared" si="38"/>
        <v>93575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328</v>
      </c>
      <c r="D169" s="16" t="s">
        <v>52</v>
      </c>
      <c r="E169" s="12" t="s">
        <v>26</v>
      </c>
      <c r="F169" s="12" t="s">
        <v>329</v>
      </c>
      <c r="G169" s="13">
        <v>1825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1825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45,625원 / 고급유 47,980원</v>
      </c>
      <c r="P169" s="13">
        <f t="shared" si="32"/>
        <v>93605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93605</v>
      </c>
      <c r="U169" s="13">
        <f t="shared" si="36"/>
        <v>2080.1111111111113</v>
      </c>
      <c r="V169" s="13">
        <f t="shared" si="37"/>
        <v>2080.1111111111113</v>
      </c>
      <c r="W169" s="15">
        <f t="shared" si="38"/>
        <v>93605</v>
      </c>
    </row>
    <row r="170" spans="1:23" s="2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1834</v>
      </c>
      <c r="H170" s="13">
        <v>2390</v>
      </c>
      <c r="I170" s="13"/>
      <c r="J170" s="13">
        <v>1829</v>
      </c>
      <c r="K170" s="13">
        <f t="shared" si="27"/>
        <v>0</v>
      </c>
      <c r="L170" s="13">
        <f t="shared" si="28"/>
        <v>1834</v>
      </c>
      <c r="M170" s="13">
        <f t="shared" si="29"/>
        <v>2390</v>
      </c>
      <c r="N170" s="13">
        <f t="shared" si="30"/>
        <v>1829</v>
      </c>
      <c r="O170" s="13" t="str">
        <f t="shared" si="31"/>
        <v>휘발유 45,850원 / 고급유 47,800원</v>
      </c>
      <c r="P170" s="13">
        <f t="shared" si="32"/>
        <v>93650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93650</v>
      </c>
      <c r="U170" s="13">
        <f t="shared" si="36"/>
        <v>2081.1111111111113</v>
      </c>
      <c r="V170" s="13">
        <f t="shared" si="37"/>
        <v>2081.1111111111113</v>
      </c>
      <c r="W170" s="15">
        <f t="shared" si="38"/>
        <v>93650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332</v>
      </c>
      <c r="D171" s="16" t="s">
        <v>52</v>
      </c>
      <c r="E171" s="12" t="s">
        <v>26</v>
      </c>
      <c r="F171" s="12" t="s">
        <v>333</v>
      </c>
      <c r="G171" s="13">
        <v>1835</v>
      </c>
      <c r="H171" s="13">
        <v>2390</v>
      </c>
      <c r="I171" s="13"/>
      <c r="J171" s="13">
        <v>1813</v>
      </c>
      <c r="K171" s="13">
        <f t="shared" si="27"/>
        <v>0</v>
      </c>
      <c r="L171" s="13">
        <f t="shared" si="28"/>
        <v>1835</v>
      </c>
      <c r="M171" s="13">
        <f t="shared" si="29"/>
        <v>2390</v>
      </c>
      <c r="N171" s="13">
        <f t="shared" si="30"/>
        <v>1813</v>
      </c>
      <c r="O171" s="13" t="str">
        <f t="shared" si="31"/>
        <v>휘발유 45,875원 / 고급유 47,800원</v>
      </c>
      <c r="P171" s="13">
        <f t="shared" si="32"/>
        <v>93675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93675</v>
      </c>
      <c r="U171" s="13">
        <f t="shared" si="36"/>
        <v>2081.6666666666665</v>
      </c>
      <c r="V171" s="13">
        <f t="shared" si="37"/>
        <v>2081.6666666666665</v>
      </c>
      <c r="W171" s="15">
        <f t="shared" si="38"/>
        <v>93675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340</v>
      </c>
      <c r="D172" s="16" t="s">
        <v>49</v>
      </c>
      <c r="E172" s="12" t="s">
        <v>26</v>
      </c>
      <c r="F172" s="12" t="s">
        <v>341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158</v>
      </c>
      <c r="B173" s="12" t="s">
        <v>14</v>
      </c>
      <c r="C173" s="12" t="s">
        <v>364</v>
      </c>
      <c r="D173" s="16" t="s">
        <v>49</v>
      </c>
      <c r="E173" s="12" t="s">
        <v>70</v>
      </c>
      <c r="F173" s="12" t="s">
        <v>365</v>
      </c>
      <c r="G173" s="13">
        <v>1880</v>
      </c>
      <c r="H173" s="13">
        <v>2369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2359</v>
      </c>
      <c r="N173" s="13">
        <f t="shared" si="30"/>
        <v>1860</v>
      </c>
      <c r="O173" s="13" t="str">
        <f t="shared" si="31"/>
        <v>휘발유 46,750원 / 고급유 47,180원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346</v>
      </c>
      <c r="D174" s="16" t="s">
        <v>61</v>
      </c>
      <c r="E174" s="12" t="s">
        <v>26</v>
      </c>
      <c r="F174" s="12" t="s">
        <v>347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372</v>
      </c>
      <c r="D175" s="16" t="s">
        <v>49</v>
      </c>
      <c r="E175" s="12" t="s">
        <v>26</v>
      </c>
      <c r="F175" s="12" t="s">
        <v>373</v>
      </c>
      <c r="G175" s="13">
        <v>1867</v>
      </c>
      <c r="H175" s="13">
        <v>2429</v>
      </c>
      <c r="I175" s="13" t="s">
        <v>47</v>
      </c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2419</v>
      </c>
      <c r="N175" s="13">
        <f t="shared" si="30"/>
        <v>1849</v>
      </c>
      <c r="O175" s="13" t="str">
        <f t="shared" si="31"/>
        <v>휘발유 46,425원 / 고급유 48,380원</v>
      </c>
      <c r="P175" s="13">
        <f t="shared" si="32"/>
        <v>94805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94805</v>
      </c>
      <c r="U175" s="13">
        <f t="shared" si="36"/>
        <v>2106.7777777777778</v>
      </c>
      <c r="V175" s="13">
        <f t="shared" si="37"/>
        <v>2106.7777777777778</v>
      </c>
      <c r="W175" s="15">
        <f t="shared" si="38"/>
        <v>94805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368</v>
      </c>
      <c r="D176" s="12" t="s">
        <v>82</v>
      </c>
      <c r="E176" s="12" t="s">
        <v>26</v>
      </c>
      <c r="F176" s="12" t="s">
        <v>369</v>
      </c>
      <c r="G176" s="13">
        <v>1875</v>
      </c>
      <c r="H176" s="13">
        <v>2419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2419</v>
      </c>
      <c r="N176" s="13">
        <f t="shared" si="30"/>
        <v>1865</v>
      </c>
      <c r="O176" s="13" t="str">
        <f t="shared" si="31"/>
        <v>휘발유 46,875원 / 고급유 48,380원</v>
      </c>
      <c r="P176" s="13">
        <f t="shared" si="32"/>
        <v>95255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95255</v>
      </c>
      <c r="U176" s="13">
        <f t="shared" si="36"/>
        <v>2116.7777777777778</v>
      </c>
      <c r="V176" s="13">
        <f t="shared" si="37"/>
        <v>2116.7777777777778</v>
      </c>
      <c r="W176" s="15">
        <f t="shared" si="38"/>
        <v>95255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366</v>
      </c>
      <c r="D177" s="16" t="s">
        <v>61</v>
      </c>
      <c r="E177" s="12" t="s">
        <v>26</v>
      </c>
      <c r="F177" s="12" t="s">
        <v>367</v>
      </c>
      <c r="G177" s="13">
        <v>1835</v>
      </c>
      <c r="H177" s="13">
        <v>2495</v>
      </c>
      <c r="I177" s="13"/>
      <c r="J177" s="13">
        <v>1825</v>
      </c>
      <c r="K177" s="13">
        <f t="shared" si="27"/>
        <v>0</v>
      </c>
      <c r="L177" s="13">
        <f t="shared" si="28"/>
        <v>1835</v>
      </c>
      <c r="M177" s="13">
        <f t="shared" si="29"/>
        <v>2495</v>
      </c>
      <c r="N177" s="13">
        <f t="shared" si="30"/>
        <v>1825</v>
      </c>
      <c r="O177" s="13" t="str">
        <f t="shared" si="31"/>
        <v>휘발유 45,875원 / 고급유 49,900원</v>
      </c>
      <c r="P177" s="13">
        <f t="shared" si="32"/>
        <v>95775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95775</v>
      </c>
      <c r="U177" s="13">
        <f t="shared" si="36"/>
        <v>2128.3333333333335</v>
      </c>
      <c r="V177" s="13">
        <f t="shared" si="37"/>
        <v>2128.3333333333335</v>
      </c>
      <c r="W177" s="15">
        <f t="shared" si="38"/>
        <v>95775</v>
      </c>
    </row>
    <row r="178" spans="1:23" s="17" customFormat="1" ht="28.5" customHeight="1">
      <c r="A178" s="12">
        <f t="shared" si="26"/>
        <v>164</v>
      </c>
      <c r="B178" s="12" t="s">
        <v>8</v>
      </c>
      <c r="C178" s="12" t="s">
        <v>370</v>
      </c>
      <c r="D178" s="12" t="s">
        <v>82</v>
      </c>
      <c r="E178" s="12" t="s">
        <v>26</v>
      </c>
      <c r="F178" s="12" t="s">
        <v>371</v>
      </c>
      <c r="G178" s="13">
        <v>1854</v>
      </c>
      <c r="H178" s="13">
        <v>2499</v>
      </c>
      <c r="I178" s="13"/>
      <c r="J178" s="13">
        <v>1842</v>
      </c>
      <c r="K178" s="13">
        <f t="shared" si="27"/>
        <v>0</v>
      </c>
      <c r="L178" s="13">
        <f t="shared" si="28"/>
        <v>1854</v>
      </c>
      <c r="M178" s="13">
        <f t="shared" si="29"/>
        <v>2499</v>
      </c>
      <c r="N178" s="13">
        <f t="shared" si="30"/>
        <v>1842</v>
      </c>
      <c r="O178" s="13" t="str">
        <f t="shared" si="31"/>
        <v>휘발유 46,350원 / 고급유 49,980원</v>
      </c>
      <c r="P178" s="13">
        <f t="shared" si="32"/>
        <v>96330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96330</v>
      </c>
      <c r="U178" s="13">
        <f t="shared" si="36"/>
        <v>2140.6666666666665</v>
      </c>
      <c r="V178" s="13">
        <f t="shared" si="37"/>
        <v>2140.6666666666665</v>
      </c>
      <c r="W178" s="15">
        <f t="shared" si="38"/>
        <v>96330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374</v>
      </c>
      <c r="D179" s="16" t="s">
        <v>52</v>
      </c>
      <c r="E179" s="12" t="s">
        <v>70</v>
      </c>
      <c r="F179" s="12" t="s">
        <v>375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17" customFormat="1" ht="28.5" customHeight="1">
      <c r="A180" s="12" t="str">
        <f t="shared" si="26"/>
        <v/>
      </c>
      <c r="B180" s="12" t="s">
        <v>16</v>
      </c>
      <c r="C180" s="12" t="s">
        <v>382</v>
      </c>
      <c r="D180" s="16" t="s">
        <v>52</v>
      </c>
      <c r="E180" s="12" t="s">
        <v>26</v>
      </c>
      <c r="F180" s="12" t="s">
        <v>383</v>
      </c>
      <c r="G180" s="13">
        <v>1830</v>
      </c>
      <c r="H180" s="13"/>
      <c r="I180" s="13"/>
      <c r="J180" s="13">
        <v>1790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1790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61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49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1810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1810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378</v>
      </c>
      <c r="D183" s="16" t="s">
        <v>61</v>
      </c>
      <c r="E183" s="12" t="s">
        <v>26</v>
      </c>
      <c r="F183" s="12" t="s">
        <v>379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439</v>
      </c>
      <c r="D184" s="16" t="s">
        <v>82</v>
      </c>
      <c r="E184" s="12" t="s">
        <v>26</v>
      </c>
      <c r="F184" s="12" t="s">
        <v>440</v>
      </c>
      <c r="G184" s="13">
        <v>1799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6</v>
      </c>
      <c r="C185" s="12" t="s">
        <v>404</v>
      </c>
      <c r="D185" s="12" t="s">
        <v>82</v>
      </c>
      <c r="E185" s="12" t="s">
        <v>26</v>
      </c>
      <c r="F185" s="12" t="s">
        <v>405</v>
      </c>
      <c r="G185" s="13">
        <v>1805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1805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551</v>
      </c>
      <c r="D186" s="16" t="s">
        <v>49</v>
      </c>
      <c r="E186" s="12" t="s">
        <v>26</v>
      </c>
      <c r="F186" s="12" t="s">
        <v>552</v>
      </c>
      <c r="G186" s="13">
        <v>1847</v>
      </c>
      <c r="H186" s="13"/>
      <c r="I186" s="13"/>
      <c r="J186" s="13">
        <v>1817</v>
      </c>
      <c r="K186" s="13">
        <f t="shared" si="27"/>
        <v>0</v>
      </c>
      <c r="L186" s="13">
        <f t="shared" si="28"/>
        <v>1847</v>
      </c>
      <c r="M186" s="13" t="str">
        <f t="shared" si="29"/>
        <v/>
      </c>
      <c r="N186" s="13">
        <f t="shared" si="30"/>
        <v>1817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467</v>
      </c>
      <c r="D187" s="16" t="s">
        <v>52</v>
      </c>
      <c r="E187" s="12" t="s">
        <v>26</v>
      </c>
      <c r="F187" s="12" t="s">
        <v>468</v>
      </c>
      <c r="G187" s="13">
        <v>1807</v>
      </c>
      <c r="H187" s="13"/>
      <c r="I187" s="13"/>
      <c r="J187" s="13">
        <v>1793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1793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449</v>
      </c>
      <c r="D188" s="12" t="s">
        <v>82</v>
      </c>
      <c r="E188" s="12" t="s">
        <v>26</v>
      </c>
      <c r="F188" s="12" t="s">
        <v>450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400</v>
      </c>
      <c r="D189" s="16" t="s">
        <v>49</v>
      </c>
      <c r="E189" s="12" t="s">
        <v>26</v>
      </c>
      <c r="F189" s="12" t="s">
        <v>401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380</v>
      </c>
      <c r="D190" s="16" t="s">
        <v>49</v>
      </c>
      <c r="E190" s="12" t="s">
        <v>70</v>
      </c>
      <c r="F190" s="12" t="s">
        <v>381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422</v>
      </c>
      <c r="D191" s="16" t="s">
        <v>49</v>
      </c>
      <c r="E191" s="12" t="s">
        <v>26</v>
      </c>
      <c r="F191" s="12" t="s">
        <v>423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406</v>
      </c>
      <c r="D192" s="16" t="s">
        <v>61</v>
      </c>
      <c r="E192" s="12" t="s">
        <v>26</v>
      </c>
      <c r="F192" s="12" t="s">
        <v>407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459</v>
      </c>
      <c r="D193" s="16" t="s">
        <v>49</v>
      </c>
      <c r="E193" s="12" t="s">
        <v>26</v>
      </c>
      <c r="F193" s="12" t="s">
        <v>460</v>
      </c>
      <c r="G193" s="13">
        <v>1850</v>
      </c>
      <c r="H193" s="13"/>
      <c r="I193" s="13"/>
      <c r="J193" s="13">
        <v>1820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1820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388</v>
      </c>
      <c r="D194" s="16" t="s">
        <v>52</v>
      </c>
      <c r="E194" s="12" t="s">
        <v>26</v>
      </c>
      <c r="F194" s="12" t="s">
        <v>389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402</v>
      </c>
      <c r="D195" s="16" t="s">
        <v>52</v>
      </c>
      <c r="E195" s="12" t="s">
        <v>26</v>
      </c>
      <c r="F195" s="12" t="s">
        <v>403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424</v>
      </c>
      <c r="D196" s="16" t="s">
        <v>61</v>
      </c>
      <c r="E196" s="12" t="s">
        <v>26</v>
      </c>
      <c r="F196" s="12" t="s">
        <v>425</v>
      </c>
      <c r="G196" s="13">
        <v>1852</v>
      </c>
      <c r="H196" s="13"/>
      <c r="I196" s="13"/>
      <c r="J196" s="13">
        <v>1812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1812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392</v>
      </c>
      <c r="D197" s="12" t="s">
        <v>82</v>
      </c>
      <c r="E197" s="12" t="s">
        <v>26</v>
      </c>
      <c r="F197" s="12" t="s">
        <v>393</v>
      </c>
      <c r="G197" s="13">
        <v>1852</v>
      </c>
      <c r="H197" s="13"/>
      <c r="I197" s="13"/>
      <c r="J197" s="13">
        <v>1832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1832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428</v>
      </c>
      <c r="D198" s="12" t="s">
        <v>45</v>
      </c>
      <c r="E198" s="12" t="s">
        <v>26</v>
      </c>
      <c r="F198" s="12" t="s">
        <v>429</v>
      </c>
      <c r="G198" s="13">
        <v>1813</v>
      </c>
      <c r="H198" s="13"/>
      <c r="I198" s="13"/>
      <c r="J198" s="13">
        <v>1800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1800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398</v>
      </c>
      <c r="D199" s="12" t="s">
        <v>82</v>
      </c>
      <c r="E199" s="12" t="s">
        <v>26</v>
      </c>
      <c r="F199" s="12" t="s">
        <v>399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376</v>
      </c>
      <c r="D200" s="16" t="s">
        <v>52</v>
      </c>
      <c r="E200" s="12" t="s">
        <v>70</v>
      </c>
      <c r="F200" s="12" t="s">
        <v>377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483</v>
      </c>
      <c r="D201" s="16" t="s">
        <v>49</v>
      </c>
      <c r="E201" s="12" t="s">
        <v>70</v>
      </c>
      <c r="F201" s="12" t="s">
        <v>484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10</v>
      </c>
      <c r="C202" s="12" t="s">
        <v>426</v>
      </c>
      <c r="D202" s="12" t="s">
        <v>281</v>
      </c>
      <c r="E202" s="12" t="s">
        <v>26</v>
      </c>
      <c r="F202" s="12" t="s">
        <v>427</v>
      </c>
      <c r="G202" s="13">
        <v>1814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430</v>
      </c>
      <c r="D203" s="16" t="s">
        <v>52</v>
      </c>
      <c r="E203" s="12" t="s">
        <v>70</v>
      </c>
      <c r="F203" s="12" t="s">
        <v>431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14</v>
      </c>
      <c r="C204" s="12" t="s">
        <v>515</v>
      </c>
      <c r="D204" s="16" t="s">
        <v>49</v>
      </c>
      <c r="E204" s="12" t="s">
        <v>26</v>
      </c>
      <c r="F204" s="12" t="s">
        <v>516</v>
      </c>
      <c r="G204" s="13">
        <v>1815</v>
      </c>
      <c r="H204" s="13"/>
      <c r="I204" s="13"/>
      <c r="J204" s="13">
        <v>1818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1818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443</v>
      </c>
      <c r="D205" s="16" t="s">
        <v>52</v>
      </c>
      <c r="E205" s="12" t="s">
        <v>70</v>
      </c>
      <c r="F205" s="12" t="s">
        <v>444</v>
      </c>
      <c r="G205" s="13">
        <v>1857</v>
      </c>
      <c r="H205" s="13"/>
      <c r="I205" s="13"/>
      <c r="J205" s="13">
        <v>1827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1827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445</v>
      </c>
      <c r="D206" s="16" t="s">
        <v>49</v>
      </c>
      <c r="E206" s="12" t="s">
        <v>70</v>
      </c>
      <c r="F206" s="12" t="s">
        <v>446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IF($T207="","",1+COUNTIF($W$15:$W$878,"&lt;"&amp;W207))</f>
        <v/>
      </c>
      <c r="B207" s="12" t="s">
        <v>18</v>
      </c>
      <c r="C207" s="12" t="s">
        <v>408</v>
      </c>
      <c r="D207" s="16" t="s">
        <v>61</v>
      </c>
      <c r="E207" s="12" t="s">
        <v>70</v>
      </c>
      <c r="F207" s="12" t="s">
        <v>409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17" customFormat="1" ht="28.5" customHeight="1">
      <c r="A208" s="12" t="str">
        <f t="shared" si="39"/>
        <v/>
      </c>
      <c r="B208" s="12" t="s">
        <v>18</v>
      </c>
      <c r="C208" s="12" t="s">
        <v>410</v>
      </c>
      <c r="D208" s="16" t="s">
        <v>52</v>
      </c>
      <c r="E208" s="12" t="s">
        <v>70</v>
      </c>
      <c r="F208" s="12" t="s">
        <v>411</v>
      </c>
      <c r="G208" s="13">
        <v>1857</v>
      </c>
      <c r="H208" s="13"/>
      <c r="I208" s="13"/>
      <c r="J208" s="13">
        <v>1847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1847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451</v>
      </c>
      <c r="D209" s="16" t="s">
        <v>61</v>
      </c>
      <c r="E209" s="12" t="s">
        <v>70</v>
      </c>
      <c r="F209" s="12" t="s">
        <v>452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412</v>
      </c>
      <c r="D210" s="12" t="s">
        <v>82</v>
      </c>
      <c r="E210" s="12" t="s">
        <v>70</v>
      </c>
      <c r="F210" s="12" t="s">
        <v>413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2" t="s">
        <v>82</v>
      </c>
      <c r="E211" s="12" t="s">
        <v>26</v>
      </c>
      <c r="F211" s="12" t="s">
        <v>415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416</v>
      </c>
      <c r="D212" s="16" t="s">
        <v>61</v>
      </c>
      <c r="E212" s="12" t="s">
        <v>70</v>
      </c>
      <c r="F212" s="12" t="s">
        <v>417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509</v>
      </c>
      <c r="D213" s="16" t="s">
        <v>49</v>
      </c>
      <c r="E213" s="12" t="s">
        <v>26</v>
      </c>
      <c r="F213" s="12" t="s">
        <v>510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571</v>
      </c>
      <c r="D214" s="16" t="s">
        <v>49</v>
      </c>
      <c r="E214" s="12" t="s">
        <v>26</v>
      </c>
      <c r="F214" s="12" t="s">
        <v>572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461</v>
      </c>
      <c r="D215" s="16" t="s">
        <v>52</v>
      </c>
      <c r="E215" s="12" t="s">
        <v>26</v>
      </c>
      <c r="F215" s="12" t="s">
        <v>462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418</v>
      </c>
      <c r="D216" s="12" t="s">
        <v>82</v>
      </c>
      <c r="E216" s="12" t="s">
        <v>26</v>
      </c>
      <c r="F216" s="12" t="s">
        <v>419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6</v>
      </c>
      <c r="C217" s="12" t="s">
        <v>485</v>
      </c>
      <c r="D217" s="16" t="s">
        <v>49</v>
      </c>
      <c r="E217" s="12" t="s">
        <v>26</v>
      </c>
      <c r="F217" s="12" t="s">
        <v>486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420</v>
      </c>
      <c r="D218" s="16" t="s">
        <v>52</v>
      </c>
      <c r="E218" s="12" t="s">
        <v>70</v>
      </c>
      <c r="F218" s="12" t="s">
        <v>421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611</v>
      </c>
      <c r="D219" s="12" t="s">
        <v>82</v>
      </c>
      <c r="E219" s="12" t="s">
        <v>26</v>
      </c>
      <c r="F219" s="12" t="s">
        <v>612</v>
      </c>
      <c r="G219" s="13">
        <v>1862</v>
      </c>
      <c r="H219" s="13"/>
      <c r="I219" s="13"/>
      <c r="J219" s="13">
        <v>1832</v>
      </c>
      <c r="K219" s="13">
        <f t="shared" si="40"/>
        <v>0</v>
      </c>
      <c r="L219" s="13">
        <f t="shared" si="41"/>
        <v>1862</v>
      </c>
      <c r="M219" s="13" t="str">
        <f t="shared" si="42"/>
        <v/>
      </c>
      <c r="N219" s="13">
        <f t="shared" si="43"/>
        <v>1832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434</v>
      </c>
      <c r="D220" s="16" t="s">
        <v>52</v>
      </c>
      <c r="E220" s="12" t="s">
        <v>26</v>
      </c>
      <c r="F220" s="12" t="s">
        <v>435</v>
      </c>
      <c r="G220" s="13">
        <v>1865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18</v>
      </c>
      <c r="C221" s="12" t="s">
        <v>481</v>
      </c>
      <c r="D221" s="12" t="s">
        <v>82</v>
      </c>
      <c r="E221" s="12" t="s">
        <v>70</v>
      </c>
      <c r="F221" s="12" t="s">
        <v>482</v>
      </c>
      <c r="G221" s="13">
        <v>1865</v>
      </c>
      <c r="H221" s="13"/>
      <c r="I221" s="13"/>
      <c r="J221" s="13">
        <v>1835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1835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436</v>
      </c>
      <c r="D222" s="12" t="s">
        <v>281</v>
      </c>
      <c r="E222" s="12" t="s">
        <v>26</v>
      </c>
      <c r="F222" s="12" t="s">
        <v>437</v>
      </c>
      <c r="G222" s="13">
        <v>1865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8</v>
      </c>
      <c r="C223" s="12" t="s">
        <v>348</v>
      </c>
      <c r="D223" s="16" t="s">
        <v>52</v>
      </c>
      <c r="E223" s="12" t="s">
        <v>26</v>
      </c>
      <c r="F223" s="12" t="s">
        <v>438</v>
      </c>
      <c r="G223" s="13">
        <v>1824</v>
      </c>
      <c r="H223" s="13"/>
      <c r="I223" s="13"/>
      <c r="J223" s="13">
        <v>1813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1813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489</v>
      </c>
      <c r="D224" s="16" t="s">
        <v>49</v>
      </c>
      <c r="E224" s="12" t="s">
        <v>26</v>
      </c>
      <c r="F224" s="12" t="s">
        <v>490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6</v>
      </c>
      <c r="C225" s="12" t="s">
        <v>541</v>
      </c>
      <c r="D225" s="16" t="s">
        <v>82</v>
      </c>
      <c r="E225" s="12" t="s">
        <v>26</v>
      </c>
      <c r="F225" s="12" t="s">
        <v>542</v>
      </c>
      <c r="G225" s="13">
        <v>1825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479</v>
      </c>
      <c r="D226" s="12" t="s">
        <v>82</v>
      </c>
      <c r="E226" s="12" t="s">
        <v>26</v>
      </c>
      <c r="F226" s="12" t="s">
        <v>480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463</v>
      </c>
      <c r="D227" s="12" t="s">
        <v>45</v>
      </c>
      <c r="E227" s="12" t="s">
        <v>26</v>
      </c>
      <c r="F227" s="12" t="s">
        <v>464</v>
      </c>
      <c r="G227" s="13">
        <v>1867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447</v>
      </c>
      <c r="D228" s="16" t="s">
        <v>52</v>
      </c>
      <c r="E228" s="12" t="s">
        <v>70</v>
      </c>
      <c r="F228" s="12" t="s">
        <v>448</v>
      </c>
      <c r="G228" s="13">
        <v>1867</v>
      </c>
      <c r="H228" s="13"/>
      <c r="I228" s="13"/>
      <c r="J228" s="13">
        <v>1857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12</v>
      </c>
      <c r="C229" s="12" t="s">
        <v>394</v>
      </c>
      <c r="D229" s="16" t="s">
        <v>49</v>
      </c>
      <c r="E229" s="12" t="s">
        <v>26</v>
      </c>
      <c r="F229" s="12" t="s">
        <v>395</v>
      </c>
      <c r="G229" s="13">
        <v>1827</v>
      </c>
      <c r="H229" s="13"/>
      <c r="I229" s="13"/>
      <c r="J229" s="13">
        <v>1797</v>
      </c>
      <c r="K229" s="13">
        <f t="shared" si="40"/>
        <v>0</v>
      </c>
      <c r="L229" s="13">
        <f t="shared" si="41"/>
        <v>1827</v>
      </c>
      <c r="M229" s="13" t="str">
        <f t="shared" si="42"/>
        <v/>
      </c>
      <c r="N229" s="13">
        <f t="shared" si="43"/>
        <v>1797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453</v>
      </c>
      <c r="D230" s="16" t="s">
        <v>52</v>
      </c>
      <c r="E230" s="12" t="s">
        <v>70</v>
      </c>
      <c r="F230" s="12" t="s">
        <v>454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455</v>
      </c>
      <c r="D231" s="16" t="s">
        <v>82</v>
      </c>
      <c r="E231" s="12" t="s">
        <v>26</v>
      </c>
      <c r="F231" s="12" t="s">
        <v>456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457</v>
      </c>
      <c r="D232" s="16" t="s">
        <v>52</v>
      </c>
      <c r="E232" s="12" t="s">
        <v>70</v>
      </c>
      <c r="F232" s="12" t="s">
        <v>458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465</v>
      </c>
      <c r="D233" s="12" t="s">
        <v>82</v>
      </c>
      <c r="E233" s="12" t="s">
        <v>70</v>
      </c>
      <c r="F233" s="12" t="s">
        <v>466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507</v>
      </c>
      <c r="D234" s="16" t="s">
        <v>49</v>
      </c>
      <c r="E234" s="12" t="s">
        <v>26</v>
      </c>
      <c r="F234" s="12" t="s">
        <v>508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469</v>
      </c>
      <c r="D235" s="16" t="s">
        <v>52</v>
      </c>
      <c r="E235" s="12" t="s">
        <v>26</v>
      </c>
      <c r="F235" s="12" t="s">
        <v>470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579</v>
      </c>
      <c r="D236" s="16" t="s">
        <v>49</v>
      </c>
      <c r="E236" s="12" t="s">
        <v>70</v>
      </c>
      <c r="F236" s="12" t="s">
        <v>580</v>
      </c>
      <c r="G236" s="13">
        <v>1829</v>
      </c>
      <c r="H236" s="13"/>
      <c r="I236" s="13"/>
      <c r="J236" s="13">
        <v>1819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475</v>
      </c>
      <c r="D237" s="16" t="s">
        <v>82</v>
      </c>
      <c r="E237" s="12" t="s">
        <v>26</v>
      </c>
      <c r="F237" s="12" t="s">
        <v>476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521</v>
      </c>
      <c r="D238" s="16" t="s">
        <v>49</v>
      </c>
      <c r="E238" s="12" t="s">
        <v>70</v>
      </c>
      <c r="F238" s="12" t="s">
        <v>522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523</v>
      </c>
      <c r="D239" s="16" t="s">
        <v>52</v>
      </c>
      <c r="E239" s="12" t="s">
        <v>26</v>
      </c>
      <c r="F239" s="12" t="s">
        <v>524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473</v>
      </c>
      <c r="D240" s="16" t="s">
        <v>49</v>
      </c>
      <c r="E240" s="12" t="s">
        <v>26</v>
      </c>
      <c r="F240" s="12" t="s">
        <v>474</v>
      </c>
      <c r="G240" s="13">
        <v>1829</v>
      </c>
      <c r="H240" s="13"/>
      <c r="I240" s="13"/>
      <c r="J240" s="13">
        <v>1827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1827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589</v>
      </c>
      <c r="D241" s="16" t="s">
        <v>49</v>
      </c>
      <c r="E241" s="12" t="s">
        <v>26</v>
      </c>
      <c r="F241" s="12" t="s">
        <v>590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527</v>
      </c>
      <c r="D242" s="12" t="s">
        <v>45</v>
      </c>
      <c r="E242" s="12" t="s">
        <v>26</v>
      </c>
      <c r="F242" s="12" t="s">
        <v>528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477</v>
      </c>
      <c r="D243" s="16" t="s">
        <v>49</v>
      </c>
      <c r="E243" s="12" t="s">
        <v>26</v>
      </c>
      <c r="F243" s="12" t="s">
        <v>478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497</v>
      </c>
      <c r="D244" s="16" t="s">
        <v>52</v>
      </c>
      <c r="E244" s="12" t="s">
        <v>26</v>
      </c>
      <c r="F244" s="12" t="s">
        <v>498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597</v>
      </c>
      <c r="D245" s="16" t="s">
        <v>52</v>
      </c>
      <c r="E245" s="12" t="s">
        <v>70</v>
      </c>
      <c r="F245" s="12" t="s">
        <v>598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525</v>
      </c>
      <c r="D246" s="16" t="s">
        <v>49</v>
      </c>
      <c r="E246" s="12" t="s">
        <v>26</v>
      </c>
      <c r="F246" s="12" t="s">
        <v>526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539</v>
      </c>
      <c r="D247" s="12" t="s">
        <v>82</v>
      </c>
      <c r="E247" s="12" t="s">
        <v>26</v>
      </c>
      <c r="F247" s="12" t="s">
        <v>540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487</v>
      </c>
      <c r="D248" s="16" t="s">
        <v>52</v>
      </c>
      <c r="E248" s="12" t="s">
        <v>26</v>
      </c>
      <c r="F248" s="12" t="s">
        <v>488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603</v>
      </c>
      <c r="D249" s="16" t="s">
        <v>61</v>
      </c>
      <c r="E249" s="12" t="s">
        <v>26</v>
      </c>
      <c r="F249" s="12" t="s">
        <v>604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595</v>
      </c>
      <c r="D250" s="16" t="s">
        <v>52</v>
      </c>
      <c r="E250" s="12" t="s">
        <v>26</v>
      </c>
      <c r="F250" s="12" t="s">
        <v>596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491</v>
      </c>
      <c r="D251" s="16" t="s">
        <v>49</v>
      </c>
      <c r="E251" s="12" t="s">
        <v>70</v>
      </c>
      <c r="F251" s="12" t="s">
        <v>492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531</v>
      </c>
      <c r="D252" s="16" t="s">
        <v>52</v>
      </c>
      <c r="E252" s="12" t="s">
        <v>70</v>
      </c>
      <c r="F252" s="12" t="s">
        <v>532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495</v>
      </c>
      <c r="D253" s="16" t="s">
        <v>52</v>
      </c>
      <c r="E253" s="12" t="s">
        <v>26</v>
      </c>
      <c r="F253" s="12" t="s">
        <v>496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493</v>
      </c>
      <c r="D254" s="16" t="s">
        <v>49</v>
      </c>
      <c r="E254" s="12" t="s">
        <v>70</v>
      </c>
      <c r="F254" s="12" t="s">
        <v>494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545</v>
      </c>
      <c r="D255" s="16" t="s">
        <v>52</v>
      </c>
      <c r="E255" s="12" t="s">
        <v>26</v>
      </c>
      <c r="F255" s="12" t="s">
        <v>546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10</v>
      </c>
      <c r="C256" s="12" t="s">
        <v>529</v>
      </c>
      <c r="D256" s="12" t="s">
        <v>281</v>
      </c>
      <c r="E256" s="12" t="s">
        <v>26</v>
      </c>
      <c r="F256" s="12" t="s">
        <v>530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499</v>
      </c>
      <c r="D257" s="16" t="s">
        <v>49</v>
      </c>
      <c r="E257" s="12" t="s">
        <v>70</v>
      </c>
      <c r="F257" s="12" t="s">
        <v>500</v>
      </c>
      <c r="G257" s="13">
        <v>1838</v>
      </c>
      <c r="H257" s="13"/>
      <c r="I257" s="13"/>
      <c r="J257" s="13">
        <v>1838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1838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8" customFormat="1" ht="28.5" customHeight="1">
      <c r="A258" s="12" t="str">
        <f t="shared" si="39"/>
        <v/>
      </c>
      <c r="B258" s="12" t="s">
        <v>10</v>
      </c>
      <c r="C258" s="12" t="s">
        <v>623</v>
      </c>
      <c r="D258" s="16" t="s">
        <v>61</v>
      </c>
      <c r="E258" s="12" t="s">
        <v>26</v>
      </c>
      <c r="F258" s="12" t="s">
        <v>624</v>
      </c>
      <c r="G258" s="13">
        <v>1838</v>
      </c>
      <c r="H258" s="13"/>
      <c r="I258" s="13"/>
      <c r="J258" s="13">
        <v>1978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1978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501</v>
      </c>
      <c r="D259" s="16" t="s">
        <v>61</v>
      </c>
      <c r="E259" s="12" t="s">
        <v>70</v>
      </c>
      <c r="F259" s="12" t="s">
        <v>502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503</v>
      </c>
      <c r="D260" s="16" t="s">
        <v>52</v>
      </c>
      <c r="E260" s="12" t="s">
        <v>70</v>
      </c>
      <c r="F260" s="12" t="s">
        <v>504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505</v>
      </c>
      <c r="D261" s="16" t="s">
        <v>61</v>
      </c>
      <c r="E261" s="12" t="s">
        <v>70</v>
      </c>
      <c r="F261" s="12" t="s">
        <v>506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511</v>
      </c>
      <c r="D262" s="12" t="s">
        <v>82</v>
      </c>
      <c r="E262" s="12" t="s">
        <v>26</v>
      </c>
      <c r="F262" s="12" t="s">
        <v>512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513</v>
      </c>
      <c r="D263" s="12" t="s">
        <v>82</v>
      </c>
      <c r="E263" s="12" t="s">
        <v>26</v>
      </c>
      <c r="F263" s="12" t="s">
        <v>514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517</v>
      </c>
      <c r="D264" s="16" t="s">
        <v>49</v>
      </c>
      <c r="E264" s="12" t="s">
        <v>26</v>
      </c>
      <c r="F264" s="12" t="s">
        <v>518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519</v>
      </c>
      <c r="D265" s="16" t="s">
        <v>52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471</v>
      </c>
      <c r="D266" s="16" t="s">
        <v>52</v>
      </c>
      <c r="E266" s="12" t="s">
        <v>70</v>
      </c>
      <c r="F266" s="12" t="s">
        <v>472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709</v>
      </c>
      <c r="D267" s="16" t="s">
        <v>49</v>
      </c>
      <c r="E267" s="12" t="s">
        <v>26</v>
      </c>
      <c r="F267" s="12" t="s">
        <v>710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593</v>
      </c>
      <c r="D268" s="16" t="s">
        <v>52</v>
      </c>
      <c r="E268" s="12" t="s">
        <v>70</v>
      </c>
      <c r="F268" s="12" t="s">
        <v>594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533</v>
      </c>
      <c r="D269" s="16" t="s">
        <v>49</v>
      </c>
      <c r="E269" s="12" t="s">
        <v>26</v>
      </c>
      <c r="F269" s="12" t="s">
        <v>534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535</v>
      </c>
      <c r="D270" s="12" t="s">
        <v>82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6</v>
      </c>
      <c r="C271" s="12" t="s">
        <v>537</v>
      </c>
      <c r="D271" s="16" t="s">
        <v>61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543</v>
      </c>
      <c r="D272" s="12" t="s">
        <v>82</v>
      </c>
      <c r="E272" s="12" t="s">
        <v>26</v>
      </c>
      <c r="F272" s="12" t="s">
        <v>544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583</v>
      </c>
      <c r="D273" s="16" t="s">
        <v>61</v>
      </c>
      <c r="E273" s="12" t="s">
        <v>26</v>
      </c>
      <c r="F273" s="12" t="s">
        <v>584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547</v>
      </c>
      <c r="D274" s="16" t="s">
        <v>49</v>
      </c>
      <c r="E274" s="12" t="s">
        <v>26</v>
      </c>
      <c r="F274" s="12" t="s">
        <v>548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642</v>
      </c>
      <c r="D275" s="16" t="s">
        <v>52</v>
      </c>
      <c r="E275" s="12" t="s">
        <v>26</v>
      </c>
      <c r="F275" s="12" t="s">
        <v>643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549</v>
      </c>
      <c r="D276" s="12" t="s">
        <v>82</v>
      </c>
      <c r="E276" s="12" t="s">
        <v>70</v>
      </c>
      <c r="F276" s="12" t="s">
        <v>550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553</v>
      </c>
      <c r="D277" s="16" t="s">
        <v>49</v>
      </c>
      <c r="E277" s="12" t="s">
        <v>26</v>
      </c>
      <c r="F277" s="12" t="s">
        <v>554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49</v>
      </c>
      <c r="E278" s="12" t="s">
        <v>26</v>
      </c>
      <c r="F278" s="12" t="s">
        <v>562</v>
      </c>
      <c r="G278" s="13">
        <v>1890</v>
      </c>
      <c r="H278" s="13"/>
      <c r="I278" s="13"/>
      <c r="J278" s="13">
        <v>1850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1850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555</v>
      </c>
      <c r="D279" s="16" t="s">
        <v>52</v>
      </c>
      <c r="E279" s="12" t="s">
        <v>70</v>
      </c>
      <c r="F279" s="12" t="s">
        <v>556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557</v>
      </c>
      <c r="D280" s="16" t="s">
        <v>49</v>
      </c>
      <c r="E280" s="12" t="s">
        <v>26</v>
      </c>
      <c r="F280" s="12" t="s">
        <v>558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559</v>
      </c>
      <c r="D281" s="16" t="s">
        <v>49</v>
      </c>
      <c r="E281" s="12" t="s">
        <v>70</v>
      </c>
      <c r="F281" s="12" t="s">
        <v>560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563</v>
      </c>
      <c r="D282" s="12" t="s">
        <v>82</v>
      </c>
      <c r="E282" s="12" t="s">
        <v>70</v>
      </c>
      <c r="F282" s="12" t="s">
        <v>564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565</v>
      </c>
      <c r="D283" s="16" t="s">
        <v>49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569</v>
      </c>
      <c r="D285" s="12" t="s">
        <v>82</v>
      </c>
      <c r="E285" s="12" t="s">
        <v>26</v>
      </c>
      <c r="F285" s="12" t="s">
        <v>570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573</v>
      </c>
      <c r="D286" s="16" t="s">
        <v>52</v>
      </c>
      <c r="E286" s="12" t="s">
        <v>26</v>
      </c>
      <c r="F286" s="12" t="s">
        <v>574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587</v>
      </c>
      <c r="D288" s="12" t="s">
        <v>82</v>
      </c>
      <c r="E288" s="12" t="s">
        <v>26</v>
      </c>
      <c r="F288" s="12" t="s">
        <v>588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659</v>
      </c>
      <c r="D289" s="16" t="s">
        <v>49</v>
      </c>
      <c r="E289" s="12" t="s">
        <v>26</v>
      </c>
      <c r="F289" s="12" t="s">
        <v>660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577</v>
      </c>
      <c r="D290" s="12" t="s">
        <v>82</v>
      </c>
      <c r="E290" s="12" t="s">
        <v>26</v>
      </c>
      <c r="F290" s="12" t="s">
        <v>578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585</v>
      </c>
      <c r="D292" s="12" t="s">
        <v>45</v>
      </c>
      <c r="E292" s="12" t="s">
        <v>26</v>
      </c>
      <c r="F292" s="12" t="s">
        <v>586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591</v>
      </c>
      <c r="D293" s="12" t="s">
        <v>45</v>
      </c>
      <c r="E293" s="12" t="s">
        <v>70</v>
      </c>
      <c r="F293" s="12" t="s">
        <v>592</v>
      </c>
      <c r="G293" s="13">
        <v>1852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1852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599</v>
      </c>
      <c r="D294" s="16" t="s">
        <v>61</v>
      </c>
      <c r="E294" s="12" t="s">
        <v>26</v>
      </c>
      <c r="F294" s="12" t="s">
        <v>600</v>
      </c>
      <c r="G294" s="13">
        <v>1895</v>
      </c>
      <c r="H294" s="13"/>
      <c r="I294" s="13"/>
      <c r="J294" s="13">
        <v>1875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1875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70</v>
      </c>
      <c r="F295" s="12" t="s">
        <v>602</v>
      </c>
      <c r="G295" s="13">
        <v>1895</v>
      </c>
      <c r="H295" s="13"/>
      <c r="I295" s="13"/>
      <c r="J295" s="13">
        <v>1895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1895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8</v>
      </c>
      <c r="C296" s="12" t="s">
        <v>605</v>
      </c>
      <c r="D296" s="12" t="s">
        <v>82</v>
      </c>
      <c r="E296" s="12" t="s">
        <v>26</v>
      </c>
      <c r="F296" s="12" t="s">
        <v>606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6" t="s">
        <v>61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6</v>
      </c>
      <c r="C298" s="12" t="s">
        <v>609</v>
      </c>
      <c r="D298" s="16" t="s">
        <v>49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1839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1839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613</v>
      </c>
      <c r="D299" s="16" t="s">
        <v>52</v>
      </c>
      <c r="E299" s="12" t="s">
        <v>26</v>
      </c>
      <c r="F299" s="12" t="s">
        <v>614</v>
      </c>
      <c r="G299" s="13">
        <v>1899</v>
      </c>
      <c r="H299" s="13"/>
      <c r="I299" s="13"/>
      <c r="J299" s="13">
        <v>1849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1849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617</v>
      </c>
      <c r="D300" s="12" t="s">
        <v>82</v>
      </c>
      <c r="E300" s="12" t="s">
        <v>70</v>
      </c>
      <c r="F300" s="12" t="s">
        <v>618</v>
      </c>
      <c r="G300" s="13">
        <v>1899</v>
      </c>
      <c r="H300" s="13"/>
      <c r="I300" s="13"/>
      <c r="J300" s="13">
        <v>1859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1859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615</v>
      </c>
      <c r="D301" s="16" t="s">
        <v>52</v>
      </c>
      <c r="E301" s="12" t="s">
        <v>26</v>
      </c>
      <c r="F301" s="12" t="s">
        <v>616</v>
      </c>
      <c r="G301" s="13">
        <v>1899</v>
      </c>
      <c r="H301" s="13"/>
      <c r="I301" s="13"/>
      <c r="J301" s="13">
        <v>1889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1889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18</v>
      </c>
      <c r="C302" s="12" t="s">
        <v>697</v>
      </c>
      <c r="D302" s="12" t="s">
        <v>82</v>
      </c>
      <c r="E302" s="12" t="s">
        <v>70</v>
      </c>
      <c r="F302" s="12" t="s">
        <v>698</v>
      </c>
      <c r="G302" s="13">
        <v>1899</v>
      </c>
      <c r="H302" s="13"/>
      <c r="I302" s="13"/>
      <c r="J302" s="13">
        <v>1899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1899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619</v>
      </c>
      <c r="D303" s="16" t="s">
        <v>61</v>
      </c>
      <c r="E303" s="12" t="s">
        <v>26</v>
      </c>
      <c r="F303" s="12" t="s">
        <v>620</v>
      </c>
      <c r="G303" s="13">
        <v>1857</v>
      </c>
      <c r="H303" s="13"/>
      <c r="I303" s="13"/>
      <c r="J303" s="13">
        <v>1812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1812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2" t="s">
        <v>82</v>
      </c>
      <c r="E304" s="12" t="s">
        <v>70</v>
      </c>
      <c r="F304" s="12" t="s">
        <v>622</v>
      </c>
      <c r="G304" s="13">
        <v>1857</v>
      </c>
      <c r="H304" s="13"/>
      <c r="I304" s="13"/>
      <c r="J304" s="13">
        <v>1849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1849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12</v>
      </c>
      <c r="C305" s="12" t="s">
        <v>746</v>
      </c>
      <c r="D305" s="16" t="s">
        <v>82</v>
      </c>
      <c r="E305" s="12" t="s">
        <v>26</v>
      </c>
      <c r="F305" s="12" t="s">
        <v>747</v>
      </c>
      <c r="G305" s="13">
        <v>1857</v>
      </c>
      <c r="H305" s="13"/>
      <c r="I305" s="13"/>
      <c r="J305" s="13">
        <v>1857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1857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445</v>
      </c>
      <c r="D306" s="16" t="s">
        <v>52</v>
      </c>
      <c r="E306" s="12" t="s">
        <v>26</v>
      </c>
      <c r="F306" s="12" t="s">
        <v>670</v>
      </c>
      <c r="G306" s="13">
        <v>1858</v>
      </c>
      <c r="H306" s="13"/>
      <c r="I306" s="13"/>
      <c r="J306" s="13">
        <v>1828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1828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14</v>
      </c>
      <c r="C307" s="12" t="s">
        <v>673</v>
      </c>
      <c r="D307" s="16" t="s">
        <v>61</v>
      </c>
      <c r="E307" s="12" t="s">
        <v>70</v>
      </c>
      <c r="F307" s="12" t="s">
        <v>674</v>
      </c>
      <c r="G307" s="13">
        <v>1858</v>
      </c>
      <c r="H307" s="13"/>
      <c r="I307" s="13"/>
      <c r="J307" s="13">
        <v>1848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1848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653</v>
      </c>
      <c r="D308" s="16" t="s">
        <v>61</v>
      </c>
      <c r="E308" s="12" t="s">
        <v>26</v>
      </c>
      <c r="F308" s="12" t="s">
        <v>654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625</v>
      </c>
      <c r="D309" s="16" t="s">
        <v>61</v>
      </c>
      <c r="E309" s="12" t="s">
        <v>70</v>
      </c>
      <c r="F309" s="12" t="s">
        <v>626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545</v>
      </c>
      <c r="D310" s="16" t="s">
        <v>52</v>
      </c>
      <c r="E310" s="12" t="s">
        <v>70</v>
      </c>
      <c r="F310" s="12" t="s">
        <v>627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628</v>
      </c>
      <c r="D311" s="12" t="s">
        <v>281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630</v>
      </c>
      <c r="D312" s="12" t="s">
        <v>82</v>
      </c>
      <c r="E312" s="12" t="s">
        <v>26</v>
      </c>
      <c r="F312" s="12" t="s">
        <v>631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8</v>
      </c>
      <c r="C313" s="12" t="s">
        <v>623</v>
      </c>
      <c r="D313" s="16" t="s">
        <v>49</v>
      </c>
      <c r="E313" s="12" t="s">
        <v>26</v>
      </c>
      <c r="F313" s="12" t="s">
        <v>663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632</v>
      </c>
      <c r="D314" s="16" t="s">
        <v>52</v>
      </c>
      <c r="E314" s="12" t="s">
        <v>26</v>
      </c>
      <c r="F314" s="12" t="s">
        <v>633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10</v>
      </c>
      <c r="C315" s="12" t="s">
        <v>634</v>
      </c>
      <c r="D315" s="12" t="s">
        <v>82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6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1859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1859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1860</v>
      </c>
      <c r="H317" s="13"/>
      <c r="I317" s="13"/>
      <c r="J317" s="13">
        <v>1830</v>
      </c>
      <c r="K317" s="13">
        <f t="shared" si="53"/>
        <v>0</v>
      </c>
      <c r="L317" s="13">
        <f t="shared" si="54"/>
        <v>1860</v>
      </c>
      <c r="M317" s="13" t="str">
        <f t="shared" si="55"/>
        <v/>
      </c>
      <c r="N317" s="13">
        <f t="shared" si="56"/>
        <v>1830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61</v>
      </c>
      <c r="E318" s="12" t="s">
        <v>26</v>
      </c>
      <c r="F318" s="12" t="s">
        <v>641</v>
      </c>
      <c r="G318" s="13">
        <v>1864</v>
      </c>
      <c r="H318" s="13"/>
      <c r="I318" s="13"/>
      <c r="J318" s="13">
        <v>1853</v>
      </c>
      <c r="K318" s="13">
        <f t="shared" si="53"/>
        <v>0</v>
      </c>
      <c r="L318" s="13">
        <f t="shared" si="54"/>
        <v>1864</v>
      </c>
      <c r="M318" s="13" t="str">
        <f t="shared" si="55"/>
        <v/>
      </c>
      <c r="N318" s="13">
        <f t="shared" si="56"/>
        <v>1853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648</v>
      </c>
      <c r="D319" s="16" t="s">
        <v>52</v>
      </c>
      <c r="E319" s="12" t="s">
        <v>26</v>
      </c>
      <c r="F319" s="12" t="s">
        <v>649</v>
      </c>
      <c r="G319" s="13">
        <v>1865</v>
      </c>
      <c r="H319" s="13"/>
      <c r="I319" s="13"/>
      <c r="J319" s="13">
        <v>1847</v>
      </c>
      <c r="K319" s="13">
        <f t="shared" si="53"/>
        <v>0</v>
      </c>
      <c r="L319" s="13">
        <f t="shared" si="54"/>
        <v>1865</v>
      </c>
      <c r="M319" s="13" t="str">
        <f t="shared" si="55"/>
        <v/>
      </c>
      <c r="N319" s="13">
        <f t="shared" si="56"/>
        <v>1847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10</v>
      </c>
      <c r="C320" s="12" t="s">
        <v>644</v>
      </c>
      <c r="D320" s="16" t="s">
        <v>52</v>
      </c>
      <c r="E320" s="12" t="s">
        <v>70</v>
      </c>
      <c r="F320" s="12" t="s">
        <v>645</v>
      </c>
      <c r="G320" s="13">
        <v>1866</v>
      </c>
      <c r="H320" s="13"/>
      <c r="I320" s="13"/>
      <c r="J320" s="13">
        <v>1846</v>
      </c>
      <c r="K320" s="13">
        <f t="shared" si="53"/>
        <v>0</v>
      </c>
      <c r="L320" s="13">
        <f t="shared" si="54"/>
        <v>1866</v>
      </c>
      <c r="M320" s="13" t="str">
        <f t="shared" si="55"/>
        <v/>
      </c>
      <c r="N320" s="13">
        <f t="shared" si="56"/>
        <v>1846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10</v>
      </c>
      <c r="C321" s="12" t="s">
        <v>744</v>
      </c>
      <c r="D321" s="12" t="s">
        <v>82</v>
      </c>
      <c r="E321" s="12" t="s">
        <v>26</v>
      </c>
      <c r="F321" s="12" t="s">
        <v>745</v>
      </c>
      <c r="G321" s="13">
        <v>1867</v>
      </c>
      <c r="H321" s="13"/>
      <c r="I321" s="13"/>
      <c r="J321" s="13">
        <v>1817</v>
      </c>
      <c r="K321" s="13">
        <f t="shared" si="53"/>
        <v>0</v>
      </c>
      <c r="L321" s="13">
        <f t="shared" si="54"/>
        <v>1867</v>
      </c>
      <c r="M321" s="13" t="str">
        <f t="shared" si="55"/>
        <v/>
      </c>
      <c r="N321" s="13">
        <f t="shared" si="56"/>
        <v>1817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8</v>
      </c>
      <c r="C322" s="12" t="s">
        <v>701</v>
      </c>
      <c r="D322" s="16" t="s">
        <v>61</v>
      </c>
      <c r="E322" s="12" t="s">
        <v>26</v>
      </c>
      <c r="F322" s="12" t="s">
        <v>702</v>
      </c>
      <c r="G322" s="13">
        <v>1867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6" t="s">
        <v>52</v>
      </c>
      <c r="E323" s="12" t="s">
        <v>26</v>
      </c>
      <c r="F323" s="12" t="s">
        <v>651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646</v>
      </c>
      <c r="D324" s="16" t="s">
        <v>82</v>
      </c>
      <c r="E324" s="12" t="s">
        <v>26</v>
      </c>
      <c r="F324" s="12" t="s">
        <v>647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175</v>
      </c>
      <c r="D325" s="16" t="s">
        <v>49</v>
      </c>
      <c r="E325" s="12" t="s">
        <v>70</v>
      </c>
      <c r="F325" s="12" t="s">
        <v>652</v>
      </c>
      <c r="G325" s="13">
        <v>1868</v>
      </c>
      <c r="H325" s="13"/>
      <c r="I325" s="13"/>
      <c r="J325" s="13">
        <v>1848</v>
      </c>
      <c r="K325" s="13">
        <f t="shared" si="53"/>
        <v>0</v>
      </c>
      <c r="L325" s="13">
        <f t="shared" si="54"/>
        <v>1868</v>
      </c>
      <c r="M325" s="13" t="str">
        <f t="shared" si="55"/>
        <v/>
      </c>
      <c r="N325" s="13">
        <f t="shared" si="56"/>
        <v>1848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14</v>
      </c>
      <c r="C326" s="12" t="s">
        <v>655</v>
      </c>
      <c r="D326" s="16" t="s">
        <v>52</v>
      </c>
      <c r="E326" s="12" t="s">
        <v>70</v>
      </c>
      <c r="F326" s="12" t="s">
        <v>656</v>
      </c>
      <c r="G326" s="13">
        <v>1869</v>
      </c>
      <c r="H326" s="13"/>
      <c r="I326" s="13"/>
      <c r="J326" s="13">
        <v>1839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1839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8" customFormat="1" ht="28.5" customHeight="1">
      <c r="A327" s="12" t="str">
        <f t="shared" si="52"/>
        <v/>
      </c>
      <c r="B327" s="12" t="s">
        <v>12</v>
      </c>
      <c r="C327" s="12" t="s">
        <v>657</v>
      </c>
      <c r="D327" s="16" t="s">
        <v>61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1849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1849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10</v>
      </c>
      <c r="C328" s="12" t="s">
        <v>661</v>
      </c>
      <c r="D328" s="16" t="s">
        <v>49</v>
      </c>
      <c r="E328" s="12" t="s">
        <v>70</v>
      </c>
      <c r="F328" s="12" t="s">
        <v>662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683</v>
      </c>
      <c r="D329" s="16" t="s">
        <v>61</v>
      </c>
      <c r="E329" s="12" t="s">
        <v>26</v>
      </c>
      <c r="F329" s="12" t="s">
        <v>684</v>
      </c>
      <c r="G329" s="13">
        <v>1869</v>
      </c>
      <c r="H329" s="13"/>
      <c r="I329" s="13"/>
      <c r="J329" s="13">
        <v>1856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1856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623</v>
      </c>
      <c r="D330" s="12" t="s">
        <v>82</v>
      </c>
      <c r="E330" s="12" t="s">
        <v>26</v>
      </c>
      <c r="F330" s="12" t="s">
        <v>868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6</v>
      </c>
      <c r="C331" s="12" t="s">
        <v>664</v>
      </c>
      <c r="D331" s="16" t="s">
        <v>61</v>
      </c>
      <c r="E331" s="12" t="s">
        <v>70</v>
      </c>
      <c r="F331" s="12" t="s">
        <v>665</v>
      </c>
      <c r="G331" s="13">
        <v>1869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12</v>
      </c>
      <c r="C332" s="12" t="s">
        <v>786</v>
      </c>
      <c r="D332" s="16" t="s">
        <v>52</v>
      </c>
      <c r="E332" s="12" t="s">
        <v>26</v>
      </c>
      <c r="F332" s="12" t="s">
        <v>787</v>
      </c>
      <c r="G332" s="13">
        <v>1869</v>
      </c>
      <c r="H332" s="13"/>
      <c r="I332" s="13"/>
      <c r="J332" s="13">
        <v>1897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1897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689</v>
      </c>
      <c r="D333" s="12" t="s">
        <v>82</v>
      </c>
      <c r="E333" s="12" t="s">
        <v>70</v>
      </c>
      <c r="F333" s="12" t="s">
        <v>690</v>
      </c>
      <c r="G333" s="13">
        <v>1870</v>
      </c>
      <c r="H333" s="13"/>
      <c r="I333" s="13"/>
      <c r="J333" s="13">
        <v>1860</v>
      </c>
      <c r="K333" s="13">
        <f t="shared" si="53"/>
        <v>0</v>
      </c>
      <c r="L333" s="13">
        <f t="shared" si="54"/>
        <v>1870</v>
      </c>
      <c r="M333" s="13" t="str">
        <f t="shared" si="55"/>
        <v/>
      </c>
      <c r="N333" s="13">
        <f t="shared" si="56"/>
        <v>1860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12</v>
      </c>
      <c r="C334" s="12" t="s">
        <v>666</v>
      </c>
      <c r="D334" s="16" t="s">
        <v>82</v>
      </c>
      <c r="E334" s="12" t="s">
        <v>70</v>
      </c>
      <c r="F334" s="12" t="s">
        <v>667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IF($T335="","",1+COUNTIF($W$15:$W$878,"&lt;"&amp;W335))</f>
        <v/>
      </c>
      <c r="B335" s="12" t="s">
        <v>8</v>
      </c>
      <c r="C335" s="12" t="s">
        <v>668</v>
      </c>
      <c r="D335" s="16" t="s">
        <v>52</v>
      </c>
      <c r="E335" s="12" t="s">
        <v>70</v>
      </c>
      <c r="F335" s="12" t="s">
        <v>669</v>
      </c>
      <c r="G335" s="13">
        <v>1875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1875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8</v>
      </c>
      <c r="C336" s="12" t="s">
        <v>726</v>
      </c>
      <c r="D336" s="12" t="s">
        <v>82</v>
      </c>
      <c r="E336" s="12" t="s">
        <v>70</v>
      </c>
      <c r="F336" s="12" t="s">
        <v>727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12</v>
      </c>
      <c r="C337" s="12" t="s">
        <v>671</v>
      </c>
      <c r="D337" s="16" t="s">
        <v>49</v>
      </c>
      <c r="E337" s="12" t="s">
        <v>70</v>
      </c>
      <c r="F337" s="12" t="s">
        <v>672</v>
      </c>
      <c r="G337" s="13">
        <v>1878</v>
      </c>
      <c r="H337" s="13"/>
      <c r="I337" s="13"/>
      <c r="J337" s="13">
        <v>1858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1858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8" customFormat="1" ht="28.5" customHeight="1">
      <c r="A338" s="12" t="str">
        <f t="shared" si="65"/>
        <v/>
      </c>
      <c r="B338" s="12" t="s">
        <v>14</v>
      </c>
      <c r="C338" s="12" t="s">
        <v>675</v>
      </c>
      <c r="D338" s="12" t="s">
        <v>82</v>
      </c>
      <c r="E338" s="12" t="s">
        <v>70</v>
      </c>
      <c r="F338" s="12" t="s">
        <v>676</v>
      </c>
      <c r="G338" s="13">
        <v>1878</v>
      </c>
      <c r="H338" s="13"/>
      <c r="I338" s="13"/>
      <c r="J338" s="13">
        <v>1868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1868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8</v>
      </c>
      <c r="C339" s="12" t="s">
        <v>767</v>
      </c>
      <c r="D339" s="12" t="s">
        <v>82</v>
      </c>
      <c r="E339" s="12" t="s">
        <v>70</v>
      </c>
      <c r="F339" s="12" t="s">
        <v>768</v>
      </c>
      <c r="G339" s="13">
        <v>1879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677</v>
      </c>
      <c r="D340" s="16" t="s">
        <v>49</v>
      </c>
      <c r="E340" s="12" t="s">
        <v>26</v>
      </c>
      <c r="F340" s="12" t="s">
        <v>678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679</v>
      </c>
      <c r="D341" s="12" t="s">
        <v>82</v>
      </c>
      <c r="E341" s="12" t="s">
        <v>26</v>
      </c>
      <c r="F341" s="12" t="s">
        <v>680</v>
      </c>
      <c r="G341" s="13">
        <v>1879</v>
      </c>
      <c r="H341" s="13"/>
      <c r="I341" s="13"/>
      <c r="J341" s="13">
        <v>1864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1864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776</v>
      </c>
      <c r="D342" s="16" t="s">
        <v>49</v>
      </c>
      <c r="E342" s="12" t="s">
        <v>70</v>
      </c>
      <c r="F342" s="12" t="s">
        <v>777</v>
      </c>
      <c r="G342" s="13">
        <v>1879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8</v>
      </c>
      <c r="C343" s="12" t="s">
        <v>792</v>
      </c>
      <c r="D343" s="12" t="s">
        <v>82</v>
      </c>
      <c r="E343" s="12" t="s">
        <v>26</v>
      </c>
      <c r="F343" s="12" t="s">
        <v>793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14</v>
      </c>
      <c r="C344" s="12" t="s">
        <v>681</v>
      </c>
      <c r="D344" s="12" t="s">
        <v>137</v>
      </c>
      <c r="E344" s="12" t="s">
        <v>26</v>
      </c>
      <c r="F344" s="12" t="s">
        <v>682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685</v>
      </c>
      <c r="D345" s="16" t="s">
        <v>61</v>
      </c>
      <c r="E345" s="12" t="s">
        <v>70</v>
      </c>
      <c r="F345" s="12" t="s">
        <v>686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815</v>
      </c>
      <c r="D346" s="16" t="s">
        <v>49</v>
      </c>
      <c r="E346" s="12" t="s">
        <v>70</v>
      </c>
      <c r="F346" s="12" t="s">
        <v>816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12</v>
      </c>
      <c r="C347" s="12" t="s">
        <v>687</v>
      </c>
      <c r="D347" s="16" t="s">
        <v>49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6</v>
      </c>
      <c r="C348" s="12" t="s">
        <v>691</v>
      </c>
      <c r="D348" s="12" t="s">
        <v>82</v>
      </c>
      <c r="E348" s="12" t="s">
        <v>26</v>
      </c>
      <c r="F348" s="12" t="s">
        <v>692</v>
      </c>
      <c r="G348" s="13">
        <v>1883</v>
      </c>
      <c r="H348" s="13"/>
      <c r="I348" s="13"/>
      <c r="J348" s="13">
        <v>1874</v>
      </c>
      <c r="K348" s="13">
        <f t="shared" si="66"/>
        <v>0</v>
      </c>
      <c r="L348" s="13">
        <f t="shared" si="67"/>
        <v>1883</v>
      </c>
      <c r="M348" s="13" t="str">
        <f t="shared" si="68"/>
        <v/>
      </c>
      <c r="N348" s="13">
        <f t="shared" si="69"/>
        <v>1874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693</v>
      </c>
      <c r="D349" s="16" t="s">
        <v>49</v>
      </c>
      <c r="E349" s="12" t="s">
        <v>26</v>
      </c>
      <c r="F349" s="12" t="s">
        <v>694</v>
      </c>
      <c r="G349" s="13">
        <v>1884</v>
      </c>
      <c r="H349" s="13"/>
      <c r="I349" s="13"/>
      <c r="J349" s="13">
        <v>1873</v>
      </c>
      <c r="K349" s="13">
        <f t="shared" si="66"/>
        <v>0</v>
      </c>
      <c r="L349" s="13">
        <f t="shared" si="67"/>
        <v>1884</v>
      </c>
      <c r="M349" s="13" t="str">
        <f t="shared" si="68"/>
        <v/>
      </c>
      <c r="N349" s="13">
        <f t="shared" si="69"/>
        <v>1873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6</v>
      </c>
      <c r="C350" s="12" t="s">
        <v>695</v>
      </c>
      <c r="D350" s="16" t="s">
        <v>52</v>
      </c>
      <c r="E350" s="12" t="s">
        <v>26</v>
      </c>
      <c r="F350" s="12" t="s">
        <v>696</v>
      </c>
      <c r="G350" s="13">
        <v>1885</v>
      </c>
      <c r="H350" s="13"/>
      <c r="I350" s="13"/>
      <c r="J350" s="13">
        <v>1875</v>
      </c>
      <c r="K350" s="13">
        <f t="shared" si="66"/>
        <v>0</v>
      </c>
      <c r="L350" s="13">
        <f t="shared" si="67"/>
        <v>1885</v>
      </c>
      <c r="M350" s="13" t="str">
        <f t="shared" si="68"/>
        <v/>
      </c>
      <c r="N350" s="13">
        <f t="shared" si="69"/>
        <v>1875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14</v>
      </c>
      <c r="C351" s="12" t="s">
        <v>703</v>
      </c>
      <c r="D351" s="16" t="s">
        <v>61</v>
      </c>
      <c r="E351" s="12" t="s">
        <v>26</v>
      </c>
      <c r="F351" s="12" t="s">
        <v>704</v>
      </c>
      <c r="G351" s="13">
        <v>1887</v>
      </c>
      <c r="H351" s="13"/>
      <c r="I351" s="13"/>
      <c r="J351" s="13">
        <v>1868</v>
      </c>
      <c r="K351" s="13">
        <f t="shared" si="66"/>
        <v>0</v>
      </c>
      <c r="L351" s="13">
        <f t="shared" si="67"/>
        <v>1887</v>
      </c>
      <c r="M351" s="13" t="str">
        <f t="shared" si="68"/>
        <v/>
      </c>
      <c r="N351" s="13">
        <f t="shared" si="69"/>
        <v>1868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14</v>
      </c>
      <c r="C352" s="12" t="s">
        <v>707</v>
      </c>
      <c r="D352" s="16" t="s">
        <v>49</v>
      </c>
      <c r="E352" s="12" t="s">
        <v>70</v>
      </c>
      <c r="F352" s="12" t="s">
        <v>708</v>
      </c>
      <c r="G352" s="13">
        <v>1889</v>
      </c>
      <c r="H352" s="13"/>
      <c r="I352" s="13"/>
      <c r="J352" s="13">
        <v>1879</v>
      </c>
      <c r="K352" s="13">
        <f t="shared" si="66"/>
        <v>0</v>
      </c>
      <c r="L352" s="13">
        <f t="shared" si="67"/>
        <v>1889</v>
      </c>
      <c r="M352" s="13" t="str">
        <f t="shared" si="68"/>
        <v/>
      </c>
      <c r="N352" s="13">
        <f t="shared" si="69"/>
        <v>1879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711</v>
      </c>
      <c r="D353" s="16" t="s">
        <v>49</v>
      </c>
      <c r="E353" s="12" t="s">
        <v>26</v>
      </c>
      <c r="F353" s="12" t="s">
        <v>712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10</v>
      </c>
      <c r="C354" s="12" t="s">
        <v>713</v>
      </c>
      <c r="D354" s="12" t="s">
        <v>82</v>
      </c>
      <c r="E354" s="12" t="s">
        <v>26</v>
      </c>
      <c r="F354" s="12" t="s">
        <v>714</v>
      </c>
      <c r="G354" s="13">
        <v>1889</v>
      </c>
      <c r="H354" s="13"/>
      <c r="I354" s="13"/>
      <c r="J354" s="13">
        <v>1889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1889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10</v>
      </c>
      <c r="C355" s="12" t="s">
        <v>715</v>
      </c>
      <c r="D355" s="16" t="s">
        <v>49</v>
      </c>
      <c r="E355" s="12" t="s">
        <v>26</v>
      </c>
      <c r="F355" s="12" t="s">
        <v>716</v>
      </c>
      <c r="G355" s="13">
        <v>1890</v>
      </c>
      <c r="H355" s="13"/>
      <c r="I355" s="13"/>
      <c r="J355" s="13">
        <v>1870</v>
      </c>
      <c r="K355" s="13">
        <f t="shared" si="66"/>
        <v>0</v>
      </c>
      <c r="L355" s="13">
        <f t="shared" si="67"/>
        <v>1890</v>
      </c>
      <c r="M355" s="13" t="str">
        <f t="shared" si="68"/>
        <v/>
      </c>
      <c r="N355" s="13">
        <f t="shared" si="69"/>
        <v>1870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717</v>
      </c>
      <c r="D356" s="16" t="s">
        <v>49</v>
      </c>
      <c r="E356" s="12" t="s">
        <v>70</v>
      </c>
      <c r="F356" s="12" t="s">
        <v>718</v>
      </c>
      <c r="G356" s="13">
        <v>1890</v>
      </c>
      <c r="H356" s="13"/>
      <c r="I356" s="13"/>
      <c r="J356" s="13">
        <v>1890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1890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719</v>
      </c>
      <c r="D357" s="16" t="s">
        <v>49</v>
      </c>
      <c r="E357" s="12" t="s">
        <v>26</v>
      </c>
      <c r="F357" s="12" t="s">
        <v>720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12</v>
      </c>
      <c r="C358" s="12" t="s">
        <v>721</v>
      </c>
      <c r="D358" s="16" t="s">
        <v>52</v>
      </c>
      <c r="E358" s="12" t="s">
        <v>26</v>
      </c>
      <c r="F358" s="12" t="s">
        <v>722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842</v>
      </c>
      <c r="D359" s="16" t="s">
        <v>49</v>
      </c>
      <c r="E359" s="12" t="s">
        <v>26</v>
      </c>
      <c r="F359" s="12" t="s">
        <v>843</v>
      </c>
      <c r="G359" s="13">
        <v>1891</v>
      </c>
      <c r="H359" s="13"/>
      <c r="I359" s="13"/>
      <c r="J359" s="13">
        <v>1859</v>
      </c>
      <c r="K359" s="13">
        <f t="shared" si="66"/>
        <v>0</v>
      </c>
      <c r="L359" s="13">
        <f t="shared" si="67"/>
        <v>1891</v>
      </c>
      <c r="M359" s="13" t="str">
        <f t="shared" si="68"/>
        <v/>
      </c>
      <c r="N359" s="13">
        <f t="shared" si="69"/>
        <v>1859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49</v>
      </c>
      <c r="E360" s="12" t="s">
        <v>26</v>
      </c>
      <c r="F360" s="12" t="s">
        <v>724</v>
      </c>
      <c r="G360" s="13">
        <v>1894</v>
      </c>
      <c r="H360" s="13"/>
      <c r="I360" s="13"/>
      <c r="J360" s="13">
        <v>1864</v>
      </c>
      <c r="K360" s="13">
        <f t="shared" si="66"/>
        <v>0</v>
      </c>
      <c r="L360" s="13">
        <f t="shared" si="67"/>
        <v>1894</v>
      </c>
      <c r="M360" s="13" t="str">
        <f t="shared" si="68"/>
        <v/>
      </c>
      <c r="N360" s="13">
        <f t="shared" si="69"/>
        <v>1864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834</v>
      </c>
      <c r="D361" s="12" t="s">
        <v>82</v>
      </c>
      <c r="E361" s="12" t="s">
        <v>70</v>
      </c>
      <c r="F361" s="12" t="s">
        <v>835</v>
      </c>
      <c r="G361" s="13">
        <v>1895</v>
      </c>
      <c r="H361" s="13"/>
      <c r="I361" s="13"/>
      <c r="J361" s="13">
        <v>1854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1854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14</v>
      </c>
      <c r="C362" s="12" t="s">
        <v>771</v>
      </c>
      <c r="D362" s="16" t="s">
        <v>61</v>
      </c>
      <c r="E362" s="12" t="s">
        <v>70</v>
      </c>
      <c r="F362" s="12" t="s">
        <v>772</v>
      </c>
      <c r="G362" s="13">
        <v>1895</v>
      </c>
      <c r="H362" s="13"/>
      <c r="I362" s="13"/>
      <c r="J362" s="13">
        <v>1868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1868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728</v>
      </c>
      <c r="D363" s="16" t="s">
        <v>49</v>
      </c>
      <c r="E363" s="12" t="s">
        <v>70</v>
      </c>
      <c r="F363" s="12" t="s">
        <v>729</v>
      </c>
      <c r="G363" s="13">
        <v>1895</v>
      </c>
      <c r="H363" s="13"/>
      <c r="I363" s="13"/>
      <c r="J363" s="13">
        <v>1875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1875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12</v>
      </c>
      <c r="C364" s="12" t="s">
        <v>730</v>
      </c>
      <c r="D364" s="16" t="s">
        <v>82</v>
      </c>
      <c r="E364" s="12" t="s">
        <v>26</v>
      </c>
      <c r="F364" s="12" t="s">
        <v>731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732</v>
      </c>
      <c r="D365" s="16" t="s">
        <v>49</v>
      </c>
      <c r="E365" s="12" t="s">
        <v>70</v>
      </c>
      <c r="F365" s="12" t="s">
        <v>733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6</v>
      </c>
      <c r="C366" s="12" t="s">
        <v>734</v>
      </c>
      <c r="D366" s="12" t="s">
        <v>82</v>
      </c>
      <c r="E366" s="12" t="s">
        <v>26</v>
      </c>
      <c r="F366" s="12" t="s">
        <v>735</v>
      </c>
      <c r="G366" s="13">
        <v>1895</v>
      </c>
      <c r="H366" s="13"/>
      <c r="I366" s="13"/>
      <c r="J366" s="13">
        <v>1885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1885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597</v>
      </c>
      <c r="D367" s="12" t="s">
        <v>82</v>
      </c>
      <c r="E367" s="12" t="s">
        <v>70</v>
      </c>
      <c r="F367" s="12" t="s">
        <v>743</v>
      </c>
      <c r="G367" s="13">
        <v>1895</v>
      </c>
      <c r="H367" s="13"/>
      <c r="I367" s="13"/>
      <c r="J367" s="13">
        <v>1885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1885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736</v>
      </c>
      <c r="D368" s="16" t="s">
        <v>49</v>
      </c>
      <c r="E368" s="12" t="s">
        <v>70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634</v>
      </c>
      <c r="D369" s="16" t="s">
        <v>49</v>
      </c>
      <c r="E369" s="12" t="s">
        <v>70</v>
      </c>
      <c r="F369" s="12" t="s">
        <v>738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579</v>
      </c>
      <c r="D370" s="12" t="s">
        <v>82</v>
      </c>
      <c r="E370" s="12" t="s">
        <v>70</v>
      </c>
      <c r="F370" s="12" t="s">
        <v>725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17" customFormat="1" ht="28.5" customHeight="1">
      <c r="A371" s="12" t="str">
        <f t="shared" si="65"/>
        <v/>
      </c>
      <c r="B371" s="12" t="s">
        <v>8</v>
      </c>
      <c r="C371" s="12" t="s">
        <v>817</v>
      </c>
      <c r="D371" s="16" t="s">
        <v>49</v>
      </c>
      <c r="E371" s="12" t="s">
        <v>70</v>
      </c>
      <c r="F371" s="12" t="s">
        <v>818</v>
      </c>
      <c r="G371" s="13">
        <v>1895</v>
      </c>
      <c r="H371" s="13"/>
      <c r="I371" s="13"/>
      <c r="J371" s="13">
        <v>1889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1889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6</v>
      </c>
      <c r="C372" s="12" t="s">
        <v>739</v>
      </c>
      <c r="D372" s="12" t="s">
        <v>82</v>
      </c>
      <c r="E372" s="12" t="s">
        <v>26</v>
      </c>
      <c r="F372" s="12" t="s">
        <v>740</v>
      </c>
      <c r="G372" s="13">
        <v>1895</v>
      </c>
      <c r="H372" s="13"/>
      <c r="I372" s="13"/>
      <c r="J372" s="13">
        <v>1895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1895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741</v>
      </c>
      <c r="D373" s="16" t="s">
        <v>61</v>
      </c>
      <c r="E373" s="12" t="s">
        <v>70</v>
      </c>
      <c r="F373" s="12" t="s">
        <v>742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748</v>
      </c>
      <c r="D374" s="16" t="s">
        <v>49</v>
      </c>
      <c r="E374" s="12" t="s">
        <v>70</v>
      </c>
      <c r="F374" s="12" t="s">
        <v>749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823</v>
      </c>
      <c r="D375" s="16" t="s">
        <v>82</v>
      </c>
      <c r="E375" s="12" t="s">
        <v>70</v>
      </c>
      <c r="F375" s="12" t="s">
        <v>824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846</v>
      </c>
      <c r="D376" s="16" t="s">
        <v>49</v>
      </c>
      <c r="E376" s="12" t="s">
        <v>70</v>
      </c>
      <c r="F376" s="12" t="s">
        <v>847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750</v>
      </c>
      <c r="D377" s="16" t="s">
        <v>82</v>
      </c>
      <c r="E377" s="12" t="s">
        <v>70</v>
      </c>
      <c r="F377" s="12" t="s">
        <v>751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752</v>
      </c>
      <c r="D378" s="16" t="s">
        <v>49</v>
      </c>
      <c r="E378" s="12" t="s">
        <v>26</v>
      </c>
      <c r="F378" s="12" t="s">
        <v>753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754</v>
      </c>
      <c r="D379" s="16" t="s">
        <v>82</v>
      </c>
      <c r="E379" s="12" t="s">
        <v>26</v>
      </c>
      <c r="F379" s="12" t="s">
        <v>755</v>
      </c>
      <c r="G379" s="13">
        <v>1898</v>
      </c>
      <c r="H379" s="13"/>
      <c r="I379" s="13"/>
      <c r="J379" s="13">
        <v>1867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1867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756</v>
      </c>
      <c r="D380" s="16" t="s">
        <v>61</v>
      </c>
      <c r="E380" s="12" t="s">
        <v>70</v>
      </c>
      <c r="F380" s="12" t="s">
        <v>757</v>
      </c>
      <c r="G380" s="13">
        <v>1898</v>
      </c>
      <c r="H380" s="13"/>
      <c r="I380" s="13"/>
      <c r="J380" s="13">
        <v>1878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1878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699</v>
      </c>
      <c r="D381" s="16" t="s">
        <v>49</v>
      </c>
      <c r="E381" s="12" t="s">
        <v>26</v>
      </c>
      <c r="F381" s="12" t="s">
        <v>700</v>
      </c>
      <c r="G381" s="13">
        <v>1898</v>
      </c>
      <c r="H381" s="13"/>
      <c r="I381" s="13"/>
      <c r="J381" s="13">
        <v>1894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1894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14</v>
      </c>
      <c r="C382" s="12" t="s">
        <v>644</v>
      </c>
      <c r="D382" s="16" t="s">
        <v>49</v>
      </c>
      <c r="E382" s="12" t="s">
        <v>70</v>
      </c>
      <c r="F382" s="12" t="s">
        <v>758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759</v>
      </c>
      <c r="D383" s="16" t="s">
        <v>52</v>
      </c>
      <c r="E383" s="12" t="s">
        <v>26</v>
      </c>
      <c r="F383" s="12" t="s">
        <v>760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761</v>
      </c>
      <c r="D384" s="16" t="s">
        <v>61</v>
      </c>
      <c r="E384" s="12" t="s">
        <v>26</v>
      </c>
      <c r="F384" s="12" t="s">
        <v>762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763</v>
      </c>
      <c r="D385" s="12" t="s">
        <v>82</v>
      </c>
      <c r="E385" s="12" t="s">
        <v>26</v>
      </c>
      <c r="F385" s="12" t="s">
        <v>764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6</v>
      </c>
      <c r="C386" s="12" t="s">
        <v>705</v>
      </c>
      <c r="D386" s="16" t="s">
        <v>52</v>
      </c>
      <c r="E386" s="12" t="s">
        <v>26</v>
      </c>
      <c r="F386" s="12" t="s">
        <v>706</v>
      </c>
      <c r="G386" s="13">
        <v>1899</v>
      </c>
      <c r="H386" s="13"/>
      <c r="I386" s="13"/>
      <c r="J386" s="13">
        <v>1849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1849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14</v>
      </c>
      <c r="C387" s="12" t="s">
        <v>487</v>
      </c>
      <c r="D387" s="16" t="s">
        <v>49</v>
      </c>
      <c r="E387" s="12" t="s">
        <v>70</v>
      </c>
      <c r="F387" s="12" t="s">
        <v>773</v>
      </c>
      <c r="G387" s="13">
        <v>1899</v>
      </c>
      <c r="H387" s="13"/>
      <c r="I387" s="13"/>
      <c r="J387" s="13">
        <v>1869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1869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765</v>
      </c>
      <c r="D388" s="16" t="s">
        <v>61</v>
      </c>
      <c r="E388" s="12" t="s">
        <v>70</v>
      </c>
      <c r="F388" s="12" t="s">
        <v>766</v>
      </c>
      <c r="G388" s="13">
        <v>1899</v>
      </c>
      <c r="H388" s="13"/>
      <c r="I388" s="13"/>
      <c r="J388" s="13">
        <v>1873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1873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769</v>
      </c>
      <c r="D389" s="16" t="s">
        <v>49</v>
      </c>
      <c r="E389" s="12" t="s">
        <v>26</v>
      </c>
      <c r="F389" s="12" t="s">
        <v>770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721</v>
      </c>
      <c r="D390" s="12" t="s">
        <v>82</v>
      </c>
      <c r="E390" s="12" t="s">
        <v>26</v>
      </c>
      <c r="F390" s="12" t="s">
        <v>794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784</v>
      </c>
      <c r="D391" s="16" t="s">
        <v>52</v>
      </c>
      <c r="E391" s="12" t="s">
        <v>70</v>
      </c>
      <c r="F391" s="12" t="s">
        <v>785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774</v>
      </c>
      <c r="D392" s="16" t="s">
        <v>61</v>
      </c>
      <c r="E392" s="12" t="s">
        <v>70</v>
      </c>
      <c r="F392" s="12" t="s">
        <v>775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778</v>
      </c>
      <c r="D393" s="12" t="s">
        <v>82</v>
      </c>
      <c r="E393" s="12" t="s">
        <v>70</v>
      </c>
      <c r="F393" s="12" t="s">
        <v>779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12</v>
      </c>
      <c r="C394" s="12" t="s">
        <v>780</v>
      </c>
      <c r="D394" s="16" t="s">
        <v>82</v>
      </c>
      <c r="E394" s="12" t="s">
        <v>70</v>
      </c>
      <c r="F394" s="12" t="s">
        <v>781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782</v>
      </c>
      <c r="D395" s="16" t="s">
        <v>49</v>
      </c>
      <c r="E395" s="12" t="s">
        <v>26</v>
      </c>
      <c r="F395" s="12" t="s">
        <v>783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829</v>
      </c>
      <c r="D396" s="16" t="s">
        <v>49</v>
      </c>
      <c r="E396" s="12" t="s">
        <v>70</v>
      </c>
      <c r="F396" s="12" t="s">
        <v>830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788</v>
      </c>
      <c r="D397" s="16" t="s">
        <v>49</v>
      </c>
      <c r="E397" s="12" t="s">
        <v>70</v>
      </c>
      <c r="F397" s="12" t="s">
        <v>789</v>
      </c>
      <c r="G397" s="13">
        <v>1899</v>
      </c>
      <c r="H397" s="13"/>
      <c r="I397" s="13"/>
      <c r="J397" s="13">
        <v>1898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1898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8</v>
      </c>
      <c r="C398" s="12" t="s">
        <v>790</v>
      </c>
      <c r="D398" s="16" t="s">
        <v>52</v>
      </c>
      <c r="E398" s="12" t="s">
        <v>70</v>
      </c>
      <c r="F398" s="12" t="s">
        <v>791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IF($T399="","",1+COUNTIF($W$15:$W$878,"&lt;"&amp;W399))</f>
        <v/>
      </c>
      <c r="B399" s="12" t="s">
        <v>14</v>
      </c>
      <c r="C399" s="12" t="s">
        <v>795</v>
      </c>
      <c r="D399" s="12" t="s">
        <v>82</v>
      </c>
      <c r="E399" s="12" t="s">
        <v>70</v>
      </c>
      <c r="F399" s="12" t="s">
        <v>796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797</v>
      </c>
      <c r="D400" s="16" t="s">
        <v>49</v>
      </c>
      <c r="E400" s="12" t="s">
        <v>26</v>
      </c>
      <c r="F400" s="12" t="s">
        <v>798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799</v>
      </c>
      <c r="D401" s="12" t="s">
        <v>82</v>
      </c>
      <c r="E401" s="12" t="s">
        <v>70</v>
      </c>
      <c r="F401" s="12" t="s">
        <v>800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8" customFormat="1" ht="28.5" customHeight="1">
      <c r="A402" s="12" t="str">
        <f t="shared" si="78"/>
        <v/>
      </c>
      <c r="B402" s="12" t="s">
        <v>14</v>
      </c>
      <c r="C402" s="12" t="s">
        <v>801</v>
      </c>
      <c r="D402" s="12" t="s">
        <v>82</v>
      </c>
      <c r="E402" s="12" t="s">
        <v>70</v>
      </c>
      <c r="F402" s="12" t="s">
        <v>802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803</v>
      </c>
      <c r="D403" s="16" t="s">
        <v>82</v>
      </c>
      <c r="E403" s="12" t="s">
        <v>26</v>
      </c>
      <c r="F403" s="12" t="s">
        <v>804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12</v>
      </c>
      <c r="C404" s="12" t="s">
        <v>805</v>
      </c>
      <c r="D404" s="16" t="s">
        <v>49</v>
      </c>
      <c r="E404" s="12" t="s">
        <v>70</v>
      </c>
      <c r="F404" s="12" t="s">
        <v>806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807</v>
      </c>
      <c r="D405" s="16" t="s">
        <v>52</v>
      </c>
      <c r="E405" s="12" t="s">
        <v>26</v>
      </c>
      <c r="F405" s="12" t="s">
        <v>808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809</v>
      </c>
      <c r="D406" s="16" t="s">
        <v>82</v>
      </c>
      <c r="E406" s="12" t="s">
        <v>26</v>
      </c>
      <c r="F406" s="12" t="s">
        <v>810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10</v>
      </c>
      <c r="C407" s="12" t="s">
        <v>811</v>
      </c>
      <c r="D407" s="16" t="s">
        <v>49</v>
      </c>
      <c r="E407" s="12" t="s">
        <v>26</v>
      </c>
      <c r="F407" s="12" t="s">
        <v>812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10</v>
      </c>
      <c r="C408" s="12" t="s">
        <v>865</v>
      </c>
      <c r="D408" s="12" t="s">
        <v>82</v>
      </c>
      <c r="E408" s="12" t="s">
        <v>70</v>
      </c>
      <c r="F408" s="12" t="s">
        <v>866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52</v>
      </c>
      <c r="E409" s="12" t="s">
        <v>70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819</v>
      </c>
      <c r="D410" s="16" t="s">
        <v>52</v>
      </c>
      <c r="E410" s="12" t="s">
        <v>26</v>
      </c>
      <c r="F410" s="12" t="s">
        <v>820</v>
      </c>
      <c r="G410" s="13">
        <v>1900</v>
      </c>
      <c r="H410" s="13"/>
      <c r="I410" s="13"/>
      <c r="J410" s="13">
        <v>1900</v>
      </c>
      <c r="K410" s="13">
        <f t="shared" si="79"/>
        <v>0</v>
      </c>
      <c r="L410" s="13">
        <f t="shared" si="80"/>
        <v>1900</v>
      </c>
      <c r="M410" s="13" t="str">
        <f t="shared" si="81"/>
        <v/>
      </c>
      <c r="N410" s="13">
        <f t="shared" si="82"/>
        <v>1900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18</v>
      </c>
      <c r="C411" s="12" t="s">
        <v>821</v>
      </c>
      <c r="D411" s="12" t="s">
        <v>82</v>
      </c>
      <c r="E411" s="12" t="s">
        <v>70</v>
      </c>
      <c r="F411" s="12" t="s">
        <v>822</v>
      </c>
      <c r="G411" s="13">
        <v>1949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1949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825</v>
      </c>
      <c r="D412" s="16" t="s">
        <v>61</v>
      </c>
      <c r="E412" s="12" t="s">
        <v>70</v>
      </c>
      <c r="F412" s="12" t="s">
        <v>826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827</v>
      </c>
      <c r="D413" s="12" t="s">
        <v>82</v>
      </c>
      <c r="E413" s="12" t="s">
        <v>70</v>
      </c>
      <c r="F413" s="12" t="s">
        <v>828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754</v>
      </c>
      <c r="D414" s="16" t="s">
        <v>61</v>
      </c>
      <c r="E414" s="12" t="s">
        <v>70</v>
      </c>
      <c r="F414" s="12" t="s">
        <v>831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832</v>
      </c>
      <c r="D415" s="16" t="s">
        <v>49</v>
      </c>
      <c r="E415" s="12" t="s">
        <v>70</v>
      </c>
      <c r="F415" s="12" t="s">
        <v>833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836</v>
      </c>
      <c r="D416" s="16" t="s">
        <v>61</v>
      </c>
      <c r="E416" s="12" t="s">
        <v>70</v>
      </c>
      <c r="F416" s="12" t="s">
        <v>837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838</v>
      </c>
      <c r="D417" s="12" t="s">
        <v>82</v>
      </c>
      <c r="E417" s="12" t="s">
        <v>26</v>
      </c>
      <c r="F417" s="12" t="s">
        <v>839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844</v>
      </c>
      <c r="D419" s="16" t="s">
        <v>49</v>
      </c>
      <c r="E419" s="12" t="s">
        <v>70</v>
      </c>
      <c r="F419" s="12" t="s">
        <v>845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10</v>
      </c>
      <c r="C420" s="12" t="s">
        <v>848</v>
      </c>
      <c r="D420" s="12" t="s">
        <v>82</v>
      </c>
      <c r="E420" s="12" t="s">
        <v>70</v>
      </c>
      <c r="F420" s="12" t="s">
        <v>849</v>
      </c>
      <c r="G420" s="13">
        <v>1938</v>
      </c>
      <c r="H420" s="13"/>
      <c r="I420" s="13"/>
      <c r="J420" s="13">
        <v>1938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1938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850</v>
      </c>
      <c r="D421" s="16" t="s">
        <v>52</v>
      </c>
      <c r="E421" s="12" t="s">
        <v>70</v>
      </c>
      <c r="F421" s="12" t="s">
        <v>851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61</v>
      </c>
      <c r="E422" s="12" t="s">
        <v>70</v>
      </c>
      <c r="F422" s="12" t="s">
        <v>853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854</v>
      </c>
      <c r="D423" s="16" t="s">
        <v>61</v>
      </c>
      <c r="E423" s="12" t="s">
        <v>70</v>
      </c>
      <c r="F423" s="12" t="s">
        <v>855</v>
      </c>
      <c r="G423" s="13">
        <v>1945</v>
      </c>
      <c r="H423" s="13"/>
      <c r="I423" s="13"/>
      <c r="J423" s="13">
        <v>1895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1895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776</v>
      </c>
      <c r="D424" s="12" t="s">
        <v>82</v>
      </c>
      <c r="E424" s="12" t="s">
        <v>26</v>
      </c>
      <c r="F424" s="12" t="s">
        <v>856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857</v>
      </c>
      <c r="D425" s="16" t="s">
        <v>52</v>
      </c>
      <c r="E425" s="12" t="s">
        <v>70</v>
      </c>
      <c r="F425" s="12" t="s">
        <v>858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859</v>
      </c>
      <c r="D426" s="16" t="s">
        <v>49</v>
      </c>
      <c r="E426" s="12" t="s">
        <v>70</v>
      </c>
      <c r="F426" s="12" t="s">
        <v>860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890</v>
      </c>
      <c r="D427" s="16" t="s">
        <v>61</v>
      </c>
      <c r="E427" s="12" t="s">
        <v>70</v>
      </c>
      <c r="F427" s="12" t="s">
        <v>891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861</v>
      </c>
      <c r="D428" s="16" t="s">
        <v>61</v>
      </c>
      <c r="E428" s="12" t="s">
        <v>70</v>
      </c>
      <c r="F428" s="12" t="s">
        <v>862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863</v>
      </c>
      <c r="D429" s="16" t="s">
        <v>52</v>
      </c>
      <c r="E429" s="12" t="s">
        <v>70</v>
      </c>
      <c r="F429" s="12" t="s">
        <v>864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471</v>
      </c>
      <c r="D430" s="16" t="s">
        <v>61</v>
      </c>
      <c r="E430" s="12" t="s">
        <v>70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10</v>
      </c>
      <c r="C431" s="12" t="s">
        <v>836</v>
      </c>
      <c r="D431" s="16" t="s">
        <v>52</v>
      </c>
      <c r="E431" s="12" t="s">
        <v>70</v>
      </c>
      <c r="F431" s="12" t="s">
        <v>869</v>
      </c>
      <c r="G431" s="13">
        <v>1969</v>
      </c>
      <c r="H431" s="13"/>
      <c r="I431" s="13"/>
      <c r="J431" s="13">
        <v>1899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1899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396</v>
      </c>
      <c r="D432" s="16" t="s">
        <v>49</v>
      </c>
      <c r="E432" s="12" t="s">
        <v>26</v>
      </c>
      <c r="F432" s="12" t="s">
        <v>397</v>
      </c>
      <c r="G432" s="13">
        <v>1788</v>
      </c>
      <c r="H432" s="13"/>
      <c r="I432" s="13"/>
      <c r="J432" s="13">
        <v>1856</v>
      </c>
      <c r="K432" s="13">
        <f t="shared" si="79"/>
        <v>0</v>
      </c>
      <c r="L432" s="13">
        <f t="shared" si="80"/>
        <v>1788</v>
      </c>
      <c r="M432" s="13" t="str">
        <f t="shared" si="81"/>
        <v/>
      </c>
      <c r="N432" s="13">
        <f t="shared" si="82"/>
        <v>1856</v>
      </c>
      <c r="O432" s="13" t="str">
        <f t="shared" si="83"/>
        <v/>
      </c>
      <c r="P432" s="13" t="str">
        <f t="shared" si="84"/>
        <v/>
      </c>
      <c r="Q432" s="13"/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1746</v>
      </c>
      <c r="D433" s="12" t="s">
        <v>82</v>
      </c>
      <c r="E433" s="12" t="s">
        <v>26</v>
      </c>
      <c r="F433" s="12" t="s">
        <v>1747</v>
      </c>
      <c r="G433" s="13">
        <v>1789</v>
      </c>
      <c r="H433" s="13"/>
      <c r="I433" s="13"/>
      <c r="J433" s="13">
        <v>1798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1798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950</v>
      </c>
      <c r="D434" s="16" t="s">
        <v>82</v>
      </c>
      <c r="E434" s="12" t="s">
        <v>26</v>
      </c>
      <c r="F434" s="12" t="s">
        <v>951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872</v>
      </c>
      <c r="D435" s="16" t="s">
        <v>82</v>
      </c>
      <c r="E435" s="12" t="s">
        <v>26</v>
      </c>
      <c r="F435" s="12" t="s">
        <v>873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870</v>
      </c>
      <c r="D436" s="16" t="s">
        <v>82</v>
      </c>
      <c r="E436" s="12" t="s">
        <v>26</v>
      </c>
      <c r="F436" s="12" t="s">
        <v>871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61</v>
      </c>
      <c r="E437" s="12" t="s">
        <v>26</v>
      </c>
      <c r="F437" s="12" t="s">
        <v>875</v>
      </c>
      <c r="G437" s="13">
        <v>1794</v>
      </c>
      <c r="H437" s="13"/>
      <c r="I437" s="13"/>
      <c r="J437" s="13">
        <v>1804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1804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878</v>
      </c>
      <c r="D438" s="16" t="s">
        <v>82</v>
      </c>
      <c r="E438" s="12" t="s">
        <v>70</v>
      </c>
      <c r="F438" s="12" t="s">
        <v>879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888</v>
      </c>
      <c r="D439" s="16" t="s">
        <v>52</v>
      </c>
      <c r="E439" s="12" t="s">
        <v>26</v>
      </c>
      <c r="F439" s="12" t="s">
        <v>889</v>
      </c>
      <c r="G439" s="13">
        <v>1796</v>
      </c>
      <c r="H439" s="13"/>
      <c r="I439" s="13"/>
      <c r="J439" s="13">
        <v>1789</v>
      </c>
      <c r="K439" s="13">
        <f t="shared" si="79"/>
        <v>0</v>
      </c>
      <c r="L439" s="13">
        <f t="shared" si="80"/>
        <v>1796</v>
      </c>
      <c r="M439" s="13" t="str">
        <f t="shared" si="81"/>
        <v/>
      </c>
      <c r="N439" s="13">
        <f t="shared" si="82"/>
        <v>1789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876</v>
      </c>
      <c r="D440" s="16" t="s">
        <v>52</v>
      </c>
      <c r="E440" s="12" t="s">
        <v>26</v>
      </c>
      <c r="F440" s="12" t="s">
        <v>877</v>
      </c>
      <c r="G440" s="13">
        <v>1798</v>
      </c>
      <c r="H440" s="13"/>
      <c r="I440" s="13"/>
      <c r="J440" s="13">
        <v>1779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1779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882</v>
      </c>
      <c r="D441" s="16" t="s">
        <v>61</v>
      </c>
      <c r="E441" s="12" t="s">
        <v>70</v>
      </c>
      <c r="F441" s="12" t="s">
        <v>883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892</v>
      </c>
      <c r="D442" s="16" t="s">
        <v>49</v>
      </c>
      <c r="E442" s="12" t="s">
        <v>70</v>
      </c>
      <c r="F442" s="12" t="s">
        <v>893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17" customFormat="1" ht="28.5" customHeight="1">
      <c r="A443" s="12" t="str">
        <f t="shared" si="78"/>
        <v/>
      </c>
      <c r="B443" s="12" t="s">
        <v>6</v>
      </c>
      <c r="C443" s="12" t="s">
        <v>902</v>
      </c>
      <c r="D443" s="16" t="s">
        <v>52</v>
      </c>
      <c r="E443" s="12" t="s">
        <v>26</v>
      </c>
      <c r="F443" s="12" t="s">
        <v>903</v>
      </c>
      <c r="G443" s="13">
        <v>1805</v>
      </c>
      <c r="H443" s="13"/>
      <c r="I443" s="13"/>
      <c r="J443" s="13">
        <v>1793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1793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926</v>
      </c>
      <c r="D444" s="16" t="s">
        <v>52</v>
      </c>
      <c r="E444" s="12" t="s">
        <v>26</v>
      </c>
      <c r="F444" s="12" t="s">
        <v>927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928</v>
      </c>
      <c r="D445" s="16" t="s">
        <v>52</v>
      </c>
      <c r="E445" s="12" t="s">
        <v>26</v>
      </c>
      <c r="F445" s="12" t="s">
        <v>929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12</v>
      </c>
      <c r="C446" s="12" t="s">
        <v>940</v>
      </c>
      <c r="D446" s="16" t="s">
        <v>82</v>
      </c>
      <c r="E446" s="12" t="s">
        <v>26</v>
      </c>
      <c r="F446" s="12" t="s">
        <v>941</v>
      </c>
      <c r="G446" s="13">
        <v>1805</v>
      </c>
      <c r="H446" s="13"/>
      <c r="I446" s="13"/>
      <c r="J446" s="13">
        <v>1805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1805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12</v>
      </c>
      <c r="C447" s="12" t="s">
        <v>942</v>
      </c>
      <c r="D447" s="16" t="s">
        <v>49</v>
      </c>
      <c r="E447" s="12" t="s">
        <v>26</v>
      </c>
      <c r="F447" s="12" t="s">
        <v>943</v>
      </c>
      <c r="G447" s="13">
        <v>1805</v>
      </c>
      <c r="H447" s="13"/>
      <c r="I447" s="13"/>
      <c r="J447" s="13">
        <v>1815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1815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900</v>
      </c>
      <c r="D448" s="12" t="s">
        <v>82</v>
      </c>
      <c r="E448" s="12" t="s">
        <v>26</v>
      </c>
      <c r="F448" s="12" t="s">
        <v>901</v>
      </c>
      <c r="G448" s="13">
        <v>1806</v>
      </c>
      <c r="H448" s="13"/>
      <c r="I448" s="13"/>
      <c r="J448" s="13">
        <v>1786</v>
      </c>
      <c r="K448" s="13">
        <f t="shared" si="79"/>
        <v>0</v>
      </c>
      <c r="L448" s="13">
        <f t="shared" si="80"/>
        <v>1806</v>
      </c>
      <c r="M448" s="13" t="str">
        <f t="shared" si="81"/>
        <v/>
      </c>
      <c r="N448" s="13">
        <f t="shared" si="82"/>
        <v>1786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904</v>
      </c>
      <c r="D449" s="12" t="s">
        <v>82</v>
      </c>
      <c r="E449" s="12" t="s">
        <v>26</v>
      </c>
      <c r="F449" s="12" t="s">
        <v>905</v>
      </c>
      <c r="G449" s="13">
        <v>1807</v>
      </c>
      <c r="H449" s="13"/>
      <c r="I449" s="13"/>
      <c r="J449" s="13">
        <v>1787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1787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918</v>
      </c>
      <c r="D450" s="16" t="s">
        <v>49</v>
      </c>
      <c r="E450" s="12" t="s">
        <v>26</v>
      </c>
      <c r="F450" s="12" t="s">
        <v>919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920</v>
      </c>
      <c r="D451" s="16" t="s">
        <v>49</v>
      </c>
      <c r="E451" s="12" t="s">
        <v>26</v>
      </c>
      <c r="F451" s="12" t="s">
        <v>921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998</v>
      </c>
      <c r="D452" s="12" t="s">
        <v>82</v>
      </c>
      <c r="E452" s="12" t="s">
        <v>26</v>
      </c>
      <c r="F452" s="12" t="s">
        <v>999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6</v>
      </c>
      <c r="C453" s="12" t="s">
        <v>1000</v>
      </c>
      <c r="D453" s="16" t="s">
        <v>49</v>
      </c>
      <c r="E453" s="12" t="s">
        <v>26</v>
      </c>
      <c r="F453" s="12" t="s">
        <v>1001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912</v>
      </c>
      <c r="D454" s="12" t="s">
        <v>82</v>
      </c>
      <c r="E454" s="12" t="s">
        <v>26</v>
      </c>
      <c r="F454" s="12" t="s">
        <v>913</v>
      </c>
      <c r="G454" s="13">
        <v>1808</v>
      </c>
      <c r="H454" s="13"/>
      <c r="I454" s="13"/>
      <c r="J454" s="13">
        <v>1797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1129</v>
      </c>
      <c r="D455" s="16" t="s">
        <v>52</v>
      </c>
      <c r="E455" s="12" t="s">
        <v>26</v>
      </c>
      <c r="F455" s="12" t="s">
        <v>1130</v>
      </c>
      <c r="G455" s="13">
        <v>1808</v>
      </c>
      <c r="H455" s="13"/>
      <c r="I455" s="13"/>
      <c r="J455" s="13">
        <v>1798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1798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894</v>
      </c>
      <c r="D456" s="16" t="s">
        <v>52</v>
      </c>
      <c r="E456" s="12" t="s">
        <v>26</v>
      </c>
      <c r="F456" s="12" t="s">
        <v>895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916</v>
      </c>
      <c r="D457" s="16" t="s">
        <v>61</v>
      </c>
      <c r="E457" s="12" t="s">
        <v>26</v>
      </c>
      <c r="F457" s="12" t="s">
        <v>917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884</v>
      </c>
      <c r="D458" s="16" t="s">
        <v>49</v>
      </c>
      <c r="E458" s="12" t="s">
        <v>26</v>
      </c>
      <c r="F458" s="12" t="s">
        <v>885</v>
      </c>
      <c r="G458" s="13">
        <v>1809</v>
      </c>
      <c r="H458" s="13"/>
      <c r="I458" s="13"/>
      <c r="J458" s="13">
        <v>1789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1789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948</v>
      </c>
      <c r="D459" s="16" t="s">
        <v>52</v>
      </c>
      <c r="E459" s="12" t="s">
        <v>26</v>
      </c>
      <c r="F459" s="12" t="s">
        <v>949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8" customFormat="1" ht="28.5" customHeight="1">
      <c r="A460" s="12" t="str">
        <f t="shared" si="78"/>
        <v/>
      </c>
      <c r="B460" s="12" t="s">
        <v>6</v>
      </c>
      <c r="C460" s="12" t="s">
        <v>1246</v>
      </c>
      <c r="D460" s="16" t="s">
        <v>61</v>
      </c>
      <c r="E460" s="12" t="s">
        <v>26</v>
      </c>
      <c r="F460" s="12" t="s">
        <v>1247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962</v>
      </c>
      <c r="D461" s="16" t="s">
        <v>49</v>
      </c>
      <c r="E461" s="12" t="s">
        <v>26</v>
      </c>
      <c r="F461" s="12" t="s">
        <v>963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956</v>
      </c>
      <c r="D462" s="16" t="s">
        <v>52</v>
      </c>
      <c r="E462" s="12" t="s">
        <v>26</v>
      </c>
      <c r="F462" s="12" t="s">
        <v>957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8" customFormat="1" ht="28.5" customHeight="1">
      <c r="A463" s="12" t="str">
        <f t="shared" ref="A463:A526" si="91">IF($T463="","",1+COUNTIF($W$15:$W$878,"&lt;"&amp;W463))</f>
        <v/>
      </c>
      <c r="B463" s="12" t="s">
        <v>6</v>
      </c>
      <c r="C463" s="12" t="s">
        <v>1149</v>
      </c>
      <c r="D463" s="16" t="s">
        <v>61</v>
      </c>
      <c r="E463" s="12" t="s">
        <v>26</v>
      </c>
      <c r="F463" s="12" t="s">
        <v>1150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936</v>
      </c>
      <c r="D464" s="16" t="s">
        <v>49</v>
      </c>
      <c r="E464" s="12" t="s">
        <v>26</v>
      </c>
      <c r="F464" s="12" t="s">
        <v>937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924</v>
      </c>
      <c r="D465" s="12" t="s">
        <v>45</v>
      </c>
      <c r="E465" s="12" t="s">
        <v>26</v>
      </c>
      <c r="F465" s="12" t="s">
        <v>925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964</v>
      </c>
      <c r="D466" s="12" t="s">
        <v>82</v>
      </c>
      <c r="E466" s="12" t="s">
        <v>26</v>
      </c>
      <c r="F466" s="12" t="s">
        <v>965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896</v>
      </c>
      <c r="D467" s="16" t="s">
        <v>61</v>
      </c>
      <c r="E467" s="12" t="s">
        <v>26</v>
      </c>
      <c r="F467" s="12" t="s">
        <v>897</v>
      </c>
      <c r="G467" s="13">
        <v>1809</v>
      </c>
      <c r="H467" s="13"/>
      <c r="I467" s="13"/>
      <c r="J467" s="13">
        <v>1797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1797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898</v>
      </c>
      <c r="D468" s="12" t="s">
        <v>82</v>
      </c>
      <c r="E468" s="12" t="s">
        <v>26</v>
      </c>
      <c r="F468" s="12" t="s">
        <v>899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14</v>
      </c>
      <c r="C469" s="12" t="s">
        <v>966</v>
      </c>
      <c r="D469" s="16" t="s">
        <v>52</v>
      </c>
      <c r="E469" s="12" t="s">
        <v>70</v>
      </c>
      <c r="F469" s="12" t="s">
        <v>967</v>
      </c>
      <c r="G469" s="13">
        <v>1809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968</v>
      </c>
      <c r="D470" s="16" t="s">
        <v>49</v>
      </c>
      <c r="E470" s="12" t="s">
        <v>26</v>
      </c>
      <c r="F470" s="12" t="s">
        <v>969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970</v>
      </c>
      <c r="D471" s="16" t="s">
        <v>49</v>
      </c>
      <c r="E471" s="12" t="s">
        <v>26</v>
      </c>
      <c r="F471" s="12" t="s">
        <v>971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972</v>
      </c>
      <c r="D472" s="16" t="s">
        <v>49</v>
      </c>
      <c r="E472" s="12" t="s">
        <v>26</v>
      </c>
      <c r="F472" s="12" t="s">
        <v>973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12</v>
      </c>
      <c r="C473" s="12" t="s">
        <v>886</v>
      </c>
      <c r="D473" s="16" t="s">
        <v>49</v>
      </c>
      <c r="E473" s="12" t="s">
        <v>26</v>
      </c>
      <c r="F473" s="12" t="s">
        <v>887</v>
      </c>
      <c r="G473" s="13">
        <v>1809</v>
      </c>
      <c r="H473" s="13"/>
      <c r="I473" s="13"/>
      <c r="J473" s="13">
        <v>1799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938</v>
      </c>
      <c r="D474" s="16" t="s">
        <v>49</v>
      </c>
      <c r="E474" s="12" t="s">
        <v>26</v>
      </c>
      <c r="F474" s="12" t="s">
        <v>939</v>
      </c>
      <c r="G474" s="13">
        <v>1809</v>
      </c>
      <c r="H474" s="13"/>
      <c r="I474" s="13"/>
      <c r="J474" s="13">
        <v>1803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1803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914</v>
      </c>
      <c r="D475" s="16" t="s">
        <v>61</v>
      </c>
      <c r="E475" s="12" t="s">
        <v>26</v>
      </c>
      <c r="F475" s="12" t="s">
        <v>915</v>
      </c>
      <c r="G475" s="13">
        <v>1809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6</v>
      </c>
      <c r="C476" s="12" t="s">
        <v>1131</v>
      </c>
      <c r="D476" s="16" t="s">
        <v>52</v>
      </c>
      <c r="E476" s="12" t="s">
        <v>26</v>
      </c>
      <c r="F476" s="12" t="s">
        <v>1132</v>
      </c>
      <c r="G476" s="13">
        <v>1809</v>
      </c>
      <c r="H476" s="13"/>
      <c r="I476" s="13"/>
      <c r="J476" s="13">
        <v>1823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1823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390</v>
      </c>
      <c r="D477" s="16" t="s">
        <v>82</v>
      </c>
      <c r="E477" s="12" t="s">
        <v>26</v>
      </c>
      <c r="F477" s="12" t="s">
        <v>391</v>
      </c>
      <c r="G477" s="13">
        <v>1809</v>
      </c>
      <c r="H477" s="13"/>
      <c r="I477" s="13"/>
      <c r="J477" s="13">
        <v>1879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1879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954</v>
      </c>
      <c r="D478" s="16" t="s">
        <v>61</v>
      </c>
      <c r="E478" s="12" t="s">
        <v>26</v>
      </c>
      <c r="F478" s="12" t="s">
        <v>955</v>
      </c>
      <c r="G478" s="13">
        <v>1812</v>
      </c>
      <c r="H478" s="13"/>
      <c r="I478" s="13"/>
      <c r="J478" s="13">
        <v>1795</v>
      </c>
      <c r="K478" s="13">
        <f t="shared" si="92"/>
        <v>0</v>
      </c>
      <c r="L478" s="13">
        <f t="shared" si="93"/>
        <v>1812</v>
      </c>
      <c r="M478" s="13" t="str">
        <f t="shared" si="94"/>
        <v/>
      </c>
      <c r="N478" s="13">
        <f t="shared" si="95"/>
        <v>1795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6</v>
      </c>
      <c r="C479" s="12" t="s">
        <v>906</v>
      </c>
      <c r="D479" s="16" t="s">
        <v>61</v>
      </c>
      <c r="E479" s="12" t="s">
        <v>26</v>
      </c>
      <c r="F479" s="12" t="s">
        <v>907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1170</v>
      </c>
      <c r="D480" s="12" t="s">
        <v>45</v>
      </c>
      <c r="E480" s="12" t="s">
        <v>26</v>
      </c>
      <c r="F480" s="12" t="s">
        <v>1171</v>
      </c>
      <c r="G480" s="13">
        <v>1813</v>
      </c>
      <c r="H480" s="13"/>
      <c r="I480" s="13"/>
      <c r="J480" s="13">
        <v>1799</v>
      </c>
      <c r="K480" s="13">
        <f t="shared" si="92"/>
        <v>0</v>
      </c>
      <c r="L480" s="13">
        <f t="shared" si="93"/>
        <v>1813</v>
      </c>
      <c r="M480" s="13" t="str">
        <f t="shared" si="94"/>
        <v/>
      </c>
      <c r="N480" s="13">
        <f t="shared" si="95"/>
        <v>1799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1022</v>
      </c>
      <c r="D481" s="16" t="s">
        <v>61</v>
      </c>
      <c r="E481" s="12" t="s">
        <v>26</v>
      </c>
      <c r="F481" s="12" t="s">
        <v>1023</v>
      </c>
      <c r="G481" s="13">
        <v>1813</v>
      </c>
      <c r="H481" s="13"/>
      <c r="I481" s="13"/>
      <c r="J481" s="13">
        <v>1800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1800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6</v>
      </c>
      <c r="C482" s="12" t="s">
        <v>1024</v>
      </c>
      <c r="D482" s="12" t="s">
        <v>82</v>
      </c>
      <c r="E482" s="12" t="s">
        <v>26</v>
      </c>
      <c r="F482" s="12" t="s">
        <v>1025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1002</v>
      </c>
      <c r="D483" s="16" t="s">
        <v>52</v>
      </c>
      <c r="E483" s="12" t="s">
        <v>26</v>
      </c>
      <c r="F483" s="12" t="s">
        <v>1003</v>
      </c>
      <c r="G483" s="13">
        <v>1813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12</v>
      </c>
      <c r="C484" s="12" t="s">
        <v>908</v>
      </c>
      <c r="D484" s="12" t="s">
        <v>82</v>
      </c>
      <c r="E484" s="12" t="s">
        <v>26</v>
      </c>
      <c r="F484" s="12" t="s">
        <v>909</v>
      </c>
      <c r="G484" s="13">
        <v>1814</v>
      </c>
      <c r="H484" s="13"/>
      <c r="I484" s="13"/>
      <c r="J484" s="13">
        <v>1788</v>
      </c>
      <c r="K484" s="13">
        <f t="shared" si="92"/>
        <v>0</v>
      </c>
      <c r="L484" s="13">
        <f t="shared" si="93"/>
        <v>1814</v>
      </c>
      <c r="M484" s="13" t="str">
        <f t="shared" si="94"/>
        <v/>
      </c>
      <c r="N484" s="13">
        <f t="shared" si="95"/>
        <v>1788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944</v>
      </c>
      <c r="D485" s="16" t="s">
        <v>61</v>
      </c>
      <c r="E485" s="12" t="s">
        <v>26</v>
      </c>
      <c r="F485" s="12" t="s">
        <v>945</v>
      </c>
      <c r="G485" s="13">
        <v>1814</v>
      </c>
      <c r="H485" s="13"/>
      <c r="I485" s="13"/>
      <c r="J485" s="13">
        <v>1794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1794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1112</v>
      </c>
      <c r="D486" s="16" t="s">
        <v>49</v>
      </c>
      <c r="E486" s="12" t="s">
        <v>26</v>
      </c>
      <c r="F486" s="12" t="s">
        <v>1113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1174</v>
      </c>
      <c r="D487" s="16" t="s">
        <v>49</v>
      </c>
      <c r="E487" s="12" t="s">
        <v>26</v>
      </c>
      <c r="F487" s="12" t="s">
        <v>1175</v>
      </c>
      <c r="G487" s="13">
        <v>1814</v>
      </c>
      <c r="H487" s="13"/>
      <c r="I487" s="13"/>
      <c r="J487" s="13">
        <v>1803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1803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1012</v>
      </c>
      <c r="D488" s="16" t="s">
        <v>49</v>
      </c>
      <c r="E488" s="12" t="s">
        <v>26</v>
      </c>
      <c r="F488" s="12" t="s">
        <v>1013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996</v>
      </c>
      <c r="D489" s="16" t="s">
        <v>49</v>
      </c>
      <c r="E489" s="12" t="s">
        <v>26</v>
      </c>
      <c r="F489" s="12" t="s">
        <v>997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10</v>
      </c>
      <c r="C490" s="12" t="s">
        <v>980</v>
      </c>
      <c r="D490" s="16" t="s">
        <v>49</v>
      </c>
      <c r="E490" s="12" t="s">
        <v>26</v>
      </c>
      <c r="F490" s="12" t="s">
        <v>981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6</v>
      </c>
      <c r="C491" s="12" t="s">
        <v>1127</v>
      </c>
      <c r="D491" s="16" t="s">
        <v>49</v>
      </c>
      <c r="E491" s="12" t="s">
        <v>26</v>
      </c>
      <c r="F491" s="12" t="s">
        <v>1128</v>
      </c>
      <c r="G491" s="13">
        <v>1814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1073</v>
      </c>
      <c r="D492" s="16" t="s">
        <v>49</v>
      </c>
      <c r="E492" s="12" t="s">
        <v>26</v>
      </c>
      <c r="F492" s="12" t="s">
        <v>1074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1089</v>
      </c>
      <c r="D493" s="16" t="s">
        <v>137</v>
      </c>
      <c r="E493" s="12" t="s">
        <v>26</v>
      </c>
      <c r="F493" s="12" t="s">
        <v>1090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918</v>
      </c>
      <c r="D494" s="16" t="s">
        <v>49</v>
      </c>
      <c r="E494" s="12" t="s">
        <v>70</v>
      </c>
      <c r="F494" s="12" t="s">
        <v>1116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910</v>
      </c>
      <c r="D495" s="16" t="s">
        <v>82</v>
      </c>
      <c r="E495" s="12" t="s">
        <v>26</v>
      </c>
      <c r="F495" s="12" t="s">
        <v>911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1010</v>
      </c>
      <c r="D496" s="16" t="s">
        <v>52</v>
      </c>
      <c r="E496" s="12" t="s">
        <v>26</v>
      </c>
      <c r="F496" s="12" t="s">
        <v>1011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1431</v>
      </c>
      <c r="D497" s="12" t="s">
        <v>82</v>
      </c>
      <c r="E497" s="12" t="s">
        <v>70</v>
      </c>
      <c r="F497" s="12" t="s">
        <v>1432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922</v>
      </c>
      <c r="D498" s="16" t="s">
        <v>52</v>
      </c>
      <c r="E498" s="12" t="s">
        <v>26</v>
      </c>
      <c r="F498" s="12" t="s">
        <v>923</v>
      </c>
      <c r="G498" s="13">
        <v>1815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1137</v>
      </c>
      <c r="D499" s="12" t="s">
        <v>82</v>
      </c>
      <c r="E499" s="12" t="s">
        <v>26</v>
      </c>
      <c r="F499" s="12" t="s">
        <v>1138</v>
      </c>
      <c r="G499" s="13">
        <v>1815</v>
      </c>
      <c r="H499" s="13"/>
      <c r="I499" s="13"/>
      <c r="J499" s="13">
        <v>1802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1802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930</v>
      </c>
      <c r="D500" s="16" t="s">
        <v>49</v>
      </c>
      <c r="E500" s="12" t="s">
        <v>26</v>
      </c>
      <c r="F500" s="12" t="s">
        <v>931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12</v>
      </c>
      <c r="C501" s="12" t="s">
        <v>932</v>
      </c>
      <c r="D501" s="16" t="s">
        <v>49</v>
      </c>
      <c r="E501" s="12" t="s">
        <v>26</v>
      </c>
      <c r="F501" s="12" t="s">
        <v>933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14</v>
      </c>
      <c r="C502" s="12" t="s">
        <v>1190</v>
      </c>
      <c r="D502" s="12" t="s">
        <v>82</v>
      </c>
      <c r="E502" s="12" t="s">
        <v>26</v>
      </c>
      <c r="F502" s="12" t="s">
        <v>1191</v>
      </c>
      <c r="G502" s="13">
        <v>1815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1040</v>
      </c>
      <c r="D503" s="16" t="s">
        <v>49</v>
      </c>
      <c r="E503" s="12" t="s">
        <v>26</v>
      </c>
      <c r="F503" s="12" t="s">
        <v>1041</v>
      </c>
      <c r="G503" s="13">
        <v>1815</v>
      </c>
      <c r="H503" s="13"/>
      <c r="I503" s="13"/>
      <c r="J503" s="13">
        <v>1825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1825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12</v>
      </c>
      <c r="C504" s="12" t="s">
        <v>946</v>
      </c>
      <c r="D504" s="16" t="s">
        <v>52</v>
      </c>
      <c r="E504" s="12" t="s">
        <v>26</v>
      </c>
      <c r="F504" s="12" t="s">
        <v>947</v>
      </c>
      <c r="G504" s="13">
        <v>1816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1816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984</v>
      </c>
      <c r="D505" s="12" t="s">
        <v>82</v>
      </c>
      <c r="E505" s="12" t="s">
        <v>70</v>
      </c>
      <c r="F505" s="12" t="s">
        <v>985</v>
      </c>
      <c r="G505" s="13">
        <v>1817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1817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986</v>
      </c>
      <c r="D506" s="16" t="s">
        <v>61</v>
      </c>
      <c r="E506" s="12" t="s">
        <v>26</v>
      </c>
      <c r="F506" s="12" t="s">
        <v>987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992</v>
      </c>
      <c r="D507" s="16" t="s">
        <v>52</v>
      </c>
      <c r="E507" s="12" t="s">
        <v>26</v>
      </c>
      <c r="F507" s="12" t="s">
        <v>993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990</v>
      </c>
      <c r="D508" s="16" t="s">
        <v>61</v>
      </c>
      <c r="E508" s="12" t="s">
        <v>26</v>
      </c>
      <c r="F508" s="12" t="s">
        <v>991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17" customFormat="1" ht="28.5" customHeight="1">
      <c r="A509" s="12" t="str">
        <f t="shared" si="91"/>
        <v/>
      </c>
      <c r="B509" s="12" t="s">
        <v>6</v>
      </c>
      <c r="C509" s="12" t="s">
        <v>1262</v>
      </c>
      <c r="D509" s="16" t="s">
        <v>52</v>
      </c>
      <c r="E509" s="12" t="s">
        <v>26</v>
      </c>
      <c r="F509" s="12" t="s">
        <v>1263</v>
      </c>
      <c r="G509" s="13">
        <v>1818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1818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8" customFormat="1" ht="28.5" customHeight="1">
      <c r="A510" s="12" t="str">
        <f t="shared" si="91"/>
        <v/>
      </c>
      <c r="B510" s="12" t="s">
        <v>6</v>
      </c>
      <c r="C510" s="12" t="s">
        <v>1260</v>
      </c>
      <c r="D510" s="16" t="s">
        <v>52</v>
      </c>
      <c r="E510" s="12" t="s">
        <v>26</v>
      </c>
      <c r="F510" s="12" t="s">
        <v>1261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10</v>
      </c>
      <c r="C511" s="12" t="s">
        <v>1340</v>
      </c>
      <c r="D511" s="16" t="s">
        <v>49</v>
      </c>
      <c r="E511" s="12" t="s">
        <v>26</v>
      </c>
      <c r="F511" s="12" t="s">
        <v>1341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12</v>
      </c>
      <c r="C512" s="12" t="s">
        <v>934</v>
      </c>
      <c r="D512" s="16" t="s">
        <v>49</v>
      </c>
      <c r="E512" s="12" t="s">
        <v>26</v>
      </c>
      <c r="F512" s="12" t="s">
        <v>935</v>
      </c>
      <c r="G512" s="13">
        <v>1818</v>
      </c>
      <c r="H512" s="13"/>
      <c r="I512" s="13"/>
      <c r="J512" s="13">
        <v>1805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1805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1059</v>
      </c>
      <c r="D513" s="12" t="s">
        <v>82</v>
      </c>
      <c r="E513" s="12" t="s">
        <v>26</v>
      </c>
      <c r="F513" s="12" t="s">
        <v>1060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1061</v>
      </c>
      <c r="D514" s="16" t="s">
        <v>49</v>
      </c>
      <c r="E514" s="12" t="s">
        <v>26</v>
      </c>
      <c r="F514" s="12" t="s">
        <v>1062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1063</v>
      </c>
      <c r="D515" s="16" t="s">
        <v>49</v>
      </c>
      <c r="E515" s="12" t="s">
        <v>26</v>
      </c>
      <c r="F515" s="12" t="s">
        <v>1064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1196</v>
      </c>
      <c r="D516" s="12" t="s">
        <v>82</v>
      </c>
      <c r="E516" s="12" t="s">
        <v>26</v>
      </c>
      <c r="F516" s="12" t="s">
        <v>1197</v>
      </c>
      <c r="G516" s="13">
        <v>1819</v>
      </c>
      <c r="H516" s="13"/>
      <c r="I516" s="13"/>
      <c r="J516" s="13">
        <v>1791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1791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958</v>
      </c>
      <c r="D517" s="16" t="s">
        <v>52</v>
      </c>
      <c r="E517" s="12" t="s">
        <v>26</v>
      </c>
      <c r="F517" s="12" t="s">
        <v>959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6</v>
      </c>
      <c r="C518" s="12" t="s">
        <v>960</v>
      </c>
      <c r="D518" s="12" t="s">
        <v>82</v>
      </c>
      <c r="E518" s="12" t="s">
        <v>26</v>
      </c>
      <c r="F518" s="12" t="s">
        <v>961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952</v>
      </c>
      <c r="D519" s="16" t="s">
        <v>49</v>
      </c>
      <c r="E519" s="12" t="s">
        <v>26</v>
      </c>
      <c r="F519" s="12" t="s">
        <v>953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976</v>
      </c>
      <c r="D520" s="16" t="s">
        <v>61</v>
      </c>
      <c r="E520" s="12" t="s">
        <v>26</v>
      </c>
      <c r="F520" s="12" t="s">
        <v>977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90</v>
      </c>
      <c r="D521" s="12" t="s">
        <v>45</v>
      </c>
      <c r="E521" s="12" t="s">
        <v>26</v>
      </c>
      <c r="F521" s="12" t="s">
        <v>1200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1081</v>
      </c>
      <c r="D522" s="16" t="s">
        <v>49</v>
      </c>
      <c r="E522" s="12" t="s">
        <v>26</v>
      </c>
      <c r="F522" s="12" t="s">
        <v>1082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10</v>
      </c>
      <c r="C523" s="12" t="s">
        <v>625</v>
      </c>
      <c r="D523" s="12" t="s">
        <v>45</v>
      </c>
      <c r="E523" s="12" t="s">
        <v>26</v>
      </c>
      <c r="F523" s="12" t="s">
        <v>1065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1221</v>
      </c>
      <c r="D524" s="16" t="s">
        <v>49</v>
      </c>
      <c r="E524" s="12" t="s">
        <v>26</v>
      </c>
      <c r="F524" s="12" t="s">
        <v>1222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10</v>
      </c>
      <c r="C525" s="12" t="s">
        <v>974</v>
      </c>
      <c r="D525" s="16" t="s">
        <v>61</v>
      </c>
      <c r="E525" s="12" t="s">
        <v>26</v>
      </c>
      <c r="F525" s="12" t="s">
        <v>975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1232</v>
      </c>
      <c r="D526" s="12" t="s">
        <v>45</v>
      </c>
      <c r="E526" s="12" t="s">
        <v>26</v>
      </c>
      <c r="F526" s="12" t="s">
        <v>1233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10</v>
      </c>
      <c r="C527" s="12" t="s">
        <v>1234</v>
      </c>
      <c r="D527" s="16" t="s">
        <v>52</v>
      </c>
      <c r="E527" s="12" t="s">
        <v>26</v>
      </c>
      <c r="F527" s="12" t="s">
        <v>1235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1123</v>
      </c>
      <c r="D528" s="16" t="s">
        <v>49</v>
      </c>
      <c r="E528" s="12" t="s">
        <v>26</v>
      </c>
      <c r="F528" s="12" t="s">
        <v>1124</v>
      </c>
      <c r="G528" s="13">
        <v>1819</v>
      </c>
      <c r="H528" s="13"/>
      <c r="I528" s="13"/>
      <c r="J528" s="13">
        <v>1807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1807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978</v>
      </c>
      <c r="D529" s="12" t="s">
        <v>137</v>
      </c>
      <c r="E529" s="12" t="s">
        <v>26</v>
      </c>
      <c r="F529" s="12" t="s">
        <v>979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6</v>
      </c>
      <c r="C530" s="12" t="s">
        <v>1085</v>
      </c>
      <c r="D530" s="16" t="s">
        <v>52</v>
      </c>
      <c r="E530" s="12" t="s">
        <v>26</v>
      </c>
      <c r="F530" s="12" t="s">
        <v>1086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8</v>
      </c>
      <c r="C531" s="12" t="s">
        <v>1034</v>
      </c>
      <c r="D531" s="12" t="s">
        <v>82</v>
      </c>
      <c r="E531" s="12" t="s">
        <v>26</v>
      </c>
      <c r="F531" s="12" t="s">
        <v>1035</v>
      </c>
      <c r="G531" s="13">
        <v>1819</v>
      </c>
      <c r="H531" s="13"/>
      <c r="I531" s="13"/>
      <c r="J531" s="13">
        <v>1815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1815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1505</v>
      </c>
      <c r="D532" s="16" t="s">
        <v>49</v>
      </c>
      <c r="E532" s="12" t="s">
        <v>26</v>
      </c>
      <c r="F532" s="12" t="s">
        <v>1506</v>
      </c>
      <c r="G532" s="13">
        <v>1819</v>
      </c>
      <c r="H532" s="13"/>
      <c r="I532" s="13"/>
      <c r="J532" s="13">
        <v>1839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1839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18</v>
      </c>
      <c r="C533" s="12" t="s">
        <v>1117</v>
      </c>
      <c r="D533" s="16" t="s">
        <v>61</v>
      </c>
      <c r="E533" s="12" t="s">
        <v>26</v>
      </c>
      <c r="F533" s="12" t="s">
        <v>1118</v>
      </c>
      <c r="G533" s="13">
        <v>1822</v>
      </c>
      <c r="H533" s="13"/>
      <c r="I533" s="13"/>
      <c r="J533" s="13">
        <v>1802</v>
      </c>
      <c r="K533" s="13">
        <f t="shared" si="105"/>
        <v>0</v>
      </c>
      <c r="L533" s="13">
        <f t="shared" si="106"/>
        <v>1822</v>
      </c>
      <c r="M533" s="13" t="str">
        <f t="shared" si="107"/>
        <v/>
      </c>
      <c r="N533" s="13">
        <f t="shared" si="108"/>
        <v>1802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1223</v>
      </c>
      <c r="D534" s="12" t="s">
        <v>82</v>
      </c>
      <c r="E534" s="12" t="s">
        <v>26</v>
      </c>
      <c r="F534" s="12" t="s">
        <v>1224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1230</v>
      </c>
      <c r="D535" s="12" t="s">
        <v>45</v>
      </c>
      <c r="E535" s="12" t="s">
        <v>26</v>
      </c>
      <c r="F535" s="12" t="s">
        <v>1231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14</v>
      </c>
      <c r="C536" s="12" t="s">
        <v>988</v>
      </c>
      <c r="D536" s="16" t="s">
        <v>49</v>
      </c>
      <c r="E536" s="12" t="s">
        <v>26</v>
      </c>
      <c r="F536" s="12" t="s">
        <v>989</v>
      </c>
      <c r="G536" s="13">
        <v>1823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10</v>
      </c>
      <c r="C537" s="12" t="s">
        <v>1244</v>
      </c>
      <c r="D537" s="12" t="s">
        <v>137</v>
      </c>
      <c r="E537" s="12" t="s">
        <v>26</v>
      </c>
      <c r="F537" s="12" t="s">
        <v>1245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982</v>
      </c>
      <c r="D538" s="12" t="s">
        <v>82</v>
      </c>
      <c r="E538" s="12" t="s">
        <v>26</v>
      </c>
      <c r="F538" s="12" t="s">
        <v>983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6</v>
      </c>
      <c r="C539" s="12" t="s">
        <v>994</v>
      </c>
      <c r="D539" s="12" t="s">
        <v>82</v>
      </c>
      <c r="E539" s="12" t="s">
        <v>26</v>
      </c>
      <c r="F539" s="12" t="s">
        <v>995</v>
      </c>
      <c r="G539" s="13">
        <v>1824</v>
      </c>
      <c r="H539" s="13"/>
      <c r="I539" s="13"/>
      <c r="J539" s="13">
        <v>1814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1748</v>
      </c>
      <c r="D540" s="16" t="s">
        <v>49</v>
      </c>
      <c r="E540" s="12" t="s">
        <v>26</v>
      </c>
      <c r="F540" s="12" t="s">
        <v>1390</v>
      </c>
      <c r="G540" s="13">
        <v>1824</v>
      </c>
      <c r="H540" s="13"/>
      <c r="I540" s="13"/>
      <c r="J540" s="13">
        <v>1847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1847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1004</v>
      </c>
      <c r="D541" s="12" t="s">
        <v>82</v>
      </c>
      <c r="E541" s="12" t="s">
        <v>26</v>
      </c>
      <c r="F541" s="12" t="s">
        <v>1005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1006</v>
      </c>
      <c r="D542" s="16" t="s">
        <v>49</v>
      </c>
      <c r="E542" s="12" t="s">
        <v>26</v>
      </c>
      <c r="F542" s="12" t="s">
        <v>1007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1008</v>
      </c>
      <c r="D543" s="16" t="s">
        <v>49</v>
      </c>
      <c r="E543" s="12" t="s">
        <v>26</v>
      </c>
      <c r="F543" s="12" t="s">
        <v>1009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1038</v>
      </c>
      <c r="D544" s="12" t="s">
        <v>82</v>
      </c>
      <c r="E544" s="12" t="s">
        <v>26</v>
      </c>
      <c r="F544" s="12" t="s">
        <v>1039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1014</v>
      </c>
      <c r="D545" s="16" t="s">
        <v>49</v>
      </c>
      <c r="E545" s="12" t="s">
        <v>26</v>
      </c>
      <c r="F545" s="12" t="s">
        <v>1015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1016</v>
      </c>
      <c r="D546" s="12" t="s">
        <v>45</v>
      </c>
      <c r="E546" s="12" t="s">
        <v>26</v>
      </c>
      <c r="F546" s="12" t="s">
        <v>1017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441</v>
      </c>
      <c r="D547" s="12" t="s">
        <v>82</v>
      </c>
      <c r="E547" s="12" t="s">
        <v>26</v>
      </c>
      <c r="F547" s="12" t="s">
        <v>442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1114</v>
      </c>
      <c r="D548" s="16" t="s">
        <v>49</v>
      </c>
      <c r="E548" s="12" t="s">
        <v>26</v>
      </c>
      <c r="F548" s="12" t="s">
        <v>1115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1188</v>
      </c>
      <c r="D549" s="12" t="s">
        <v>45</v>
      </c>
      <c r="E549" s="12" t="s">
        <v>26</v>
      </c>
      <c r="F549" s="12" t="s">
        <v>1189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1018</v>
      </c>
      <c r="D550" s="16" t="s">
        <v>49</v>
      </c>
      <c r="E550" s="12" t="s">
        <v>26</v>
      </c>
      <c r="F550" s="12" t="s">
        <v>1019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1121</v>
      </c>
      <c r="D551" s="16" t="s">
        <v>49</v>
      </c>
      <c r="E551" s="12" t="s">
        <v>26</v>
      </c>
      <c r="F551" s="12" t="s">
        <v>1122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1026</v>
      </c>
      <c r="D552" s="12" t="s">
        <v>306</v>
      </c>
      <c r="E552" s="12" t="s">
        <v>26</v>
      </c>
      <c r="F552" s="12" t="s">
        <v>1027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1028</v>
      </c>
      <c r="D553" s="16" t="s">
        <v>52</v>
      </c>
      <c r="E553" s="12" t="s">
        <v>26</v>
      </c>
      <c r="F553" s="12" t="s">
        <v>1029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1030</v>
      </c>
      <c r="D554" s="12" t="s">
        <v>45</v>
      </c>
      <c r="E554" s="12" t="s">
        <v>26</v>
      </c>
      <c r="F554" s="12" t="s">
        <v>1031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836</v>
      </c>
      <c r="D555" s="16" t="s">
        <v>49</v>
      </c>
      <c r="E555" s="12" t="s">
        <v>26</v>
      </c>
      <c r="F555" s="12" t="s">
        <v>1382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1032</v>
      </c>
      <c r="D556" s="12" t="s">
        <v>82</v>
      </c>
      <c r="E556" s="12" t="s">
        <v>26</v>
      </c>
      <c r="F556" s="12" t="s">
        <v>1033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1036</v>
      </c>
      <c r="D557" s="16" t="s">
        <v>82</v>
      </c>
      <c r="E557" s="12" t="s">
        <v>26</v>
      </c>
      <c r="F557" s="12" t="s">
        <v>1037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1156</v>
      </c>
      <c r="D558" s="16" t="s">
        <v>49</v>
      </c>
      <c r="E558" s="12" t="s">
        <v>26</v>
      </c>
      <c r="F558" s="12" t="s">
        <v>1157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1147</v>
      </c>
      <c r="D559" s="12" t="s">
        <v>82</v>
      </c>
      <c r="E559" s="12" t="s">
        <v>26</v>
      </c>
      <c r="F559" s="12" t="s">
        <v>1148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1151</v>
      </c>
      <c r="D560" s="16" t="s">
        <v>52</v>
      </c>
      <c r="E560" s="12" t="s">
        <v>26</v>
      </c>
      <c r="F560" s="12" t="s">
        <v>1152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1548</v>
      </c>
      <c r="D561" s="16" t="s">
        <v>49</v>
      </c>
      <c r="E561" s="12" t="s">
        <v>26</v>
      </c>
      <c r="F561" s="12" t="s">
        <v>1549</v>
      </c>
      <c r="G561" s="13">
        <v>1827</v>
      </c>
      <c r="H561" s="13"/>
      <c r="I561" s="13"/>
      <c r="J561" s="13">
        <v>1814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1814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12</v>
      </c>
      <c r="C562" s="12" t="s">
        <v>1042</v>
      </c>
      <c r="D562" s="16" t="s">
        <v>61</v>
      </c>
      <c r="E562" s="12" t="s">
        <v>26</v>
      </c>
      <c r="F562" s="12" t="s">
        <v>1043</v>
      </c>
      <c r="G562" s="13">
        <v>1827</v>
      </c>
      <c r="H562" s="13"/>
      <c r="I562" s="13"/>
      <c r="J562" s="13">
        <v>1815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</v>
      </c>
      <c r="D563" s="12" t="s">
        <v>82</v>
      </c>
      <c r="E563" s="12" t="s">
        <v>26</v>
      </c>
      <c r="F563" s="12" t="s">
        <v>1257</v>
      </c>
      <c r="G563" s="13">
        <v>1827</v>
      </c>
      <c r="H563" s="13"/>
      <c r="I563" s="13"/>
      <c r="J563" s="13">
        <v>1817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8</v>
      </c>
      <c r="C564" s="12" t="s">
        <v>1328</v>
      </c>
      <c r="D564" s="16" t="s">
        <v>49</v>
      </c>
      <c r="E564" s="12" t="s">
        <v>26</v>
      </c>
      <c r="F564" s="12" t="s">
        <v>1329</v>
      </c>
      <c r="G564" s="13">
        <v>1828</v>
      </c>
      <c r="H564" s="13"/>
      <c r="I564" s="13"/>
      <c r="J564" s="13">
        <v>1805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1805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1044</v>
      </c>
      <c r="D565" s="12" t="s">
        <v>281</v>
      </c>
      <c r="E565" s="12" t="s">
        <v>70</v>
      </c>
      <c r="F565" s="12" t="s">
        <v>1045</v>
      </c>
      <c r="G565" s="13">
        <v>1828</v>
      </c>
      <c r="H565" s="13"/>
      <c r="I565" s="13"/>
      <c r="J565" s="13">
        <v>1812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1102</v>
      </c>
      <c r="D566" s="16" t="s">
        <v>61</v>
      </c>
      <c r="E566" s="12" t="s">
        <v>26</v>
      </c>
      <c r="F566" s="12" t="s">
        <v>1103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1046</v>
      </c>
      <c r="D567" s="16" t="s">
        <v>49</v>
      </c>
      <c r="E567" s="12" t="s">
        <v>26</v>
      </c>
      <c r="F567" s="12" t="s">
        <v>1047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1048</v>
      </c>
      <c r="D568" s="16" t="s">
        <v>49</v>
      </c>
      <c r="E568" s="12" t="s">
        <v>26</v>
      </c>
      <c r="F568" s="12" t="s">
        <v>1049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1322</v>
      </c>
      <c r="D569" s="16" t="s">
        <v>49</v>
      </c>
      <c r="E569" s="12" t="s">
        <v>26</v>
      </c>
      <c r="F569" s="12" t="s">
        <v>1323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1324</v>
      </c>
      <c r="D570" s="12" t="s">
        <v>82</v>
      </c>
      <c r="E570" s="12" t="s">
        <v>26</v>
      </c>
      <c r="F570" s="12" t="s">
        <v>1325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1182</v>
      </c>
      <c r="D571" s="16" t="s">
        <v>61</v>
      </c>
      <c r="E571" s="12" t="s">
        <v>26</v>
      </c>
      <c r="F571" s="12" t="s">
        <v>1183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1050</v>
      </c>
      <c r="D572" s="16" t="s">
        <v>61</v>
      </c>
      <c r="E572" s="12" t="s">
        <v>26</v>
      </c>
      <c r="F572" s="12" t="s">
        <v>1051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1052</v>
      </c>
      <c r="D573" s="12" t="s">
        <v>82</v>
      </c>
      <c r="E573" s="12" t="s">
        <v>26</v>
      </c>
      <c r="F573" s="12" t="s">
        <v>1053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348</v>
      </c>
      <c r="D574" s="16" t="s">
        <v>49</v>
      </c>
      <c r="E574" s="12" t="s">
        <v>70</v>
      </c>
      <c r="F574" s="12" t="s">
        <v>1054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1425</v>
      </c>
      <c r="D575" s="16" t="s">
        <v>61</v>
      </c>
      <c r="E575" s="12" t="s">
        <v>26</v>
      </c>
      <c r="F575" s="12" t="s">
        <v>1426</v>
      </c>
      <c r="G575" s="13">
        <v>1828</v>
      </c>
      <c r="H575" s="13"/>
      <c r="I575" s="13"/>
      <c r="J575" s="13">
        <v>1838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1838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10</v>
      </c>
      <c r="C576" s="12" t="s">
        <v>1057</v>
      </c>
      <c r="D576" s="16" t="s">
        <v>52</v>
      </c>
      <c r="E576" s="12" t="s">
        <v>26</v>
      </c>
      <c r="F576" s="12" t="s">
        <v>1058</v>
      </c>
      <c r="G576" s="13">
        <v>1829</v>
      </c>
      <c r="H576" s="13"/>
      <c r="I576" s="13"/>
      <c r="J576" s="13">
        <v>1798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14</v>
      </c>
      <c r="C577" s="12" t="s">
        <v>1071</v>
      </c>
      <c r="D577" s="12" t="s">
        <v>82</v>
      </c>
      <c r="E577" s="12" t="s">
        <v>70</v>
      </c>
      <c r="F577" s="12" t="s">
        <v>1072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8" customFormat="1" ht="28.5" customHeight="1">
      <c r="A578" s="12" t="str">
        <f t="shared" si="104"/>
        <v/>
      </c>
      <c r="B578" s="12" t="s">
        <v>10</v>
      </c>
      <c r="C578" s="12" t="s">
        <v>1192</v>
      </c>
      <c r="D578" s="12" t="s">
        <v>45</v>
      </c>
      <c r="E578" s="12" t="s">
        <v>26</v>
      </c>
      <c r="F578" s="12" t="s">
        <v>1193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10</v>
      </c>
      <c r="C579" s="12" t="s">
        <v>1366</v>
      </c>
      <c r="D579" s="16" t="s">
        <v>49</v>
      </c>
      <c r="E579" s="12" t="s">
        <v>26</v>
      </c>
      <c r="F579" s="12" t="s">
        <v>1367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1213</v>
      </c>
      <c r="D580" s="16" t="s">
        <v>49</v>
      </c>
      <c r="E580" s="12" t="s">
        <v>26</v>
      </c>
      <c r="F580" s="12" t="s">
        <v>1214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1068</v>
      </c>
      <c r="D581" s="16" t="s">
        <v>52</v>
      </c>
      <c r="E581" s="12" t="s">
        <v>26</v>
      </c>
      <c r="F581" s="12" t="s">
        <v>1069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1104</v>
      </c>
      <c r="D582" s="12" t="s">
        <v>82</v>
      </c>
      <c r="E582" s="12" t="s">
        <v>26</v>
      </c>
      <c r="F582" s="12" t="s">
        <v>1105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573</v>
      </c>
      <c r="D583" s="12" t="s">
        <v>82</v>
      </c>
      <c r="E583" s="12" t="s">
        <v>26</v>
      </c>
      <c r="F583" s="12" t="s">
        <v>1070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1276</v>
      </c>
      <c r="D584" s="16" t="s">
        <v>52</v>
      </c>
      <c r="E584" s="12" t="s">
        <v>26</v>
      </c>
      <c r="F584" s="12" t="s">
        <v>1277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1184</v>
      </c>
      <c r="D585" s="16" t="s">
        <v>52</v>
      </c>
      <c r="E585" s="12" t="s">
        <v>26</v>
      </c>
      <c r="F585" s="12" t="s">
        <v>1185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1100</v>
      </c>
      <c r="D586" s="12" t="s">
        <v>82</v>
      </c>
      <c r="E586" s="12" t="s">
        <v>26</v>
      </c>
      <c r="F586" s="12" t="s">
        <v>1101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18</v>
      </c>
      <c r="C587" s="12" t="s">
        <v>1211</v>
      </c>
      <c r="D587" s="16" t="s">
        <v>49</v>
      </c>
      <c r="E587" s="12" t="s">
        <v>26</v>
      </c>
      <c r="F587" s="12" t="s">
        <v>1212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1075</v>
      </c>
      <c r="D588" s="16" t="s">
        <v>49</v>
      </c>
      <c r="E588" s="12" t="s">
        <v>26</v>
      </c>
      <c r="F588" s="12" t="s">
        <v>1076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1077</v>
      </c>
      <c r="D589" s="16" t="s">
        <v>61</v>
      </c>
      <c r="E589" s="12" t="s">
        <v>26</v>
      </c>
      <c r="F589" s="12" t="s">
        <v>1078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1079</v>
      </c>
      <c r="D590" s="12" t="s">
        <v>45</v>
      </c>
      <c r="E590" s="12" t="s">
        <v>26</v>
      </c>
      <c r="F590" s="12" t="s">
        <v>1080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12</v>
      </c>
      <c r="C591" s="12" t="s">
        <v>1215</v>
      </c>
      <c r="D591" s="16" t="s">
        <v>82</v>
      </c>
      <c r="E591" s="12" t="s">
        <v>26</v>
      </c>
      <c r="F591" s="12" t="s">
        <v>1216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1217</v>
      </c>
      <c r="D592" s="16" t="s">
        <v>49</v>
      </c>
      <c r="E592" s="12" t="s">
        <v>26</v>
      </c>
      <c r="F592" s="12" t="s">
        <v>1218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1225</v>
      </c>
      <c r="D593" s="12" t="s">
        <v>82</v>
      </c>
      <c r="E593" s="12" t="s">
        <v>26</v>
      </c>
      <c r="F593" s="12" t="s">
        <v>1226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1228</v>
      </c>
      <c r="D594" s="16" t="s">
        <v>61</v>
      </c>
      <c r="E594" s="12" t="s">
        <v>26</v>
      </c>
      <c r="F594" s="12" t="s">
        <v>1229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1206</v>
      </c>
      <c r="D595" s="16" t="s">
        <v>49</v>
      </c>
      <c r="E595" s="12" t="s">
        <v>26</v>
      </c>
      <c r="F595" s="12" t="s">
        <v>1207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1083</v>
      </c>
      <c r="D596" s="12" t="s">
        <v>137</v>
      </c>
      <c r="E596" s="12" t="s">
        <v>26</v>
      </c>
      <c r="F596" s="12" t="s">
        <v>1084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1020</v>
      </c>
      <c r="D597" s="12" t="s">
        <v>137</v>
      </c>
      <c r="E597" s="12" t="s">
        <v>26</v>
      </c>
      <c r="F597" s="12" t="s">
        <v>1021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1370</v>
      </c>
      <c r="D598" s="16" t="s">
        <v>61</v>
      </c>
      <c r="E598" s="12" t="s">
        <v>26</v>
      </c>
      <c r="F598" s="12" t="s">
        <v>1371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1087</v>
      </c>
      <c r="D599" s="16" t="s">
        <v>49</v>
      </c>
      <c r="E599" s="12" t="s">
        <v>26</v>
      </c>
      <c r="F599" s="12" t="s">
        <v>1088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368</v>
      </c>
      <c r="D600" s="16" t="s">
        <v>61</v>
      </c>
      <c r="E600" s="12" t="s">
        <v>26</v>
      </c>
      <c r="F600" s="12" t="s">
        <v>1091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1092</v>
      </c>
      <c r="D601" s="12" t="s">
        <v>82</v>
      </c>
      <c r="E601" s="12" t="s">
        <v>26</v>
      </c>
      <c r="F601" s="12" t="s">
        <v>1093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1348</v>
      </c>
      <c r="D602" s="12" t="s">
        <v>45</v>
      </c>
      <c r="E602" s="12" t="s">
        <v>26</v>
      </c>
      <c r="F602" s="12" t="s">
        <v>1349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1312</v>
      </c>
      <c r="D603" s="16" t="s">
        <v>52</v>
      </c>
      <c r="E603" s="12" t="s">
        <v>26</v>
      </c>
      <c r="F603" s="12" t="s">
        <v>1313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1094</v>
      </c>
      <c r="D604" s="16" t="s">
        <v>49</v>
      </c>
      <c r="E604" s="12" t="s">
        <v>26</v>
      </c>
      <c r="F604" s="12" t="s">
        <v>1095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1096</v>
      </c>
      <c r="D605" s="16" t="s">
        <v>137</v>
      </c>
      <c r="E605" s="12" t="s">
        <v>26</v>
      </c>
      <c r="F605" s="12" t="s">
        <v>1097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1098</v>
      </c>
      <c r="D606" s="16" t="s">
        <v>137</v>
      </c>
      <c r="E606" s="12" t="s">
        <v>26</v>
      </c>
      <c r="F606" s="12" t="s">
        <v>1099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1374</v>
      </c>
      <c r="D607" s="12" t="s">
        <v>281</v>
      </c>
      <c r="E607" s="12" t="s">
        <v>26</v>
      </c>
      <c r="F607" s="12" t="s">
        <v>1375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1376</v>
      </c>
      <c r="D608" s="12" t="s">
        <v>281</v>
      </c>
      <c r="E608" s="12" t="s">
        <v>26</v>
      </c>
      <c r="F608" s="12" t="s">
        <v>1377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1141</v>
      </c>
      <c r="D609" s="16" t="s">
        <v>49</v>
      </c>
      <c r="E609" s="12" t="s">
        <v>26</v>
      </c>
      <c r="F609" s="12" t="s">
        <v>1142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513</v>
      </c>
      <c r="D610" s="12" t="s">
        <v>82</v>
      </c>
      <c r="E610" s="12" t="s">
        <v>26</v>
      </c>
      <c r="F610" s="12" t="s">
        <v>1201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1354</v>
      </c>
      <c r="D611" s="12" t="s">
        <v>306</v>
      </c>
      <c r="E611" s="12" t="s">
        <v>26</v>
      </c>
      <c r="F611" s="12" t="s">
        <v>1355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1106</v>
      </c>
      <c r="D612" s="12" t="s">
        <v>306</v>
      </c>
      <c r="E612" s="12" t="s">
        <v>26</v>
      </c>
      <c r="F612" s="12" t="s">
        <v>1107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18</v>
      </c>
      <c r="C613" s="12" t="s">
        <v>1110</v>
      </c>
      <c r="D613" s="16" t="s">
        <v>49</v>
      </c>
      <c r="E613" s="12" t="s">
        <v>26</v>
      </c>
      <c r="F613" s="12" t="s">
        <v>1111</v>
      </c>
      <c r="G613" s="13">
        <v>1832</v>
      </c>
      <c r="H613" s="13"/>
      <c r="I613" s="13"/>
      <c r="J613" s="13">
        <v>1812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1812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880</v>
      </c>
      <c r="D614" s="16" t="s">
        <v>49</v>
      </c>
      <c r="E614" s="12" t="s">
        <v>26</v>
      </c>
      <c r="F614" s="12" t="s">
        <v>881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1108</v>
      </c>
      <c r="D615" s="12" t="s">
        <v>82</v>
      </c>
      <c r="E615" s="12" t="s">
        <v>26</v>
      </c>
      <c r="F615" s="12" t="s">
        <v>1109</v>
      </c>
      <c r="G615" s="13">
        <v>1832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14</v>
      </c>
      <c r="C616" s="12" t="s">
        <v>1266</v>
      </c>
      <c r="D616" s="16" t="s">
        <v>52</v>
      </c>
      <c r="E616" s="12" t="s">
        <v>26</v>
      </c>
      <c r="F616" s="12" t="s">
        <v>1267</v>
      </c>
      <c r="G616" s="13">
        <v>1833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1833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14</v>
      </c>
      <c r="C617" s="12" t="s">
        <v>1314</v>
      </c>
      <c r="D617" s="12" t="s">
        <v>82</v>
      </c>
      <c r="E617" s="12" t="s">
        <v>26</v>
      </c>
      <c r="F617" s="12" t="s">
        <v>1315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12</v>
      </c>
      <c r="C618" s="12" t="s">
        <v>1172</v>
      </c>
      <c r="D618" s="12" t="s">
        <v>82</v>
      </c>
      <c r="E618" s="12" t="s">
        <v>26</v>
      </c>
      <c r="F618" s="12" t="s">
        <v>1173</v>
      </c>
      <c r="G618" s="13">
        <v>1834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1264</v>
      </c>
      <c r="D619" s="16" t="s">
        <v>52</v>
      </c>
      <c r="E619" s="12" t="s">
        <v>26</v>
      </c>
      <c r="F619" s="12" t="s">
        <v>1265</v>
      </c>
      <c r="G619" s="13">
        <v>1834</v>
      </c>
      <c r="H619" s="13"/>
      <c r="I619" s="13"/>
      <c r="J619" s="13">
        <v>1810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1810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1125</v>
      </c>
      <c r="D620" s="12" t="s">
        <v>82</v>
      </c>
      <c r="E620" s="12" t="s">
        <v>26</v>
      </c>
      <c r="F620" s="12" t="s">
        <v>1126</v>
      </c>
      <c r="G620" s="13">
        <v>1834</v>
      </c>
      <c r="H620" s="13"/>
      <c r="I620" s="13"/>
      <c r="J620" s="13">
        <v>1822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1822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12</v>
      </c>
      <c r="C621" s="12" t="s">
        <v>1135</v>
      </c>
      <c r="D621" s="12" t="s">
        <v>306</v>
      </c>
      <c r="E621" s="12" t="s">
        <v>26</v>
      </c>
      <c r="F621" s="12" t="s">
        <v>1136</v>
      </c>
      <c r="G621" s="13">
        <v>1834</v>
      </c>
      <c r="H621" s="13"/>
      <c r="I621" s="13"/>
      <c r="J621" s="13">
        <v>1824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10</v>
      </c>
      <c r="C622" s="12" t="s">
        <v>1219</v>
      </c>
      <c r="D622" s="12" t="s">
        <v>306</v>
      </c>
      <c r="E622" s="12" t="s">
        <v>26</v>
      </c>
      <c r="F622" s="12" t="s">
        <v>1220</v>
      </c>
      <c r="G622" s="13">
        <v>1834</v>
      </c>
      <c r="H622" s="13"/>
      <c r="I622" s="13"/>
      <c r="J622" s="13">
        <v>1824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17" customFormat="1" ht="28.5" customHeight="1">
      <c r="A623" s="12" t="str">
        <f t="shared" si="117"/>
        <v/>
      </c>
      <c r="B623" s="12" t="s">
        <v>8</v>
      </c>
      <c r="C623" s="12" t="s">
        <v>1372</v>
      </c>
      <c r="D623" s="16" t="s">
        <v>49</v>
      </c>
      <c r="E623" s="12" t="s">
        <v>26</v>
      </c>
      <c r="F623" s="12" t="s">
        <v>1373</v>
      </c>
      <c r="G623" s="13">
        <v>1834</v>
      </c>
      <c r="H623" s="13"/>
      <c r="I623" s="13"/>
      <c r="J623" s="13">
        <v>1834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1834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8</v>
      </c>
      <c r="C624" s="12" t="s">
        <v>1133</v>
      </c>
      <c r="D624" s="12" t="s">
        <v>137</v>
      </c>
      <c r="E624" s="12" t="s">
        <v>26</v>
      </c>
      <c r="F624" s="12" t="s">
        <v>1134</v>
      </c>
      <c r="G624" s="13">
        <v>1834</v>
      </c>
      <c r="H624" s="13"/>
      <c r="I624" s="13"/>
      <c r="J624" s="13">
        <v>1834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1834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1139</v>
      </c>
      <c r="D625" s="16" t="s">
        <v>52</v>
      </c>
      <c r="E625" s="12" t="s">
        <v>26</v>
      </c>
      <c r="F625" s="12" t="s">
        <v>1140</v>
      </c>
      <c r="G625" s="13">
        <v>1835</v>
      </c>
      <c r="H625" s="13"/>
      <c r="I625" s="13"/>
      <c r="J625" s="13">
        <v>1813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1813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374</v>
      </c>
      <c r="D626" s="16" t="s">
        <v>49</v>
      </c>
      <c r="E626" s="12" t="s">
        <v>26</v>
      </c>
      <c r="F626" s="12" t="s">
        <v>1288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6</v>
      </c>
      <c r="C627" s="12" t="s">
        <v>1255</v>
      </c>
      <c r="D627" s="12" t="s">
        <v>82</v>
      </c>
      <c r="E627" s="12" t="s">
        <v>26</v>
      </c>
      <c r="F627" s="12" t="s">
        <v>1289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17" customFormat="1" ht="28.5" customHeight="1">
      <c r="A628" s="12" t="str">
        <f t="shared" si="117"/>
        <v/>
      </c>
      <c r="B628" s="12" t="s">
        <v>6</v>
      </c>
      <c r="C628" s="12" t="s">
        <v>1258</v>
      </c>
      <c r="D628" s="16" t="s">
        <v>61</v>
      </c>
      <c r="E628" s="12" t="s">
        <v>26</v>
      </c>
      <c r="F628" s="12" t="s">
        <v>1259</v>
      </c>
      <c r="G628" s="13">
        <v>1835</v>
      </c>
      <c r="H628" s="13"/>
      <c r="I628" s="13"/>
      <c r="J628" s="13">
        <v>1815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1815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6</v>
      </c>
      <c r="C629" s="12" t="s">
        <v>1143</v>
      </c>
      <c r="D629" s="16" t="s">
        <v>61</v>
      </c>
      <c r="E629" s="12" t="s">
        <v>26</v>
      </c>
      <c r="F629" s="12" t="s">
        <v>1144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10</v>
      </c>
      <c r="C630" s="12" t="s">
        <v>1145</v>
      </c>
      <c r="D630" s="12" t="s">
        <v>45</v>
      </c>
      <c r="E630" s="12" t="s">
        <v>26</v>
      </c>
      <c r="F630" s="12" t="s">
        <v>1146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14</v>
      </c>
      <c r="C631" s="12" t="s">
        <v>1153</v>
      </c>
      <c r="D631" s="16" t="s">
        <v>52</v>
      </c>
      <c r="E631" s="12" t="s">
        <v>26</v>
      </c>
      <c r="F631" s="12" t="s">
        <v>1154</v>
      </c>
      <c r="G631" s="13">
        <v>1835</v>
      </c>
      <c r="H631" s="13"/>
      <c r="I631" s="13"/>
      <c r="J631" s="13">
        <v>1820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1820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6</v>
      </c>
      <c r="C632" s="12" t="s">
        <v>1413</v>
      </c>
      <c r="D632" s="16" t="s">
        <v>52</v>
      </c>
      <c r="E632" s="12" t="s">
        <v>26</v>
      </c>
      <c r="F632" s="12" t="s">
        <v>1414</v>
      </c>
      <c r="G632" s="13">
        <v>1835</v>
      </c>
      <c r="H632" s="13"/>
      <c r="I632" s="13"/>
      <c r="J632" s="13">
        <v>1825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8</v>
      </c>
      <c r="C633" s="12" t="s">
        <v>827</v>
      </c>
      <c r="D633" s="12" t="s">
        <v>82</v>
      </c>
      <c r="E633" s="12" t="s">
        <v>26</v>
      </c>
      <c r="F633" s="12" t="s">
        <v>1155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10</v>
      </c>
      <c r="C634" s="12" t="s">
        <v>1158</v>
      </c>
      <c r="D634" s="12" t="s">
        <v>306</v>
      </c>
      <c r="E634" s="12" t="s">
        <v>26</v>
      </c>
      <c r="F634" s="12" t="s">
        <v>1159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1164</v>
      </c>
      <c r="D635" s="12" t="s">
        <v>82</v>
      </c>
      <c r="E635" s="12" t="s">
        <v>26</v>
      </c>
      <c r="F635" s="12" t="s">
        <v>1165</v>
      </c>
      <c r="G635" s="13">
        <v>1835</v>
      </c>
      <c r="H635" s="13"/>
      <c r="I635" s="13"/>
      <c r="J635" s="13">
        <v>1837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1837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1166</v>
      </c>
      <c r="D636" s="16" t="s">
        <v>52</v>
      </c>
      <c r="E636" s="12" t="s">
        <v>26</v>
      </c>
      <c r="F636" s="12" t="s">
        <v>1167</v>
      </c>
      <c r="G636" s="13">
        <v>1836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1836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1168</v>
      </c>
      <c r="D637" s="16" t="s">
        <v>49</v>
      </c>
      <c r="E637" s="12" t="s">
        <v>26</v>
      </c>
      <c r="F637" s="12" t="s">
        <v>1169</v>
      </c>
      <c r="G637" s="13">
        <v>1836</v>
      </c>
      <c r="H637" s="13"/>
      <c r="I637" s="13"/>
      <c r="J637" s="13">
        <v>1829</v>
      </c>
      <c r="K637" s="13">
        <f t="shared" si="118"/>
        <v>0</v>
      </c>
      <c r="L637" s="13">
        <f t="shared" si="119"/>
        <v>1836</v>
      </c>
      <c r="M637" s="13" t="str">
        <f t="shared" si="120"/>
        <v/>
      </c>
      <c r="N637" s="13">
        <f t="shared" si="121"/>
        <v>1829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1346</v>
      </c>
      <c r="D638" s="12" t="s">
        <v>45</v>
      </c>
      <c r="E638" s="12" t="s">
        <v>26</v>
      </c>
      <c r="F638" s="12" t="s">
        <v>1347</v>
      </c>
      <c r="G638" s="13">
        <v>1837</v>
      </c>
      <c r="H638" s="13"/>
      <c r="I638" s="13"/>
      <c r="J638" s="13">
        <v>1825</v>
      </c>
      <c r="K638" s="13">
        <f t="shared" si="118"/>
        <v>0</v>
      </c>
      <c r="L638" s="13">
        <f t="shared" si="119"/>
        <v>1837</v>
      </c>
      <c r="M638" s="13" t="str">
        <f t="shared" si="120"/>
        <v/>
      </c>
      <c r="N638" s="13">
        <f t="shared" si="121"/>
        <v>1825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14</v>
      </c>
      <c r="C639" s="12" t="s">
        <v>1176</v>
      </c>
      <c r="D639" s="16" t="s">
        <v>52</v>
      </c>
      <c r="E639" s="12" t="s">
        <v>26</v>
      </c>
      <c r="F639" s="12" t="s">
        <v>1177</v>
      </c>
      <c r="G639" s="13">
        <v>1838</v>
      </c>
      <c r="H639" s="13"/>
      <c r="I639" s="13"/>
      <c r="J639" s="13">
        <v>1813</v>
      </c>
      <c r="K639" s="13">
        <f t="shared" si="118"/>
        <v>0</v>
      </c>
      <c r="L639" s="13">
        <f t="shared" si="119"/>
        <v>1838</v>
      </c>
      <c r="M639" s="13" t="str">
        <f t="shared" si="120"/>
        <v/>
      </c>
      <c r="N639" s="13">
        <f t="shared" si="121"/>
        <v>1813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1332</v>
      </c>
      <c r="D640" s="16" t="s">
        <v>52</v>
      </c>
      <c r="E640" s="12" t="s">
        <v>26</v>
      </c>
      <c r="F640" s="12" t="s">
        <v>1333</v>
      </c>
      <c r="G640" s="13">
        <v>1838</v>
      </c>
      <c r="H640" s="13"/>
      <c r="I640" s="13"/>
      <c r="J640" s="13">
        <v>1818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1818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17" customFormat="1" ht="28.5" customHeight="1">
      <c r="A641" s="12" t="str">
        <f t="shared" si="117"/>
        <v/>
      </c>
      <c r="B641" s="12" t="s">
        <v>6</v>
      </c>
      <c r="C641" s="12" t="s">
        <v>1180</v>
      </c>
      <c r="D641" s="12" t="s">
        <v>137</v>
      </c>
      <c r="E641" s="12" t="s">
        <v>26</v>
      </c>
      <c r="F641" s="12" t="s">
        <v>1181</v>
      </c>
      <c r="G641" s="13">
        <v>1838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14</v>
      </c>
      <c r="C642" s="12" t="s">
        <v>1209</v>
      </c>
      <c r="D642" s="16" t="s">
        <v>49</v>
      </c>
      <c r="E642" s="12" t="s">
        <v>26</v>
      </c>
      <c r="F642" s="12" t="s">
        <v>1210</v>
      </c>
      <c r="G642" s="13">
        <v>1839</v>
      </c>
      <c r="H642" s="13"/>
      <c r="I642" s="13"/>
      <c r="J642" s="13">
        <v>1799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1799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1186</v>
      </c>
      <c r="D643" s="16" t="s">
        <v>52</v>
      </c>
      <c r="E643" s="12" t="s">
        <v>26</v>
      </c>
      <c r="F643" s="12" t="s">
        <v>1187</v>
      </c>
      <c r="G643" s="13">
        <v>1839</v>
      </c>
      <c r="H643" s="13"/>
      <c r="I643" s="13"/>
      <c r="J643" s="13">
        <v>1799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1799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1456</v>
      </c>
      <c r="D644" s="12" t="s">
        <v>137</v>
      </c>
      <c r="E644" s="12" t="s">
        <v>26</v>
      </c>
      <c r="F644" s="12" t="s">
        <v>1457</v>
      </c>
      <c r="G644" s="13">
        <v>1839</v>
      </c>
      <c r="H644" s="13"/>
      <c r="I644" s="13"/>
      <c r="J644" s="13">
        <v>1808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1808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1342</v>
      </c>
      <c r="D645" s="16" t="s">
        <v>49</v>
      </c>
      <c r="E645" s="12" t="s">
        <v>70</v>
      </c>
      <c r="F645" s="12" t="s">
        <v>1343</v>
      </c>
      <c r="G645" s="13">
        <v>1839</v>
      </c>
      <c r="H645" s="13"/>
      <c r="I645" s="13"/>
      <c r="J645" s="13">
        <v>1809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1809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16</v>
      </c>
      <c r="C646" s="12" t="s">
        <v>1467</v>
      </c>
      <c r="D646" s="16" t="s">
        <v>49</v>
      </c>
      <c r="E646" s="12" t="s">
        <v>26</v>
      </c>
      <c r="F646" s="12" t="s">
        <v>1468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1202</v>
      </c>
      <c r="D647" s="12" t="s">
        <v>82</v>
      </c>
      <c r="E647" s="12" t="s">
        <v>26</v>
      </c>
      <c r="F647" s="12" t="s">
        <v>1203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1204</v>
      </c>
      <c r="D648" s="16" t="s">
        <v>49</v>
      </c>
      <c r="E648" s="12" t="s">
        <v>26</v>
      </c>
      <c r="F648" s="12" t="s">
        <v>1205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836</v>
      </c>
      <c r="D649" s="12" t="s">
        <v>82</v>
      </c>
      <c r="E649" s="12" t="s">
        <v>26</v>
      </c>
      <c r="F649" s="12" t="s">
        <v>1208</v>
      </c>
      <c r="G649" s="13">
        <v>1839</v>
      </c>
      <c r="H649" s="13"/>
      <c r="I649" s="13"/>
      <c r="J649" s="13">
        <v>1827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1827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1356</v>
      </c>
      <c r="D650" s="12" t="s">
        <v>306</v>
      </c>
      <c r="E650" s="12" t="s">
        <v>26</v>
      </c>
      <c r="F650" s="12" t="s">
        <v>1357</v>
      </c>
      <c r="G650" s="13">
        <v>1839</v>
      </c>
      <c r="H650" s="13"/>
      <c r="I650" s="13"/>
      <c r="J650" s="13">
        <v>1828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1828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17" customFormat="1" ht="28.5" customHeight="1">
      <c r="A651" s="12" t="str">
        <f t="shared" si="117"/>
        <v/>
      </c>
      <c r="B651" s="12" t="s">
        <v>10</v>
      </c>
      <c r="C651" s="12" t="s">
        <v>1358</v>
      </c>
      <c r="D651" s="12" t="s">
        <v>306</v>
      </c>
      <c r="E651" s="12" t="s">
        <v>26</v>
      </c>
      <c r="F651" s="12" t="s">
        <v>1359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1360</v>
      </c>
      <c r="D652" s="12" t="s">
        <v>306</v>
      </c>
      <c r="E652" s="12" t="s">
        <v>26</v>
      </c>
      <c r="F652" s="12" t="s">
        <v>1361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8" customFormat="1" ht="28.5" customHeight="1">
      <c r="A653" s="12" t="str">
        <f t="shared" si="117"/>
        <v/>
      </c>
      <c r="B653" s="12" t="s">
        <v>10</v>
      </c>
      <c r="C653" s="12" t="s">
        <v>1278</v>
      </c>
      <c r="D653" s="12" t="s">
        <v>306</v>
      </c>
      <c r="E653" s="12" t="s">
        <v>26</v>
      </c>
      <c r="F653" s="12" t="s">
        <v>1279</v>
      </c>
      <c r="G653" s="13">
        <v>1839</v>
      </c>
      <c r="H653" s="13"/>
      <c r="I653" s="13"/>
      <c r="J653" s="13">
        <v>1829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1437</v>
      </c>
      <c r="D654" s="12" t="s">
        <v>82</v>
      </c>
      <c r="E654" s="12" t="s">
        <v>26</v>
      </c>
      <c r="F654" s="12" t="s">
        <v>1438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17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531</v>
      </c>
      <c r="D655" s="12" t="s">
        <v>45</v>
      </c>
      <c r="E655" s="12" t="s">
        <v>26</v>
      </c>
      <c r="F655" s="12" t="s">
        <v>1227</v>
      </c>
      <c r="G655" s="13">
        <v>1839</v>
      </c>
      <c r="H655" s="13"/>
      <c r="I655" s="13"/>
      <c r="J655" s="13">
        <v>1829</v>
      </c>
      <c r="K655" s="13">
        <f t="shared" ref="K655:K716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1302</v>
      </c>
      <c r="D656" s="12" t="s">
        <v>306</v>
      </c>
      <c r="E656" s="12" t="s">
        <v>26</v>
      </c>
      <c r="F656" s="12" t="s">
        <v>1303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1194</v>
      </c>
      <c r="D657" s="16" t="s">
        <v>52</v>
      </c>
      <c r="E657" s="12" t="s">
        <v>26</v>
      </c>
      <c r="F657" s="12" t="s">
        <v>1195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6</v>
      </c>
      <c r="C658" s="12" t="s">
        <v>1198</v>
      </c>
      <c r="D658" s="16" t="s">
        <v>49</v>
      </c>
      <c r="E658" s="12" t="s">
        <v>26</v>
      </c>
      <c r="F658" s="12" t="s">
        <v>1199</v>
      </c>
      <c r="G658" s="13">
        <v>1839</v>
      </c>
      <c r="H658" s="13"/>
      <c r="I658" s="13"/>
      <c r="J658" s="13">
        <v>1839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1393</v>
      </c>
      <c r="D659" s="12" t="s">
        <v>45</v>
      </c>
      <c r="E659" s="12" t="s">
        <v>26</v>
      </c>
      <c r="F659" s="12" t="s">
        <v>1394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1395</v>
      </c>
      <c r="D660" s="16" t="s">
        <v>52</v>
      </c>
      <c r="E660" s="12" t="s">
        <v>26</v>
      </c>
      <c r="F660" s="12" t="s">
        <v>1396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1399</v>
      </c>
      <c r="D661" s="12" t="s">
        <v>45</v>
      </c>
      <c r="E661" s="12" t="s">
        <v>26</v>
      </c>
      <c r="F661" s="12" t="s">
        <v>1400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1236</v>
      </c>
      <c r="D662" s="12" t="s">
        <v>82</v>
      </c>
      <c r="E662" s="12" t="s">
        <v>26</v>
      </c>
      <c r="F662" s="12" t="s">
        <v>1237</v>
      </c>
      <c r="G662" s="13">
        <v>1839</v>
      </c>
      <c r="H662" s="13"/>
      <c r="I662" s="13"/>
      <c r="J662" s="13">
        <v>1849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1849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16</v>
      </c>
      <c r="C663" s="12" t="s">
        <v>1378</v>
      </c>
      <c r="D663" s="12" t="s">
        <v>45</v>
      </c>
      <c r="E663" s="12" t="s">
        <v>26</v>
      </c>
      <c r="F663" s="12" t="s">
        <v>1379</v>
      </c>
      <c r="G663" s="13">
        <v>1840</v>
      </c>
      <c r="H663" s="13"/>
      <c r="I663" s="13"/>
      <c r="J663" s="13">
        <v>1800</v>
      </c>
      <c r="K663" s="13">
        <f t="shared" si="131"/>
        <v>0</v>
      </c>
      <c r="L663" s="13">
        <f t="shared" si="132"/>
        <v>1840</v>
      </c>
      <c r="M663" s="13" t="str">
        <f t="shared" si="133"/>
        <v/>
      </c>
      <c r="N663" s="13">
        <f t="shared" si="134"/>
        <v>1800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18</v>
      </c>
      <c r="C664" s="12" t="s">
        <v>1238</v>
      </c>
      <c r="D664" s="16" t="s">
        <v>52</v>
      </c>
      <c r="E664" s="12" t="s">
        <v>26</v>
      </c>
      <c r="F664" s="12" t="s">
        <v>1239</v>
      </c>
      <c r="G664" s="13">
        <v>1840</v>
      </c>
      <c r="H664" s="13"/>
      <c r="I664" s="13"/>
      <c r="J664" s="13">
        <v>1830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1830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1240</v>
      </c>
      <c r="D665" s="16" t="s">
        <v>52</v>
      </c>
      <c r="E665" s="12" t="s">
        <v>26</v>
      </c>
      <c r="F665" s="12" t="s">
        <v>1241</v>
      </c>
      <c r="G665" s="13">
        <v>1840</v>
      </c>
      <c r="H665" s="13"/>
      <c r="I665" s="13"/>
      <c r="J665" s="13">
        <v>1830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1830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6</v>
      </c>
      <c r="C666" s="12" t="s">
        <v>1242</v>
      </c>
      <c r="D666" s="16" t="s">
        <v>61</v>
      </c>
      <c r="E666" s="12" t="s">
        <v>26</v>
      </c>
      <c r="F666" s="12" t="s">
        <v>1243</v>
      </c>
      <c r="G666" s="13">
        <v>1840</v>
      </c>
      <c r="H666" s="13"/>
      <c r="I666" s="13"/>
      <c r="J666" s="13">
        <v>1849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1849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18</v>
      </c>
      <c r="C667" s="12" t="s">
        <v>1160</v>
      </c>
      <c r="D667" s="12" t="s">
        <v>306</v>
      </c>
      <c r="E667" s="12" t="s">
        <v>26</v>
      </c>
      <c r="F667" s="12" t="s">
        <v>1161</v>
      </c>
      <c r="G667" s="13">
        <v>1841</v>
      </c>
      <c r="H667" s="13"/>
      <c r="I667" s="13"/>
      <c r="J667" s="13">
        <v>1834</v>
      </c>
      <c r="K667" s="13">
        <f t="shared" si="131"/>
        <v>0</v>
      </c>
      <c r="L667" s="13">
        <f t="shared" si="132"/>
        <v>1841</v>
      </c>
      <c r="M667" s="13" t="str">
        <f t="shared" si="133"/>
        <v/>
      </c>
      <c r="N667" s="13">
        <f t="shared" si="134"/>
        <v>1834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18</v>
      </c>
      <c r="C668" s="12" t="s">
        <v>1162</v>
      </c>
      <c r="D668" s="12" t="s">
        <v>306</v>
      </c>
      <c r="E668" s="12" t="s">
        <v>26</v>
      </c>
      <c r="F668" s="12" t="s">
        <v>1163</v>
      </c>
      <c r="G668" s="13">
        <v>1841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8</v>
      </c>
      <c r="C669" s="12" t="s">
        <v>1248</v>
      </c>
      <c r="D669" s="16" t="s">
        <v>61</v>
      </c>
      <c r="E669" s="12" t="s">
        <v>26</v>
      </c>
      <c r="F669" s="12" t="s">
        <v>1249</v>
      </c>
      <c r="G669" s="13">
        <v>1841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12</v>
      </c>
      <c r="C670" s="12" t="s">
        <v>134</v>
      </c>
      <c r="D670" s="16" t="s">
        <v>61</v>
      </c>
      <c r="E670" s="12" t="s">
        <v>26</v>
      </c>
      <c r="F670" s="12" t="s">
        <v>1252</v>
      </c>
      <c r="G670" s="13">
        <v>1842</v>
      </c>
      <c r="H670" s="13"/>
      <c r="I670" s="13"/>
      <c r="J670" s="13">
        <v>1823</v>
      </c>
      <c r="K670" s="13">
        <f t="shared" si="131"/>
        <v>0</v>
      </c>
      <c r="L670" s="13">
        <f t="shared" si="132"/>
        <v>1842</v>
      </c>
      <c r="M670" s="13" t="str">
        <f t="shared" si="133"/>
        <v/>
      </c>
      <c r="N670" s="13">
        <f t="shared" si="134"/>
        <v>1823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8" customFormat="1" ht="28.5" customHeight="1">
      <c r="A671" s="12" t="str">
        <f t="shared" si="130"/>
        <v/>
      </c>
      <c r="B671" s="12" t="s">
        <v>6</v>
      </c>
      <c r="C671" s="12" t="s">
        <v>1250</v>
      </c>
      <c r="D671" s="12" t="s">
        <v>82</v>
      </c>
      <c r="E671" s="12" t="s">
        <v>26</v>
      </c>
      <c r="F671" s="12" t="s">
        <v>1251</v>
      </c>
      <c r="G671" s="13">
        <v>1842</v>
      </c>
      <c r="H671" s="13"/>
      <c r="I671" s="13"/>
      <c r="J671" s="13">
        <v>1829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1829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18</v>
      </c>
      <c r="C672" s="12" t="s">
        <v>1253</v>
      </c>
      <c r="D672" s="12" t="s">
        <v>82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1832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1832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18</v>
      </c>
      <c r="C673" s="12" t="s">
        <v>1255</v>
      </c>
      <c r="D673" s="12" t="s">
        <v>82</v>
      </c>
      <c r="E673" s="12" t="s">
        <v>26</v>
      </c>
      <c r="F673" s="12" t="s">
        <v>1256</v>
      </c>
      <c r="G673" s="13">
        <v>1842</v>
      </c>
      <c r="H673" s="13"/>
      <c r="I673" s="13"/>
      <c r="J673" s="13">
        <v>1832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1832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8</v>
      </c>
      <c r="C674" s="12" t="s">
        <v>1388</v>
      </c>
      <c r="D674" s="16" t="s">
        <v>61</v>
      </c>
      <c r="E674" s="12" t="s">
        <v>26</v>
      </c>
      <c r="F674" s="12" t="s">
        <v>1389</v>
      </c>
      <c r="G674" s="13">
        <v>1843</v>
      </c>
      <c r="H674" s="13"/>
      <c r="I674" s="13"/>
      <c r="J674" s="13">
        <v>1823</v>
      </c>
      <c r="K674" s="13">
        <f t="shared" si="131"/>
        <v>0</v>
      </c>
      <c r="L674" s="13">
        <f t="shared" si="132"/>
        <v>1843</v>
      </c>
      <c r="M674" s="13" t="str">
        <f t="shared" si="133"/>
        <v/>
      </c>
      <c r="N674" s="13">
        <f t="shared" si="134"/>
        <v>1823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1268</v>
      </c>
      <c r="D675" s="12" t="s">
        <v>45</v>
      </c>
      <c r="E675" s="12" t="s">
        <v>70</v>
      </c>
      <c r="F675" s="12" t="s">
        <v>1269</v>
      </c>
      <c r="G675" s="13">
        <v>1844</v>
      </c>
      <c r="H675" s="13"/>
      <c r="I675" s="13"/>
      <c r="J675" s="13">
        <v>1814</v>
      </c>
      <c r="K675" s="13">
        <f t="shared" si="131"/>
        <v>0</v>
      </c>
      <c r="L675" s="13">
        <f t="shared" si="132"/>
        <v>1844</v>
      </c>
      <c r="M675" s="13" t="str">
        <f t="shared" si="133"/>
        <v/>
      </c>
      <c r="N675" s="13">
        <f t="shared" si="134"/>
        <v>1814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10</v>
      </c>
      <c r="C676" s="12" t="s">
        <v>1270</v>
      </c>
      <c r="D676" s="16" t="s">
        <v>49</v>
      </c>
      <c r="E676" s="12" t="s">
        <v>26</v>
      </c>
      <c r="F676" s="12" t="s">
        <v>1271</v>
      </c>
      <c r="G676" s="13">
        <v>1844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1272</v>
      </c>
      <c r="D677" s="16" t="s">
        <v>61</v>
      </c>
      <c r="E677" s="12" t="s">
        <v>26</v>
      </c>
      <c r="F677" s="12" t="s">
        <v>1273</v>
      </c>
      <c r="G677" s="13">
        <v>1844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6</v>
      </c>
      <c r="C678" s="12" t="s">
        <v>1274</v>
      </c>
      <c r="D678" s="12" t="s">
        <v>82</v>
      </c>
      <c r="E678" s="12" t="s">
        <v>26</v>
      </c>
      <c r="F678" s="12" t="s">
        <v>1275</v>
      </c>
      <c r="G678" s="13">
        <v>1844</v>
      </c>
      <c r="H678" s="13"/>
      <c r="I678" s="13"/>
      <c r="J678" s="13">
        <v>1819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1566</v>
      </c>
      <c r="D679" s="16" t="s">
        <v>49</v>
      </c>
      <c r="E679" s="12" t="s">
        <v>26</v>
      </c>
      <c r="F679" s="12" t="s">
        <v>1567</v>
      </c>
      <c r="G679" s="13">
        <v>1844</v>
      </c>
      <c r="H679" s="13"/>
      <c r="I679" s="13"/>
      <c r="J679" s="13">
        <v>1834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1834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6</v>
      </c>
      <c r="C680" s="12" t="s">
        <v>1442</v>
      </c>
      <c r="D680" s="16" t="s">
        <v>49</v>
      </c>
      <c r="E680" s="12" t="s">
        <v>70</v>
      </c>
      <c r="F680" s="12" t="s">
        <v>1443</v>
      </c>
      <c r="G680" s="13">
        <v>1844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1308</v>
      </c>
      <c r="D681" s="12" t="s">
        <v>137</v>
      </c>
      <c r="E681" s="12" t="s">
        <v>26</v>
      </c>
      <c r="F681" s="12" t="s">
        <v>1309</v>
      </c>
      <c r="G681" s="13">
        <v>1844</v>
      </c>
      <c r="H681" s="13"/>
      <c r="I681" s="13"/>
      <c r="J681" s="13">
        <v>1839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1839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1280</v>
      </c>
      <c r="D682" s="16" t="s">
        <v>52</v>
      </c>
      <c r="E682" s="12" t="s">
        <v>26</v>
      </c>
      <c r="F682" s="12" t="s">
        <v>1281</v>
      </c>
      <c r="G682" s="13">
        <v>1845</v>
      </c>
      <c r="H682" s="13"/>
      <c r="I682" s="13"/>
      <c r="J682" s="13">
        <v>1799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1799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1298</v>
      </c>
      <c r="D683" s="16" t="s">
        <v>52</v>
      </c>
      <c r="E683" s="12" t="s">
        <v>26</v>
      </c>
      <c r="F683" s="12" t="s">
        <v>1299</v>
      </c>
      <c r="G683" s="13">
        <v>1845</v>
      </c>
      <c r="H683" s="13"/>
      <c r="I683" s="13"/>
      <c r="J683" s="13">
        <v>1809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1809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1282</v>
      </c>
      <c r="D684" s="12" t="s">
        <v>45</v>
      </c>
      <c r="E684" s="12" t="s">
        <v>26</v>
      </c>
      <c r="F684" s="12" t="s">
        <v>1283</v>
      </c>
      <c r="G684" s="13">
        <v>1845</v>
      </c>
      <c r="H684" s="13"/>
      <c r="I684" s="13"/>
      <c r="J684" s="13">
        <v>1815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1815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1284</v>
      </c>
      <c r="D685" s="16" t="s">
        <v>61</v>
      </c>
      <c r="E685" s="12" t="s">
        <v>26</v>
      </c>
      <c r="F685" s="12" t="s">
        <v>1285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10</v>
      </c>
      <c r="C686" s="12" t="s">
        <v>1286</v>
      </c>
      <c r="D686" s="12" t="s">
        <v>45</v>
      </c>
      <c r="E686" s="12" t="s">
        <v>26</v>
      </c>
      <c r="F686" s="12" t="s">
        <v>1287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1290</v>
      </c>
      <c r="D687" s="16" t="s">
        <v>52</v>
      </c>
      <c r="E687" s="12" t="s">
        <v>26</v>
      </c>
      <c r="F687" s="12" t="s">
        <v>1291</v>
      </c>
      <c r="G687" s="13">
        <v>1845</v>
      </c>
      <c r="H687" s="13"/>
      <c r="I687" s="13"/>
      <c r="J687" s="13">
        <v>1819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12</v>
      </c>
      <c r="C688" s="12" t="s">
        <v>1304</v>
      </c>
      <c r="D688" s="16" t="s">
        <v>49</v>
      </c>
      <c r="E688" s="12" t="s">
        <v>26</v>
      </c>
      <c r="F688" s="12" t="s">
        <v>1305</v>
      </c>
      <c r="G688" s="13">
        <v>1845</v>
      </c>
      <c r="H688" s="13"/>
      <c r="I688" s="13"/>
      <c r="J688" s="13">
        <v>1835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1835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12</v>
      </c>
      <c r="C689" s="12" t="s">
        <v>1626</v>
      </c>
      <c r="D689" s="16" t="s">
        <v>137</v>
      </c>
      <c r="E689" s="12" t="s">
        <v>70</v>
      </c>
      <c r="F689" s="12" t="s">
        <v>1627</v>
      </c>
      <c r="G689" s="13">
        <v>1845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1628</v>
      </c>
      <c r="D690" s="16" t="s">
        <v>137</v>
      </c>
      <c r="E690" s="12" t="s">
        <v>70</v>
      </c>
      <c r="F690" s="12" t="s">
        <v>1629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12</v>
      </c>
      <c r="C691" s="12" t="s">
        <v>1630</v>
      </c>
      <c r="D691" s="16" t="s">
        <v>137</v>
      </c>
      <c r="E691" s="12" t="s">
        <v>26</v>
      </c>
      <c r="F691" s="12" t="s">
        <v>1631</v>
      </c>
      <c r="G691" s="13">
        <v>1845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1310</v>
      </c>
      <c r="D692" s="16" t="s">
        <v>61</v>
      </c>
      <c r="E692" s="12" t="s">
        <v>26</v>
      </c>
      <c r="F692" s="12" t="s">
        <v>1311</v>
      </c>
      <c r="G692" s="13">
        <v>1845</v>
      </c>
      <c r="H692" s="13"/>
      <c r="I692" s="13"/>
      <c r="J692" s="13">
        <v>1849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1849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12</v>
      </c>
      <c r="C693" s="12" t="s">
        <v>1473</v>
      </c>
      <c r="D693" s="16" t="s">
        <v>52</v>
      </c>
      <c r="E693" s="12" t="s">
        <v>70</v>
      </c>
      <c r="F693" s="12" t="s">
        <v>1474</v>
      </c>
      <c r="G693" s="13">
        <v>1847</v>
      </c>
      <c r="H693" s="13"/>
      <c r="I693" s="13"/>
      <c r="J693" s="13">
        <v>1827</v>
      </c>
      <c r="K693" s="13">
        <f t="shared" si="131"/>
        <v>0</v>
      </c>
      <c r="L693" s="13">
        <f t="shared" si="132"/>
        <v>1847</v>
      </c>
      <c r="M693" s="13" t="str">
        <f t="shared" si="133"/>
        <v/>
      </c>
      <c r="N693" s="13">
        <f t="shared" si="134"/>
        <v>1827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1316</v>
      </c>
      <c r="D694" s="12" t="s">
        <v>52</v>
      </c>
      <c r="E694" s="12" t="s">
        <v>26</v>
      </c>
      <c r="F694" s="12" t="s">
        <v>1317</v>
      </c>
      <c r="G694" s="13">
        <v>1847</v>
      </c>
      <c r="H694" s="13"/>
      <c r="I694" s="13"/>
      <c r="J694" s="13">
        <v>1837</v>
      </c>
      <c r="K694" s="13">
        <f t="shared" si="131"/>
        <v>0</v>
      </c>
      <c r="L694" s="13">
        <f t="shared" si="132"/>
        <v>1847</v>
      </c>
      <c r="M694" s="13" t="str">
        <f t="shared" si="133"/>
        <v/>
      </c>
      <c r="N694" s="13">
        <f t="shared" si="134"/>
        <v>1837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14</v>
      </c>
      <c r="C695" s="12" t="s">
        <v>1320</v>
      </c>
      <c r="D695" s="12" t="s">
        <v>82</v>
      </c>
      <c r="E695" s="12" t="s">
        <v>26</v>
      </c>
      <c r="F695" s="12" t="s">
        <v>1321</v>
      </c>
      <c r="G695" s="13">
        <v>1848</v>
      </c>
      <c r="H695" s="13"/>
      <c r="I695" s="13"/>
      <c r="J695" s="13">
        <v>1798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1798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6</v>
      </c>
      <c r="C696" s="12" t="s">
        <v>1318</v>
      </c>
      <c r="D696" s="16" t="s">
        <v>61</v>
      </c>
      <c r="E696" s="12" t="s">
        <v>26</v>
      </c>
      <c r="F696" s="12" t="s">
        <v>1319</v>
      </c>
      <c r="G696" s="13">
        <v>1848</v>
      </c>
      <c r="H696" s="13"/>
      <c r="I696" s="13"/>
      <c r="J696" s="13">
        <v>1818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1818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14</v>
      </c>
      <c r="C697" s="12" t="s">
        <v>1326</v>
      </c>
      <c r="D697" s="16" t="s">
        <v>61</v>
      </c>
      <c r="E697" s="12" t="s">
        <v>26</v>
      </c>
      <c r="F697" s="12" t="s">
        <v>1327</v>
      </c>
      <c r="G697" s="13">
        <v>1848</v>
      </c>
      <c r="H697" s="13"/>
      <c r="I697" s="13"/>
      <c r="J697" s="13">
        <v>1824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1824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8</v>
      </c>
      <c r="C698" s="12" t="s">
        <v>1479</v>
      </c>
      <c r="D698" s="16" t="s">
        <v>49</v>
      </c>
      <c r="E698" s="12" t="s">
        <v>26</v>
      </c>
      <c r="F698" s="12" t="s">
        <v>1480</v>
      </c>
      <c r="G698" s="13">
        <v>1848</v>
      </c>
      <c r="H698" s="13"/>
      <c r="I698" s="13"/>
      <c r="J698" s="13">
        <v>1828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1330</v>
      </c>
      <c r="D699" s="16" t="s">
        <v>52</v>
      </c>
      <c r="E699" s="12" t="s">
        <v>70</v>
      </c>
      <c r="F699" s="12" t="s">
        <v>1331</v>
      </c>
      <c r="G699" s="13">
        <v>1848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1448</v>
      </c>
      <c r="D700" s="16" t="s">
        <v>49</v>
      </c>
      <c r="E700" s="12" t="s">
        <v>26</v>
      </c>
      <c r="F700" s="12" t="s">
        <v>1449</v>
      </c>
      <c r="G700" s="13">
        <v>1848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12</v>
      </c>
      <c r="C701" s="12" t="s">
        <v>1336</v>
      </c>
      <c r="D701" s="16" t="s">
        <v>137</v>
      </c>
      <c r="E701" s="12" t="s">
        <v>70</v>
      </c>
      <c r="F701" s="12" t="s">
        <v>1337</v>
      </c>
      <c r="G701" s="13">
        <v>1848</v>
      </c>
      <c r="H701" s="13"/>
      <c r="I701" s="13"/>
      <c r="J701" s="13">
        <v>1845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1845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8" customFormat="1" ht="28.5" customHeight="1">
      <c r="A702" s="12" t="str">
        <f t="shared" si="130"/>
        <v/>
      </c>
      <c r="B702" s="12" t="s">
        <v>12</v>
      </c>
      <c r="C702" s="12" t="s">
        <v>1483</v>
      </c>
      <c r="D702" s="16" t="s">
        <v>137</v>
      </c>
      <c r="E702" s="12" t="s">
        <v>26</v>
      </c>
      <c r="F702" s="12" t="s">
        <v>1484</v>
      </c>
      <c r="G702" s="13">
        <v>1848</v>
      </c>
      <c r="H702" s="13"/>
      <c r="I702" s="13"/>
      <c r="J702" s="13">
        <v>1848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1334</v>
      </c>
      <c r="D703" s="12" t="s">
        <v>45</v>
      </c>
      <c r="E703" s="12" t="s">
        <v>70</v>
      </c>
      <c r="F703" s="12" t="s">
        <v>1335</v>
      </c>
      <c r="G703" s="13">
        <v>1848</v>
      </c>
      <c r="H703" s="13"/>
      <c r="I703" s="13"/>
      <c r="J703" s="13">
        <v>1849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18</v>
      </c>
      <c r="C704" s="12" t="s">
        <v>1338</v>
      </c>
      <c r="D704" s="16" t="s">
        <v>52</v>
      </c>
      <c r="E704" s="12" t="s">
        <v>26</v>
      </c>
      <c r="F704" s="12" t="s">
        <v>1339</v>
      </c>
      <c r="G704" s="13">
        <v>1849</v>
      </c>
      <c r="H704" s="13"/>
      <c r="I704" s="13"/>
      <c r="J704" s="13">
        <v>1799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1799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1350</v>
      </c>
      <c r="D705" s="16" t="s">
        <v>49</v>
      </c>
      <c r="E705" s="12" t="s">
        <v>70</v>
      </c>
      <c r="F705" s="12" t="s">
        <v>1351</v>
      </c>
      <c r="G705" s="13">
        <v>1849</v>
      </c>
      <c r="H705" s="13"/>
      <c r="I705" s="13"/>
      <c r="J705" s="13">
        <v>1814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1814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14</v>
      </c>
      <c r="C706" s="12" t="s">
        <v>1501</v>
      </c>
      <c r="D706" s="12" t="s">
        <v>137</v>
      </c>
      <c r="E706" s="12" t="s">
        <v>70</v>
      </c>
      <c r="F706" s="12" t="s">
        <v>1502</v>
      </c>
      <c r="G706" s="13">
        <v>1849</v>
      </c>
      <c r="H706" s="13"/>
      <c r="I706" s="13"/>
      <c r="J706" s="13">
        <v>1829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1829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1344</v>
      </c>
      <c r="D707" s="16" t="s">
        <v>137</v>
      </c>
      <c r="E707" s="12" t="s">
        <v>26</v>
      </c>
      <c r="F707" s="12" t="s">
        <v>1345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10</v>
      </c>
      <c r="C708" s="12" t="s">
        <v>1440</v>
      </c>
      <c r="D708" s="16" t="s">
        <v>49</v>
      </c>
      <c r="E708" s="12" t="s">
        <v>26</v>
      </c>
      <c r="F708" s="12" t="s">
        <v>1441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1352</v>
      </c>
      <c r="D709" s="12" t="s">
        <v>82</v>
      </c>
      <c r="E709" s="12" t="s">
        <v>26</v>
      </c>
      <c r="F709" s="12" t="s">
        <v>1353</v>
      </c>
      <c r="G709" s="13">
        <v>1849</v>
      </c>
      <c r="H709" s="13"/>
      <c r="I709" s="13"/>
      <c r="J709" s="13">
        <v>1834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1834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6</v>
      </c>
      <c r="C710" s="12" t="s">
        <v>1362</v>
      </c>
      <c r="D710" s="12" t="s">
        <v>137</v>
      </c>
      <c r="E710" s="12" t="s">
        <v>26</v>
      </c>
      <c r="F710" s="12" t="s">
        <v>1363</v>
      </c>
      <c r="G710" s="13">
        <v>1849</v>
      </c>
      <c r="H710" s="13"/>
      <c r="I710" s="13"/>
      <c r="J710" s="13">
        <v>1839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12</v>
      </c>
      <c r="C711" s="12" t="s">
        <v>1364</v>
      </c>
      <c r="D711" s="16" t="s">
        <v>137</v>
      </c>
      <c r="E711" s="12" t="s">
        <v>26</v>
      </c>
      <c r="F711" s="12" t="s">
        <v>1365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10</v>
      </c>
      <c r="C712" s="12" t="s">
        <v>1368</v>
      </c>
      <c r="D712" s="12" t="s">
        <v>82</v>
      </c>
      <c r="E712" s="12" t="s">
        <v>70</v>
      </c>
      <c r="F712" s="12" t="s">
        <v>1369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1380</v>
      </c>
      <c r="D713" s="12" t="s">
        <v>137</v>
      </c>
      <c r="E713" s="12" t="s">
        <v>26</v>
      </c>
      <c r="F713" s="12" t="s">
        <v>1381</v>
      </c>
      <c r="G713" s="13">
        <v>1850</v>
      </c>
      <c r="H713" s="13"/>
      <c r="I713" s="13"/>
      <c r="J713" s="13">
        <v>1840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1306</v>
      </c>
      <c r="D714" s="16" t="s">
        <v>49</v>
      </c>
      <c r="E714" s="12" t="s">
        <v>26</v>
      </c>
      <c r="F714" s="12" t="s">
        <v>1307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1612</v>
      </c>
      <c r="D715" s="16" t="s">
        <v>52</v>
      </c>
      <c r="E715" s="12" t="s">
        <v>70</v>
      </c>
      <c r="F715" s="12" t="s">
        <v>1613</v>
      </c>
      <c r="G715" s="13">
        <v>1850</v>
      </c>
      <c r="H715" s="13"/>
      <c r="I715" s="13"/>
      <c r="J715" s="13">
        <v>1850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1850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432</v>
      </c>
      <c r="D716" s="16" t="s">
        <v>49</v>
      </c>
      <c r="E716" s="12" t="s">
        <v>26</v>
      </c>
      <c r="F716" s="12" t="s">
        <v>433</v>
      </c>
      <c r="G716" s="13">
        <v>1852</v>
      </c>
      <c r="H716" s="13"/>
      <c r="I716" s="13"/>
      <c r="J716" s="13">
        <v>1818</v>
      </c>
      <c r="K716" s="13">
        <f t="shared" si="131"/>
        <v>0</v>
      </c>
      <c r="L716" s="13">
        <f t="shared" si="132"/>
        <v>1852</v>
      </c>
      <c r="M716" s="13" t="str">
        <f t="shared" si="133"/>
        <v/>
      </c>
      <c r="N716" s="13">
        <f t="shared" si="134"/>
        <v>1818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1383</v>
      </c>
      <c r="D717" s="16" t="s">
        <v>49</v>
      </c>
      <c r="E717" s="12" t="s">
        <v>70</v>
      </c>
      <c r="F717" s="12" t="s">
        <v>1384</v>
      </c>
      <c r="G717" s="13">
        <v>1852</v>
      </c>
      <c r="H717" s="13"/>
      <c r="I717" s="13"/>
      <c r="J717" s="13">
        <v>1840</v>
      </c>
      <c r="K717" s="13"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918</v>
      </c>
      <c r="D718" s="12" t="s">
        <v>281</v>
      </c>
      <c r="E718" s="12" t="s">
        <v>70</v>
      </c>
      <c r="F718" s="12" t="s">
        <v>1385</v>
      </c>
      <c r="G718" s="13">
        <v>1853</v>
      </c>
      <c r="H718" s="13"/>
      <c r="I718" s="13"/>
      <c r="J718" s="13">
        <v>1823</v>
      </c>
      <c r="K718" s="13">
        <f t="shared" ref="K718:K749" si="143">IF(AND(IFERROR(SEARCH("현대오일뱅크",$C718),0)&gt;0,IFERROR(SEARCH("직영",$C718),0)&gt;0),$B$13,0)</f>
        <v>0</v>
      </c>
      <c r="L718" s="13">
        <f t="shared" si="132"/>
        <v>1853</v>
      </c>
      <c r="M718" s="13" t="str">
        <f t="shared" si="133"/>
        <v/>
      </c>
      <c r="N718" s="13">
        <f t="shared" si="134"/>
        <v>1823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IF($T719="","",1+COUNTIF($W$15:$W$878,"&lt;"&amp;W719))</f>
        <v/>
      </c>
      <c r="B719" s="12" t="s">
        <v>8</v>
      </c>
      <c r="C719" s="12" t="s">
        <v>1386</v>
      </c>
      <c r="D719" s="12" t="s">
        <v>45</v>
      </c>
      <c r="E719" s="12" t="s">
        <v>26</v>
      </c>
      <c r="F719" s="12" t="s">
        <v>1387</v>
      </c>
      <c r="G719" s="13">
        <v>1853</v>
      </c>
      <c r="H719" s="13"/>
      <c r="I719" s="13"/>
      <c r="J719" s="13">
        <v>1823</v>
      </c>
      <c r="K719" s="13">
        <f t="shared" si="143"/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10</v>
      </c>
      <c r="C720" s="12" t="s">
        <v>1055</v>
      </c>
      <c r="D720" s="16" t="s">
        <v>52</v>
      </c>
      <c r="E720" s="12" t="s">
        <v>26</v>
      </c>
      <c r="F720" s="12" t="s">
        <v>1056</v>
      </c>
      <c r="G720" s="13">
        <v>1853</v>
      </c>
      <c r="H720" s="13"/>
      <c r="I720" s="13"/>
      <c r="J720" s="13">
        <v>1833</v>
      </c>
      <c r="K720" s="13">
        <f t="shared" si="143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1833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1401</v>
      </c>
      <c r="D721" s="16" t="s">
        <v>52</v>
      </c>
      <c r="E721" s="12" t="s">
        <v>70</v>
      </c>
      <c r="F721" s="12" t="s">
        <v>1402</v>
      </c>
      <c r="G721" s="13">
        <v>1854</v>
      </c>
      <c r="H721" s="13"/>
      <c r="I721" s="13"/>
      <c r="J721" s="13">
        <v>1828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1828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12</v>
      </c>
      <c r="C722" s="12" t="s">
        <v>1614</v>
      </c>
      <c r="D722" s="16" t="s">
        <v>49</v>
      </c>
      <c r="E722" s="12" t="s">
        <v>26</v>
      </c>
      <c r="F722" s="12" t="s">
        <v>1615</v>
      </c>
      <c r="G722" s="13">
        <v>1854</v>
      </c>
      <c r="H722" s="13"/>
      <c r="I722" s="13"/>
      <c r="J722" s="13">
        <v>1834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1834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1397</v>
      </c>
      <c r="D723" s="12" t="s">
        <v>82</v>
      </c>
      <c r="E723" s="12" t="s">
        <v>26</v>
      </c>
      <c r="F723" s="12" t="s">
        <v>1398</v>
      </c>
      <c r="G723" s="13">
        <v>1854</v>
      </c>
      <c r="H723" s="13"/>
      <c r="I723" s="13"/>
      <c r="J723" s="13">
        <v>1842</v>
      </c>
      <c r="K723" s="13">
        <f t="shared" si="143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1842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12</v>
      </c>
      <c r="C724" s="12" t="s">
        <v>1403</v>
      </c>
      <c r="D724" s="16" t="s">
        <v>61</v>
      </c>
      <c r="E724" s="12" t="s">
        <v>26</v>
      </c>
      <c r="F724" s="12" t="s">
        <v>1404</v>
      </c>
      <c r="G724" s="13">
        <v>1854</v>
      </c>
      <c r="H724" s="13"/>
      <c r="I724" s="13"/>
      <c r="J724" s="13">
        <v>1849</v>
      </c>
      <c r="K724" s="13">
        <f t="shared" si="143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12</v>
      </c>
      <c r="C725" s="12" t="s">
        <v>1391</v>
      </c>
      <c r="D725" s="16" t="s">
        <v>61</v>
      </c>
      <c r="E725" s="12" t="s">
        <v>26</v>
      </c>
      <c r="F725" s="12" t="s">
        <v>1392</v>
      </c>
      <c r="G725" s="13">
        <v>1854</v>
      </c>
      <c r="H725" s="13"/>
      <c r="I725" s="13"/>
      <c r="J725" s="13">
        <v>1849</v>
      </c>
      <c r="K725" s="13">
        <f t="shared" si="143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8</v>
      </c>
      <c r="C726" s="12" t="s">
        <v>1405</v>
      </c>
      <c r="D726" s="16" t="s">
        <v>52</v>
      </c>
      <c r="E726" s="12" t="s">
        <v>26</v>
      </c>
      <c r="F726" s="12" t="s">
        <v>1406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10</v>
      </c>
      <c r="C727" s="12" t="s">
        <v>1462</v>
      </c>
      <c r="D727" s="16" t="s">
        <v>61</v>
      </c>
      <c r="E727" s="12" t="s">
        <v>70</v>
      </c>
      <c r="F727" s="12" t="s">
        <v>1463</v>
      </c>
      <c r="G727" s="13">
        <v>1855</v>
      </c>
      <c r="H727" s="13"/>
      <c r="I727" s="13"/>
      <c r="J727" s="13">
        <v>1825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17" customFormat="1" ht="28.5" customHeight="1">
      <c r="A728" s="12" t="str">
        <f t="shared" si="144"/>
        <v/>
      </c>
      <c r="B728" s="12" t="s">
        <v>10</v>
      </c>
      <c r="C728" s="12" t="s">
        <v>1407</v>
      </c>
      <c r="D728" s="12" t="s">
        <v>82</v>
      </c>
      <c r="E728" s="12" t="s">
        <v>26</v>
      </c>
      <c r="F728" s="12" t="s">
        <v>1408</v>
      </c>
      <c r="G728" s="13">
        <v>1855</v>
      </c>
      <c r="H728" s="13"/>
      <c r="I728" s="13"/>
      <c r="J728" s="13">
        <v>1825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1409</v>
      </c>
      <c r="D729" s="12" t="s">
        <v>82</v>
      </c>
      <c r="E729" s="12" t="s">
        <v>26</v>
      </c>
      <c r="F729" s="12" t="s">
        <v>1410</v>
      </c>
      <c r="G729" s="13">
        <v>1855</v>
      </c>
      <c r="H729" s="13"/>
      <c r="I729" s="13"/>
      <c r="J729" s="13">
        <v>1825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18</v>
      </c>
      <c r="C730" s="12" t="s">
        <v>1411</v>
      </c>
      <c r="D730" s="16" t="s">
        <v>49</v>
      </c>
      <c r="E730" s="12" t="s">
        <v>26</v>
      </c>
      <c r="F730" s="12" t="s">
        <v>1412</v>
      </c>
      <c r="G730" s="13">
        <v>1855</v>
      </c>
      <c r="H730" s="13"/>
      <c r="I730" s="13"/>
      <c r="J730" s="13">
        <v>1833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1833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14</v>
      </c>
      <c r="C731" s="12" t="s">
        <v>1464</v>
      </c>
      <c r="D731" s="16" t="s">
        <v>49</v>
      </c>
      <c r="E731" s="12" t="s">
        <v>26</v>
      </c>
      <c r="F731" s="12" t="s">
        <v>1465</v>
      </c>
      <c r="G731" s="13">
        <v>1855</v>
      </c>
      <c r="H731" s="13"/>
      <c r="I731" s="13"/>
      <c r="J731" s="13">
        <v>1835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1294</v>
      </c>
      <c r="D732" s="12" t="s">
        <v>82</v>
      </c>
      <c r="E732" s="12" t="s">
        <v>26</v>
      </c>
      <c r="F732" s="12" t="s">
        <v>1295</v>
      </c>
      <c r="G732" s="13">
        <v>1855</v>
      </c>
      <c r="H732" s="13"/>
      <c r="I732" s="13"/>
      <c r="J732" s="13">
        <v>1845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1845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14</v>
      </c>
      <c r="C733" s="12" t="s">
        <v>1750</v>
      </c>
      <c r="D733" s="12" t="s">
        <v>49</v>
      </c>
      <c r="E733" s="12" t="s">
        <v>26</v>
      </c>
      <c r="F733" s="12" t="s">
        <v>1751</v>
      </c>
      <c r="G733" s="13">
        <v>1855</v>
      </c>
      <c r="H733" s="13"/>
      <c r="I733" s="13"/>
      <c r="J733" s="13">
        <v>1845</v>
      </c>
      <c r="K733" s="13">
        <f t="shared" si="143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1296</v>
      </c>
      <c r="D734" s="12" t="s">
        <v>82</v>
      </c>
      <c r="E734" s="12" t="s">
        <v>70</v>
      </c>
      <c r="F734" s="12" t="s">
        <v>1297</v>
      </c>
      <c r="G734" s="13">
        <v>1855</v>
      </c>
      <c r="H734" s="13"/>
      <c r="I734" s="13"/>
      <c r="J734" s="13">
        <v>1845</v>
      </c>
      <c r="K734" s="13">
        <f t="shared" si="143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8</v>
      </c>
      <c r="C735" s="12" t="s">
        <v>1415</v>
      </c>
      <c r="D735" s="12" t="s">
        <v>137</v>
      </c>
      <c r="E735" s="12" t="s">
        <v>26</v>
      </c>
      <c r="F735" s="12" t="s">
        <v>1416</v>
      </c>
      <c r="G735" s="13">
        <v>1855</v>
      </c>
      <c r="H735" s="13"/>
      <c r="I735" s="13"/>
      <c r="J735" s="13">
        <v>1846</v>
      </c>
      <c r="K735" s="13">
        <f t="shared" si="143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1846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1417</v>
      </c>
      <c r="D736" s="16" t="s">
        <v>49</v>
      </c>
      <c r="E736" s="12" t="s">
        <v>26</v>
      </c>
      <c r="F736" s="12" t="s">
        <v>1418</v>
      </c>
      <c r="G736" s="13">
        <v>1855</v>
      </c>
      <c r="H736" s="13"/>
      <c r="I736" s="13"/>
      <c r="J736" s="13">
        <v>1855</v>
      </c>
      <c r="K736" s="13">
        <f t="shared" si="143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1855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12</v>
      </c>
      <c r="C737" s="12" t="s">
        <v>1419</v>
      </c>
      <c r="D737" s="16" t="s">
        <v>49</v>
      </c>
      <c r="E737" s="12" t="s">
        <v>70</v>
      </c>
      <c r="F737" s="12" t="s">
        <v>1420</v>
      </c>
      <c r="G737" s="13">
        <v>1856</v>
      </c>
      <c r="H737" s="13"/>
      <c r="I737" s="13"/>
      <c r="J737" s="13">
        <v>1856</v>
      </c>
      <c r="K737" s="13">
        <f t="shared" si="143"/>
        <v>0</v>
      </c>
      <c r="L737" s="13">
        <f t="shared" si="145"/>
        <v>1856</v>
      </c>
      <c r="M737" s="13" t="str">
        <f t="shared" si="146"/>
        <v/>
      </c>
      <c r="N737" s="13">
        <f t="shared" si="147"/>
        <v>1856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12</v>
      </c>
      <c r="C738" s="12" t="s">
        <v>1421</v>
      </c>
      <c r="D738" s="16" t="s">
        <v>49</v>
      </c>
      <c r="E738" s="12" t="s">
        <v>70</v>
      </c>
      <c r="F738" s="12" t="s">
        <v>1422</v>
      </c>
      <c r="G738" s="13">
        <v>1856</v>
      </c>
      <c r="H738" s="13"/>
      <c r="I738" s="13"/>
      <c r="J738" s="13">
        <v>1856</v>
      </c>
      <c r="K738" s="13">
        <f t="shared" si="143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14</v>
      </c>
      <c r="C739" s="12" t="s">
        <v>1338</v>
      </c>
      <c r="D739" s="12" t="s">
        <v>82</v>
      </c>
      <c r="E739" s="12" t="s">
        <v>70</v>
      </c>
      <c r="F739" s="12" t="s">
        <v>1535</v>
      </c>
      <c r="G739" s="13">
        <v>1857</v>
      </c>
      <c r="H739" s="13"/>
      <c r="I739" s="13"/>
      <c r="J739" s="13">
        <v>1837</v>
      </c>
      <c r="K739" s="13">
        <f t="shared" si="143"/>
        <v>0</v>
      </c>
      <c r="L739" s="13">
        <f t="shared" si="145"/>
        <v>1857</v>
      </c>
      <c r="M739" s="13" t="str">
        <f t="shared" si="146"/>
        <v/>
      </c>
      <c r="N739" s="13">
        <f t="shared" si="147"/>
        <v>1837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8</v>
      </c>
      <c r="C740" s="12" t="s">
        <v>376</v>
      </c>
      <c r="D740" s="12" t="s">
        <v>82</v>
      </c>
      <c r="E740" s="12" t="s">
        <v>70</v>
      </c>
      <c r="F740" s="12" t="s">
        <v>1424</v>
      </c>
      <c r="G740" s="13">
        <v>1858</v>
      </c>
      <c r="H740" s="13"/>
      <c r="I740" s="13"/>
      <c r="J740" s="13">
        <v>1835</v>
      </c>
      <c r="K740" s="13">
        <f t="shared" si="143"/>
        <v>0</v>
      </c>
      <c r="L740" s="13">
        <f t="shared" si="145"/>
        <v>1858</v>
      </c>
      <c r="M740" s="13" t="str">
        <f t="shared" si="146"/>
        <v/>
      </c>
      <c r="N740" s="13">
        <f t="shared" si="147"/>
        <v>1835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6</v>
      </c>
      <c r="C741" s="12" t="s">
        <v>1178</v>
      </c>
      <c r="D741" s="12" t="s">
        <v>82</v>
      </c>
      <c r="E741" s="12" t="s">
        <v>26</v>
      </c>
      <c r="F741" s="12" t="s">
        <v>1179</v>
      </c>
      <c r="G741" s="13">
        <v>1858</v>
      </c>
      <c r="H741" s="13"/>
      <c r="I741" s="13"/>
      <c r="J741" s="13">
        <v>1838</v>
      </c>
      <c r="K741" s="13">
        <f t="shared" si="143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1838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8" customFormat="1" ht="28.5" customHeight="1">
      <c r="A742" s="12" t="str">
        <f t="shared" si="144"/>
        <v/>
      </c>
      <c r="B742" s="12" t="s">
        <v>10</v>
      </c>
      <c r="C742" s="12" t="s">
        <v>1427</v>
      </c>
      <c r="D742" s="12" t="s">
        <v>82</v>
      </c>
      <c r="E742" s="12" t="s">
        <v>26</v>
      </c>
      <c r="F742" s="12" t="s">
        <v>1428</v>
      </c>
      <c r="G742" s="13">
        <v>1858</v>
      </c>
      <c r="H742" s="13"/>
      <c r="I742" s="13"/>
      <c r="J742" s="13">
        <v>1838</v>
      </c>
      <c r="K742" s="13">
        <f t="shared" si="143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10</v>
      </c>
      <c r="C743" s="12" t="s">
        <v>1429</v>
      </c>
      <c r="D743" s="16" t="s">
        <v>61</v>
      </c>
      <c r="E743" s="12" t="s">
        <v>70</v>
      </c>
      <c r="F743" s="12" t="s">
        <v>1430</v>
      </c>
      <c r="G743" s="13">
        <v>1858</v>
      </c>
      <c r="H743" s="13"/>
      <c r="I743" s="13"/>
      <c r="J743" s="13">
        <v>1849</v>
      </c>
      <c r="K743" s="13">
        <f t="shared" si="143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1745</v>
      </c>
      <c r="D744" s="12" t="s">
        <v>45</v>
      </c>
      <c r="E744" s="12" t="s">
        <v>26</v>
      </c>
      <c r="F744" s="12" t="s">
        <v>1439</v>
      </c>
      <c r="G744" s="13">
        <v>1859</v>
      </c>
      <c r="H744" s="13"/>
      <c r="I744" s="13"/>
      <c r="J744" s="13">
        <v>1809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1809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8</v>
      </c>
      <c r="C745" s="12" t="s">
        <v>1433</v>
      </c>
      <c r="D745" s="16" t="s">
        <v>52</v>
      </c>
      <c r="E745" s="12" t="s">
        <v>26</v>
      </c>
      <c r="F745" s="12" t="s">
        <v>1434</v>
      </c>
      <c r="G745" s="13">
        <v>1859</v>
      </c>
      <c r="H745" s="13"/>
      <c r="I745" s="13"/>
      <c r="J745" s="13">
        <v>1814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1814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16</v>
      </c>
      <c r="C746" s="12" t="s">
        <v>1485</v>
      </c>
      <c r="D746" s="12" t="s">
        <v>82</v>
      </c>
      <c r="E746" s="12" t="s">
        <v>70</v>
      </c>
      <c r="F746" s="12" t="s">
        <v>1486</v>
      </c>
      <c r="G746" s="13">
        <v>1859</v>
      </c>
      <c r="H746" s="13"/>
      <c r="I746" s="13"/>
      <c r="J746" s="13">
        <v>1819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17" customFormat="1" ht="28.5" customHeight="1">
      <c r="A747" s="12" t="str">
        <f t="shared" si="144"/>
        <v/>
      </c>
      <c r="B747" s="12" t="s">
        <v>18</v>
      </c>
      <c r="C747" s="12" t="s">
        <v>1435</v>
      </c>
      <c r="D747" s="12" t="s">
        <v>82</v>
      </c>
      <c r="E747" s="12" t="s">
        <v>70</v>
      </c>
      <c r="F747" s="12" t="s">
        <v>1436</v>
      </c>
      <c r="G747" s="13">
        <v>1859</v>
      </c>
      <c r="H747" s="13"/>
      <c r="I747" s="13"/>
      <c r="J747" s="13">
        <v>1820</v>
      </c>
      <c r="K747" s="13">
        <f t="shared" si="143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1820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6</v>
      </c>
      <c r="C748" s="12" t="s">
        <v>1450</v>
      </c>
      <c r="D748" s="12" t="s">
        <v>82</v>
      </c>
      <c r="E748" s="12" t="s">
        <v>70</v>
      </c>
      <c r="F748" s="12" t="s">
        <v>1451</v>
      </c>
      <c r="G748" s="13">
        <v>1859</v>
      </c>
      <c r="H748" s="13"/>
      <c r="I748" s="13"/>
      <c r="J748" s="13">
        <v>1839</v>
      </c>
      <c r="K748" s="13">
        <f t="shared" si="143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14</v>
      </c>
      <c r="C749" s="12" t="s">
        <v>1560</v>
      </c>
      <c r="D749" s="16" t="s">
        <v>49</v>
      </c>
      <c r="E749" s="12" t="s">
        <v>70</v>
      </c>
      <c r="F749" s="12" t="s">
        <v>1561</v>
      </c>
      <c r="G749" s="13">
        <v>1859</v>
      </c>
      <c r="H749" s="13"/>
      <c r="I749" s="13"/>
      <c r="J749" s="13">
        <v>1839</v>
      </c>
      <c r="K749" s="13">
        <f t="shared" si="143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12</v>
      </c>
      <c r="C750" s="12" t="s">
        <v>1292</v>
      </c>
      <c r="D750" s="16" t="s">
        <v>82</v>
      </c>
      <c r="E750" s="12" t="s">
        <v>26</v>
      </c>
      <c r="F750" s="12" t="s">
        <v>1293</v>
      </c>
      <c r="G750" s="13">
        <v>1859</v>
      </c>
      <c r="H750" s="13"/>
      <c r="I750" s="13"/>
      <c r="J750" s="13">
        <v>1849</v>
      </c>
      <c r="K750" s="13">
        <f t="shared" ref="K750:K756" si="156">IF(AND(IFERROR(SEARCH("현대오일뱅크",$C750),0)&gt;0,IFERROR(SEARCH("직영",$C750),0)&gt;0),$B$13,0)</f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10</v>
      </c>
      <c r="C751" s="12" t="s">
        <v>1444</v>
      </c>
      <c r="D751" s="12" t="s">
        <v>82</v>
      </c>
      <c r="E751" s="12" t="s">
        <v>26</v>
      </c>
      <c r="F751" s="12" t="s">
        <v>1445</v>
      </c>
      <c r="G751" s="13">
        <v>1859</v>
      </c>
      <c r="H751" s="13"/>
      <c r="I751" s="13"/>
      <c r="J751" s="13">
        <v>1849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1446</v>
      </c>
      <c r="D752" s="12" t="s">
        <v>137</v>
      </c>
      <c r="E752" s="12" t="s">
        <v>70</v>
      </c>
      <c r="F752" s="12" t="s">
        <v>1447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14</v>
      </c>
      <c r="C753" s="12" t="s">
        <v>1452</v>
      </c>
      <c r="D753" s="16" t="s">
        <v>49</v>
      </c>
      <c r="E753" s="12" t="s">
        <v>26</v>
      </c>
      <c r="F753" s="12" t="s">
        <v>1453</v>
      </c>
      <c r="G753" s="13">
        <v>1859</v>
      </c>
      <c r="H753" s="13"/>
      <c r="I753" s="13"/>
      <c r="J753" s="13">
        <v>1869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1869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1454</v>
      </c>
      <c r="D754" s="12" t="s">
        <v>82</v>
      </c>
      <c r="E754" s="12" t="s">
        <v>26</v>
      </c>
      <c r="F754" s="12" t="s">
        <v>1455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17" customFormat="1" ht="28.5" customHeight="1">
      <c r="A755" s="12" t="str">
        <f t="shared" si="144"/>
        <v/>
      </c>
      <c r="B755" s="12" t="s">
        <v>16</v>
      </c>
      <c r="C755" s="12" t="s">
        <v>1511</v>
      </c>
      <c r="D755" s="16" t="s">
        <v>49</v>
      </c>
      <c r="E755" s="12" t="s">
        <v>26</v>
      </c>
      <c r="F755" s="12" t="s">
        <v>1512</v>
      </c>
      <c r="G755" s="13">
        <v>1860</v>
      </c>
      <c r="H755" s="13"/>
      <c r="I755" s="13"/>
      <c r="J755" s="13">
        <v>1820</v>
      </c>
      <c r="K755" s="13">
        <f t="shared" si="156"/>
        <v>0</v>
      </c>
      <c r="L755" s="13">
        <f t="shared" si="145"/>
        <v>1860</v>
      </c>
      <c r="M755" s="13" t="str">
        <f t="shared" si="146"/>
        <v/>
      </c>
      <c r="N755" s="13">
        <f t="shared" si="147"/>
        <v>1820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16</v>
      </c>
      <c r="C756" s="12" t="s">
        <v>1596</v>
      </c>
      <c r="D756" s="16" t="s">
        <v>49</v>
      </c>
      <c r="E756" s="12" t="s">
        <v>26</v>
      </c>
      <c r="F756" s="12" t="s">
        <v>1597</v>
      </c>
      <c r="G756" s="13">
        <v>1860</v>
      </c>
      <c r="H756" s="13"/>
      <c r="I756" s="13"/>
      <c r="J756" s="13">
        <v>1830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1830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10</v>
      </c>
      <c r="C757" s="12" t="s">
        <v>1460</v>
      </c>
      <c r="D757" s="16" t="s">
        <v>49</v>
      </c>
      <c r="E757" s="12" t="s">
        <v>26</v>
      </c>
      <c r="F757" s="12" t="s">
        <v>1461</v>
      </c>
      <c r="G757" s="13">
        <v>1864</v>
      </c>
      <c r="H757" s="13"/>
      <c r="I757" s="13"/>
      <c r="J757" s="13">
        <v>1854</v>
      </c>
      <c r="K757" s="13">
        <v>0</v>
      </c>
      <c r="L757" s="13">
        <f t="shared" si="145"/>
        <v>1864</v>
      </c>
      <c r="M757" s="13" t="str">
        <f t="shared" si="146"/>
        <v/>
      </c>
      <c r="N757" s="13">
        <f t="shared" si="147"/>
        <v>1854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14</v>
      </c>
      <c r="C758" s="12" t="s">
        <v>563</v>
      </c>
      <c r="D758" s="16" t="s">
        <v>61</v>
      </c>
      <c r="E758" s="12" t="s">
        <v>70</v>
      </c>
      <c r="F758" s="12" t="s">
        <v>1466</v>
      </c>
      <c r="G758" s="13">
        <v>1865</v>
      </c>
      <c r="H758" s="13"/>
      <c r="I758" s="13"/>
      <c r="J758" s="13">
        <v>1845</v>
      </c>
      <c r="K758" s="13">
        <f>IF(AND(IFERROR(SEARCH("현대오일뱅크",$C758),0)&gt;0,IFERROR(SEARCH("직영",$C758),0)&gt;0),$B$13,0)</f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1845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1570</v>
      </c>
      <c r="D759" s="16" t="s">
        <v>49</v>
      </c>
      <c r="E759" s="12" t="s">
        <v>26</v>
      </c>
      <c r="F759" s="12" t="s">
        <v>1571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1469</v>
      </c>
      <c r="D760" s="16" t="s">
        <v>49</v>
      </c>
      <c r="E760" s="12" t="s">
        <v>70</v>
      </c>
      <c r="F760" s="12" t="s">
        <v>1470</v>
      </c>
      <c r="G760" s="13">
        <v>1865</v>
      </c>
      <c r="H760" s="13"/>
      <c r="I760" s="13"/>
      <c r="J760" s="13">
        <v>1857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1471</v>
      </c>
      <c r="D761" s="16" t="s">
        <v>49</v>
      </c>
      <c r="E761" s="12" t="s">
        <v>70</v>
      </c>
      <c r="F761" s="12" t="s">
        <v>1472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14</v>
      </c>
      <c r="C762" s="12" t="s">
        <v>1529</v>
      </c>
      <c r="D762" s="16" t="s">
        <v>52</v>
      </c>
      <c r="E762" s="12" t="s">
        <v>26</v>
      </c>
      <c r="F762" s="12" t="s">
        <v>1530</v>
      </c>
      <c r="G762" s="13">
        <v>1867</v>
      </c>
      <c r="H762" s="13"/>
      <c r="I762" s="13"/>
      <c r="J762" s="13">
        <v>1853</v>
      </c>
      <c r="K762" s="13">
        <f t="shared" ref="K762:K781" si="157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1853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1477</v>
      </c>
      <c r="D763" s="16" t="s">
        <v>49</v>
      </c>
      <c r="E763" s="12" t="s">
        <v>26</v>
      </c>
      <c r="F763" s="12" t="s">
        <v>1478</v>
      </c>
      <c r="G763" s="13">
        <v>1867</v>
      </c>
      <c r="H763" s="13"/>
      <c r="I763" s="13"/>
      <c r="J763" s="13">
        <v>1867</v>
      </c>
      <c r="K763" s="13">
        <f t="shared" si="157"/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1647</v>
      </c>
      <c r="D764" s="12" t="s">
        <v>137</v>
      </c>
      <c r="E764" s="12" t="s">
        <v>70</v>
      </c>
      <c r="F764" s="12" t="s">
        <v>1648</v>
      </c>
      <c r="G764" s="13">
        <v>1868</v>
      </c>
      <c r="H764" s="13"/>
      <c r="I764" s="13"/>
      <c r="J764" s="13">
        <v>1838</v>
      </c>
      <c r="K764" s="13">
        <f t="shared" si="157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1838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12</v>
      </c>
      <c r="C765" s="12" t="s">
        <v>1481</v>
      </c>
      <c r="D765" s="16" t="s">
        <v>82</v>
      </c>
      <c r="E765" s="12" t="s">
        <v>70</v>
      </c>
      <c r="F765" s="12" t="s">
        <v>1482</v>
      </c>
      <c r="G765" s="13">
        <v>1868</v>
      </c>
      <c r="H765" s="13"/>
      <c r="I765" s="13"/>
      <c r="J765" s="13">
        <v>1848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1848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1495</v>
      </c>
      <c r="D766" s="12" t="s">
        <v>82</v>
      </c>
      <c r="E766" s="12" t="s">
        <v>26</v>
      </c>
      <c r="F766" s="12" t="s">
        <v>1496</v>
      </c>
      <c r="G766" s="13">
        <v>1869</v>
      </c>
      <c r="H766" s="13"/>
      <c r="I766" s="13"/>
      <c r="J766" s="13">
        <v>1833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1497</v>
      </c>
      <c r="D767" s="12" t="s">
        <v>82</v>
      </c>
      <c r="E767" s="12" t="s">
        <v>26</v>
      </c>
      <c r="F767" s="12" t="s">
        <v>1498</v>
      </c>
      <c r="G767" s="13">
        <v>1869</v>
      </c>
      <c r="H767" s="13"/>
      <c r="I767" s="13"/>
      <c r="J767" s="13">
        <v>1833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1531</v>
      </c>
      <c r="D768" s="12" t="s">
        <v>82</v>
      </c>
      <c r="E768" s="12" t="s">
        <v>26</v>
      </c>
      <c r="F768" s="12" t="s">
        <v>1532</v>
      </c>
      <c r="G768" s="13">
        <v>1869</v>
      </c>
      <c r="H768" s="13"/>
      <c r="I768" s="13"/>
      <c r="J768" s="13">
        <v>1834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1487</v>
      </c>
      <c r="D769" s="16" t="s">
        <v>49</v>
      </c>
      <c r="E769" s="12" t="s">
        <v>70</v>
      </c>
      <c r="F769" s="12" t="s">
        <v>1488</v>
      </c>
      <c r="G769" s="13">
        <v>1869</v>
      </c>
      <c r="H769" s="13"/>
      <c r="I769" s="13"/>
      <c r="J769" s="13">
        <v>1839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1489</v>
      </c>
      <c r="D770" s="12" t="s">
        <v>82</v>
      </c>
      <c r="E770" s="12" t="s">
        <v>26</v>
      </c>
      <c r="F770" s="12" t="s">
        <v>1490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1491</v>
      </c>
      <c r="D771" s="12" t="s">
        <v>82</v>
      </c>
      <c r="E771" s="12" t="s">
        <v>26</v>
      </c>
      <c r="F771" s="12" t="s">
        <v>1492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16</v>
      </c>
      <c r="C772" s="12" t="s">
        <v>1499</v>
      </c>
      <c r="D772" s="12" t="s">
        <v>82</v>
      </c>
      <c r="E772" s="12" t="s">
        <v>26</v>
      </c>
      <c r="F772" s="12" t="s">
        <v>1500</v>
      </c>
      <c r="G772" s="13">
        <v>1869</v>
      </c>
      <c r="H772" s="13"/>
      <c r="I772" s="13"/>
      <c r="J772" s="13">
        <v>1849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1849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12</v>
      </c>
      <c r="C773" s="12" t="s">
        <v>1503</v>
      </c>
      <c r="D773" s="16" t="s">
        <v>52</v>
      </c>
      <c r="E773" s="12" t="s">
        <v>26</v>
      </c>
      <c r="F773" s="12" t="s">
        <v>1504</v>
      </c>
      <c r="G773" s="13">
        <v>1869</v>
      </c>
      <c r="H773" s="13"/>
      <c r="I773" s="13"/>
      <c r="J773" s="13">
        <v>1859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1859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8" customFormat="1" ht="28.5" customHeight="1">
      <c r="A774" s="12" t="str">
        <f t="shared" si="144"/>
        <v/>
      </c>
      <c r="B774" s="12" t="s">
        <v>10</v>
      </c>
      <c r="C774" s="12" t="s">
        <v>1671</v>
      </c>
      <c r="D774" s="16" t="s">
        <v>49</v>
      </c>
      <c r="E774" s="12" t="s">
        <v>70</v>
      </c>
      <c r="F774" s="12" t="s">
        <v>1672</v>
      </c>
      <c r="G774" s="13">
        <v>1869</v>
      </c>
      <c r="H774" s="13"/>
      <c r="I774" s="13"/>
      <c r="J774" s="13">
        <v>1859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8" customFormat="1" ht="28.5" customHeight="1">
      <c r="A775" s="12" t="str">
        <f t="shared" si="144"/>
        <v/>
      </c>
      <c r="B775" s="12" t="s">
        <v>14</v>
      </c>
      <c r="C775" s="12" t="s">
        <v>1507</v>
      </c>
      <c r="D775" s="12" t="s">
        <v>137</v>
      </c>
      <c r="E775" s="12" t="s">
        <v>26</v>
      </c>
      <c r="F775" s="12" t="s">
        <v>1508</v>
      </c>
      <c r="G775" s="13">
        <v>1869</v>
      </c>
      <c r="H775" s="13"/>
      <c r="I775" s="13"/>
      <c r="J775" s="13">
        <v>1869</v>
      </c>
      <c r="K775" s="13">
        <f t="shared" si="157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1869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16</v>
      </c>
      <c r="C776" s="12" t="s">
        <v>1509</v>
      </c>
      <c r="D776" s="16" t="s">
        <v>52</v>
      </c>
      <c r="E776" s="12" t="s">
        <v>26</v>
      </c>
      <c r="F776" s="12" t="s">
        <v>1510</v>
      </c>
      <c r="G776" s="13">
        <v>1870</v>
      </c>
      <c r="H776" s="13"/>
      <c r="I776" s="13"/>
      <c r="J776" s="13">
        <v>1830</v>
      </c>
      <c r="K776" s="13">
        <f t="shared" si="157"/>
        <v>0</v>
      </c>
      <c r="L776" s="13">
        <f t="shared" si="145"/>
        <v>1870</v>
      </c>
      <c r="M776" s="13" t="str">
        <f t="shared" si="146"/>
        <v/>
      </c>
      <c r="N776" s="13">
        <f t="shared" si="147"/>
        <v>1830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16</v>
      </c>
      <c r="C777" s="12" t="s">
        <v>1513</v>
      </c>
      <c r="D777" s="12" t="s">
        <v>137</v>
      </c>
      <c r="E777" s="12" t="s">
        <v>70</v>
      </c>
      <c r="F777" s="12" t="s">
        <v>1514</v>
      </c>
      <c r="G777" s="13">
        <v>1870</v>
      </c>
      <c r="H777" s="13"/>
      <c r="I777" s="13"/>
      <c r="J777" s="13">
        <v>1830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17" customFormat="1" ht="28.5" customHeight="1">
      <c r="A778" s="12" t="str">
        <f t="shared" si="144"/>
        <v/>
      </c>
      <c r="B778" s="12" t="s">
        <v>8</v>
      </c>
      <c r="C778" s="12" t="s">
        <v>1517</v>
      </c>
      <c r="D778" s="12" t="s">
        <v>137</v>
      </c>
      <c r="E778" s="12" t="s">
        <v>70</v>
      </c>
      <c r="F778" s="12" t="s">
        <v>1518</v>
      </c>
      <c r="G778" s="13">
        <v>1870</v>
      </c>
      <c r="H778" s="13"/>
      <c r="I778" s="13"/>
      <c r="J778" s="13">
        <v>1850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1850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12</v>
      </c>
      <c r="C779" s="12" t="s">
        <v>1519</v>
      </c>
      <c r="D779" s="16" t="s">
        <v>49</v>
      </c>
      <c r="E779" s="12" t="s">
        <v>70</v>
      </c>
      <c r="F779" s="12" t="s">
        <v>1520</v>
      </c>
      <c r="G779" s="13">
        <v>1870</v>
      </c>
      <c r="H779" s="13"/>
      <c r="I779" s="13"/>
      <c r="J779" s="13">
        <v>1850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10</v>
      </c>
      <c r="C780" s="12" t="s">
        <v>1521</v>
      </c>
      <c r="D780" s="16" t="s">
        <v>52</v>
      </c>
      <c r="E780" s="12" t="s">
        <v>70</v>
      </c>
      <c r="F780" s="12" t="s">
        <v>1522</v>
      </c>
      <c r="G780" s="13">
        <v>1870</v>
      </c>
      <c r="H780" s="13"/>
      <c r="I780" s="13"/>
      <c r="J780" s="13">
        <v>1860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1860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18</v>
      </c>
      <c r="C781" s="12" t="s">
        <v>1523</v>
      </c>
      <c r="D781" s="12" t="s">
        <v>137</v>
      </c>
      <c r="E781" s="12" t="s">
        <v>70</v>
      </c>
      <c r="F781" s="12" t="s">
        <v>1524</v>
      </c>
      <c r="G781" s="13">
        <v>1870</v>
      </c>
      <c r="H781" s="13"/>
      <c r="I781" s="13"/>
      <c r="J781" s="13">
        <v>1870</v>
      </c>
      <c r="K781" s="13">
        <f t="shared" si="157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1870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10</v>
      </c>
      <c r="C782" s="12" t="s">
        <v>1525</v>
      </c>
      <c r="D782" s="16" t="s">
        <v>49</v>
      </c>
      <c r="E782" s="12" t="s">
        <v>70</v>
      </c>
      <c r="F782" s="12" t="s">
        <v>1526</v>
      </c>
      <c r="G782" s="13">
        <v>1874</v>
      </c>
      <c r="H782" s="13"/>
      <c r="I782" s="13"/>
      <c r="J782" s="13">
        <v>1854</v>
      </c>
      <c r="K782" s="13">
        <v>0</v>
      </c>
      <c r="L782" s="13">
        <f t="shared" si="145"/>
        <v>1874</v>
      </c>
      <c r="M782" s="13" t="str">
        <f t="shared" si="146"/>
        <v/>
      </c>
      <c r="N782" s="13">
        <f t="shared" si="147"/>
        <v>1854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IF($T783="","",1+COUNTIF($W$15:$W$878,"&lt;"&amp;W783))</f>
        <v/>
      </c>
      <c r="B783" s="12" t="s">
        <v>18</v>
      </c>
      <c r="C783" s="12" t="s">
        <v>1527</v>
      </c>
      <c r="D783" s="16" t="s">
        <v>49</v>
      </c>
      <c r="E783" s="12" t="s">
        <v>26</v>
      </c>
      <c r="F783" s="12" t="s">
        <v>1528</v>
      </c>
      <c r="G783" s="13">
        <v>1874</v>
      </c>
      <c r="H783" s="13"/>
      <c r="I783" s="13"/>
      <c r="J783" s="13">
        <v>1855</v>
      </c>
      <c r="K783" s="13">
        <f>IF(AND(IFERROR(SEARCH("현대오일뱅크",$C783),0)&gt;0,IFERROR(SEARCH("직영",$C783),0)&gt;0),$B$13,0)</f>
        <v>0</v>
      </c>
      <c r="L783" s="13">
        <f t="shared" ref="L783:L846" si="159">IF($G783="","",$G783+$K783)</f>
        <v>1874</v>
      </c>
      <c r="M783" s="13" t="str">
        <f t="shared" ref="M783:M846" si="160">IF($H783="","",$H783+$K783)</f>
        <v/>
      </c>
      <c r="N783" s="13">
        <f t="shared" ref="N783:N846" si="161">IF($J783="","",$J783+$K783)</f>
        <v>1855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8</v>
      </c>
      <c r="C784" s="12" t="s">
        <v>1533</v>
      </c>
      <c r="D784" s="12" t="s">
        <v>137</v>
      </c>
      <c r="E784" s="12" t="s">
        <v>26</v>
      </c>
      <c r="F784" s="12" t="s">
        <v>1534</v>
      </c>
      <c r="G784" s="13">
        <v>1875</v>
      </c>
      <c r="H784" s="13"/>
      <c r="I784" s="13"/>
      <c r="J784" s="13">
        <v>1855</v>
      </c>
      <c r="K784" s="13">
        <f>IF(AND(IFERROR(SEARCH("현대오일뱅크",$C784),0)&gt;0,IFERROR(SEARCH("직영",$C784),0)&gt;0),$B$13,0)</f>
        <v>0</v>
      </c>
      <c r="L784" s="13">
        <f t="shared" si="159"/>
        <v>1875</v>
      </c>
      <c r="M784" s="13" t="str">
        <f t="shared" si="160"/>
        <v/>
      </c>
      <c r="N784" s="13">
        <f t="shared" si="161"/>
        <v>1855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17" customFormat="1" ht="28.5" customHeight="1">
      <c r="A785" s="12" t="str">
        <f t="shared" si="158"/>
        <v/>
      </c>
      <c r="B785" s="12" t="s">
        <v>8</v>
      </c>
      <c r="C785" s="12" t="s">
        <v>1536</v>
      </c>
      <c r="D785" s="12" t="s">
        <v>137</v>
      </c>
      <c r="E785" s="12" t="s">
        <v>70</v>
      </c>
      <c r="F785" s="12" t="s">
        <v>1537</v>
      </c>
      <c r="G785" s="13">
        <v>1875</v>
      </c>
      <c r="H785" s="13"/>
      <c r="I785" s="13"/>
      <c r="J785" s="13">
        <v>1859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1859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14</v>
      </c>
      <c r="C786" s="12" t="s">
        <v>1538</v>
      </c>
      <c r="D786" s="12" t="s">
        <v>82</v>
      </c>
      <c r="E786" s="12" t="s">
        <v>26</v>
      </c>
      <c r="F786" s="12" t="s">
        <v>1539</v>
      </c>
      <c r="G786" s="13">
        <v>1875</v>
      </c>
      <c r="H786" s="13"/>
      <c r="I786" s="13"/>
      <c r="J786" s="13">
        <v>1868</v>
      </c>
      <c r="K786" s="13">
        <f>IF(AND(IFERROR(SEARCH("현대오일뱅크",$C786),0)&gt;0,IFERROR(SEARCH("직영",$C786),0)&gt;0),$B$13,0)</f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1868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12</v>
      </c>
      <c r="C787" s="12" t="s">
        <v>1540</v>
      </c>
      <c r="D787" s="16" t="s">
        <v>49</v>
      </c>
      <c r="E787" s="12" t="s">
        <v>70</v>
      </c>
      <c r="F787" s="12" t="s">
        <v>1541</v>
      </c>
      <c r="G787" s="13">
        <v>1875</v>
      </c>
      <c r="H787" s="13"/>
      <c r="I787" s="13"/>
      <c r="J787" s="13">
        <v>1870</v>
      </c>
      <c r="K787" s="13"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1870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12</v>
      </c>
      <c r="C788" s="12" t="s">
        <v>1542</v>
      </c>
      <c r="D788" s="16" t="s">
        <v>49</v>
      </c>
      <c r="E788" s="12" t="s">
        <v>70</v>
      </c>
      <c r="F788" s="12" t="s">
        <v>1543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17" customFormat="1" ht="28.5" customHeight="1">
      <c r="A789" s="12" t="str">
        <f t="shared" si="158"/>
        <v/>
      </c>
      <c r="B789" s="12" t="s">
        <v>12</v>
      </c>
      <c r="C789" s="12" t="s">
        <v>1544</v>
      </c>
      <c r="D789" s="16" t="s">
        <v>49</v>
      </c>
      <c r="E789" s="12" t="s">
        <v>70</v>
      </c>
      <c r="F789" s="12" t="s">
        <v>1545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6</v>
      </c>
      <c r="C790" s="12" t="s">
        <v>1546</v>
      </c>
      <c r="D790" s="16" t="s">
        <v>49</v>
      </c>
      <c r="E790" s="12" t="s">
        <v>26</v>
      </c>
      <c r="F790" s="12" t="s">
        <v>1547</v>
      </c>
      <c r="G790" s="13">
        <v>1875</v>
      </c>
      <c r="H790" s="13"/>
      <c r="I790" s="13"/>
      <c r="J790" s="13">
        <v>1875</v>
      </c>
      <c r="K790" s="13">
        <f t="shared" ref="K790:K821" si="170"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1875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12</v>
      </c>
      <c r="C791" s="12" t="s">
        <v>1550</v>
      </c>
      <c r="D791" s="16" t="s">
        <v>52</v>
      </c>
      <c r="E791" s="12" t="s">
        <v>70</v>
      </c>
      <c r="F791" s="12" t="s">
        <v>1551</v>
      </c>
      <c r="G791" s="13">
        <v>1878</v>
      </c>
      <c r="H791" s="13"/>
      <c r="I791" s="13"/>
      <c r="J791" s="13">
        <v>1822</v>
      </c>
      <c r="K791" s="13">
        <f t="shared" si="170"/>
        <v>0</v>
      </c>
      <c r="L791" s="13">
        <f t="shared" si="159"/>
        <v>1878</v>
      </c>
      <c r="M791" s="13" t="str">
        <f t="shared" si="160"/>
        <v/>
      </c>
      <c r="N791" s="13">
        <f t="shared" si="161"/>
        <v>1822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14</v>
      </c>
      <c r="C792" s="12" t="s">
        <v>1651</v>
      </c>
      <c r="D792" s="12" t="s">
        <v>82</v>
      </c>
      <c r="E792" s="12" t="s">
        <v>26</v>
      </c>
      <c r="F792" s="12" t="s">
        <v>1652</v>
      </c>
      <c r="G792" s="13">
        <v>1878</v>
      </c>
      <c r="H792" s="13"/>
      <c r="I792" s="13"/>
      <c r="J792" s="13">
        <v>1857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1857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17" customFormat="1" ht="28.5" customHeight="1">
      <c r="A793" s="12" t="str">
        <f t="shared" si="158"/>
        <v/>
      </c>
      <c r="B793" s="12" t="s">
        <v>14</v>
      </c>
      <c r="C793" s="12" t="s">
        <v>1552</v>
      </c>
      <c r="D793" s="12" t="s">
        <v>82</v>
      </c>
      <c r="E793" s="12" t="s">
        <v>26</v>
      </c>
      <c r="F793" s="12" t="s">
        <v>1553</v>
      </c>
      <c r="G793" s="13">
        <v>1878</v>
      </c>
      <c r="H793" s="13"/>
      <c r="I793" s="13"/>
      <c r="J793" s="13">
        <v>1878</v>
      </c>
      <c r="K793" s="13">
        <f t="shared" si="170"/>
        <v>0</v>
      </c>
      <c r="L793" s="13">
        <f t="shared" si="159"/>
        <v>1878</v>
      </c>
      <c r="M793" s="13" t="str">
        <f t="shared" si="160"/>
        <v/>
      </c>
      <c r="N793" s="13">
        <f t="shared" si="161"/>
        <v>1878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14</v>
      </c>
      <c r="C794" s="12" t="s">
        <v>1554</v>
      </c>
      <c r="D794" s="12" t="s">
        <v>82</v>
      </c>
      <c r="E794" s="12" t="s">
        <v>26</v>
      </c>
      <c r="F794" s="12" t="s">
        <v>1555</v>
      </c>
      <c r="G794" s="13">
        <v>1879</v>
      </c>
      <c r="H794" s="13"/>
      <c r="I794" s="13"/>
      <c r="J794" s="13">
        <v>1865</v>
      </c>
      <c r="K794" s="13">
        <f t="shared" si="170"/>
        <v>0</v>
      </c>
      <c r="L794" s="13">
        <f t="shared" si="159"/>
        <v>1879</v>
      </c>
      <c r="M794" s="13" t="str">
        <f t="shared" si="160"/>
        <v/>
      </c>
      <c r="N794" s="13">
        <f t="shared" si="161"/>
        <v>1865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14</v>
      </c>
      <c r="C795" s="12" t="s">
        <v>1556</v>
      </c>
      <c r="D795" s="16" t="s">
        <v>61</v>
      </c>
      <c r="E795" s="12" t="s">
        <v>26</v>
      </c>
      <c r="F795" s="12" t="s">
        <v>1557</v>
      </c>
      <c r="G795" s="13">
        <v>1879</v>
      </c>
      <c r="H795" s="13"/>
      <c r="I795" s="13"/>
      <c r="J795" s="13">
        <v>1865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18</v>
      </c>
      <c r="C796" s="12" t="s">
        <v>1558</v>
      </c>
      <c r="D796" s="16" t="s">
        <v>52</v>
      </c>
      <c r="E796" s="12" t="s">
        <v>26</v>
      </c>
      <c r="F796" s="12" t="s">
        <v>1559</v>
      </c>
      <c r="G796" s="13">
        <v>1879</v>
      </c>
      <c r="H796" s="13"/>
      <c r="I796" s="13"/>
      <c r="J796" s="13">
        <v>1869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1869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14</v>
      </c>
      <c r="C797" s="12" t="s">
        <v>1493</v>
      </c>
      <c r="D797" s="16" t="s">
        <v>49</v>
      </c>
      <c r="E797" s="12" t="s">
        <v>70</v>
      </c>
      <c r="F797" s="12" t="s">
        <v>1494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1562</v>
      </c>
      <c r="D798" s="16" t="s">
        <v>49</v>
      </c>
      <c r="E798" s="12" t="s">
        <v>70</v>
      </c>
      <c r="F798" s="12" t="s">
        <v>1563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8" customFormat="1" ht="28.5" customHeight="1">
      <c r="A799" s="12" t="str">
        <f t="shared" si="158"/>
        <v/>
      </c>
      <c r="B799" s="12" t="s">
        <v>14</v>
      </c>
      <c r="C799" s="12" t="s">
        <v>1564</v>
      </c>
      <c r="D799" s="16" t="s">
        <v>49</v>
      </c>
      <c r="E799" s="12" t="s">
        <v>70</v>
      </c>
      <c r="F799" s="12" t="s">
        <v>1565</v>
      </c>
      <c r="G799" s="13">
        <v>1879</v>
      </c>
      <c r="H799" s="13"/>
      <c r="I799" s="13"/>
      <c r="J799" s="13">
        <v>1879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1879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1681</v>
      </c>
      <c r="D800" s="16" t="s">
        <v>52</v>
      </c>
      <c r="E800" s="12" t="s">
        <v>26</v>
      </c>
      <c r="F800" s="12" t="s">
        <v>1682</v>
      </c>
      <c r="G800" s="13">
        <v>1879</v>
      </c>
      <c r="H800" s="13"/>
      <c r="I800" s="13"/>
      <c r="J800" s="13">
        <v>1899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1899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8" customFormat="1" ht="28.5" customHeight="1">
      <c r="A801" s="12" t="str">
        <f t="shared" si="158"/>
        <v/>
      </c>
      <c r="B801" s="12" t="s">
        <v>16</v>
      </c>
      <c r="C801" s="12" t="s">
        <v>1568</v>
      </c>
      <c r="D801" s="12" t="s">
        <v>82</v>
      </c>
      <c r="E801" s="12" t="s">
        <v>26</v>
      </c>
      <c r="F801" s="12" t="s">
        <v>1569</v>
      </c>
      <c r="G801" s="13">
        <v>1885</v>
      </c>
      <c r="H801" s="13"/>
      <c r="I801" s="13"/>
      <c r="J801" s="13">
        <v>1825</v>
      </c>
      <c r="K801" s="13">
        <f t="shared" si="170"/>
        <v>0</v>
      </c>
      <c r="L801" s="13">
        <f t="shared" si="159"/>
        <v>1885</v>
      </c>
      <c r="M801" s="13" t="str">
        <f t="shared" si="160"/>
        <v/>
      </c>
      <c r="N801" s="13">
        <f t="shared" si="161"/>
        <v>1825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6</v>
      </c>
      <c r="C802" s="12" t="s">
        <v>1300</v>
      </c>
      <c r="D802" s="12" t="s">
        <v>82</v>
      </c>
      <c r="E802" s="12" t="s">
        <v>26</v>
      </c>
      <c r="F802" s="12" t="s">
        <v>1301</v>
      </c>
      <c r="G802" s="13">
        <v>1885</v>
      </c>
      <c r="H802" s="13"/>
      <c r="I802" s="13"/>
      <c r="J802" s="13">
        <v>1835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1835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18</v>
      </c>
      <c r="C803" s="12" t="s">
        <v>1637</v>
      </c>
      <c r="D803" s="16" t="s">
        <v>49</v>
      </c>
      <c r="E803" s="12" t="s">
        <v>70</v>
      </c>
      <c r="F803" s="12" t="s">
        <v>1638</v>
      </c>
      <c r="G803" s="13">
        <v>1885</v>
      </c>
      <c r="H803" s="13"/>
      <c r="I803" s="13"/>
      <c r="J803" s="13">
        <v>1850</v>
      </c>
      <c r="K803" s="13">
        <f t="shared" si="170"/>
        <v>0</v>
      </c>
      <c r="L803" s="13">
        <f t="shared" si="159"/>
        <v>1885</v>
      </c>
      <c r="M803" s="13" t="str">
        <f t="shared" si="160"/>
        <v/>
      </c>
      <c r="N803" s="13">
        <f t="shared" si="161"/>
        <v>1850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1572</v>
      </c>
      <c r="D804" s="16" t="s">
        <v>49</v>
      </c>
      <c r="E804" s="12" t="s">
        <v>70</v>
      </c>
      <c r="F804" s="12" t="s">
        <v>1573</v>
      </c>
      <c r="G804" s="13">
        <v>1886</v>
      </c>
      <c r="H804" s="13"/>
      <c r="I804" s="13"/>
      <c r="J804" s="13">
        <v>1856</v>
      </c>
      <c r="K804" s="13">
        <f t="shared" si="170"/>
        <v>0</v>
      </c>
      <c r="L804" s="13">
        <f t="shared" si="159"/>
        <v>1886</v>
      </c>
      <c r="M804" s="13" t="str">
        <f t="shared" si="160"/>
        <v/>
      </c>
      <c r="N804" s="13">
        <f t="shared" si="161"/>
        <v>1856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8" customFormat="1" ht="28.5" customHeight="1">
      <c r="A805" s="12" t="str">
        <f t="shared" si="158"/>
        <v/>
      </c>
      <c r="B805" s="12" t="s">
        <v>12</v>
      </c>
      <c r="C805" s="12" t="s">
        <v>1580</v>
      </c>
      <c r="D805" s="16" t="s">
        <v>82</v>
      </c>
      <c r="E805" s="12" t="s">
        <v>26</v>
      </c>
      <c r="F805" s="12" t="s">
        <v>1581</v>
      </c>
      <c r="G805" s="13">
        <v>1887</v>
      </c>
      <c r="H805" s="13"/>
      <c r="I805" s="13"/>
      <c r="J805" s="13">
        <v>1827</v>
      </c>
      <c r="K805" s="13">
        <f t="shared" si="170"/>
        <v>0</v>
      </c>
      <c r="L805" s="13">
        <f t="shared" si="159"/>
        <v>1887</v>
      </c>
      <c r="M805" s="13" t="str">
        <f t="shared" si="160"/>
        <v/>
      </c>
      <c r="N805" s="13">
        <f t="shared" si="161"/>
        <v>1827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18</v>
      </c>
      <c r="C806" s="12" t="s">
        <v>1574</v>
      </c>
      <c r="D806" s="12" t="s">
        <v>82</v>
      </c>
      <c r="E806" s="12" t="s">
        <v>70</v>
      </c>
      <c r="F806" s="12" t="s">
        <v>1575</v>
      </c>
      <c r="G806" s="13">
        <v>1887</v>
      </c>
      <c r="H806" s="13"/>
      <c r="I806" s="13"/>
      <c r="J806" s="13">
        <v>1857</v>
      </c>
      <c r="K806" s="13">
        <f t="shared" si="170"/>
        <v>0</v>
      </c>
      <c r="L806" s="13">
        <f t="shared" si="159"/>
        <v>1887</v>
      </c>
      <c r="M806" s="13" t="str">
        <f t="shared" si="160"/>
        <v/>
      </c>
      <c r="N806" s="13">
        <f t="shared" si="161"/>
        <v>1857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8" customFormat="1" ht="28.5" customHeight="1">
      <c r="A807" s="12" t="str">
        <f t="shared" si="158"/>
        <v/>
      </c>
      <c r="B807" s="12" t="s">
        <v>10</v>
      </c>
      <c r="C807" s="12" t="s">
        <v>1576</v>
      </c>
      <c r="D807" s="16" t="s">
        <v>61</v>
      </c>
      <c r="E807" s="12" t="s">
        <v>70</v>
      </c>
      <c r="F807" s="12" t="s">
        <v>1577</v>
      </c>
      <c r="G807" s="13">
        <v>1888</v>
      </c>
      <c r="H807" s="13"/>
      <c r="I807" s="13"/>
      <c r="J807" s="13">
        <v>1878</v>
      </c>
      <c r="K807" s="13">
        <f t="shared" si="170"/>
        <v>0</v>
      </c>
      <c r="L807" s="13">
        <f t="shared" si="159"/>
        <v>1888</v>
      </c>
      <c r="M807" s="13" t="str">
        <f t="shared" si="160"/>
        <v/>
      </c>
      <c r="N807" s="13">
        <f t="shared" si="161"/>
        <v>1878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10</v>
      </c>
      <c r="C808" s="12" t="s">
        <v>1578</v>
      </c>
      <c r="D808" s="16" t="s">
        <v>52</v>
      </c>
      <c r="E808" s="12" t="s">
        <v>70</v>
      </c>
      <c r="F808" s="12" t="s">
        <v>1579</v>
      </c>
      <c r="G808" s="13">
        <v>1889</v>
      </c>
      <c r="H808" s="13"/>
      <c r="I808" s="13"/>
      <c r="J808" s="13">
        <v>1828</v>
      </c>
      <c r="K808" s="13">
        <f t="shared" si="170"/>
        <v>0</v>
      </c>
      <c r="L808" s="13">
        <f t="shared" si="159"/>
        <v>1889</v>
      </c>
      <c r="M808" s="13" t="str">
        <f t="shared" si="160"/>
        <v/>
      </c>
      <c r="N808" s="13">
        <f t="shared" si="161"/>
        <v>1828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10</v>
      </c>
      <c r="C809" s="12" t="s">
        <v>1582</v>
      </c>
      <c r="D809" s="12" t="s">
        <v>82</v>
      </c>
      <c r="E809" s="12" t="s">
        <v>26</v>
      </c>
      <c r="F809" s="12" t="s">
        <v>1583</v>
      </c>
      <c r="G809" s="13">
        <v>1889</v>
      </c>
      <c r="H809" s="13"/>
      <c r="I809" s="13"/>
      <c r="J809" s="13">
        <v>1859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1859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14</v>
      </c>
      <c r="C810" s="12" t="s">
        <v>1584</v>
      </c>
      <c r="D810" s="12" t="s">
        <v>137</v>
      </c>
      <c r="E810" s="12" t="s">
        <v>70</v>
      </c>
      <c r="F810" s="12" t="s">
        <v>1585</v>
      </c>
      <c r="G810" s="13">
        <v>1889</v>
      </c>
      <c r="H810" s="13"/>
      <c r="I810" s="13"/>
      <c r="J810" s="13">
        <v>1869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1869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14</v>
      </c>
      <c r="C811" s="12" t="s">
        <v>1586</v>
      </c>
      <c r="D811" s="16" t="s">
        <v>49</v>
      </c>
      <c r="E811" s="12" t="s">
        <v>70</v>
      </c>
      <c r="F811" s="12" t="s">
        <v>1587</v>
      </c>
      <c r="G811" s="13">
        <v>1889</v>
      </c>
      <c r="H811" s="13"/>
      <c r="I811" s="13"/>
      <c r="J811" s="13">
        <v>1869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1869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17" customFormat="1" ht="28.5" customHeight="1">
      <c r="A812" s="12" t="str">
        <f t="shared" si="158"/>
        <v/>
      </c>
      <c r="B812" s="12" t="s">
        <v>10</v>
      </c>
      <c r="C812" s="12" t="s">
        <v>1594</v>
      </c>
      <c r="D812" s="16" t="s">
        <v>49</v>
      </c>
      <c r="E812" s="12" t="s">
        <v>26</v>
      </c>
      <c r="F812" s="12" t="s">
        <v>1595</v>
      </c>
      <c r="G812" s="13">
        <v>1889</v>
      </c>
      <c r="H812" s="13"/>
      <c r="I812" s="13"/>
      <c r="J812" s="13">
        <v>1875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1875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12</v>
      </c>
      <c r="C813" s="12" t="s">
        <v>1588</v>
      </c>
      <c r="D813" s="16" t="s">
        <v>61</v>
      </c>
      <c r="E813" s="12" t="s">
        <v>70</v>
      </c>
      <c r="F813" s="12" t="s">
        <v>1589</v>
      </c>
      <c r="G813" s="13">
        <v>1889</v>
      </c>
      <c r="H813" s="13"/>
      <c r="I813" s="13"/>
      <c r="J813" s="13">
        <v>1879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1879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10</v>
      </c>
      <c r="C814" s="12" t="s">
        <v>1743</v>
      </c>
      <c r="D814" s="12" t="s">
        <v>49</v>
      </c>
      <c r="E814" s="12" t="s">
        <v>26</v>
      </c>
      <c r="F814" s="12" t="s">
        <v>1744</v>
      </c>
      <c r="G814" s="13">
        <v>1889</v>
      </c>
      <c r="H814" s="13"/>
      <c r="I814" s="13"/>
      <c r="J814" s="13">
        <v>1879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1879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10</v>
      </c>
      <c r="C815" s="12" t="s">
        <v>1590</v>
      </c>
      <c r="D815" s="16" t="s">
        <v>61</v>
      </c>
      <c r="E815" s="12" t="s">
        <v>70</v>
      </c>
      <c r="F815" s="12" t="s">
        <v>1591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18</v>
      </c>
      <c r="C816" s="12" t="s">
        <v>1592</v>
      </c>
      <c r="D816" s="12" t="s">
        <v>137</v>
      </c>
      <c r="E816" s="12" t="s">
        <v>70</v>
      </c>
      <c r="F816" s="12" t="s">
        <v>1593</v>
      </c>
      <c r="G816" s="13">
        <v>1889</v>
      </c>
      <c r="H816" s="13"/>
      <c r="I816" s="13"/>
      <c r="J816" s="13">
        <v>1889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1889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18</v>
      </c>
      <c r="C817" s="12" t="s">
        <v>1620</v>
      </c>
      <c r="D817" s="16" t="s">
        <v>52</v>
      </c>
      <c r="E817" s="12" t="s">
        <v>26</v>
      </c>
      <c r="F817" s="12" t="s">
        <v>1621</v>
      </c>
      <c r="G817" s="13">
        <v>1890</v>
      </c>
      <c r="H817" s="13"/>
      <c r="I817" s="13"/>
      <c r="J817" s="13">
        <v>1855</v>
      </c>
      <c r="K817" s="13">
        <f t="shared" si="170"/>
        <v>0</v>
      </c>
      <c r="L817" s="13">
        <f t="shared" si="159"/>
        <v>1890</v>
      </c>
      <c r="M817" s="13" t="str">
        <f t="shared" si="160"/>
        <v/>
      </c>
      <c r="N817" s="13">
        <f t="shared" si="161"/>
        <v>1855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16</v>
      </c>
      <c r="C818" s="12" t="s">
        <v>1515</v>
      </c>
      <c r="D818" s="12" t="s">
        <v>137</v>
      </c>
      <c r="E818" s="12" t="s">
        <v>26</v>
      </c>
      <c r="F818" s="12" t="s">
        <v>1516</v>
      </c>
      <c r="G818" s="13">
        <v>1890</v>
      </c>
      <c r="H818" s="13"/>
      <c r="I818" s="13"/>
      <c r="J818" s="13">
        <v>1870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1870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17" customFormat="1" ht="28.5" customHeight="1">
      <c r="A819" s="12" t="str">
        <f t="shared" si="158"/>
        <v/>
      </c>
      <c r="B819" s="12" t="s">
        <v>16</v>
      </c>
      <c r="C819" s="12" t="s">
        <v>1598</v>
      </c>
      <c r="D819" s="12" t="s">
        <v>137</v>
      </c>
      <c r="E819" s="12" t="s">
        <v>70</v>
      </c>
      <c r="F819" s="12" t="s">
        <v>1599</v>
      </c>
      <c r="G819" s="13">
        <v>1890</v>
      </c>
      <c r="H819" s="13"/>
      <c r="I819" s="13"/>
      <c r="J819" s="13">
        <v>1870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1870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8" customFormat="1" ht="28.5" customHeight="1">
      <c r="A820" s="12" t="str">
        <f t="shared" si="158"/>
        <v/>
      </c>
      <c r="B820" s="12" t="s">
        <v>16</v>
      </c>
      <c r="C820" s="12" t="s">
        <v>1600</v>
      </c>
      <c r="D820" s="16" t="s">
        <v>52</v>
      </c>
      <c r="E820" s="12" t="s">
        <v>70</v>
      </c>
      <c r="F820" s="12" t="s">
        <v>1601</v>
      </c>
      <c r="G820" s="13">
        <v>1890</v>
      </c>
      <c r="H820" s="13"/>
      <c r="I820" s="13"/>
      <c r="J820" s="13">
        <v>1880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1880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17" customFormat="1" ht="28.5" customHeight="1">
      <c r="A821" s="12" t="str">
        <f t="shared" si="158"/>
        <v/>
      </c>
      <c r="B821" s="12" t="s">
        <v>16</v>
      </c>
      <c r="C821" s="12" t="s">
        <v>1602</v>
      </c>
      <c r="D821" s="12" t="s">
        <v>137</v>
      </c>
      <c r="E821" s="12" t="s">
        <v>26</v>
      </c>
      <c r="F821" s="12" t="s">
        <v>1603</v>
      </c>
      <c r="G821" s="13">
        <v>1890</v>
      </c>
      <c r="H821" s="13"/>
      <c r="I821" s="13"/>
      <c r="J821" s="13">
        <v>1880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1604</v>
      </c>
      <c r="D822" s="12" t="s">
        <v>137</v>
      </c>
      <c r="E822" s="12" t="s">
        <v>70</v>
      </c>
      <c r="F822" s="12" t="s">
        <v>1605</v>
      </c>
      <c r="G822" s="13">
        <v>1890</v>
      </c>
      <c r="H822" s="13"/>
      <c r="I822" s="13"/>
      <c r="J822" s="13">
        <v>1880</v>
      </c>
      <c r="K822" s="13">
        <f t="shared" ref="K822:K853" si="171">IF(AND(IFERROR(SEARCH("현대오일뱅크",$C822),0)&gt;0,IFERROR(SEARCH("직영",$C822),0)&gt;0),$B$13,0)</f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8" customFormat="1" ht="28.5" customHeight="1">
      <c r="A823" s="12" t="str">
        <f t="shared" si="158"/>
        <v/>
      </c>
      <c r="B823" s="12" t="s">
        <v>16</v>
      </c>
      <c r="C823" s="12" t="s">
        <v>1606</v>
      </c>
      <c r="D823" s="12" t="s">
        <v>137</v>
      </c>
      <c r="E823" s="12" t="s">
        <v>70</v>
      </c>
      <c r="F823" s="12" t="s">
        <v>1607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2" customFormat="1" ht="28.5" customHeight="1">
      <c r="A824" s="12" t="str">
        <f t="shared" si="158"/>
        <v/>
      </c>
      <c r="B824" s="12" t="s">
        <v>16</v>
      </c>
      <c r="C824" s="12" t="s">
        <v>1608</v>
      </c>
      <c r="D824" s="12" t="s">
        <v>137</v>
      </c>
      <c r="E824" s="12" t="s">
        <v>26</v>
      </c>
      <c r="F824" s="12" t="s">
        <v>1609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8" customFormat="1" ht="28.5" customHeight="1">
      <c r="A825" s="12" t="str">
        <f t="shared" si="158"/>
        <v/>
      </c>
      <c r="B825" s="12" t="s">
        <v>18</v>
      </c>
      <c r="C825" s="12" t="s">
        <v>1610</v>
      </c>
      <c r="D825" s="12" t="s">
        <v>137</v>
      </c>
      <c r="E825" s="12" t="s">
        <v>70</v>
      </c>
      <c r="F825" s="12" t="s">
        <v>1611</v>
      </c>
      <c r="G825" s="13">
        <v>1890</v>
      </c>
      <c r="H825" s="13"/>
      <c r="I825" s="13"/>
      <c r="J825" s="13">
        <v>1890</v>
      </c>
      <c r="K825" s="13">
        <f t="shared" si="171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1890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6</v>
      </c>
      <c r="C826" s="12" t="s">
        <v>1458</v>
      </c>
      <c r="D826" s="16" t="s">
        <v>49</v>
      </c>
      <c r="E826" s="12" t="s">
        <v>26</v>
      </c>
      <c r="F826" s="12" t="s">
        <v>1459</v>
      </c>
      <c r="G826" s="13">
        <v>1892</v>
      </c>
      <c r="H826" s="13"/>
      <c r="I826" s="13"/>
      <c r="J826" s="13">
        <v>1882</v>
      </c>
      <c r="K826" s="13">
        <f t="shared" si="171"/>
        <v>0</v>
      </c>
      <c r="L826" s="13">
        <f t="shared" si="159"/>
        <v>1892</v>
      </c>
      <c r="M826" s="13" t="str">
        <f t="shared" si="160"/>
        <v/>
      </c>
      <c r="N826" s="13">
        <f t="shared" si="161"/>
        <v>1882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10</v>
      </c>
      <c r="C827" s="12" t="s">
        <v>1616</v>
      </c>
      <c r="D827" s="16" t="s">
        <v>52</v>
      </c>
      <c r="E827" s="12" t="s">
        <v>70</v>
      </c>
      <c r="F827" s="12" t="s">
        <v>1617</v>
      </c>
      <c r="G827" s="13">
        <v>1895</v>
      </c>
      <c r="H827" s="13"/>
      <c r="I827" s="13"/>
      <c r="J827" s="13">
        <v>1839</v>
      </c>
      <c r="K827" s="13">
        <f t="shared" si="171"/>
        <v>0</v>
      </c>
      <c r="L827" s="13">
        <f t="shared" si="159"/>
        <v>1895</v>
      </c>
      <c r="M827" s="13" t="str">
        <f t="shared" si="160"/>
        <v/>
      </c>
      <c r="N827" s="13">
        <f t="shared" si="161"/>
        <v>1839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18</v>
      </c>
      <c r="C828" s="12" t="s">
        <v>1618</v>
      </c>
      <c r="D828" s="12" t="s">
        <v>82</v>
      </c>
      <c r="E828" s="12" t="s">
        <v>70</v>
      </c>
      <c r="F828" s="12" t="s">
        <v>1619</v>
      </c>
      <c r="G828" s="13">
        <v>1895</v>
      </c>
      <c r="H828" s="13"/>
      <c r="I828" s="13"/>
      <c r="J828" s="13">
        <v>1869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1869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1622</v>
      </c>
      <c r="D829" s="16" t="s">
        <v>49</v>
      </c>
      <c r="E829" s="12" t="s">
        <v>26</v>
      </c>
      <c r="F829" s="12" t="s">
        <v>1623</v>
      </c>
      <c r="G829" s="13">
        <v>1895</v>
      </c>
      <c r="H829" s="13"/>
      <c r="I829" s="13"/>
      <c r="J829" s="13">
        <v>1875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1875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12</v>
      </c>
      <c r="C830" s="12" t="s">
        <v>1624</v>
      </c>
      <c r="D830" s="16" t="s">
        <v>82</v>
      </c>
      <c r="E830" s="12" t="s">
        <v>70</v>
      </c>
      <c r="F830" s="12" t="s">
        <v>1625</v>
      </c>
      <c r="G830" s="13">
        <v>1895</v>
      </c>
      <c r="H830" s="13"/>
      <c r="I830" s="13"/>
      <c r="J830" s="13">
        <v>1875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1875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8" customFormat="1" ht="28.5" customHeight="1">
      <c r="A831" s="12" t="str">
        <f t="shared" si="158"/>
        <v/>
      </c>
      <c r="B831" s="12" t="s">
        <v>10</v>
      </c>
      <c r="C831" s="12" t="s">
        <v>513</v>
      </c>
      <c r="D831" s="16" t="s">
        <v>61</v>
      </c>
      <c r="E831" s="12" t="s">
        <v>70</v>
      </c>
      <c r="F831" s="12" t="s">
        <v>1632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10</v>
      </c>
      <c r="C832" s="12" t="s">
        <v>1633</v>
      </c>
      <c r="D832" s="12" t="s">
        <v>82</v>
      </c>
      <c r="E832" s="12" t="s">
        <v>70</v>
      </c>
      <c r="F832" s="12" t="s">
        <v>1634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18</v>
      </c>
      <c r="C833" s="12" t="s">
        <v>1635</v>
      </c>
      <c r="D833" s="16" t="s">
        <v>49</v>
      </c>
      <c r="E833" s="12" t="s">
        <v>70</v>
      </c>
      <c r="F833" s="12" t="s">
        <v>1636</v>
      </c>
      <c r="G833" s="13">
        <v>1895</v>
      </c>
      <c r="H833" s="13"/>
      <c r="I833" s="13"/>
      <c r="J833" s="13">
        <v>1885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1885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10</v>
      </c>
      <c r="C834" s="12" t="s">
        <v>1639</v>
      </c>
      <c r="D834" s="16" t="s">
        <v>49</v>
      </c>
      <c r="E834" s="12" t="s">
        <v>70</v>
      </c>
      <c r="F834" s="12" t="s">
        <v>1640</v>
      </c>
      <c r="G834" s="13">
        <v>1895</v>
      </c>
      <c r="H834" s="13"/>
      <c r="I834" s="13"/>
      <c r="J834" s="13">
        <v>1885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1885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18</v>
      </c>
      <c r="C835" s="12" t="s">
        <v>1641</v>
      </c>
      <c r="D835" s="12" t="s">
        <v>137</v>
      </c>
      <c r="E835" s="12" t="s">
        <v>70</v>
      </c>
      <c r="F835" s="12" t="s">
        <v>1642</v>
      </c>
      <c r="G835" s="13">
        <v>1895</v>
      </c>
      <c r="H835" s="13"/>
      <c r="I835" s="13"/>
      <c r="J835" s="13">
        <v>1890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1890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8</v>
      </c>
      <c r="C836" s="12" t="s">
        <v>1643</v>
      </c>
      <c r="D836" s="16" t="s">
        <v>61</v>
      </c>
      <c r="E836" s="12" t="s">
        <v>70</v>
      </c>
      <c r="F836" s="12" t="s">
        <v>1644</v>
      </c>
      <c r="G836" s="13">
        <v>1895</v>
      </c>
      <c r="H836" s="13"/>
      <c r="I836" s="13"/>
      <c r="J836" s="13">
        <v>1895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1895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12</v>
      </c>
      <c r="C837" s="12" t="s">
        <v>1697</v>
      </c>
      <c r="D837" s="16" t="s">
        <v>61</v>
      </c>
      <c r="E837" s="12" t="s">
        <v>70</v>
      </c>
      <c r="F837" s="12" t="s">
        <v>1698</v>
      </c>
      <c r="G837" s="13">
        <v>1897</v>
      </c>
      <c r="H837" s="13"/>
      <c r="I837" s="13"/>
      <c r="J837" s="13">
        <v>1877</v>
      </c>
      <c r="K837" s="13">
        <f t="shared" si="171"/>
        <v>0</v>
      </c>
      <c r="L837" s="13">
        <f t="shared" si="159"/>
        <v>1897</v>
      </c>
      <c r="M837" s="13" t="str">
        <f t="shared" si="160"/>
        <v/>
      </c>
      <c r="N837" s="13">
        <f t="shared" si="161"/>
        <v>1877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12</v>
      </c>
      <c r="C838" s="12" t="s">
        <v>1645</v>
      </c>
      <c r="D838" s="16" t="s">
        <v>52</v>
      </c>
      <c r="E838" s="12" t="s">
        <v>70</v>
      </c>
      <c r="F838" s="12" t="s">
        <v>1646</v>
      </c>
      <c r="G838" s="13">
        <v>1897</v>
      </c>
      <c r="H838" s="13"/>
      <c r="I838" s="13"/>
      <c r="J838" s="13">
        <v>1887</v>
      </c>
      <c r="K838" s="13">
        <f t="shared" si="171"/>
        <v>0</v>
      </c>
      <c r="L838" s="13">
        <f t="shared" si="159"/>
        <v>1897</v>
      </c>
      <c r="M838" s="13" t="str">
        <f t="shared" si="160"/>
        <v/>
      </c>
      <c r="N838" s="13">
        <f t="shared" si="161"/>
        <v>1887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17" customFormat="1" ht="28.5" customHeight="1">
      <c r="A839" s="12" t="str">
        <f t="shared" si="158"/>
        <v/>
      </c>
      <c r="B839" s="12" t="s">
        <v>14</v>
      </c>
      <c r="C839" s="12" t="s">
        <v>1649</v>
      </c>
      <c r="D839" s="16" t="s">
        <v>52</v>
      </c>
      <c r="E839" s="12" t="s">
        <v>26</v>
      </c>
      <c r="F839" s="12" t="s">
        <v>1650</v>
      </c>
      <c r="G839" s="13">
        <v>1898</v>
      </c>
      <c r="H839" s="13"/>
      <c r="I839" s="13"/>
      <c r="J839" s="13">
        <v>1858</v>
      </c>
      <c r="K839" s="13">
        <f t="shared" si="171"/>
        <v>0</v>
      </c>
      <c r="L839" s="13">
        <f t="shared" si="159"/>
        <v>1898</v>
      </c>
      <c r="M839" s="13" t="str">
        <f t="shared" si="160"/>
        <v/>
      </c>
      <c r="N839" s="13">
        <f t="shared" si="161"/>
        <v>1858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12</v>
      </c>
      <c r="C840" s="12" t="s">
        <v>1653</v>
      </c>
      <c r="D840" s="16" t="s">
        <v>49</v>
      </c>
      <c r="E840" s="12" t="s">
        <v>26</v>
      </c>
      <c r="F840" s="12" t="s">
        <v>1654</v>
      </c>
      <c r="G840" s="13">
        <v>1898</v>
      </c>
      <c r="H840" s="13"/>
      <c r="I840" s="13"/>
      <c r="J840" s="13">
        <v>1878</v>
      </c>
      <c r="K840" s="13">
        <f t="shared" si="171"/>
        <v>0</v>
      </c>
      <c r="L840" s="13">
        <f t="shared" si="159"/>
        <v>1898</v>
      </c>
      <c r="M840" s="13" t="str">
        <f t="shared" si="160"/>
        <v/>
      </c>
      <c r="N840" s="13">
        <f t="shared" si="161"/>
        <v>1878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17" customFormat="1" ht="28.5" customHeight="1">
      <c r="A841" s="12" t="str">
        <f t="shared" si="158"/>
        <v/>
      </c>
      <c r="B841" s="12" t="s">
        <v>14</v>
      </c>
      <c r="C841" s="12" t="s">
        <v>1655</v>
      </c>
      <c r="D841" s="12" t="s">
        <v>82</v>
      </c>
      <c r="E841" s="12" t="s">
        <v>70</v>
      </c>
      <c r="F841" s="12" t="s">
        <v>1656</v>
      </c>
      <c r="G841" s="13">
        <v>1898</v>
      </c>
      <c r="H841" s="13"/>
      <c r="I841" s="13"/>
      <c r="J841" s="13">
        <v>1881</v>
      </c>
      <c r="K841" s="13">
        <f t="shared" si="171"/>
        <v>0</v>
      </c>
      <c r="L841" s="13">
        <f t="shared" si="159"/>
        <v>1898</v>
      </c>
      <c r="M841" s="13" t="str">
        <f t="shared" si="160"/>
        <v/>
      </c>
      <c r="N841" s="13">
        <f t="shared" si="161"/>
        <v>1881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16</v>
      </c>
      <c r="C842" s="12" t="s">
        <v>1657</v>
      </c>
      <c r="D842" s="16" t="s">
        <v>49</v>
      </c>
      <c r="E842" s="12" t="s">
        <v>26</v>
      </c>
      <c r="F842" s="12" t="s">
        <v>1658</v>
      </c>
      <c r="G842" s="13">
        <v>1899</v>
      </c>
      <c r="H842" s="13"/>
      <c r="I842" s="13"/>
      <c r="J842" s="13">
        <v>1849</v>
      </c>
      <c r="K842" s="13">
        <f t="shared" si="171"/>
        <v>0</v>
      </c>
      <c r="L842" s="13">
        <f t="shared" si="159"/>
        <v>1899</v>
      </c>
      <c r="M842" s="13" t="str">
        <f t="shared" si="160"/>
        <v/>
      </c>
      <c r="N842" s="13">
        <f t="shared" si="161"/>
        <v>1849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14</v>
      </c>
      <c r="C843" s="12" t="s">
        <v>1659</v>
      </c>
      <c r="D843" s="12" t="s">
        <v>137</v>
      </c>
      <c r="E843" s="12" t="s">
        <v>26</v>
      </c>
      <c r="F843" s="12" t="s">
        <v>1660</v>
      </c>
      <c r="G843" s="13">
        <v>1899</v>
      </c>
      <c r="H843" s="13"/>
      <c r="I843" s="13"/>
      <c r="J843" s="13">
        <v>1869</v>
      </c>
      <c r="K843" s="13">
        <f t="shared" si="171"/>
        <v>0</v>
      </c>
      <c r="L843" s="13">
        <f t="shared" si="159"/>
        <v>1899</v>
      </c>
      <c r="M843" s="13" t="str">
        <f t="shared" si="160"/>
        <v/>
      </c>
      <c r="N843" s="13">
        <f t="shared" si="161"/>
        <v>1869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1661</v>
      </c>
      <c r="D844" s="16" t="s">
        <v>52</v>
      </c>
      <c r="E844" s="12" t="s">
        <v>70</v>
      </c>
      <c r="F844" s="12" t="s">
        <v>1662</v>
      </c>
      <c r="G844" s="13">
        <v>1899</v>
      </c>
      <c r="H844" s="13"/>
      <c r="I844" s="13"/>
      <c r="J844" s="13">
        <v>1870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1870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10</v>
      </c>
      <c r="C845" s="12" t="s">
        <v>1663</v>
      </c>
      <c r="D845" s="16" t="s">
        <v>49</v>
      </c>
      <c r="E845" s="12" t="s">
        <v>26</v>
      </c>
      <c r="F845" s="12" t="s">
        <v>1664</v>
      </c>
      <c r="G845" s="13">
        <v>1899</v>
      </c>
      <c r="H845" s="13"/>
      <c r="I845" s="13"/>
      <c r="J845" s="13">
        <v>1879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1879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14</v>
      </c>
      <c r="C846" s="12" t="s">
        <v>1665</v>
      </c>
      <c r="D846" s="16" t="s">
        <v>61</v>
      </c>
      <c r="E846" s="12" t="s">
        <v>26</v>
      </c>
      <c r="F846" s="12" t="s">
        <v>1666</v>
      </c>
      <c r="G846" s="13">
        <v>1899</v>
      </c>
      <c r="H846" s="13"/>
      <c r="I846" s="13"/>
      <c r="J846" s="13">
        <v>1889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1889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78" si="172">IF($T847="","",1+COUNTIF($W$15:$W$878,"&lt;"&amp;W847))</f>
        <v/>
      </c>
      <c r="B847" s="12" t="s">
        <v>14</v>
      </c>
      <c r="C847" s="12" t="s">
        <v>1667</v>
      </c>
      <c r="D847" s="12" t="s">
        <v>82</v>
      </c>
      <c r="E847" s="12" t="s">
        <v>26</v>
      </c>
      <c r="F847" s="12" t="s">
        <v>1668</v>
      </c>
      <c r="G847" s="13">
        <v>1899</v>
      </c>
      <c r="H847" s="13"/>
      <c r="I847" s="13"/>
      <c r="J847" s="13">
        <v>1889</v>
      </c>
      <c r="K847" s="13">
        <f t="shared" si="171"/>
        <v>0</v>
      </c>
      <c r="L847" s="13">
        <f t="shared" ref="L847:L878" si="173">IF($G847="","",$G847+$K847)</f>
        <v>1899</v>
      </c>
      <c r="M847" s="13" t="str">
        <f t="shared" ref="M847:M878" si="174">IF($H847="","",$H847+$K847)</f>
        <v/>
      </c>
      <c r="N847" s="13">
        <f t="shared" ref="N847:N878" si="175">IF($J847="","",$J847+$K847)</f>
        <v>1889</v>
      </c>
      <c r="O847" s="13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78">IF($P847="","",IF($Q847="Y",IFERROR(VLOOKUP($B847,$C$4:$D$13,2,FALSE()),0),0))</f>
        <v/>
      </c>
      <c r="S847" s="13" t="str">
        <f t="shared" ref="S847:S878" si="179">IF($P847="","",ROUNDDOWN($P847*$R847,0))</f>
        <v/>
      </c>
      <c r="T847" s="13" t="str">
        <f t="shared" ref="T847:T878" si="180">IF($P847="","",$P847-$S847)</f>
        <v/>
      </c>
      <c r="U847" s="13" t="str">
        <f t="shared" ref="U847:U878" si="181">IF($T847="","",IF($B$10=0,"",$T847/$B$10))</f>
        <v/>
      </c>
      <c r="V847" s="13" t="str">
        <f t="shared" ref="V847:V878" si="182">IF($P847="","",IF($B$10=0,"",$P847/$B$10))</f>
        <v/>
      </c>
      <c r="W847" s="15">
        <f t="shared" ref="W847:W878" si="183">IF($T847="",1000000000000000,$T847)</f>
        <v>1000000000000000</v>
      </c>
    </row>
    <row r="848" spans="1:23" s="8" customFormat="1" ht="28.5" customHeight="1">
      <c r="A848" s="12" t="str">
        <f t="shared" si="172"/>
        <v/>
      </c>
      <c r="B848" s="12" t="s">
        <v>14</v>
      </c>
      <c r="C848" s="12" t="s">
        <v>1669</v>
      </c>
      <c r="D848" s="12" t="s">
        <v>137</v>
      </c>
      <c r="E848" s="12" t="s">
        <v>70</v>
      </c>
      <c r="F848" s="12" t="s">
        <v>1670</v>
      </c>
      <c r="G848" s="13">
        <v>1899</v>
      </c>
      <c r="H848" s="13"/>
      <c r="I848" s="13"/>
      <c r="J848" s="13">
        <v>1889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1889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6</v>
      </c>
      <c r="C849" s="12" t="s">
        <v>1673</v>
      </c>
      <c r="D849" s="16" t="s">
        <v>49</v>
      </c>
      <c r="E849" s="12" t="s">
        <v>26</v>
      </c>
      <c r="F849" s="12" t="s">
        <v>1674</v>
      </c>
      <c r="G849" s="13">
        <v>1899</v>
      </c>
      <c r="H849" s="13"/>
      <c r="I849" s="13"/>
      <c r="J849" s="13">
        <v>1894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1894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1675</v>
      </c>
      <c r="D850" s="16" t="s">
        <v>49</v>
      </c>
      <c r="E850" s="12" t="s">
        <v>26</v>
      </c>
      <c r="F850" s="12" t="s">
        <v>1676</v>
      </c>
      <c r="G850" s="13">
        <v>1899</v>
      </c>
      <c r="H850" s="13"/>
      <c r="I850" s="13"/>
      <c r="J850" s="13">
        <v>1895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1895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12</v>
      </c>
      <c r="C851" s="12" t="s">
        <v>1677</v>
      </c>
      <c r="D851" s="16" t="s">
        <v>49</v>
      </c>
      <c r="E851" s="12" t="s">
        <v>70</v>
      </c>
      <c r="F851" s="12" t="s">
        <v>1678</v>
      </c>
      <c r="G851" s="13">
        <v>1899</v>
      </c>
      <c r="H851" s="13"/>
      <c r="I851" s="13"/>
      <c r="J851" s="13">
        <v>1898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1898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17" customFormat="1" ht="28.5" customHeight="1">
      <c r="A852" s="12" t="str">
        <f t="shared" si="172"/>
        <v/>
      </c>
      <c r="B852" s="12" t="s">
        <v>10</v>
      </c>
      <c r="C852" s="12" t="s">
        <v>1679</v>
      </c>
      <c r="D852" s="16" t="s">
        <v>49</v>
      </c>
      <c r="E852" s="12" t="s">
        <v>26</v>
      </c>
      <c r="F852" s="12" t="s">
        <v>1680</v>
      </c>
      <c r="G852" s="13">
        <v>1899</v>
      </c>
      <c r="H852" s="13"/>
      <c r="I852" s="13"/>
      <c r="J852" s="13">
        <v>1898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1898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10</v>
      </c>
      <c r="C853" s="12" t="s">
        <v>1683</v>
      </c>
      <c r="D853" s="16" t="s">
        <v>61</v>
      </c>
      <c r="E853" s="12" t="s">
        <v>26</v>
      </c>
      <c r="F853" s="12" t="s">
        <v>1684</v>
      </c>
      <c r="G853" s="13">
        <v>1899</v>
      </c>
      <c r="H853" s="13"/>
      <c r="I853" s="13"/>
      <c r="J853" s="13">
        <v>1899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10</v>
      </c>
      <c r="C854" s="12" t="s">
        <v>1685</v>
      </c>
      <c r="D854" s="16" t="s">
        <v>61</v>
      </c>
      <c r="E854" s="12" t="s">
        <v>70</v>
      </c>
      <c r="F854" s="12" t="s">
        <v>1686</v>
      </c>
      <c r="G854" s="13">
        <v>1899</v>
      </c>
      <c r="H854" s="13"/>
      <c r="I854" s="13"/>
      <c r="J854" s="13">
        <v>1899</v>
      </c>
      <c r="K854" s="13">
        <f t="shared" ref="K854:K878" si="184">IF(AND(IFERROR(SEARCH("현대오일뱅크",$C854),0)&gt;0,IFERROR(SEARCH("직영",$C854),0)&gt;0),$B$13,0)</f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8" customFormat="1" ht="28.5" customHeight="1">
      <c r="A855" s="12" t="str">
        <f t="shared" si="172"/>
        <v/>
      </c>
      <c r="B855" s="12" t="s">
        <v>10</v>
      </c>
      <c r="C855" s="12" t="s">
        <v>1687</v>
      </c>
      <c r="D855" s="16" t="s">
        <v>61</v>
      </c>
      <c r="E855" s="12" t="s">
        <v>70</v>
      </c>
      <c r="F855" s="12" t="s">
        <v>1688</v>
      </c>
      <c r="G855" s="13">
        <v>1899</v>
      </c>
      <c r="H855" s="13"/>
      <c r="I855" s="13"/>
      <c r="J855" s="13">
        <v>1899</v>
      </c>
      <c r="K855" s="13">
        <f t="shared" si="184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10</v>
      </c>
      <c r="C856" s="12" t="s">
        <v>1689</v>
      </c>
      <c r="D856" s="16" t="s">
        <v>52</v>
      </c>
      <c r="E856" s="12" t="s">
        <v>70</v>
      </c>
      <c r="F856" s="12" t="s">
        <v>1690</v>
      </c>
      <c r="G856" s="13">
        <v>1908</v>
      </c>
      <c r="H856" s="13"/>
      <c r="I856" s="13"/>
      <c r="J856" s="13">
        <v>1878</v>
      </c>
      <c r="K856" s="13">
        <f t="shared" si="184"/>
        <v>0</v>
      </c>
      <c r="L856" s="13">
        <f t="shared" si="173"/>
        <v>1908</v>
      </c>
      <c r="M856" s="13" t="str">
        <f t="shared" si="174"/>
        <v/>
      </c>
      <c r="N856" s="13">
        <f t="shared" si="175"/>
        <v>1878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8</v>
      </c>
      <c r="C857" s="12" t="s">
        <v>1691</v>
      </c>
      <c r="D857" s="16" t="s">
        <v>61</v>
      </c>
      <c r="E857" s="12" t="s">
        <v>70</v>
      </c>
      <c r="F857" s="12" t="s">
        <v>1754</v>
      </c>
      <c r="G857" s="13">
        <v>1909</v>
      </c>
      <c r="H857" s="13"/>
      <c r="I857" s="13"/>
      <c r="J857" s="13">
        <v>1879</v>
      </c>
      <c r="K857" s="13">
        <f t="shared" si="184"/>
        <v>0</v>
      </c>
      <c r="L857" s="13">
        <f t="shared" si="173"/>
        <v>1909</v>
      </c>
      <c r="M857" s="13" t="str">
        <f t="shared" si="174"/>
        <v/>
      </c>
      <c r="N857" s="13">
        <f t="shared" si="175"/>
        <v>1879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6</v>
      </c>
      <c r="C858" s="12" t="s">
        <v>487</v>
      </c>
      <c r="D858" s="16" t="s">
        <v>61</v>
      </c>
      <c r="E858" s="12" t="s">
        <v>70</v>
      </c>
      <c r="F858" s="12" t="s">
        <v>1692</v>
      </c>
      <c r="G858" s="13">
        <v>1909</v>
      </c>
      <c r="H858" s="13"/>
      <c r="I858" s="13"/>
      <c r="J858" s="13">
        <v>1889</v>
      </c>
      <c r="K858" s="13">
        <f t="shared" si="184"/>
        <v>0</v>
      </c>
      <c r="L858" s="13">
        <f t="shared" si="173"/>
        <v>1909</v>
      </c>
      <c r="M858" s="13" t="str">
        <f t="shared" si="174"/>
        <v/>
      </c>
      <c r="N858" s="13">
        <f t="shared" si="175"/>
        <v>1889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17" customFormat="1" ht="28.5" customHeight="1">
      <c r="A859" s="12" t="str">
        <f t="shared" si="172"/>
        <v/>
      </c>
      <c r="B859" s="12" t="s">
        <v>14</v>
      </c>
      <c r="C859" s="12" t="s">
        <v>1693</v>
      </c>
      <c r="D859" s="16" t="s">
        <v>49</v>
      </c>
      <c r="E859" s="12" t="s">
        <v>26</v>
      </c>
      <c r="F859" s="12" t="s">
        <v>1694</v>
      </c>
      <c r="G859" s="13">
        <v>1909</v>
      </c>
      <c r="H859" s="13"/>
      <c r="I859" s="13"/>
      <c r="J859" s="13">
        <v>1899</v>
      </c>
      <c r="K859" s="13">
        <f t="shared" si="184"/>
        <v>0</v>
      </c>
      <c r="L859" s="13">
        <f t="shared" si="173"/>
        <v>1909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10</v>
      </c>
      <c r="C860" s="12" t="s">
        <v>1703</v>
      </c>
      <c r="D860" s="12" t="s">
        <v>52</v>
      </c>
      <c r="E860" s="12" t="s">
        <v>70</v>
      </c>
      <c r="F860" s="12" t="s">
        <v>1704</v>
      </c>
      <c r="G860" s="13">
        <v>1919</v>
      </c>
      <c r="H860" s="13"/>
      <c r="I860" s="13"/>
      <c r="J860" s="13">
        <v>1906</v>
      </c>
      <c r="K860" s="13">
        <f t="shared" si="184"/>
        <v>0</v>
      </c>
      <c r="L860" s="13">
        <f t="shared" si="173"/>
        <v>1919</v>
      </c>
      <c r="M860" s="13" t="str">
        <f t="shared" si="174"/>
        <v/>
      </c>
      <c r="N860" s="13">
        <f t="shared" si="175"/>
        <v>1906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12</v>
      </c>
      <c r="C861" s="12" t="s">
        <v>1709</v>
      </c>
      <c r="D861" s="16" t="s">
        <v>61</v>
      </c>
      <c r="E861" s="12" t="s">
        <v>70</v>
      </c>
      <c r="F861" s="12" t="s">
        <v>1710</v>
      </c>
      <c r="G861" s="13">
        <v>1928</v>
      </c>
      <c r="H861" s="13"/>
      <c r="I861" s="13"/>
      <c r="J861" s="13">
        <v>1898</v>
      </c>
      <c r="K861" s="13">
        <f t="shared" si="184"/>
        <v>0</v>
      </c>
      <c r="L861" s="13">
        <f t="shared" si="173"/>
        <v>1928</v>
      </c>
      <c r="M861" s="13" t="str">
        <f t="shared" si="174"/>
        <v/>
      </c>
      <c r="N861" s="13">
        <f t="shared" si="175"/>
        <v>1898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17" customFormat="1" ht="28.5" customHeight="1">
      <c r="A862" s="12" t="str">
        <f t="shared" si="172"/>
        <v/>
      </c>
      <c r="B862" s="12" t="s">
        <v>14</v>
      </c>
      <c r="C862" s="12" t="s">
        <v>1699</v>
      </c>
      <c r="D862" s="16" t="s">
        <v>61</v>
      </c>
      <c r="E862" s="12" t="s">
        <v>26</v>
      </c>
      <c r="F862" s="12" t="s">
        <v>1700</v>
      </c>
      <c r="G862" s="13">
        <v>1928</v>
      </c>
      <c r="H862" s="13"/>
      <c r="I862" s="13"/>
      <c r="J862" s="13">
        <v>1918</v>
      </c>
      <c r="K862" s="13">
        <f t="shared" si="184"/>
        <v>0</v>
      </c>
      <c r="L862" s="13">
        <f t="shared" si="173"/>
        <v>1928</v>
      </c>
      <c r="M862" s="13" t="str">
        <f t="shared" si="174"/>
        <v/>
      </c>
      <c r="N862" s="13">
        <f t="shared" si="175"/>
        <v>1918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1701</v>
      </c>
      <c r="D863" s="16" t="s">
        <v>52</v>
      </c>
      <c r="E863" s="12" t="s">
        <v>70</v>
      </c>
      <c r="F863" s="12" t="s">
        <v>1702</v>
      </c>
      <c r="G863" s="13">
        <v>1929</v>
      </c>
      <c r="H863" s="13"/>
      <c r="I863" s="13"/>
      <c r="J863" s="13">
        <v>1895</v>
      </c>
      <c r="K863" s="13">
        <f t="shared" si="184"/>
        <v>0</v>
      </c>
      <c r="L863" s="13">
        <f t="shared" si="173"/>
        <v>1929</v>
      </c>
      <c r="M863" s="13" t="str">
        <f t="shared" si="174"/>
        <v/>
      </c>
      <c r="N863" s="13">
        <f t="shared" si="175"/>
        <v>1895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17" customFormat="1" ht="28.5" customHeight="1">
      <c r="A864" s="12" t="str">
        <f t="shared" si="172"/>
        <v/>
      </c>
      <c r="B864" s="12" t="s">
        <v>12</v>
      </c>
      <c r="C864" s="12" t="s">
        <v>1713</v>
      </c>
      <c r="D864" s="16" t="s">
        <v>49</v>
      </c>
      <c r="E864" s="12" t="s">
        <v>70</v>
      </c>
      <c r="F864" s="12" t="s">
        <v>1714</v>
      </c>
      <c r="G864" s="13">
        <v>1929</v>
      </c>
      <c r="H864" s="13"/>
      <c r="I864" s="13"/>
      <c r="J864" s="13">
        <v>1928</v>
      </c>
      <c r="K864" s="13">
        <f t="shared" si="184"/>
        <v>0</v>
      </c>
      <c r="L864" s="13">
        <f t="shared" si="173"/>
        <v>1929</v>
      </c>
      <c r="M864" s="13" t="str">
        <f t="shared" si="174"/>
        <v/>
      </c>
      <c r="N864" s="13">
        <f t="shared" si="175"/>
        <v>1928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18</v>
      </c>
      <c r="C865" s="12" t="s">
        <v>1695</v>
      </c>
      <c r="D865" s="12" t="s">
        <v>82</v>
      </c>
      <c r="E865" s="12" t="s">
        <v>70</v>
      </c>
      <c r="F865" s="12" t="s">
        <v>1696</v>
      </c>
      <c r="G865" s="13">
        <v>1929</v>
      </c>
      <c r="H865" s="13"/>
      <c r="I865" s="13"/>
      <c r="J865" s="13">
        <v>1929</v>
      </c>
      <c r="K865" s="13">
        <f t="shared" si="184"/>
        <v>0</v>
      </c>
      <c r="L865" s="13">
        <f t="shared" si="173"/>
        <v>1929</v>
      </c>
      <c r="M865" s="13" t="str">
        <f t="shared" si="174"/>
        <v/>
      </c>
      <c r="N865" s="13">
        <f t="shared" si="175"/>
        <v>1929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8" customFormat="1" ht="28.5" customHeight="1">
      <c r="A866" s="12" t="str">
        <f t="shared" si="172"/>
        <v/>
      </c>
      <c r="B866" s="12" t="s">
        <v>10</v>
      </c>
      <c r="C866" s="12" t="s">
        <v>1705</v>
      </c>
      <c r="D866" s="12" t="s">
        <v>82</v>
      </c>
      <c r="E866" s="12" t="s">
        <v>70</v>
      </c>
      <c r="F866" s="12" t="s">
        <v>1706</v>
      </c>
      <c r="G866" s="13">
        <v>1939</v>
      </c>
      <c r="H866" s="13"/>
      <c r="I866" s="13"/>
      <c r="J866" s="13">
        <v>1919</v>
      </c>
      <c r="K866" s="13">
        <f t="shared" si="184"/>
        <v>0</v>
      </c>
      <c r="L866" s="13">
        <f t="shared" si="173"/>
        <v>1939</v>
      </c>
      <c r="M866" s="13" t="str">
        <f t="shared" si="174"/>
        <v/>
      </c>
      <c r="N866" s="13">
        <f t="shared" si="175"/>
        <v>1919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10</v>
      </c>
      <c r="C867" s="12" t="s">
        <v>1707</v>
      </c>
      <c r="D867" s="16" t="s">
        <v>52</v>
      </c>
      <c r="E867" s="12" t="s">
        <v>26</v>
      </c>
      <c r="F867" s="12" t="s">
        <v>1708</v>
      </c>
      <c r="G867" s="13">
        <v>1945</v>
      </c>
      <c r="H867" s="13"/>
      <c r="I867" s="13"/>
      <c r="J867" s="13">
        <v>1945</v>
      </c>
      <c r="K867" s="13">
        <f t="shared" si="184"/>
        <v>0</v>
      </c>
      <c r="L867" s="13">
        <f t="shared" si="173"/>
        <v>1945</v>
      </c>
      <c r="M867" s="13" t="str">
        <f t="shared" si="174"/>
        <v/>
      </c>
      <c r="N867" s="13">
        <f t="shared" si="175"/>
        <v>1945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14</v>
      </c>
      <c r="C868" s="12" t="s">
        <v>1711</v>
      </c>
      <c r="D868" s="12" t="s">
        <v>82</v>
      </c>
      <c r="E868" s="12" t="s">
        <v>26</v>
      </c>
      <c r="F868" s="12" t="s">
        <v>1712</v>
      </c>
      <c r="G868" s="13">
        <v>1949</v>
      </c>
      <c r="H868" s="13"/>
      <c r="I868" s="13"/>
      <c r="J868" s="13">
        <v>1929</v>
      </c>
      <c r="K868" s="13">
        <f t="shared" si="184"/>
        <v>0</v>
      </c>
      <c r="L868" s="13">
        <f t="shared" si="173"/>
        <v>1949</v>
      </c>
      <c r="M868" s="13" t="str">
        <f t="shared" si="174"/>
        <v/>
      </c>
      <c r="N868" s="13">
        <f t="shared" si="175"/>
        <v>1929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8" customFormat="1" ht="28.5" customHeight="1">
      <c r="A869" s="12" t="str">
        <f t="shared" si="172"/>
        <v/>
      </c>
      <c r="B869" s="12" t="s">
        <v>12</v>
      </c>
      <c r="C869" s="12" t="s">
        <v>1715</v>
      </c>
      <c r="D869" s="16" t="s">
        <v>82</v>
      </c>
      <c r="E869" s="12" t="s">
        <v>26</v>
      </c>
      <c r="F869" s="12" t="s">
        <v>1716</v>
      </c>
      <c r="G869" s="13">
        <v>1955</v>
      </c>
      <c r="H869" s="13"/>
      <c r="I869" s="13"/>
      <c r="J869" s="13">
        <v>1935</v>
      </c>
      <c r="K869" s="13">
        <f t="shared" si="184"/>
        <v>0</v>
      </c>
      <c r="L869" s="13">
        <f t="shared" si="173"/>
        <v>1955</v>
      </c>
      <c r="M869" s="13" t="str">
        <f t="shared" si="174"/>
        <v/>
      </c>
      <c r="N869" s="13">
        <f t="shared" si="175"/>
        <v>1935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8" customFormat="1" ht="28.5" customHeight="1">
      <c r="A870" s="12" t="str">
        <f t="shared" si="172"/>
        <v/>
      </c>
      <c r="B870" s="12" t="s">
        <v>6</v>
      </c>
      <c r="C870" s="12" t="s">
        <v>709</v>
      </c>
      <c r="D870" s="16" t="s">
        <v>52</v>
      </c>
      <c r="E870" s="12" t="s">
        <v>26</v>
      </c>
      <c r="F870" s="12" t="s">
        <v>1423</v>
      </c>
      <c r="G870" s="13">
        <v>1977</v>
      </c>
      <c r="H870" s="13"/>
      <c r="I870" s="13"/>
      <c r="J870" s="13">
        <v>1977</v>
      </c>
      <c r="K870" s="13">
        <f t="shared" si="184"/>
        <v>0</v>
      </c>
      <c r="L870" s="13">
        <f t="shared" si="173"/>
        <v>1977</v>
      </c>
      <c r="M870" s="13" t="str">
        <f t="shared" si="174"/>
        <v/>
      </c>
      <c r="N870" s="13">
        <f t="shared" si="175"/>
        <v>1977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6</v>
      </c>
      <c r="C871" s="12" t="s">
        <v>1717</v>
      </c>
      <c r="D871" s="16" t="s">
        <v>52</v>
      </c>
      <c r="E871" s="12" t="s">
        <v>26</v>
      </c>
      <c r="F871" s="12" t="s">
        <v>1718</v>
      </c>
      <c r="G871" s="13">
        <v>2199</v>
      </c>
      <c r="H871" s="13"/>
      <c r="I871" s="13"/>
      <c r="J871" s="13">
        <v>2199</v>
      </c>
      <c r="K871" s="13">
        <f t="shared" si="184"/>
        <v>0</v>
      </c>
      <c r="L871" s="13">
        <f t="shared" si="173"/>
        <v>2199</v>
      </c>
      <c r="M871" s="13" t="str">
        <f t="shared" si="174"/>
        <v/>
      </c>
      <c r="N871" s="13">
        <f t="shared" si="175"/>
        <v>2199</v>
      </c>
      <c r="O871" s="13" t="str">
        <f t="shared" si="176"/>
        <v/>
      </c>
      <c r="P871" s="13" t="str">
        <f t="shared" si="177"/>
        <v/>
      </c>
      <c r="Q871" s="13" t="s">
        <v>47</v>
      </c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14</v>
      </c>
      <c r="C872" s="12" t="s">
        <v>406</v>
      </c>
      <c r="D872" s="16" t="s">
        <v>61</v>
      </c>
      <c r="E872" s="12" t="s">
        <v>70</v>
      </c>
      <c r="F872" s="12" t="s">
        <v>1719</v>
      </c>
      <c r="G872" s="13">
        <v>1995</v>
      </c>
      <c r="H872" s="13"/>
      <c r="I872" s="13"/>
      <c r="J872" s="13">
        <v>1995</v>
      </c>
      <c r="K872" s="13">
        <f t="shared" si="184"/>
        <v>0</v>
      </c>
      <c r="L872" s="13">
        <f t="shared" si="173"/>
        <v>1995</v>
      </c>
      <c r="M872" s="13" t="str">
        <f t="shared" si="174"/>
        <v/>
      </c>
      <c r="N872" s="13">
        <f t="shared" si="175"/>
        <v>1995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1720</v>
      </c>
      <c r="D873" s="12" t="s">
        <v>82</v>
      </c>
      <c r="E873" s="12" t="s">
        <v>70</v>
      </c>
      <c r="F873" s="12" t="s">
        <v>1721</v>
      </c>
      <c r="G873" s="13">
        <v>1999</v>
      </c>
      <c r="H873" s="13"/>
      <c r="I873" s="13"/>
      <c r="J873" s="13">
        <v>1989</v>
      </c>
      <c r="K873" s="13">
        <f t="shared" si="184"/>
        <v>0</v>
      </c>
      <c r="L873" s="13">
        <f t="shared" si="173"/>
        <v>1999</v>
      </c>
      <c r="M873" s="13" t="str">
        <f t="shared" si="174"/>
        <v/>
      </c>
      <c r="N873" s="13">
        <f t="shared" si="175"/>
        <v>1989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12</v>
      </c>
      <c r="C874" s="12" t="s">
        <v>1722</v>
      </c>
      <c r="D874" s="16" t="s">
        <v>61</v>
      </c>
      <c r="E874" s="12" t="s">
        <v>70</v>
      </c>
      <c r="F874" s="12" t="s">
        <v>1723</v>
      </c>
      <c r="G874" s="13">
        <v>2098</v>
      </c>
      <c r="H874" s="13"/>
      <c r="I874" s="13"/>
      <c r="J874" s="13">
        <v>1995</v>
      </c>
      <c r="K874" s="13">
        <f t="shared" si="184"/>
        <v>0</v>
      </c>
      <c r="L874" s="13">
        <f t="shared" si="173"/>
        <v>2098</v>
      </c>
      <c r="M874" s="13" t="str">
        <f t="shared" si="174"/>
        <v/>
      </c>
      <c r="N874" s="13">
        <f t="shared" si="175"/>
        <v>1995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1724</v>
      </c>
      <c r="D875" s="12" t="s">
        <v>82</v>
      </c>
      <c r="E875" s="12" t="s">
        <v>70</v>
      </c>
      <c r="F875" s="12" t="s">
        <v>1725</v>
      </c>
      <c r="G875" s="13"/>
      <c r="H875" s="13">
        <v>2357</v>
      </c>
      <c r="I875" s="13"/>
      <c r="J875" s="13">
        <v>1837</v>
      </c>
      <c r="K875" s="13">
        <f t="shared" si="184"/>
        <v>0</v>
      </c>
      <c r="L875" s="13" t="str">
        <f t="shared" si="173"/>
        <v/>
      </c>
      <c r="M875" s="13">
        <f t="shared" si="174"/>
        <v>2357</v>
      </c>
      <c r="N875" s="13">
        <f t="shared" si="175"/>
        <v>1837</v>
      </c>
      <c r="O875" s="13" t="str">
        <f t="shared" si="176"/>
        <v/>
      </c>
      <c r="P875" s="13" t="str">
        <f t="shared" si="177"/>
        <v/>
      </c>
      <c r="Q875" s="13" t="s">
        <v>47</v>
      </c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10</v>
      </c>
      <c r="C876" s="12" t="s">
        <v>1726</v>
      </c>
      <c r="D876" s="16" t="s">
        <v>61</v>
      </c>
      <c r="E876" s="12" t="s">
        <v>26</v>
      </c>
      <c r="F876" s="12" t="s">
        <v>1727</v>
      </c>
      <c r="G876" s="13"/>
      <c r="H876" s="13">
        <v>2459</v>
      </c>
      <c r="I876" s="13"/>
      <c r="J876" s="13">
        <v>1859</v>
      </c>
      <c r="K876" s="13">
        <f t="shared" si="184"/>
        <v>0</v>
      </c>
      <c r="L876" s="13" t="str">
        <f t="shared" si="173"/>
        <v/>
      </c>
      <c r="M876" s="13">
        <f t="shared" si="174"/>
        <v>2459</v>
      </c>
      <c r="N876" s="13">
        <f t="shared" si="175"/>
        <v>1859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17" customFormat="1" ht="28.5" customHeight="1">
      <c r="A877" s="12" t="str">
        <f t="shared" si="172"/>
        <v/>
      </c>
      <c r="B877" s="12" t="s">
        <v>6</v>
      </c>
      <c r="C877" s="12" t="s">
        <v>1728</v>
      </c>
      <c r="D877" s="12" t="s">
        <v>281</v>
      </c>
      <c r="E877" s="12" t="s">
        <v>26</v>
      </c>
      <c r="F877" s="12" t="s">
        <v>1729</v>
      </c>
      <c r="G877" s="13"/>
      <c r="H877" s="13"/>
      <c r="I877" s="13"/>
      <c r="J877" s="13">
        <v>1869</v>
      </c>
      <c r="K877" s="13">
        <f t="shared" si="184"/>
        <v>0</v>
      </c>
      <c r="L877" s="13" t="str">
        <f t="shared" si="173"/>
        <v/>
      </c>
      <c r="M877" s="13" t="str">
        <f t="shared" si="174"/>
        <v/>
      </c>
      <c r="N877" s="13">
        <f t="shared" si="175"/>
        <v>1869</v>
      </c>
      <c r="O877" s="13" t="str">
        <f t="shared" si="176"/>
        <v/>
      </c>
      <c r="P877" s="13" t="str">
        <f t="shared" si="177"/>
        <v/>
      </c>
      <c r="Q877" s="13" t="s">
        <v>47</v>
      </c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10</v>
      </c>
      <c r="C878" s="12" t="s">
        <v>1730</v>
      </c>
      <c r="D878" s="12" t="s">
        <v>281</v>
      </c>
      <c r="E878" s="12" t="s">
        <v>70</v>
      </c>
      <c r="F878" s="12" t="s">
        <v>1731</v>
      </c>
      <c r="G878" s="13"/>
      <c r="H878" s="13"/>
      <c r="I878" s="13"/>
      <c r="J878" s="13">
        <v>1970</v>
      </c>
      <c r="K878" s="13">
        <f t="shared" si="184"/>
        <v>0</v>
      </c>
      <c r="L878" s="13" t="str">
        <f t="shared" si="173"/>
        <v/>
      </c>
      <c r="M878" s="13" t="str">
        <f t="shared" si="174"/>
        <v/>
      </c>
      <c r="N878" s="13">
        <f t="shared" si="175"/>
        <v>1970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1732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1733</v>
      </c>
      <c r="E3" s="4" t="s">
        <v>1734</v>
      </c>
      <c r="F3" s="4" t="s">
        <v>1735</v>
      </c>
      <c r="G3" s="4" t="s">
        <v>1736</v>
      </c>
      <c r="H3" s="4" t="s">
        <v>1737</v>
      </c>
      <c r="I3" s="4" t="s">
        <v>1738</v>
      </c>
      <c r="J3" s="4" t="s">
        <v>1739</v>
      </c>
      <c r="K3" s="4" t="s">
        <v>1740</v>
      </c>
      <c r="L3" s="4" t="s">
        <v>1741</v>
      </c>
      <c r="M3" s="4" t="s">
        <v>1742</v>
      </c>
    </row>
    <row r="4" spans="1:13" s="17" customFormat="1" ht="25.5" customHeight="1">
      <c r="A4" s="20" t="s">
        <v>6</v>
      </c>
      <c r="B4" s="21" t="s">
        <v>1717</v>
      </c>
      <c r="C4" s="21" t="s">
        <v>1718</v>
      </c>
      <c r="D4" s="21" t="s">
        <v>1755</v>
      </c>
      <c r="E4" s="22">
        <v>1839</v>
      </c>
      <c r="F4" s="22">
        <v>2199</v>
      </c>
      <c r="G4" s="22">
        <f t="shared" ref="G4:G14" si="0">IF(OR(E4="",F4=""),"",F4-E4)</f>
        <v>360</v>
      </c>
      <c r="H4" s="22"/>
      <c r="I4" s="22"/>
      <c r="J4" s="22" t="str">
        <f t="shared" ref="J4:J14" si="1">IF(OR(H4="",I4=""),"",I4-H4)</f>
        <v/>
      </c>
      <c r="K4" s="22">
        <v>1829</v>
      </c>
      <c r="L4" s="22">
        <v>2199</v>
      </c>
      <c r="M4" s="22">
        <f t="shared" ref="M4:M14" si="2">IF(OR(K4="",L4=""),"",L4-K4)</f>
        <v>370</v>
      </c>
    </row>
    <row r="5" spans="1:13" s="17" customFormat="1" ht="25.5" customHeight="1">
      <c r="A5" s="20" t="s">
        <v>10</v>
      </c>
      <c r="B5" s="21" t="s">
        <v>619</v>
      </c>
      <c r="C5" s="21" t="s">
        <v>620</v>
      </c>
      <c r="D5" s="21" t="s">
        <v>1755</v>
      </c>
      <c r="E5" s="22">
        <v>1857</v>
      </c>
      <c r="F5" s="22">
        <v>1857</v>
      </c>
      <c r="G5" s="22">
        <f t="shared" si="0"/>
        <v>0</v>
      </c>
      <c r="H5" s="22"/>
      <c r="I5" s="22"/>
      <c r="J5" s="22" t="str">
        <f t="shared" si="1"/>
        <v/>
      </c>
      <c r="K5" s="22">
        <v>1827</v>
      </c>
      <c r="L5" s="22">
        <v>1812</v>
      </c>
      <c r="M5" s="22">
        <f t="shared" si="2"/>
        <v>-15</v>
      </c>
    </row>
    <row r="6" spans="1:13" s="17" customFormat="1" ht="25.5" customHeight="1">
      <c r="A6" s="20" t="s">
        <v>6</v>
      </c>
      <c r="B6" s="21" t="s">
        <v>1127</v>
      </c>
      <c r="C6" s="21" t="s">
        <v>1128</v>
      </c>
      <c r="D6" s="21" t="s">
        <v>1755</v>
      </c>
      <c r="E6" s="22">
        <v>1834</v>
      </c>
      <c r="F6" s="22">
        <v>1814</v>
      </c>
      <c r="G6" s="22">
        <f t="shared" si="0"/>
        <v>-20</v>
      </c>
      <c r="H6" s="22"/>
      <c r="I6" s="22"/>
      <c r="J6" s="22" t="str">
        <f t="shared" si="1"/>
        <v/>
      </c>
      <c r="K6" s="22">
        <v>1814</v>
      </c>
      <c r="L6" s="22">
        <v>1814</v>
      </c>
      <c r="M6" s="22">
        <f t="shared" si="2"/>
        <v>0</v>
      </c>
    </row>
    <row r="7" spans="1:13" s="17" customFormat="1" ht="25.5" customHeight="1">
      <c r="A7" s="20" t="s">
        <v>10</v>
      </c>
      <c r="B7" s="21" t="s">
        <v>1278</v>
      </c>
      <c r="C7" s="21" t="s">
        <v>1279</v>
      </c>
      <c r="D7" s="21" t="s">
        <v>1755</v>
      </c>
      <c r="E7" s="22">
        <v>1839</v>
      </c>
      <c r="F7" s="22">
        <v>1839</v>
      </c>
      <c r="G7" s="22">
        <f t="shared" si="0"/>
        <v>0</v>
      </c>
      <c r="H7" s="22"/>
      <c r="I7" s="22"/>
      <c r="J7" s="22" t="str">
        <f t="shared" si="1"/>
        <v/>
      </c>
      <c r="K7" s="22">
        <v>1834</v>
      </c>
      <c r="L7" s="22">
        <v>1829</v>
      </c>
      <c r="M7" s="22">
        <f t="shared" si="2"/>
        <v>-5</v>
      </c>
    </row>
    <row r="8" spans="1:13" s="17" customFormat="1" ht="25.5" customHeight="1">
      <c r="A8" s="20" t="s">
        <v>12</v>
      </c>
      <c r="B8" s="21" t="s">
        <v>1330</v>
      </c>
      <c r="C8" s="21" t="s">
        <v>1331</v>
      </c>
      <c r="D8" s="21" t="s">
        <v>1755</v>
      </c>
      <c r="E8" s="22">
        <v>1848</v>
      </c>
      <c r="F8" s="22">
        <v>1848</v>
      </c>
      <c r="G8" s="22">
        <f t="shared" si="0"/>
        <v>0</v>
      </c>
      <c r="H8" s="22"/>
      <c r="I8" s="22"/>
      <c r="J8" s="22" t="str">
        <f t="shared" si="1"/>
        <v/>
      </c>
      <c r="K8" s="22">
        <v>1823</v>
      </c>
      <c r="L8" s="22">
        <v>1838</v>
      </c>
      <c r="M8" s="22">
        <f t="shared" si="2"/>
        <v>15</v>
      </c>
    </row>
    <row r="9" spans="1:13" s="17" customFormat="1" ht="25.5" customHeight="1">
      <c r="A9" s="20" t="s">
        <v>14</v>
      </c>
      <c r="B9" s="21" t="s">
        <v>1501</v>
      </c>
      <c r="C9" s="21" t="s">
        <v>1502</v>
      </c>
      <c r="D9" s="21" t="s">
        <v>1755</v>
      </c>
      <c r="E9" s="22">
        <v>1869</v>
      </c>
      <c r="F9" s="22">
        <v>1849</v>
      </c>
      <c r="G9" s="22">
        <f t="shared" si="0"/>
        <v>-20</v>
      </c>
      <c r="H9" s="22"/>
      <c r="I9" s="22"/>
      <c r="J9" s="22" t="str">
        <f t="shared" si="1"/>
        <v/>
      </c>
      <c r="K9" s="22">
        <v>1849</v>
      </c>
      <c r="L9" s="22">
        <v>1829</v>
      </c>
      <c r="M9" s="22">
        <f t="shared" si="2"/>
        <v>-20</v>
      </c>
    </row>
    <row r="10" spans="1:13" s="17" customFormat="1" ht="25.5" customHeight="1">
      <c r="A10" s="20" t="s">
        <v>10</v>
      </c>
      <c r="B10" s="21" t="s">
        <v>1521</v>
      </c>
      <c r="C10" s="21" t="s">
        <v>1522</v>
      </c>
      <c r="D10" s="21" t="s">
        <v>1755</v>
      </c>
      <c r="E10" s="22">
        <v>1870</v>
      </c>
      <c r="F10" s="22">
        <v>1870</v>
      </c>
      <c r="G10" s="22">
        <f t="shared" si="0"/>
        <v>0</v>
      </c>
      <c r="H10" s="22"/>
      <c r="I10" s="22"/>
      <c r="J10" s="22" t="str">
        <f t="shared" si="1"/>
        <v/>
      </c>
      <c r="K10" s="22">
        <v>1845</v>
      </c>
      <c r="L10" s="22">
        <v>1860</v>
      </c>
      <c r="M10" s="22">
        <f t="shared" si="2"/>
        <v>15</v>
      </c>
    </row>
    <row r="11" spans="1:13" s="17" customFormat="1" ht="25.5" customHeight="1">
      <c r="A11" s="20" t="s">
        <v>14</v>
      </c>
      <c r="B11" s="21" t="s">
        <v>1681</v>
      </c>
      <c r="C11" s="21" t="s">
        <v>1682</v>
      </c>
      <c r="D11" s="21" t="s">
        <v>1755</v>
      </c>
      <c r="E11" s="22">
        <v>1879</v>
      </c>
      <c r="F11" s="22">
        <v>1879</v>
      </c>
      <c r="G11" s="22">
        <f t="shared" si="0"/>
        <v>0</v>
      </c>
      <c r="H11" s="22"/>
      <c r="I11" s="22"/>
      <c r="J11" s="22" t="str">
        <f t="shared" si="1"/>
        <v/>
      </c>
      <c r="K11" s="22">
        <v>1869</v>
      </c>
      <c r="L11" s="22">
        <v>1899</v>
      </c>
      <c r="M11" s="22">
        <f t="shared" si="2"/>
        <v>30</v>
      </c>
    </row>
    <row r="12" spans="1:13" s="17" customFormat="1" ht="25.5" customHeight="1">
      <c r="A12" s="20" t="s">
        <v>10</v>
      </c>
      <c r="B12" s="21" t="s">
        <v>1594</v>
      </c>
      <c r="C12" s="21" t="s">
        <v>1595</v>
      </c>
      <c r="D12" s="21" t="s">
        <v>1755</v>
      </c>
      <c r="E12" s="22">
        <v>1889</v>
      </c>
      <c r="F12" s="22">
        <v>1889</v>
      </c>
      <c r="G12" s="22">
        <f t="shared" si="0"/>
        <v>0</v>
      </c>
      <c r="H12" s="22"/>
      <c r="I12" s="22"/>
      <c r="J12" s="22" t="str">
        <f t="shared" si="1"/>
        <v/>
      </c>
      <c r="K12" s="22">
        <v>1899</v>
      </c>
      <c r="L12" s="22">
        <v>1875</v>
      </c>
      <c r="M12" s="22">
        <f t="shared" si="2"/>
        <v>-24</v>
      </c>
    </row>
    <row r="13" spans="1:13" s="17" customFormat="1" ht="25.5" customHeight="1">
      <c r="A13" s="20" t="s">
        <v>14</v>
      </c>
      <c r="B13" s="21" t="s">
        <v>1649</v>
      </c>
      <c r="C13" s="21" t="s">
        <v>1650</v>
      </c>
      <c r="D13" s="21" t="s">
        <v>1755</v>
      </c>
      <c r="E13" s="22">
        <v>1898</v>
      </c>
      <c r="F13" s="22">
        <v>1898</v>
      </c>
      <c r="G13" s="22">
        <f t="shared" si="0"/>
        <v>0</v>
      </c>
      <c r="H13" s="22"/>
      <c r="I13" s="22"/>
      <c r="J13" s="22" t="str">
        <f t="shared" si="1"/>
        <v/>
      </c>
      <c r="K13" s="22">
        <v>1843</v>
      </c>
      <c r="L13" s="22">
        <v>1858</v>
      </c>
      <c r="M13" s="22">
        <f t="shared" si="2"/>
        <v>15</v>
      </c>
    </row>
    <row r="14" spans="1:13" s="17" customFormat="1" ht="25.5" customHeight="1">
      <c r="A14" s="20" t="s">
        <v>12</v>
      </c>
      <c r="B14" s="21" t="s">
        <v>1722</v>
      </c>
      <c r="C14" s="21" t="s">
        <v>1723</v>
      </c>
      <c r="D14" s="21" t="s">
        <v>1755</v>
      </c>
      <c r="E14" s="22">
        <v>2098</v>
      </c>
      <c r="F14" s="22">
        <v>2098</v>
      </c>
      <c r="G14" s="22">
        <f t="shared" si="0"/>
        <v>0</v>
      </c>
      <c r="H14" s="22"/>
      <c r="I14" s="22"/>
      <c r="J14" s="22" t="str">
        <f t="shared" si="1"/>
        <v/>
      </c>
      <c r="K14" s="22">
        <v>2095</v>
      </c>
      <c r="L14" s="22">
        <v>1995</v>
      </c>
      <c r="M14" s="22">
        <f t="shared" si="2"/>
        <v>-100</v>
      </c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