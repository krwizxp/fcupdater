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<sst xmlns="http://schemas.openxmlformats.org/spreadsheetml/2006/main" count="4701" uniqueCount="1758">
  <si>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</si>
  <si>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</si>
  <si>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</si>
  <si>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</si>
  <si>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</si>
  <si>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</si>
  <si>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</si>
  <si>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</si>
  <si>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</si>
  <si>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</si>
  <si>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</si>
  <si>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</si>
  <si>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</si>
  <si>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</si>
  <si>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</si>
  <si>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</si>
  <si>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</si>
  <si>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</si>
  <si>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</si>
  <si>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</si>
  <si>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</si>
  <si>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</si>
  <si>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</si>
  <si>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</si>
  <si>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</si>
  <si>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</si>
  <si>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</si>
  <si>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</si>
  <si>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</si>
  <si>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</si>
  <si>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</si>
  <si>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</si>
  <si>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</si>
  <si>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</si>
  <si>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</si>
  <si>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</si>
  <si>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</si>
  <si>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</si>
  <si>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</si>
  <si>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</si>
  <si>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</si>
  <si>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</si>
  <si>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</si>
  <si>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</si>
  <si>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</si>
  <si>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</si>
  <si>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</si>
  <si>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</si>
  <si>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</si>
  <si>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</si>
  <si>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</si>
  <si>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</si>
  <si>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</si>
  <si>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</si>
  <si>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</si>
  <si>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</si>
  <si>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</si>
  <si>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</si>
  <si>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</si>
  <si>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</si>
  <si>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</si>
  <si>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</si>
  <si>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</si>
  <si>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</si>
  <si>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</si>
  <si>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</si>
  <si>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</si>
  <si>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</si>
  <si>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</si>
  <si>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</si>
  <si>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</si>
  <si>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</si>
  <si>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</si>
  <si>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</si>
  <si>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</si>
  <si>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</si>
  <si>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</si>
  <si>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</si>
  <si>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</si>
  <si>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</si>
  <si>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</si>
  <si>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</si>
  <si>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</si>
  <si>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</si>
  <si>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</si>
  <si>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</si>
  <si>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</si>
  <si>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</si>
  <si>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</si>
  <si>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</si>
  <si>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</si>
  <si>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</si>
  <si>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</si>
  <si>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</si>
  <si>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</si>
  <si>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</si>
  <si>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</si>
  <si>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</si>
  <si>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</si>
  <si>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</si>
  <si>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</si>
  <si>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</si>
  <si>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</si>
  <si>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</si>
  <si>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</si>
  <si>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</si>
  <si>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</si>
  <si>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</si>
  <si>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</si>
  <si>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</si>
  <si>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</si>
  <si>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</si>
  <si>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</si>
  <si>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</si>
  <si>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</si>
  <si>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</si>
  <si>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</si>
  <si>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</si>
  <si>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</si>
  <si>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</si>
  <si>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</si>
  <si>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</si>
  <si>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</si>
  <si>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</si>
  <si>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</si>
  <si>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</si>
  <si>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</si>
  <si>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</si>
  <si>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</si>
  <si>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</si>
  <si>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</si>
  <si>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</si>
  <si>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</si>
  <si>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</si>
  <si>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</si>
  <si>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</si>
  <si>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</si>
  <si>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</si>
  <si>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</si>
  <si>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</si>
  <si>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</si>
  <si>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</si>
  <si>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</si>
  <si>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</si>
  <si>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</si>
  <si>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</si>
  <si>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</si>
  <si>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</si>
  <si>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</si>
  <si>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</si>
  <si>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</si>
  <si>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</si>
  <si>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</si>
  <si>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</si>
  <si>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</si>
  <si>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</si>
  <si>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</si>
  <si>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</si>
  <si>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</si>
  <si>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</si>
  <si>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</si>
  <si>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</si>
  <si>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</si>
  <si>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</si>
  <si>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</si>
  <si>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</si>
  <si>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</si>
  <si>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</si>
  <si>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</si>
  <si>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</si>
  <si>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</si>
  <si>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</si>
  <si>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</si>
  <si>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</si>
  <si>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</si>
  <si>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</si>
  <si>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</si>
  <si>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</si>
  <si>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</si>
  <si>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</si>
  <si>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</si>
  <si>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</si>
  <si>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</si>
  <si>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</si>
  <si>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</si>
  <si>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</si>
  <si>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</si>
  <si>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</si>
  <si>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</si>
  <si>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</si>
  <si>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</si>
  <si>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</si>
  <si>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</si>
  <si>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</si>
  <si>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</si>
  <si>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</si>
  <si>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</si>
  <si>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</si>
  <si>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</si>
  <si>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</si>
  <si>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</si>
  <si>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</si>
  <si>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</si>
  <si>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</si>
  <si>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</si>
  <si>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</si>
  <si>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</si>
  <si>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</si>
  <si>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</si>
  <si>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</si>
  <si>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</si>
  <si>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</si>
  <si>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</si>
  <si>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</si>
  <si>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</si>
  <si>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</si>
  <si>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</si>
  <si>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</si>
  <si>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</si>
  <si>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</si>
  <si>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</si>
  <si>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</si>
  <si>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</si>
  <si>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</si>
  <si>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</si>
  <si>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</si>
  <si>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</si>
  <si>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</si>
  <si>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</si>
  <si>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</si>
  <si>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</si>
  <si>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</si>
  <si>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</si>
  <si>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</si>
  <si>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</si>
  <si>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</si>
  <si>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</si>
  <si>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</si>
  <si>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</si>
  <si>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</si>
  <si>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</si>
  <si>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</si>
  <si>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</si>
  <si>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</si>
  <si>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</si>
  <si>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</si>
  <si>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</si>
  <si>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</si>
  <si>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</si>
  <si>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</si>
  <si>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</si>
  <si>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</si>
  <si>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</si>
  <si>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</si>
  <si>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</si>
  <si>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</si>
  <si>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</si>
  <si>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</si>
  <si>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</si>
  <si>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</si>
  <si>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</si>
  <si>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</si>
  <si>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</si>
  <si>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</si>
  <si>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</si>
  <si>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</si>
  <si>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</si>
  <si>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</si>
  <si>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</si>
  <si>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</si>
  <si>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</si>
  <si>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</si>
  <si>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</si>
  <si>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</si>
  <si>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</si>
  <si>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</si>
  <si>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</si>
  <si>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</si>
  <si>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</si>
  <si>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</si>
  <si>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</si>
  <si>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</si>
  <si>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</si>
  <si>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</si>
  <si>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</si>
  <si>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</si>
  <si>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</si>
  <si>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</si>
  <si>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</si>
  <si>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</si>
  <si>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</si>
  <si>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</si>
  <si>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</si>
  <si>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</si>
  <si>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</si>
  <si>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</si>
  <si>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</si>
  <si>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</si>
  <si>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</si>
  <si>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</si>
  <si>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</si>
  <si>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</si>
  <si>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</si>
  <si>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</si>
  <si>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</si>
  <si>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</si>
  <si>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</si>
  <si>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</si>
  <si>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</si>
  <si>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</si>
  <si>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</si>
  <si>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</si>
  <si>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</si>
  <si>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</si>
  <si>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</si>
  <si>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</si>
  <si>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</si>
  <si>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</si>
  <si>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</si>
  <si>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</si>
  <si>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</si>
  <si>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</si>
  <si>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</si>
  <si>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</si>
  <si>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</si>
  <si>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</si>
  <si>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</si>
  <si>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</si>
  <si>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</si>
  <si>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</si>
  <si>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</si>
  <si>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</si>
  <si>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</si>
  <si>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</si>
  <si>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</si>
  <si>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</si>
  <si>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</si>
  <si>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</si>
  <si>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</si>
  <si>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</si>
  <si>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</si>
  <si>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</si>
  <si>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</si>
  <si>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</si>
  <si>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</si>
  <si>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</si>
  <si>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</si>
  <si>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</si>
  <si>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</si>
  <si>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</si>
  <si>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</si>
  <si>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</si>
  <si>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</si>
  <si>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</si>
  <si>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</si>
  <si>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</si>
  <si>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</si>
  <si>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</si>
  <si>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</si>
  <si>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</si>
  <si>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</si>
  <si>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</si>
  <si>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</si>
  <si>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</si>
  <si>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</si>
  <si>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</si>
  <si>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</si>
  <si>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</si>
  <si>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</si>
  <si>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</si>
  <si>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</si>
  <si>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</si>
  <si>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</si>
  <si>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</si>
  <si>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</si>
  <si>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</si>
  <si>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</si>
  <si>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</si>
  <si>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</si>
  <si>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</si>
  <si>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</si>
  <si>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</si>
  <si>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</si>
  <si>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</si>
  <si>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</si>
  <si>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</si>
  <si>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</si>
  <si>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</si>
  <si>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</si>
  <si>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</si>
  <si>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</si>
  <si>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</si>
  <si>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</si>
  <si>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</si>
  <si>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</si>
  <si>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</si>
  <si>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</si>
  <si>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</si>
  <si>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</si>
  <si>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</si>
  <si>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</si>
  <si>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</si>
  <si>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</si>
  <si>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</si>
  <si>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</si>
  <si>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</si>
  <si>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</si>
  <si>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</si>
  <si>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</si>
  <si>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</si>
  <si>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</si>
  <si>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</si>
  <si>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</si>
  <si>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</si>
  <si>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</si>
  <si>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</si>
  <si>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</si>
  <si>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</si>
  <si>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</si>
  <si>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</si>
  <si>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</si>
  <si>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</si>
  <si>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</si>
  <si>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</si>
  <si>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</si>
  <si>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</si>
  <si>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</si>
  <si>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</si>
  <si>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</si>
  <si>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</si>
  <si>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</si>
  <si>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</si>
  <si>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</si>
  <si>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</si>
  <si>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</si>
  <si>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</si>
  <si>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</si>
  <si>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</si>
  <si>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</si>
  <si>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</si>
  <si>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</si>
  <si>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</si>
  <si>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</si>
  <si>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</si>
  <si>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</si>
  <si>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</si>
  <si>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</si>
  <si>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</si>
  <si>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</si>
  <si>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</si>
  <si>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</si>
  <si>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</si>
  <si>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</si>
  <si>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</si>
  <si>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</si>
  <si>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</si>
  <si>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</si>
  <si>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</si>
  <si>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</si>
  <si>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</si>
  <si>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</si>
  <si>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</si>
  <si>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</si>
  <si>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</si>
  <si>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</si>
  <si>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</si>
  <si>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</si>
  <si>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</si>
  <si>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</si>
  <si>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</si>
  <si>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</si>
  <si>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</si>
  <si>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</si>
  <si>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</si>
  <si>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</si>
  <si>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</si>
  <si>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</si>
  <si>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</si>
  <si>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</si>
  <si>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</si>
  <si>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</si>
  <si>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</si>
  <si>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</si>
  <si>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</si>
  <si>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</si>
  <si>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</si>
  <si>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</si>
  <si>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</si>
  <si>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</si>
  <si>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</si>
  <si>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</si>
  <si>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</si>
  <si>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</si>
  <si>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</si>
  <si>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</si>
  <si>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</si>
  <si>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</si>
  <si>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</si>
  <si>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</si>
  <si>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</si>
  <si>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</si>
  <si>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</si>
  <si>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</si>
  <si>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</si>
  <si>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</si>
  <si>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</si>
  <si>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</si>
  <si>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</si>
  <si>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</si>
  <si>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</si>
  <si>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</si>
  <si>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</si>
  <si>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</si>
  <si>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</si>
  <si>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</si>
  <si>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</si>
  <si>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</si>
  <si>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</si>
  <si>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</si>
  <si>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</si>
  <si>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</si>
  <si>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</si>
  <si>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</si>
  <si>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</si>
  <si>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</si>
  <si>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</si>
  <si>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</si>
  <si>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</si>
  <si>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</si>
  <si>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</si>
  <si>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</si>
  <si>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</si>
  <si>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</si>
  <si>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</si>
  <si>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</si>
  <si>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</si>
  <si>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</si>
  <si>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</si>
  <si>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</si>
  <si>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</si>
  <si>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</si>
  <si>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</si>
  <si>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</si>
  <si>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</si>
  <si>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</si>
  <si>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</si>
  <si>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</si>
  <si>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</si>
  <si>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</si>
  <si>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</si>
  <si>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</si>
  <si>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</si>
  <si>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</si>
  <si>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</si>
  <si>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</si>
  <si>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</si>
  <si>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</si>
  <si>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</si>
  <si>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</si>
  <si>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</si>
  <si>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</si>
  <si>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</si>
  <si>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</si>
  <si>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</si>
  <si>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</si>
  <si>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</si>
  <si>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</si>
  <si>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</si>
  <si>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</si>
  <si>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</si>
  <si>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</si>
  <si>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</si>
  <si>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</si>
  <si>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</si>
  <si>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</si>
  <si>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</si>
  <si>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</si>
  <si>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</si>
  <si>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</si>
  <si>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</si>
  <si>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</si>
  <si>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</si>
  <si>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</si>
  <si>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</si>
  <si>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</si>
  <si>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</si>
  <si>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</si>
  <si>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</si>
  <si>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</si>
  <si>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</si>
  <si>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</si>
  <si>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</si>
  <si>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</si>
  <si>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</si>
  <si>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</si>
  <si>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</si>
  <si>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</si>
  <si>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</si>
  <si>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</si>
  <si>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</si>
  <si>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</si>
  <si>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</si>
  <si>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</si>
  <si>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</si>
  <si>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</si>
  <si>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</si>
  <si>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</si>
  <si>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</si>
  <si>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</si>
  <si>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</si>
  <si>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</si>
  <si>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</si>
  <si>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</si>
  <si>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</si>
  <si>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</si>
  <si>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</si>
  <si>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</si>
  <si>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</si>
  <si>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</si>
  <si>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</si>
  <si>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</si>
  <si>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</si>
  <si>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</si>
  <si>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</si>
  <si>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</si>
  <si>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</si>
  <si>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</si>
  <si>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</si>
  <si>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</si>
  <si>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</si>
  <si>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</si>
  <si>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</si>
  <si>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</si>
  <si>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</si>
  <si>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</si>
  <si>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</si>
  <si>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</si>
  <si>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</si>
  <si>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</si>
  <si>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</si>
  <si>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</si>
  <si>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</si>
  <si>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</si>
  <si>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</si>
  <si>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</si>
  <si>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</si>
  <si>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</si>
  <si>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</si>
  <si>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</si>
  <si>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</si>
  <si>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</si>
  <si>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</si>
  <si>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</si>
  <si>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</si>
  <si>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</si>
  <si>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</si>
  <si>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</si>
  <si>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</si>
  <si>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</si>
  <si>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</si>
  <si>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</si>
  <si>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</si>
  <si>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</si>
  <si>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</si>
  <si>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</si>
  <si>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</si>
  <si>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</si>
  <si>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</si>
  <si>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</si>
  <si>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</si>
  <si>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</si>
  <si>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</si>
  <si>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</si>
  <si>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</si>
  <si>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</si>
  <si>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</si>
  <si>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</si>
  <si>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</si>
  <si>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</si>
  <si>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</si>
  <si>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</si>
  <si>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</si>
  <si>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</si>
  <si>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</si>
  <si>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</si>
  <si>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</si>
  <si>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</si>
  <si>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</si>
  <si>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</si>
  <si>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</si>
  <si>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</si>
  <si>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</si>
  <si>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</si>
  <si>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</si>
  <si>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</si>
  <si>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</si>
  <si>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</si>
  <si>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</si>
  <si>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</si>
  <si>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</si>
  <si>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</si>
  <si>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</si>
  <si>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</si>
  <si>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</si>
  <si>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</si>
  <si>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</si>
  <si>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</si>
  <si>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</si>
  <si>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</si>
  <si>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</si>
  <si>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</si>
  <si>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</si>
  <si>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</si>
  <si>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</si>
  <si>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</si>
  <si>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</si>
  <si>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</si>
  <si>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</si>
  <si>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</si>
  <si>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</si>
  <si>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</si>
  <si>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</si>
  <si>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</si>
  <si>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</si>
  <si>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</si>
  <si>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</si>
  <si>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</si>
  <si>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</si>
  <si>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</si>
  <si>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</si>
  <si>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</si>
  <si>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</si>
  <si>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</si>
  <si>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</si>
  <si>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</si>
  <si>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</si>
  <si>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</si>
  <si>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</si>
  <si>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</si>
  <si>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</si>
  <si>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</si>
  <si>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</si>
  <si>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</si>
  <si>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</si>
  <si>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</si>
  <si>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</si>
  <si>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</si>
  <si>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</si>
  <si>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</si>
  <si>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</si>
  <si>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</si>
  <si>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</si>
  <si>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</si>
  <si>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</si>
  <si>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</si>
  <si>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</si>
  <si>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</si>
  <si>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</si>
  <si>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</si>
  <si>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</si>
  <si>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</si>
  <si>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</si>
  <si>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</si>
  <si>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</si>
  <si>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</si>
  <si>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</si>
  <si>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</si>
  <si>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</si>
  <si>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</si>
  <si>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</si>
  <si>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</si>
  <si>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</si>
  <si>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</si>
  <si>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</si>
  <si>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</si>
  <si>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</si>
  <si>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</si>
  <si>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</si>
  <si>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</si>
  <si>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</si>
  <si>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</si>
  <si>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</si>
  <si>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</si>
  <si>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</si>
  <si>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</si>
  <si>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</si>
  <si>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</si>
  <si>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</si>
  <si>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</si>
  <si>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</si>
  <si>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</si>
  <si>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</si>
  <si>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</si>
  <si>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</si>
  <si>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</si>
  <si>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</si>
  <si>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</si>
  <si>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</si>
  <si>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</si>
  <si>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</si>
  <si>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</si>
  <si>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</si>
  <si>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</si>
  <si>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</si>
  <si>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</si>
  <si>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</si>
  <si>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</si>
  <si>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</si>
  <si>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</si>
  <si>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</si>
  <si>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</si>
  <si>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</si>
  <si>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</si>
  <si>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</si>
  <si>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</si>
  <si>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</si>
  <si>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</si>
  <si>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</si>
  <si>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</si>
  <si>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</si>
  <si>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</si>
  <si>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</si>
  <si>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</si>
  <si>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</si>
  <si>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</si>
  <si>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</si>
  <si>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</si>
  <si>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</si>
  <si>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</si>
  <si>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</si>
  <si>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</si>
  <si>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</si>
  <si>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</si>
  <si>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</si>
  <si>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</si>
  <si>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</si>
  <si>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</si>
  <si>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</si>
  <si>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</si>
  <si>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</si>
  <si>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</si>
  <si>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</si>
  <si>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</si>
  <si>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</si>
  <si>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</si>
  <si>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</si>
  <si>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</si>
  <si>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</si>
  <si>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</si>
  <si>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</si>
  <si>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</si>
  <si>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</si>
  <si>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</si>
  <si>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</si>
  <si>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</si>
  <si>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</si>
  <si>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</si>
  <si>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</si>
  <si>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</si>
  <si>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</si>
  <si>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</si>
  <si>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</si>
  <si>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</si>
  <si>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</si>
  <si>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</si>
  <si>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</si>
  <si>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</si>
  <si>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</si>
  <si>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</si>
  <si>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</si>
  <si>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</si>
  <si>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</si>
  <si>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</si>
  <si>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</si>
  <si>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</si>
  <si>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</si>
  <si>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</si>
  <si>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</si>
  <si>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</si>
  <si>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</si>
  <si>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</si>
  <si>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</si>
  <si>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</si>
  <si>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</si>
  <si>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</si>
  <si>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</si>
  <si>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</si>
  <si>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</si>
  <si>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</si>
  <si>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</si>
  <si>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</si>
  <si>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</si>
  <si>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</si>
  <si>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</si>
  <si>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</si>
  <si>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</si>
  <si>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</si>
  <si>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</si>
  <si>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</si>
  <si>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</si>
  <si>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</si>
  <si>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</si>
  <si>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</si>
  <si>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</si>
  <si>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</si>
  <si>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</si>
  <si>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</si>
  <si>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</si>
  <si>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</si>
  <si>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</si>
  <si>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</si>
  <si>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</si>
  <si>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</si>
  <si>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</si>
  <si>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</si>
  <si>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</si>
  <si>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</si>
  <si>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</si>
  <si>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</si>
  <si>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</si>
  <si>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</si>
  <si>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</si>
  <si>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</si>
  <si>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</si>
  <si>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</si>
  <si>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</si>
  <si>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</si>
  <si>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</si>
  <si>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</si>
  <si>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</si>
  <si>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</si>
  <si>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</si>
  <si>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</si>
  <si>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</si>
  <si>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</si>
  <si>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</si>
  <si>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</si>
  <si>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</si>
  <si>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</si>
  <si>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</si>
  <si>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</si>
  <si>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</si>
  <si>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</si>
  <si>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</si>
  <si>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</si>
  <si>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</si>
  <si>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</si>
  <si>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</si>
  <si>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</si>
  <si>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</si>
  <si>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</si>
  <si>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</si>
  <si>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</si>
  <si>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</si>
  <si>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</si>
  <si>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</si>
  <si>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</si>
  <si>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</si>
  <si>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</si>
  <si>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</si>
  <si>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</si>
  <si>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</si>
  <si>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</si>
  <si>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</si>
  <si>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</si>
  <si>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</si>
  <si>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</si>
  <si>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</si>
  <si>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</si>
  <si>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</si>
  <si>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</si>
  <si>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</si>
  <si>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</si>
  <si>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</si>
  <si>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</si>
  <si>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</si>
  <si>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</si>
  <si>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</si>
  <si>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</si>
  <si>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</si>
  <si>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</si>
  <si>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</si>
  <si>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</si>
  <si>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</si>
  <si>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</si>
  <si>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</si>
  <si>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</si>
  <si>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</si>
  <si>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</si>
  <si>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</si>
  <si>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</si>
  <si>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</si>
  <si>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</si>
  <si>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</si>
  <si>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</si>
  <si>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</si>
  <si>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</si>
  <si>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</si>
  <si>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</si>
  <si>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</si>
  <si>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</si>
  <si>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</si>
  <si>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</si>
  <si>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</si>
  <si>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</si>
  <si>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</si>
  <si>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</si>
  <si>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</si>
  <si>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</si>
  <si>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</si>
  <si>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</si>
  <si>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</si>
  <si>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</si>
  <si>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</si>
  <si>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</si>
  <si>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</si>
  <si>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</si>
  <si>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</si>
  <si>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</si>
  <si>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</si>
  <si>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</si>
  <si>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</si>
  <si>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</si>
  <si>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</si>
  <si>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</si>
  <si>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</si>
  <si>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</si>
  <si>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</si>
  <si>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</si>
  <si>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</si>
  <si>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</si>
  <si>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</si>
  <si>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</si>
  <si>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</si>
  <si>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</si>
  <si>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</si>
  <si>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</si>
  <si>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</si>
  <si>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</si>
  <si>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</si>
  <si>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</si>
  <si>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</si>
  <si>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</si>
  <si>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</si>
  <si>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</si>
  <si>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</si>
  <si>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</si>
  <si>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</si>
  <si>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</si>
  <si>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</si>
  <si>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</si>
  <si>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</si>
  <si>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</si>
  <si>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</si>
  <si>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</si>
  <si>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</si>
  <si>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</si>
  <si>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</si>
  <si>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</si>
  <si>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</si>
  <si>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</si>
  <si>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</si>
  <si>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</si>
  <si>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</si>
  <si>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</si>
  <si>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</si>
  <si>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</si>
  <si>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</si>
  <si>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</si>
  <si>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</si>
  <si>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</si>
  <si>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</si>
  <si>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</si>
  <si>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</si>
  <si>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</si>
  <si>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</si>
  <si>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</si>
  <si>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</si>
  <si>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</si>
  <si>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</si>
  <si>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</si>
  <si>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</si>
  <si>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</si>
  <si>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</si>
  <si>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</si>
  <si>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</si>
  <si>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</si>
  <si>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</si>
  <si>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</si>
  <si>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</si>
  <si>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</si>
  <si>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</si>
  <si>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</si>
  <si>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</si>
  <si>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</si>
  <si>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</si>
  <si>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</si>
  <si>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</si>
  <si>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</si>
  <si>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</si>
  <si>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</si>
  <si>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</si>
  <si>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</si>
  <si>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</si>
  <si>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</si>
  <si>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</si>
  <si>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</si>
  <si>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</si>
  <si>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</si>
  <si>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</si>
  <si>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</si>
  <si>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</si>
  <si>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</si>
  <si>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</si>
  <si>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</si>
  <si>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</si>
  <si>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</si>
  <si>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</si>
  <si>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</si>
  <si>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</si>
  <si>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</si>
  <si>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</si>
  <si>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</si>
  <si>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</si>
  <si>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</si>
  <si>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</si>
  <si>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</si>
  <si>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</si>
  <si>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</si>
  <si>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</si>
  <si>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</si>
  <si>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</si>
  <si>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</si>
  <si>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</si>
  <si>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</si>
  <si>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</si>
  <si>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</si>
  <si>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</si>
  <si>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</si>
  <si>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</si>
  <si>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</si>
  <si>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</si>
  <si>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</si>
  <si>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</si>
  <si>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</si>
  <si>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</si>
  <si>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</si>
  <si>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</si>
  <si>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</si>
  <si>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</si>
  <si>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</si>
  <si>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</si>
  <si>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</si>
  <si>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</si>
  <si>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</si>
  <si>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</si>
  <si>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</si>
  <si>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</si>
  <si>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</si>
  <si>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</si>
  <si>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</si>
  <si>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</si>
  <si>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</si>
  <si>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</si>
  <si>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</si>
  <si>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</si>
  <si>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</si>
  <si>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</si>
  <si>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</si>
  <si>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</si>
  <si>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</si>
  <si>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</si>
  <si>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</si>
  <si>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</si>
  <si>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</si>
  <si>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</si>
  <si>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</si>
  <si>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</si>
  <si>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</si>
  <si>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</si>
  <si>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</si>
  <si>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</si>
  <si>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</si>
  <si>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</si>
  <si>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</si>
  <si>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</si>
  <si>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</si>
  <si>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</si>
  <si>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</si>
  <si>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</si>
  <si>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</si>
  <si>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</si>
  <si>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</si>
  <si>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</si>
  <si>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</si>
  <si>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</si>
  <si>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</si>
  <si>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</si>
  <si>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</si>
  <si>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</si>
  <si>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</si>
  <si>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</si>
  <si>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</si>
  <si>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</si>
  <si>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</si>
  <si>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</si>
  <si>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</si>
  <si>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</si>
  <si>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</si>
  <si>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</si>
  <si>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</si>
  <si>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</si>
  <si>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</si>
  <si>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</si>
  <si>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</si>
  <si>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</si>
  <si>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</si>
  <si>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</si>
  <si>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</si>
  <si>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</si>
  <si>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</si>
  <si>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</si>
  <si>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</si>
  <si>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</si>
  <si>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</si>
  <si>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</si>
  <si>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</si>
  <si>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</si>
  <si>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</si>
  <si>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</si>
  <si>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</si>
  <si>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</si>
  <si>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</si>
  <si>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</si>
  <si>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</si>
  <si>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</si>
  <si>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</si>
  <si>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</si>
  <si>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</si>
  <si>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</si>
  <si>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</si>
  <si>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</si>
  <si>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</si>
  <si>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</si>
  <si>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</si>
  <si>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</si>
  <si>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</si>
  <si>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</si>
  <si>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</si>
  <si>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</si>
  <si>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</si>
  <si>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</si>
  <si>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</si>
  <si>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</si>
  <si>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</si>
  <si>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</si>
  <si>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</si>
  <si>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</si>
  <si>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</si>
  <si>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</si>
  <si>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</si>
  <si>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</si>
  <si>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</si>
  <si>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</si>
  <si>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</si>
  <si>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</si>
  <si>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</si>
  <si>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</si>
  <si>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</si>
  <si>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</si>
  <si>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</si>
  <si>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</si>
  <si>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</si>
  <si>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</si>
  <si>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</si>
  <si>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</si>
  <si>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</si>
  <si>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</si>
  <si>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</si>
  <si>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</si>
  <si>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</si>
  <si>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</si>
  <si>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</si>
  <si>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</si>
  <si>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</si>
  <si>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</si>
  <si>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</si>
  <si>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</si>
  <si>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</si>
  <si>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</si>
  <si>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</si>
  <si>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</si>
  <si>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</si>
  <si>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</si>
  <si>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</si>
  <si>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</si>
  <si>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</si>
  <si>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</si>
  <si>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</si>
  <si>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</si>
  <si>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</si>
  <si>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</si>
  <si>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</si>
  <si>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</si>
  <si>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</si>
  <si>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</si>
  <si>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</si>
  <si>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</si>
  <si>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</si>
  <si>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</si>
  <si>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</si>
  <si>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</si>
  <si>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</si>
  <si>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</si>
  <si>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</si>
  <si>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</si>
  <si>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</si>
  <si>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</si>
  <si>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</si>
  <si>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</si>
  <si>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</si>
  <si>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</si>
  <si>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</si>
  <si>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</si>
  <si>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</si>
  <si>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</si>
  <si>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</si>
  <si>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</si>
  <si>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</si>
  <si>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</si>
  <si>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</si>
  <si>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</si>
  <si>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</si>
  <si>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</si>
  <si>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</si>
  <si>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</si>
  <si>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</si>
  <si>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</si>
  <si>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</si>
  <si>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</si>
  <si>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</si>
  <si>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</si>
  <si>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</si>
  <si>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</si>
  <si>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</si>
  <si>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</si>
  <si>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</si>
  <si>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</si>
  <si>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</si>
  <si>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</si>
  <si>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</si>
  <si>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</si>
  <si>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</si>
  <si>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</si>
  <si>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</si>
  <si>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</si>
  <si>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</si>
  <si>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</si>
  <si>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</si>
  <si>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</si>
  <si>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</si>
  <si>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</si>
  <si>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</si>
  <si>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</si>
  <si>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</si>
  <si>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</si>
  <si>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</si>
  <si>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</si>
  <si>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</si>
  <si>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</si>
  <si>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</si>
  <si>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</si>
  <si>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</si>
  <si>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</si>
  <si>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</si>
  <si>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</si>
  <si>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</si>
  <si>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</si>
  <si>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</si>
  <si>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</si>
  <si>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</si>
  <si>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</si>
  <si>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</si>
  <si>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</si>
  <si>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</si>
  <si>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</si>
  <si>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</si>
  <si>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</si>
  <si>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</si>
  <si>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</si>
  <si>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</si>
  <si>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</si>
  <si>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</si>
  <si>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</si>
  <si>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</si>
  <si>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</si>
  <si>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</si>
  <si>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</si>
  <si>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</si>
  <si>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</si>
  <si>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</si>
  <si>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</si>
  <si>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</si>
  <si>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</si>
  <si>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</si>
  <si>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</si>
  <si>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</si>
  <si>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</si>
  <si>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</si>
  <si>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</si>
  <si>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</si>
  <si>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</si>
  <si>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</si>
  <si>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</si>
  <si>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</si>
  <si>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</si>
  <si>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</si>
  <si>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</si>
  <si>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</si>
  <si>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</si>
  <si>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</si>
  <si>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</si>
  <si>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</si>
  <si>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</si>
  <si>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</si>
  <si>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</si>
  <si>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</si>
  <si>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</si>
  <si>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</si>
  <si>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</si>
  <si>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</si>
  <si>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</si>
  <si>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</si>
  <si>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</si>
  <si>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</si>
  <si>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</si>
  <si>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</si>
  <si>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</si>
  <si>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</si>
  <si>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</si>
  <si>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</si>
  <si>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</si>
  <si>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</si>
  <si>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</si>
  <si>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</si>
  <si>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</si>
  <si>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</si>
  <si>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</si>
  <si>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</si>
  <si>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</si>
  <si>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</si>
  <si>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</si>
  <si>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</si>
  <si>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</si>
  <si>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</si>
  <si>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</si>
  <si>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</si>
  <si>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</si>
  <si>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</si>
  <si>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</si>
  <si>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</si>
  <si>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</si>
  <si>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</si>
  <si>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</si>
  <si>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</si>
  <si>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</si>
  <si>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</si>
  <si>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</si>
  <si>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</si>
  <si>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</si>
  <si>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</si>
  <si>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</si>
  <si>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</si>
  <si>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</si>
  <si>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</si>
  <si>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</si>
  <si>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</si>
  <si>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</si>
  <si>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</si>
  <si>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</si>
  <si>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</si>
  <si>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</si>
  <si>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</si>
  <si>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</si>
  <si>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</si>
  <si>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</si>
  <si>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</si>
  <si>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</si>
  <si>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</si>
  <si>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</si>
  <si>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</si>
  <si>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</si>
  <si>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</si>
  <si>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</si>
  <si>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</si>
  <si>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</si>
  <si>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</si>
  <si>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</si>
  <si>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</si>
  <si>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</si>
  <si>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</si>
  <si>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</si>
  <si>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</si>
  <si>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</si>
  <si>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</si>
  <si>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</si>
  <si>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</si>
  <si>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</si>
  <si>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</si>
  <si>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</si>
  <si>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</si>
  <si>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</si>
  <si>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</si>
  <si>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</si>
  <si>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</si>
  <si>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</si>
  <si>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</si>
  <si>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</si>
  <si>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</si>
  <si>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</si>
  <si>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</si>
  <si>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</si>
  <si>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</si>
  <si>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</si>
  <si>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</si>
  <si>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</si>
  <si>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</si>
  <si>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</si>
  <si>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</si>
  <si>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</si>
  <si>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</si>
  <si>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</si>
  <si>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</si>
  <si>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</si>
  <si>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</si>
  <si>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</si>
  <si>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</si>
  <si>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</si>
  <si>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</si>
  <si>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</si>
  <si>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</si>
  <si>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</si>
  <si>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</si>
  <si>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</si>
  <si>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</si>
  <si>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</si>
  <si>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</si>
  <si>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</si>
  <si>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</si>
  <si>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</si>
  <si>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</si>
  <si>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</si>
  <si>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</si>
  <si>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</si>
  <si>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</si>
  <si>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</si>
  <si>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</si>
  <si>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</si>
  <si>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</si>
  <si>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</si>
  <si>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</si>
  <si>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</si>
  <si>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</si>
  <si>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</si>
  <si>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</si>
  <si>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</si>
  <si>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</si>
  <si>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</si>
  <si>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</si>
  <si>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</si>
  <si>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</si>
  <si>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</si>
  <si>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</si>
  <si>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</si>
  <si>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</si>
  <si>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</si>
  <si>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</si>
  <si>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</si>
  <si>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</si>
  <si>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</si>
  <si>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</si>
  <si>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</si>
  <si>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</si>
  <si>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</si>
  <si>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</si>
  <si>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</si>
  <si>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</si>
  <si>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</si>
  <si>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</si>
  <si>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</si>
  <si>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</si>
  <si>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</si>
  <si>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</si>
  <si>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</si>
  <si>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</si>
  <si>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</si>
  <si>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</si>
  <si>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</si>
  <si>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</si>
  <si>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</si>
  <si>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</si>
  <si>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</si>
  <si>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</si>
  <si>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</si>
  <si>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</si>
  <si>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</si>
  <si>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</si>
  <si>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</si>
  <si>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</si>
  <si>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</si>
  <si>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</si>
  <si>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</si>
  <si>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</si>
  <si>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</si>
  <si>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</si>
  <si>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</si>
  <si>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</si>
  <si>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</si>
  <si>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</si>
  <si>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</si>
  <si>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</si>
  <si>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</si>
  <si>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</si>
  <si>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</si>
  <si>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</si>
  <si>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</si>
  <si>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</si>
  <si>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</si>
  <si>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</si>
  <si>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</si>
  <si>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</si>
  <si>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</si>
  <si>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</si>
  <si>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</si>
  <si>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</si>
  <si>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</si>
  <si>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</si>
  <si>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</si>
  <si>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</si>
  <si>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</si>
  <si>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</si>
  <si>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</si>
  <si>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</si>
  <si>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</si>
  <si>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</si>
  <si>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</si>
  <si>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</si>
  <si>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</si>
  <si>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</si>
  <si>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</si>
  <si>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</si>
  <si>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</si>
  <si>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</si>
  <si>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</si>
  <si>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</si>
  <si>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</si>
  <si>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</si>
  <si>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</si>
  <si>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</si>
  <si>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</si>
  <si>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</si>
  <si>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</si>
  <si>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</si>
  <si>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</si>
  <si>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</si>
  <si>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</si>
  <si>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</si>
  <si>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</si>
  <si>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</si>
  <si>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</si>
  <si>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</si>
  <si>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</si>
  <si>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</si>
  <si>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</si>
  <si>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</si>
  <si>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</si>
  <si>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</si>
  <si>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</si>
  <si>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</si>
  <si>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</si>
  <si>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</si>
  <si>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</si>
  <si>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</si>
  <si>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</si>
  <si>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</si>
  <si>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</si>
  <si>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</si>
  <si>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</si>
  <si>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</si>
  <si>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</si>
  <si>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</si>
  <si>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</si>
  <si>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</si>
  <si>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</si>
  <si>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</si>
  <si>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</si>
  <si>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</si>
  <si>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</si>
  <si>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</si>
  <si>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</si>
  <si>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</si>
  <si>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</si>
  <si>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</si>
  <si>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</si>
  <si>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</si>
  <si>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</si>
  <si>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</si>
  <si>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</si>
  <si>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</si>
  <si>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</si>
  <si>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</si>
  <si>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</si>
  <si>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</si>
  <si>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</si>
  <si>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</si>
  <si>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</si>
  <si>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</si>
  <si>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</si>
  <si>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</si>
  <si>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</si>
  <si>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</si>
  <si>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</si>
  <si>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</si>
  <si>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</si>
  <si>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</si>
  <si>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</si>
  <si>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</si>
  <si>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</si>
  <si>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</si>
  <si>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</si>
  <si>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</si>
  <si>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</si>
  <si>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</si>
  <si>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</si>
  <si>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</si>
  <si>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</si>
  <si>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</si>
  <si>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</si>
  <si>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</si>
  <si>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</si>
  <si>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</si>
  <si>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</si>
  <si>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</si>
  <si>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</si>
  <si>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</si>
  <si>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</si>
  <si>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</si>
  <si>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</si>
  <si>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</si>
  <si>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</si>
  <si>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</si>
  <si>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</si>
  <si>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</si>
  <si>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</si>
  <si>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</si>
  <si>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</si>
  <si>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현행화 일자: 2026-09-09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</si>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</sst>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1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IF($T15="","",1+COUNTIF($W$15:$W$879,"&lt;"&amp;W15))</f>
        <v>1</v>
      </c>
      <c r="B15" s="11" t="s">
        <v>16</v>
      </c>
      <c r="C15" s="11" t="s">
        <v>1284</v>
      </c>
      <c r="D15" s="11" t="s">
        <v>48</v>
      </c>
      <c r="E15" s="11" t="s">
        <v>26</v>
      </c>
      <c r="F15" s="11" t="s">
        <v>1285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292</v>
      </c>
      <c r="D16" s="15" t="s">
        <v>45</v>
      </c>
      <c r="E16" s="11" t="s">
        <v>26</v>
      </c>
      <c r="F16" s="11" t="s">
        <v>293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1799</v>
      </c>
      <c r="H17" s="12">
        <v>2229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2229</v>
      </c>
      <c r="N17" s="12">
        <f t="shared" si="4"/>
        <v>1794</v>
      </c>
      <c r="O17" s="12" t="str">
        <f t="shared" si="5"/>
        <v>휘발유 44,975원 / 고급유 44,580원</v>
      </c>
      <c r="P17" s="12">
        <f t="shared" si="6"/>
        <v>89555</v>
      </c>
      <c r="Q17" s="12" t="s">
        <v>61</v>
      </c>
      <c r="R17" s="13">
        <f t="shared" si="7"/>
        <v>0.1</v>
      </c>
      <c r="S17" s="12">
        <f t="shared" si="8"/>
        <v>8955</v>
      </c>
      <c r="T17" s="12">
        <f t="shared" si="9"/>
        <v>80600</v>
      </c>
      <c r="U17" s="12">
        <f t="shared" si="10"/>
        <v>1791.1111111111111</v>
      </c>
      <c r="V17" s="12">
        <f t="shared" si="11"/>
        <v>1990.1111111111111</v>
      </c>
      <c r="W17" s="14">
        <f t="shared" si="12"/>
        <v>80600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884</v>
      </c>
      <c r="D18" s="15" t="s">
        <v>45</v>
      </c>
      <c r="E18" s="11" t="s">
        <v>26</v>
      </c>
      <c r="F18" s="11" t="s">
        <v>885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1356</v>
      </c>
      <c r="D19" s="15" t="s">
        <v>59</v>
      </c>
      <c r="E19" s="11" t="s">
        <v>26</v>
      </c>
      <c r="F19" s="11" t="s">
        <v>1357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1387</v>
      </c>
      <c r="D20" s="15" t="s">
        <v>45</v>
      </c>
      <c r="E20" s="11" t="s">
        <v>26</v>
      </c>
      <c r="F20" s="11" t="s">
        <v>1388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870</v>
      </c>
      <c r="D22" s="15" t="s">
        <v>45</v>
      </c>
      <c r="E22" s="11" t="s">
        <v>60</v>
      </c>
      <c r="F22" s="11" t="s">
        <v>871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1292</v>
      </c>
      <c r="D23" s="15" t="s">
        <v>78</v>
      </c>
      <c r="E23" s="11" t="s">
        <v>26</v>
      </c>
      <c r="F23" s="11" t="s">
        <v>1293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572</v>
      </c>
      <c r="D24" s="15" t="s">
        <v>78</v>
      </c>
      <c r="E24" s="11" t="s">
        <v>26</v>
      </c>
      <c r="F24" s="11" t="s">
        <v>573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1458</v>
      </c>
      <c r="D25" s="15" t="s">
        <v>59</v>
      </c>
      <c r="E25" s="11" t="s">
        <v>26</v>
      </c>
      <c r="F25" s="11" t="s">
        <v>1459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234</v>
      </c>
      <c r="D26" s="15" t="s">
        <v>78</v>
      </c>
      <c r="E26" s="11" t="s">
        <v>26</v>
      </c>
      <c r="F26" s="11" t="s">
        <v>235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1371</v>
      </c>
      <c r="D27" s="15" t="s">
        <v>59</v>
      </c>
      <c r="E27" s="11" t="s">
        <v>26</v>
      </c>
      <c r="F27" s="11" t="s">
        <v>1372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236</v>
      </c>
      <c r="D28" s="15" t="s">
        <v>78</v>
      </c>
      <c r="E28" s="11" t="s">
        <v>26</v>
      </c>
      <c r="F28" s="11" t="s">
        <v>237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717</v>
      </c>
      <c r="D29" s="15" t="s">
        <v>78</v>
      </c>
      <c r="E29" s="11" t="s">
        <v>26</v>
      </c>
      <c r="F29" s="11" t="s">
        <v>718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348</v>
      </c>
      <c r="D30" s="15" t="s">
        <v>78</v>
      </c>
      <c r="E30" s="11" t="s">
        <v>26</v>
      </c>
      <c r="F30" s="11" t="s">
        <v>349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1668</v>
      </c>
      <c r="D31" s="15" t="s">
        <v>59</v>
      </c>
      <c r="E31" s="11" t="s">
        <v>26</v>
      </c>
      <c r="F31" s="11" t="s">
        <v>1669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1007</v>
      </c>
      <c r="D32" s="15" t="s">
        <v>78</v>
      </c>
      <c r="E32" s="11" t="s">
        <v>26</v>
      </c>
      <c r="F32" s="11" t="s">
        <v>1008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468</v>
      </c>
      <c r="D33" s="15" t="s">
        <v>78</v>
      </c>
      <c r="E33" s="11" t="s">
        <v>26</v>
      </c>
      <c r="F33" s="11" t="s">
        <v>469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1080</v>
      </c>
      <c r="D35" s="15" t="s">
        <v>59</v>
      </c>
      <c r="E35" s="11" t="s">
        <v>26</v>
      </c>
      <c r="F35" s="11" t="s">
        <v>1081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1013</v>
      </c>
      <c r="D36" s="15" t="s">
        <v>59</v>
      </c>
      <c r="E36" s="11" t="s">
        <v>26</v>
      </c>
      <c r="F36" s="11" t="s">
        <v>1014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1330</v>
      </c>
      <c r="D38" s="15" t="s">
        <v>78</v>
      </c>
      <c r="E38" s="11" t="s">
        <v>26</v>
      </c>
      <c r="F38" s="11" t="s">
        <v>1331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1660</v>
      </c>
      <c r="D39" s="15" t="s">
        <v>78</v>
      </c>
      <c r="E39" s="11" t="s">
        <v>26</v>
      </c>
      <c r="F39" s="11" t="s">
        <v>1661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455</v>
      </c>
      <c r="D40" s="15" t="s">
        <v>45</v>
      </c>
      <c r="E40" s="11" t="s">
        <v>26</v>
      </c>
      <c r="F40" s="11" t="s">
        <v>456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418</v>
      </c>
      <c r="D41" s="15" t="s">
        <v>78</v>
      </c>
      <c r="E41" s="11" t="s">
        <v>26</v>
      </c>
      <c r="F41" s="11" t="s">
        <v>419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661</v>
      </c>
      <c r="D42" s="15" t="s">
        <v>78</v>
      </c>
      <c r="E42" s="11" t="s">
        <v>26</v>
      </c>
      <c r="F42" s="11" t="s">
        <v>662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1051</v>
      </c>
      <c r="D43" s="15" t="s">
        <v>45</v>
      </c>
      <c r="E43" s="11" t="s">
        <v>26</v>
      </c>
      <c r="F43" s="11" t="s">
        <v>1052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1472</v>
      </c>
      <c r="D44" s="15" t="s">
        <v>59</v>
      </c>
      <c r="E44" s="11" t="s">
        <v>26</v>
      </c>
      <c r="F44" s="11" t="s">
        <v>1473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1613</v>
      </c>
      <c r="D45" s="15" t="s">
        <v>59</v>
      </c>
      <c r="E45" s="11" t="s">
        <v>26</v>
      </c>
      <c r="F45" s="11" t="s">
        <v>1614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996</v>
      </c>
      <c r="D46" s="15" t="s">
        <v>45</v>
      </c>
      <c r="E46" s="11" t="s">
        <v>26</v>
      </c>
      <c r="F46" s="11" t="s">
        <v>997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1391</v>
      </c>
      <c r="D47" s="15" t="s">
        <v>59</v>
      </c>
      <c r="E47" s="11" t="s">
        <v>60</v>
      </c>
      <c r="F47" s="11" t="s">
        <v>1392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1557</v>
      </c>
      <c r="D48" s="15" t="s">
        <v>59</v>
      </c>
      <c r="E48" s="11" t="s">
        <v>26</v>
      </c>
      <c r="F48" s="11" t="s">
        <v>1558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1221</v>
      </c>
      <c r="D50" s="15" t="s">
        <v>45</v>
      </c>
      <c r="E50" s="11" t="s">
        <v>26</v>
      </c>
      <c r="F50" s="11" t="s">
        <v>1222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892</v>
      </c>
      <c r="D51" s="11" t="s">
        <v>57</v>
      </c>
      <c r="E51" s="11" t="s">
        <v>26</v>
      </c>
      <c r="F51" s="11" t="s">
        <v>893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1744</v>
      </c>
      <c r="D52" s="11" t="s">
        <v>45</v>
      </c>
      <c r="E52" s="11" t="s">
        <v>26</v>
      </c>
      <c r="F52" s="11" t="s">
        <v>1745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1483</v>
      </c>
      <c r="D54" s="11" t="s">
        <v>48</v>
      </c>
      <c r="E54" s="11" t="s">
        <v>26</v>
      </c>
      <c r="F54" s="11" t="s">
        <v>1484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39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1167</v>
      </c>
      <c r="D57" s="15" t="s">
        <v>59</v>
      </c>
      <c r="E57" s="11" t="s">
        <v>26</v>
      </c>
      <c r="F57" s="11" t="s">
        <v>1168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7" customFormat="1" ht="28.5" customHeight="1">
      <c r="A58" s="11">
        <f t="shared" si="0"/>
        <v>44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1704</v>
      </c>
      <c r="D61" s="15" t="s">
        <v>45</v>
      </c>
      <c r="E61" s="11" t="s">
        <v>26</v>
      </c>
      <c r="F61" s="11" t="s">
        <v>1705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1328</v>
      </c>
      <c r="D63" s="15" t="s">
        <v>45</v>
      </c>
      <c r="E63" s="11" t="s">
        <v>26</v>
      </c>
      <c r="F63" s="11" t="s">
        <v>1329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1509</v>
      </c>
      <c r="D64" s="15" t="s">
        <v>45</v>
      </c>
      <c r="E64" s="11" t="s">
        <v>26</v>
      </c>
      <c r="F64" s="11" t="s">
        <v>1510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1129</v>
      </c>
      <c r="D67" s="15" t="s">
        <v>45</v>
      </c>
      <c r="E67" s="11" t="s">
        <v>26</v>
      </c>
      <c r="F67" s="11" t="s">
        <v>1130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1229</v>
      </c>
      <c r="D68" s="15" t="s">
        <v>45</v>
      </c>
      <c r="E68" s="11" t="s">
        <v>26</v>
      </c>
      <c r="F68" s="11" t="s">
        <v>1230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52</v>
      </c>
      <c r="D70" s="15" t="s">
        <v>45</v>
      </c>
      <c r="E70" s="11" t="s">
        <v>26</v>
      </c>
      <c r="F70" s="11" t="s">
        <v>53</v>
      </c>
      <c r="G70" s="12">
        <v>1807</v>
      </c>
      <c r="H70" s="12">
        <v>2256</v>
      </c>
      <c r="I70" s="12"/>
      <c r="J70" s="12">
        <v>1787</v>
      </c>
      <c r="K70" s="12">
        <f t="shared" si="1"/>
        <v>0</v>
      </c>
      <c r="L70" s="12">
        <f t="shared" si="2"/>
        <v>1807</v>
      </c>
      <c r="M70" s="12">
        <f t="shared" si="3"/>
        <v>2256</v>
      </c>
      <c r="N70" s="12">
        <f t="shared" si="4"/>
        <v>1787</v>
      </c>
      <c r="O70" s="12" t="str">
        <f t="shared" si="5"/>
        <v>휘발유 45,175원 / 고급유 45,120원</v>
      </c>
      <c r="P70" s="12">
        <f t="shared" si="6"/>
        <v>90295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90295</v>
      </c>
      <c r="U70" s="12">
        <f t="shared" si="10"/>
        <v>2006.5555555555557</v>
      </c>
      <c r="V70" s="12">
        <f t="shared" si="11"/>
        <v>2006.5555555555557</v>
      </c>
      <c r="W70" s="14">
        <f t="shared" si="12"/>
        <v>90295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1033</v>
      </c>
      <c r="D72" s="11" t="s">
        <v>57</v>
      </c>
      <c r="E72" s="11" t="s">
        <v>26</v>
      </c>
      <c r="F72" s="11" t="s">
        <v>1034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808</v>
      </c>
      <c r="D73" s="15" t="s">
        <v>78</v>
      </c>
      <c r="E73" s="11" t="s">
        <v>26</v>
      </c>
      <c r="F73" s="11" t="s">
        <v>809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1628</v>
      </c>
      <c r="D75" s="15" t="s">
        <v>59</v>
      </c>
      <c r="E75" s="11" t="s">
        <v>26</v>
      </c>
      <c r="F75" s="11" t="s">
        <v>1629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1375</v>
      </c>
      <c r="D76" s="15" t="s">
        <v>78</v>
      </c>
      <c r="E76" s="11" t="s">
        <v>26</v>
      </c>
      <c r="F76" s="11" t="s">
        <v>1376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240</v>
      </c>
      <c r="D77" s="15" t="s">
        <v>45</v>
      </c>
      <c r="E77" s="11" t="s">
        <v>26</v>
      </c>
      <c r="F77" s="11" t="s">
        <v>241</v>
      </c>
      <c r="G77" s="12">
        <v>1806</v>
      </c>
      <c r="H77" s="12">
        <v>2264</v>
      </c>
      <c r="I77" s="12"/>
      <c r="J77" s="12">
        <v>1792</v>
      </c>
      <c r="K77" s="12">
        <f t="shared" si="1"/>
        <v>0</v>
      </c>
      <c r="L77" s="12">
        <f t="shared" si="2"/>
        <v>1806</v>
      </c>
      <c r="M77" s="12">
        <f t="shared" si="3"/>
        <v>2264</v>
      </c>
      <c r="N77" s="12">
        <f t="shared" si="4"/>
        <v>1792</v>
      </c>
      <c r="O77" s="12" t="str">
        <f t="shared" si="5"/>
        <v>휘발유 45,150원 / 고급유 45,280원</v>
      </c>
      <c r="P77" s="12">
        <f t="shared" si="6"/>
        <v>90430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90430</v>
      </c>
      <c r="U77" s="12">
        <f t="shared" si="10"/>
        <v>2009.5555555555557</v>
      </c>
      <c r="V77" s="12">
        <f t="shared" si="11"/>
        <v>2009.5555555555557</v>
      </c>
      <c r="W77" s="14">
        <f t="shared" si="12"/>
        <v>90430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106</v>
      </c>
      <c r="D78" s="11" t="s">
        <v>57</v>
      </c>
      <c r="E78" s="11" t="s">
        <v>26</v>
      </c>
      <c r="F78" s="11" t="s">
        <v>107</v>
      </c>
      <c r="G78" s="12">
        <v>1819</v>
      </c>
      <c r="H78" s="12">
        <v>2248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2248</v>
      </c>
      <c r="N78" s="12">
        <f t="shared" si="4"/>
        <v>1799</v>
      </c>
      <c r="O78" s="12" t="str">
        <f t="shared" si="5"/>
        <v>휘발유 45,475원 / 고급유 44,960원</v>
      </c>
      <c r="P78" s="12">
        <f t="shared" si="6"/>
        <v>90435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90435</v>
      </c>
      <c r="U78" s="12">
        <f t="shared" si="10"/>
        <v>2009.6666666666667</v>
      </c>
      <c r="V78" s="12">
        <f t="shared" si="11"/>
        <v>2009.6666666666667</v>
      </c>
      <c r="W78" s="14">
        <f t="shared" si="12"/>
        <v>90435</v>
      </c>
    </row>
    <row r="79" spans="1:23" s="2" customFormat="1" ht="28.5" customHeight="1">
      <c r="A79" s="11">
        <f t="shared" ref="A79:A142" si="13">IF($T79="","",1+COUNTIF($W$15:$W$879,"&lt;"&amp;W79))</f>
        <v>65</v>
      </c>
      <c r="B79" s="11" t="s">
        <v>10</v>
      </c>
      <c r="C79" s="11" t="s">
        <v>238</v>
      </c>
      <c r="D79" s="15" t="s">
        <v>78</v>
      </c>
      <c r="E79" s="11" t="s">
        <v>26</v>
      </c>
      <c r="F79" s="11" t="s">
        <v>239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1037</v>
      </c>
      <c r="D80" s="15" t="s">
        <v>45</v>
      </c>
      <c r="E80" s="11" t="s">
        <v>26</v>
      </c>
      <c r="F80" s="11" t="s">
        <v>1038</v>
      </c>
      <c r="G80" s="12">
        <v>1828</v>
      </c>
      <c r="H80" s="12">
        <v>2239</v>
      </c>
      <c r="I80" s="12"/>
      <c r="J80" s="12">
        <v>1814</v>
      </c>
      <c r="K80" s="12">
        <f t="shared" si="14"/>
        <v>0</v>
      </c>
      <c r="L80" s="12">
        <f t="shared" si="15"/>
        <v>1828</v>
      </c>
      <c r="M80" s="12">
        <f t="shared" si="16"/>
        <v>2239</v>
      </c>
      <c r="N80" s="12">
        <f t="shared" si="17"/>
        <v>1814</v>
      </c>
      <c r="O80" s="12" t="str">
        <f t="shared" si="18"/>
        <v>휘발유 45,700원 / 고급유 44,780원</v>
      </c>
      <c r="P80" s="12">
        <f t="shared" si="19"/>
        <v>90480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90480</v>
      </c>
      <c r="U80" s="12">
        <f t="shared" si="23"/>
        <v>2010.6666666666667</v>
      </c>
      <c r="V80" s="12">
        <f t="shared" si="24"/>
        <v>2010.6666666666667</v>
      </c>
      <c r="W80" s="14">
        <f t="shared" si="25"/>
        <v>90480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576</v>
      </c>
      <c r="D81" s="15" t="s">
        <v>78</v>
      </c>
      <c r="E81" s="11" t="s">
        <v>60</v>
      </c>
      <c r="F81" s="11" t="s">
        <v>577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1599</v>
      </c>
      <c r="D83" s="15" t="s">
        <v>78</v>
      </c>
      <c r="E83" s="11" t="s">
        <v>26</v>
      </c>
      <c r="F83" s="11" t="s">
        <v>1600</v>
      </c>
      <c r="G83" s="12">
        <v>1820</v>
      </c>
      <c r="H83" s="12">
        <v>2260</v>
      </c>
      <c r="I83" s="12"/>
      <c r="J83" s="12">
        <v>1810</v>
      </c>
      <c r="K83" s="12">
        <f t="shared" si="14"/>
        <v>0</v>
      </c>
      <c r="L83" s="12">
        <f t="shared" si="15"/>
        <v>1820</v>
      </c>
      <c r="M83" s="12">
        <f t="shared" si="16"/>
        <v>2260</v>
      </c>
      <c r="N83" s="12">
        <f t="shared" si="17"/>
        <v>1810</v>
      </c>
      <c r="O83" s="12" t="str">
        <f t="shared" si="18"/>
        <v>휘발유 45,500원 / 고급유 45,200원</v>
      </c>
      <c r="P83" s="12">
        <f t="shared" si="19"/>
        <v>90700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90700</v>
      </c>
      <c r="U83" s="12">
        <f t="shared" si="23"/>
        <v>2015.5555555555557</v>
      </c>
      <c r="V83" s="12">
        <f t="shared" si="24"/>
        <v>2015.5555555555557</v>
      </c>
      <c r="W83" s="14">
        <f t="shared" si="25"/>
        <v>90700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1332</v>
      </c>
      <c r="D84" s="11" t="s">
        <v>48</v>
      </c>
      <c r="E84" s="11" t="s">
        <v>26</v>
      </c>
      <c r="F84" s="11" t="s">
        <v>1333</v>
      </c>
      <c r="G84" s="12">
        <v>1829</v>
      </c>
      <c r="H84" s="12">
        <v>2249</v>
      </c>
      <c r="I84" s="12"/>
      <c r="J84" s="12">
        <v>1797</v>
      </c>
      <c r="K84" s="12">
        <f t="shared" si="14"/>
        <v>0</v>
      </c>
      <c r="L84" s="12">
        <f t="shared" si="15"/>
        <v>1829</v>
      </c>
      <c r="M84" s="12">
        <f t="shared" si="16"/>
        <v>2249</v>
      </c>
      <c r="N84" s="12">
        <f t="shared" si="17"/>
        <v>1797</v>
      </c>
      <c r="O84" s="12" t="str">
        <f t="shared" si="18"/>
        <v>휘발유 45,725원 / 고급유 44,980원</v>
      </c>
      <c r="P84" s="12">
        <f t="shared" si="19"/>
        <v>90705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90705</v>
      </c>
      <c r="U84" s="12">
        <f t="shared" si="23"/>
        <v>2015.6666666666667</v>
      </c>
      <c r="V84" s="12">
        <f t="shared" si="24"/>
        <v>2015.6666666666667</v>
      </c>
      <c r="W84" s="14">
        <f t="shared" si="25"/>
        <v>90705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704</v>
      </c>
      <c r="D85" s="15" t="s">
        <v>45</v>
      </c>
      <c r="E85" s="11" t="s">
        <v>26</v>
      </c>
      <c r="F85" s="11" t="s">
        <v>705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386</v>
      </c>
      <c r="D86" s="15" t="s">
        <v>59</v>
      </c>
      <c r="E86" s="11" t="s">
        <v>26</v>
      </c>
      <c r="F86" s="11" t="s">
        <v>387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304</v>
      </c>
      <c r="D87" s="15" t="s">
        <v>59</v>
      </c>
      <c r="E87" s="11" t="s">
        <v>26</v>
      </c>
      <c r="F87" s="11" t="s">
        <v>305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1535</v>
      </c>
      <c r="D88" s="11" t="s">
        <v>69</v>
      </c>
      <c r="E88" s="11" t="s">
        <v>26</v>
      </c>
      <c r="F88" s="11" t="s">
        <v>1536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443</v>
      </c>
      <c r="D89" s="11" t="s">
        <v>57</v>
      </c>
      <c r="E89" s="11" t="s">
        <v>26</v>
      </c>
      <c r="F89" s="11" t="s">
        <v>444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557</v>
      </c>
      <c r="D90" s="15" t="s">
        <v>45</v>
      </c>
      <c r="E90" s="11" t="s">
        <v>26</v>
      </c>
      <c r="F90" s="11" t="s">
        <v>558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1401</v>
      </c>
      <c r="D91" s="15" t="s">
        <v>59</v>
      </c>
      <c r="E91" s="11" t="s">
        <v>60</v>
      </c>
      <c r="F91" s="11" t="s">
        <v>1402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258</v>
      </c>
      <c r="D92" s="15" t="s">
        <v>78</v>
      </c>
      <c r="E92" s="11" t="s">
        <v>26</v>
      </c>
      <c r="F92" s="11" t="s">
        <v>259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1428</v>
      </c>
      <c r="D95" s="15" t="s">
        <v>59</v>
      </c>
      <c r="E95" s="11" t="s">
        <v>26</v>
      </c>
      <c r="F95" s="11" t="s">
        <v>1429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1432</v>
      </c>
      <c r="D96" s="15" t="s">
        <v>59</v>
      </c>
      <c r="E96" s="11" t="s">
        <v>26</v>
      </c>
      <c r="F96" s="11" t="s">
        <v>1433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1448</v>
      </c>
      <c r="D97" s="15" t="s">
        <v>59</v>
      </c>
      <c r="E97" s="11" t="s">
        <v>26</v>
      </c>
      <c r="F97" s="11" t="s">
        <v>1449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81</v>
      </c>
      <c r="B98" s="11" t="s">
        <v>10</v>
      </c>
      <c r="C98" s="11" t="s">
        <v>1450</v>
      </c>
      <c r="D98" s="15" t="s">
        <v>59</v>
      </c>
      <c r="E98" s="11" t="s">
        <v>60</v>
      </c>
      <c r="F98" s="11" t="s">
        <v>1451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1567</v>
      </c>
      <c r="D99" s="11" t="s">
        <v>57</v>
      </c>
      <c r="E99" s="11" t="s">
        <v>26</v>
      </c>
      <c r="F99" s="11" t="s">
        <v>1568</v>
      </c>
      <c r="G99" s="12">
        <v>1829</v>
      </c>
      <c r="H99" s="12">
        <v>2270</v>
      </c>
      <c r="I99" s="12"/>
      <c r="J99" s="12">
        <v>1815</v>
      </c>
      <c r="K99" s="12">
        <f t="shared" si="14"/>
        <v>0</v>
      </c>
      <c r="L99" s="12">
        <f t="shared" si="15"/>
        <v>1829</v>
      </c>
      <c r="M99" s="12">
        <f t="shared" si="16"/>
        <v>2270</v>
      </c>
      <c r="N99" s="12">
        <f t="shared" si="17"/>
        <v>1815</v>
      </c>
      <c r="O99" s="12" t="str">
        <f t="shared" si="18"/>
        <v>휘발유 45,725원 / 고급유 45,400원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85</v>
      </c>
      <c r="B100" s="11" t="s">
        <v>16</v>
      </c>
      <c r="C100" s="11" t="s">
        <v>606</v>
      </c>
      <c r="D100" s="15" t="s">
        <v>45</v>
      </c>
      <c r="E100" s="11" t="s">
        <v>26</v>
      </c>
      <c r="F100" s="11" t="s">
        <v>607</v>
      </c>
      <c r="G100" s="12">
        <v>1865</v>
      </c>
      <c r="H100" s="12">
        <v>2225</v>
      </c>
      <c r="I100" s="12"/>
      <c r="J100" s="12">
        <v>1855</v>
      </c>
      <c r="K100" s="12">
        <f t="shared" si="14"/>
        <v>0</v>
      </c>
      <c r="L100" s="12">
        <f t="shared" si="15"/>
        <v>1865</v>
      </c>
      <c r="M100" s="12">
        <f t="shared" si="16"/>
        <v>2225</v>
      </c>
      <c r="N100" s="12">
        <f t="shared" si="17"/>
        <v>1855</v>
      </c>
      <c r="O100" s="12" t="str">
        <f t="shared" si="18"/>
        <v>휘발유 46,625원 / 고급유 44,500원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87</v>
      </c>
      <c r="B101" s="11" t="s">
        <v>16</v>
      </c>
      <c r="C101" s="11" t="s">
        <v>242</v>
      </c>
      <c r="D101" s="15" t="s">
        <v>59</v>
      </c>
      <c r="E101" s="11" t="s">
        <v>26</v>
      </c>
      <c r="F101" s="11" t="s">
        <v>243</v>
      </c>
      <c r="G101" s="12">
        <v>1880</v>
      </c>
      <c r="H101" s="12">
        <v>2210</v>
      </c>
      <c r="I101" s="12"/>
      <c r="J101" s="12">
        <v>1865</v>
      </c>
      <c r="K101" s="12">
        <f t="shared" si="14"/>
        <v>0</v>
      </c>
      <c r="L101" s="12">
        <f t="shared" si="15"/>
        <v>1880</v>
      </c>
      <c r="M101" s="12">
        <f t="shared" si="16"/>
        <v>2210</v>
      </c>
      <c r="N101" s="12">
        <f t="shared" si="17"/>
        <v>1865</v>
      </c>
      <c r="O101" s="12" t="str">
        <f t="shared" si="18"/>
        <v>휘발유 47,000원 / 고급유 44,200원</v>
      </c>
      <c r="P101" s="12">
        <f t="shared" si="19"/>
        <v>91200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91200</v>
      </c>
      <c r="U101" s="12">
        <f t="shared" si="23"/>
        <v>2026.6666666666667</v>
      </c>
      <c r="V101" s="12">
        <f t="shared" si="24"/>
        <v>2026.6666666666667</v>
      </c>
      <c r="W101" s="14">
        <f t="shared" si="25"/>
        <v>91200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1632</v>
      </c>
      <c r="D102" s="15" t="s">
        <v>78</v>
      </c>
      <c r="E102" s="11" t="s">
        <v>26</v>
      </c>
      <c r="F102" s="11" t="s">
        <v>1633</v>
      </c>
      <c r="G102" s="12">
        <v>1815</v>
      </c>
      <c r="H102" s="12">
        <v>2295</v>
      </c>
      <c r="I102" s="12"/>
      <c r="J102" s="12">
        <v>1799</v>
      </c>
      <c r="K102" s="12">
        <f t="shared" si="14"/>
        <v>0</v>
      </c>
      <c r="L102" s="12">
        <f t="shared" si="15"/>
        <v>1815</v>
      </c>
      <c r="M102" s="12">
        <f t="shared" si="16"/>
        <v>2295</v>
      </c>
      <c r="N102" s="12">
        <f t="shared" si="17"/>
        <v>1799</v>
      </c>
      <c r="O102" s="12" t="str">
        <f t="shared" si="18"/>
        <v>휘발유 45,375원 / 고급유 45,900원</v>
      </c>
      <c r="P102" s="12">
        <f t="shared" si="19"/>
        <v>91275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91275</v>
      </c>
      <c r="U102" s="12">
        <f t="shared" si="23"/>
        <v>2028.3333333333333</v>
      </c>
      <c r="V102" s="12">
        <f t="shared" si="24"/>
        <v>2028.3333333333333</v>
      </c>
      <c r="W102" s="14">
        <f t="shared" si="25"/>
        <v>91275</v>
      </c>
    </row>
    <row r="103" spans="1:23" s="16" customFormat="1" ht="28.5" customHeight="1">
      <c r="A103" s="11">
        <f t="shared" si="13"/>
        <v>89</v>
      </c>
      <c r="B103" s="11" t="s">
        <v>12</v>
      </c>
      <c r="C103" s="11" t="s">
        <v>262</v>
      </c>
      <c r="D103" s="15" t="s">
        <v>78</v>
      </c>
      <c r="E103" s="11" t="s">
        <v>26</v>
      </c>
      <c r="F103" s="11" t="s">
        <v>263</v>
      </c>
      <c r="G103" s="12">
        <v>1868</v>
      </c>
      <c r="H103" s="12">
        <v>2229</v>
      </c>
      <c r="I103" s="12"/>
      <c r="J103" s="12">
        <v>1819</v>
      </c>
      <c r="K103" s="12">
        <f t="shared" si="14"/>
        <v>0</v>
      </c>
      <c r="L103" s="12">
        <f t="shared" si="15"/>
        <v>1868</v>
      </c>
      <c r="M103" s="12">
        <f t="shared" si="16"/>
        <v>2229</v>
      </c>
      <c r="N103" s="12">
        <f t="shared" si="17"/>
        <v>1819</v>
      </c>
      <c r="O103" s="12" t="str">
        <f t="shared" si="18"/>
        <v>휘발유 46,700원 / 고급유 44,580원</v>
      </c>
      <c r="P103" s="12">
        <f t="shared" si="19"/>
        <v>91280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91280</v>
      </c>
      <c r="U103" s="12">
        <f t="shared" si="23"/>
        <v>2028.4444444444443</v>
      </c>
      <c r="V103" s="12">
        <f t="shared" si="24"/>
        <v>2028.4444444444443</v>
      </c>
      <c r="W103" s="14">
        <f t="shared" si="25"/>
        <v>91280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407</v>
      </c>
      <c r="D104" s="11" t="s">
        <v>57</v>
      </c>
      <c r="E104" s="11" t="s">
        <v>60</v>
      </c>
      <c r="F104" s="11" t="s">
        <v>408</v>
      </c>
      <c r="G104" s="12">
        <v>1979</v>
      </c>
      <c r="H104" s="12">
        <v>2598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2598</v>
      </c>
      <c r="N104" s="12">
        <f t="shared" si="17"/>
        <v>1979</v>
      </c>
      <c r="O104" s="12" t="str">
        <f t="shared" si="18"/>
        <v>휘발유 49,475원 / 고급유 51,960원</v>
      </c>
      <c r="P104" s="12">
        <f t="shared" si="19"/>
        <v>101435</v>
      </c>
      <c r="Q104" s="12" t="s">
        <v>61</v>
      </c>
      <c r="R104" s="13">
        <f t="shared" si="20"/>
        <v>0.1</v>
      </c>
      <c r="S104" s="12">
        <f t="shared" si="21"/>
        <v>10143</v>
      </c>
      <c r="T104" s="12">
        <f t="shared" si="22"/>
        <v>91292</v>
      </c>
      <c r="U104" s="12">
        <f t="shared" si="23"/>
        <v>2028.7111111111112</v>
      </c>
      <c r="V104" s="12">
        <f t="shared" si="24"/>
        <v>2254.1111111111113</v>
      </c>
      <c r="W104" s="14">
        <f t="shared" si="25"/>
        <v>91292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1430</v>
      </c>
      <c r="D105" s="15" t="s">
        <v>59</v>
      </c>
      <c r="E105" s="11" t="s">
        <v>26</v>
      </c>
      <c r="F105" s="11" t="s">
        <v>1431</v>
      </c>
      <c r="G105" s="12">
        <v>1845</v>
      </c>
      <c r="H105" s="12">
        <v>2259</v>
      </c>
      <c r="I105" s="12"/>
      <c r="J105" s="12">
        <v>1849</v>
      </c>
      <c r="K105" s="12">
        <f t="shared" si="14"/>
        <v>0</v>
      </c>
      <c r="L105" s="12">
        <f t="shared" si="15"/>
        <v>1845</v>
      </c>
      <c r="M105" s="12">
        <f t="shared" si="16"/>
        <v>2259</v>
      </c>
      <c r="N105" s="12">
        <f t="shared" si="17"/>
        <v>1849</v>
      </c>
      <c r="O105" s="12" t="str">
        <f t="shared" si="18"/>
        <v>휘발유 46,125원 / 고급유 45,180원</v>
      </c>
      <c r="P105" s="12">
        <f t="shared" si="19"/>
        <v>91305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91305</v>
      </c>
      <c r="U105" s="12">
        <f t="shared" si="23"/>
        <v>2029</v>
      </c>
      <c r="V105" s="12">
        <f t="shared" si="24"/>
        <v>2029</v>
      </c>
      <c r="W105" s="14">
        <f t="shared" si="25"/>
        <v>91305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1712</v>
      </c>
      <c r="D106" s="15" t="s">
        <v>45</v>
      </c>
      <c r="E106" s="11" t="s">
        <v>26</v>
      </c>
      <c r="F106" s="11" t="s">
        <v>1713</v>
      </c>
      <c r="G106" s="12">
        <v>1822</v>
      </c>
      <c r="H106" s="12">
        <v>2290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2290</v>
      </c>
      <c r="N106" s="12">
        <f t="shared" si="17"/>
        <v>1812</v>
      </c>
      <c r="O106" s="12" t="str">
        <f t="shared" si="18"/>
        <v>휘발유 45,550원 / 고급유 45,800원</v>
      </c>
      <c r="P106" s="12">
        <f t="shared" si="19"/>
        <v>91350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91350</v>
      </c>
      <c r="U106" s="12">
        <f t="shared" si="23"/>
        <v>2030</v>
      </c>
      <c r="V106" s="12">
        <f t="shared" si="24"/>
        <v>2030</v>
      </c>
      <c r="W106" s="14">
        <f t="shared" si="25"/>
        <v>91350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566</v>
      </c>
      <c r="D107" s="15" t="s">
        <v>78</v>
      </c>
      <c r="E107" s="11" t="s">
        <v>26</v>
      </c>
      <c r="F107" s="11" t="s">
        <v>567</v>
      </c>
      <c r="G107" s="12">
        <v>1839</v>
      </c>
      <c r="H107" s="12">
        <v>2271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2271</v>
      </c>
      <c r="N107" s="12">
        <f t="shared" si="17"/>
        <v>1839</v>
      </c>
      <c r="O107" s="12" t="str">
        <f t="shared" si="18"/>
        <v>휘발유 45,975원 / 고급유 45,420원</v>
      </c>
      <c r="P107" s="12">
        <f t="shared" si="19"/>
        <v>91395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91395</v>
      </c>
      <c r="U107" s="12">
        <f t="shared" si="23"/>
        <v>2031</v>
      </c>
      <c r="V107" s="12">
        <f t="shared" si="24"/>
        <v>2031</v>
      </c>
      <c r="W107" s="14">
        <f t="shared" si="25"/>
        <v>91395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1670</v>
      </c>
      <c r="D108" s="15" t="s">
        <v>78</v>
      </c>
      <c r="E108" s="11" t="s">
        <v>26</v>
      </c>
      <c r="F108" s="11" t="s">
        <v>1671</v>
      </c>
      <c r="G108" s="12">
        <v>1828</v>
      </c>
      <c r="H108" s="12">
        <v>2289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2289</v>
      </c>
      <c r="N108" s="12">
        <f t="shared" si="17"/>
        <v>1819</v>
      </c>
      <c r="O108" s="12" t="str">
        <f t="shared" si="18"/>
        <v>휘발유 45,700원 / 고급유 45,780원</v>
      </c>
      <c r="P108" s="12">
        <f t="shared" si="19"/>
        <v>91480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91480</v>
      </c>
      <c r="U108" s="12">
        <f t="shared" si="23"/>
        <v>2032.8888888888889</v>
      </c>
      <c r="V108" s="12">
        <f t="shared" si="24"/>
        <v>2032.8888888888889</v>
      </c>
      <c r="W108" s="14">
        <f t="shared" si="25"/>
        <v>91480</v>
      </c>
    </row>
    <row r="109" spans="1:23" s="16" customFormat="1" ht="28.5" customHeight="1">
      <c r="A109" s="11">
        <f t="shared" si="13"/>
        <v>95</v>
      </c>
      <c r="B109" s="11" t="s">
        <v>6</v>
      </c>
      <c r="C109" s="11" t="s">
        <v>839</v>
      </c>
      <c r="D109" s="15" t="s">
        <v>78</v>
      </c>
      <c r="E109" s="11" t="s">
        <v>26</v>
      </c>
      <c r="F109" s="11" t="s">
        <v>840</v>
      </c>
      <c r="G109" s="12">
        <v>1828</v>
      </c>
      <c r="H109" s="12">
        <v>2290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2290</v>
      </c>
      <c r="N109" s="12">
        <f t="shared" si="17"/>
        <v>1819</v>
      </c>
      <c r="O109" s="12" t="str">
        <f t="shared" si="18"/>
        <v>휘발유 45,700원 / 고급유 45,800원</v>
      </c>
      <c r="P109" s="12">
        <f t="shared" si="19"/>
        <v>91500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91500</v>
      </c>
      <c r="U109" s="12">
        <f t="shared" si="23"/>
        <v>2033.3333333333333</v>
      </c>
      <c r="V109" s="12">
        <f t="shared" si="24"/>
        <v>2033.3333333333333</v>
      </c>
      <c r="W109" s="14">
        <f t="shared" si="25"/>
        <v>91500</v>
      </c>
    </row>
    <row r="110" spans="1:23" s="2" customFormat="1" ht="28.5" customHeight="1">
      <c r="A110" s="11">
        <f t="shared" si="13"/>
        <v>96</v>
      </c>
      <c r="B110" s="11" t="s">
        <v>8</v>
      </c>
      <c r="C110" s="11" t="s">
        <v>608</v>
      </c>
      <c r="D110" s="15" t="s">
        <v>45</v>
      </c>
      <c r="E110" s="11" t="s">
        <v>26</v>
      </c>
      <c r="F110" s="11" t="s">
        <v>610</v>
      </c>
      <c r="G110" s="12">
        <v>1829</v>
      </c>
      <c r="H110" s="12">
        <v>2289</v>
      </c>
      <c r="I110" s="12"/>
      <c r="J110" s="12">
        <v>1815</v>
      </c>
      <c r="K110" s="12">
        <f t="shared" si="14"/>
        <v>0</v>
      </c>
      <c r="L110" s="12">
        <f t="shared" si="15"/>
        <v>1829</v>
      </c>
      <c r="M110" s="12">
        <f t="shared" si="16"/>
        <v>2289</v>
      </c>
      <c r="N110" s="12">
        <f t="shared" si="17"/>
        <v>1815</v>
      </c>
      <c r="O110" s="12" t="str">
        <f t="shared" si="18"/>
        <v>휘발유 45,725원 / 고급유 45,780원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97</v>
      </c>
      <c r="B111" s="11" t="s">
        <v>18</v>
      </c>
      <c r="C111" s="11" t="s">
        <v>1334</v>
      </c>
      <c r="D111" s="15" t="s">
        <v>78</v>
      </c>
      <c r="E111" s="11" t="s">
        <v>26</v>
      </c>
      <c r="F111" s="11" t="s">
        <v>1335</v>
      </c>
      <c r="G111" s="12">
        <v>1822</v>
      </c>
      <c r="H111" s="12">
        <v>2299</v>
      </c>
      <c r="I111" s="12"/>
      <c r="J111" s="12">
        <v>1812</v>
      </c>
      <c r="K111" s="12">
        <f t="shared" si="14"/>
        <v>0</v>
      </c>
      <c r="L111" s="12">
        <f t="shared" si="15"/>
        <v>1822</v>
      </c>
      <c r="M111" s="12">
        <f t="shared" si="16"/>
        <v>2299</v>
      </c>
      <c r="N111" s="12">
        <f t="shared" si="17"/>
        <v>1812</v>
      </c>
      <c r="O111" s="12" t="str">
        <f t="shared" si="18"/>
        <v>휘발유 45,550원 / 고급유 45,980원</v>
      </c>
      <c r="P111" s="12">
        <f t="shared" si="19"/>
        <v>91530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91530</v>
      </c>
      <c r="U111" s="12">
        <f t="shared" si="23"/>
        <v>2034</v>
      </c>
      <c r="V111" s="12">
        <f t="shared" si="24"/>
        <v>2034</v>
      </c>
      <c r="W111" s="14">
        <f t="shared" si="25"/>
        <v>91530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170</v>
      </c>
      <c r="D112" s="11" t="s">
        <v>57</v>
      </c>
      <c r="E112" s="11" t="s">
        <v>26</v>
      </c>
      <c r="F112" s="11" t="s">
        <v>171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98</v>
      </c>
      <c r="B113" s="11" t="s">
        <v>14</v>
      </c>
      <c r="C113" s="11" t="s">
        <v>1577</v>
      </c>
      <c r="D113" s="15" t="s">
        <v>78</v>
      </c>
      <c r="E113" s="11" t="s">
        <v>26</v>
      </c>
      <c r="F113" s="11" t="s">
        <v>1578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649</v>
      </c>
      <c r="D114" s="15" t="s">
        <v>57</v>
      </c>
      <c r="E114" s="11" t="s">
        <v>26</v>
      </c>
      <c r="F114" s="11" t="s">
        <v>650</v>
      </c>
      <c r="G114" s="12">
        <v>1829</v>
      </c>
      <c r="H114" s="12">
        <v>2295</v>
      </c>
      <c r="I114" s="12"/>
      <c r="J114" s="12">
        <v>1789</v>
      </c>
      <c r="K114" s="12">
        <f t="shared" si="14"/>
        <v>0</v>
      </c>
      <c r="L114" s="12">
        <f t="shared" si="15"/>
        <v>1829</v>
      </c>
      <c r="M114" s="12">
        <f t="shared" si="16"/>
        <v>2295</v>
      </c>
      <c r="N114" s="12">
        <f t="shared" si="17"/>
        <v>1789</v>
      </c>
      <c r="O114" s="12" t="str">
        <f t="shared" si="18"/>
        <v>휘발유 45,725원 / 고급유 45,900원</v>
      </c>
      <c r="P114" s="12">
        <f t="shared" si="19"/>
        <v>91625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91625</v>
      </c>
      <c r="U114" s="12">
        <f t="shared" si="23"/>
        <v>2036.1111111111111</v>
      </c>
      <c r="V114" s="12">
        <f t="shared" si="24"/>
        <v>2036.1111111111111</v>
      </c>
      <c r="W114" s="14">
        <f t="shared" si="25"/>
        <v>91625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592</v>
      </c>
      <c r="D115" s="15" t="s">
        <v>78</v>
      </c>
      <c r="E115" s="11" t="s">
        <v>26</v>
      </c>
      <c r="F115" s="11" t="s">
        <v>593</v>
      </c>
      <c r="G115" s="12">
        <v>1828</v>
      </c>
      <c r="H115" s="12">
        <v>2298</v>
      </c>
      <c r="I115" s="12"/>
      <c r="J115" s="12">
        <v>1811</v>
      </c>
      <c r="K115" s="12">
        <f t="shared" si="14"/>
        <v>0</v>
      </c>
      <c r="L115" s="12">
        <f t="shared" si="15"/>
        <v>1828</v>
      </c>
      <c r="M115" s="12">
        <f t="shared" si="16"/>
        <v>2298</v>
      </c>
      <c r="N115" s="12">
        <f t="shared" si="17"/>
        <v>1811</v>
      </c>
      <c r="O115" s="12" t="str">
        <f t="shared" si="18"/>
        <v>휘발유 45,700원 / 고급유 45,960원</v>
      </c>
      <c r="P115" s="12">
        <f t="shared" si="19"/>
        <v>91660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91660</v>
      </c>
      <c r="U115" s="12">
        <f t="shared" si="23"/>
        <v>2036.8888888888889</v>
      </c>
      <c r="V115" s="12">
        <f t="shared" si="24"/>
        <v>2036.8888888888889</v>
      </c>
      <c r="W115" s="14">
        <f t="shared" si="25"/>
        <v>91660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1436</v>
      </c>
      <c r="D116" s="15" t="s">
        <v>59</v>
      </c>
      <c r="E116" s="11" t="s">
        <v>26</v>
      </c>
      <c r="F116" s="11" t="s">
        <v>1437</v>
      </c>
      <c r="G116" s="12">
        <v>1865</v>
      </c>
      <c r="H116" s="12">
        <v>2252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2252</v>
      </c>
      <c r="N116" s="12">
        <f t="shared" si="17"/>
        <v>1849</v>
      </c>
      <c r="O116" s="12" t="str">
        <f t="shared" si="18"/>
        <v>휘발유 46,625원 / 고급유 45,040원</v>
      </c>
      <c r="P116" s="12">
        <f t="shared" si="19"/>
        <v>91665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91665</v>
      </c>
      <c r="U116" s="12">
        <f t="shared" si="23"/>
        <v>2037</v>
      </c>
      <c r="V116" s="12">
        <f t="shared" si="24"/>
        <v>2037</v>
      </c>
      <c r="W116" s="14">
        <f t="shared" si="25"/>
        <v>91665</v>
      </c>
    </row>
    <row r="117" spans="1:23" s="7" customFormat="1" ht="28.5" customHeight="1">
      <c r="A117" s="11">
        <f t="shared" si="13"/>
        <v>103</v>
      </c>
      <c r="B117" s="11" t="s">
        <v>14</v>
      </c>
      <c r="C117" s="11" t="s">
        <v>1407</v>
      </c>
      <c r="D117" s="15" t="s">
        <v>59</v>
      </c>
      <c r="E117" s="11" t="s">
        <v>26</v>
      </c>
      <c r="F117" s="11" t="s">
        <v>1408</v>
      </c>
      <c r="G117" s="12">
        <v>1839</v>
      </c>
      <c r="H117" s="12">
        <v>2285</v>
      </c>
      <c r="I117" s="12"/>
      <c r="J117" s="12">
        <v>1840</v>
      </c>
      <c r="K117" s="12">
        <f t="shared" si="14"/>
        <v>0</v>
      </c>
      <c r="L117" s="12">
        <f t="shared" si="15"/>
        <v>1839</v>
      </c>
      <c r="M117" s="12">
        <f t="shared" si="16"/>
        <v>2285</v>
      </c>
      <c r="N117" s="12">
        <f t="shared" si="17"/>
        <v>1840</v>
      </c>
      <c r="O117" s="12" t="str">
        <f t="shared" si="18"/>
        <v>휘발유 45,975원 / 고급유 45,700원</v>
      </c>
      <c r="P117" s="12">
        <f t="shared" si="19"/>
        <v>91675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91675</v>
      </c>
      <c r="U117" s="12">
        <f t="shared" si="23"/>
        <v>2037.2222222222222</v>
      </c>
      <c r="V117" s="12">
        <f t="shared" si="24"/>
        <v>2037.2222222222222</v>
      </c>
      <c r="W117" s="14">
        <f t="shared" si="25"/>
        <v>91675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256</v>
      </c>
      <c r="D118" s="15" t="s">
        <v>78</v>
      </c>
      <c r="E118" s="11" t="s">
        <v>26</v>
      </c>
      <c r="F118" s="11" t="s">
        <v>257</v>
      </c>
      <c r="G118" s="12">
        <v>1878</v>
      </c>
      <c r="H118" s="12">
        <v>2239</v>
      </c>
      <c r="I118" s="12"/>
      <c r="J118" s="12">
        <v>1829</v>
      </c>
      <c r="K118" s="12">
        <f t="shared" si="14"/>
        <v>0</v>
      </c>
      <c r="L118" s="12">
        <f t="shared" si="15"/>
        <v>1878</v>
      </c>
      <c r="M118" s="12">
        <f t="shared" si="16"/>
        <v>2239</v>
      </c>
      <c r="N118" s="12">
        <f t="shared" si="17"/>
        <v>1829</v>
      </c>
      <c r="O118" s="12" t="str">
        <f t="shared" si="18"/>
        <v>휘발유 46,950원 / 고급유 44,780원</v>
      </c>
      <c r="P118" s="12">
        <f t="shared" si="19"/>
        <v>91730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91730</v>
      </c>
      <c r="U118" s="12">
        <f t="shared" si="23"/>
        <v>2038.4444444444443</v>
      </c>
      <c r="V118" s="12">
        <f t="shared" si="24"/>
        <v>2038.4444444444443</v>
      </c>
      <c r="W118" s="14">
        <f t="shared" si="25"/>
        <v>91730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252</v>
      </c>
      <c r="D119" s="15" t="s">
        <v>78</v>
      </c>
      <c r="E119" s="11" t="s">
        <v>26</v>
      </c>
      <c r="F119" s="11" t="s">
        <v>253</v>
      </c>
      <c r="G119" s="12">
        <v>1855</v>
      </c>
      <c r="H119" s="12">
        <v>2269</v>
      </c>
      <c r="I119" s="12"/>
      <c r="J119" s="12">
        <v>1819</v>
      </c>
      <c r="K119" s="12">
        <f t="shared" si="14"/>
        <v>0</v>
      </c>
      <c r="L119" s="12">
        <f t="shared" si="15"/>
        <v>1855</v>
      </c>
      <c r="M119" s="12">
        <f t="shared" si="16"/>
        <v>2269</v>
      </c>
      <c r="N119" s="12">
        <f t="shared" si="17"/>
        <v>1819</v>
      </c>
      <c r="O119" s="12" t="str">
        <f t="shared" si="18"/>
        <v>휘발유 46,375원 / 고급유 45,380원</v>
      </c>
      <c r="P119" s="12">
        <f t="shared" si="19"/>
        <v>91755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91755</v>
      </c>
      <c r="U119" s="12">
        <f t="shared" si="23"/>
        <v>2039</v>
      </c>
      <c r="V119" s="12">
        <f t="shared" si="24"/>
        <v>2039</v>
      </c>
      <c r="W119" s="14">
        <f t="shared" si="25"/>
        <v>91755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458</v>
      </c>
      <c r="D120" s="11" t="s">
        <v>57</v>
      </c>
      <c r="E120" s="11" t="s">
        <v>26</v>
      </c>
      <c r="F120" s="11" t="s">
        <v>459</v>
      </c>
      <c r="G120" s="12">
        <v>1832</v>
      </c>
      <c r="H120" s="12">
        <v>2299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2299</v>
      </c>
      <c r="N120" s="12">
        <f t="shared" si="17"/>
        <v>1825</v>
      </c>
      <c r="O120" s="12" t="str">
        <f t="shared" si="18"/>
        <v>휘발유 45,800원 / 고급유 45,980원</v>
      </c>
      <c r="P120" s="12">
        <f t="shared" si="19"/>
        <v>91780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91780</v>
      </c>
      <c r="U120" s="12">
        <f t="shared" si="23"/>
        <v>2039.5555555555557</v>
      </c>
      <c r="V120" s="12">
        <f t="shared" si="24"/>
        <v>2039.5555555555557</v>
      </c>
      <c r="W120" s="14">
        <f t="shared" si="25"/>
        <v>91780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582</v>
      </c>
      <c r="D121" s="15" t="s">
        <v>45</v>
      </c>
      <c r="E121" s="11" t="s">
        <v>26</v>
      </c>
      <c r="F121" s="11" t="s">
        <v>583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1460</v>
      </c>
      <c r="D123" s="15" t="s">
        <v>59</v>
      </c>
      <c r="E123" s="11" t="s">
        <v>26</v>
      </c>
      <c r="F123" s="11" t="s">
        <v>1461</v>
      </c>
      <c r="G123" s="12">
        <v>1845</v>
      </c>
      <c r="H123" s="12">
        <v>2287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2287</v>
      </c>
      <c r="N123" s="12">
        <f t="shared" si="17"/>
        <v>1849</v>
      </c>
      <c r="O123" s="12" t="str">
        <f t="shared" si="18"/>
        <v>휘발유 46,125원 / 고급유 45,740원</v>
      </c>
      <c r="P123" s="12">
        <f t="shared" si="19"/>
        <v>91865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91865</v>
      </c>
      <c r="U123" s="12">
        <f t="shared" si="23"/>
        <v>2041.4444444444443</v>
      </c>
      <c r="V123" s="12">
        <f t="shared" si="24"/>
        <v>2041.4444444444443</v>
      </c>
      <c r="W123" s="14">
        <f t="shared" si="25"/>
        <v>91865</v>
      </c>
    </row>
    <row r="124" spans="1:23" s="7" customFormat="1" ht="28.5" customHeight="1">
      <c r="A124" s="11">
        <f t="shared" si="13"/>
        <v>110</v>
      </c>
      <c r="B124" s="11" t="s">
        <v>8</v>
      </c>
      <c r="C124" s="11" t="s">
        <v>413</v>
      </c>
      <c r="D124" s="15" t="s">
        <v>78</v>
      </c>
      <c r="E124" s="11" t="s">
        <v>26</v>
      </c>
      <c r="F124" s="11" t="s">
        <v>414</v>
      </c>
      <c r="G124" s="12">
        <v>1839</v>
      </c>
      <c r="H124" s="12">
        <v>2299</v>
      </c>
      <c r="I124" s="12"/>
      <c r="J124" s="12">
        <v>1839</v>
      </c>
      <c r="K124" s="12">
        <f t="shared" si="14"/>
        <v>0</v>
      </c>
      <c r="L124" s="12">
        <f t="shared" si="15"/>
        <v>1839</v>
      </c>
      <c r="M124" s="12">
        <f t="shared" si="16"/>
        <v>2299</v>
      </c>
      <c r="N124" s="12">
        <f t="shared" si="17"/>
        <v>1839</v>
      </c>
      <c r="O124" s="12" t="str">
        <f t="shared" si="18"/>
        <v>휘발유 45,975원 / 고급유 45,980원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260</v>
      </c>
      <c r="D125" s="15" t="s">
        <v>78</v>
      </c>
      <c r="E125" s="11" t="s">
        <v>60</v>
      </c>
      <c r="F125" s="11" t="s">
        <v>261</v>
      </c>
      <c r="G125" s="12">
        <v>1887</v>
      </c>
      <c r="H125" s="12">
        <v>2239</v>
      </c>
      <c r="I125" s="12"/>
      <c r="J125" s="12">
        <v>1839</v>
      </c>
      <c r="K125" s="12">
        <f t="shared" si="14"/>
        <v>0</v>
      </c>
      <c r="L125" s="12">
        <f t="shared" si="15"/>
        <v>1887</v>
      </c>
      <c r="M125" s="12">
        <f t="shared" si="16"/>
        <v>2239</v>
      </c>
      <c r="N125" s="12">
        <f t="shared" si="17"/>
        <v>1839</v>
      </c>
      <c r="O125" s="12" t="str">
        <f t="shared" si="18"/>
        <v>휘발유 47,175원 / 고급유 44,780원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1551</v>
      </c>
      <c r="D126" s="15" t="s">
        <v>78</v>
      </c>
      <c r="E126" s="11" t="s">
        <v>26</v>
      </c>
      <c r="F126" s="11" t="s">
        <v>1552</v>
      </c>
      <c r="G126" s="12">
        <v>1828</v>
      </c>
      <c r="H126" s="12">
        <v>2315</v>
      </c>
      <c r="I126" s="12"/>
      <c r="J126" s="12">
        <v>1799</v>
      </c>
      <c r="K126" s="12">
        <f t="shared" si="14"/>
        <v>0</v>
      </c>
      <c r="L126" s="12">
        <f t="shared" si="15"/>
        <v>1828</v>
      </c>
      <c r="M126" s="12">
        <f t="shared" si="16"/>
        <v>2315</v>
      </c>
      <c r="N126" s="12">
        <f t="shared" si="17"/>
        <v>1799</v>
      </c>
      <c r="O126" s="12" t="str">
        <f t="shared" si="18"/>
        <v>휘발유 45,700원 / 고급유 46,300원</v>
      </c>
      <c r="P126" s="12">
        <f t="shared" si="19"/>
        <v>92000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92000</v>
      </c>
      <c r="U126" s="12">
        <f t="shared" si="23"/>
        <v>2044.4444444444443</v>
      </c>
      <c r="V126" s="12">
        <f t="shared" si="24"/>
        <v>2044.4444444444443</v>
      </c>
      <c r="W126" s="14">
        <f t="shared" si="25"/>
        <v>92000</v>
      </c>
    </row>
    <row r="127" spans="1:23" s="7" customFormat="1" ht="28.5" customHeight="1">
      <c r="A127" s="11">
        <f t="shared" si="13"/>
        <v>113</v>
      </c>
      <c r="B127" s="11" t="s">
        <v>10</v>
      </c>
      <c r="C127" s="11" t="s">
        <v>396</v>
      </c>
      <c r="D127" s="15" t="s">
        <v>78</v>
      </c>
      <c r="E127" s="11" t="s">
        <v>26</v>
      </c>
      <c r="F127" s="11" t="s">
        <v>397</v>
      </c>
      <c r="G127" s="12">
        <v>1849</v>
      </c>
      <c r="H127" s="12">
        <v>2289</v>
      </c>
      <c r="I127" s="12"/>
      <c r="J127" s="12">
        <v>1819</v>
      </c>
      <c r="K127" s="12">
        <f t="shared" si="14"/>
        <v>0</v>
      </c>
      <c r="L127" s="12">
        <f t="shared" si="15"/>
        <v>1849</v>
      </c>
      <c r="M127" s="12">
        <f t="shared" si="16"/>
        <v>2289</v>
      </c>
      <c r="N127" s="12">
        <f t="shared" si="17"/>
        <v>1819</v>
      </c>
      <c r="O127" s="12" t="str">
        <f t="shared" si="18"/>
        <v>휘발유 46,225원 / 고급유 45,780원</v>
      </c>
      <c r="P127" s="12">
        <f t="shared" si="19"/>
        <v>92005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92005</v>
      </c>
      <c r="U127" s="12">
        <f t="shared" si="23"/>
        <v>2044.5555555555557</v>
      </c>
      <c r="V127" s="12">
        <f t="shared" si="24"/>
        <v>2044.5555555555557</v>
      </c>
      <c r="W127" s="14">
        <f t="shared" si="25"/>
        <v>92005</v>
      </c>
    </row>
    <row r="128" spans="1:23" s="16" customFormat="1" ht="28.5" customHeight="1">
      <c r="A128" s="11">
        <f t="shared" si="13"/>
        <v>114</v>
      </c>
      <c r="B128" s="11" t="s">
        <v>8</v>
      </c>
      <c r="C128" s="11" t="s">
        <v>250</v>
      </c>
      <c r="D128" s="15" t="s">
        <v>78</v>
      </c>
      <c r="E128" s="11" t="s">
        <v>26</v>
      </c>
      <c r="F128" s="11" t="s">
        <v>251</v>
      </c>
      <c r="G128" s="12">
        <v>1858</v>
      </c>
      <c r="H128" s="12">
        <v>2278</v>
      </c>
      <c r="I128" s="12"/>
      <c r="J128" s="12">
        <v>1809</v>
      </c>
      <c r="K128" s="12">
        <f t="shared" si="14"/>
        <v>0</v>
      </c>
      <c r="L128" s="12">
        <f t="shared" si="15"/>
        <v>1858</v>
      </c>
      <c r="M128" s="12">
        <f t="shared" si="16"/>
        <v>2278</v>
      </c>
      <c r="N128" s="12">
        <f t="shared" si="17"/>
        <v>1809</v>
      </c>
      <c r="O128" s="12" t="str">
        <f t="shared" si="18"/>
        <v>휘발유 46,450원 / 고급유 45,560원</v>
      </c>
      <c r="P128" s="12">
        <f t="shared" si="19"/>
        <v>92010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92010</v>
      </c>
      <c r="U128" s="12">
        <f t="shared" si="23"/>
        <v>2044.6666666666667</v>
      </c>
      <c r="V128" s="12">
        <f t="shared" si="24"/>
        <v>2044.6666666666667</v>
      </c>
      <c r="W128" s="14">
        <f t="shared" si="25"/>
        <v>92010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1438</v>
      </c>
      <c r="D129" s="15" t="s">
        <v>59</v>
      </c>
      <c r="E129" s="11" t="s">
        <v>26</v>
      </c>
      <c r="F129" s="11" t="s">
        <v>1439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1452</v>
      </c>
      <c r="D130" s="15" t="s">
        <v>59</v>
      </c>
      <c r="E130" s="11" t="s">
        <v>26</v>
      </c>
      <c r="F130" s="11" t="s">
        <v>1453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284</v>
      </c>
      <c r="D131" s="15" t="s">
        <v>45</v>
      </c>
      <c r="E131" s="11" t="s">
        <v>26</v>
      </c>
      <c r="F131" s="11" t="s">
        <v>285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1189</v>
      </c>
      <c r="D132" s="15" t="s">
        <v>45</v>
      </c>
      <c r="E132" s="11" t="s">
        <v>26</v>
      </c>
      <c r="F132" s="11" t="s">
        <v>1190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306</v>
      </c>
      <c r="D133" s="15" t="s">
        <v>45</v>
      </c>
      <c r="E133" s="11" t="s">
        <v>26</v>
      </c>
      <c r="F133" s="11" t="s">
        <v>307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1409</v>
      </c>
      <c r="D135" s="15" t="s">
        <v>59</v>
      </c>
      <c r="E135" s="11" t="s">
        <v>26</v>
      </c>
      <c r="F135" s="11" t="s">
        <v>1410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928</v>
      </c>
      <c r="D136" s="11" t="s">
        <v>57</v>
      </c>
      <c r="E136" s="11" t="s">
        <v>26</v>
      </c>
      <c r="F136" s="11" t="s">
        <v>929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1405</v>
      </c>
      <c r="D137" s="15" t="s">
        <v>59</v>
      </c>
      <c r="E137" s="11" t="s">
        <v>26</v>
      </c>
      <c r="F137" s="11" t="s">
        <v>1406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IF($T143="","",1+COUNTIF($W$15:$W$879,"&lt;"&amp;W143))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1395</v>
      </c>
      <c r="D144" s="15" t="s">
        <v>59</v>
      </c>
      <c r="E144" s="11" t="s">
        <v>26</v>
      </c>
      <c r="F144" s="11" t="s">
        <v>1396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633</v>
      </c>
      <c r="D145" s="15" t="s">
        <v>59</v>
      </c>
      <c r="E145" s="11" t="s">
        <v>26</v>
      </c>
      <c r="F145" s="11" t="s">
        <v>634</v>
      </c>
      <c r="G145" s="12">
        <v>1857</v>
      </c>
      <c r="H145" s="12">
        <v>2299</v>
      </c>
      <c r="I145" s="12"/>
      <c r="J145" s="12">
        <v>1834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1834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1141</v>
      </c>
      <c r="D146" s="15" t="s">
        <v>78</v>
      </c>
      <c r="E146" s="11" t="s">
        <v>26</v>
      </c>
      <c r="F146" s="11" t="s">
        <v>1142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1442</v>
      </c>
      <c r="D147" s="15" t="s">
        <v>59</v>
      </c>
      <c r="E147" s="11" t="s">
        <v>26</v>
      </c>
      <c r="F147" s="11" t="s">
        <v>1443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692</v>
      </c>
      <c r="D149" s="11" t="s">
        <v>57</v>
      </c>
      <c r="E149" s="11" t="s">
        <v>26</v>
      </c>
      <c r="F149" s="11" t="s">
        <v>693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1434</v>
      </c>
      <c r="D150" s="15" t="s">
        <v>59</v>
      </c>
      <c r="E150" s="11" t="s">
        <v>26</v>
      </c>
      <c r="F150" s="11" t="s">
        <v>1435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1444</v>
      </c>
      <c r="D151" s="15" t="s">
        <v>59</v>
      </c>
      <c r="E151" s="11" t="s">
        <v>26</v>
      </c>
      <c r="F151" s="11" t="s">
        <v>1445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1689</v>
      </c>
      <c r="D152" s="15" t="s">
        <v>45</v>
      </c>
      <c r="E152" s="11" t="s">
        <v>60</v>
      </c>
      <c r="F152" s="11" t="s">
        <v>1690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420</v>
      </c>
      <c r="D159" s="15" t="s">
        <v>45</v>
      </c>
      <c r="E159" s="11" t="s">
        <v>26</v>
      </c>
      <c r="F159" s="11" t="s">
        <v>421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722</v>
      </c>
      <c r="D162" s="11" t="s">
        <v>102</v>
      </c>
      <c r="E162" s="11" t="s">
        <v>26</v>
      </c>
      <c r="F162" s="11" t="s">
        <v>723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1462</v>
      </c>
      <c r="D163" s="15" t="s">
        <v>59</v>
      </c>
      <c r="E163" s="11" t="s">
        <v>26</v>
      </c>
      <c r="F163" s="11" t="s">
        <v>1463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1503</v>
      </c>
      <c r="D165" s="11" t="s">
        <v>102</v>
      </c>
      <c r="E165" s="11" t="s">
        <v>26</v>
      </c>
      <c r="F165" s="11" t="s">
        <v>1504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1702</v>
      </c>
      <c r="D167" s="15" t="s">
        <v>78</v>
      </c>
      <c r="E167" s="11" t="s">
        <v>26</v>
      </c>
      <c r="F167" s="11" t="s">
        <v>1703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1543</v>
      </c>
      <c r="D169" s="15" t="s">
        <v>78</v>
      </c>
      <c r="E169" s="11" t="s">
        <v>26</v>
      </c>
      <c r="F169" s="11" t="s">
        <v>1544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611</v>
      </c>
      <c r="D171" s="15" t="s">
        <v>45</v>
      </c>
      <c r="E171" s="11" t="s">
        <v>26</v>
      </c>
      <c r="F171" s="11" t="s">
        <v>612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358</v>
      </c>
      <c r="D172" s="15" t="s">
        <v>45</v>
      </c>
      <c r="E172" s="11" t="s">
        <v>26</v>
      </c>
      <c r="F172" s="11" t="s">
        <v>359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1223</v>
      </c>
      <c r="D175" s="15" t="s">
        <v>59</v>
      </c>
      <c r="E175" s="11" t="s">
        <v>26</v>
      </c>
      <c r="F175" s="11" t="s">
        <v>1224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1015</v>
      </c>
      <c r="D176" s="15" t="s">
        <v>59</v>
      </c>
      <c r="E176" s="11" t="s">
        <v>26</v>
      </c>
      <c r="F176" s="11" t="s">
        <v>1016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1239</v>
      </c>
      <c r="D178" s="11" t="s">
        <v>57</v>
      </c>
      <c r="E178" s="11" t="s">
        <v>26</v>
      </c>
      <c r="F178" s="11" t="s">
        <v>1240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719</v>
      </c>
      <c r="D180" s="15" t="s">
        <v>78</v>
      </c>
      <c r="E180" s="11" t="s">
        <v>60</v>
      </c>
      <c r="F180" s="11" t="s">
        <v>720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174</v>
      </c>
      <c r="D181" s="15" t="s">
        <v>78</v>
      </c>
      <c r="E181" s="11" t="s">
        <v>26</v>
      </c>
      <c r="F181" s="11" t="s">
        <v>175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1151</v>
      </c>
      <c r="D182" s="15" t="s">
        <v>59</v>
      </c>
      <c r="E182" s="11" t="s">
        <v>26</v>
      </c>
      <c r="F182" s="11" t="s">
        <v>1152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1677</v>
      </c>
      <c r="D183" s="15" t="s">
        <v>45</v>
      </c>
      <c r="E183" s="11" t="s">
        <v>26</v>
      </c>
      <c r="F183" s="11" t="s">
        <v>1678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1792</v>
      </c>
      <c r="H184" s="12"/>
      <c r="I184" s="12"/>
      <c r="J184" s="12">
        <v>1787</v>
      </c>
      <c r="K184" s="12">
        <f t="shared" si="27"/>
        <v>0</v>
      </c>
      <c r="L184" s="12">
        <f t="shared" si="28"/>
        <v>1792</v>
      </c>
      <c r="M184" s="12" t="str">
        <f t="shared" si="29"/>
        <v/>
      </c>
      <c r="N184" s="12">
        <f t="shared" si="30"/>
        <v>1787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715</v>
      </c>
      <c r="D185" s="11" t="s">
        <v>57</v>
      </c>
      <c r="E185" s="11" t="s">
        <v>26</v>
      </c>
      <c r="F185" s="11" t="s">
        <v>716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1476</v>
      </c>
      <c r="D186" s="15" t="s">
        <v>59</v>
      </c>
      <c r="E186" s="11" t="s">
        <v>26</v>
      </c>
      <c r="F186" s="11" t="s">
        <v>1477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896</v>
      </c>
      <c r="D187" s="15" t="s">
        <v>45</v>
      </c>
      <c r="E187" s="11" t="s">
        <v>26</v>
      </c>
      <c r="F187" s="11" t="s">
        <v>897</v>
      </c>
      <c r="G187" s="12">
        <v>1840</v>
      </c>
      <c r="H187" s="12"/>
      <c r="I187" s="12"/>
      <c r="J187" s="12">
        <v>1840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1840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619</v>
      </c>
      <c r="D188" s="11" t="s">
        <v>57</v>
      </c>
      <c r="E188" s="11" t="s">
        <v>26</v>
      </c>
      <c r="F188" s="11" t="s">
        <v>620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663</v>
      </c>
      <c r="D189" s="15" t="s">
        <v>59</v>
      </c>
      <c r="E189" s="11" t="s">
        <v>26</v>
      </c>
      <c r="F189" s="11" t="s">
        <v>664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1237</v>
      </c>
      <c r="D190" s="11" t="s">
        <v>57</v>
      </c>
      <c r="E190" s="11" t="s">
        <v>26</v>
      </c>
      <c r="F190" s="11" t="s">
        <v>1238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1847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1630</v>
      </c>
      <c r="D192" s="15" t="s">
        <v>78</v>
      </c>
      <c r="E192" s="11" t="s">
        <v>26</v>
      </c>
      <c r="F192" s="11" t="s">
        <v>1631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472</v>
      </c>
      <c r="D193" s="15" t="s">
        <v>45</v>
      </c>
      <c r="E193" s="11" t="s">
        <v>26</v>
      </c>
      <c r="F193" s="11" t="s">
        <v>473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1041</v>
      </c>
      <c r="D194" s="15" t="s">
        <v>45</v>
      </c>
      <c r="E194" s="11" t="s">
        <v>60</v>
      </c>
      <c r="F194" s="11" t="s">
        <v>1042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651</v>
      </c>
      <c r="D195" s="15" t="s">
        <v>45</v>
      </c>
      <c r="E195" s="11" t="s">
        <v>26</v>
      </c>
      <c r="F195" s="11" t="s">
        <v>652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1361</v>
      </c>
      <c r="D196" s="15" t="s">
        <v>45</v>
      </c>
      <c r="E196" s="11" t="s">
        <v>26</v>
      </c>
      <c r="F196" s="11" t="s">
        <v>1362</v>
      </c>
      <c r="G196" s="12">
        <v>1850</v>
      </c>
      <c r="H196" s="12"/>
      <c r="I196" s="12"/>
      <c r="J196" s="12">
        <v>1820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1820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568</v>
      </c>
      <c r="D197" s="15" t="s">
        <v>78</v>
      </c>
      <c r="E197" s="11" t="s">
        <v>26</v>
      </c>
      <c r="F197" s="11" t="s">
        <v>569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580</v>
      </c>
      <c r="D198" s="15" t="s">
        <v>78</v>
      </c>
      <c r="E198" s="11" t="s">
        <v>26</v>
      </c>
      <c r="F198" s="11" t="s">
        <v>581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411</v>
      </c>
      <c r="D199" s="15" t="s">
        <v>59</v>
      </c>
      <c r="E199" s="11" t="s">
        <v>26</v>
      </c>
      <c r="F199" s="11" t="s">
        <v>412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978</v>
      </c>
      <c r="D200" s="11" t="s">
        <v>57</v>
      </c>
      <c r="E200" s="11" t="s">
        <v>26</v>
      </c>
      <c r="F200" s="11" t="s">
        <v>979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1338</v>
      </c>
      <c r="D201" s="15" t="s">
        <v>45</v>
      </c>
      <c r="E201" s="11" t="s">
        <v>26</v>
      </c>
      <c r="F201" s="11" t="s">
        <v>1339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1571</v>
      </c>
      <c r="D202" s="11" t="s">
        <v>48</v>
      </c>
      <c r="E202" s="11" t="s">
        <v>26</v>
      </c>
      <c r="F202" s="11" t="s">
        <v>1572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926</v>
      </c>
      <c r="D203" s="15" t="s">
        <v>78</v>
      </c>
      <c r="E203" s="11" t="s">
        <v>60</v>
      </c>
      <c r="F203" s="11" t="s">
        <v>927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778</v>
      </c>
      <c r="D204" s="15" t="s">
        <v>45</v>
      </c>
      <c r="E204" s="11" t="s">
        <v>60</v>
      </c>
      <c r="F204" s="11" t="s">
        <v>779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1478</v>
      </c>
      <c r="D205" s="15" t="s">
        <v>78</v>
      </c>
      <c r="E205" s="11" t="s">
        <v>60</v>
      </c>
      <c r="F205" s="11" t="s">
        <v>1479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280</v>
      </c>
      <c r="D206" s="11" t="s">
        <v>93</v>
      </c>
      <c r="E206" s="11" t="s">
        <v>26</v>
      </c>
      <c r="F206" s="11" t="s">
        <v>281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IF($T207="","",1+COUNTIF($W$15:$W$879,"&lt;"&amp;W207))</f>
        <v/>
      </c>
      <c r="B207" s="11" t="s">
        <v>6</v>
      </c>
      <c r="C207" s="11" t="s">
        <v>535</v>
      </c>
      <c r="D207" s="15" t="s">
        <v>78</v>
      </c>
      <c r="E207" s="11" t="s">
        <v>60</v>
      </c>
      <c r="F207" s="11" t="s">
        <v>536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6</v>
      </c>
      <c r="C208" s="11" t="s">
        <v>770</v>
      </c>
      <c r="D208" s="11" t="s">
        <v>57</v>
      </c>
      <c r="E208" s="11" t="s">
        <v>26</v>
      </c>
      <c r="F208" s="11" t="s">
        <v>771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14</v>
      </c>
      <c r="C209" s="11" t="s">
        <v>994</v>
      </c>
      <c r="D209" s="15" t="s">
        <v>45</v>
      </c>
      <c r="E209" s="11" t="s">
        <v>26</v>
      </c>
      <c r="F209" s="11" t="s">
        <v>995</v>
      </c>
      <c r="G209" s="12">
        <v>1815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1815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18</v>
      </c>
      <c r="C210" s="11" t="s">
        <v>974</v>
      </c>
      <c r="D210" s="15" t="s">
        <v>78</v>
      </c>
      <c r="E210" s="11" t="s">
        <v>60</v>
      </c>
      <c r="F210" s="11" t="s">
        <v>975</v>
      </c>
      <c r="G210" s="12">
        <v>1857</v>
      </c>
      <c r="H210" s="12"/>
      <c r="I210" s="12"/>
      <c r="J210" s="12">
        <v>1827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1827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1073</v>
      </c>
      <c r="D211" s="15" t="s">
        <v>45</v>
      </c>
      <c r="E211" s="11" t="s">
        <v>60</v>
      </c>
      <c r="F211" s="11" t="s">
        <v>1074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1507</v>
      </c>
      <c r="D212" s="15" t="s">
        <v>59</v>
      </c>
      <c r="E212" s="11" t="s">
        <v>60</v>
      </c>
      <c r="F212" s="11" t="s">
        <v>1508</v>
      </c>
      <c r="G212" s="12">
        <v>1857</v>
      </c>
      <c r="H212" s="12"/>
      <c r="I212" s="12"/>
      <c r="J212" s="12">
        <v>1837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1837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18</v>
      </c>
      <c r="C213" s="11" t="s">
        <v>1318</v>
      </c>
      <c r="D213" s="15" t="s">
        <v>78</v>
      </c>
      <c r="E213" s="11" t="s">
        <v>60</v>
      </c>
      <c r="F213" s="11" t="s">
        <v>1319</v>
      </c>
      <c r="G213" s="12">
        <v>1857</v>
      </c>
      <c r="H213" s="12"/>
      <c r="I213" s="12"/>
      <c r="J213" s="12">
        <v>1847</v>
      </c>
      <c r="K213" s="12">
        <f t="shared" si="40"/>
        <v>0</v>
      </c>
      <c r="L213" s="12">
        <f t="shared" si="41"/>
        <v>1857</v>
      </c>
      <c r="M213" s="12" t="str">
        <f t="shared" si="42"/>
        <v/>
      </c>
      <c r="N213" s="12">
        <f t="shared" si="43"/>
        <v>1847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1163</v>
      </c>
      <c r="D214" s="15" t="s">
        <v>45</v>
      </c>
      <c r="E214" s="11" t="s">
        <v>26</v>
      </c>
      <c r="F214" s="11" t="s">
        <v>1164</v>
      </c>
      <c r="G214" s="12">
        <v>1817</v>
      </c>
      <c r="H214" s="12"/>
      <c r="I214" s="12"/>
      <c r="J214" s="12">
        <v>1817</v>
      </c>
      <c r="K214" s="12">
        <f t="shared" si="40"/>
        <v>0</v>
      </c>
      <c r="L214" s="12">
        <f t="shared" si="41"/>
        <v>1817</v>
      </c>
      <c r="M214" s="12" t="str">
        <f t="shared" si="42"/>
        <v/>
      </c>
      <c r="N214" s="12">
        <f t="shared" si="43"/>
        <v>1817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16</v>
      </c>
      <c r="C215" s="11" t="s">
        <v>894</v>
      </c>
      <c r="D215" s="15" t="s">
        <v>59</v>
      </c>
      <c r="E215" s="11" t="s">
        <v>60</v>
      </c>
      <c r="F215" s="11" t="s">
        <v>895</v>
      </c>
      <c r="G215" s="12">
        <v>1859</v>
      </c>
      <c r="H215" s="12"/>
      <c r="I215" s="12"/>
      <c r="J215" s="12">
        <v>1829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1829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1147</v>
      </c>
      <c r="D216" s="11" t="s">
        <v>57</v>
      </c>
      <c r="E216" s="11" t="s">
        <v>60</v>
      </c>
      <c r="F216" s="11" t="s">
        <v>1148</v>
      </c>
      <c r="G216" s="12">
        <v>1859</v>
      </c>
      <c r="H216" s="12"/>
      <c r="I216" s="12"/>
      <c r="J216" s="12">
        <v>1839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1839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18</v>
      </c>
      <c r="C217" s="11" t="s">
        <v>1511</v>
      </c>
      <c r="D217" s="15" t="s">
        <v>59</v>
      </c>
      <c r="E217" s="11" t="s">
        <v>60</v>
      </c>
      <c r="F217" s="11" t="s">
        <v>1512</v>
      </c>
      <c r="G217" s="12">
        <v>1859</v>
      </c>
      <c r="H217" s="12"/>
      <c r="I217" s="12"/>
      <c r="J217" s="12">
        <v>1849</v>
      </c>
      <c r="K217" s="12">
        <f t="shared" si="40"/>
        <v>0</v>
      </c>
      <c r="L217" s="12">
        <f t="shared" si="41"/>
        <v>1859</v>
      </c>
      <c r="M217" s="12" t="str">
        <f t="shared" si="42"/>
        <v/>
      </c>
      <c r="N217" s="12">
        <f t="shared" si="43"/>
        <v>1849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364</v>
      </c>
      <c r="D218" s="15" t="s">
        <v>45</v>
      </c>
      <c r="E218" s="11" t="s">
        <v>26</v>
      </c>
      <c r="F218" s="11" t="s">
        <v>365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1260</v>
      </c>
      <c r="D219" s="15" t="s">
        <v>45</v>
      </c>
      <c r="E219" s="11" t="s">
        <v>26</v>
      </c>
      <c r="F219" s="11" t="s">
        <v>1261</v>
      </c>
      <c r="G219" s="12">
        <v>1818</v>
      </c>
      <c r="H219" s="12"/>
      <c r="I219" s="12"/>
      <c r="J219" s="12">
        <v>1788</v>
      </c>
      <c r="K219" s="12">
        <f t="shared" si="40"/>
        <v>0</v>
      </c>
      <c r="L219" s="12">
        <f t="shared" si="41"/>
        <v>1818</v>
      </c>
      <c r="M219" s="12" t="str">
        <f t="shared" si="42"/>
        <v/>
      </c>
      <c r="N219" s="12">
        <f t="shared" si="43"/>
        <v>1788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970</v>
      </c>
      <c r="D220" s="15" t="s">
        <v>78</v>
      </c>
      <c r="E220" s="11" t="s">
        <v>26</v>
      </c>
      <c r="F220" s="11" t="s">
        <v>971</v>
      </c>
      <c r="G220" s="12">
        <v>1860</v>
      </c>
      <c r="H220" s="12"/>
      <c r="I220" s="12"/>
      <c r="J220" s="12">
        <v>1825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1825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382</v>
      </c>
      <c r="D221" s="11" t="s">
        <v>57</v>
      </c>
      <c r="E221" s="11" t="s">
        <v>26</v>
      </c>
      <c r="F221" s="11" t="s">
        <v>383</v>
      </c>
      <c r="G221" s="12">
        <v>1860</v>
      </c>
      <c r="H221" s="12"/>
      <c r="I221" s="12"/>
      <c r="J221" s="12">
        <v>1860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1860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356</v>
      </c>
      <c r="D222" s="15" t="s">
        <v>45</v>
      </c>
      <c r="E222" s="11" t="s">
        <v>26</v>
      </c>
      <c r="F222" s="11" t="s">
        <v>357</v>
      </c>
      <c r="G222" s="12">
        <v>1819</v>
      </c>
      <c r="H222" s="12"/>
      <c r="I222" s="12"/>
      <c r="J222" s="12">
        <v>1793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1793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1591</v>
      </c>
      <c r="D223" s="15" t="s">
        <v>57</v>
      </c>
      <c r="E223" s="11" t="s">
        <v>26</v>
      </c>
      <c r="F223" s="11" t="s">
        <v>1592</v>
      </c>
      <c r="G223" s="12">
        <v>1819</v>
      </c>
      <c r="H223" s="12"/>
      <c r="I223" s="12"/>
      <c r="J223" s="12">
        <v>1807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1308</v>
      </c>
      <c r="D224" s="15" t="s">
        <v>78</v>
      </c>
      <c r="E224" s="11" t="s">
        <v>60</v>
      </c>
      <c r="F224" s="11" t="s">
        <v>1309</v>
      </c>
      <c r="G224" s="12">
        <v>1819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1365</v>
      </c>
      <c r="D225" s="11" t="s">
        <v>57</v>
      </c>
      <c r="E225" s="11" t="s">
        <v>26</v>
      </c>
      <c r="F225" s="11" t="s">
        <v>1366</v>
      </c>
      <c r="G225" s="12">
        <v>1862</v>
      </c>
      <c r="H225" s="12"/>
      <c r="I225" s="12"/>
      <c r="J225" s="12">
        <v>1832</v>
      </c>
      <c r="K225" s="12">
        <f t="shared" si="40"/>
        <v>0</v>
      </c>
      <c r="L225" s="12">
        <f t="shared" si="41"/>
        <v>1862</v>
      </c>
      <c r="M225" s="12" t="str">
        <f t="shared" si="42"/>
        <v/>
      </c>
      <c r="N225" s="12">
        <f t="shared" si="43"/>
        <v>1832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1666</v>
      </c>
      <c r="D226" s="15" t="s">
        <v>78</v>
      </c>
      <c r="E226" s="11" t="s">
        <v>26</v>
      </c>
      <c r="F226" s="11" t="s">
        <v>1667</v>
      </c>
      <c r="G226" s="12">
        <v>1865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1181</v>
      </c>
      <c r="D227" s="11" t="s">
        <v>57</v>
      </c>
      <c r="E227" s="11" t="s">
        <v>60</v>
      </c>
      <c r="F227" s="11" t="s">
        <v>1182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150</v>
      </c>
      <c r="D228" s="11" t="s">
        <v>48</v>
      </c>
      <c r="E228" s="11" t="s">
        <v>26</v>
      </c>
      <c r="F228" s="11" t="s">
        <v>151</v>
      </c>
      <c r="G228" s="12">
        <v>1865</v>
      </c>
      <c r="H228" s="12"/>
      <c r="I228" s="12"/>
      <c r="J228" s="12">
        <v>1835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1835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428</v>
      </c>
      <c r="D229" s="11" t="s">
        <v>93</v>
      </c>
      <c r="E229" s="11" t="s">
        <v>26</v>
      </c>
      <c r="F229" s="11" t="s">
        <v>429</v>
      </c>
      <c r="G229" s="12">
        <v>1865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1675</v>
      </c>
      <c r="D230" s="11" t="s">
        <v>57</v>
      </c>
      <c r="E230" s="11" t="s">
        <v>26</v>
      </c>
      <c r="F230" s="11" t="s">
        <v>1676</v>
      </c>
      <c r="G230" s="12">
        <v>1824</v>
      </c>
      <c r="H230" s="12"/>
      <c r="I230" s="12"/>
      <c r="J230" s="12">
        <v>1794</v>
      </c>
      <c r="K230" s="12">
        <f t="shared" si="40"/>
        <v>0</v>
      </c>
      <c r="L230" s="12">
        <f t="shared" si="41"/>
        <v>1824</v>
      </c>
      <c r="M230" s="12" t="str">
        <f t="shared" si="42"/>
        <v/>
      </c>
      <c r="N230" s="12">
        <f t="shared" si="43"/>
        <v>1794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338</v>
      </c>
      <c r="D231" s="15" t="s">
        <v>45</v>
      </c>
      <c r="E231" s="11" t="s">
        <v>26</v>
      </c>
      <c r="F231" s="11" t="s">
        <v>339</v>
      </c>
      <c r="G231" s="12">
        <v>1825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590</v>
      </c>
      <c r="D232" s="15" t="s">
        <v>57</v>
      </c>
      <c r="E232" s="11" t="s">
        <v>26</v>
      </c>
      <c r="F232" s="11" t="s">
        <v>591</v>
      </c>
      <c r="G232" s="12">
        <v>1825</v>
      </c>
      <c r="H232" s="12"/>
      <c r="I232" s="12"/>
      <c r="J232" s="12">
        <v>1813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1813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476</v>
      </c>
      <c r="D233" s="15" t="s">
        <v>59</v>
      </c>
      <c r="E233" s="11" t="s">
        <v>26</v>
      </c>
      <c r="F233" s="11" t="s">
        <v>477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795</v>
      </c>
      <c r="D234" s="15" t="s">
        <v>78</v>
      </c>
      <c r="E234" s="11" t="s">
        <v>60</v>
      </c>
      <c r="F234" s="11" t="s">
        <v>796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726</v>
      </c>
      <c r="D235" s="15" t="s">
        <v>78</v>
      </c>
      <c r="E235" s="11" t="s">
        <v>26</v>
      </c>
      <c r="F235" s="11" t="s">
        <v>727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1363</v>
      </c>
      <c r="D236" s="15" t="s">
        <v>57</v>
      </c>
      <c r="E236" s="11" t="s">
        <v>26</v>
      </c>
      <c r="F236" s="11" t="s">
        <v>1364</v>
      </c>
      <c r="G236" s="12">
        <v>1827</v>
      </c>
      <c r="H236" s="12"/>
      <c r="I236" s="12"/>
      <c r="J236" s="12">
        <v>1827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1827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18</v>
      </c>
      <c r="C237" s="11" t="s">
        <v>878</v>
      </c>
      <c r="D237" s="11" t="s">
        <v>57</v>
      </c>
      <c r="E237" s="11" t="s">
        <v>26</v>
      </c>
      <c r="F237" s="11" t="s">
        <v>879</v>
      </c>
      <c r="G237" s="12">
        <v>1869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1869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16</v>
      </c>
      <c r="C238" s="11" t="s">
        <v>1650</v>
      </c>
      <c r="D238" s="15" t="s">
        <v>78</v>
      </c>
      <c r="E238" s="11" t="s">
        <v>60</v>
      </c>
      <c r="F238" s="11" t="s">
        <v>1651</v>
      </c>
      <c r="G238" s="12">
        <v>1869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1869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1073</v>
      </c>
      <c r="D239" s="15" t="s">
        <v>78</v>
      </c>
      <c r="E239" s="11" t="s">
        <v>26</v>
      </c>
      <c r="F239" s="11" t="s">
        <v>1075</v>
      </c>
      <c r="G239" s="12">
        <v>1828</v>
      </c>
      <c r="H239" s="12"/>
      <c r="I239" s="12"/>
      <c r="J239" s="12">
        <v>1798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694</v>
      </c>
      <c r="D240" s="11" t="s">
        <v>48</v>
      </c>
      <c r="E240" s="11" t="s">
        <v>60</v>
      </c>
      <c r="F240" s="11" t="s">
        <v>695</v>
      </c>
      <c r="G240" s="12">
        <v>1828</v>
      </c>
      <c r="H240" s="12"/>
      <c r="I240" s="12"/>
      <c r="J240" s="12">
        <v>1799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12</v>
      </c>
      <c r="C241" s="11" t="s">
        <v>864</v>
      </c>
      <c r="D241" s="15" t="s">
        <v>57</v>
      </c>
      <c r="E241" s="11" t="s">
        <v>26</v>
      </c>
      <c r="F241" s="11" t="s">
        <v>865</v>
      </c>
      <c r="G241" s="12">
        <v>1828</v>
      </c>
      <c r="H241" s="12"/>
      <c r="I241" s="12"/>
      <c r="J241" s="12">
        <v>1848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1848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600</v>
      </c>
      <c r="D242" s="15" t="s">
        <v>78</v>
      </c>
      <c r="E242" s="11" t="s">
        <v>60</v>
      </c>
      <c r="F242" s="11" t="s">
        <v>601</v>
      </c>
      <c r="G242" s="12">
        <v>1870</v>
      </c>
      <c r="H242" s="12"/>
      <c r="I242" s="12"/>
      <c r="J242" s="12">
        <v>1825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1825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737</v>
      </c>
      <c r="D243" s="15" t="s">
        <v>59</v>
      </c>
      <c r="E243" s="11" t="s">
        <v>60</v>
      </c>
      <c r="F243" s="11" t="s">
        <v>738</v>
      </c>
      <c r="G243" s="12">
        <v>1870</v>
      </c>
      <c r="H243" s="12"/>
      <c r="I243" s="12"/>
      <c r="J243" s="12">
        <v>1850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1850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1489</v>
      </c>
      <c r="D244" s="15" t="s">
        <v>78</v>
      </c>
      <c r="E244" s="11" t="s">
        <v>60</v>
      </c>
      <c r="F244" s="11" t="s">
        <v>1490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1721</v>
      </c>
      <c r="D245" s="15" t="s">
        <v>78</v>
      </c>
      <c r="E245" s="11" t="s">
        <v>60</v>
      </c>
      <c r="F245" s="11" t="s">
        <v>1722</v>
      </c>
      <c r="G245" s="12">
        <v>1870</v>
      </c>
      <c r="H245" s="12"/>
      <c r="I245" s="12"/>
      <c r="J245" s="12">
        <v>1860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1860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916</v>
      </c>
      <c r="D246" s="15" t="s">
        <v>78</v>
      </c>
      <c r="E246" s="11" t="s">
        <v>60</v>
      </c>
      <c r="F246" s="11" t="s">
        <v>917</v>
      </c>
      <c r="G246" s="12">
        <v>1870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1304</v>
      </c>
      <c r="D247" s="11" t="s">
        <v>57</v>
      </c>
      <c r="E247" s="11" t="s">
        <v>60</v>
      </c>
      <c r="F247" s="11" t="s">
        <v>1305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711</v>
      </c>
      <c r="D248" s="15" t="s">
        <v>45</v>
      </c>
      <c r="E248" s="11" t="s">
        <v>26</v>
      </c>
      <c r="F248" s="11" t="s">
        <v>712</v>
      </c>
      <c r="G248" s="12">
        <v>1829</v>
      </c>
      <c r="H248" s="12"/>
      <c r="I248" s="12"/>
      <c r="J248" s="12">
        <v>1789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1789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1679</v>
      </c>
      <c r="D249" s="15" t="s">
        <v>45</v>
      </c>
      <c r="E249" s="11" t="s">
        <v>26</v>
      </c>
      <c r="F249" s="11" t="s">
        <v>1680</v>
      </c>
      <c r="G249" s="12">
        <v>1829</v>
      </c>
      <c r="H249" s="12"/>
      <c r="I249" s="12"/>
      <c r="J249" s="12">
        <v>1799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1799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294</v>
      </c>
      <c r="D250" s="15" t="s">
        <v>78</v>
      </c>
      <c r="E250" s="11" t="s">
        <v>26</v>
      </c>
      <c r="F250" s="11" t="s">
        <v>295</v>
      </c>
      <c r="G250" s="12">
        <v>1829</v>
      </c>
      <c r="H250" s="12"/>
      <c r="I250" s="12"/>
      <c r="J250" s="12">
        <v>1809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1809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415</v>
      </c>
      <c r="D251" s="15" t="s">
        <v>45</v>
      </c>
      <c r="E251" s="11" t="s">
        <v>60</v>
      </c>
      <c r="F251" s="11" t="s">
        <v>416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12</v>
      </c>
      <c r="C252" s="11" t="s">
        <v>888</v>
      </c>
      <c r="D252" s="15" t="s">
        <v>57</v>
      </c>
      <c r="E252" s="11" t="s">
        <v>26</v>
      </c>
      <c r="F252" s="11" t="s">
        <v>889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924</v>
      </c>
      <c r="D253" s="15" t="s">
        <v>45</v>
      </c>
      <c r="E253" s="11" t="s">
        <v>60</v>
      </c>
      <c r="F253" s="11" t="s">
        <v>925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10</v>
      </c>
      <c r="C254" s="11" t="s">
        <v>1155</v>
      </c>
      <c r="D254" s="15" t="s">
        <v>78</v>
      </c>
      <c r="E254" s="11" t="s">
        <v>26</v>
      </c>
      <c r="F254" s="11" t="s">
        <v>1156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631</v>
      </c>
      <c r="D255" s="15" t="s">
        <v>45</v>
      </c>
      <c r="E255" s="11" t="s">
        <v>26</v>
      </c>
      <c r="F255" s="11" t="s">
        <v>632</v>
      </c>
      <c r="G255" s="12">
        <v>1872</v>
      </c>
      <c r="H255" s="12"/>
      <c r="I255" s="12"/>
      <c r="J255" s="12">
        <v>1862</v>
      </c>
      <c r="K255" s="12">
        <f t="shared" si="40"/>
        <v>0</v>
      </c>
      <c r="L255" s="12">
        <f t="shared" si="41"/>
        <v>1872</v>
      </c>
      <c r="M255" s="12" t="str">
        <f t="shared" si="42"/>
        <v/>
      </c>
      <c r="N255" s="12">
        <f t="shared" si="43"/>
        <v>1862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553</v>
      </c>
      <c r="D256" s="15" t="s">
        <v>78</v>
      </c>
      <c r="E256" s="11" t="s">
        <v>26</v>
      </c>
      <c r="F256" s="11" t="s">
        <v>554</v>
      </c>
      <c r="G256" s="12">
        <v>1833</v>
      </c>
      <c r="H256" s="12"/>
      <c r="I256" s="12"/>
      <c r="J256" s="12">
        <v>1821</v>
      </c>
      <c r="K256" s="12">
        <f t="shared" si="40"/>
        <v>0</v>
      </c>
      <c r="L256" s="12">
        <f t="shared" si="41"/>
        <v>1833</v>
      </c>
      <c r="M256" s="12" t="str">
        <f t="shared" si="42"/>
        <v/>
      </c>
      <c r="N256" s="12">
        <f t="shared" si="43"/>
        <v>1821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18</v>
      </c>
      <c r="C257" s="11" t="s">
        <v>1030</v>
      </c>
      <c r="D257" s="15" t="s">
        <v>78</v>
      </c>
      <c r="E257" s="11" t="s">
        <v>60</v>
      </c>
      <c r="F257" s="11" t="s">
        <v>1031</v>
      </c>
      <c r="G257" s="12">
        <v>1875</v>
      </c>
      <c r="H257" s="12"/>
      <c r="I257" s="12"/>
      <c r="J257" s="12">
        <v>1855</v>
      </c>
      <c r="K257" s="12">
        <f t="shared" si="40"/>
        <v>0</v>
      </c>
      <c r="L257" s="12">
        <f t="shared" si="41"/>
        <v>1875</v>
      </c>
      <c r="M257" s="12" t="str">
        <f t="shared" si="42"/>
        <v/>
      </c>
      <c r="N257" s="12">
        <f t="shared" si="43"/>
        <v>1855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1638</v>
      </c>
      <c r="D258" s="15" t="s">
        <v>59</v>
      </c>
      <c r="E258" s="11" t="s">
        <v>60</v>
      </c>
      <c r="F258" s="11" t="s">
        <v>1639</v>
      </c>
      <c r="G258" s="12">
        <v>1875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509</v>
      </c>
      <c r="D259" s="15" t="s">
        <v>59</v>
      </c>
      <c r="E259" s="11" t="s">
        <v>26</v>
      </c>
      <c r="F259" s="11" t="s">
        <v>510</v>
      </c>
      <c r="G259" s="12">
        <v>1835</v>
      </c>
      <c r="H259" s="12"/>
      <c r="I259" s="12"/>
      <c r="J259" s="12">
        <v>1793</v>
      </c>
      <c r="K259" s="12">
        <f t="shared" si="40"/>
        <v>0</v>
      </c>
      <c r="L259" s="12">
        <f t="shared" si="41"/>
        <v>1835</v>
      </c>
      <c r="M259" s="12" t="str">
        <f t="shared" si="42"/>
        <v/>
      </c>
      <c r="N259" s="12">
        <f t="shared" si="43"/>
        <v>1793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16" customFormat="1" ht="28.5" customHeight="1">
      <c r="A260" s="11" t="str">
        <f t="shared" si="39"/>
        <v/>
      </c>
      <c r="B260" s="11" t="s">
        <v>6</v>
      </c>
      <c r="C260" s="11" t="s">
        <v>376</v>
      </c>
      <c r="D260" s="11" t="s">
        <v>57</v>
      </c>
      <c r="E260" s="11" t="s">
        <v>26</v>
      </c>
      <c r="F260" s="11" t="s">
        <v>377</v>
      </c>
      <c r="G260" s="12">
        <v>1835</v>
      </c>
      <c r="H260" s="12"/>
      <c r="I260" s="12"/>
      <c r="J260" s="12">
        <v>1815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1815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422</v>
      </c>
      <c r="D261" s="15" t="s">
        <v>78</v>
      </c>
      <c r="E261" s="11" t="s">
        <v>26</v>
      </c>
      <c r="F261" s="11" t="s">
        <v>423</v>
      </c>
      <c r="G261" s="12">
        <v>1835</v>
      </c>
      <c r="H261" s="12"/>
      <c r="I261" s="12"/>
      <c r="J261" s="12">
        <v>1815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1815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1411</v>
      </c>
      <c r="D262" s="11" t="s">
        <v>48</v>
      </c>
      <c r="E262" s="11" t="s">
        <v>26</v>
      </c>
      <c r="F262" s="11" t="s">
        <v>1412</v>
      </c>
      <c r="G262" s="12">
        <v>1835</v>
      </c>
      <c r="H262" s="12"/>
      <c r="I262" s="12"/>
      <c r="J262" s="12">
        <v>1824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1824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1276</v>
      </c>
      <c r="D263" s="15" t="s">
        <v>78</v>
      </c>
      <c r="E263" s="11" t="s">
        <v>26</v>
      </c>
      <c r="F263" s="11" t="s">
        <v>1277</v>
      </c>
      <c r="G263" s="12">
        <v>1877</v>
      </c>
      <c r="H263" s="12"/>
      <c r="I263" s="12"/>
      <c r="J263" s="12">
        <v>1847</v>
      </c>
      <c r="K263" s="12">
        <f t="shared" si="40"/>
        <v>0</v>
      </c>
      <c r="L263" s="12">
        <f t="shared" si="41"/>
        <v>1877</v>
      </c>
      <c r="M263" s="12" t="str">
        <f t="shared" si="42"/>
        <v/>
      </c>
      <c r="N263" s="12">
        <f t="shared" si="43"/>
        <v>1847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670</v>
      </c>
      <c r="D264" s="15" t="s">
        <v>45</v>
      </c>
      <c r="E264" s="11" t="s">
        <v>60</v>
      </c>
      <c r="F264" s="11" t="s">
        <v>671</v>
      </c>
      <c r="G264" s="12">
        <v>1878</v>
      </c>
      <c r="H264" s="12"/>
      <c r="I264" s="12"/>
      <c r="J264" s="12">
        <v>1858</v>
      </c>
      <c r="K264" s="12">
        <f t="shared" si="40"/>
        <v>0</v>
      </c>
      <c r="L264" s="12">
        <f t="shared" si="41"/>
        <v>1878</v>
      </c>
      <c r="M264" s="12" t="str">
        <f t="shared" si="42"/>
        <v/>
      </c>
      <c r="N264" s="12">
        <f t="shared" si="43"/>
        <v>1858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1102</v>
      </c>
      <c r="D265" s="15" t="s">
        <v>78</v>
      </c>
      <c r="E265" s="11" t="s">
        <v>60</v>
      </c>
      <c r="F265" s="11" t="s">
        <v>1103</v>
      </c>
      <c r="G265" s="12">
        <v>1878</v>
      </c>
      <c r="H265" s="12"/>
      <c r="I265" s="12"/>
      <c r="J265" s="12">
        <v>1868</v>
      </c>
      <c r="K265" s="12">
        <f t="shared" si="40"/>
        <v>0</v>
      </c>
      <c r="L265" s="12">
        <f t="shared" si="41"/>
        <v>1878</v>
      </c>
      <c r="M265" s="12" t="str">
        <f t="shared" si="42"/>
        <v/>
      </c>
      <c r="N265" s="12">
        <f t="shared" si="43"/>
        <v>1868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678</v>
      </c>
      <c r="D266" s="15" t="s">
        <v>78</v>
      </c>
      <c r="E266" s="11" t="s">
        <v>26</v>
      </c>
      <c r="F266" s="11" t="s">
        <v>679</v>
      </c>
      <c r="G266" s="12">
        <v>1837</v>
      </c>
      <c r="H266" s="12"/>
      <c r="I266" s="12"/>
      <c r="J266" s="12">
        <v>1808</v>
      </c>
      <c r="K266" s="12">
        <f t="shared" si="40"/>
        <v>0</v>
      </c>
      <c r="L266" s="12">
        <f t="shared" si="41"/>
        <v>1837</v>
      </c>
      <c r="M266" s="12" t="str">
        <f t="shared" si="42"/>
        <v/>
      </c>
      <c r="N266" s="12">
        <f t="shared" si="43"/>
        <v>1808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6</v>
      </c>
      <c r="C267" s="11" t="s">
        <v>774</v>
      </c>
      <c r="D267" s="15" t="s">
        <v>45</v>
      </c>
      <c r="E267" s="11" t="s">
        <v>60</v>
      </c>
      <c r="F267" s="11" t="s">
        <v>775</v>
      </c>
      <c r="G267" s="12">
        <v>1837</v>
      </c>
      <c r="H267" s="12"/>
      <c r="I267" s="12"/>
      <c r="J267" s="12">
        <v>1817</v>
      </c>
      <c r="K267" s="12">
        <f t="shared" si="40"/>
        <v>0</v>
      </c>
      <c r="L267" s="12">
        <f t="shared" si="41"/>
        <v>1837</v>
      </c>
      <c r="M267" s="12" t="str">
        <f t="shared" si="42"/>
        <v/>
      </c>
      <c r="N267" s="12">
        <f t="shared" si="43"/>
        <v>1817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551</v>
      </c>
      <c r="D268" s="15" t="s">
        <v>45</v>
      </c>
      <c r="E268" s="11" t="s">
        <v>26</v>
      </c>
      <c r="F268" s="11" t="s">
        <v>552</v>
      </c>
      <c r="G268" s="12">
        <v>1838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1838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962</v>
      </c>
      <c r="D269" s="15" t="s">
        <v>59</v>
      </c>
      <c r="E269" s="11" t="s">
        <v>26</v>
      </c>
      <c r="F269" s="11" t="s">
        <v>963</v>
      </c>
      <c r="G269" s="12">
        <v>1838</v>
      </c>
      <c r="H269" s="12"/>
      <c r="I269" s="12"/>
      <c r="J269" s="12">
        <v>1828</v>
      </c>
      <c r="K269" s="12">
        <f t="shared" si="40"/>
        <v>0</v>
      </c>
      <c r="L269" s="12">
        <f t="shared" si="41"/>
        <v>1838</v>
      </c>
      <c r="M269" s="12" t="str">
        <f t="shared" si="42"/>
        <v/>
      </c>
      <c r="N269" s="12">
        <f t="shared" si="43"/>
        <v>1828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1575</v>
      </c>
      <c r="D270" s="11" t="s">
        <v>93</v>
      </c>
      <c r="E270" s="11" t="s">
        <v>26</v>
      </c>
      <c r="F270" s="11" t="s">
        <v>1576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IF($T271="","",1+COUNTIF($W$15:$W$879,"&lt;"&amp;W271))</f>
        <v/>
      </c>
      <c r="B271" s="11" t="s">
        <v>18</v>
      </c>
      <c r="C271" s="11" t="s">
        <v>1521</v>
      </c>
      <c r="D271" s="15" t="s">
        <v>59</v>
      </c>
      <c r="E271" s="11" t="s">
        <v>60</v>
      </c>
      <c r="F271" s="11" t="s">
        <v>1522</v>
      </c>
      <c r="G271" s="12">
        <v>1880</v>
      </c>
      <c r="H271" s="12"/>
      <c r="I271" s="12"/>
      <c r="J271" s="12">
        <v>1860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1880</v>
      </c>
      <c r="M271" s="12" t="str">
        <f t="shared" ref="M271:M334" si="55">IF($H271="","",$H271+$K271)</f>
        <v/>
      </c>
      <c r="N271" s="12">
        <f t="shared" ref="N271:N334" si="56">IF($J271="","",$J271+$K271)</f>
        <v>1860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696</v>
      </c>
      <c r="D272" s="15" t="s">
        <v>78</v>
      </c>
      <c r="E272" s="11" t="s">
        <v>26</v>
      </c>
      <c r="F272" s="11" t="s">
        <v>697</v>
      </c>
      <c r="G272" s="12">
        <v>1839</v>
      </c>
      <c r="H272" s="12"/>
      <c r="I272" s="12"/>
      <c r="J272" s="12">
        <v>1799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1799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14</v>
      </c>
      <c r="C273" s="11" t="s">
        <v>1061</v>
      </c>
      <c r="D273" s="11" t="s">
        <v>57</v>
      </c>
      <c r="E273" s="11" t="s">
        <v>26</v>
      </c>
      <c r="F273" s="11" t="s">
        <v>1062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1581</v>
      </c>
      <c r="D274" s="11" t="s">
        <v>57</v>
      </c>
      <c r="E274" s="11" t="s">
        <v>26</v>
      </c>
      <c r="F274" s="11" t="s">
        <v>1582</v>
      </c>
      <c r="G274" s="12">
        <v>1839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1697</v>
      </c>
      <c r="D275" s="15" t="s">
        <v>78</v>
      </c>
      <c r="E275" s="11" t="s">
        <v>60</v>
      </c>
      <c r="F275" s="11" t="s">
        <v>1698</v>
      </c>
      <c r="G275" s="12">
        <v>1839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8</v>
      </c>
      <c r="C276" s="11" t="s">
        <v>958</v>
      </c>
      <c r="D276" s="15" t="s">
        <v>45</v>
      </c>
      <c r="E276" s="11" t="s">
        <v>26</v>
      </c>
      <c r="F276" s="11" t="s">
        <v>959</v>
      </c>
      <c r="G276" s="12">
        <v>1839</v>
      </c>
      <c r="H276" s="12"/>
      <c r="I276" s="12"/>
      <c r="J276" s="12">
        <v>1829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584</v>
      </c>
      <c r="D277" s="15" t="s">
        <v>78</v>
      </c>
      <c r="E277" s="11" t="s">
        <v>26</v>
      </c>
      <c r="F277" s="11" t="s">
        <v>585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10</v>
      </c>
      <c r="C278" s="11" t="s">
        <v>1714</v>
      </c>
      <c r="D278" s="15" t="s">
        <v>45</v>
      </c>
      <c r="E278" s="11" t="s">
        <v>26</v>
      </c>
      <c r="F278" s="11" t="s">
        <v>1715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12</v>
      </c>
      <c r="C279" s="11" t="s">
        <v>116</v>
      </c>
      <c r="D279" s="15" t="s">
        <v>45</v>
      </c>
      <c r="E279" s="11" t="s">
        <v>26</v>
      </c>
      <c r="F279" s="11" t="s">
        <v>117</v>
      </c>
      <c r="G279" s="12">
        <v>1844</v>
      </c>
      <c r="H279" s="12"/>
      <c r="I279" s="12"/>
      <c r="J279" s="12">
        <v>1813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1813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1381</v>
      </c>
      <c r="D280" s="15" t="s">
        <v>59</v>
      </c>
      <c r="E280" s="11" t="s">
        <v>26</v>
      </c>
      <c r="F280" s="11" t="s">
        <v>1382</v>
      </c>
      <c r="G280" s="12">
        <v>1844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6</v>
      </c>
      <c r="C281" s="11" t="s">
        <v>594</v>
      </c>
      <c r="D281" s="11" t="s">
        <v>57</v>
      </c>
      <c r="E281" s="11" t="s">
        <v>26</v>
      </c>
      <c r="F281" s="11" t="s">
        <v>595</v>
      </c>
      <c r="G281" s="12">
        <v>1845</v>
      </c>
      <c r="H281" s="12"/>
      <c r="I281" s="12"/>
      <c r="J281" s="12">
        <v>1819</v>
      </c>
      <c r="K281" s="12">
        <f t="shared" si="53"/>
        <v>0</v>
      </c>
      <c r="L281" s="12">
        <f t="shared" si="54"/>
        <v>1845</v>
      </c>
      <c r="M281" s="12" t="str">
        <f t="shared" si="55"/>
        <v/>
      </c>
      <c r="N281" s="12">
        <f t="shared" si="56"/>
        <v>1819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637</v>
      </c>
      <c r="D282" s="15" t="s">
        <v>45</v>
      </c>
      <c r="E282" s="11" t="s">
        <v>26</v>
      </c>
      <c r="F282" s="11" t="s">
        <v>638</v>
      </c>
      <c r="G282" s="12">
        <v>1887</v>
      </c>
      <c r="H282" s="12"/>
      <c r="I282" s="12"/>
      <c r="J282" s="12">
        <v>1857</v>
      </c>
      <c r="K282" s="12">
        <f t="shared" si="53"/>
        <v>0</v>
      </c>
      <c r="L282" s="12">
        <f t="shared" si="54"/>
        <v>1887</v>
      </c>
      <c r="M282" s="12" t="str">
        <f t="shared" si="55"/>
        <v/>
      </c>
      <c r="N282" s="12">
        <f t="shared" si="56"/>
        <v>1857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818</v>
      </c>
      <c r="D283" s="15" t="s">
        <v>78</v>
      </c>
      <c r="E283" s="11" t="s">
        <v>26</v>
      </c>
      <c r="F283" s="11" t="s">
        <v>819</v>
      </c>
      <c r="G283" s="12">
        <v>1846</v>
      </c>
      <c r="H283" s="12"/>
      <c r="I283" s="12"/>
      <c r="J283" s="12">
        <v>1846</v>
      </c>
      <c r="K283" s="12">
        <f t="shared" si="53"/>
        <v>0</v>
      </c>
      <c r="L283" s="12">
        <f t="shared" si="54"/>
        <v>1846</v>
      </c>
      <c r="M283" s="12" t="str">
        <f t="shared" si="55"/>
        <v/>
      </c>
      <c r="N283" s="12">
        <f t="shared" si="56"/>
        <v>1846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527</v>
      </c>
      <c r="D284" s="11" t="s">
        <v>57</v>
      </c>
      <c r="E284" s="11" t="s">
        <v>60</v>
      </c>
      <c r="F284" s="11" t="s">
        <v>528</v>
      </c>
      <c r="G284" s="12">
        <v>1847</v>
      </c>
      <c r="H284" s="12"/>
      <c r="I284" s="12"/>
      <c r="J284" s="12">
        <v>1839</v>
      </c>
      <c r="K284" s="12">
        <f t="shared" si="53"/>
        <v>0</v>
      </c>
      <c r="L284" s="12">
        <f t="shared" si="54"/>
        <v>1847</v>
      </c>
      <c r="M284" s="12" t="str">
        <f t="shared" si="55"/>
        <v/>
      </c>
      <c r="N284" s="12">
        <f t="shared" si="56"/>
        <v>1839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350</v>
      </c>
      <c r="D285" s="15" t="s">
        <v>45</v>
      </c>
      <c r="E285" s="11" t="s">
        <v>26</v>
      </c>
      <c r="F285" s="11" t="s">
        <v>351</v>
      </c>
      <c r="G285" s="12">
        <v>1848</v>
      </c>
      <c r="H285" s="12"/>
      <c r="I285" s="12"/>
      <c r="J285" s="12">
        <v>1798</v>
      </c>
      <c r="K285" s="12">
        <f t="shared" si="53"/>
        <v>0</v>
      </c>
      <c r="L285" s="12">
        <f t="shared" si="54"/>
        <v>1848</v>
      </c>
      <c r="M285" s="12" t="str">
        <f t="shared" si="55"/>
        <v/>
      </c>
      <c r="N285" s="12">
        <f t="shared" si="56"/>
        <v>1798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1681</v>
      </c>
      <c r="D286" s="15" t="s">
        <v>45</v>
      </c>
      <c r="E286" s="11" t="s">
        <v>60</v>
      </c>
      <c r="F286" s="11" t="s">
        <v>1682</v>
      </c>
      <c r="G286" s="12">
        <v>1890</v>
      </c>
      <c r="H286" s="12"/>
      <c r="I286" s="12"/>
      <c r="J286" s="12">
        <v>1880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1880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1415</v>
      </c>
      <c r="D287" s="11" t="s">
        <v>57</v>
      </c>
      <c r="E287" s="11" t="s">
        <v>60</v>
      </c>
      <c r="F287" s="11" t="s">
        <v>1416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434</v>
      </c>
      <c r="D288" s="15" t="s">
        <v>45</v>
      </c>
      <c r="E288" s="11" t="s">
        <v>60</v>
      </c>
      <c r="F288" s="11" t="s">
        <v>435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586</v>
      </c>
      <c r="D289" s="15" t="s">
        <v>45</v>
      </c>
      <c r="E289" s="11" t="s">
        <v>60</v>
      </c>
      <c r="F289" s="11" t="s">
        <v>587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686</v>
      </c>
      <c r="D290" s="11" t="s">
        <v>57</v>
      </c>
      <c r="E290" s="11" t="s">
        <v>26</v>
      </c>
      <c r="F290" s="11" t="s">
        <v>687</v>
      </c>
      <c r="G290" s="12">
        <v>1849</v>
      </c>
      <c r="H290" s="12"/>
      <c r="I290" s="12"/>
      <c r="J290" s="12">
        <v>1799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1799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998</v>
      </c>
      <c r="D291" s="15" t="s">
        <v>78</v>
      </c>
      <c r="E291" s="11" t="s">
        <v>26</v>
      </c>
      <c r="F291" s="11" t="s">
        <v>999</v>
      </c>
      <c r="G291" s="12">
        <v>1849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368</v>
      </c>
      <c r="D292" s="11" t="s">
        <v>57</v>
      </c>
      <c r="E292" s="11" t="s">
        <v>26</v>
      </c>
      <c r="F292" s="11" t="s">
        <v>369</v>
      </c>
      <c r="G292" s="12">
        <v>1849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154</v>
      </c>
      <c r="D293" s="15" t="s">
        <v>45</v>
      </c>
      <c r="E293" s="11" t="s">
        <v>26</v>
      </c>
      <c r="F293" s="11" t="s">
        <v>155</v>
      </c>
      <c r="G293" s="12">
        <v>1849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470</v>
      </c>
      <c r="D294" s="11" t="s">
        <v>57</v>
      </c>
      <c r="E294" s="11" t="s">
        <v>26</v>
      </c>
      <c r="F294" s="11" t="s">
        <v>471</v>
      </c>
      <c r="G294" s="12">
        <v>1849</v>
      </c>
      <c r="H294" s="12"/>
      <c r="I294" s="12"/>
      <c r="J294" s="12">
        <v>1836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1316</v>
      </c>
      <c r="D295" s="15" t="s">
        <v>78</v>
      </c>
      <c r="E295" s="11" t="s">
        <v>26</v>
      </c>
      <c r="F295" s="11" t="s">
        <v>1317</v>
      </c>
      <c r="G295" s="12">
        <v>1849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1139</v>
      </c>
      <c r="D296" s="11" t="s">
        <v>48</v>
      </c>
      <c r="E296" s="11" t="s">
        <v>26</v>
      </c>
      <c r="F296" s="11" t="s">
        <v>1140</v>
      </c>
      <c r="G296" s="12">
        <v>1849</v>
      </c>
      <c r="H296" s="12"/>
      <c r="I296" s="12"/>
      <c r="J296" s="12">
        <v>1843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1843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1266</v>
      </c>
      <c r="D297" s="15" t="s">
        <v>59</v>
      </c>
      <c r="E297" s="11" t="s">
        <v>26</v>
      </c>
      <c r="F297" s="11" t="s">
        <v>1267</v>
      </c>
      <c r="G297" s="12">
        <v>1895</v>
      </c>
      <c r="H297" s="12"/>
      <c r="I297" s="12"/>
      <c r="J297" s="12">
        <v>1875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1875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629</v>
      </c>
      <c r="D298" s="15" t="s">
        <v>45</v>
      </c>
      <c r="E298" s="11" t="s">
        <v>26</v>
      </c>
      <c r="F298" s="11" t="s">
        <v>630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1706</v>
      </c>
      <c r="D299" s="11" t="s">
        <v>57</v>
      </c>
      <c r="E299" s="11" t="s">
        <v>26</v>
      </c>
      <c r="F299" s="11" t="s">
        <v>1707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1727</v>
      </c>
      <c r="D300" s="15" t="s">
        <v>59</v>
      </c>
      <c r="E300" s="11" t="s">
        <v>26</v>
      </c>
      <c r="F300" s="11" t="s">
        <v>1728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1662</v>
      </c>
      <c r="D301" s="15" t="s">
        <v>45</v>
      </c>
      <c r="E301" s="11" t="s">
        <v>26</v>
      </c>
      <c r="F301" s="11" t="s">
        <v>1663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543</v>
      </c>
      <c r="D302" s="15" t="s">
        <v>45</v>
      </c>
      <c r="E302" s="11" t="s">
        <v>60</v>
      </c>
      <c r="F302" s="11" t="s">
        <v>544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860</v>
      </c>
      <c r="D303" s="15" t="s">
        <v>78</v>
      </c>
      <c r="E303" s="11" t="s">
        <v>26</v>
      </c>
      <c r="F303" s="11" t="s">
        <v>861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521</v>
      </c>
      <c r="D304" s="11" t="s">
        <v>57</v>
      </c>
      <c r="E304" s="11" t="s">
        <v>60</v>
      </c>
      <c r="F304" s="11" t="s">
        <v>522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1161</v>
      </c>
      <c r="D305" s="15" t="s">
        <v>78</v>
      </c>
      <c r="E305" s="11" t="s">
        <v>26</v>
      </c>
      <c r="F305" s="11" t="s">
        <v>1162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1695</v>
      </c>
      <c r="D306" s="11" t="s">
        <v>57</v>
      </c>
      <c r="E306" s="11" t="s">
        <v>60</v>
      </c>
      <c r="F306" s="11" t="s">
        <v>1696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841</v>
      </c>
      <c r="D307" s="15" t="s">
        <v>59</v>
      </c>
      <c r="E307" s="11" t="s">
        <v>26</v>
      </c>
      <c r="F307" s="11" t="s">
        <v>842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1209</v>
      </c>
      <c r="D308" s="11" t="s">
        <v>57</v>
      </c>
      <c r="E308" s="11" t="s">
        <v>60</v>
      </c>
      <c r="F308" s="11" t="s">
        <v>1210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908</v>
      </c>
      <c r="D309" s="15" t="s">
        <v>59</v>
      </c>
      <c r="E309" s="11" t="s">
        <v>26</v>
      </c>
      <c r="F309" s="11" t="s">
        <v>909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1262</v>
      </c>
      <c r="D310" s="15" t="s">
        <v>59</v>
      </c>
      <c r="E310" s="11" t="s">
        <v>60</v>
      </c>
      <c r="F310" s="11" t="s">
        <v>1263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182</v>
      </c>
      <c r="D311" s="15" t="s">
        <v>59</v>
      </c>
      <c r="E311" s="11" t="s">
        <v>26</v>
      </c>
      <c r="F311" s="11" t="s">
        <v>183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402</v>
      </c>
      <c r="D312" s="15" t="s">
        <v>59</v>
      </c>
      <c r="E312" s="11" t="s">
        <v>60</v>
      </c>
      <c r="F312" s="11" t="s">
        <v>403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726</v>
      </c>
      <c r="D313" s="15" t="s">
        <v>78</v>
      </c>
      <c r="E313" s="11" t="s">
        <v>60</v>
      </c>
      <c r="F313" s="11" t="s">
        <v>728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1541</v>
      </c>
      <c r="D314" s="11" t="s">
        <v>93</v>
      </c>
      <c r="E314" s="11" t="s">
        <v>60</v>
      </c>
      <c r="F314" s="11" t="s">
        <v>1542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1078</v>
      </c>
      <c r="D315" s="11" t="s">
        <v>57</v>
      </c>
      <c r="E315" s="11" t="s">
        <v>26</v>
      </c>
      <c r="F315" s="11" t="s">
        <v>1079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962</v>
      </c>
      <c r="D316" s="15" t="s">
        <v>45</v>
      </c>
      <c r="E316" s="11" t="s">
        <v>26</v>
      </c>
      <c r="F316" s="11" t="s">
        <v>964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625</v>
      </c>
      <c r="D317" s="15" t="s">
        <v>78</v>
      </c>
      <c r="E317" s="11" t="s">
        <v>26</v>
      </c>
      <c r="F317" s="11" t="s">
        <v>626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761</v>
      </c>
      <c r="D318" s="11" t="s">
        <v>57</v>
      </c>
      <c r="E318" s="11" t="s">
        <v>26</v>
      </c>
      <c r="F318" s="11" t="s">
        <v>762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814</v>
      </c>
      <c r="D319" s="11" t="s">
        <v>57</v>
      </c>
      <c r="E319" s="11" t="s">
        <v>26</v>
      </c>
      <c r="F319" s="11" t="s">
        <v>815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635</v>
      </c>
      <c r="D320" s="11" t="s">
        <v>57</v>
      </c>
      <c r="E320" s="11" t="s">
        <v>26</v>
      </c>
      <c r="F320" s="11" t="s">
        <v>636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180</v>
      </c>
      <c r="D321" s="15" t="s">
        <v>59</v>
      </c>
      <c r="E321" s="11" t="s">
        <v>26</v>
      </c>
      <c r="F321" s="11" t="s">
        <v>181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1288</v>
      </c>
      <c r="D322" s="15" t="s">
        <v>78</v>
      </c>
      <c r="E322" s="11" t="s">
        <v>26</v>
      </c>
      <c r="F322" s="11" t="s">
        <v>1289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830</v>
      </c>
      <c r="D323" s="15" t="s">
        <v>78</v>
      </c>
      <c r="E323" s="11" t="s">
        <v>60</v>
      </c>
      <c r="F323" s="11" t="s">
        <v>831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666</v>
      </c>
      <c r="D324" s="11" t="s">
        <v>57</v>
      </c>
      <c r="E324" s="11" t="s">
        <v>26</v>
      </c>
      <c r="F324" s="11" t="s">
        <v>667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1422</v>
      </c>
      <c r="D325" s="15" t="s">
        <v>59</v>
      </c>
      <c r="E325" s="11" t="s">
        <v>26</v>
      </c>
      <c r="F325" s="11" t="s">
        <v>1423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724</v>
      </c>
      <c r="D326" s="15" t="s">
        <v>78</v>
      </c>
      <c r="E326" s="11" t="s">
        <v>26</v>
      </c>
      <c r="F326" s="11" t="s">
        <v>725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1009</v>
      </c>
      <c r="D327" s="15" t="s">
        <v>57</v>
      </c>
      <c r="E327" s="11" t="s">
        <v>26</v>
      </c>
      <c r="F327" s="11" t="s">
        <v>1010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608</v>
      </c>
      <c r="D328" s="15" t="s">
        <v>45</v>
      </c>
      <c r="E328" s="11" t="s">
        <v>60</v>
      </c>
      <c r="F328" s="11" t="s">
        <v>609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392</v>
      </c>
      <c r="D329" s="15" t="s">
        <v>45</v>
      </c>
      <c r="E329" s="11" t="s">
        <v>26</v>
      </c>
      <c r="F329" s="11" t="s">
        <v>393</v>
      </c>
      <c r="G329" s="12">
        <v>1868</v>
      </c>
      <c r="H329" s="12"/>
      <c r="I329" s="12"/>
      <c r="J329" s="12">
        <v>1864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1864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445</v>
      </c>
      <c r="D330" s="15" t="s">
        <v>78</v>
      </c>
      <c r="E330" s="11" t="s">
        <v>60</v>
      </c>
      <c r="F330" s="11" t="s">
        <v>446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1501</v>
      </c>
      <c r="D331" s="15" t="s">
        <v>78</v>
      </c>
      <c r="E331" s="11" t="s">
        <v>26</v>
      </c>
      <c r="F331" s="11" t="s">
        <v>1502</v>
      </c>
      <c r="G331" s="12">
        <v>1869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503</v>
      </c>
      <c r="D332" s="15" t="s">
        <v>45</v>
      </c>
      <c r="E332" s="11" t="s">
        <v>60</v>
      </c>
      <c r="F332" s="11" t="s">
        <v>504</v>
      </c>
      <c r="G332" s="12">
        <v>1869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962</v>
      </c>
      <c r="D333" s="11" t="s">
        <v>57</v>
      </c>
      <c r="E333" s="11" t="s">
        <v>26</v>
      </c>
      <c r="F333" s="11" t="s">
        <v>965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1282</v>
      </c>
      <c r="D334" s="15" t="s">
        <v>78</v>
      </c>
      <c r="E334" s="11" t="s">
        <v>60</v>
      </c>
      <c r="F334" s="11" t="s">
        <v>1283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IF($T335="","",1+COUNTIF($W$15:$W$879,"&lt;"&amp;W335))</f>
        <v/>
      </c>
      <c r="B335" s="11" t="s">
        <v>6</v>
      </c>
      <c r="C335" s="11" t="s">
        <v>438</v>
      </c>
      <c r="D335" s="15" t="s">
        <v>59</v>
      </c>
      <c r="E335" s="11" t="s">
        <v>60</v>
      </c>
      <c r="F335" s="11" t="s">
        <v>439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753</v>
      </c>
      <c r="D336" s="11" t="s">
        <v>57</v>
      </c>
      <c r="E336" s="11" t="s">
        <v>60</v>
      </c>
      <c r="F336" s="11" t="s">
        <v>754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617</v>
      </c>
      <c r="D337" s="15" t="s">
        <v>57</v>
      </c>
      <c r="E337" s="11" t="s">
        <v>60</v>
      </c>
      <c r="F337" s="11" t="s">
        <v>618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1717</v>
      </c>
      <c r="D338" s="15" t="s">
        <v>45</v>
      </c>
      <c r="E338" s="11" t="s">
        <v>60</v>
      </c>
      <c r="F338" s="11" t="s">
        <v>1718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519</v>
      </c>
      <c r="D339" s="15" t="s">
        <v>78</v>
      </c>
      <c r="E339" s="11" t="s">
        <v>60</v>
      </c>
      <c r="F339" s="11" t="s">
        <v>520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1326</v>
      </c>
      <c r="D340" s="11" t="s">
        <v>57</v>
      </c>
      <c r="E340" s="11" t="s">
        <v>60</v>
      </c>
      <c r="F340" s="11" t="s">
        <v>1327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761</v>
      </c>
      <c r="D341" s="15" t="s">
        <v>45</v>
      </c>
      <c r="E341" s="11" t="s">
        <v>60</v>
      </c>
      <c r="F341" s="11" t="s">
        <v>763</v>
      </c>
      <c r="G341" s="12">
        <v>1875</v>
      </c>
      <c r="H341" s="12"/>
      <c r="I341" s="12"/>
      <c r="J341" s="12">
        <v>1865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1865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1519</v>
      </c>
      <c r="D342" s="15" t="s">
        <v>45</v>
      </c>
      <c r="E342" s="11" t="s">
        <v>60</v>
      </c>
      <c r="F342" s="11" t="s">
        <v>1520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1420</v>
      </c>
      <c r="D343" s="11" t="s">
        <v>57</v>
      </c>
      <c r="E343" s="11" t="s">
        <v>60</v>
      </c>
      <c r="F343" s="11" t="s">
        <v>1421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743</v>
      </c>
      <c r="D344" s="11" t="s">
        <v>57</v>
      </c>
      <c r="E344" s="11" t="s">
        <v>60</v>
      </c>
      <c r="F344" s="11" t="s">
        <v>744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1165</v>
      </c>
      <c r="D345" s="15" t="s">
        <v>45</v>
      </c>
      <c r="E345" s="11" t="s">
        <v>26</v>
      </c>
      <c r="F345" s="11" t="s">
        <v>1166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1603</v>
      </c>
      <c r="D346" s="15" t="s">
        <v>59</v>
      </c>
      <c r="E346" s="11" t="s">
        <v>60</v>
      </c>
      <c r="F346" s="11" t="s">
        <v>1604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1100</v>
      </c>
      <c r="D347" s="11" t="s">
        <v>57</v>
      </c>
      <c r="E347" s="11" t="s">
        <v>26</v>
      </c>
      <c r="F347" s="11" t="s">
        <v>1101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857</v>
      </c>
      <c r="D348" s="15" t="s">
        <v>45</v>
      </c>
      <c r="E348" s="11" t="s">
        <v>60</v>
      </c>
      <c r="F348" s="11" t="s">
        <v>858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1607</v>
      </c>
      <c r="D349" s="11" t="s">
        <v>57</v>
      </c>
      <c r="E349" s="11" t="s">
        <v>26</v>
      </c>
      <c r="F349" s="11" t="s">
        <v>1608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1294</v>
      </c>
      <c r="D350" s="11" t="s">
        <v>69</v>
      </c>
      <c r="E350" s="11" t="s">
        <v>26</v>
      </c>
      <c r="F350" s="11" t="s">
        <v>1295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1065</v>
      </c>
      <c r="D351" s="15" t="s">
        <v>59</v>
      </c>
      <c r="E351" s="11" t="s">
        <v>60</v>
      </c>
      <c r="F351" s="11" t="s">
        <v>1066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1373</v>
      </c>
      <c r="D352" s="15" t="s">
        <v>45</v>
      </c>
      <c r="E352" s="11" t="s">
        <v>60</v>
      </c>
      <c r="F352" s="11" t="s">
        <v>1374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936</v>
      </c>
      <c r="D353" s="15" t="s">
        <v>45</v>
      </c>
      <c r="E353" s="11" t="s">
        <v>60</v>
      </c>
      <c r="F353" s="11" t="s">
        <v>937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1001</v>
      </c>
      <c r="D354" s="15" t="s">
        <v>45</v>
      </c>
      <c r="E354" s="11" t="s">
        <v>26</v>
      </c>
      <c r="F354" s="11" t="s">
        <v>1002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1646</v>
      </c>
      <c r="D355" s="11" t="s">
        <v>57</v>
      </c>
      <c r="E355" s="11" t="s">
        <v>26</v>
      </c>
      <c r="F355" s="11" t="s">
        <v>1647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1426</v>
      </c>
      <c r="D356" s="15" t="s">
        <v>45</v>
      </c>
      <c r="E356" s="11" t="s">
        <v>26</v>
      </c>
      <c r="F356" s="11" t="s">
        <v>1427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855</v>
      </c>
      <c r="D357" s="15" t="s">
        <v>78</v>
      </c>
      <c r="E357" s="11" t="s">
        <v>26</v>
      </c>
      <c r="F357" s="11" t="s">
        <v>856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1310</v>
      </c>
      <c r="D358" s="15" t="s">
        <v>59</v>
      </c>
      <c r="E358" s="11" t="s">
        <v>26</v>
      </c>
      <c r="F358" s="11" t="s">
        <v>1311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598</v>
      </c>
      <c r="D359" s="15" t="s">
        <v>45</v>
      </c>
      <c r="E359" s="11" t="s">
        <v>60</v>
      </c>
      <c r="F359" s="11" t="s">
        <v>599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1673</v>
      </c>
      <c r="D360" s="15" t="s">
        <v>45</v>
      </c>
      <c r="E360" s="11" t="s">
        <v>26</v>
      </c>
      <c r="F360" s="11" t="s">
        <v>1674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900</v>
      </c>
      <c r="D361" s="11" t="s">
        <v>57</v>
      </c>
      <c r="E361" s="11" t="s">
        <v>26</v>
      </c>
      <c r="F361" s="11" t="s">
        <v>901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1725</v>
      </c>
      <c r="D362" s="15" t="s">
        <v>45</v>
      </c>
      <c r="E362" s="11" t="s">
        <v>26</v>
      </c>
      <c r="F362" s="11" t="s">
        <v>1726</v>
      </c>
      <c r="G362" s="12">
        <v>1890</v>
      </c>
      <c r="H362" s="12"/>
      <c r="I362" s="12"/>
      <c r="J362" s="12">
        <v>1870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1870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784</v>
      </c>
      <c r="D363" s="15" t="s">
        <v>45</v>
      </c>
      <c r="E363" s="11" t="s">
        <v>60</v>
      </c>
      <c r="F363" s="11" t="s">
        <v>785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1579</v>
      </c>
      <c r="D364" s="15" t="s">
        <v>45</v>
      </c>
      <c r="E364" s="11" t="s">
        <v>26</v>
      </c>
      <c r="F364" s="11" t="s">
        <v>1580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490</v>
      </c>
      <c r="D365" s="15" t="s">
        <v>78</v>
      </c>
      <c r="E365" s="11" t="s">
        <v>26</v>
      </c>
      <c r="F365" s="11" t="s">
        <v>491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1513</v>
      </c>
      <c r="D366" s="15" t="s">
        <v>45</v>
      </c>
      <c r="E366" s="11" t="s">
        <v>26</v>
      </c>
      <c r="F366" s="11" t="s">
        <v>1514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1250</v>
      </c>
      <c r="D367" s="11" t="s">
        <v>57</v>
      </c>
      <c r="E367" s="11" t="s">
        <v>60</v>
      </c>
      <c r="F367" s="11" t="s">
        <v>1251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374</v>
      </c>
      <c r="D368" s="15" t="s">
        <v>59</v>
      </c>
      <c r="E368" s="11" t="s">
        <v>60</v>
      </c>
      <c r="F368" s="11" t="s">
        <v>375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298</v>
      </c>
      <c r="D369" s="15" t="s">
        <v>57</v>
      </c>
      <c r="E369" s="11" t="s">
        <v>26</v>
      </c>
      <c r="F369" s="11" t="s">
        <v>299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1252</v>
      </c>
      <c r="D370" s="15" t="s">
        <v>45</v>
      </c>
      <c r="E370" s="11" t="s">
        <v>60</v>
      </c>
      <c r="F370" s="11" t="s">
        <v>1253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1011</v>
      </c>
      <c r="D371" s="11" t="s">
        <v>57</v>
      </c>
      <c r="E371" s="11" t="s">
        <v>26</v>
      </c>
      <c r="F371" s="11" t="s">
        <v>1012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1030</v>
      </c>
      <c r="D372" s="11" t="s">
        <v>57</v>
      </c>
      <c r="E372" s="11" t="s">
        <v>60</v>
      </c>
      <c r="F372" s="11" t="s">
        <v>1032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757</v>
      </c>
      <c r="D373" s="15" t="s">
        <v>45</v>
      </c>
      <c r="E373" s="11" t="s">
        <v>60</v>
      </c>
      <c r="F373" s="11" t="s">
        <v>758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415</v>
      </c>
      <c r="D374" s="11" t="s">
        <v>57</v>
      </c>
      <c r="E374" s="11" t="s">
        <v>60</v>
      </c>
      <c r="F374" s="11" t="s">
        <v>417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1340</v>
      </c>
      <c r="D375" s="15" t="s">
        <v>45</v>
      </c>
      <c r="E375" s="11" t="s">
        <v>60</v>
      </c>
      <c r="F375" s="11" t="s">
        <v>1341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1248</v>
      </c>
      <c r="D376" s="11" t="s">
        <v>57</v>
      </c>
      <c r="E376" s="11" t="s">
        <v>26</v>
      </c>
      <c r="F376" s="11" t="s">
        <v>1249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1005</v>
      </c>
      <c r="D377" s="15" t="s">
        <v>59</v>
      </c>
      <c r="E377" s="11" t="s">
        <v>60</v>
      </c>
      <c r="F377" s="11" t="s">
        <v>1006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849</v>
      </c>
      <c r="D378" s="15" t="s">
        <v>45</v>
      </c>
      <c r="E378" s="11" t="s">
        <v>60</v>
      </c>
      <c r="F378" s="11" t="s">
        <v>850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178</v>
      </c>
      <c r="D379" s="15" t="s">
        <v>57</v>
      </c>
      <c r="E379" s="11" t="s">
        <v>60</v>
      </c>
      <c r="F379" s="11" t="s">
        <v>179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478</v>
      </c>
      <c r="D380" s="15" t="s">
        <v>45</v>
      </c>
      <c r="E380" s="11" t="s">
        <v>60</v>
      </c>
      <c r="F380" s="11" t="s">
        <v>479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866</v>
      </c>
      <c r="D381" s="15" t="s">
        <v>57</v>
      </c>
      <c r="E381" s="11" t="s">
        <v>60</v>
      </c>
      <c r="F381" s="11" t="s">
        <v>867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799</v>
      </c>
      <c r="D382" s="15" t="s">
        <v>57</v>
      </c>
      <c r="E382" s="11" t="s">
        <v>26</v>
      </c>
      <c r="F382" s="11" t="s">
        <v>800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1173</v>
      </c>
      <c r="D383" s="15" t="s">
        <v>59</v>
      </c>
      <c r="E383" s="11" t="s">
        <v>60</v>
      </c>
      <c r="F383" s="11" t="s">
        <v>1174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830</v>
      </c>
      <c r="D384" s="15" t="s">
        <v>45</v>
      </c>
      <c r="E384" s="11" t="s">
        <v>60</v>
      </c>
      <c r="F384" s="11" t="s">
        <v>832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432</v>
      </c>
      <c r="D385" s="15" t="s">
        <v>78</v>
      </c>
      <c r="E385" s="11" t="s">
        <v>26</v>
      </c>
      <c r="F385" s="11" t="s">
        <v>433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499</v>
      </c>
      <c r="D386" s="15" t="s">
        <v>59</v>
      </c>
      <c r="E386" s="11" t="s">
        <v>26</v>
      </c>
      <c r="F386" s="11" t="s">
        <v>500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1700</v>
      </c>
      <c r="D387" s="11" t="s">
        <v>57</v>
      </c>
      <c r="E387" s="11" t="s">
        <v>26</v>
      </c>
      <c r="F387" s="11" t="s">
        <v>1701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1523</v>
      </c>
      <c r="D388" s="15" t="s">
        <v>78</v>
      </c>
      <c r="E388" s="11" t="s">
        <v>26</v>
      </c>
      <c r="F388" s="11" t="s">
        <v>1524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422</v>
      </c>
      <c r="D389" s="15" t="s">
        <v>45</v>
      </c>
      <c r="E389" s="11" t="s">
        <v>60</v>
      </c>
      <c r="F389" s="11" t="s">
        <v>424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62</v>
      </c>
      <c r="D390" s="15" t="s">
        <v>59</v>
      </c>
      <c r="E390" s="11" t="s">
        <v>60</v>
      </c>
      <c r="F390" s="11" t="s">
        <v>63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274</v>
      </c>
      <c r="D391" s="15" t="s">
        <v>45</v>
      </c>
      <c r="E391" s="11" t="s">
        <v>26</v>
      </c>
      <c r="F391" s="11" t="s">
        <v>275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490</v>
      </c>
      <c r="D392" s="11" t="s">
        <v>57</v>
      </c>
      <c r="E392" s="11" t="s">
        <v>26</v>
      </c>
      <c r="F392" s="11" t="s">
        <v>492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1710</v>
      </c>
      <c r="D393" s="11" t="s">
        <v>57</v>
      </c>
      <c r="E393" s="11" t="s">
        <v>60</v>
      </c>
      <c r="F393" s="11" t="s">
        <v>1711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797</v>
      </c>
      <c r="D394" s="15" t="s">
        <v>57</v>
      </c>
      <c r="E394" s="11" t="s">
        <v>60</v>
      </c>
      <c r="F394" s="11" t="s">
        <v>798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766</v>
      </c>
      <c r="D395" s="15" t="s">
        <v>45</v>
      </c>
      <c r="E395" s="11" t="s">
        <v>26</v>
      </c>
      <c r="F395" s="11" t="s">
        <v>767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1539</v>
      </c>
      <c r="D396" s="15" t="s">
        <v>45</v>
      </c>
      <c r="E396" s="11" t="s">
        <v>60</v>
      </c>
      <c r="F396" s="11" t="s">
        <v>1540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1605</v>
      </c>
      <c r="D397" s="15" t="s">
        <v>45</v>
      </c>
      <c r="E397" s="11" t="s">
        <v>60</v>
      </c>
      <c r="F397" s="11" t="s">
        <v>1606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653</v>
      </c>
      <c r="D398" s="15" t="s">
        <v>78</v>
      </c>
      <c r="E398" s="11" t="s">
        <v>60</v>
      </c>
      <c r="F398" s="11" t="s">
        <v>654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IF($T399="","",1+COUNTIF($W$15:$W$879,"&lt;"&amp;W399))</f>
        <v/>
      </c>
      <c r="B399" s="11" t="s">
        <v>14</v>
      </c>
      <c r="C399" s="11" t="s">
        <v>938</v>
      </c>
      <c r="D399" s="11" t="s">
        <v>57</v>
      </c>
      <c r="E399" s="11" t="s">
        <v>60</v>
      </c>
      <c r="F399" s="11" t="s">
        <v>939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980</v>
      </c>
      <c r="D400" s="15" t="s">
        <v>45</v>
      </c>
      <c r="E400" s="11" t="s">
        <v>26</v>
      </c>
      <c r="F400" s="11" t="s">
        <v>981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1049</v>
      </c>
      <c r="D401" s="11" t="s">
        <v>57</v>
      </c>
      <c r="E401" s="11" t="s">
        <v>60</v>
      </c>
      <c r="F401" s="11" t="s">
        <v>1050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1367</v>
      </c>
      <c r="D402" s="11" t="s">
        <v>57</v>
      </c>
      <c r="E402" s="11" t="s">
        <v>60</v>
      </c>
      <c r="F402" s="11" t="s">
        <v>1368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152</v>
      </c>
      <c r="D403" s="15" t="s">
        <v>57</v>
      </c>
      <c r="E403" s="11" t="s">
        <v>26</v>
      </c>
      <c r="F403" s="11" t="s">
        <v>153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426</v>
      </c>
      <c r="D404" s="15" t="s">
        <v>45</v>
      </c>
      <c r="E404" s="11" t="s">
        <v>60</v>
      </c>
      <c r="F404" s="11" t="s">
        <v>427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853</v>
      </c>
      <c r="D405" s="15" t="s">
        <v>78</v>
      </c>
      <c r="E405" s="11" t="s">
        <v>26</v>
      </c>
      <c r="F405" s="11" t="s">
        <v>854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1555</v>
      </c>
      <c r="D406" s="15" t="s">
        <v>57</v>
      </c>
      <c r="E406" s="11" t="s">
        <v>26</v>
      </c>
      <c r="F406" s="11" t="s">
        <v>1556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914</v>
      </c>
      <c r="D407" s="15" t="s">
        <v>45</v>
      </c>
      <c r="E407" s="11" t="s">
        <v>26</v>
      </c>
      <c r="F407" s="11" t="s">
        <v>915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1175</v>
      </c>
      <c r="D408" s="11" t="s">
        <v>57</v>
      </c>
      <c r="E408" s="11" t="s">
        <v>60</v>
      </c>
      <c r="F408" s="11" t="s">
        <v>1176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1177</v>
      </c>
      <c r="D409" s="15" t="s">
        <v>78</v>
      </c>
      <c r="E409" s="11" t="s">
        <v>60</v>
      </c>
      <c r="F409" s="11" t="s">
        <v>1178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1047</v>
      </c>
      <c r="D410" s="15" t="s">
        <v>78</v>
      </c>
      <c r="E410" s="11" t="s">
        <v>26</v>
      </c>
      <c r="F410" s="11" t="s">
        <v>1048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1121</v>
      </c>
      <c r="D411" s="11" t="s">
        <v>57</v>
      </c>
      <c r="E411" s="11" t="s">
        <v>60</v>
      </c>
      <c r="F411" s="11" t="s">
        <v>1122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1098</v>
      </c>
      <c r="D412" s="15" t="s">
        <v>59</v>
      </c>
      <c r="E412" s="11" t="s">
        <v>60</v>
      </c>
      <c r="F412" s="11" t="s">
        <v>1099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788</v>
      </c>
      <c r="D413" s="11" t="s">
        <v>57</v>
      </c>
      <c r="E413" s="11" t="s">
        <v>60</v>
      </c>
      <c r="F413" s="11" t="s">
        <v>789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799</v>
      </c>
      <c r="D414" s="15" t="s">
        <v>59</v>
      </c>
      <c r="E414" s="11" t="s">
        <v>60</v>
      </c>
      <c r="F414" s="11" t="s">
        <v>801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984</v>
      </c>
      <c r="D415" s="15" t="s">
        <v>45</v>
      </c>
      <c r="E415" s="11" t="s">
        <v>60</v>
      </c>
      <c r="F415" s="11" t="s">
        <v>985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561</v>
      </c>
      <c r="D416" s="15" t="s">
        <v>59</v>
      </c>
      <c r="E416" s="11" t="s">
        <v>60</v>
      </c>
      <c r="F416" s="11" t="s">
        <v>562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747</v>
      </c>
      <c r="D417" s="15" t="s">
        <v>45</v>
      </c>
      <c r="E417" s="11" t="s">
        <v>60</v>
      </c>
      <c r="F417" s="11" t="s">
        <v>748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588</v>
      </c>
      <c r="D418" s="15" t="s">
        <v>45</v>
      </c>
      <c r="E418" s="11" t="s">
        <v>60</v>
      </c>
      <c r="F418" s="11" t="s">
        <v>589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1217</v>
      </c>
      <c r="D419" s="11" t="s">
        <v>57</v>
      </c>
      <c r="E419" s="11" t="s">
        <v>60</v>
      </c>
      <c r="F419" s="11" t="s">
        <v>1218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1595</v>
      </c>
      <c r="D420" s="15" t="s">
        <v>78</v>
      </c>
      <c r="E420" s="11" t="s">
        <v>60</v>
      </c>
      <c r="F420" s="11" t="s">
        <v>1596</v>
      </c>
      <c r="G420" s="12">
        <v>1939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1021</v>
      </c>
      <c r="D421" s="15" t="s">
        <v>59</v>
      </c>
      <c r="E421" s="11" t="s">
        <v>60</v>
      </c>
      <c r="F421" s="11" t="s">
        <v>1022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1111</v>
      </c>
      <c r="D422" s="15" t="s">
        <v>59</v>
      </c>
      <c r="E422" s="11" t="s">
        <v>60</v>
      </c>
      <c r="F422" s="11" t="s">
        <v>1112</v>
      </c>
      <c r="G422" s="12">
        <v>1945</v>
      </c>
      <c r="H422" s="12"/>
      <c r="I422" s="12"/>
      <c r="J422" s="12">
        <v>1895</v>
      </c>
      <c r="K422" s="12">
        <f t="shared" si="79"/>
        <v>0</v>
      </c>
      <c r="L422" s="12">
        <f t="shared" si="80"/>
        <v>1945</v>
      </c>
      <c r="M422" s="12" t="str">
        <f t="shared" si="81"/>
        <v/>
      </c>
      <c r="N422" s="12">
        <f t="shared" si="82"/>
        <v>1895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6</v>
      </c>
      <c r="C423" s="11" t="s">
        <v>857</v>
      </c>
      <c r="D423" s="11" t="s">
        <v>57</v>
      </c>
      <c r="E423" s="11" t="s">
        <v>26</v>
      </c>
      <c r="F423" s="11" t="s">
        <v>859</v>
      </c>
      <c r="G423" s="12">
        <v>1948</v>
      </c>
      <c r="H423" s="12"/>
      <c r="I423" s="12"/>
      <c r="J423" s="12">
        <v>1939</v>
      </c>
      <c r="K423" s="12">
        <f t="shared" si="79"/>
        <v>0</v>
      </c>
      <c r="L423" s="12">
        <f t="shared" si="80"/>
        <v>1948</v>
      </c>
      <c r="M423" s="12" t="str">
        <f t="shared" si="81"/>
        <v/>
      </c>
      <c r="N423" s="12">
        <f t="shared" si="82"/>
        <v>1939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264</v>
      </c>
      <c r="D424" s="15" t="s">
        <v>78</v>
      </c>
      <c r="E424" s="11" t="s">
        <v>60</v>
      </c>
      <c r="F424" s="11" t="s">
        <v>265</v>
      </c>
      <c r="G424" s="12">
        <v>1948</v>
      </c>
      <c r="H424" s="12"/>
      <c r="I424" s="12"/>
      <c r="J424" s="12">
        <v>1948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1948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398</v>
      </c>
      <c r="D425" s="15" t="s">
        <v>45</v>
      </c>
      <c r="E425" s="11" t="s">
        <v>60</v>
      </c>
      <c r="F425" s="11" t="s">
        <v>399</v>
      </c>
      <c r="G425" s="12">
        <v>1949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768</v>
      </c>
      <c r="D426" s="15" t="s">
        <v>59</v>
      </c>
      <c r="E426" s="11" t="s">
        <v>60</v>
      </c>
      <c r="F426" s="11" t="s">
        <v>769</v>
      </c>
      <c r="G426" s="12">
        <v>1950</v>
      </c>
      <c r="H426" s="12"/>
      <c r="I426" s="12"/>
      <c r="J426" s="12">
        <v>1920</v>
      </c>
      <c r="K426" s="12">
        <f t="shared" si="79"/>
        <v>0</v>
      </c>
      <c r="L426" s="12">
        <f t="shared" si="80"/>
        <v>1950</v>
      </c>
      <c r="M426" s="12" t="str">
        <f t="shared" si="81"/>
        <v/>
      </c>
      <c r="N426" s="12">
        <f t="shared" si="82"/>
        <v>1920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1481</v>
      </c>
      <c r="D427" s="15" t="s">
        <v>78</v>
      </c>
      <c r="E427" s="11" t="s">
        <v>60</v>
      </c>
      <c r="F427" s="11" t="s">
        <v>1482</v>
      </c>
      <c r="G427" s="12">
        <v>1958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1958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1697</v>
      </c>
      <c r="D428" s="15" t="s">
        <v>59</v>
      </c>
      <c r="E428" s="11" t="s">
        <v>60</v>
      </c>
      <c r="F428" s="11" t="s">
        <v>1699</v>
      </c>
      <c r="G428" s="12">
        <v>1960</v>
      </c>
      <c r="H428" s="12"/>
      <c r="I428" s="12"/>
      <c r="J428" s="12">
        <v>1950</v>
      </c>
      <c r="K428" s="12">
        <f t="shared" si="79"/>
        <v>0</v>
      </c>
      <c r="L428" s="12">
        <f t="shared" si="80"/>
        <v>1960</v>
      </c>
      <c r="M428" s="12" t="str">
        <f t="shared" si="81"/>
        <v/>
      </c>
      <c r="N428" s="12">
        <f t="shared" si="82"/>
        <v>1950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561</v>
      </c>
      <c r="D429" s="15" t="s">
        <v>78</v>
      </c>
      <c r="E429" s="11" t="s">
        <v>60</v>
      </c>
      <c r="F429" s="11" t="s">
        <v>563</v>
      </c>
      <c r="G429" s="12">
        <v>1969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1969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12</v>
      </c>
      <c r="C430" s="11" t="s">
        <v>940</v>
      </c>
      <c r="D430" s="15" t="s">
        <v>45</v>
      </c>
      <c r="E430" s="11" t="s">
        <v>26</v>
      </c>
      <c r="F430" s="11" t="s">
        <v>941</v>
      </c>
      <c r="G430" s="12">
        <v>1788</v>
      </c>
      <c r="H430" s="12"/>
      <c r="I430" s="12"/>
      <c r="J430" s="12">
        <v>1839</v>
      </c>
      <c r="K430" s="12">
        <f t="shared" si="79"/>
        <v>0</v>
      </c>
      <c r="L430" s="12">
        <f t="shared" si="80"/>
        <v>1788</v>
      </c>
      <c r="M430" s="12" t="str">
        <f t="shared" si="81"/>
        <v/>
      </c>
      <c r="N430" s="12">
        <f t="shared" si="82"/>
        <v>1839</v>
      </c>
      <c r="O430" s="12" t="str">
        <f t="shared" si="83"/>
        <v/>
      </c>
      <c r="P430" s="12" t="str">
        <f t="shared" si="84"/>
        <v/>
      </c>
      <c r="Q430" s="12"/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904</v>
      </c>
      <c r="D431" s="11" t="s">
        <v>57</v>
      </c>
      <c r="E431" s="11" t="s">
        <v>26</v>
      </c>
      <c r="F431" s="11" t="s">
        <v>905</v>
      </c>
      <c r="G431" s="12">
        <v>1789</v>
      </c>
      <c r="H431" s="12"/>
      <c r="I431" s="12"/>
      <c r="J431" s="12">
        <v>1798</v>
      </c>
      <c r="K431" s="12">
        <f t="shared" si="79"/>
        <v>0</v>
      </c>
      <c r="L431" s="12">
        <f t="shared" si="80"/>
        <v>1789</v>
      </c>
      <c r="M431" s="12" t="str">
        <f t="shared" si="81"/>
        <v/>
      </c>
      <c r="N431" s="12">
        <f t="shared" si="82"/>
        <v>1798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1003</v>
      </c>
      <c r="D432" s="15" t="s">
        <v>57</v>
      </c>
      <c r="E432" s="11" t="s">
        <v>26</v>
      </c>
      <c r="F432" s="11" t="s">
        <v>1004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1383</v>
      </c>
      <c r="D433" s="15" t="s">
        <v>57</v>
      </c>
      <c r="E433" s="11" t="s">
        <v>26</v>
      </c>
      <c r="F433" s="11" t="s">
        <v>1384</v>
      </c>
      <c r="G433" s="12">
        <v>1789</v>
      </c>
      <c r="H433" s="12"/>
      <c r="I433" s="12"/>
      <c r="J433" s="12">
        <v>1805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1805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1499</v>
      </c>
      <c r="D434" s="15" t="s">
        <v>57</v>
      </c>
      <c r="E434" s="11" t="s">
        <v>26</v>
      </c>
      <c r="F434" s="11" t="s">
        <v>1500</v>
      </c>
      <c r="G434" s="12">
        <v>1789</v>
      </c>
      <c r="H434" s="12"/>
      <c r="I434" s="12"/>
      <c r="J434" s="12">
        <v>1815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1815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1589</v>
      </c>
      <c r="D435" s="15" t="s">
        <v>45</v>
      </c>
      <c r="E435" s="11" t="s">
        <v>26</v>
      </c>
      <c r="F435" s="11" t="s">
        <v>1590</v>
      </c>
      <c r="G435" s="12">
        <v>1792</v>
      </c>
      <c r="H435" s="12"/>
      <c r="I435" s="12"/>
      <c r="J435" s="12">
        <v>1782</v>
      </c>
      <c r="K435" s="12">
        <f t="shared" si="79"/>
        <v>0</v>
      </c>
      <c r="L435" s="12">
        <f t="shared" si="80"/>
        <v>1792</v>
      </c>
      <c r="M435" s="12" t="str">
        <f t="shared" si="81"/>
        <v/>
      </c>
      <c r="N435" s="12">
        <f t="shared" si="82"/>
        <v>1782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73</v>
      </c>
      <c r="D436" s="15" t="s">
        <v>59</v>
      </c>
      <c r="E436" s="11" t="s">
        <v>26</v>
      </c>
      <c r="F436" s="11" t="s">
        <v>74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676</v>
      </c>
      <c r="D437" s="15" t="s">
        <v>57</v>
      </c>
      <c r="E437" s="11" t="s">
        <v>26</v>
      </c>
      <c r="F437" s="11" t="s">
        <v>677</v>
      </c>
      <c r="G437" s="12">
        <v>1794</v>
      </c>
      <c r="H437" s="12"/>
      <c r="I437" s="12"/>
      <c r="J437" s="12">
        <v>1879</v>
      </c>
      <c r="K437" s="12">
        <f t="shared" si="79"/>
        <v>0</v>
      </c>
      <c r="L437" s="12">
        <f t="shared" si="80"/>
        <v>1794</v>
      </c>
      <c r="M437" s="12" t="str">
        <f t="shared" si="81"/>
        <v/>
      </c>
      <c r="N437" s="12">
        <f t="shared" si="82"/>
        <v>1879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559</v>
      </c>
      <c r="D438" s="15" t="s">
        <v>45</v>
      </c>
      <c r="E438" s="11" t="s">
        <v>26</v>
      </c>
      <c r="F438" s="11" t="s">
        <v>560</v>
      </c>
      <c r="G438" s="12">
        <v>1795</v>
      </c>
      <c r="H438" s="12"/>
      <c r="I438" s="12"/>
      <c r="J438" s="12">
        <v>1785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1785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1493</v>
      </c>
      <c r="D439" s="15" t="s">
        <v>45</v>
      </c>
      <c r="E439" s="11" t="s">
        <v>26</v>
      </c>
      <c r="F439" s="11" t="s">
        <v>1494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1495</v>
      </c>
      <c r="D440" s="15" t="s">
        <v>69</v>
      </c>
      <c r="E440" s="11" t="s">
        <v>26</v>
      </c>
      <c r="F440" s="11" t="s">
        <v>1496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1497</v>
      </c>
      <c r="D441" s="15" t="s">
        <v>69</v>
      </c>
      <c r="E441" s="11" t="s">
        <v>26</v>
      </c>
      <c r="F441" s="11" t="s">
        <v>1498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816</v>
      </c>
      <c r="D442" s="15" t="s">
        <v>57</v>
      </c>
      <c r="E442" s="11" t="s">
        <v>60</v>
      </c>
      <c r="F442" s="11" t="s">
        <v>817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659</v>
      </c>
      <c r="D443" s="15" t="s">
        <v>78</v>
      </c>
      <c r="E443" s="11" t="s">
        <v>26</v>
      </c>
      <c r="F443" s="11" t="s">
        <v>660</v>
      </c>
      <c r="G443" s="12">
        <v>1798</v>
      </c>
      <c r="H443" s="12"/>
      <c r="I443" s="12"/>
      <c r="J443" s="12">
        <v>1779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1779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120</v>
      </c>
      <c r="D444" s="15" t="s">
        <v>59</v>
      </c>
      <c r="E444" s="11" t="s">
        <v>60</v>
      </c>
      <c r="F444" s="11" t="s">
        <v>121</v>
      </c>
      <c r="G444" s="12">
        <v>1998</v>
      </c>
      <c r="H444" s="12"/>
      <c r="I444" s="12"/>
      <c r="J444" s="12">
        <v>1998</v>
      </c>
      <c r="K444" s="12">
        <f t="shared" si="79"/>
        <v>0</v>
      </c>
      <c r="L444" s="12">
        <f t="shared" si="80"/>
        <v>1998</v>
      </c>
      <c r="M444" s="12" t="str">
        <f t="shared" si="81"/>
        <v/>
      </c>
      <c r="N444" s="12">
        <f t="shared" si="82"/>
        <v>1998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529</v>
      </c>
      <c r="D445" s="15" t="s">
        <v>45</v>
      </c>
      <c r="E445" s="11" t="s">
        <v>26</v>
      </c>
      <c r="F445" s="11" t="s">
        <v>530</v>
      </c>
      <c r="G445" s="12">
        <v>1799</v>
      </c>
      <c r="H445" s="12"/>
      <c r="I445" s="12"/>
      <c r="J445" s="12">
        <v>1785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1785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910</v>
      </c>
      <c r="D446" s="15" t="s">
        <v>45</v>
      </c>
      <c r="E446" s="11" t="s">
        <v>26</v>
      </c>
      <c r="F446" s="11" t="s">
        <v>911</v>
      </c>
      <c r="G446" s="12">
        <v>1799</v>
      </c>
      <c r="H446" s="12"/>
      <c r="I446" s="12"/>
      <c r="J446" s="12">
        <v>1794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1794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1587</v>
      </c>
      <c r="D447" s="15" t="s">
        <v>45</v>
      </c>
      <c r="E447" s="11" t="s">
        <v>60</v>
      </c>
      <c r="F447" s="11" t="s">
        <v>1588</v>
      </c>
      <c r="G447" s="12">
        <v>1999</v>
      </c>
      <c r="H447" s="12"/>
      <c r="I447" s="12"/>
      <c r="J447" s="12">
        <v>1989</v>
      </c>
      <c r="K447" s="12">
        <f t="shared" si="79"/>
        <v>0</v>
      </c>
      <c r="L447" s="12">
        <f t="shared" si="80"/>
        <v>1999</v>
      </c>
      <c r="M447" s="12" t="str">
        <f t="shared" si="81"/>
        <v/>
      </c>
      <c r="N447" s="12">
        <f t="shared" si="82"/>
        <v>1989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657</v>
      </c>
      <c r="D448" s="15" t="s">
        <v>78</v>
      </c>
      <c r="E448" s="11" t="s">
        <v>26</v>
      </c>
      <c r="F448" s="11" t="s">
        <v>658</v>
      </c>
      <c r="G448" s="12">
        <v>1804</v>
      </c>
      <c r="H448" s="12"/>
      <c r="I448" s="12"/>
      <c r="J448" s="12">
        <v>1792</v>
      </c>
      <c r="K448" s="12">
        <f t="shared" si="79"/>
        <v>0</v>
      </c>
      <c r="L448" s="12">
        <f t="shared" si="80"/>
        <v>1804</v>
      </c>
      <c r="M448" s="12" t="str">
        <f t="shared" si="81"/>
        <v/>
      </c>
      <c r="N448" s="12">
        <f t="shared" si="82"/>
        <v>1792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6</v>
      </c>
      <c r="C449" s="11" t="s">
        <v>1219</v>
      </c>
      <c r="D449" s="15" t="s">
        <v>78</v>
      </c>
      <c r="E449" s="11" t="s">
        <v>26</v>
      </c>
      <c r="F449" s="11" t="s">
        <v>1220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1286</v>
      </c>
      <c r="D450" s="15" t="s">
        <v>78</v>
      </c>
      <c r="E450" s="11" t="s">
        <v>26</v>
      </c>
      <c r="F450" s="11" t="s">
        <v>1287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972</v>
      </c>
      <c r="D451" s="15" t="s">
        <v>45</v>
      </c>
      <c r="E451" s="11" t="s">
        <v>26</v>
      </c>
      <c r="F451" s="11" t="s">
        <v>973</v>
      </c>
      <c r="G451" s="12">
        <v>1805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1086</v>
      </c>
      <c r="D452" s="11" t="s">
        <v>48</v>
      </c>
      <c r="E452" s="11" t="s">
        <v>26</v>
      </c>
      <c r="F452" s="11" t="s">
        <v>1087</v>
      </c>
      <c r="G452" s="12">
        <v>1805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495</v>
      </c>
      <c r="D453" s="11" t="s">
        <v>57</v>
      </c>
      <c r="E453" s="11" t="s">
        <v>26</v>
      </c>
      <c r="F453" s="11" t="s">
        <v>496</v>
      </c>
      <c r="G453" s="12">
        <v>1806</v>
      </c>
      <c r="H453" s="12"/>
      <c r="I453" s="12"/>
      <c r="J453" s="12">
        <v>1794</v>
      </c>
      <c r="K453" s="12">
        <f t="shared" si="79"/>
        <v>0</v>
      </c>
      <c r="L453" s="12">
        <f t="shared" si="80"/>
        <v>1806</v>
      </c>
      <c r="M453" s="12" t="str">
        <f t="shared" si="81"/>
        <v/>
      </c>
      <c r="N453" s="12">
        <f t="shared" si="82"/>
        <v>1794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627</v>
      </c>
      <c r="D454" s="11" t="s">
        <v>57</v>
      </c>
      <c r="E454" s="11" t="s">
        <v>26</v>
      </c>
      <c r="F454" s="11" t="s">
        <v>628</v>
      </c>
      <c r="G454" s="12">
        <v>1807</v>
      </c>
      <c r="H454" s="12"/>
      <c r="I454" s="12"/>
      <c r="J454" s="12">
        <v>1787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1787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447</v>
      </c>
      <c r="D455" s="15" t="s">
        <v>45</v>
      </c>
      <c r="E455" s="11" t="s">
        <v>26</v>
      </c>
      <c r="F455" s="11" t="s">
        <v>448</v>
      </c>
      <c r="G455" s="12">
        <v>1807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1290</v>
      </c>
      <c r="D456" s="15" t="s">
        <v>45</v>
      </c>
      <c r="E456" s="11" t="s">
        <v>26</v>
      </c>
      <c r="F456" s="11" t="s">
        <v>1291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302</v>
      </c>
      <c r="D457" s="15" t="s">
        <v>45</v>
      </c>
      <c r="E457" s="11" t="s">
        <v>26</v>
      </c>
      <c r="F457" s="11" t="s">
        <v>303</v>
      </c>
      <c r="G457" s="12">
        <v>1808</v>
      </c>
      <c r="H457" s="12"/>
      <c r="I457" s="12"/>
      <c r="J457" s="12">
        <v>1792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1792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336</v>
      </c>
      <c r="D458" s="11" t="s">
        <v>57</v>
      </c>
      <c r="E458" s="11" t="s">
        <v>26</v>
      </c>
      <c r="F458" s="11" t="s">
        <v>337</v>
      </c>
      <c r="G458" s="12">
        <v>1808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912</v>
      </c>
      <c r="D459" s="15" t="s">
        <v>45</v>
      </c>
      <c r="E459" s="11" t="s">
        <v>26</v>
      </c>
      <c r="F459" s="11" t="s">
        <v>913</v>
      </c>
      <c r="G459" s="12">
        <v>1808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6</v>
      </c>
      <c r="C460" s="11" t="s">
        <v>66</v>
      </c>
      <c r="D460" s="11" t="s">
        <v>57</v>
      </c>
      <c r="E460" s="11" t="s">
        <v>26</v>
      </c>
      <c r="F460" s="11" t="s">
        <v>67</v>
      </c>
      <c r="G460" s="12">
        <v>1808</v>
      </c>
      <c r="H460" s="12"/>
      <c r="I460" s="12"/>
      <c r="J460" s="12">
        <v>1797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1143</v>
      </c>
      <c r="D461" s="15" t="s">
        <v>78</v>
      </c>
      <c r="E461" s="11" t="s">
        <v>26</v>
      </c>
      <c r="F461" s="11" t="s">
        <v>1144</v>
      </c>
      <c r="G461" s="12">
        <v>1808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71</v>
      </c>
      <c r="D462" s="15" t="s">
        <v>59</v>
      </c>
      <c r="E462" s="11" t="s">
        <v>26</v>
      </c>
      <c r="F462" s="11" t="s">
        <v>72</v>
      </c>
      <c r="G462" s="12">
        <v>1809</v>
      </c>
      <c r="H462" s="12"/>
      <c r="I462" s="12"/>
      <c r="J462" s="12">
        <v>1779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IF($T463="","",1+COUNTIF($W$15:$W$879,"&lt;"&amp;W463))</f>
        <v/>
      </c>
      <c r="B463" s="11" t="s">
        <v>14</v>
      </c>
      <c r="C463" s="11" t="s">
        <v>621</v>
      </c>
      <c r="D463" s="11" t="s">
        <v>57</v>
      </c>
      <c r="E463" s="11" t="s">
        <v>26</v>
      </c>
      <c r="F463" s="11" t="s">
        <v>622</v>
      </c>
      <c r="G463" s="12">
        <v>1809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14</v>
      </c>
      <c r="C464" s="11" t="s">
        <v>1731</v>
      </c>
      <c r="D464" s="15" t="s">
        <v>45</v>
      </c>
      <c r="E464" s="11" t="s">
        <v>26</v>
      </c>
      <c r="F464" s="11" t="s">
        <v>1732</v>
      </c>
      <c r="G464" s="12">
        <v>1809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114</v>
      </c>
      <c r="D465" s="15" t="s">
        <v>78</v>
      </c>
      <c r="E465" s="11" t="s">
        <v>26</v>
      </c>
      <c r="F465" s="11" t="s">
        <v>115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7" customFormat="1" ht="28.5" customHeight="1">
      <c r="A466" s="11" t="str">
        <f t="shared" si="91"/>
        <v/>
      </c>
      <c r="B466" s="11" t="s">
        <v>6</v>
      </c>
      <c r="C466" s="11" t="s">
        <v>517</v>
      </c>
      <c r="D466" s="15" t="s">
        <v>78</v>
      </c>
      <c r="E466" s="11" t="s">
        <v>26</v>
      </c>
      <c r="F466" s="11" t="s">
        <v>518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968</v>
      </c>
      <c r="D467" s="15" t="s">
        <v>59</v>
      </c>
      <c r="E467" s="11" t="s">
        <v>26</v>
      </c>
      <c r="F467" s="11" t="s">
        <v>969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1207</v>
      </c>
      <c r="D468" s="15" t="s">
        <v>45</v>
      </c>
      <c r="E468" s="11" t="s">
        <v>26</v>
      </c>
      <c r="F468" s="11" t="s">
        <v>1208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90</v>
      </c>
      <c r="D469" s="15" t="s">
        <v>78</v>
      </c>
      <c r="E469" s="11" t="s">
        <v>26</v>
      </c>
      <c r="F469" s="11" t="s">
        <v>91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1505</v>
      </c>
      <c r="D470" s="11" t="s">
        <v>57</v>
      </c>
      <c r="E470" s="11" t="s">
        <v>26</v>
      </c>
      <c r="F470" s="11" t="s">
        <v>1506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1658</v>
      </c>
      <c r="D471" s="15" t="s">
        <v>78</v>
      </c>
      <c r="E471" s="11" t="s">
        <v>26</v>
      </c>
      <c r="F471" s="11" t="s">
        <v>1659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1135</v>
      </c>
      <c r="D472" s="15" t="s">
        <v>59</v>
      </c>
      <c r="E472" s="11" t="s">
        <v>26</v>
      </c>
      <c r="F472" s="11" t="s">
        <v>1136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1233</v>
      </c>
      <c r="D473" s="11" t="s">
        <v>57</v>
      </c>
      <c r="E473" s="11" t="s">
        <v>26</v>
      </c>
      <c r="F473" s="11" t="s">
        <v>1234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86</v>
      </c>
      <c r="D474" s="15" t="s">
        <v>78</v>
      </c>
      <c r="E474" s="11" t="s">
        <v>60</v>
      </c>
      <c r="F474" s="11" t="s">
        <v>87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698</v>
      </c>
      <c r="D475" s="15" t="s">
        <v>45</v>
      </c>
      <c r="E475" s="11" t="s">
        <v>26</v>
      </c>
      <c r="F475" s="11" t="s">
        <v>699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700</v>
      </c>
      <c r="D476" s="15" t="s">
        <v>45</v>
      </c>
      <c r="E476" s="11" t="s">
        <v>26</v>
      </c>
      <c r="F476" s="11" t="s">
        <v>701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1559</v>
      </c>
      <c r="D477" s="15" t="s">
        <v>45</v>
      </c>
      <c r="E477" s="11" t="s">
        <v>26</v>
      </c>
      <c r="F477" s="11" t="s">
        <v>1560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1133</v>
      </c>
      <c r="D478" s="15" t="s">
        <v>45</v>
      </c>
      <c r="E478" s="11" t="s">
        <v>26</v>
      </c>
      <c r="F478" s="11" t="s">
        <v>1134</v>
      </c>
      <c r="G478" s="12">
        <v>1809</v>
      </c>
      <c r="H478" s="12"/>
      <c r="I478" s="12"/>
      <c r="J478" s="12">
        <v>1803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488</v>
      </c>
      <c r="D479" s="15" t="s">
        <v>59</v>
      </c>
      <c r="E479" s="11" t="s">
        <v>26</v>
      </c>
      <c r="F479" s="11" t="s">
        <v>489</v>
      </c>
      <c r="G479" s="12">
        <v>1809</v>
      </c>
      <c r="H479" s="12"/>
      <c r="I479" s="12"/>
      <c r="J479" s="12">
        <v>1809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1280</v>
      </c>
      <c r="D480" s="15" t="s">
        <v>59</v>
      </c>
      <c r="E480" s="11" t="s">
        <v>26</v>
      </c>
      <c r="F480" s="11" t="s">
        <v>1281</v>
      </c>
      <c r="G480" s="12">
        <v>1810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128</v>
      </c>
      <c r="D481" s="15" t="s">
        <v>45</v>
      </c>
      <c r="E481" s="11" t="s">
        <v>26</v>
      </c>
      <c r="F481" s="11" t="s">
        <v>129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549</v>
      </c>
      <c r="D482" s="15" t="s">
        <v>59</v>
      </c>
      <c r="E482" s="11" t="s">
        <v>26</v>
      </c>
      <c r="F482" s="11" t="s">
        <v>550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1397</v>
      </c>
      <c r="D483" s="15" t="s">
        <v>59</v>
      </c>
      <c r="E483" s="11" t="s">
        <v>26</v>
      </c>
      <c r="F483" s="11" t="s">
        <v>1398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340</v>
      </c>
      <c r="D484" s="11" t="s">
        <v>48</v>
      </c>
      <c r="E484" s="11" t="s">
        <v>26</v>
      </c>
      <c r="F484" s="11" t="s">
        <v>341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1389</v>
      </c>
      <c r="D485" s="15" t="s">
        <v>59</v>
      </c>
      <c r="E485" s="11" t="s">
        <v>26</v>
      </c>
      <c r="F485" s="11" t="s">
        <v>1390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1565</v>
      </c>
      <c r="D486" s="11" t="s">
        <v>57</v>
      </c>
      <c r="E486" s="11" t="s">
        <v>26</v>
      </c>
      <c r="F486" s="11" t="s">
        <v>1566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266</v>
      </c>
      <c r="D487" s="15" t="s">
        <v>78</v>
      </c>
      <c r="E487" s="11" t="s">
        <v>26</v>
      </c>
      <c r="F487" s="11" t="s">
        <v>267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12</v>
      </c>
      <c r="C488" s="11" t="s">
        <v>1026</v>
      </c>
      <c r="D488" s="15" t="s">
        <v>45</v>
      </c>
      <c r="E488" s="11" t="s">
        <v>60</v>
      </c>
      <c r="F488" s="11" t="s">
        <v>1027</v>
      </c>
      <c r="G488" s="12">
        <v>1813</v>
      </c>
      <c r="H488" s="12"/>
      <c r="I488" s="12"/>
      <c r="J488" s="12">
        <v>1835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1835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1685</v>
      </c>
      <c r="D489" s="15" t="s">
        <v>45</v>
      </c>
      <c r="E489" s="11" t="s">
        <v>60</v>
      </c>
      <c r="F489" s="11" t="s">
        <v>1686</v>
      </c>
      <c r="G489" s="12">
        <v>1813</v>
      </c>
      <c r="H489" s="12"/>
      <c r="I489" s="12"/>
      <c r="J489" s="12">
        <v>1835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1835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75</v>
      </c>
      <c r="D490" s="15" t="s">
        <v>59</v>
      </c>
      <c r="E490" s="11" t="s">
        <v>26</v>
      </c>
      <c r="F490" s="11" t="s">
        <v>76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493</v>
      </c>
      <c r="D491" s="11" t="s">
        <v>57</v>
      </c>
      <c r="E491" s="11" t="s">
        <v>26</v>
      </c>
      <c r="F491" s="11" t="s">
        <v>494</v>
      </c>
      <c r="G491" s="12">
        <v>1814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1753</v>
      </c>
      <c r="D492" s="11" t="s">
        <v>48</v>
      </c>
      <c r="E492" s="11" t="s">
        <v>26</v>
      </c>
      <c r="F492" s="11" t="s">
        <v>1754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362</v>
      </c>
      <c r="D493" s="15" t="s">
        <v>45</v>
      </c>
      <c r="E493" s="11" t="s">
        <v>26</v>
      </c>
      <c r="F493" s="11" t="s">
        <v>363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1270</v>
      </c>
      <c r="D494" s="15" t="s">
        <v>45</v>
      </c>
      <c r="E494" s="11" t="s">
        <v>26</v>
      </c>
      <c r="F494" s="11" t="s">
        <v>1271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918</v>
      </c>
      <c r="D495" s="15" t="s">
        <v>69</v>
      </c>
      <c r="E495" s="11" t="s">
        <v>26</v>
      </c>
      <c r="F495" s="11" t="s">
        <v>919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447</v>
      </c>
      <c r="D496" s="15" t="s">
        <v>45</v>
      </c>
      <c r="E496" s="11" t="s">
        <v>60</v>
      </c>
      <c r="F496" s="11" t="s">
        <v>449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1057</v>
      </c>
      <c r="D497" s="15" t="s">
        <v>57</v>
      </c>
      <c r="E497" s="11" t="s">
        <v>26</v>
      </c>
      <c r="F497" s="11" t="s">
        <v>1058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330</v>
      </c>
      <c r="D498" s="15" t="s">
        <v>45</v>
      </c>
      <c r="E498" s="11" t="s">
        <v>26</v>
      </c>
      <c r="F498" s="11" t="s">
        <v>331</v>
      </c>
      <c r="G498" s="12">
        <v>1815</v>
      </c>
      <c r="H498" s="12"/>
      <c r="I498" s="12"/>
      <c r="J498" s="12">
        <v>1789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1789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1264</v>
      </c>
      <c r="D499" s="15" t="s">
        <v>78</v>
      </c>
      <c r="E499" s="11" t="s">
        <v>26</v>
      </c>
      <c r="F499" s="11" t="s">
        <v>1265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1569</v>
      </c>
      <c r="D500" s="11" t="s">
        <v>57</v>
      </c>
      <c r="E500" s="11" t="s">
        <v>60</v>
      </c>
      <c r="F500" s="11" t="s">
        <v>1570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639</v>
      </c>
      <c r="D501" s="15" t="s">
        <v>78</v>
      </c>
      <c r="E501" s="11" t="s">
        <v>26</v>
      </c>
      <c r="F501" s="11" t="s">
        <v>640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6</v>
      </c>
      <c r="C502" s="11" t="s">
        <v>104</v>
      </c>
      <c r="D502" s="11" t="s">
        <v>57</v>
      </c>
      <c r="E502" s="11" t="s">
        <v>26</v>
      </c>
      <c r="F502" s="11" t="s">
        <v>105</v>
      </c>
      <c r="G502" s="12">
        <v>1815</v>
      </c>
      <c r="H502" s="12"/>
      <c r="I502" s="12"/>
      <c r="J502" s="12">
        <v>1802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1137</v>
      </c>
      <c r="D503" s="15" t="s">
        <v>45</v>
      </c>
      <c r="E503" s="11" t="s">
        <v>26</v>
      </c>
      <c r="F503" s="11" t="s">
        <v>1138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1063</v>
      </c>
      <c r="D504" s="15" t="s">
        <v>45</v>
      </c>
      <c r="E504" s="11" t="s">
        <v>26</v>
      </c>
      <c r="F504" s="11" t="s">
        <v>1064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1393</v>
      </c>
      <c r="D505" s="15" t="s">
        <v>45</v>
      </c>
      <c r="E505" s="11" t="s">
        <v>26</v>
      </c>
      <c r="F505" s="11" t="s">
        <v>1394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1424</v>
      </c>
      <c r="D506" s="15" t="s">
        <v>45</v>
      </c>
      <c r="E506" s="11" t="s">
        <v>26</v>
      </c>
      <c r="F506" s="11" t="s">
        <v>1425</v>
      </c>
      <c r="G506" s="12">
        <v>1815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346</v>
      </c>
      <c r="D507" s="15" t="s">
        <v>45</v>
      </c>
      <c r="E507" s="11" t="s">
        <v>26</v>
      </c>
      <c r="F507" s="11" t="s">
        <v>347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1640</v>
      </c>
      <c r="D508" s="11" t="s">
        <v>57</v>
      </c>
      <c r="E508" s="11" t="s">
        <v>26</v>
      </c>
      <c r="F508" s="11" t="s">
        <v>1641</v>
      </c>
      <c r="G508" s="12">
        <v>1815</v>
      </c>
      <c r="H508" s="12"/>
      <c r="I508" s="12"/>
      <c r="J508" s="12">
        <v>1809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1809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118</v>
      </c>
      <c r="D509" s="15" t="s">
        <v>45</v>
      </c>
      <c r="E509" s="11" t="s">
        <v>26</v>
      </c>
      <c r="F509" s="11" t="s">
        <v>119</v>
      </c>
      <c r="G509" s="12">
        <v>1815</v>
      </c>
      <c r="H509" s="12"/>
      <c r="I509" s="12"/>
      <c r="J509" s="12">
        <v>1815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1815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735</v>
      </c>
      <c r="D510" s="15" t="s">
        <v>57</v>
      </c>
      <c r="E510" s="11" t="s">
        <v>26</v>
      </c>
      <c r="F510" s="11" t="s">
        <v>736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1019</v>
      </c>
      <c r="D511" s="15" t="s">
        <v>45</v>
      </c>
      <c r="E511" s="11" t="s">
        <v>26</v>
      </c>
      <c r="F511" s="11" t="s">
        <v>1020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1624</v>
      </c>
      <c r="D512" s="15" t="s">
        <v>45</v>
      </c>
      <c r="E512" s="11" t="s">
        <v>26</v>
      </c>
      <c r="F512" s="11" t="s">
        <v>1625</v>
      </c>
      <c r="G512" s="12">
        <v>1815</v>
      </c>
      <c r="H512" s="12"/>
      <c r="I512" s="12"/>
      <c r="J512" s="12">
        <v>1825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1825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12</v>
      </c>
      <c r="C513" s="11" t="s">
        <v>176</v>
      </c>
      <c r="D513" s="15" t="s">
        <v>78</v>
      </c>
      <c r="E513" s="11" t="s">
        <v>26</v>
      </c>
      <c r="F513" s="11" t="s">
        <v>177</v>
      </c>
      <c r="G513" s="12">
        <v>1816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1816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645</v>
      </c>
      <c r="D514" s="15" t="s">
        <v>45</v>
      </c>
      <c r="E514" s="11" t="s">
        <v>26</v>
      </c>
      <c r="F514" s="11" t="s">
        <v>646</v>
      </c>
      <c r="G514" s="12">
        <v>1817</v>
      </c>
      <c r="H514" s="12"/>
      <c r="I514" s="12"/>
      <c r="J514" s="12">
        <v>1792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288</v>
      </c>
      <c r="D515" s="11" t="s">
        <v>57</v>
      </c>
      <c r="E515" s="11" t="s">
        <v>60</v>
      </c>
      <c r="F515" s="11" t="s">
        <v>289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1113</v>
      </c>
      <c r="D516" s="15" t="s">
        <v>59</v>
      </c>
      <c r="E516" s="11" t="s">
        <v>26</v>
      </c>
      <c r="F516" s="11" t="s">
        <v>1114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1119</v>
      </c>
      <c r="D517" s="15" t="s">
        <v>78</v>
      </c>
      <c r="E517" s="11" t="s">
        <v>26</v>
      </c>
      <c r="F517" s="11" t="s">
        <v>1120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1268</v>
      </c>
      <c r="D518" s="15" t="s">
        <v>59</v>
      </c>
      <c r="E518" s="11" t="s">
        <v>26</v>
      </c>
      <c r="F518" s="11" t="s">
        <v>1269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230</v>
      </c>
      <c r="D519" s="15" t="s">
        <v>78</v>
      </c>
      <c r="E519" s="11" t="s">
        <v>26</v>
      </c>
      <c r="F519" s="11" t="s">
        <v>231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334</v>
      </c>
      <c r="D520" s="15" t="s">
        <v>78</v>
      </c>
      <c r="E520" s="11" t="s">
        <v>26</v>
      </c>
      <c r="F520" s="11" t="s">
        <v>335</v>
      </c>
      <c r="G520" s="12">
        <v>1818</v>
      </c>
      <c r="H520" s="12"/>
      <c r="I520" s="12"/>
      <c r="J520" s="12">
        <v>1799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1278</v>
      </c>
      <c r="D521" s="11" t="s">
        <v>57</v>
      </c>
      <c r="E521" s="11" t="s">
        <v>26</v>
      </c>
      <c r="F521" s="11" t="s">
        <v>1279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1561</v>
      </c>
      <c r="D522" s="11" t="s">
        <v>57</v>
      </c>
      <c r="E522" s="11" t="s">
        <v>26</v>
      </c>
      <c r="F522" s="11" t="s">
        <v>1562</v>
      </c>
      <c r="G522" s="12">
        <v>1818</v>
      </c>
      <c r="H522" s="12"/>
      <c r="I522" s="12"/>
      <c r="J522" s="12">
        <v>1819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1819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1242</v>
      </c>
      <c r="D523" s="11" t="s">
        <v>57</v>
      </c>
      <c r="E523" s="11" t="s">
        <v>26</v>
      </c>
      <c r="F523" s="11" t="s">
        <v>1243</v>
      </c>
      <c r="G523" s="12">
        <v>1819</v>
      </c>
      <c r="H523" s="12"/>
      <c r="I523" s="12"/>
      <c r="J523" s="12">
        <v>1791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1791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132</v>
      </c>
      <c r="D524" s="15" t="s">
        <v>78</v>
      </c>
      <c r="E524" s="11" t="s">
        <v>26</v>
      </c>
      <c r="F524" s="11" t="s">
        <v>133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828</v>
      </c>
      <c r="D525" s="11" t="s">
        <v>57</v>
      </c>
      <c r="E525" s="11" t="s">
        <v>26</v>
      </c>
      <c r="F525" s="11" t="s">
        <v>829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484</v>
      </c>
      <c r="D526" s="15" t="s">
        <v>45</v>
      </c>
      <c r="E526" s="11" t="s">
        <v>26</v>
      </c>
      <c r="F526" s="11" t="s">
        <v>485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IF($T527="","",1+COUNTIF($W$15:$W$879,"&lt;"&amp;W527))</f>
        <v/>
      </c>
      <c r="B527" s="11" t="s">
        <v>10</v>
      </c>
      <c r="C527" s="11" t="s">
        <v>1306</v>
      </c>
      <c r="D527" s="15" t="s">
        <v>45</v>
      </c>
      <c r="E527" s="11" t="s">
        <v>26</v>
      </c>
      <c r="F527" s="11" t="s">
        <v>1307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144</v>
      </c>
      <c r="D528" s="15" t="s">
        <v>59</v>
      </c>
      <c r="E528" s="11" t="s">
        <v>26</v>
      </c>
      <c r="F528" s="11" t="s">
        <v>145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402</v>
      </c>
      <c r="D529" s="11" t="s">
        <v>48</v>
      </c>
      <c r="E529" s="11" t="s">
        <v>26</v>
      </c>
      <c r="F529" s="11" t="s">
        <v>404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7" customFormat="1" ht="28.5" customHeight="1">
      <c r="A530" s="11" t="str">
        <f t="shared" si="104"/>
        <v/>
      </c>
      <c r="B530" s="11" t="s">
        <v>10</v>
      </c>
      <c r="C530" s="11" t="s">
        <v>466</v>
      </c>
      <c r="D530" s="15" t="s">
        <v>45</v>
      </c>
      <c r="E530" s="11" t="s">
        <v>26</v>
      </c>
      <c r="F530" s="11" t="s">
        <v>467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786</v>
      </c>
      <c r="D531" s="15" t="s">
        <v>45</v>
      </c>
      <c r="E531" s="11" t="s">
        <v>26</v>
      </c>
      <c r="F531" s="11" t="s">
        <v>787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1399</v>
      </c>
      <c r="D532" s="15" t="s">
        <v>59</v>
      </c>
      <c r="E532" s="11" t="s">
        <v>26</v>
      </c>
      <c r="F532" s="11" t="s">
        <v>1400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10</v>
      </c>
      <c r="C533" s="11" t="s">
        <v>1529</v>
      </c>
      <c r="D533" s="11" t="s">
        <v>69</v>
      </c>
      <c r="E533" s="11" t="s">
        <v>26</v>
      </c>
      <c r="F533" s="11" t="s">
        <v>1530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1609</v>
      </c>
      <c r="D534" s="11" t="s">
        <v>48</v>
      </c>
      <c r="E534" s="11" t="s">
        <v>26</v>
      </c>
      <c r="F534" s="11" t="s">
        <v>1610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1719</v>
      </c>
      <c r="D535" s="15" t="s">
        <v>78</v>
      </c>
      <c r="E535" s="11" t="s">
        <v>26</v>
      </c>
      <c r="F535" s="11" t="s">
        <v>1720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160</v>
      </c>
      <c r="D536" s="15" t="s">
        <v>59</v>
      </c>
      <c r="E536" s="11" t="s">
        <v>26</v>
      </c>
      <c r="F536" s="11" t="s">
        <v>161</v>
      </c>
      <c r="G536" s="12">
        <v>1819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455</v>
      </c>
      <c r="D537" s="11" t="s">
        <v>48</v>
      </c>
      <c r="E537" s="11" t="s">
        <v>26</v>
      </c>
      <c r="F537" s="11" t="s">
        <v>457</v>
      </c>
      <c r="G537" s="12">
        <v>1819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68</v>
      </c>
      <c r="D538" s="11" t="s">
        <v>69</v>
      </c>
      <c r="E538" s="11" t="s">
        <v>26</v>
      </c>
      <c r="F538" s="11" t="s">
        <v>70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882</v>
      </c>
      <c r="D539" s="15" t="s">
        <v>78</v>
      </c>
      <c r="E539" s="11" t="s">
        <v>26</v>
      </c>
      <c r="F539" s="11" t="s">
        <v>883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944</v>
      </c>
      <c r="D540" s="11" t="s">
        <v>57</v>
      </c>
      <c r="E540" s="11" t="s">
        <v>26</v>
      </c>
      <c r="F540" s="11" t="s">
        <v>945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380</v>
      </c>
      <c r="D541" s="15" t="s">
        <v>59</v>
      </c>
      <c r="E541" s="11" t="s">
        <v>26</v>
      </c>
      <c r="F541" s="11" t="s">
        <v>381</v>
      </c>
      <c r="G541" s="12">
        <v>1819</v>
      </c>
      <c r="H541" s="12"/>
      <c r="I541" s="12"/>
      <c r="J541" s="12">
        <v>1818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108</v>
      </c>
      <c r="D542" s="11" t="s">
        <v>57</v>
      </c>
      <c r="E542" s="11" t="s">
        <v>26</v>
      </c>
      <c r="F542" s="11" t="s">
        <v>109</v>
      </c>
      <c r="G542" s="12">
        <v>1819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244</v>
      </c>
      <c r="D543" s="15" t="s">
        <v>78</v>
      </c>
      <c r="E543" s="11" t="s">
        <v>26</v>
      </c>
      <c r="F543" s="11" t="s">
        <v>245</v>
      </c>
      <c r="G543" s="12">
        <v>1819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10</v>
      </c>
      <c r="C544" s="11" t="s">
        <v>920</v>
      </c>
      <c r="D544" s="15" t="s">
        <v>78</v>
      </c>
      <c r="E544" s="11" t="s">
        <v>26</v>
      </c>
      <c r="F544" s="11" t="s">
        <v>921</v>
      </c>
      <c r="G544" s="12">
        <v>1819</v>
      </c>
      <c r="H544" s="12"/>
      <c r="I544" s="12"/>
      <c r="J544" s="12">
        <v>1829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10</v>
      </c>
      <c r="C545" s="11" t="s">
        <v>745</v>
      </c>
      <c r="D545" s="15" t="s">
        <v>45</v>
      </c>
      <c r="E545" s="11" t="s">
        <v>26</v>
      </c>
      <c r="F545" s="11" t="s">
        <v>746</v>
      </c>
      <c r="G545" s="12">
        <v>1819</v>
      </c>
      <c r="H545" s="12"/>
      <c r="I545" s="12"/>
      <c r="J545" s="12">
        <v>1839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1839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390</v>
      </c>
      <c r="D546" s="15" t="s">
        <v>59</v>
      </c>
      <c r="E546" s="11" t="s">
        <v>26</v>
      </c>
      <c r="F546" s="11" t="s">
        <v>391</v>
      </c>
      <c r="G546" s="12">
        <v>1822</v>
      </c>
      <c r="H546" s="12"/>
      <c r="I546" s="12"/>
      <c r="J546" s="12">
        <v>1797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1797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110</v>
      </c>
      <c r="D547" s="11" t="s">
        <v>57</v>
      </c>
      <c r="E547" s="11" t="s">
        <v>26</v>
      </c>
      <c r="F547" s="11" t="s">
        <v>111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316</v>
      </c>
      <c r="D548" s="11" t="s">
        <v>48</v>
      </c>
      <c r="E548" s="11" t="s">
        <v>26</v>
      </c>
      <c r="F548" s="11" t="s">
        <v>317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10</v>
      </c>
      <c r="C549" s="11" t="s">
        <v>874</v>
      </c>
      <c r="D549" s="11" t="s">
        <v>57</v>
      </c>
      <c r="E549" s="11" t="s">
        <v>26</v>
      </c>
      <c r="F549" s="11" t="s">
        <v>875</v>
      </c>
      <c r="G549" s="12">
        <v>1823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1115</v>
      </c>
      <c r="D550" s="15" t="s">
        <v>45</v>
      </c>
      <c r="E550" s="11" t="s">
        <v>26</v>
      </c>
      <c r="F550" s="11" t="s">
        <v>1116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1055</v>
      </c>
      <c r="D551" s="11" t="s">
        <v>57</v>
      </c>
      <c r="E551" s="11" t="s">
        <v>26</v>
      </c>
      <c r="F551" s="11" t="s">
        <v>1056</v>
      </c>
      <c r="G551" s="12">
        <v>1823</v>
      </c>
      <c r="H551" s="12"/>
      <c r="I551" s="12"/>
      <c r="J551" s="12">
        <v>1823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1823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300</v>
      </c>
      <c r="D552" s="15" t="s">
        <v>45</v>
      </c>
      <c r="E552" s="11" t="s">
        <v>26</v>
      </c>
      <c r="F552" s="11" t="s">
        <v>301</v>
      </c>
      <c r="G552" s="12">
        <v>1824</v>
      </c>
      <c r="H552" s="12"/>
      <c r="I552" s="12"/>
      <c r="J552" s="12">
        <v>1794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1794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1670</v>
      </c>
      <c r="D553" s="11" t="s">
        <v>78</v>
      </c>
      <c r="E553" s="11" t="s">
        <v>26</v>
      </c>
      <c r="F553" s="11" t="s">
        <v>1755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12</v>
      </c>
      <c r="C554" s="11" t="s">
        <v>1748</v>
      </c>
      <c r="D554" s="11" t="s">
        <v>102</v>
      </c>
      <c r="E554" s="11" t="s">
        <v>26</v>
      </c>
      <c r="F554" s="11" t="s">
        <v>1749</v>
      </c>
      <c r="G554" s="12">
        <v>1824</v>
      </c>
      <c r="H554" s="12"/>
      <c r="I554" s="12"/>
      <c r="J554" s="12">
        <v>1824</v>
      </c>
      <c r="K554" s="12">
        <f t="shared" si="105"/>
        <v>0</v>
      </c>
      <c r="L554" s="12">
        <f t="shared" si="106"/>
        <v>1824</v>
      </c>
      <c r="M554" s="12" t="str">
        <f t="shared" si="107"/>
        <v/>
      </c>
      <c r="N554" s="12">
        <f t="shared" si="108"/>
        <v>1824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1547</v>
      </c>
      <c r="D555" s="15" t="s">
        <v>78</v>
      </c>
      <c r="E555" s="11" t="s">
        <v>26</v>
      </c>
      <c r="F555" s="11" t="s">
        <v>1548</v>
      </c>
      <c r="G555" s="12">
        <v>1825</v>
      </c>
      <c r="H555" s="12"/>
      <c r="I555" s="12"/>
      <c r="J555" s="12">
        <v>1789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1789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282</v>
      </c>
      <c r="D556" s="11" t="s">
        <v>57</v>
      </c>
      <c r="E556" s="11" t="s">
        <v>26</v>
      </c>
      <c r="F556" s="11" t="s">
        <v>283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308</v>
      </c>
      <c r="D557" s="15" t="s">
        <v>45</v>
      </c>
      <c r="E557" s="11" t="s">
        <v>26</v>
      </c>
      <c r="F557" s="11" t="s">
        <v>309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310</v>
      </c>
      <c r="D558" s="15" t="s">
        <v>45</v>
      </c>
      <c r="E558" s="11" t="s">
        <v>26</v>
      </c>
      <c r="F558" s="11" t="s">
        <v>311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1515</v>
      </c>
      <c r="D559" s="11" t="s">
        <v>57</v>
      </c>
      <c r="E559" s="11" t="s">
        <v>26</v>
      </c>
      <c r="F559" s="11" t="s">
        <v>1516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77</v>
      </c>
      <c r="D560" s="15" t="s">
        <v>78</v>
      </c>
      <c r="E560" s="11" t="s">
        <v>26</v>
      </c>
      <c r="F560" s="11" t="s">
        <v>79</v>
      </c>
      <c r="G560" s="12">
        <v>1825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44</v>
      </c>
      <c r="D561" s="15" t="s">
        <v>45</v>
      </c>
      <c r="E561" s="11" t="s">
        <v>26</v>
      </c>
      <c r="F561" s="11" t="s">
        <v>46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674</v>
      </c>
      <c r="D562" s="11" t="s">
        <v>48</v>
      </c>
      <c r="E562" s="11" t="s">
        <v>26</v>
      </c>
      <c r="F562" s="11" t="s">
        <v>675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1211</v>
      </c>
      <c r="D565" s="11" t="s">
        <v>48</v>
      </c>
      <c r="E565" s="11" t="s">
        <v>26</v>
      </c>
      <c r="F565" s="11" t="s">
        <v>1212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1344</v>
      </c>
      <c r="D566" s="11" t="s">
        <v>57</v>
      </c>
      <c r="E566" s="11" t="s">
        <v>26</v>
      </c>
      <c r="F566" s="11" t="s">
        <v>1345</v>
      </c>
      <c r="G566" s="12">
        <v>1825</v>
      </c>
      <c r="H566" s="12"/>
      <c r="I566" s="12"/>
      <c r="J566" s="12">
        <v>1805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1805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1750</v>
      </c>
      <c r="D567" s="11" t="s">
        <v>57</v>
      </c>
      <c r="E567" s="11" t="s">
        <v>26</v>
      </c>
      <c r="F567" s="11" t="s">
        <v>442</v>
      </c>
      <c r="G567" s="12">
        <v>1825</v>
      </c>
      <c r="H567" s="12"/>
      <c r="I567" s="12"/>
      <c r="J567" s="12">
        <v>1808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1808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1648</v>
      </c>
      <c r="D568" s="15" t="s">
        <v>45</v>
      </c>
      <c r="E568" s="11" t="s">
        <v>26</v>
      </c>
      <c r="F568" s="11" t="s">
        <v>1649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682</v>
      </c>
      <c r="D569" s="11" t="s">
        <v>102</v>
      </c>
      <c r="E569" s="11" t="s">
        <v>26</v>
      </c>
      <c r="F569" s="11" t="s">
        <v>683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228</v>
      </c>
      <c r="D570" s="15" t="s">
        <v>78</v>
      </c>
      <c r="E570" s="11" t="s">
        <v>26</v>
      </c>
      <c r="F570" s="11" t="s">
        <v>229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719</v>
      </c>
      <c r="D571" s="15" t="s">
        <v>45</v>
      </c>
      <c r="E571" s="11" t="s">
        <v>26</v>
      </c>
      <c r="F571" s="11" t="s">
        <v>721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1358</v>
      </c>
      <c r="D572" s="11" t="s">
        <v>57</v>
      </c>
      <c r="E572" s="11" t="s">
        <v>26</v>
      </c>
      <c r="F572" s="11" t="s">
        <v>1359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1067</v>
      </c>
      <c r="D573" s="15" t="s">
        <v>78</v>
      </c>
      <c r="E573" s="11" t="s">
        <v>26</v>
      </c>
      <c r="F573" s="11" t="s">
        <v>1068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1071</v>
      </c>
      <c r="D574" s="11" t="s">
        <v>48</v>
      </c>
      <c r="E574" s="11" t="s">
        <v>26</v>
      </c>
      <c r="F574" s="11" t="s">
        <v>1072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561</v>
      </c>
      <c r="D575" s="15" t="s">
        <v>45</v>
      </c>
      <c r="E575" s="11" t="s">
        <v>26</v>
      </c>
      <c r="F575" s="11" t="s">
        <v>564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570</v>
      </c>
      <c r="D576" s="15" t="s">
        <v>78</v>
      </c>
      <c r="E576" s="11" t="s">
        <v>26</v>
      </c>
      <c r="F576" s="11" t="s">
        <v>571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1227</v>
      </c>
      <c r="D577" s="11" t="s">
        <v>57</v>
      </c>
      <c r="E577" s="11" t="s">
        <v>26</v>
      </c>
      <c r="F577" s="11" t="s">
        <v>1228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1105</v>
      </c>
      <c r="D578" s="15" t="s">
        <v>45</v>
      </c>
      <c r="E578" s="11" t="s">
        <v>26</v>
      </c>
      <c r="F578" s="11" t="s">
        <v>1106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156</v>
      </c>
      <c r="D579" s="15" t="s">
        <v>57</v>
      </c>
      <c r="E579" s="11" t="s">
        <v>26</v>
      </c>
      <c r="F579" s="11" t="s">
        <v>157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1723</v>
      </c>
      <c r="D580" s="15" t="s">
        <v>45</v>
      </c>
      <c r="E580" s="11" t="s">
        <v>26</v>
      </c>
      <c r="F580" s="11" t="s">
        <v>1724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1581</v>
      </c>
      <c r="D581" s="11" t="s">
        <v>57</v>
      </c>
      <c r="E581" s="11" t="s">
        <v>26</v>
      </c>
      <c r="F581" s="11" t="s">
        <v>1583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1324</v>
      </c>
      <c r="D582" s="15" t="s">
        <v>59</v>
      </c>
      <c r="E582" s="11" t="s">
        <v>26</v>
      </c>
      <c r="F582" s="11" t="s">
        <v>1325</v>
      </c>
      <c r="G582" s="12">
        <v>1827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1613</v>
      </c>
      <c r="D583" s="11" t="s">
        <v>57</v>
      </c>
      <c r="E583" s="11" t="s">
        <v>26</v>
      </c>
      <c r="F583" s="11" t="s">
        <v>1615</v>
      </c>
      <c r="G583" s="12">
        <v>1827</v>
      </c>
      <c r="H583" s="12"/>
      <c r="I583" s="12"/>
      <c r="J583" s="12">
        <v>1817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1474</v>
      </c>
      <c r="D584" s="15" t="s">
        <v>45</v>
      </c>
      <c r="E584" s="11" t="s">
        <v>26</v>
      </c>
      <c r="F584" s="11" t="s">
        <v>1475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1312</v>
      </c>
      <c r="D585" s="11" t="s">
        <v>93</v>
      </c>
      <c r="E585" s="11" t="s">
        <v>60</v>
      </c>
      <c r="F585" s="11" t="s">
        <v>1313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1751</v>
      </c>
      <c r="D588" s="11" t="s">
        <v>45</v>
      </c>
      <c r="E588" s="11" t="s">
        <v>26</v>
      </c>
      <c r="F588" s="11" t="s">
        <v>1752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1527</v>
      </c>
      <c r="D589" s="15" t="s">
        <v>45</v>
      </c>
      <c r="E589" s="11" t="s">
        <v>26</v>
      </c>
      <c r="F589" s="11" t="s">
        <v>1528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1563</v>
      </c>
      <c r="D590" s="11" t="s">
        <v>57</v>
      </c>
      <c r="E590" s="11" t="s">
        <v>26</v>
      </c>
      <c r="F590" s="11" t="s">
        <v>1564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IF($T591="","",1+COUNTIF($W$15:$W$879,"&lt;"&amp;W591))</f>
        <v/>
      </c>
      <c r="B591" s="11" t="s">
        <v>12</v>
      </c>
      <c r="C591" s="11" t="s">
        <v>1258</v>
      </c>
      <c r="D591" s="15" t="s">
        <v>59</v>
      </c>
      <c r="E591" s="11" t="s">
        <v>26</v>
      </c>
      <c r="F591" s="11" t="s">
        <v>1259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729</v>
      </c>
      <c r="D592" s="15" t="s">
        <v>59</v>
      </c>
      <c r="E592" s="11" t="s">
        <v>26</v>
      </c>
      <c r="F592" s="11" t="s">
        <v>730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1017</v>
      </c>
      <c r="D593" s="11" t="s">
        <v>57</v>
      </c>
      <c r="E593" s="11" t="s">
        <v>26</v>
      </c>
      <c r="F593" s="11" t="s">
        <v>1018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1670</v>
      </c>
      <c r="D594" s="15" t="s">
        <v>45</v>
      </c>
      <c r="E594" s="11" t="s">
        <v>60</v>
      </c>
      <c r="F594" s="11" t="s">
        <v>1672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826</v>
      </c>
      <c r="D595" s="15" t="s">
        <v>59</v>
      </c>
      <c r="E595" s="11" t="s">
        <v>26</v>
      </c>
      <c r="F595" s="11" t="s">
        <v>827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1239</v>
      </c>
      <c r="D596" s="15" t="s">
        <v>59</v>
      </c>
      <c r="E596" s="11" t="s">
        <v>26</v>
      </c>
      <c r="F596" s="11" t="s">
        <v>1241</v>
      </c>
      <c r="G596" s="12">
        <v>1829</v>
      </c>
      <c r="H596" s="12"/>
      <c r="I596" s="12"/>
      <c r="J596" s="12">
        <v>1789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1789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1053</v>
      </c>
      <c r="D597" s="15" t="s">
        <v>78</v>
      </c>
      <c r="E597" s="11" t="s">
        <v>26</v>
      </c>
      <c r="F597" s="11" t="s">
        <v>1054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1385</v>
      </c>
      <c r="D598" s="11" t="s">
        <v>57</v>
      </c>
      <c r="E598" s="11" t="s">
        <v>60</v>
      </c>
      <c r="F598" s="11" t="s">
        <v>1386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501</v>
      </c>
      <c r="D599" s="11" t="s">
        <v>48</v>
      </c>
      <c r="E599" s="11" t="s">
        <v>26</v>
      </c>
      <c r="F599" s="11" t="s">
        <v>502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709</v>
      </c>
      <c r="D600" s="15" t="s">
        <v>45</v>
      </c>
      <c r="E600" s="11" t="s">
        <v>26</v>
      </c>
      <c r="F600" s="11" t="s">
        <v>710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1171</v>
      </c>
      <c r="D601" s="15" t="s">
        <v>45</v>
      </c>
      <c r="E601" s="11" t="s">
        <v>26</v>
      </c>
      <c r="F601" s="11" t="s">
        <v>1172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226</v>
      </c>
      <c r="D602" s="15" t="s">
        <v>78</v>
      </c>
      <c r="E602" s="11" t="s">
        <v>26</v>
      </c>
      <c r="F602" s="11" t="s">
        <v>227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930</v>
      </c>
      <c r="D603" s="11" t="s">
        <v>57</v>
      </c>
      <c r="E603" s="11" t="s">
        <v>26</v>
      </c>
      <c r="F603" s="11" t="s">
        <v>931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998</v>
      </c>
      <c r="D604" s="11" t="s">
        <v>57</v>
      </c>
      <c r="E604" s="11" t="s">
        <v>26</v>
      </c>
      <c r="F604" s="11" t="s">
        <v>1000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146</v>
      </c>
      <c r="D605" s="15" t="s">
        <v>78</v>
      </c>
      <c r="E605" s="11" t="s">
        <v>26</v>
      </c>
      <c r="F605" s="11" t="s">
        <v>147</v>
      </c>
      <c r="G605" s="12">
        <v>1829</v>
      </c>
      <c r="H605" s="12"/>
      <c r="I605" s="12"/>
      <c r="J605" s="12">
        <v>1814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1814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574</v>
      </c>
      <c r="D606" s="15" t="s">
        <v>78</v>
      </c>
      <c r="E606" s="11" t="s">
        <v>26</v>
      </c>
      <c r="F606" s="11" t="s">
        <v>575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18</v>
      </c>
      <c r="C608" s="11" t="s">
        <v>1215</v>
      </c>
      <c r="D608" s="15" t="s">
        <v>45</v>
      </c>
      <c r="E608" s="11" t="s">
        <v>26</v>
      </c>
      <c r="F608" s="11" t="s">
        <v>1216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788</v>
      </c>
      <c r="D609" s="11" t="s">
        <v>57</v>
      </c>
      <c r="E609" s="11" t="s">
        <v>26</v>
      </c>
      <c r="F609" s="11" t="s">
        <v>790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16" customFormat="1" ht="28.5" customHeight="1">
      <c r="A610" s="11" t="str">
        <f t="shared" si="117"/>
        <v/>
      </c>
      <c r="B610" s="11" t="s">
        <v>8</v>
      </c>
      <c r="C610" s="11" t="s">
        <v>948</v>
      </c>
      <c r="D610" s="15" t="s">
        <v>45</v>
      </c>
      <c r="E610" s="11" t="s">
        <v>26</v>
      </c>
      <c r="F610" s="11" t="s">
        <v>949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950</v>
      </c>
      <c r="D611" s="15" t="s">
        <v>57</v>
      </c>
      <c r="E611" s="11" t="s">
        <v>26</v>
      </c>
      <c r="F611" s="11" t="s">
        <v>951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1553</v>
      </c>
      <c r="D612" s="11" t="s">
        <v>48</v>
      </c>
      <c r="E612" s="11" t="s">
        <v>26</v>
      </c>
      <c r="F612" s="11" t="s">
        <v>1554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1656</v>
      </c>
      <c r="D614" s="15" t="s">
        <v>57</v>
      </c>
      <c r="E614" s="11" t="s">
        <v>26</v>
      </c>
      <c r="F614" s="11" t="s">
        <v>1657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7" customFormat="1" ht="28.5" customHeight="1">
      <c r="A615" s="11" t="str">
        <f t="shared" si="117"/>
        <v/>
      </c>
      <c r="B615" s="11" t="s">
        <v>10</v>
      </c>
      <c r="C615" s="11" t="s">
        <v>322</v>
      </c>
      <c r="D615" s="15" t="s">
        <v>45</v>
      </c>
      <c r="E615" s="11" t="s">
        <v>26</v>
      </c>
      <c r="F615" s="11" t="s">
        <v>323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876</v>
      </c>
      <c r="D616" s="11" t="s">
        <v>57</v>
      </c>
      <c r="E616" s="11" t="s">
        <v>26</v>
      </c>
      <c r="F616" s="11" t="s">
        <v>877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1102</v>
      </c>
      <c r="D617" s="11" t="s">
        <v>48</v>
      </c>
      <c r="E617" s="11" t="s">
        <v>26</v>
      </c>
      <c r="F617" s="11" t="s">
        <v>1104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1352</v>
      </c>
      <c r="D618" s="15" t="s">
        <v>78</v>
      </c>
      <c r="E618" s="11" t="s">
        <v>26</v>
      </c>
      <c r="F618" s="11" t="s">
        <v>1353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1354</v>
      </c>
      <c r="D619" s="15" t="s">
        <v>59</v>
      </c>
      <c r="E619" s="11" t="s">
        <v>26</v>
      </c>
      <c r="F619" s="11" t="s">
        <v>1355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1691</v>
      </c>
      <c r="D620" s="15" t="s">
        <v>45</v>
      </c>
      <c r="E620" s="11" t="s">
        <v>26</v>
      </c>
      <c r="F620" s="11" t="s">
        <v>1692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8</v>
      </c>
      <c r="C621" s="11" t="s">
        <v>946</v>
      </c>
      <c r="D621" s="11" t="s">
        <v>69</v>
      </c>
      <c r="E621" s="11" t="s">
        <v>26</v>
      </c>
      <c r="F621" s="11" t="s">
        <v>947</v>
      </c>
      <c r="G621" s="12">
        <v>1829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482</v>
      </c>
      <c r="D622" s="15" t="s">
        <v>45</v>
      </c>
      <c r="E622" s="11" t="s">
        <v>26</v>
      </c>
      <c r="F622" s="11" t="s">
        <v>483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505</v>
      </c>
      <c r="D623" s="11" t="s">
        <v>57</v>
      </c>
      <c r="E623" s="11" t="s">
        <v>26</v>
      </c>
      <c r="F623" s="11" t="s">
        <v>506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812</v>
      </c>
      <c r="D624" s="11" t="s">
        <v>48</v>
      </c>
      <c r="E624" s="11" t="s">
        <v>26</v>
      </c>
      <c r="F624" s="11" t="s">
        <v>813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741</v>
      </c>
      <c r="D625" s="11" t="s">
        <v>93</v>
      </c>
      <c r="E625" s="11" t="s">
        <v>26</v>
      </c>
      <c r="F625" s="11" t="s">
        <v>742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16</v>
      </c>
      <c r="C626" s="11" t="s">
        <v>776</v>
      </c>
      <c r="D626" s="11" t="s">
        <v>93</v>
      </c>
      <c r="E626" s="11" t="s">
        <v>26</v>
      </c>
      <c r="F626" s="11" t="s">
        <v>777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64</v>
      </c>
      <c r="D627" s="15" t="s">
        <v>45</v>
      </c>
      <c r="E627" s="11" t="s">
        <v>26</v>
      </c>
      <c r="F627" s="11" t="s">
        <v>65</v>
      </c>
      <c r="G627" s="12">
        <v>1830</v>
      </c>
      <c r="H627" s="12"/>
      <c r="I627" s="12"/>
      <c r="J627" s="12">
        <v>1810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523</v>
      </c>
      <c r="D628" s="11" t="s">
        <v>69</v>
      </c>
      <c r="E628" s="11" t="s">
        <v>26</v>
      </c>
      <c r="F628" s="11" t="s">
        <v>524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1191</v>
      </c>
      <c r="D629" s="15" t="s">
        <v>45</v>
      </c>
      <c r="E629" s="11" t="s">
        <v>26</v>
      </c>
      <c r="F629" s="11" t="s">
        <v>1192</v>
      </c>
      <c r="G629" s="12">
        <v>1830</v>
      </c>
      <c r="H629" s="12"/>
      <c r="I629" s="12"/>
      <c r="J629" s="12">
        <v>1820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1820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286</v>
      </c>
      <c r="D630" s="11" t="s">
        <v>102</v>
      </c>
      <c r="E630" s="11" t="s">
        <v>26</v>
      </c>
      <c r="F630" s="11" t="s">
        <v>287</v>
      </c>
      <c r="G630" s="12">
        <v>1831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1831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1145</v>
      </c>
      <c r="D631" s="15" t="s">
        <v>45</v>
      </c>
      <c r="E631" s="11" t="s">
        <v>26</v>
      </c>
      <c r="F631" s="11" t="s">
        <v>1146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934</v>
      </c>
      <c r="D632" s="15" t="s">
        <v>45</v>
      </c>
      <c r="E632" s="11" t="s">
        <v>26</v>
      </c>
      <c r="F632" s="11" t="s">
        <v>935</v>
      </c>
      <c r="G632" s="12">
        <v>1832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112</v>
      </c>
      <c r="D634" s="15" t="s">
        <v>78</v>
      </c>
      <c r="E634" s="11" t="s">
        <v>26</v>
      </c>
      <c r="F634" s="11" t="s">
        <v>113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1379</v>
      </c>
      <c r="D635" s="11" t="s">
        <v>57</v>
      </c>
      <c r="E635" s="11" t="s">
        <v>26</v>
      </c>
      <c r="F635" s="11" t="s">
        <v>1380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1622</v>
      </c>
      <c r="D636" s="11" t="s">
        <v>57</v>
      </c>
      <c r="E636" s="11" t="s">
        <v>26</v>
      </c>
      <c r="F636" s="11" t="s">
        <v>1623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1059</v>
      </c>
      <c r="D637" s="11" t="s">
        <v>57</v>
      </c>
      <c r="E637" s="11" t="s">
        <v>26</v>
      </c>
      <c r="F637" s="11" t="s">
        <v>1060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755</v>
      </c>
      <c r="D638" s="15" t="s">
        <v>45</v>
      </c>
      <c r="E638" s="11" t="s">
        <v>26</v>
      </c>
      <c r="F638" s="11" t="s">
        <v>756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986</v>
      </c>
      <c r="D639" s="15" t="s">
        <v>45</v>
      </c>
      <c r="E639" s="11" t="s">
        <v>26</v>
      </c>
      <c r="F639" s="11" t="s">
        <v>987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1169</v>
      </c>
      <c r="D640" s="15" t="s">
        <v>45</v>
      </c>
      <c r="E640" s="11" t="s">
        <v>26</v>
      </c>
      <c r="F640" s="11" t="s">
        <v>1170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1525</v>
      </c>
      <c r="D641" s="15" t="s">
        <v>45</v>
      </c>
      <c r="E641" s="11" t="s">
        <v>26</v>
      </c>
      <c r="F641" s="11" t="s">
        <v>1526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1195</v>
      </c>
      <c r="D643" s="11" t="s">
        <v>102</v>
      </c>
      <c r="E643" s="11" t="s">
        <v>26</v>
      </c>
      <c r="F643" s="11" t="s">
        <v>1196</v>
      </c>
      <c r="G643" s="12">
        <v>1834</v>
      </c>
      <c r="H643" s="12"/>
      <c r="I643" s="12"/>
      <c r="J643" s="12">
        <v>1831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1831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966</v>
      </c>
      <c r="D645" s="11" t="s">
        <v>69</v>
      </c>
      <c r="E645" s="11" t="s">
        <v>26</v>
      </c>
      <c r="F645" s="11" t="s">
        <v>967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1597</v>
      </c>
      <c r="D646" s="15" t="s">
        <v>59</v>
      </c>
      <c r="E646" s="11" t="s">
        <v>26</v>
      </c>
      <c r="F646" s="11" t="s">
        <v>1598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942</v>
      </c>
      <c r="D650" s="15" t="s">
        <v>78</v>
      </c>
      <c r="E650" s="11" t="s">
        <v>26</v>
      </c>
      <c r="F650" s="11" t="s">
        <v>943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1403</v>
      </c>
      <c r="D651" s="11" t="s">
        <v>102</v>
      </c>
      <c r="E651" s="11" t="s">
        <v>26</v>
      </c>
      <c r="F651" s="11" t="s">
        <v>1404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400</v>
      </c>
      <c r="D652" s="11" t="s">
        <v>57</v>
      </c>
      <c r="E652" s="11" t="s">
        <v>26</v>
      </c>
      <c r="F652" s="11" t="s">
        <v>401</v>
      </c>
      <c r="G652" s="12">
        <v>1835</v>
      </c>
      <c r="H652" s="12"/>
      <c r="I652" s="12"/>
      <c r="J652" s="12">
        <v>1837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1837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1549</v>
      </c>
      <c r="D653" s="15" t="s">
        <v>78</v>
      </c>
      <c r="E653" s="11" t="s">
        <v>26</v>
      </c>
      <c r="F653" s="11" t="s">
        <v>1550</v>
      </c>
      <c r="G653" s="12">
        <v>1836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366</v>
      </c>
      <c r="D654" s="15" t="s">
        <v>45</v>
      </c>
      <c r="E654" s="11" t="s">
        <v>26</v>
      </c>
      <c r="F654" s="11" t="s">
        <v>367</v>
      </c>
      <c r="G654" s="12">
        <v>1836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IF($T655="","",1+COUNTIF($W$15:$W$879,"&lt;"&amp;W655))</f>
        <v/>
      </c>
      <c r="B655" s="11" t="s">
        <v>10</v>
      </c>
      <c r="C655" s="11" t="s">
        <v>54</v>
      </c>
      <c r="D655" s="11" t="s">
        <v>48</v>
      </c>
      <c r="E655" s="11" t="s">
        <v>26</v>
      </c>
      <c r="F655" s="11" t="s">
        <v>55</v>
      </c>
      <c r="G655" s="12">
        <v>1837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1837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14</v>
      </c>
      <c r="C656" s="11" t="s">
        <v>126</v>
      </c>
      <c r="D656" s="15" t="s">
        <v>78</v>
      </c>
      <c r="E656" s="11" t="s">
        <v>26</v>
      </c>
      <c r="F656" s="11" t="s">
        <v>127</v>
      </c>
      <c r="G656" s="12">
        <v>1838</v>
      </c>
      <c r="H656" s="12"/>
      <c r="I656" s="12"/>
      <c r="J656" s="12">
        <v>1813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6</v>
      </c>
      <c r="C657" s="11" t="s">
        <v>1096</v>
      </c>
      <c r="D657" s="11" t="s">
        <v>57</v>
      </c>
      <c r="E657" s="11" t="s">
        <v>26</v>
      </c>
      <c r="F657" s="11" t="s">
        <v>1097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388</v>
      </c>
      <c r="D658" s="11" t="s">
        <v>69</v>
      </c>
      <c r="E658" s="11" t="s">
        <v>26</v>
      </c>
      <c r="F658" s="11" t="s">
        <v>389</v>
      </c>
      <c r="G658" s="12">
        <v>1838</v>
      </c>
      <c r="H658" s="12"/>
      <c r="I658" s="12"/>
      <c r="J658" s="12">
        <v>1818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1069</v>
      </c>
      <c r="D659" s="11" t="s">
        <v>69</v>
      </c>
      <c r="E659" s="11" t="s">
        <v>26</v>
      </c>
      <c r="F659" s="11" t="s">
        <v>1070</v>
      </c>
      <c r="G659" s="12">
        <v>1838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1185</v>
      </c>
      <c r="D660" s="15" t="s">
        <v>78</v>
      </c>
      <c r="E660" s="11" t="s">
        <v>26</v>
      </c>
      <c r="F660" s="11" t="s">
        <v>1186</v>
      </c>
      <c r="G660" s="12">
        <v>1838</v>
      </c>
      <c r="H660" s="12"/>
      <c r="I660" s="12"/>
      <c r="J660" s="12">
        <v>1848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1848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6</v>
      </c>
      <c r="C661" s="11" t="s">
        <v>290</v>
      </c>
      <c r="D661" s="15" t="s">
        <v>45</v>
      </c>
      <c r="E661" s="11" t="s">
        <v>60</v>
      </c>
      <c r="F661" s="11" t="s">
        <v>291</v>
      </c>
      <c r="G661" s="12">
        <v>1839</v>
      </c>
      <c r="H661" s="12"/>
      <c r="I661" s="12"/>
      <c r="J661" s="12">
        <v>1799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1799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1545</v>
      </c>
      <c r="D662" s="15" t="s">
        <v>78</v>
      </c>
      <c r="E662" s="11" t="s">
        <v>26</v>
      </c>
      <c r="F662" s="11" t="s">
        <v>1546</v>
      </c>
      <c r="G662" s="12">
        <v>1839</v>
      </c>
      <c r="H662" s="12"/>
      <c r="I662" s="12"/>
      <c r="J662" s="12">
        <v>1799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1799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990</v>
      </c>
      <c r="D663" s="11" t="s">
        <v>48</v>
      </c>
      <c r="E663" s="11" t="s">
        <v>26</v>
      </c>
      <c r="F663" s="11" t="s">
        <v>991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1729</v>
      </c>
      <c r="D664" s="15" t="s">
        <v>45</v>
      </c>
      <c r="E664" s="11" t="s">
        <v>60</v>
      </c>
      <c r="F664" s="11" t="s">
        <v>1730</v>
      </c>
      <c r="G664" s="12">
        <v>1839</v>
      </c>
      <c r="H664" s="12"/>
      <c r="I664" s="12"/>
      <c r="J664" s="12">
        <v>1809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1809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16</v>
      </c>
      <c r="C665" s="11" t="s">
        <v>602</v>
      </c>
      <c r="D665" s="15" t="s">
        <v>45</v>
      </c>
      <c r="E665" s="11" t="s">
        <v>26</v>
      </c>
      <c r="F665" s="11" t="s">
        <v>603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14</v>
      </c>
      <c r="C666" s="11" t="s">
        <v>164</v>
      </c>
      <c r="D666" s="11" t="s">
        <v>57</v>
      </c>
      <c r="E666" s="11" t="s">
        <v>26</v>
      </c>
      <c r="F666" s="11" t="s">
        <v>165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14</v>
      </c>
      <c r="C667" s="11" t="s">
        <v>172</v>
      </c>
      <c r="D667" s="11" t="s">
        <v>57</v>
      </c>
      <c r="E667" s="11" t="s">
        <v>26</v>
      </c>
      <c r="F667" s="11" t="s">
        <v>173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615</v>
      </c>
      <c r="D668" s="11" t="s">
        <v>57</v>
      </c>
      <c r="E668" s="11" t="s">
        <v>26</v>
      </c>
      <c r="F668" s="11" t="s">
        <v>616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751</v>
      </c>
      <c r="D669" s="15" t="s">
        <v>45</v>
      </c>
      <c r="E669" s="11" t="s">
        <v>26</v>
      </c>
      <c r="F669" s="11" t="s">
        <v>752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561</v>
      </c>
      <c r="D670" s="11" t="s">
        <v>57</v>
      </c>
      <c r="E670" s="11" t="s">
        <v>26</v>
      </c>
      <c r="F670" s="11" t="s">
        <v>565</v>
      </c>
      <c r="G670" s="12">
        <v>1839</v>
      </c>
      <c r="H670" s="12"/>
      <c r="I670" s="12"/>
      <c r="J670" s="12">
        <v>1827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1827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268</v>
      </c>
      <c r="D671" s="11" t="s">
        <v>102</v>
      </c>
      <c r="E671" s="11" t="s">
        <v>26</v>
      </c>
      <c r="F671" s="11" t="s">
        <v>269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270</v>
      </c>
      <c r="D672" s="11" t="s">
        <v>102</v>
      </c>
      <c r="E672" s="11" t="s">
        <v>26</v>
      </c>
      <c r="F672" s="11" t="s">
        <v>271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272</v>
      </c>
      <c r="D673" s="11" t="s">
        <v>102</v>
      </c>
      <c r="E673" s="11" t="s">
        <v>26</v>
      </c>
      <c r="F673" s="11" t="s">
        <v>273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1298</v>
      </c>
      <c r="D674" s="15" t="s">
        <v>45</v>
      </c>
      <c r="E674" s="11" t="s">
        <v>26</v>
      </c>
      <c r="F674" s="11" t="s">
        <v>1299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1193</v>
      </c>
      <c r="D676" s="11" t="s">
        <v>102</v>
      </c>
      <c r="E676" s="11" t="s">
        <v>26</v>
      </c>
      <c r="F676" s="11" t="s">
        <v>1194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507</v>
      </c>
      <c r="D677" s="11" t="s">
        <v>69</v>
      </c>
      <c r="E677" s="11" t="s">
        <v>26</v>
      </c>
      <c r="F677" s="11" t="s">
        <v>508</v>
      </c>
      <c r="G677" s="12">
        <v>1839</v>
      </c>
      <c r="H677" s="12"/>
      <c r="I677" s="12"/>
      <c r="J677" s="12">
        <v>1838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1131</v>
      </c>
      <c r="D680" s="11" t="s">
        <v>48</v>
      </c>
      <c r="E680" s="11" t="s">
        <v>26</v>
      </c>
      <c r="F680" s="11" t="s">
        <v>1132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1090</v>
      </c>
      <c r="D681" s="11" t="s">
        <v>57</v>
      </c>
      <c r="E681" s="11" t="s">
        <v>26</v>
      </c>
      <c r="F681" s="11" t="s">
        <v>1091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16</v>
      </c>
      <c r="C682" s="11" t="s">
        <v>50</v>
      </c>
      <c r="D682" s="11" t="s">
        <v>48</v>
      </c>
      <c r="E682" s="11" t="s">
        <v>26</v>
      </c>
      <c r="F682" s="11" t="s">
        <v>51</v>
      </c>
      <c r="G682" s="12">
        <v>1840</v>
      </c>
      <c r="H682" s="12"/>
      <c r="I682" s="12"/>
      <c r="J682" s="12">
        <v>1800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1800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922</v>
      </c>
      <c r="D683" s="15" t="s">
        <v>78</v>
      </c>
      <c r="E683" s="11" t="s">
        <v>26</v>
      </c>
      <c r="F683" s="11" t="s">
        <v>923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1616</v>
      </c>
      <c r="D684" s="11" t="s">
        <v>102</v>
      </c>
      <c r="E684" s="11" t="s">
        <v>26</v>
      </c>
      <c r="F684" s="11" t="s">
        <v>1617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1618</v>
      </c>
      <c r="D685" s="11" t="s">
        <v>102</v>
      </c>
      <c r="E685" s="11" t="s">
        <v>26</v>
      </c>
      <c r="F685" s="11" t="s">
        <v>1619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1464</v>
      </c>
      <c r="D686" s="15" t="s">
        <v>59</v>
      </c>
      <c r="E686" s="11" t="s">
        <v>26</v>
      </c>
      <c r="F686" s="11" t="s">
        <v>1465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1875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1875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1456</v>
      </c>
      <c r="D688" s="15" t="s">
        <v>59</v>
      </c>
      <c r="E688" s="11" t="s">
        <v>26</v>
      </c>
      <c r="F688" s="11" t="s">
        <v>1457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1199</v>
      </c>
      <c r="D689" s="15" t="s">
        <v>59</v>
      </c>
      <c r="E689" s="11" t="s">
        <v>26</v>
      </c>
      <c r="F689" s="11" t="s">
        <v>1200</v>
      </c>
      <c r="G689" s="12">
        <v>1842</v>
      </c>
      <c r="H689" s="12"/>
      <c r="I689" s="12"/>
      <c r="J689" s="12">
        <v>1822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704</v>
      </c>
      <c r="D690" s="15" t="s">
        <v>59</v>
      </c>
      <c r="E690" s="11" t="s">
        <v>26</v>
      </c>
      <c r="F690" s="11" t="s">
        <v>706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1358</v>
      </c>
      <c r="D691" s="11" t="s">
        <v>57</v>
      </c>
      <c r="E691" s="11" t="s">
        <v>26</v>
      </c>
      <c r="F691" s="11" t="s">
        <v>1360</v>
      </c>
      <c r="G691" s="12">
        <v>1842</v>
      </c>
      <c r="H691" s="12"/>
      <c r="I691" s="12"/>
      <c r="J691" s="12">
        <v>1850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1850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1225</v>
      </c>
      <c r="D692" s="11" t="s">
        <v>48</v>
      </c>
      <c r="E692" s="11" t="s">
        <v>60</v>
      </c>
      <c r="F692" s="11" t="s">
        <v>1226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324</v>
      </c>
      <c r="D693" s="15" t="s">
        <v>45</v>
      </c>
      <c r="E693" s="11" t="s">
        <v>26</v>
      </c>
      <c r="F693" s="11" t="s">
        <v>325</v>
      </c>
      <c r="G693" s="12">
        <v>1844</v>
      </c>
      <c r="H693" s="12"/>
      <c r="I693" s="12"/>
      <c r="J693" s="12">
        <v>1819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1644</v>
      </c>
      <c r="D695" s="15" t="s">
        <v>45</v>
      </c>
      <c r="E695" s="11" t="s">
        <v>26</v>
      </c>
      <c r="F695" s="11" t="s">
        <v>1645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6</v>
      </c>
      <c r="C696" s="11" t="s">
        <v>82</v>
      </c>
      <c r="D696" s="15" t="s">
        <v>45</v>
      </c>
      <c r="E696" s="11" t="s">
        <v>26</v>
      </c>
      <c r="F696" s="11" t="s">
        <v>83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1201</v>
      </c>
      <c r="D698" s="11" t="s">
        <v>69</v>
      </c>
      <c r="E698" s="11" t="s">
        <v>26</v>
      </c>
      <c r="F698" s="11" t="s">
        <v>1202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820</v>
      </c>
      <c r="D699" s="15" t="s">
        <v>59</v>
      </c>
      <c r="E699" s="11" t="s">
        <v>60</v>
      </c>
      <c r="F699" s="11" t="s">
        <v>821</v>
      </c>
      <c r="G699" s="12">
        <v>2049</v>
      </c>
      <c r="H699" s="12"/>
      <c r="I699" s="12"/>
      <c r="J699" s="12">
        <v>2039</v>
      </c>
      <c r="K699" s="12">
        <f t="shared" si="131"/>
        <v>0</v>
      </c>
      <c r="L699" s="12">
        <f t="shared" si="132"/>
        <v>2049</v>
      </c>
      <c r="M699" s="12" t="str">
        <f t="shared" si="133"/>
        <v/>
      </c>
      <c r="N699" s="12">
        <f t="shared" si="134"/>
        <v>2039</v>
      </c>
      <c r="O699" s="12" t="str">
        <f t="shared" si="135"/>
        <v/>
      </c>
      <c r="P699" s="12" t="str">
        <f t="shared" si="136"/>
        <v/>
      </c>
      <c r="Q699" s="12" t="s">
        <v>61</v>
      </c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1039</v>
      </c>
      <c r="D700" s="15" t="s">
        <v>78</v>
      </c>
      <c r="E700" s="11" t="s">
        <v>26</v>
      </c>
      <c r="F700" s="11" t="s">
        <v>1040</v>
      </c>
      <c r="G700" s="12">
        <v>1845</v>
      </c>
      <c r="H700" s="12"/>
      <c r="I700" s="12"/>
      <c r="J700" s="12">
        <v>1809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1809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1246</v>
      </c>
      <c r="D701" s="15" t="s">
        <v>45</v>
      </c>
      <c r="E701" s="11" t="s">
        <v>60</v>
      </c>
      <c r="F701" s="11" t="s">
        <v>1247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14</v>
      </c>
      <c r="C702" s="11" t="s">
        <v>1107</v>
      </c>
      <c r="D702" s="15" t="s">
        <v>78</v>
      </c>
      <c r="E702" s="11" t="s">
        <v>26</v>
      </c>
      <c r="F702" s="11" t="s">
        <v>1108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1045</v>
      </c>
      <c r="D703" s="15" t="s">
        <v>45</v>
      </c>
      <c r="E703" s="11" t="s">
        <v>26</v>
      </c>
      <c r="F703" s="11" t="s">
        <v>1046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60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1125</v>
      </c>
      <c r="D705" s="15" t="s">
        <v>69</v>
      </c>
      <c r="E705" s="11" t="s">
        <v>60</v>
      </c>
      <c r="F705" s="11" t="s">
        <v>1126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1127</v>
      </c>
      <c r="D706" s="15" t="s">
        <v>69</v>
      </c>
      <c r="E706" s="11" t="s">
        <v>26</v>
      </c>
      <c r="F706" s="11" t="s">
        <v>1128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16" customFormat="1" ht="28.5" customHeight="1">
      <c r="A707" s="11" t="str">
        <f t="shared" si="130"/>
        <v/>
      </c>
      <c r="B707" s="11" t="s">
        <v>6</v>
      </c>
      <c r="C707" s="11" t="s">
        <v>462</v>
      </c>
      <c r="D707" s="11" t="s">
        <v>57</v>
      </c>
      <c r="E707" s="11" t="s">
        <v>26</v>
      </c>
      <c r="F707" s="11" t="s">
        <v>463</v>
      </c>
      <c r="G707" s="12">
        <v>1845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460</v>
      </c>
      <c r="D708" s="11" t="s">
        <v>57</v>
      </c>
      <c r="E708" s="11" t="s">
        <v>60</v>
      </c>
      <c r="F708" s="11" t="s">
        <v>461</v>
      </c>
      <c r="G708" s="12">
        <v>1845</v>
      </c>
      <c r="H708" s="12"/>
      <c r="I708" s="12"/>
      <c r="J708" s="12">
        <v>1839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8</v>
      </c>
      <c r="C709" s="11" t="s">
        <v>1454</v>
      </c>
      <c r="D709" s="15" t="s">
        <v>59</v>
      </c>
      <c r="E709" s="11" t="s">
        <v>26</v>
      </c>
      <c r="F709" s="11" t="s">
        <v>1455</v>
      </c>
      <c r="G709" s="12">
        <v>1845</v>
      </c>
      <c r="H709" s="12"/>
      <c r="I709" s="12"/>
      <c r="J709" s="12">
        <v>1849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378</v>
      </c>
      <c r="D710" s="15" t="s">
        <v>78</v>
      </c>
      <c r="E710" s="11" t="s">
        <v>60</v>
      </c>
      <c r="F710" s="11" t="s">
        <v>379</v>
      </c>
      <c r="G710" s="12">
        <v>1847</v>
      </c>
      <c r="H710" s="12"/>
      <c r="I710" s="12"/>
      <c r="J710" s="12">
        <v>1827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1827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1197</v>
      </c>
      <c r="D711" s="15" t="s">
        <v>78</v>
      </c>
      <c r="E711" s="11" t="s">
        <v>26</v>
      </c>
      <c r="F711" s="11" t="s">
        <v>1198</v>
      </c>
      <c r="G711" s="12">
        <v>1847</v>
      </c>
      <c r="H711" s="12"/>
      <c r="I711" s="12"/>
      <c r="J711" s="12">
        <v>1837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1837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328</v>
      </c>
      <c r="D712" s="11" t="s">
        <v>57</v>
      </c>
      <c r="E712" s="11" t="s">
        <v>26</v>
      </c>
      <c r="F712" s="11" t="s">
        <v>329</v>
      </c>
      <c r="G712" s="12">
        <v>1848</v>
      </c>
      <c r="H712" s="12"/>
      <c r="I712" s="12"/>
      <c r="J712" s="12">
        <v>1798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1798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384</v>
      </c>
      <c r="D713" s="15" t="s">
        <v>59</v>
      </c>
      <c r="E713" s="11" t="s">
        <v>26</v>
      </c>
      <c r="F713" s="11" t="s">
        <v>385</v>
      </c>
      <c r="G713" s="12">
        <v>1848</v>
      </c>
      <c r="H713" s="12"/>
      <c r="I713" s="12"/>
      <c r="J713" s="12">
        <v>1818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1818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1082</v>
      </c>
      <c r="D715" s="15" t="s">
        <v>45</v>
      </c>
      <c r="E715" s="11" t="s">
        <v>26</v>
      </c>
      <c r="F715" s="11" t="s">
        <v>1083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1601</v>
      </c>
      <c r="D716" s="15" t="s">
        <v>78</v>
      </c>
      <c r="E716" s="11" t="s">
        <v>60</v>
      </c>
      <c r="F716" s="11" t="s">
        <v>1602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IF($T719="","",1+COUNTIF($W$15:$W$879,"&lt;"&amp;W719))</f>
        <v/>
      </c>
      <c r="B719" s="11" t="s">
        <v>12</v>
      </c>
      <c r="C719" s="11" t="s">
        <v>1468</v>
      </c>
      <c r="D719" s="15" t="s">
        <v>69</v>
      </c>
      <c r="E719" s="11" t="s">
        <v>26</v>
      </c>
      <c r="F719" s="11" t="s">
        <v>1469</v>
      </c>
      <c r="G719" s="12">
        <v>1848</v>
      </c>
      <c r="H719" s="12"/>
      <c r="I719" s="12"/>
      <c r="J719" s="12">
        <v>1848</v>
      </c>
      <c r="K719" s="12">
        <f t="shared" ref="K719:K73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1023</v>
      </c>
      <c r="D721" s="15" t="s">
        <v>78</v>
      </c>
      <c r="E721" s="11" t="s">
        <v>26</v>
      </c>
      <c r="F721" s="11" t="s">
        <v>1024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932</v>
      </c>
      <c r="D723" s="15" t="s">
        <v>69</v>
      </c>
      <c r="E723" s="11" t="s">
        <v>26</v>
      </c>
      <c r="F723" s="11" t="s">
        <v>933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10</v>
      </c>
      <c r="C724" s="11" t="s">
        <v>1626</v>
      </c>
      <c r="D724" s="15" t="s">
        <v>45</v>
      </c>
      <c r="E724" s="11" t="s">
        <v>26</v>
      </c>
      <c r="F724" s="11" t="s">
        <v>1627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702</v>
      </c>
      <c r="D725" s="11" t="s">
        <v>57</v>
      </c>
      <c r="E725" s="11" t="s">
        <v>26</v>
      </c>
      <c r="F725" s="11" t="s">
        <v>703</v>
      </c>
      <c r="G725" s="12">
        <v>1849</v>
      </c>
      <c r="H725" s="12"/>
      <c r="I725" s="12"/>
      <c r="J725" s="12">
        <v>1834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480</v>
      </c>
      <c r="D726" s="11" t="s">
        <v>69</v>
      </c>
      <c r="E726" s="11" t="s">
        <v>26</v>
      </c>
      <c r="F726" s="11" t="s">
        <v>481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1314</v>
      </c>
      <c r="D727" s="15" t="s">
        <v>69</v>
      </c>
      <c r="E727" s="11" t="s">
        <v>26</v>
      </c>
      <c r="F727" s="11" t="s">
        <v>1315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1149</v>
      </c>
      <c r="D728" s="11" t="s">
        <v>57</v>
      </c>
      <c r="E728" s="11" t="s">
        <v>60</v>
      </c>
      <c r="F728" s="11" t="s">
        <v>1150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78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1092</v>
      </c>
      <c r="D730" s="11" t="s">
        <v>57</v>
      </c>
      <c r="E730" s="11" t="s">
        <v>26</v>
      </c>
      <c r="F730" s="11" t="s">
        <v>1093</v>
      </c>
      <c r="G730" s="12">
        <v>1852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18</v>
      </c>
      <c r="C731" s="11" t="s">
        <v>184</v>
      </c>
      <c r="D731" s="15" t="s">
        <v>45</v>
      </c>
      <c r="E731" s="11" t="s">
        <v>60</v>
      </c>
      <c r="F731" s="11" t="s">
        <v>185</v>
      </c>
      <c r="G731" s="12">
        <v>1852</v>
      </c>
      <c r="H731" s="12"/>
      <c r="I731" s="12"/>
      <c r="J731" s="12">
        <v>1840</v>
      </c>
      <c r="K731" s="12"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1840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447</v>
      </c>
      <c r="D732" s="11" t="s">
        <v>93</v>
      </c>
      <c r="E732" s="11" t="s">
        <v>60</v>
      </c>
      <c r="F732" s="11" t="s">
        <v>450</v>
      </c>
      <c r="G732" s="12">
        <v>1853</v>
      </c>
      <c r="H732" s="12"/>
      <c r="I732" s="12"/>
      <c r="J732" s="12">
        <v>1823</v>
      </c>
      <c r="K732" s="12">
        <f t="shared" ref="K732:K763" si="156">IF(AND(IFERROR(SEARCH("현대오일뱅크",$C732),0)&gt;0,IFERROR(SEARCH("직영",$C732),0)&gt;0),$B$13,0)</f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731</v>
      </c>
      <c r="D733" s="15" t="s">
        <v>59</v>
      </c>
      <c r="E733" s="11" t="s">
        <v>26</v>
      </c>
      <c r="F733" s="11" t="s">
        <v>732</v>
      </c>
      <c r="G733" s="12">
        <v>1853</v>
      </c>
      <c r="H733" s="12"/>
      <c r="I733" s="12"/>
      <c r="J733" s="12">
        <v>1823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1035</v>
      </c>
      <c r="D734" s="11" t="s">
        <v>48</v>
      </c>
      <c r="E734" s="11" t="s">
        <v>26</v>
      </c>
      <c r="F734" s="11" t="s">
        <v>1036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451</v>
      </c>
      <c r="D735" s="15" t="s">
        <v>78</v>
      </c>
      <c r="E735" s="11" t="s">
        <v>26</v>
      </c>
      <c r="F735" s="11" t="s">
        <v>452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1828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952</v>
      </c>
      <c r="D737" s="11" t="s">
        <v>57</v>
      </c>
      <c r="E737" s="11" t="s">
        <v>26</v>
      </c>
      <c r="F737" s="11" t="s">
        <v>953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1440</v>
      </c>
      <c r="D738" s="15" t="s">
        <v>59</v>
      </c>
      <c r="E738" s="11" t="s">
        <v>26</v>
      </c>
      <c r="F738" s="11" t="s">
        <v>1441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1466</v>
      </c>
      <c r="D739" s="15" t="s">
        <v>59</v>
      </c>
      <c r="E739" s="11" t="s">
        <v>26</v>
      </c>
      <c r="F739" s="11" t="s">
        <v>1467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1043</v>
      </c>
      <c r="D740" s="15" t="s">
        <v>78</v>
      </c>
      <c r="E740" s="11" t="s">
        <v>26</v>
      </c>
      <c r="F740" s="11" t="s">
        <v>1044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1183</v>
      </c>
      <c r="D743" s="11" t="s">
        <v>57</v>
      </c>
      <c r="E743" s="11" t="s">
        <v>26</v>
      </c>
      <c r="F743" s="11" t="s">
        <v>1184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1415</v>
      </c>
      <c r="D745" s="15" t="s">
        <v>59</v>
      </c>
      <c r="E745" s="11" t="s">
        <v>60</v>
      </c>
      <c r="F745" s="11" t="s">
        <v>1417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954</v>
      </c>
      <c r="D747" s="11" t="s">
        <v>69</v>
      </c>
      <c r="E747" s="11" t="s">
        <v>26</v>
      </c>
      <c r="F747" s="11" t="s">
        <v>955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1023</v>
      </c>
      <c r="D750" s="11" t="s">
        <v>57</v>
      </c>
      <c r="E750" s="11" t="s">
        <v>60</v>
      </c>
      <c r="F750" s="11" t="s">
        <v>1025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1478</v>
      </c>
      <c r="D751" s="11" t="s">
        <v>57</v>
      </c>
      <c r="E751" s="11" t="s">
        <v>60</v>
      </c>
      <c r="F751" s="11" t="s">
        <v>1480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1446</v>
      </c>
      <c r="D753" s="15" t="s">
        <v>59</v>
      </c>
      <c r="E753" s="11" t="s">
        <v>60</v>
      </c>
      <c r="F753" s="11" t="s">
        <v>1447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1683</v>
      </c>
      <c r="D754" s="11" t="s">
        <v>57</v>
      </c>
      <c r="E754" s="11" t="s">
        <v>60</v>
      </c>
      <c r="F754" s="11" t="s">
        <v>1684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1620</v>
      </c>
      <c r="D756" s="11" t="s">
        <v>57</v>
      </c>
      <c r="E756" s="11" t="s">
        <v>60</v>
      </c>
      <c r="F756" s="11" t="s">
        <v>1621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372</v>
      </c>
      <c r="D760" s="15" t="s">
        <v>45</v>
      </c>
      <c r="E760" s="11" t="s">
        <v>26</v>
      </c>
      <c r="F760" s="11" t="s">
        <v>373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1531</v>
      </c>
      <c r="D763" s="11" t="s">
        <v>69</v>
      </c>
      <c r="E763" s="11" t="s">
        <v>60</v>
      </c>
      <c r="F763" s="11" t="s">
        <v>1532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342</v>
      </c>
      <c r="D764" s="15" t="s">
        <v>45</v>
      </c>
      <c r="E764" s="11" t="s">
        <v>26</v>
      </c>
      <c r="F764" s="11" t="s">
        <v>343</v>
      </c>
      <c r="G764" s="12">
        <v>1859</v>
      </c>
      <c r="H764" s="12"/>
      <c r="I764" s="12"/>
      <c r="J764" s="12">
        <v>1869</v>
      </c>
      <c r="K764" s="12">
        <f>IF(AND(IFERROR(SEARCH("현대오일뱅크",$C764),0)&gt;0,IFERROR(SEARCH("직영",$C764),0)&gt;0),$B$13,0)</f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1642</v>
      </c>
      <c r="D765" s="11" t="s">
        <v>57</v>
      </c>
      <c r="E765" s="11" t="s">
        <v>26</v>
      </c>
      <c r="F765" s="11" t="s">
        <v>1643</v>
      </c>
      <c r="G765" s="12">
        <v>1859</v>
      </c>
      <c r="H765" s="12"/>
      <c r="I765" s="12"/>
      <c r="J765" s="12">
        <v>1869</v>
      </c>
      <c r="K765" s="12">
        <f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604</v>
      </c>
      <c r="D766" s="15" t="s">
        <v>45</v>
      </c>
      <c r="E766" s="11" t="s">
        <v>26</v>
      </c>
      <c r="F766" s="11" t="s">
        <v>605</v>
      </c>
      <c r="G766" s="12">
        <v>1860</v>
      </c>
      <c r="H766" s="12"/>
      <c r="I766" s="12"/>
      <c r="J766" s="12">
        <v>1820</v>
      </c>
      <c r="K766" s="12">
        <f>IF(AND(IFERROR(SEARCH("현대오일뱅크",$C766),0)&gt;0,IFERROR(SEARCH("직영",$C766),0)&gt;0),$B$13,0)</f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1517</v>
      </c>
      <c r="D767" s="11" t="s">
        <v>69</v>
      </c>
      <c r="E767" s="11" t="s">
        <v>60</v>
      </c>
      <c r="F767" s="11" t="s">
        <v>1518</v>
      </c>
      <c r="G767" s="12">
        <v>1860</v>
      </c>
      <c r="H767" s="12"/>
      <c r="I767" s="12"/>
      <c r="J767" s="12">
        <v>1820</v>
      </c>
      <c r="K767" s="12">
        <f>IF(AND(IFERROR(SEARCH("현대오일뱅크",$C767),0)&gt;0,IFERROR(SEARCH("직영",$C767),0)&gt;0),$B$13,0)</f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1205</v>
      </c>
      <c r="D768" s="15" t="s">
        <v>45</v>
      </c>
      <c r="E768" s="11" t="s">
        <v>26</v>
      </c>
      <c r="F768" s="11" t="s">
        <v>1206</v>
      </c>
      <c r="G768" s="12">
        <v>1860</v>
      </c>
      <c r="H768" s="12"/>
      <c r="I768" s="12"/>
      <c r="J768" s="12">
        <v>1830</v>
      </c>
      <c r="K768" s="12">
        <f>IF(AND(IFERROR(SEARCH("현대오일뱅크",$C768),0)&gt;0,IFERROR(SEARCH("직영",$C768),0)&gt;0),$B$13,0)</f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220</v>
      </c>
      <c r="D769" s="15" t="s">
        <v>45</v>
      </c>
      <c r="E769" s="11" t="s">
        <v>26</v>
      </c>
      <c r="F769" s="11" t="s">
        <v>221</v>
      </c>
      <c r="G769" s="12">
        <v>1864</v>
      </c>
      <c r="H769" s="12"/>
      <c r="I769" s="12"/>
      <c r="J769" s="12">
        <v>1854</v>
      </c>
      <c r="K769" s="12">
        <v>0</v>
      </c>
      <c r="L769" s="12">
        <f t="shared" si="145"/>
        <v>1864</v>
      </c>
      <c r="M769" s="12" t="str">
        <f t="shared" si="146"/>
        <v/>
      </c>
      <c r="N769" s="12">
        <f t="shared" si="147"/>
        <v>1854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1654</v>
      </c>
      <c r="D770" s="11" t="s">
        <v>57</v>
      </c>
      <c r="E770" s="11" t="s">
        <v>26</v>
      </c>
      <c r="F770" s="11" t="s">
        <v>1655</v>
      </c>
      <c r="G770" s="12">
        <v>1865</v>
      </c>
      <c r="H770" s="12"/>
      <c r="I770" s="12"/>
      <c r="J770" s="12">
        <v>1825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1825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824</v>
      </c>
      <c r="D771" s="15" t="s">
        <v>45</v>
      </c>
      <c r="E771" s="11" t="s">
        <v>60</v>
      </c>
      <c r="F771" s="11" t="s">
        <v>825</v>
      </c>
      <c r="G771" s="12">
        <v>1865</v>
      </c>
      <c r="H771" s="12"/>
      <c r="I771" s="12"/>
      <c r="J771" s="12">
        <v>1835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1835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791</v>
      </c>
      <c r="D772" s="15" t="s">
        <v>45</v>
      </c>
      <c r="E772" s="11" t="s">
        <v>26</v>
      </c>
      <c r="F772" s="11" t="s">
        <v>792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6</v>
      </c>
      <c r="C773" s="11" t="s">
        <v>1687</v>
      </c>
      <c r="D773" s="15" t="s">
        <v>45</v>
      </c>
      <c r="E773" s="11" t="s">
        <v>60</v>
      </c>
      <c r="F773" s="11" t="s">
        <v>1688</v>
      </c>
      <c r="G773" s="12">
        <v>1866</v>
      </c>
      <c r="H773" s="12"/>
      <c r="I773" s="12"/>
      <c r="J773" s="12">
        <v>1850</v>
      </c>
      <c r="K773" s="12">
        <v>0</v>
      </c>
      <c r="L773" s="12">
        <f t="shared" si="145"/>
        <v>1866</v>
      </c>
      <c r="M773" s="12" t="str">
        <f t="shared" si="146"/>
        <v/>
      </c>
      <c r="N773" s="12">
        <f t="shared" si="147"/>
        <v>1850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1470</v>
      </c>
      <c r="D774" s="15" t="s">
        <v>78</v>
      </c>
      <c r="E774" s="11" t="s">
        <v>26</v>
      </c>
      <c r="F774" s="11" t="s">
        <v>1471</v>
      </c>
      <c r="G774" s="12">
        <v>1867</v>
      </c>
      <c r="H774" s="12"/>
      <c r="I774" s="12"/>
      <c r="J774" s="12">
        <v>1853</v>
      </c>
      <c r="K774" s="12">
        <f t="shared" ref="K774:K792" si="157">IF(AND(IFERROR(SEARCH("현대오일뱅크",$C774),0)&gt;0,IFERROR(SEARCH("직영",$C774),0)&gt;0),$B$13,0)</f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1853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1611</v>
      </c>
      <c r="D775" s="15" t="s">
        <v>45</v>
      </c>
      <c r="E775" s="11" t="s">
        <v>26</v>
      </c>
      <c r="F775" s="11" t="s">
        <v>1612</v>
      </c>
      <c r="G775" s="12">
        <v>1867</v>
      </c>
      <c r="H775" s="12"/>
      <c r="I775" s="12"/>
      <c r="J775" s="12">
        <v>1867</v>
      </c>
      <c r="K775" s="12">
        <f t="shared" si="157"/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1867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1350</v>
      </c>
      <c r="D776" s="11" t="s">
        <v>69</v>
      </c>
      <c r="E776" s="11" t="s">
        <v>60</v>
      </c>
      <c r="F776" s="11" t="s">
        <v>1351</v>
      </c>
      <c r="G776" s="12">
        <v>1868</v>
      </c>
      <c r="H776" s="12"/>
      <c r="I776" s="12"/>
      <c r="J776" s="12">
        <v>1838</v>
      </c>
      <c r="K776" s="12">
        <f t="shared" si="157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1838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1231</v>
      </c>
      <c r="D777" s="15" t="s">
        <v>57</v>
      </c>
      <c r="E777" s="11" t="s">
        <v>60</v>
      </c>
      <c r="F777" s="11" t="s">
        <v>1232</v>
      </c>
      <c r="G777" s="12">
        <v>1868</v>
      </c>
      <c r="H777" s="12"/>
      <c r="I777" s="12"/>
      <c r="J777" s="12">
        <v>1848</v>
      </c>
      <c r="K777" s="12">
        <f t="shared" si="157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1848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352</v>
      </c>
      <c r="D778" s="11" t="s">
        <v>57</v>
      </c>
      <c r="E778" s="11" t="s">
        <v>26</v>
      </c>
      <c r="F778" s="11" t="s">
        <v>353</v>
      </c>
      <c r="G778" s="12">
        <v>1869</v>
      </c>
      <c r="H778" s="12"/>
      <c r="I778" s="12"/>
      <c r="J778" s="12">
        <v>1823</v>
      </c>
      <c r="K778" s="12">
        <f t="shared" si="157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354</v>
      </c>
      <c r="D779" s="11" t="s">
        <v>57</v>
      </c>
      <c r="E779" s="11" t="s">
        <v>26</v>
      </c>
      <c r="F779" s="11" t="s">
        <v>355</v>
      </c>
      <c r="G779" s="12">
        <v>1869</v>
      </c>
      <c r="H779" s="12"/>
      <c r="I779" s="12"/>
      <c r="J779" s="12">
        <v>1823</v>
      </c>
      <c r="K779" s="12">
        <f t="shared" si="157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57</v>
      </c>
      <c r="E780" s="11" t="s">
        <v>26</v>
      </c>
      <c r="F780" s="11" t="s">
        <v>1347</v>
      </c>
      <c r="G780" s="12">
        <v>1869</v>
      </c>
      <c r="H780" s="12"/>
      <c r="I780" s="12"/>
      <c r="J780" s="12">
        <v>1829</v>
      </c>
      <c r="K780" s="12">
        <f t="shared" si="157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1274</v>
      </c>
      <c r="D781" s="15" t="s">
        <v>45</v>
      </c>
      <c r="E781" s="11" t="s">
        <v>60</v>
      </c>
      <c r="F781" s="11" t="s">
        <v>1275</v>
      </c>
      <c r="G781" s="12">
        <v>1869</v>
      </c>
      <c r="H781" s="12"/>
      <c r="I781" s="12"/>
      <c r="J781" s="12">
        <v>1839</v>
      </c>
      <c r="K781" s="12">
        <f t="shared" si="157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782</v>
      </c>
      <c r="D782" s="15" t="s">
        <v>45</v>
      </c>
      <c r="E782" s="11" t="s">
        <v>60</v>
      </c>
      <c r="F782" s="11" t="s">
        <v>783</v>
      </c>
      <c r="G782" s="12">
        <v>1869</v>
      </c>
      <c r="H782" s="12"/>
      <c r="I782" s="12"/>
      <c r="J782" s="12">
        <v>1839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8">IF($T783="","",1+COUNTIF($W$15:$W$879,"&lt;"&amp;W783))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1849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12</v>
      </c>
      <c r="C784" s="11" t="s">
        <v>1708</v>
      </c>
      <c r="D784" s="15" t="s">
        <v>78</v>
      </c>
      <c r="E784" s="11" t="s">
        <v>26</v>
      </c>
      <c r="F784" s="11" t="s">
        <v>1709</v>
      </c>
      <c r="G784" s="12">
        <v>1869</v>
      </c>
      <c r="H784" s="12"/>
      <c r="I784" s="12"/>
      <c r="J784" s="12">
        <v>1859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1859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7" customFormat="1" ht="28.5" customHeight="1">
      <c r="A785" s="11" t="str">
        <f t="shared" si="158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1859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14</v>
      </c>
      <c r="C786" s="11" t="s">
        <v>1159</v>
      </c>
      <c r="D786" s="11" t="s">
        <v>69</v>
      </c>
      <c r="E786" s="11" t="s">
        <v>26</v>
      </c>
      <c r="F786" s="11" t="s">
        <v>1160</v>
      </c>
      <c r="G786" s="12">
        <v>1869</v>
      </c>
      <c r="H786" s="12"/>
      <c r="I786" s="12"/>
      <c r="J786" s="12">
        <v>1869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1869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16" customFormat="1" ht="28.5" customHeight="1">
      <c r="A787" s="11" t="str">
        <f t="shared" si="158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1830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8</v>
      </c>
      <c r="C788" s="11" t="s">
        <v>956</v>
      </c>
      <c r="D788" s="11" t="s">
        <v>69</v>
      </c>
      <c r="E788" s="11" t="s">
        <v>60</v>
      </c>
      <c r="F788" s="11" t="s">
        <v>957</v>
      </c>
      <c r="G788" s="12">
        <v>1870</v>
      </c>
      <c r="H788" s="12"/>
      <c r="I788" s="12"/>
      <c r="J788" s="12">
        <v>1850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1850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12</v>
      </c>
      <c r="C789" s="11" t="s">
        <v>1418</v>
      </c>
      <c r="D789" s="15" t="s">
        <v>45</v>
      </c>
      <c r="E789" s="11" t="s">
        <v>60</v>
      </c>
      <c r="F789" s="11" t="s">
        <v>1419</v>
      </c>
      <c r="G789" s="12">
        <v>1870</v>
      </c>
      <c r="H789" s="12"/>
      <c r="I789" s="12"/>
      <c r="J789" s="12">
        <v>1850</v>
      </c>
      <c r="K789" s="12">
        <f t="shared" si="157"/>
        <v>0</v>
      </c>
      <c r="L789" s="12">
        <f t="shared" si="159"/>
        <v>1870</v>
      </c>
      <c r="M789" s="12" t="str">
        <f t="shared" si="160"/>
        <v/>
      </c>
      <c r="N789" s="12">
        <f t="shared" si="161"/>
        <v>1850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1860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1302</v>
      </c>
      <c r="D791" s="11" t="s">
        <v>69</v>
      </c>
      <c r="E791" s="11" t="s">
        <v>60</v>
      </c>
      <c r="F791" s="11" t="s">
        <v>1303</v>
      </c>
      <c r="G791" s="12">
        <v>1870</v>
      </c>
      <c r="H791" s="12"/>
      <c r="I791" s="12"/>
      <c r="J791" s="12">
        <v>1870</v>
      </c>
      <c r="K791" s="12">
        <f t="shared" si="157"/>
        <v>0</v>
      </c>
      <c r="L791" s="12">
        <f t="shared" si="159"/>
        <v>1870</v>
      </c>
      <c r="M791" s="12" t="str">
        <f t="shared" si="160"/>
        <v/>
      </c>
      <c r="N791" s="12">
        <f t="shared" si="161"/>
        <v>1870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18</v>
      </c>
      <c r="C792" s="11" t="s">
        <v>1573</v>
      </c>
      <c r="D792" s="11" t="s">
        <v>69</v>
      </c>
      <c r="E792" s="11" t="s">
        <v>60</v>
      </c>
      <c r="F792" s="11" t="s">
        <v>1574</v>
      </c>
      <c r="G792" s="12">
        <v>1870</v>
      </c>
      <c r="H792" s="12"/>
      <c r="I792" s="12"/>
      <c r="J792" s="12">
        <v>1870</v>
      </c>
      <c r="K792" s="12">
        <f t="shared" si="157"/>
        <v>0</v>
      </c>
      <c r="L792" s="12">
        <f t="shared" si="159"/>
        <v>1870</v>
      </c>
      <c r="M792" s="12" t="str">
        <f t="shared" si="160"/>
        <v/>
      </c>
      <c r="N792" s="12">
        <f t="shared" si="161"/>
        <v>1870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10</v>
      </c>
      <c r="C793" s="11" t="s">
        <v>214</v>
      </c>
      <c r="D793" s="15" t="s">
        <v>45</v>
      </c>
      <c r="E793" s="11" t="s">
        <v>60</v>
      </c>
      <c r="F793" s="11" t="s">
        <v>215</v>
      </c>
      <c r="G793" s="12">
        <v>1874</v>
      </c>
      <c r="H793" s="12"/>
      <c r="I793" s="12"/>
      <c r="J793" s="12">
        <v>1854</v>
      </c>
      <c r="K793" s="12">
        <v>0</v>
      </c>
      <c r="L793" s="12">
        <f t="shared" si="159"/>
        <v>1874</v>
      </c>
      <c r="M793" s="12" t="str">
        <f t="shared" si="160"/>
        <v/>
      </c>
      <c r="N793" s="12">
        <f t="shared" si="161"/>
        <v>1854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8</v>
      </c>
      <c r="C794" s="11" t="s">
        <v>960</v>
      </c>
      <c r="D794" s="11" t="s">
        <v>69</v>
      </c>
      <c r="E794" s="11" t="s">
        <v>26</v>
      </c>
      <c r="F794" s="11" t="s">
        <v>961</v>
      </c>
      <c r="G794" s="12">
        <v>1875</v>
      </c>
      <c r="H794" s="12"/>
      <c r="I794" s="12"/>
      <c r="J794" s="12">
        <v>1855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1855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8</v>
      </c>
      <c r="C795" s="11" t="s">
        <v>647</v>
      </c>
      <c r="D795" s="11" t="s">
        <v>69</v>
      </c>
      <c r="E795" s="11" t="s">
        <v>60</v>
      </c>
      <c r="F795" s="11" t="s">
        <v>648</v>
      </c>
      <c r="G795" s="12">
        <v>1875</v>
      </c>
      <c r="H795" s="12"/>
      <c r="I795" s="12"/>
      <c r="J795" s="12">
        <v>1859</v>
      </c>
      <c r="K795" s="12">
        <f>IF(AND(IFERROR(SEARCH("현대오일뱅크",$C795),0)&gt;0,IFERROR(SEARCH("직영",$C795),0)&gt;0),$B$13,0)</f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1859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16</v>
      </c>
      <c r="C796" s="11" t="s">
        <v>1203</v>
      </c>
      <c r="D796" s="11" t="s">
        <v>69</v>
      </c>
      <c r="E796" s="11" t="s">
        <v>26</v>
      </c>
      <c r="F796" s="11" t="s">
        <v>1204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1865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10</v>
      </c>
      <c r="C797" s="11" t="s">
        <v>1533</v>
      </c>
      <c r="D797" s="15" t="s">
        <v>45</v>
      </c>
      <c r="E797" s="11" t="s">
        <v>60</v>
      </c>
      <c r="F797" s="11" t="s">
        <v>1534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1865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1537</v>
      </c>
      <c r="D798" s="11" t="s">
        <v>57</v>
      </c>
      <c r="E798" s="11" t="s">
        <v>26</v>
      </c>
      <c r="F798" s="11" t="s">
        <v>1538</v>
      </c>
      <c r="G798" s="12">
        <v>1875</v>
      </c>
      <c r="H798" s="12"/>
      <c r="I798" s="12"/>
      <c r="J798" s="12">
        <v>1868</v>
      </c>
      <c r="K798" s="12">
        <f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1868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194</v>
      </c>
      <c r="D799" s="15" t="s">
        <v>45</v>
      </c>
      <c r="E799" s="11" t="s">
        <v>60</v>
      </c>
      <c r="F799" s="11" t="s">
        <v>195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1870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12</v>
      </c>
      <c r="C800" s="11" t="s">
        <v>208</v>
      </c>
      <c r="D800" s="15" t="s">
        <v>45</v>
      </c>
      <c r="E800" s="11" t="s">
        <v>60</v>
      </c>
      <c r="F800" s="11" t="s">
        <v>209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1870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12</v>
      </c>
      <c r="C801" s="11" t="s">
        <v>222</v>
      </c>
      <c r="D801" s="15" t="s">
        <v>45</v>
      </c>
      <c r="E801" s="11" t="s">
        <v>60</v>
      </c>
      <c r="F801" s="11" t="s">
        <v>223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1870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6</v>
      </c>
      <c r="C802" s="11" t="s">
        <v>136</v>
      </c>
      <c r="D802" s="15" t="s">
        <v>45</v>
      </c>
      <c r="E802" s="11" t="s">
        <v>26</v>
      </c>
      <c r="F802" s="11" t="s">
        <v>137</v>
      </c>
      <c r="G802" s="12">
        <v>1875</v>
      </c>
      <c r="H802" s="12"/>
      <c r="I802" s="12"/>
      <c r="J802" s="12">
        <v>1875</v>
      </c>
      <c r="K802" s="12">
        <f t="shared" ref="K802:K833" si="170"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1875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7" customFormat="1" ht="28.5" customHeight="1">
      <c r="A803" s="11" t="str">
        <f t="shared" si="158"/>
        <v/>
      </c>
      <c r="B803" s="11" t="s">
        <v>14</v>
      </c>
      <c r="C803" s="11" t="s">
        <v>1342</v>
      </c>
      <c r="D803" s="11" t="s">
        <v>57</v>
      </c>
      <c r="E803" s="11" t="s">
        <v>26</v>
      </c>
      <c r="F803" s="11" t="s">
        <v>1343</v>
      </c>
      <c r="G803" s="12">
        <v>1878</v>
      </c>
      <c r="H803" s="12"/>
      <c r="I803" s="12"/>
      <c r="J803" s="12">
        <v>1877</v>
      </c>
      <c r="K803" s="12">
        <f t="shared" si="170"/>
        <v>0</v>
      </c>
      <c r="L803" s="12">
        <f t="shared" si="159"/>
        <v>1878</v>
      </c>
      <c r="M803" s="12" t="str">
        <f t="shared" si="160"/>
        <v/>
      </c>
      <c r="N803" s="12">
        <f t="shared" si="161"/>
        <v>1877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7" customFormat="1" ht="28.5" customHeight="1">
      <c r="A804" s="11" t="str">
        <f t="shared" si="158"/>
        <v/>
      </c>
      <c r="B804" s="11" t="s">
        <v>14</v>
      </c>
      <c r="C804" s="11" t="s">
        <v>690</v>
      </c>
      <c r="D804" s="11" t="s">
        <v>57</v>
      </c>
      <c r="E804" s="11" t="s">
        <v>26</v>
      </c>
      <c r="F804" s="11" t="s">
        <v>691</v>
      </c>
      <c r="G804" s="12">
        <v>1878</v>
      </c>
      <c r="H804" s="12"/>
      <c r="I804" s="12"/>
      <c r="J804" s="12">
        <v>1878</v>
      </c>
      <c r="K804" s="12">
        <f t="shared" si="170"/>
        <v>0</v>
      </c>
      <c r="L804" s="12">
        <f t="shared" si="159"/>
        <v>1878</v>
      </c>
      <c r="M804" s="12" t="str">
        <f t="shared" si="160"/>
        <v/>
      </c>
      <c r="N804" s="12">
        <f t="shared" si="161"/>
        <v>1878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1076</v>
      </c>
      <c r="D805" s="11" t="s">
        <v>57</v>
      </c>
      <c r="E805" s="11" t="s">
        <v>26</v>
      </c>
      <c r="F805" s="11" t="s">
        <v>1077</v>
      </c>
      <c r="G805" s="12">
        <v>1879</v>
      </c>
      <c r="H805" s="12"/>
      <c r="I805" s="12"/>
      <c r="J805" s="12">
        <v>1865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14</v>
      </c>
      <c r="C806" s="11" t="s">
        <v>1322</v>
      </c>
      <c r="D806" s="15" t="s">
        <v>59</v>
      </c>
      <c r="E806" s="11" t="s">
        <v>26</v>
      </c>
      <c r="F806" s="11" t="s">
        <v>1323</v>
      </c>
      <c r="G806" s="12">
        <v>1879</v>
      </c>
      <c r="H806" s="12"/>
      <c r="I806" s="12"/>
      <c r="J806" s="12">
        <v>1865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18</v>
      </c>
      <c r="C807" s="11" t="s">
        <v>1413</v>
      </c>
      <c r="D807" s="15" t="s">
        <v>78</v>
      </c>
      <c r="E807" s="11" t="s">
        <v>26</v>
      </c>
      <c r="F807" s="11" t="s">
        <v>1414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1336</v>
      </c>
      <c r="D808" s="15" t="s">
        <v>45</v>
      </c>
      <c r="E808" s="11" t="s">
        <v>60</v>
      </c>
      <c r="F808" s="11" t="s">
        <v>1337</v>
      </c>
      <c r="G808" s="12">
        <v>1879</v>
      </c>
      <c r="H808" s="12"/>
      <c r="I808" s="12"/>
      <c r="J808" s="12">
        <v>1869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14</v>
      </c>
      <c r="C809" s="11" t="s">
        <v>1084</v>
      </c>
      <c r="D809" s="15" t="s">
        <v>45</v>
      </c>
      <c r="E809" s="11" t="s">
        <v>60</v>
      </c>
      <c r="F809" s="11" t="s">
        <v>1085</v>
      </c>
      <c r="G809" s="12">
        <v>1879</v>
      </c>
      <c r="H809" s="12"/>
      <c r="I809" s="12"/>
      <c r="J809" s="12">
        <v>1879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1879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1664</v>
      </c>
      <c r="D810" s="15" t="s">
        <v>78</v>
      </c>
      <c r="E810" s="11" t="s">
        <v>26</v>
      </c>
      <c r="F810" s="11" t="s">
        <v>1665</v>
      </c>
      <c r="G810" s="12">
        <v>1879</v>
      </c>
      <c r="H810" s="12"/>
      <c r="I810" s="12"/>
      <c r="J810" s="12">
        <v>1909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1909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18</v>
      </c>
      <c r="C811" s="11" t="s">
        <v>1296</v>
      </c>
      <c r="D811" s="15" t="s">
        <v>45</v>
      </c>
      <c r="E811" s="11" t="s">
        <v>60</v>
      </c>
      <c r="F811" s="11" t="s">
        <v>1297</v>
      </c>
      <c r="G811" s="12">
        <v>1885</v>
      </c>
      <c r="H811" s="12"/>
      <c r="I811" s="12"/>
      <c r="J811" s="12">
        <v>1850</v>
      </c>
      <c r="K811" s="12">
        <f t="shared" si="170"/>
        <v>0</v>
      </c>
      <c r="L811" s="12">
        <f t="shared" si="159"/>
        <v>1885</v>
      </c>
      <c r="M811" s="12" t="str">
        <f t="shared" si="160"/>
        <v/>
      </c>
      <c r="N811" s="12">
        <f t="shared" si="161"/>
        <v>1850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8</v>
      </c>
      <c r="C812" s="11" t="s">
        <v>1153</v>
      </c>
      <c r="D812" s="15" t="s">
        <v>59</v>
      </c>
      <c r="E812" s="11" t="s">
        <v>60</v>
      </c>
      <c r="F812" s="11" t="s">
        <v>1154</v>
      </c>
      <c r="G812" s="12">
        <v>1885</v>
      </c>
      <c r="H812" s="12"/>
      <c r="I812" s="12"/>
      <c r="J812" s="12">
        <v>1875</v>
      </c>
      <c r="K812" s="12">
        <f t="shared" si="170"/>
        <v>0</v>
      </c>
      <c r="L812" s="12">
        <f t="shared" si="159"/>
        <v>1885</v>
      </c>
      <c r="M812" s="12" t="str">
        <f t="shared" si="160"/>
        <v/>
      </c>
      <c r="N812" s="12">
        <f t="shared" si="161"/>
        <v>1875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409</v>
      </c>
      <c r="D813" s="15" t="s">
        <v>45</v>
      </c>
      <c r="E813" s="11" t="s">
        <v>60</v>
      </c>
      <c r="F813" s="11" t="s">
        <v>410</v>
      </c>
      <c r="G813" s="12">
        <v>1886</v>
      </c>
      <c r="H813" s="12"/>
      <c r="I813" s="12"/>
      <c r="J813" s="12">
        <v>1856</v>
      </c>
      <c r="K813" s="12">
        <f t="shared" si="170"/>
        <v>0</v>
      </c>
      <c r="L813" s="12">
        <f t="shared" si="159"/>
        <v>1886</v>
      </c>
      <c r="M813" s="12" t="str">
        <f t="shared" si="160"/>
        <v/>
      </c>
      <c r="N813" s="12">
        <f t="shared" si="161"/>
        <v>1856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1887</v>
      </c>
      <c r="H814" s="12"/>
      <c r="I814" s="12"/>
      <c r="J814" s="12">
        <v>1827</v>
      </c>
      <c r="K814" s="12">
        <f t="shared" si="170"/>
        <v>0</v>
      </c>
      <c r="L814" s="12">
        <f t="shared" si="159"/>
        <v>1887</v>
      </c>
      <c r="M814" s="12" t="str">
        <f t="shared" si="160"/>
        <v/>
      </c>
      <c r="N814" s="12">
        <f t="shared" si="161"/>
        <v>1827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18</v>
      </c>
      <c r="C815" s="11" t="s">
        <v>1272</v>
      </c>
      <c r="D815" s="11" t="s">
        <v>57</v>
      </c>
      <c r="E815" s="11" t="s">
        <v>60</v>
      </c>
      <c r="F815" s="11" t="s">
        <v>1273</v>
      </c>
      <c r="G815" s="12">
        <v>1887</v>
      </c>
      <c r="H815" s="12"/>
      <c r="I815" s="12"/>
      <c r="J815" s="12">
        <v>1857</v>
      </c>
      <c r="K815" s="12">
        <f t="shared" si="170"/>
        <v>0</v>
      </c>
      <c r="L815" s="12">
        <f t="shared" si="159"/>
        <v>1887</v>
      </c>
      <c r="M815" s="12" t="str">
        <f t="shared" si="160"/>
        <v/>
      </c>
      <c r="N815" s="12">
        <f t="shared" si="161"/>
        <v>1857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10</v>
      </c>
      <c r="C816" s="11" t="s">
        <v>545</v>
      </c>
      <c r="D816" s="15" t="s">
        <v>59</v>
      </c>
      <c r="E816" s="11" t="s">
        <v>60</v>
      </c>
      <c r="F816" s="11" t="s">
        <v>546</v>
      </c>
      <c r="G816" s="12">
        <v>1888</v>
      </c>
      <c r="H816" s="12"/>
      <c r="I816" s="12"/>
      <c r="J816" s="12">
        <v>1878</v>
      </c>
      <c r="K816" s="12">
        <f t="shared" si="170"/>
        <v>0</v>
      </c>
      <c r="L816" s="12">
        <f t="shared" si="159"/>
        <v>1888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254</v>
      </c>
      <c r="D817" s="15" t="s">
        <v>78</v>
      </c>
      <c r="E817" s="11" t="s">
        <v>60</v>
      </c>
      <c r="F817" s="11" t="s">
        <v>255</v>
      </c>
      <c r="G817" s="12">
        <v>1889</v>
      </c>
      <c r="H817" s="12"/>
      <c r="I817" s="12"/>
      <c r="J817" s="12">
        <v>1839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10</v>
      </c>
      <c r="C818" s="11" t="s">
        <v>1187</v>
      </c>
      <c r="D818" s="11" t="s">
        <v>57</v>
      </c>
      <c r="E818" s="11" t="s">
        <v>26</v>
      </c>
      <c r="F818" s="11" t="s">
        <v>1188</v>
      </c>
      <c r="G818" s="12">
        <v>1889</v>
      </c>
      <c r="H818" s="12"/>
      <c r="I818" s="12"/>
      <c r="J818" s="12">
        <v>1859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1859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906</v>
      </c>
      <c r="D819" s="11" t="s">
        <v>69</v>
      </c>
      <c r="E819" s="11" t="s">
        <v>60</v>
      </c>
      <c r="F819" s="11" t="s">
        <v>907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1652</v>
      </c>
      <c r="D820" s="15" t="s">
        <v>45</v>
      </c>
      <c r="E820" s="11" t="s">
        <v>60</v>
      </c>
      <c r="F820" s="11" t="s">
        <v>1653</v>
      </c>
      <c r="G820" s="12">
        <v>1889</v>
      </c>
      <c r="H820" s="12"/>
      <c r="I820" s="12"/>
      <c r="J820" s="12">
        <v>1869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1879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1879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10</v>
      </c>
      <c r="C822" s="11" t="s">
        <v>1179</v>
      </c>
      <c r="D822" s="15" t="s">
        <v>59</v>
      </c>
      <c r="E822" s="11" t="s">
        <v>60</v>
      </c>
      <c r="F822" s="11" t="s">
        <v>1180</v>
      </c>
      <c r="G822" s="12">
        <v>1889</v>
      </c>
      <c r="H822" s="12"/>
      <c r="I822" s="12"/>
      <c r="J822" s="12">
        <v>1879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405</v>
      </c>
      <c r="D823" s="11" t="s">
        <v>69</v>
      </c>
      <c r="E823" s="11" t="s">
        <v>60</v>
      </c>
      <c r="F823" s="11" t="s">
        <v>406</v>
      </c>
      <c r="G823" s="12">
        <v>1889</v>
      </c>
      <c r="H823" s="12"/>
      <c r="I823" s="12"/>
      <c r="J823" s="12">
        <v>1889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1889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1235</v>
      </c>
      <c r="D824" s="15" t="s">
        <v>45</v>
      </c>
      <c r="E824" s="11" t="s">
        <v>26</v>
      </c>
      <c r="F824" s="11" t="s">
        <v>1236</v>
      </c>
      <c r="G824" s="12">
        <v>1889</v>
      </c>
      <c r="H824" s="12"/>
      <c r="I824" s="12"/>
      <c r="J824" s="12">
        <v>1899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1899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18</v>
      </c>
      <c r="C825" s="11" t="s">
        <v>539</v>
      </c>
      <c r="D825" s="15" t="s">
        <v>78</v>
      </c>
      <c r="E825" s="11" t="s">
        <v>26</v>
      </c>
      <c r="F825" s="11" t="s">
        <v>540</v>
      </c>
      <c r="G825" s="12">
        <v>1890</v>
      </c>
      <c r="H825" s="12"/>
      <c r="I825" s="12"/>
      <c r="J825" s="12">
        <v>1845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1845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1485</v>
      </c>
      <c r="D826" s="11" t="s">
        <v>69</v>
      </c>
      <c r="E826" s="11" t="s">
        <v>26</v>
      </c>
      <c r="F826" s="11" t="s">
        <v>1486</v>
      </c>
      <c r="G826" s="12">
        <v>1890</v>
      </c>
      <c r="H826" s="12"/>
      <c r="I826" s="12"/>
      <c r="J826" s="12">
        <v>1850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1850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1487</v>
      </c>
      <c r="D827" s="11" t="s">
        <v>69</v>
      </c>
      <c r="E827" s="11" t="s">
        <v>60</v>
      </c>
      <c r="F827" s="11" t="s">
        <v>1488</v>
      </c>
      <c r="G827" s="12">
        <v>1890</v>
      </c>
      <c r="H827" s="12"/>
      <c r="I827" s="12"/>
      <c r="J827" s="12">
        <v>1870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1870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511</v>
      </c>
      <c r="D828" s="15" t="s">
        <v>78</v>
      </c>
      <c r="E828" s="11" t="s">
        <v>60</v>
      </c>
      <c r="F828" s="11" t="s">
        <v>512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16</v>
      </c>
      <c r="C829" s="11" t="s">
        <v>1254</v>
      </c>
      <c r="D829" s="11" t="s">
        <v>69</v>
      </c>
      <c r="E829" s="11" t="s">
        <v>60</v>
      </c>
      <c r="F829" s="11" t="s">
        <v>1255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1256</v>
      </c>
      <c r="D830" s="11" t="s">
        <v>69</v>
      </c>
      <c r="E830" s="11" t="s">
        <v>60</v>
      </c>
      <c r="F830" s="11" t="s">
        <v>1257</v>
      </c>
      <c r="G830" s="12">
        <v>1890</v>
      </c>
      <c r="H830" s="12"/>
      <c r="I830" s="12"/>
      <c r="J830" s="12">
        <v>1880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1880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1369</v>
      </c>
      <c r="D831" s="11" t="s">
        <v>69</v>
      </c>
      <c r="E831" s="11" t="s">
        <v>26</v>
      </c>
      <c r="F831" s="11" t="s">
        <v>1370</v>
      </c>
      <c r="G831" s="12">
        <v>1890</v>
      </c>
      <c r="H831" s="12"/>
      <c r="I831" s="12"/>
      <c r="J831" s="12">
        <v>1880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1880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10</v>
      </c>
      <c r="C832" s="11" t="s">
        <v>1593</v>
      </c>
      <c r="D832" s="15" t="s">
        <v>78</v>
      </c>
      <c r="E832" s="11" t="s">
        <v>60</v>
      </c>
      <c r="F832" s="11" t="s">
        <v>1594</v>
      </c>
      <c r="G832" s="12">
        <v>1895</v>
      </c>
      <c r="H832" s="12"/>
      <c r="I832" s="12"/>
      <c r="J832" s="12">
        <v>1839</v>
      </c>
      <c r="K832" s="12">
        <f t="shared" si="170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1839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18</v>
      </c>
      <c r="C833" s="11" t="s">
        <v>976</v>
      </c>
      <c r="D833" s="11" t="s">
        <v>57</v>
      </c>
      <c r="E833" s="11" t="s">
        <v>60</v>
      </c>
      <c r="F833" s="11" t="s">
        <v>977</v>
      </c>
      <c r="G833" s="12">
        <v>1895</v>
      </c>
      <c r="H833" s="12"/>
      <c r="I833" s="12"/>
      <c r="J833" s="12">
        <v>1869</v>
      </c>
      <c r="K833" s="12">
        <f t="shared" si="170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6</v>
      </c>
      <c r="C834" s="11" t="s">
        <v>430</v>
      </c>
      <c r="D834" s="15" t="s">
        <v>45</v>
      </c>
      <c r="E834" s="11" t="s">
        <v>26</v>
      </c>
      <c r="F834" s="11" t="s">
        <v>431</v>
      </c>
      <c r="G834" s="12">
        <v>1895</v>
      </c>
      <c r="H834" s="12"/>
      <c r="I834" s="12"/>
      <c r="J834" s="12">
        <v>1875</v>
      </c>
      <c r="K834" s="12">
        <f t="shared" ref="K834:K865" si="171">IF(AND(IFERROR(SEARCH("현대오일뱅크",$C834),0)&gt;0,IFERROR(SEARCH("직영",$C834),0)&gt;0),$B$13,0)</f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1746</v>
      </c>
      <c r="D835" s="11" t="s">
        <v>57</v>
      </c>
      <c r="E835" s="11" t="s">
        <v>26</v>
      </c>
      <c r="F835" s="11" t="s">
        <v>1747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12</v>
      </c>
      <c r="C836" s="11" t="s">
        <v>1088</v>
      </c>
      <c r="D836" s="15" t="s">
        <v>57</v>
      </c>
      <c r="E836" s="11" t="s">
        <v>60</v>
      </c>
      <c r="F836" s="11" t="s">
        <v>1089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10</v>
      </c>
      <c r="C837" s="11" t="s">
        <v>1581</v>
      </c>
      <c r="D837" s="15" t="s">
        <v>59</v>
      </c>
      <c r="E837" s="11" t="s">
        <v>60</v>
      </c>
      <c r="F837" s="11" t="s">
        <v>1584</v>
      </c>
      <c r="G837" s="12">
        <v>1895</v>
      </c>
      <c r="H837" s="12"/>
      <c r="I837" s="12"/>
      <c r="J837" s="12">
        <v>1875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1875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16" customFormat="1" ht="28.5" customHeight="1">
      <c r="A838" s="11" t="str">
        <f t="shared" si="158"/>
        <v/>
      </c>
      <c r="B838" s="11" t="s">
        <v>10</v>
      </c>
      <c r="C838" s="11" t="s">
        <v>1693</v>
      </c>
      <c r="D838" s="11" t="s">
        <v>57</v>
      </c>
      <c r="E838" s="11" t="s">
        <v>60</v>
      </c>
      <c r="F838" s="11" t="s">
        <v>1694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1244</v>
      </c>
      <c r="D839" s="11" t="s">
        <v>69</v>
      </c>
      <c r="E839" s="11" t="s">
        <v>60</v>
      </c>
      <c r="F839" s="11" t="s">
        <v>1245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1377</v>
      </c>
      <c r="D840" s="15" t="s">
        <v>59</v>
      </c>
      <c r="E840" s="11" t="s">
        <v>60</v>
      </c>
      <c r="F840" s="11" t="s">
        <v>1378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749</v>
      </c>
      <c r="D841" s="15" t="s">
        <v>78</v>
      </c>
      <c r="E841" s="11" t="s">
        <v>60</v>
      </c>
      <c r="F841" s="11" t="s">
        <v>750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851</v>
      </c>
      <c r="D842" s="15" t="s">
        <v>78</v>
      </c>
      <c r="E842" s="11" t="s">
        <v>26</v>
      </c>
      <c r="F842" s="11" t="s">
        <v>852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1634</v>
      </c>
      <c r="D843" s="15" t="s">
        <v>45</v>
      </c>
      <c r="E843" s="11" t="s">
        <v>26</v>
      </c>
      <c r="F843" s="11" t="s">
        <v>1635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1300</v>
      </c>
      <c r="D844" s="15" t="s">
        <v>45</v>
      </c>
      <c r="E844" s="11" t="s">
        <v>26</v>
      </c>
      <c r="F844" s="11" t="s">
        <v>1301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772</v>
      </c>
      <c r="D845" s="11" t="s">
        <v>69</v>
      </c>
      <c r="E845" s="11" t="s">
        <v>26</v>
      </c>
      <c r="F845" s="11" t="s">
        <v>773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655</v>
      </c>
      <c r="D846" s="15" t="s">
        <v>78</v>
      </c>
      <c r="E846" s="11" t="s">
        <v>60</v>
      </c>
      <c r="F846" s="11" t="s">
        <v>656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79" si="172">IF($T847="","",1+COUNTIF($W$15:$W$879,"&lt;"&amp;W847))</f>
        <v/>
      </c>
      <c r="B847" s="11" t="s">
        <v>6</v>
      </c>
      <c r="C847" s="11" t="s">
        <v>422</v>
      </c>
      <c r="D847" s="15" t="s">
        <v>59</v>
      </c>
      <c r="E847" s="11" t="s">
        <v>60</v>
      </c>
      <c r="F847" s="11" t="s">
        <v>425</v>
      </c>
      <c r="G847" s="12">
        <v>1899</v>
      </c>
      <c r="H847" s="12"/>
      <c r="I847" s="12"/>
      <c r="J847" s="12">
        <v>1889</v>
      </c>
      <c r="K847" s="12">
        <f t="shared" si="171"/>
        <v>0</v>
      </c>
      <c r="L847" s="12">
        <f t="shared" ref="L847:L879" si="173">IF($G847="","",$G847+$K847)</f>
        <v>1899</v>
      </c>
      <c r="M847" s="12" t="str">
        <f t="shared" ref="M847:M879" si="174">IF($H847="","",$H847+$K847)</f>
        <v/>
      </c>
      <c r="N847" s="12">
        <f t="shared" ref="N847:N879" si="175">IF($J847="","",$J847+$K847)</f>
        <v>1889</v>
      </c>
      <c r="O847" s="12" t="str">
        <f t="shared" ref="O847:O879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9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9" si="178">IF($P847="","",IF($Q847="Y",IFERROR(VLOOKUP($B847,$C$4:$D$13,2,FALSE()),0),0))</f>
        <v/>
      </c>
      <c r="S847" s="12" t="str">
        <f t="shared" ref="S847:S879" si="179">IF($P847="","",ROUNDDOWN($P847*$R847,0))</f>
        <v/>
      </c>
      <c r="T847" s="12" t="str">
        <f t="shared" ref="T847:T879" si="180">IF($P847="","",$P847-$S847)</f>
        <v/>
      </c>
      <c r="U847" s="12" t="str">
        <f t="shared" ref="U847:U879" si="181">IF($T847="","",IF($B$10=0,"",$T847/$B$10))</f>
        <v/>
      </c>
      <c r="V847" s="12" t="str">
        <f t="shared" ref="V847:V879" si="182">IF($P847="","",IF($B$10=0,"",$P847/$B$10))</f>
        <v/>
      </c>
      <c r="W847" s="14">
        <f t="shared" ref="W847:W879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14</v>
      </c>
      <c r="C848" s="11" t="s">
        <v>344</v>
      </c>
      <c r="D848" s="15" t="s">
        <v>59</v>
      </c>
      <c r="E848" s="11" t="s">
        <v>26</v>
      </c>
      <c r="F848" s="11" t="s">
        <v>345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843</v>
      </c>
      <c r="D849" s="11" t="s">
        <v>57</v>
      </c>
      <c r="E849" s="11" t="s">
        <v>26</v>
      </c>
      <c r="F849" s="11" t="s">
        <v>844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1213</v>
      </c>
      <c r="D850" s="11" t="s">
        <v>69</v>
      </c>
      <c r="E850" s="11" t="s">
        <v>60</v>
      </c>
      <c r="F850" s="11" t="s">
        <v>1214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1109</v>
      </c>
      <c r="D851" s="11" t="s">
        <v>57</v>
      </c>
      <c r="E851" s="11" t="s">
        <v>26</v>
      </c>
      <c r="F851" s="11" t="s">
        <v>1110</v>
      </c>
      <c r="G851" s="12">
        <v>1899</v>
      </c>
      <c r="H851" s="12"/>
      <c r="I851" s="12"/>
      <c r="J851" s="12">
        <v>1895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1895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1320</v>
      </c>
      <c r="D852" s="15" t="s">
        <v>45</v>
      </c>
      <c r="E852" s="11" t="s">
        <v>26</v>
      </c>
      <c r="F852" s="11" t="s">
        <v>1321</v>
      </c>
      <c r="G852" s="12">
        <v>1899</v>
      </c>
      <c r="H852" s="12"/>
      <c r="I852" s="12"/>
      <c r="J852" s="12">
        <v>1895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1895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12</v>
      </c>
      <c r="C853" s="11" t="s">
        <v>988</v>
      </c>
      <c r="D853" s="15" t="s">
        <v>45</v>
      </c>
      <c r="E853" s="11" t="s">
        <v>60</v>
      </c>
      <c r="F853" s="11" t="s">
        <v>989</v>
      </c>
      <c r="G853" s="12">
        <v>1899</v>
      </c>
      <c r="H853" s="12"/>
      <c r="I853" s="12"/>
      <c r="J853" s="12">
        <v>1898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1898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1157</v>
      </c>
      <c r="D854" s="15" t="s">
        <v>45</v>
      </c>
      <c r="E854" s="11" t="s">
        <v>26</v>
      </c>
      <c r="F854" s="11" t="s">
        <v>1158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515</v>
      </c>
      <c r="D856" s="15" t="s">
        <v>59</v>
      </c>
      <c r="E856" s="11" t="s">
        <v>60</v>
      </c>
      <c r="F856" s="11" t="s">
        <v>516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982</v>
      </c>
      <c r="D857" s="15" t="s">
        <v>59</v>
      </c>
      <c r="E857" s="11" t="s">
        <v>60</v>
      </c>
      <c r="F857" s="11" t="s">
        <v>983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525</v>
      </c>
      <c r="D858" s="15" t="s">
        <v>78</v>
      </c>
      <c r="E858" s="11" t="s">
        <v>60</v>
      </c>
      <c r="F858" s="11" t="s">
        <v>526</v>
      </c>
      <c r="G858" s="12">
        <v>1907</v>
      </c>
      <c r="H858" s="12"/>
      <c r="I858" s="12"/>
      <c r="J858" s="12">
        <v>1896</v>
      </c>
      <c r="K858" s="12">
        <f t="shared" si="171"/>
        <v>0</v>
      </c>
      <c r="L858" s="12">
        <f t="shared" si="173"/>
        <v>1907</v>
      </c>
      <c r="M858" s="12" t="str">
        <f t="shared" si="174"/>
        <v/>
      </c>
      <c r="N858" s="12">
        <f t="shared" si="175"/>
        <v>1896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1636</v>
      </c>
      <c r="D859" s="15" t="s">
        <v>78</v>
      </c>
      <c r="E859" s="11" t="s">
        <v>60</v>
      </c>
      <c r="F859" s="11" t="s">
        <v>1637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1117</v>
      </c>
      <c r="D860" s="15" t="s">
        <v>45</v>
      </c>
      <c r="E860" s="11" t="s">
        <v>26</v>
      </c>
      <c r="F860" s="11" t="s">
        <v>1118</v>
      </c>
      <c r="G860" s="12">
        <v>1909</v>
      </c>
      <c r="H860" s="12"/>
      <c r="I860" s="12"/>
      <c r="J860" s="12">
        <v>1939</v>
      </c>
      <c r="K860" s="12">
        <f t="shared" si="171"/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1939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7" customFormat="1" ht="28.5" customHeight="1">
      <c r="A861" s="11" t="str">
        <f t="shared" si="172"/>
        <v/>
      </c>
      <c r="B861" s="11" t="s">
        <v>14</v>
      </c>
      <c r="C861" s="11" t="s">
        <v>845</v>
      </c>
      <c r="D861" s="15" t="s">
        <v>59</v>
      </c>
      <c r="E861" s="11" t="s">
        <v>26</v>
      </c>
      <c r="F861" s="11" t="s">
        <v>846</v>
      </c>
      <c r="G861" s="12">
        <v>1928</v>
      </c>
      <c r="H861" s="12"/>
      <c r="I861" s="12"/>
      <c r="J861" s="12">
        <v>1918</v>
      </c>
      <c r="K861" s="12">
        <f t="shared" si="171"/>
        <v>0</v>
      </c>
      <c r="L861" s="12">
        <f t="shared" si="173"/>
        <v>1928</v>
      </c>
      <c r="M861" s="12" t="str">
        <f t="shared" si="174"/>
        <v/>
      </c>
      <c r="N861" s="12">
        <f t="shared" si="175"/>
        <v>1918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7" customFormat="1" ht="28.5" customHeight="1">
      <c r="A862" s="11" t="str">
        <f t="shared" si="172"/>
        <v/>
      </c>
      <c r="B862" s="11" t="s">
        <v>12</v>
      </c>
      <c r="C862" s="11" t="s">
        <v>733</v>
      </c>
      <c r="D862" s="15" t="s">
        <v>59</v>
      </c>
      <c r="E862" s="11" t="s">
        <v>60</v>
      </c>
      <c r="F862" s="11" t="s">
        <v>734</v>
      </c>
      <c r="G862" s="12">
        <v>1928</v>
      </c>
      <c r="H862" s="12"/>
      <c r="I862" s="12"/>
      <c r="J862" s="12">
        <v>1928</v>
      </c>
      <c r="K862" s="12">
        <f t="shared" si="171"/>
        <v>0</v>
      </c>
      <c r="L862" s="12">
        <f t="shared" si="173"/>
        <v>1928</v>
      </c>
      <c r="M862" s="12" t="str">
        <f t="shared" si="174"/>
        <v/>
      </c>
      <c r="N862" s="12">
        <f t="shared" si="175"/>
        <v>1928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10</v>
      </c>
      <c r="C863" s="11" t="s">
        <v>713</v>
      </c>
      <c r="D863" s="15" t="s">
        <v>78</v>
      </c>
      <c r="E863" s="11" t="s">
        <v>60</v>
      </c>
      <c r="F863" s="11" t="s">
        <v>714</v>
      </c>
      <c r="G863" s="12">
        <v>1929</v>
      </c>
      <c r="H863" s="12"/>
      <c r="I863" s="12"/>
      <c r="J863" s="12">
        <v>1895</v>
      </c>
      <c r="K863" s="12">
        <f t="shared" si="171"/>
        <v>0</v>
      </c>
      <c r="L863" s="12">
        <f t="shared" si="173"/>
        <v>1929</v>
      </c>
      <c r="M863" s="12" t="str">
        <f t="shared" si="174"/>
        <v/>
      </c>
      <c r="N863" s="12">
        <f t="shared" si="175"/>
        <v>1895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16" customFormat="1" ht="28.5" customHeight="1">
      <c r="A864" s="11" t="str">
        <f t="shared" si="172"/>
        <v/>
      </c>
      <c r="B864" s="11" t="s">
        <v>12</v>
      </c>
      <c r="C864" s="11" t="s">
        <v>847</v>
      </c>
      <c r="D864" s="15" t="s">
        <v>45</v>
      </c>
      <c r="E864" s="11" t="s">
        <v>60</v>
      </c>
      <c r="F864" s="11" t="s">
        <v>848</v>
      </c>
      <c r="G864" s="12">
        <v>1929</v>
      </c>
      <c r="H864" s="12"/>
      <c r="I864" s="12"/>
      <c r="J864" s="12">
        <v>1928</v>
      </c>
      <c r="K864" s="12">
        <f t="shared" si="171"/>
        <v>0</v>
      </c>
      <c r="L864" s="12">
        <f t="shared" si="173"/>
        <v>1929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16" customFormat="1" ht="28.5" customHeight="1">
      <c r="A865" s="11" t="str">
        <f t="shared" si="172"/>
        <v/>
      </c>
      <c r="B865" s="11" t="s">
        <v>18</v>
      </c>
      <c r="C865" s="11" t="s">
        <v>1348</v>
      </c>
      <c r="D865" s="11" t="s">
        <v>57</v>
      </c>
      <c r="E865" s="11" t="s">
        <v>60</v>
      </c>
      <c r="F865" s="11" t="s">
        <v>1349</v>
      </c>
      <c r="G865" s="12">
        <v>1929</v>
      </c>
      <c r="H865" s="12"/>
      <c r="I865" s="12"/>
      <c r="J865" s="12">
        <v>1929</v>
      </c>
      <c r="K865" s="12">
        <f t="shared" si="171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1929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613</v>
      </c>
      <c r="D866" s="11" t="s">
        <v>57</v>
      </c>
      <c r="E866" s="11" t="s">
        <v>60</v>
      </c>
      <c r="F866" s="11" t="s">
        <v>614</v>
      </c>
      <c r="G866" s="12">
        <v>1939</v>
      </c>
      <c r="H866" s="12"/>
      <c r="I866" s="12"/>
      <c r="J866" s="12">
        <v>1919</v>
      </c>
      <c r="K866" s="12">
        <f t="shared" ref="K866:K879" si="184">IF(AND(IFERROR(SEARCH("현대오일뱅크",$C866),0)&gt;0,IFERROR(SEARCH("직영",$C866),0)&gt;0),$B$13,0)</f>
        <v>0</v>
      </c>
      <c r="L866" s="12">
        <f t="shared" si="173"/>
        <v>1939</v>
      </c>
      <c r="M866" s="12" t="str">
        <f t="shared" si="174"/>
        <v/>
      </c>
      <c r="N866" s="12">
        <f t="shared" si="175"/>
        <v>1919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10</v>
      </c>
      <c r="C867" s="11" t="s">
        <v>278</v>
      </c>
      <c r="D867" s="15" t="s">
        <v>78</v>
      </c>
      <c r="E867" s="11" t="s">
        <v>26</v>
      </c>
      <c r="F867" s="11" t="s">
        <v>279</v>
      </c>
      <c r="G867" s="12">
        <v>1945</v>
      </c>
      <c r="H867" s="12"/>
      <c r="I867" s="12"/>
      <c r="J867" s="12">
        <v>1945</v>
      </c>
      <c r="K867" s="12">
        <f t="shared" si="184"/>
        <v>0</v>
      </c>
      <c r="L867" s="12">
        <f t="shared" si="173"/>
        <v>1945</v>
      </c>
      <c r="M867" s="12" t="str">
        <f t="shared" si="174"/>
        <v/>
      </c>
      <c r="N867" s="12">
        <f t="shared" si="175"/>
        <v>1945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12</v>
      </c>
      <c r="C868" s="11" t="s">
        <v>1491</v>
      </c>
      <c r="D868" s="15" t="s">
        <v>57</v>
      </c>
      <c r="E868" s="11" t="s">
        <v>26</v>
      </c>
      <c r="F868" s="11" t="s">
        <v>1492</v>
      </c>
      <c r="G868" s="12">
        <v>1955</v>
      </c>
      <c r="H868" s="12"/>
      <c r="I868" s="12"/>
      <c r="J868" s="12">
        <v>1935</v>
      </c>
      <c r="K868" s="12">
        <f t="shared" si="184"/>
        <v>0</v>
      </c>
      <c r="L868" s="12">
        <f t="shared" si="173"/>
        <v>1955</v>
      </c>
      <c r="M868" s="12" t="str">
        <f t="shared" si="174"/>
        <v/>
      </c>
      <c r="N868" s="12">
        <f t="shared" si="175"/>
        <v>1935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2"/>
        <v/>
      </c>
      <c r="B869" s="11" t="s">
        <v>6</v>
      </c>
      <c r="C869" s="11" t="s">
        <v>1714</v>
      </c>
      <c r="D869" s="15" t="s">
        <v>78</v>
      </c>
      <c r="E869" s="11" t="s">
        <v>26</v>
      </c>
      <c r="F869" s="11" t="s">
        <v>1716</v>
      </c>
      <c r="G869" s="12">
        <v>1977</v>
      </c>
      <c r="H869" s="12"/>
      <c r="I869" s="12"/>
      <c r="J869" s="12">
        <v>1977</v>
      </c>
      <c r="K869" s="12">
        <f t="shared" si="184"/>
        <v>0</v>
      </c>
      <c r="L869" s="12">
        <f t="shared" si="173"/>
        <v>1977</v>
      </c>
      <c r="M869" s="12" t="str">
        <f t="shared" si="174"/>
        <v/>
      </c>
      <c r="N869" s="12">
        <f t="shared" si="175"/>
        <v>1977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6</v>
      </c>
      <c r="C870" s="11" t="s">
        <v>780</v>
      </c>
      <c r="D870" s="15" t="s">
        <v>78</v>
      </c>
      <c r="E870" s="11" t="s">
        <v>26</v>
      </c>
      <c r="F870" s="11" t="s">
        <v>781</v>
      </c>
      <c r="G870" s="12">
        <v>2199</v>
      </c>
      <c r="H870" s="12"/>
      <c r="I870" s="12"/>
      <c r="J870" s="12">
        <v>2199</v>
      </c>
      <c r="K870" s="12">
        <f t="shared" si="184"/>
        <v>0</v>
      </c>
      <c r="L870" s="12">
        <f t="shared" si="173"/>
        <v>2199</v>
      </c>
      <c r="M870" s="12" t="str">
        <f t="shared" si="174"/>
        <v/>
      </c>
      <c r="N870" s="12">
        <f t="shared" si="175"/>
        <v>2199</v>
      </c>
      <c r="O870" s="12" t="str">
        <f t="shared" si="176"/>
        <v/>
      </c>
      <c r="P870" s="12" t="str">
        <f t="shared" si="177"/>
        <v/>
      </c>
      <c r="Q870" s="12" t="s">
        <v>61</v>
      </c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16" customFormat="1" ht="28.5" customHeight="1">
      <c r="A871" s="11" t="str">
        <f t="shared" si="172"/>
        <v/>
      </c>
      <c r="B871" s="11" t="s">
        <v>14</v>
      </c>
      <c r="C871" s="11" t="s">
        <v>663</v>
      </c>
      <c r="D871" s="15" t="s">
        <v>59</v>
      </c>
      <c r="E871" s="11" t="s">
        <v>60</v>
      </c>
      <c r="F871" s="11" t="s">
        <v>665</v>
      </c>
      <c r="G871" s="12">
        <v>1995</v>
      </c>
      <c r="H871" s="12"/>
      <c r="I871" s="12"/>
      <c r="J871" s="12">
        <v>1995</v>
      </c>
      <c r="K871" s="12">
        <f t="shared" si="184"/>
        <v>0</v>
      </c>
      <c r="L871" s="12">
        <f t="shared" si="173"/>
        <v>1995</v>
      </c>
      <c r="M871" s="12" t="str">
        <f t="shared" si="174"/>
        <v/>
      </c>
      <c r="N871" s="12">
        <f t="shared" si="175"/>
        <v>1995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14</v>
      </c>
      <c r="C872" s="11" t="s">
        <v>370</v>
      </c>
      <c r="D872" s="11" t="s">
        <v>57</v>
      </c>
      <c r="E872" s="11" t="s">
        <v>60</v>
      </c>
      <c r="F872" s="11" t="s">
        <v>371</v>
      </c>
      <c r="G872" s="12">
        <v>1999</v>
      </c>
      <c r="H872" s="12"/>
      <c r="I872" s="12"/>
      <c r="J872" s="12">
        <v>1989</v>
      </c>
      <c r="K872" s="12">
        <f t="shared" si="184"/>
        <v>0</v>
      </c>
      <c r="L872" s="12">
        <f t="shared" si="173"/>
        <v>1999</v>
      </c>
      <c r="M872" s="12" t="str">
        <f t="shared" si="174"/>
        <v/>
      </c>
      <c r="N872" s="12">
        <f t="shared" si="175"/>
        <v>1989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276</v>
      </c>
      <c r="D873" s="15" t="s">
        <v>45</v>
      </c>
      <c r="E873" s="11" t="s">
        <v>26</v>
      </c>
      <c r="F873" s="11" t="s">
        <v>277</v>
      </c>
      <c r="G873" s="12">
        <v>2080</v>
      </c>
      <c r="H873" s="12"/>
      <c r="I873" s="12"/>
      <c r="J873" s="12">
        <v>1807</v>
      </c>
      <c r="K873" s="12">
        <f t="shared" si="184"/>
        <v>0</v>
      </c>
      <c r="L873" s="12">
        <f t="shared" si="173"/>
        <v>2080</v>
      </c>
      <c r="M873" s="12" t="str">
        <f t="shared" si="174"/>
        <v/>
      </c>
      <c r="N873" s="12">
        <f t="shared" si="175"/>
        <v>1807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12</v>
      </c>
      <c r="C874" s="11" t="s">
        <v>1585</v>
      </c>
      <c r="D874" s="15" t="s">
        <v>59</v>
      </c>
      <c r="E874" s="11" t="s">
        <v>60</v>
      </c>
      <c r="F874" s="11" t="s">
        <v>1586</v>
      </c>
      <c r="G874" s="12">
        <v>2098</v>
      </c>
      <c r="H874" s="12"/>
      <c r="I874" s="12"/>
      <c r="J874" s="12">
        <v>2095</v>
      </c>
      <c r="K874" s="12">
        <f t="shared" si="184"/>
        <v>0</v>
      </c>
      <c r="L874" s="12">
        <f t="shared" si="173"/>
        <v>2098</v>
      </c>
      <c r="M874" s="12" t="str">
        <f t="shared" si="174"/>
        <v/>
      </c>
      <c r="N874" s="12">
        <f t="shared" si="175"/>
        <v>2095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142</v>
      </c>
      <c r="D875" s="11" t="s">
        <v>57</v>
      </c>
      <c r="E875" s="11" t="s">
        <v>60</v>
      </c>
      <c r="F875" s="11" t="s">
        <v>143</v>
      </c>
      <c r="G875" s="12"/>
      <c r="H875" s="12">
        <v>2357</v>
      </c>
      <c r="I875" s="12"/>
      <c r="J875" s="12">
        <v>1837</v>
      </c>
      <c r="K875" s="12">
        <f t="shared" si="184"/>
        <v>0</v>
      </c>
      <c r="L875" s="12" t="str">
        <f t="shared" si="173"/>
        <v/>
      </c>
      <c r="M875" s="12">
        <f t="shared" si="174"/>
        <v>2357</v>
      </c>
      <c r="N875" s="12">
        <f t="shared" si="175"/>
        <v>1837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158</v>
      </c>
      <c r="D876" s="15" t="s">
        <v>59</v>
      </c>
      <c r="E876" s="11" t="s">
        <v>26</v>
      </c>
      <c r="F876" s="11" t="s">
        <v>159</v>
      </c>
      <c r="G876" s="12"/>
      <c r="H876" s="12">
        <v>2459</v>
      </c>
      <c r="I876" s="12"/>
      <c r="J876" s="12">
        <v>1859</v>
      </c>
      <c r="K876" s="12">
        <f t="shared" si="184"/>
        <v>0</v>
      </c>
      <c r="L876" s="12" t="str">
        <f t="shared" si="173"/>
        <v/>
      </c>
      <c r="M876" s="12">
        <f t="shared" si="174"/>
        <v>2459</v>
      </c>
      <c r="N876" s="12">
        <f t="shared" si="175"/>
        <v>1859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6</v>
      </c>
      <c r="C877" s="11" t="s">
        <v>992</v>
      </c>
      <c r="D877" s="11" t="s">
        <v>93</v>
      </c>
      <c r="E877" s="11" t="s">
        <v>26</v>
      </c>
      <c r="F877" s="11" t="s">
        <v>993</v>
      </c>
      <c r="G877" s="12"/>
      <c r="H877" s="12"/>
      <c r="I877" s="12"/>
      <c r="J877" s="12">
        <v>1869</v>
      </c>
      <c r="K877" s="12">
        <f t="shared" si="184"/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1869</v>
      </c>
      <c r="O877" s="12" t="str">
        <f t="shared" si="176"/>
        <v/>
      </c>
      <c r="P877" s="12" t="str">
        <f t="shared" si="177"/>
        <v/>
      </c>
      <c r="Q877" s="12" t="s">
        <v>61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248</v>
      </c>
      <c r="D878" s="15" t="s">
        <v>78</v>
      </c>
      <c r="E878" s="11" t="s">
        <v>60</v>
      </c>
      <c r="F878" s="11" t="s">
        <v>249</v>
      </c>
      <c r="G878" s="12"/>
      <c r="H878" s="12"/>
      <c r="I878" s="12"/>
      <c r="J878" s="12">
        <v>1839</v>
      </c>
      <c r="K878" s="12">
        <f t="shared" si="184"/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1839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92</v>
      </c>
      <c r="D879" s="11" t="s">
        <v>93</v>
      </c>
      <c r="E879" s="11" t="s">
        <v>60</v>
      </c>
      <c r="F879" s="11" t="s">
        <v>94</v>
      </c>
      <c r="G879" s="12"/>
      <c r="H879" s="12"/>
      <c r="I879" s="12"/>
      <c r="J879" s="12">
        <v>1970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1970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7" customFormat="1" ht="13.5" customHeight="1">
      <c r="F880" s="16"/>
    </row>
    <row r="881" spans="1:23" s="7" customFormat="1" ht="13.5" customHeight="1">
      <c r="F881" s="16"/>
    </row>
  </sheetData>
  <autoFilter ref="A14:W879" xr:uid="{00000000-0009-0000-0000-000000000000}">
    <sortState xmlns:xlrd2="http://schemas.microsoft.com/office/spreadsheetml/2017/richdata2" ref="A15:W881">
      <sortCondition ref="A15:A881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1734</v>
      </c>
      <c r="E3" s="3" t="s">
        <v>1735</v>
      </c>
      <c r="F3" s="3" t="s">
        <v>1736</v>
      </c>
      <c r="G3" s="3" t="s">
        <v>1737</v>
      </c>
      <c r="H3" s="3" t="s">
        <v>1738</v>
      </c>
      <c r="I3" s="3" t="s">
        <v>1739</v>
      </c>
      <c r="J3" s="3" t="s">
        <v>1740</v>
      </c>
      <c r="K3" s="3" t="s">
        <v>1741</v>
      </c>
      <c r="L3" s="3" t="s">
        <v>1742</v>
      </c>
      <c r="M3" s="3" t="s">
        <v>1743</v>
      </c>
    </row>
    <row r="4" spans="1:13" s="16" customFormat="1" ht="25.5" customHeight="1">
      <c r="A4" s="19" t="s">
        <v>6</v>
      </c>
      <c r="B4" s="20" t="s">
        <v>770</v>
      </c>
      <c r="C4" s="20" t="s">
        <v>771</v>
      </c>
      <c r="D4" s="20" t="s">
        <v>1757</v>
      </c>
      <c r="E4" s="26">
        <v>1825</v>
      </c>
      <c r="F4" s="26">
        <v>1815</v>
      </c>
      <c r="G4" s="26">
        <f>IF(OR(E4="",F4=""),"",F4-E4)</f>
        <v>-10</v>
      </c>
      <c r="H4" s="26"/>
      <c r="I4" s="26"/>
      <c r="J4" s="26" t="str">
        <f>IF(OR(H4="",I4=""),"",I4-H4)</f>
        <v/>
      </c>
      <c r="K4" s="26">
        <v>1819</v>
      </c>
      <c r="L4" s="26">
        <v>1809</v>
      </c>
      <c r="M4" s="26">
        <f>IF(OR(K4="",L4=""),"",L4-K4)</f>
        <v>-10</v>
      </c>
    </row>
    <row r="5" spans="1:13" s="16" customFormat="1" ht="25.5" customHeight="1">
      <c r="A5" s="19" t="s">
        <v>6</v>
      </c>
      <c r="B5" s="20" t="s">
        <v>1086</v>
      </c>
      <c r="C5" s="20" t="s">
        <v>1087</v>
      </c>
      <c r="D5" s="20" t="s">
        <v>1757</v>
      </c>
      <c r="E5" s="26">
        <v>1809</v>
      </c>
      <c r="F5" s="26">
        <v>1805</v>
      </c>
      <c r="G5" s="26">
        <f>IF(OR(E5="",F5=""),"",F5-E5)</f>
        <v>-4</v>
      </c>
      <c r="H5" s="26"/>
      <c r="I5" s="26"/>
      <c r="J5" s="26" t="str">
        <f>IF(OR(H5="",I5=""),"",I5-H5)</f>
        <v/>
      </c>
      <c r="K5" s="26">
        <v>1795</v>
      </c>
      <c r="L5" s="26">
        <v>1795</v>
      </c>
      <c r="M5" s="26">
        <f>IF(OR(K5="",L5=""),"",L5-K5)</f>
        <v>0</v>
      </c>
    </row>
    <row r="6" spans="1:13" s="16" customFormat="1" ht="25.5" customHeight="1">
      <c r="A6" s="19" t="s">
        <v>12</v>
      </c>
      <c r="B6" s="20" t="s">
        <v>676</v>
      </c>
      <c r="C6" s="20" t="s">
        <v>677</v>
      </c>
      <c r="D6" s="20" t="s">
        <v>1757</v>
      </c>
      <c r="E6" s="26">
        <v>1809</v>
      </c>
      <c r="F6" s="26">
        <v>1794</v>
      </c>
      <c r="G6" s="26">
        <f>IF(OR(E6="",F6=""),"",F6-E6)</f>
        <v>-15</v>
      </c>
      <c r="H6" s="26"/>
      <c r="I6" s="26"/>
      <c r="J6" s="26" t="str">
        <f>IF(OR(H6="",I6=""),"",I6-H6)</f>
        <v/>
      </c>
      <c r="K6" s="26">
        <v>1879</v>
      </c>
      <c r="L6" s="26">
        <v>1879</v>
      </c>
      <c r="M6" s="26">
        <f>IF(OR(K6="",L6=""),"",L6-K6)</f>
        <v>0</v>
      </c>
    </row>
    <row r="7" spans="1:13" s="16" customFormat="1" ht="25.5" customHeight="1">
      <c r="A7" s="19" t="s">
        <v>6</v>
      </c>
      <c r="B7" s="20" t="s">
        <v>549</v>
      </c>
      <c r="C7" s="20" t="s">
        <v>550</v>
      </c>
      <c r="D7" s="20" t="s">
        <v>1757</v>
      </c>
      <c r="E7" s="26">
        <v>1832</v>
      </c>
      <c r="F7" s="26">
        <v>1812</v>
      </c>
      <c r="G7" s="26">
        <f>IF(OR(E7="",F7=""),"",F7-E7)</f>
        <v>-20</v>
      </c>
      <c r="H7" s="26"/>
      <c r="I7" s="26"/>
      <c r="J7" s="26" t="str">
        <f>IF(OR(H7="",I7=""),"",I7-H7)</f>
        <v/>
      </c>
      <c r="K7" s="26">
        <v>1795</v>
      </c>
      <c r="L7" s="26">
        <v>1795</v>
      </c>
      <c r="M7" s="26">
        <f>IF(OR(K7="",L7=""),"",L7-K7)</f>
        <v>0</v>
      </c>
    </row>
    <row r="8" spans="1:13" s="16" customFormat="1" ht="25.5" customHeight="1">
      <c r="A8" s="19" t="s">
        <v>6</v>
      </c>
      <c r="B8" s="20" t="s">
        <v>118</v>
      </c>
      <c r="C8" s="20" t="s">
        <v>119</v>
      </c>
      <c r="D8" s="20" t="s">
        <v>1757</v>
      </c>
      <c r="E8" s="26">
        <v>1839</v>
      </c>
      <c r="F8" s="26">
        <v>1815</v>
      </c>
      <c r="G8" s="26">
        <f>IF(OR(E8="",F8=""),"",F8-E8)</f>
        <v>-24</v>
      </c>
      <c r="H8" s="26"/>
      <c r="I8" s="26"/>
      <c r="J8" s="26" t="str">
        <f>IF(OR(H8="",I8=""),"",I8-H8)</f>
        <v/>
      </c>
      <c r="K8" s="26">
        <v>1839</v>
      </c>
      <c r="L8" s="26">
        <v>1815</v>
      </c>
      <c r="M8" s="26">
        <f>IF(OR(K8="",L8=""),"",L8-K8)</f>
        <v>-24</v>
      </c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