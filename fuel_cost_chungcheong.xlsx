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<sst xmlns="http://schemas.openxmlformats.org/spreadsheetml/2006/main" count="4830" uniqueCount="1766">
  <si>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</si>
  <si>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</si>
  <si>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</si>
  <si>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</si>
  <si>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</si>
  <si>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</si>
  <si>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</si>
  <si>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</si>
  <si>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</si>
  <si>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</si>
  <si>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</si>
  <si>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</si>
  <si>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</si>
  <si>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</si>
  <si>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</si>
  <si>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</si>
  <si>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</si>
  <si>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</si>
  <si>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</si>
  <si>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</si>
  <si>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</si>
  <si>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</si>
  <si>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</si>
  <si>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</si>
  <si>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</si>
  <si>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</si>
  <si>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</si>
  <si>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</si>
  <si>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</si>
  <si>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</si>
  <si>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</si>
  <si>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</si>
  <si>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</si>
  <si>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</si>
  <si>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</si>
  <si>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</si>
  <si>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</si>
  <si>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</si>
  <si>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</si>
  <si>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</si>
  <si>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</si>
  <si>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</si>
  <si>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</si>
  <si>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</si>
  <si>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</si>
  <si>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</si>
  <si>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</si>
  <si>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</si>
  <si>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</si>
  <si>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</si>
  <si>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</si>
  <si>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</si>
  <si>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</si>
  <si>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</si>
  <si>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</si>
  <si>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</si>
  <si>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</si>
  <si>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</si>
  <si>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</si>
  <si>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</si>
  <si>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</si>
  <si>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</si>
  <si>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</si>
  <si>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</si>
  <si>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</si>
  <si>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</si>
  <si>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</si>
  <si>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</si>
  <si>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</si>
  <si>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</si>
  <si>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</si>
  <si>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</si>
  <si>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</si>
  <si>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</si>
  <si>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</si>
  <si>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</si>
  <si>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</si>
  <si>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</si>
  <si>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</si>
  <si>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</si>
  <si>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</si>
  <si>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</si>
  <si>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</si>
  <si>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</si>
  <si>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</si>
  <si>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</si>
  <si>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</si>
  <si>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</si>
  <si>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</si>
  <si>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</si>
  <si>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</si>
  <si>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</si>
  <si>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</si>
  <si>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</si>
  <si>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</si>
  <si>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</si>
  <si>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</si>
  <si>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</si>
  <si>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</si>
  <si>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</si>
  <si>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</si>
  <si>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</si>
  <si>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</si>
  <si>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</si>
  <si>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</si>
  <si>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</si>
  <si>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</si>
  <si>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</si>
  <si>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</si>
  <si>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</si>
  <si>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</si>
  <si>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</si>
  <si>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</si>
  <si>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</si>
  <si>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</si>
  <si>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</si>
  <si>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</si>
  <si>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</si>
  <si>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</si>
  <si>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</si>
  <si>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</si>
  <si>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</si>
  <si>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</si>
  <si>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</si>
  <si>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</si>
  <si>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</si>
  <si>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</si>
  <si>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</si>
  <si>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</si>
  <si>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</si>
  <si>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</si>
  <si>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</si>
  <si>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</si>
  <si>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</si>
  <si>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</si>
  <si>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</si>
  <si>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</si>
  <si>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</si>
  <si>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</si>
  <si>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</si>
  <si>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</si>
  <si>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</si>
  <si>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</si>
  <si>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</si>
  <si>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</si>
  <si>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</si>
  <si>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</si>
  <si>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</si>
  <si>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</si>
  <si>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</si>
  <si>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</si>
  <si>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</si>
  <si>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</si>
  <si>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</si>
  <si>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</si>
  <si>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</si>
  <si>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</si>
  <si>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</si>
  <si>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</si>
  <si>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</si>
  <si>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</si>
  <si>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</si>
  <si>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</si>
  <si>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</si>
  <si>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</si>
  <si>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</si>
  <si>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</si>
  <si>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</si>
  <si>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</si>
  <si>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</si>
  <si>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</si>
  <si>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</si>
  <si>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</si>
  <si>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</si>
  <si>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</si>
  <si>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</si>
  <si>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</si>
  <si>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</si>
  <si>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</si>
  <si>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</si>
  <si>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</si>
  <si>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</si>
  <si>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</si>
  <si>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</si>
  <si>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</si>
  <si>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</si>
  <si>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</si>
  <si>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</si>
  <si>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</si>
  <si>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</si>
  <si>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</si>
  <si>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</si>
  <si>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</si>
  <si>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</si>
  <si>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</si>
  <si>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</si>
  <si>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</si>
  <si>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</si>
  <si>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</si>
  <si>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</si>
  <si>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</si>
  <si>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</si>
  <si>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</si>
  <si>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</si>
  <si>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</si>
  <si>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</si>
  <si>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</si>
  <si>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</si>
  <si>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</si>
  <si>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</si>
  <si>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</si>
  <si>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</si>
  <si>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</si>
  <si>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</si>
  <si>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</si>
  <si>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</si>
  <si>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</si>
  <si>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</si>
  <si>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</si>
  <si>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</si>
  <si>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</si>
  <si>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</si>
  <si>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</si>
  <si>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</si>
  <si>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</si>
  <si>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</si>
  <si>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</si>
  <si>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</si>
  <si>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</si>
  <si>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</si>
  <si>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</si>
  <si>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</si>
  <si>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</si>
  <si>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</si>
  <si>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</si>
  <si>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</si>
  <si>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</si>
  <si>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</si>
  <si>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</si>
  <si>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</si>
  <si>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</si>
  <si>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</si>
  <si>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</si>
  <si>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</si>
  <si>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</si>
  <si>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</si>
  <si>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</si>
  <si>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</si>
  <si>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</si>
  <si>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</si>
  <si>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</si>
  <si>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</si>
  <si>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</si>
  <si>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</si>
  <si>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</si>
  <si>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</si>
  <si>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</si>
  <si>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</si>
  <si>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</si>
  <si>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</si>
  <si>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</si>
  <si>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</si>
  <si>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</si>
  <si>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</si>
  <si>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</si>
  <si>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</si>
  <si>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</si>
  <si>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</si>
  <si>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</si>
  <si>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</si>
  <si>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</si>
  <si>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</si>
  <si>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</si>
  <si>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</si>
  <si>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</si>
  <si>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</si>
  <si>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</si>
  <si>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</si>
  <si>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</si>
  <si>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</si>
  <si>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</si>
  <si>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</si>
  <si>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</si>
  <si>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</si>
  <si>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</si>
  <si>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</si>
  <si>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</si>
  <si>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</si>
  <si>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</si>
  <si>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</si>
  <si>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</si>
  <si>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</si>
  <si>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</si>
  <si>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</si>
  <si>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</si>
  <si>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</si>
  <si>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</si>
  <si>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</si>
  <si>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</si>
  <si>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</si>
  <si>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</si>
  <si>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</si>
  <si>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</si>
  <si>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</si>
  <si>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</si>
  <si>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</si>
  <si>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</si>
  <si>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</si>
  <si>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</si>
  <si>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</si>
  <si>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</si>
  <si>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</si>
  <si>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</si>
  <si>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</si>
  <si>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</si>
  <si>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</si>
  <si>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</si>
  <si>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</si>
  <si>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</si>
  <si>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</si>
  <si>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</si>
  <si>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</si>
  <si>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</si>
  <si>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</si>
  <si>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</si>
  <si>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</si>
  <si>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</si>
  <si>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</si>
  <si>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</si>
  <si>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</si>
  <si>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</si>
  <si>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</si>
  <si>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</si>
  <si>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</si>
  <si>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</si>
  <si>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</si>
  <si>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</si>
  <si>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</si>
  <si>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</si>
  <si>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</si>
  <si>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</si>
  <si>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</si>
  <si>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</si>
  <si>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</si>
  <si>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</si>
  <si>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</si>
  <si>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</si>
  <si>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</si>
  <si>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</si>
  <si>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</si>
  <si>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</si>
  <si>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</si>
  <si>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</si>
  <si>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</si>
  <si>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</si>
  <si>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</si>
  <si>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</si>
  <si>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</si>
  <si>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</si>
  <si>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</si>
  <si>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</si>
  <si>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</si>
  <si>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</si>
  <si>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</si>
  <si>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</si>
  <si>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</si>
  <si>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</si>
  <si>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</si>
  <si>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</si>
  <si>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</si>
  <si>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</si>
  <si>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</si>
  <si>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</si>
  <si>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</si>
  <si>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</si>
  <si>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</si>
  <si>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</si>
  <si>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</si>
  <si>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</si>
  <si>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</si>
  <si>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</si>
  <si>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</si>
  <si>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</si>
  <si>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</si>
  <si>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</si>
  <si>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</si>
  <si>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</si>
  <si>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</si>
  <si>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</si>
  <si>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</si>
  <si>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</si>
  <si>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</si>
  <si>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</si>
  <si>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</si>
  <si>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</si>
  <si>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</si>
  <si>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</si>
  <si>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</si>
  <si>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</si>
  <si>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</si>
  <si>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</si>
  <si>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</si>
  <si>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</si>
  <si>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</si>
  <si>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</si>
  <si>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</si>
  <si>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</si>
  <si>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</si>
  <si>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</si>
  <si>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</si>
  <si>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</si>
  <si>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</si>
  <si>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</si>
  <si>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</si>
  <si>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</si>
  <si>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</si>
  <si>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</si>
  <si>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</si>
  <si>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</si>
  <si>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</si>
  <si>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</si>
  <si>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</si>
  <si>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</si>
  <si>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</si>
  <si>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</si>
  <si>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</si>
  <si>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</si>
  <si>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</si>
  <si>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</si>
  <si>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</si>
  <si>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</si>
  <si>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</si>
  <si>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</si>
  <si>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</si>
  <si>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</si>
  <si>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</si>
  <si>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</si>
  <si>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</si>
  <si>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</si>
  <si>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</si>
  <si>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</si>
  <si>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</si>
  <si>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</si>
  <si>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</si>
  <si>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</si>
  <si>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</si>
  <si>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</si>
  <si>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</si>
  <si>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</si>
  <si>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</si>
  <si>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</si>
  <si>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</si>
  <si>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</si>
  <si>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</si>
  <si>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</si>
  <si>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</si>
  <si>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</si>
  <si>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</si>
  <si>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</si>
  <si>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</si>
  <si>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</si>
  <si>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</si>
  <si>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</si>
  <si>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</si>
  <si>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</si>
  <si>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</si>
  <si>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</si>
  <si>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</si>
  <si>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</si>
  <si>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</si>
  <si>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</si>
  <si>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</si>
  <si>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</si>
  <si>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</si>
  <si>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</si>
  <si>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</si>
  <si>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</si>
  <si>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</si>
  <si>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</si>
  <si>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</si>
  <si>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</si>
  <si>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</si>
  <si>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</si>
  <si>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</si>
  <si>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</si>
  <si>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</si>
  <si>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</si>
  <si>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</si>
  <si>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</si>
  <si>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</si>
  <si>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</si>
  <si>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</si>
  <si>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</si>
  <si>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</si>
  <si>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</si>
  <si>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</si>
  <si>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</si>
  <si>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</si>
  <si>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</si>
  <si>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</si>
  <si>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</si>
  <si>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</si>
  <si>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</si>
  <si>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</si>
  <si>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</si>
  <si>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</si>
  <si>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</si>
  <si>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</si>
  <si>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</si>
  <si>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</si>
  <si>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</si>
  <si>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</si>
  <si>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</si>
  <si>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</si>
  <si>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</si>
  <si>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</si>
  <si>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</si>
  <si>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</si>
  <si>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</si>
  <si>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</si>
  <si>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</si>
  <si>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</si>
  <si>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</si>
  <si>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</si>
  <si>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</si>
  <si>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</si>
  <si>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</si>
  <si>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</si>
  <si>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</si>
  <si>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</si>
  <si>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</si>
  <si>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</si>
  <si>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</si>
  <si>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</si>
  <si>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</si>
  <si>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</si>
  <si>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</si>
  <si>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</si>
  <si>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</si>
  <si>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</si>
  <si>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</si>
  <si>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</si>
  <si>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</si>
  <si>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</si>
  <si>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</si>
  <si>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</si>
  <si>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</si>
  <si>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</si>
  <si>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</si>
  <si>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</si>
  <si>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</si>
  <si>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</si>
  <si>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</si>
  <si>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</si>
  <si>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</si>
  <si>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</si>
  <si>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</si>
  <si>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</si>
  <si>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</si>
  <si>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</si>
  <si>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</si>
  <si>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</si>
  <si>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</si>
  <si>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</si>
  <si>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</si>
  <si>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</si>
  <si>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</si>
  <si>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</si>
  <si>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</si>
  <si>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</si>
  <si>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</si>
  <si>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</si>
  <si>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</si>
  <si>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</si>
  <si>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</si>
  <si>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</si>
  <si>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</si>
  <si>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</si>
  <si>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</si>
  <si>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</si>
  <si>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</si>
  <si>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</si>
  <si>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</si>
  <si>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</si>
  <si>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</si>
  <si>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</si>
  <si>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</si>
  <si>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</si>
  <si>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</si>
  <si>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</si>
  <si>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</si>
  <si>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</si>
  <si>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</si>
  <si>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</si>
  <si>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</si>
  <si>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</si>
  <si>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</si>
  <si>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</si>
  <si>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</si>
  <si>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</si>
  <si>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</si>
  <si>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</si>
  <si>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</si>
  <si>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</si>
  <si>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</si>
  <si>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</si>
  <si>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</si>
  <si>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</si>
  <si>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</si>
  <si>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</si>
  <si>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</si>
  <si>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</si>
  <si>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</si>
  <si>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</si>
  <si>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</si>
  <si>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</si>
  <si>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</si>
  <si>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</si>
  <si>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</si>
  <si>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</si>
  <si>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</si>
  <si>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</si>
  <si>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</si>
  <si>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</si>
  <si>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</si>
  <si>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</si>
  <si>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</si>
  <si>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</si>
  <si>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</si>
  <si>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</si>
  <si>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</si>
  <si>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</si>
  <si>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</si>
  <si>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</si>
  <si>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</si>
  <si>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</si>
  <si>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</si>
  <si>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</si>
  <si>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</si>
  <si>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</si>
  <si>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</si>
  <si>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</si>
  <si>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</si>
  <si>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</si>
  <si>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</si>
  <si>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</si>
  <si>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</si>
  <si>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</si>
  <si>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</si>
  <si>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</si>
  <si>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</si>
  <si>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</si>
  <si>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</si>
  <si>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</si>
  <si>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</si>
  <si>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</si>
  <si>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</si>
  <si>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</si>
  <si>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</si>
  <si>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</si>
  <si>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</si>
  <si>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</si>
  <si>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</si>
  <si>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</si>
  <si>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</si>
  <si>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</si>
  <si>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</si>
  <si>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</si>
  <si>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</si>
  <si>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</si>
  <si>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</si>
  <si>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</si>
  <si>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</si>
  <si>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</si>
  <si>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</si>
  <si>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</si>
  <si>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</si>
  <si>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</si>
  <si>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</si>
  <si>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</si>
  <si>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</si>
  <si>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</si>
  <si>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</si>
  <si>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</si>
  <si>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</si>
  <si>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</si>
  <si>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</si>
  <si>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</si>
  <si>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</si>
  <si>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</si>
  <si>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</si>
  <si>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</si>
  <si>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</si>
  <si>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</si>
  <si>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</si>
  <si>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</si>
  <si>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</si>
  <si>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</si>
  <si>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</si>
  <si>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</si>
  <si>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</si>
  <si>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</si>
  <si>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</si>
  <si>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</si>
  <si>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</si>
  <si>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</si>
  <si>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</si>
  <si>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</si>
  <si>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</si>
  <si>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</si>
  <si>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</si>
  <si>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</si>
  <si>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</si>
  <si>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</si>
  <si>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</si>
  <si>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</si>
  <si>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</si>
  <si>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</si>
  <si>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</si>
  <si>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</si>
  <si>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</si>
  <si>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</si>
  <si>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</si>
  <si>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</si>
  <si>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</si>
  <si>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</si>
  <si>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</si>
  <si>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</si>
  <si>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</si>
  <si>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</si>
  <si>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</si>
  <si>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</si>
  <si>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</si>
  <si>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</si>
  <si>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</si>
  <si>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</si>
  <si>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</si>
  <si>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</si>
  <si>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</si>
  <si>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</si>
  <si>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</si>
  <si>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</si>
  <si>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</si>
  <si>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</si>
  <si>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</si>
  <si>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</si>
  <si>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</si>
  <si>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</si>
  <si>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</si>
  <si>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</si>
  <si>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</si>
  <si>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</si>
  <si>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</si>
  <si>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</si>
  <si>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</si>
  <si>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</si>
  <si>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</si>
  <si>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</si>
  <si>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</si>
  <si>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</si>
  <si>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</si>
  <si>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</si>
  <si>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</si>
  <si>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</si>
  <si>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</si>
  <si>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</si>
  <si>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</si>
  <si>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</si>
  <si>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</si>
  <si>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</si>
  <si>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</si>
  <si>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</si>
  <si>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</si>
  <si>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</si>
  <si>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</si>
  <si>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</si>
  <si>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</si>
  <si>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</si>
  <si>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</si>
  <si>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</si>
  <si>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</si>
  <si>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</si>
  <si>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</si>
  <si>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</si>
  <si>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</si>
  <si>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</si>
  <si>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</si>
  <si>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</si>
  <si>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</si>
  <si>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</si>
  <si>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</si>
  <si>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</si>
  <si>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</si>
  <si>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</si>
  <si>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</si>
  <si>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</si>
  <si>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</si>
  <si>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</si>
  <si>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</si>
  <si>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</si>
  <si>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</si>
  <si>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</si>
  <si>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</si>
  <si>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</si>
  <si>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</si>
  <si>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</si>
  <si>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</si>
  <si>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</si>
  <si>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</si>
  <si>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</si>
  <si>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</si>
  <si>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</si>
  <si>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</si>
  <si>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</si>
  <si>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</si>
  <si>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</si>
  <si>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</si>
  <si>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</si>
  <si>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</si>
  <si>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</si>
  <si>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</si>
  <si>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</si>
  <si>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</si>
  <si>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</si>
  <si>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</si>
  <si>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</si>
  <si>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</si>
  <si>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</si>
  <si>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</si>
  <si>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</si>
  <si>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</si>
  <si>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</si>
  <si>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</si>
  <si>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</si>
  <si>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</si>
  <si>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</si>
  <si>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</si>
  <si>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</si>
  <si>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</si>
  <si>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</si>
  <si>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</si>
  <si>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</si>
  <si>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</si>
  <si>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</si>
  <si>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</si>
  <si>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</si>
  <si>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</si>
  <si>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</si>
  <si>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</si>
  <si>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</si>
  <si>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</si>
  <si>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</si>
  <si>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</si>
  <si>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</si>
  <si>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</si>
  <si>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</si>
  <si>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</si>
  <si>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</si>
  <si>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</si>
  <si>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</si>
  <si>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</si>
  <si>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</si>
  <si>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</si>
  <si>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</si>
  <si>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</si>
  <si>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</si>
  <si>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</si>
  <si>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</si>
  <si>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</si>
  <si>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</si>
  <si>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</si>
  <si>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</si>
  <si>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</si>
  <si>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</si>
  <si>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</si>
  <si>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</si>
  <si>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</si>
  <si>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</si>
  <si>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</si>
  <si>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</si>
  <si>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</si>
  <si>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</si>
  <si>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</si>
  <si>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</si>
  <si>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</si>
  <si>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</si>
  <si>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</si>
  <si>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</si>
  <si>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</si>
  <si>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</si>
  <si>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</si>
  <si>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</si>
  <si>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</si>
  <si>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</si>
  <si>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</si>
  <si>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</si>
  <si>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</si>
  <si>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</si>
  <si>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</si>
  <si>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</si>
  <si>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</si>
  <si>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</si>
  <si>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</si>
  <si>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</si>
  <si>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</si>
  <si>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</si>
  <si>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</si>
  <si>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</si>
  <si>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</si>
  <si>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</si>
  <si>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</si>
  <si>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</si>
  <si>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</si>
  <si>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</si>
  <si>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</si>
  <si>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</si>
  <si>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</si>
  <si>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</si>
  <si>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</si>
  <si>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</si>
  <si>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</si>
  <si>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</si>
  <si>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</si>
  <si>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</si>
  <si>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</si>
  <si>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</si>
  <si>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</si>
  <si>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</si>
  <si>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</si>
  <si>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</si>
  <si>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</si>
  <si>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</si>
  <si>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</si>
  <si>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</si>
  <si>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</si>
  <si>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</si>
  <si>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</si>
  <si>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</si>
  <si>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</si>
  <si>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</si>
  <si>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</si>
  <si>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</si>
  <si>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</si>
  <si>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</si>
  <si>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</si>
  <si>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</si>
  <si>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</si>
  <si>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</si>
  <si>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</si>
  <si>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</si>
  <si>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</si>
  <si>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</si>
  <si>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</si>
  <si>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</si>
  <si>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</si>
  <si>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</si>
  <si>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</si>
  <si>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</si>
  <si>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</si>
  <si>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</si>
  <si>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</si>
  <si>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</si>
  <si>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</si>
  <si>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</si>
  <si>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</si>
  <si>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</si>
  <si>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</si>
  <si>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</si>
  <si>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</si>
  <si>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</si>
  <si>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</si>
  <si>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</si>
  <si>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</si>
  <si>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</si>
  <si>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</si>
  <si>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</si>
  <si>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</si>
  <si>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</si>
  <si>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</si>
  <si>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</si>
  <si>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</si>
  <si>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</si>
  <si>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</si>
  <si>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</si>
  <si>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</si>
  <si>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</si>
  <si>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</si>
  <si>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</si>
  <si>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</si>
  <si>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</si>
  <si>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</si>
  <si>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</si>
  <si>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</si>
  <si>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</si>
  <si>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</si>
  <si>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</si>
  <si>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</si>
  <si>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</si>
  <si>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</si>
  <si>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</si>
  <si>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</si>
  <si>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</si>
  <si>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</si>
  <si>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</si>
  <si>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</si>
  <si>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</si>
  <si>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</si>
  <si>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</si>
  <si>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</si>
  <si>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</si>
  <si>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</si>
  <si>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</si>
  <si>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</si>
  <si>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</si>
  <si>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</si>
  <si>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</si>
  <si>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</si>
  <si>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</si>
  <si>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</si>
  <si>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</si>
  <si>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</si>
  <si>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</si>
  <si>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</si>
  <si>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</si>
  <si>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</si>
  <si>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</si>
  <si>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</si>
  <si>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</si>
  <si>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</si>
  <si>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</si>
  <si>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</si>
  <si>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</si>
  <si>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</si>
  <si>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</si>
  <si>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</si>
  <si>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</si>
  <si>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</si>
  <si>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</si>
  <si>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</si>
  <si>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</si>
  <si>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</si>
  <si>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</si>
  <si>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</si>
  <si>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</si>
  <si>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</si>
  <si>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</si>
  <si>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</si>
  <si>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</si>
  <si>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</si>
  <si>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</si>
  <si>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</si>
  <si>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</si>
  <si>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</si>
  <si>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</si>
  <si>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</si>
  <si>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</si>
  <si>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</si>
  <si>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</si>
  <si>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</si>
  <si>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</si>
  <si>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</si>
  <si>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</si>
  <si>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</si>
  <si>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</si>
  <si>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</si>
  <si>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</si>
  <si>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</si>
  <si>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</si>
  <si>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</si>
  <si>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</si>
  <si>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</si>
  <si>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</si>
  <si>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</si>
  <si>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</si>
  <si>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</si>
  <si>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</si>
  <si>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</si>
  <si>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</si>
  <si>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</si>
  <si>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</si>
  <si>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</si>
  <si>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</si>
  <si>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</si>
  <si>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</si>
  <si>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</si>
  <si>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</si>
  <si>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</si>
  <si>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</si>
  <si>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</si>
  <si>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</si>
  <si>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</si>
  <si>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</si>
  <si>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</si>
  <si>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</si>
  <si>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</si>
  <si>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</si>
  <si>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</si>
  <si>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</si>
  <si>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</si>
  <si>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</si>
  <si>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</si>
  <si>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</si>
  <si>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</si>
  <si>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</si>
  <si>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</si>
  <si>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</si>
  <si>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</si>
  <si>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</si>
  <si>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</si>
  <si>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</si>
  <si>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</si>
  <si>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</si>
  <si>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</si>
  <si>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</si>
  <si>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</si>
  <si>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</si>
  <si>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</si>
  <si>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</si>
  <si>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</si>
  <si>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</si>
  <si>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</si>
  <si>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</si>
  <si>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</si>
  <si>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</si>
  <si>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</si>
  <si>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</si>
  <si>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</si>
  <si>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</si>
  <si>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</si>
  <si>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</si>
  <si>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</si>
  <si>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</si>
  <si>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</si>
  <si>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</si>
  <si>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</si>
  <si>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</si>
  <si>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</si>
  <si>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</si>
  <si>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</si>
  <si>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</si>
  <si>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</si>
  <si>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</si>
  <si>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</si>
  <si>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</si>
  <si>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</si>
  <si>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</si>
  <si>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</si>
  <si>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</si>
  <si>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</si>
  <si>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</si>
  <si>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</si>
  <si>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</si>
  <si>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</si>
  <si>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</si>
  <si>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</si>
  <si>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</si>
  <si>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</si>
  <si>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</si>
  <si>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</si>
  <si>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</si>
  <si>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</si>
  <si>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</si>
  <si>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</si>
  <si>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</si>
  <si>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</si>
  <si>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</si>
  <si>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</si>
  <si>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</si>
  <si>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</si>
  <si>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</si>
  <si>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</si>
  <si>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</si>
  <si>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</si>
  <si>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</si>
  <si>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</si>
  <si>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</si>
  <si>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</si>
  <si>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</si>
  <si>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</si>
  <si>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</si>
  <si>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</si>
  <si>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</si>
  <si>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</si>
  <si>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</si>
  <si>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</si>
  <si>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</si>
  <si>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</si>
  <si>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</si>
  <si>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</si>
  <si>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</si>
  <si>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</si>
  <si>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</si>
  <si>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</si>
  <si>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</si>
  <si>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</si>
  <si>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</si>
  <si>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</si>
  <si>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</si>
  <si>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</si>
  <si>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</si>
  <si>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</si>
  <si>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</si>
  <si>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</si>
  <si>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</si>
  <si>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</si>
  <si>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</si>
  <si>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</si>
  <si>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</si>
  <si>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</si>
  <si>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</si>
  <si>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</si>
  <si>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</si>
  <si>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</si>
  <si>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</si>
  <si>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</si>
  <si>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</si>
  <si>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</si>
  <si>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</si>
  <si>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</si>
  <si>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</si>
  <si>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</si>
  <si>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</si>
  <si>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</si>
  <si>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</si>
  <si>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</si>
  <si>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</si>
  <si>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</si>
  <si>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</si>
  <si>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</si>
  <si>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</si>
  <si>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</si>
  <si>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</si>
  <si>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</si>
  <si>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</si>
  <si>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</si>
  <si>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</si>
  <si>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</si>
  <si>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</si>
  <si>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</si>
  <si>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</si>
  <si>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</si>
  <si>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</si>
  <si>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</si>
  <si>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</si>
  <si>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</si>
  <si>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</si>
  <si>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</si>
  <si>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</si>
  <si>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</si>
  <si>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</si>
  <si>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</si>
  <si>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</si>
  <si>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</si>
  <si>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</si>
  <si>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</si>
  <si>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</si>
  <si>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</si>
  <si>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</si>
  <si>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</si>
  <si>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</si>
  <si>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</si>
  <si>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</si>
  <si>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</si>
  <si>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</si>
  <si>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</si>
  <si>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</si>
  <si>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</si>
  <si>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</si>
  <si>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</si>
  <si>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</si>
  <si>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</si>
  <si>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</si>
  <si>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</si>
  <si>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</si>
  <si>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</si>
  <si>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</si>
  <si>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</si>
  <si>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</si>
  <si>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</si>
  <si>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</si>
  <si>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</si>
  <si>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</si>
  <si>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</si>
  <si>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</si>
  <si>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</si>
  <si>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</si>
  <si>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</si>
  <si>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</si>
  <si>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</si>
  <si>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</si>
  <si>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</si>
  <si>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</si>
  <si>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</si>
  <si>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</si>
  <si>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</si>
  <si>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</si>
  <si>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</si>
  <si>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</si>
  <si>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</si>
  <si>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</si>
  <si>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</si>
  <si>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</si>
  <si>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</si>
  <si>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</si>
  <si>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</si>
  <si>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</si>
  <si>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</si>
  <si>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</si>
  <si>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</si>
  <si>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</si>
  <si>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</si>
  <si>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</si>
  <si>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</si>
  <si>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</si>
  <si>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</si>
  <si>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</si>
  <si>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</si>
  <si>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</si>
  <si>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</si>
  <si>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</si>
  <si>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</si>
  <si>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</si>
  <si>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</si>
  <si>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</si>
  <si>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</si>
  <si>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</si>
  <si>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</si>
  <si>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</si>
  <si>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</si>
  <si>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</si>
  <si>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</si>
  <si>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</si>
  <si>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</si>
  <si>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</si>
  <si>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</si>
  <si>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</si>
  <si>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</si>
  <si>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</si>
  <si>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</si>
  <si>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</si>
  <si>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</si>
  <si>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</si>
  <si>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</si>
  <si>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</si>
  <si>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</si>
  <si>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</si>
  <si>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</si>
  <si>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</si>
  <si>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</si>
  <si>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</si>
  <si>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</si>
  <si>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</si>
  <si>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</si>
  <si>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</si>
  <si>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</si>
  <si>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</si>
  <si>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</si>
  <si>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</si>
  <si>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</si>
  <si>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</si>
  <si>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</si>
  <si>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</si>
  <si>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</si>
  <si>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</si>
  <si>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</si>
  <si>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</si>
  <si>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</si>
  <si>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</si>
  <si>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</si>
  <si>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</si>
  <si>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</si>
  <si>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</si>
  <si>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</si>
  <si>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</si>
  <si>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</si>
  <si>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</si>
  <si>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</si>
  <si>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</si>
  <si>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</si>
  <si>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</si>
  <si>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</si>
  <si>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</si>
  <si>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</si>
  <si>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</si>
  <si>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</si>
  <si>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</si>
  <si>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</si>
  <si>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</si>
  <si>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</si>
  <si>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</si>
  <si>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</si>
  <si>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</si>
  <si>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</si>
  <si>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</si>
  <si>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</si>
  <si>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</si>
  <si>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</si>
  <si>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</si>
  <si>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</si>
  <si>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</si>
  <si>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</si>
  <si>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</si>
  <si>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</si>
  <si>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</si>
  <si>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</si>
  <si>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</si>
  <si>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</si>
  <si>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</si>
  <si>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</si>
  <si>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</si>
  <si>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</si>
  <si>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</si>
  <si>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</si>
  <si>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</si>
  <si>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</si>
  <si>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</si>
  <si>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</si>
  <si>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</si>
  <si>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</si>
  <si>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</si>
  <si>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</si>
  <si>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</si>
  <si>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</si>
  <si>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</si>
  <si>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</si>
  <si>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</si>
  <si>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</si>
  <si>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</si>
  <si>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</si>
  <si>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</si>
  <si>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</si>
  <si>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</si>
  <si>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</si>
  <si>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</si>
  <si>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</si>
  <si>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</si>
  <si>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</si>
  <si>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</si>
  <si>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</si>
  <si>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</si>
  <si>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</si>
  <si>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</si>
  <si>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</si>
  <si>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</si>
  <si>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</si>
  <si>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</si>
  <si>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</si>
  <si>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</si>
  <si>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</si>
  <si>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</si>
  <si>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</si>
  <si>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</si>
  <si>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</si>
  <si>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</si>
  <si>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</si>
  <si>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</si>
  <si>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</si>
  <si>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</si>
  <si>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</si>
  <si>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</si>
  <si>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</si>
  <si>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</si>
  <si>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</si>
  <si>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</si>
  <si>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</si>
  <si>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</si>
  <si>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</si>
  <si>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</si>
  <si>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</si>
  <si>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</si>
  <si>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</si>
  <si>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</si>
  <si>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</si>
  <si>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</si>
  <si>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</si>
  <si>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</si>
  <si>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</si>
  <si>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</si>
  <si>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</si>
  <si>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</si>
  <si>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</si>
  <si>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</si>
  <si>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</si>
  <si>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</si>
  <si>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</si>
  <si>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</si>
  <si>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</si>
  <si>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</si>
  <si>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</si>
  <si>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</si>
  <si>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</si>
  <si>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</si>
  <si>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</si>
  <si>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</si>
  <si>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</si>
  <si>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</si>
  <si>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</si>
  <si>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</si>
  <si>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</si>
  <si>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</si>
  <si>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</si>
  <si>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</si>
  <si>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</si>
  <si>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</si>
  <si>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</si>
  <si>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</si>
  <si>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</si>
  <si>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</si>
  <si>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</si>
  <si>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</si>
  <si>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</si>
  <si>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</si>
  <si>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</si>
  <si>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</si>
  <si>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</si>
  <si>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</si>
  <si>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</si>
  <si>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</si>
  <si>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</si>
  <si>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</si>
  <si>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</si>
  <si>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</si>
  <si>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</si>
  <si>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</si>
  <si>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</si>
  <si>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</si>
  <si>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</si>
  <si>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</si>
  <si>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</si>
  <si>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</si>
  <si>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</si>
  <si>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</si>
  <si>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</si>
  <si>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</si>
  <si>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</si>
  <si>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</si>
  <si>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</si>
  <si>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</si>
  <si>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</si>
  <si>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</si>
  <si>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</si>
  <si>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</si>
  <si>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</si>
  <si>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</si>
  <si>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</si>
  <si>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</si>
  <si>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</si>
  <si>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</si>
  <si>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</si>
  <si>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</si>
  <si>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</si>
  <si>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</si>
  <si>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</si>
  <si>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</si>
  <si>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</si>
  <si>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</si>
  <si>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</si>
  <si>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</si>
  <si>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</si>
  <si>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</si>
  <si>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</si>
  <si>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</si>
  <si>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</si>
  <si>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</si>
  <si>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</si>
  <si>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</si>
  <si>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</si>
  <si>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</si>
  <si>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</si>
  <si>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</si>
  <si>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</si>
  <si>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</si>
  <si>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</si>
  <si>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</si>
  <si>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</si>
  <si>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</si>
  <si>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</si>
  <si>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</si>
  <si>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</si>
  <si>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</si>
  <si>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</si>
  <si>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</si>
  <si>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</si>
  <si>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</si>
  <si>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</si>
  <si>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</si>
  <si>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</si>
  <si>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</si>
  <si>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</si>
  <si>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</si>
  <si>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</si>
  <si>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</si>
  <si>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</si>
  <si>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</si>
  <si>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</si>
  <si>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</si>
  <si>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</si>
  <si>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</si>
  <si>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</si>
  <si>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</si>
  <si>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</si>
  <si>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</si>
  <si>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</si>
  <si>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</si>
  <si>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</si>
  <si>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</si>
  <si>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</si>
  <si>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</si>
  <si>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</si>
  <si>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</si>
  <si>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</si>
  <si>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</si>
  <si>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</si>
  <si>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</si>
  <si>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</si>
  <si>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</si>
  <si>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</si>
  <si>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</si>
  <si>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</si>
  <si>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</si>
  <si>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</si>
  <si>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</si>
  <si>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</si>
  <si>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</si>
  <si>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</si>
  <si>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</si>
  <si>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</si>
  <si>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</si>
  <si>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</si>
  <si>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</si>
  <si>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</si>
  <si>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</si>
  <si>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</si>
  <si>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</si>
  <si>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</si>
  <si>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</si>
  <si>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</si>
  <si>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</si>
  <si>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</si>
  <si>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</si>
  <si>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</si>
  <si>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</si>
  <si>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</si>
  <si>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</si>
  <si>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</si>
  <si>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</si>
  <si>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</si>
  <si>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</si>
  <si>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</si>
  <si>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</si>
  <si>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</si>
  <si>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</si>
  <si>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</si>
  <si>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</si>
  <si>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</si>
  <si>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</si>
  <si>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</si>
  <si>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</si>
  <si>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</si>
  <si>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</si>
  <si>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</si>
  <si>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</si>
  <si>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</si>
  <si>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</si>
  <si>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</si>
  <si>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</si>
  <si>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</si>
  <si>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</si>
  <si>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</si>
  <si>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</si>
  <si>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</si>
  <si>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</si>
  <si>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</si>
  <si>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</si>
  <si>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</si>
  <si>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</si>
  <si>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</si>
  <si>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</si>
  <si>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</si>
  <si>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</si>
  <si>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</si>
  <si>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</si>
  <si>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</si>
  <si>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</si>
  <si>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</si>
  <si>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</si>
  <si>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</si>
  <si>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</si>
  <si>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</si>
  <si>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</si>
  <si>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</si>
  <si>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</si>
  <si>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</si>
  <si>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</si>
  <si>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</si>
  <si>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</si>
  <si>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</si>
  <si>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</si>
  <si>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</si>
  <si>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</si>
  <si>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</si>
  <si>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</si>
  <si>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</si>
  <si>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</si>
  <si>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</si>
  <si>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</si>
  <si>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</si>
  <si>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</si>
  <si>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</si>
  <si>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</si>
  <si>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</si>
  <si>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</si>
  <si>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</si>
  <si>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</si>
  <si>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</si>
  <si>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</si>
  <si>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</si>
  <si>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</si>
  <si>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</si>
  <si>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</si>
  <si>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</si>
  <si>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</si>
  <si>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</si>
  <si>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</si>
  <si>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</si>
  <si>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</si>
  <si>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</si>
  <si>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</si>
  <si>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</si>
  <si>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</si>
  <si>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</si>
  <si>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</si>
  <si>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</si>
  <si>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</si>
  <si>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</si>
  <si>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</si>
  <si>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</si>
  <si>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</si>
  <si>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</si>
  <si>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</si>
  <si>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</si>
  <si>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</si>
  <si>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</si>
  <si>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</si>
  <si>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</si>
  <si>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</si>
  <si>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</si>
  <si>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</si>
  <si>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</si>
  <si>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</si>
  <si>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</si>
  <si>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</si>
  <si>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</si>
  <si>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</si>
  <si>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</si>
  <si>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</si>
  <si>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</si>
  <si>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</si>
  <si>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</si>
  <si>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</si>
  <si>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</si>
  <si>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</si>
  <si>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</si>
  <si>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현행화 일자: 2026-09-03</t>
  </si>
  <si>
    <t>가격변동</t>
  </si>
  <si>
    <t>세종시 부강면 시목부강로 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</si>
</sst>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1668</v>
      </c>
      <c r="D38" s="15" t="s">
        <v>80</v>
      </c>
      <c r="E38" s="11" t="s">
        <v>26</v>
      </c>
      <c r="F38" s="11" t="s">
        <v>1669</v>
      </c>
      <c r="G38" s="12">
        <v>1849</v>
      </c>
      <c r="H38" s="12">
        <v>2319</v>
      </c>
      <c r="I38" s="12"/>
      <c r="J38" s="12">
        <v>1819</v>
      </c>
      <c r="K38" s="12">
        <f t="shared" si="1"/>
        <v>0</v>
      </c>
      <c r="L38" s="12">
        <f t="shared" si="2"/>
        <v>1849</v>
      </c>
      <c r="M38" s="12">
        <f t="shared" si="3"/>
        <v>2319</v>
      </c>
      <c r="N38" s="12">
        <f t="shared" si="4"/>
        <v>1819</v>
      </c>
      <c r="O38" s="12" t="str">
        <f t="shared" si="5"/>
        <v>휘발유 46,225원 / 고급유 46,380원</v>
      </c>
      <c r="P38" s="12">
        <f t="shared" si="6"/>
        <v>92605</v>
      </c>
      <c r="Q38" s="12" t="s">
        <v>63</v>
      </c>
      <c r="R38" s="13">
        <f t="shared" si="7"/>
        <v>0.1</v>
      </c>
      <c r="S38" s="12">
        <f t="shared" si="8"/>
        <v>9260</v>
      </c>
      <c r="T38" s="12">
        <f t="shared" si="9"/>
        <v>83345</v>
      </c>
      <c r="U38" s="12">
        <f t="shared" si="10"/>
        <v>1852.1111111111111</v>
      </c>
      <c r="V38" s="12">
        <f t="shared" si="11"/>
        <v>2057.8888888888887</v>
      </c>
      <c r="W38" s="14">
        <f t="shared" si="12"/>
        <v>83345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1015</v>
      </c>
      <c r="D39" s="15" t="s">
        <v>80</v>
      </c>
      <c r="E39" s="11" t="s">
        <v>26</v>
      </c>
      <c r="F39" s="11" t="s">
        <v>1016</v>
      </c>
      <c r="G39" s="12">
        <v>1849</v>
      </c>
      <c r="H39" s="12">
        <v>2328</v>
      </c>
      <c r="I39" s="12"/>
      <c r="J39" s="12">
        <v>1839</v>
      </c>
      <c r="K39" s="12">
        <f t="shared" si="1"/>
        <v>0</v>
      </c>
      <c r="L39" s="12">
        <f t="shared" si="2"/>
        <v>1849</v>
      </c>
      <c r="M39" s="12">
        <f t="shared" si="3"/>
        <v>2328</v>
      </c>
      <c r="N39" s="12">
        <f t="shared" si="4"/>
        <v>1839</v>
      </c>
      <c r="O39" s="12" t="str">
        <f t="shared" si="5"/>
        <v>휘발유 46,225원 / 고급유 46,560원</v>
      </c>
      <c r="P39" s="12">
        <f t="shared" si="6"/>
        <v>92785</v>
      </c>
      <c r="Q39" s="12" t="s">
        <v>63</v>
      </c>
      <c r="R39" s="13">
        <f t="shared" si="7"/>
        <v>0.1</v>
      </c>
      <c r="S39" s="12">
        <f t="shared" si="8"/>
        <v>9278</v>
      </c>
      <c r="T39" s="12">
        <f t="shared" si="9"/>
        <v>83507</v>
      </c>
      <c r="U39" s="12">
        <f t="shared" si="10"/>
        <v>1855.7111111111112</v>
      </c>
      <c r="V39" s="12">
        <f t="shared" si="11"/>
        <v>2061.8888888888887</v>
      </c>
      <c r="W39" s="14">
        <f t="shared" si="12"/>
        <v>83507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1809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1809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7" customFormat="1" ht="28.5" customHeight="1">
      <c r="A56" s="11">
        <f t="shared" si="0"/>
        <v>42</v>
      </c>
      <c r="B56" s="11" t="s">
        <v>6</v>
      </c>
      <c r="C56" s="11" t="s">
        <v>338</v>
      </c>
      <c r="D56" s="15" t="s">
        <v>60</v>
      </c>
      <c r="E56" s="11" t="s">
        <v>26</v>
      </c>
      <c r="F56" s="11" t="s">
        <v>339</v>
      </c>
      <c r="G56" s="12">
        <v>1815</v>
      </c>
      <c r="H56" s="12">
        <v>2235</v>
      </c>
      <c r="I56" s="12"/>
      <c r="J56" s="12">
        <v>1805</v>
      </c>
      <c r="K56" s="12">
        <f t="shared" si="1"/>
        <v>0</v>
      </c>
      <c r="L56" s="12">
        <f t="shared" si="2"/>
        <v>1815</v>
      </c>
      <c r="M56" s="12">
        <f t="shared" si="3"/>
        <v>2235</v>
      </c>
      <c r="N56" s="12">
        <f t="shared" si="4"/>
        <v>1805</v>
      </c>
      <c r="O56" s="12" t="str">
        <f t="shared" si="5"/>
        <v>휘발유 45,375원 / 고급유 44,700원</v>
      </c>
      <c r="P56" s="12">
        <f t="shared" si="6"/>
        <v>90075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90075</v>
      </c>
      <c r="U56" s="12">
        <f t="shared" si="10"/>
        <v>2001.6666666666667</v>
      </c>
      <c r="V56" s="12">
        <f t="shared" si="11"/>
        <v>2001.6666666666667</v>
      </c>
      <c r="W56" s="14">
        <f t="shared" si="12"/>
        <v>90075</v>
      </c>
    </row>
    <row r="57" spans="1:23" s="7" customFormat="1" ht="28.5" customHeight="1">
      <c r="A57" s="11">
        <f t="shared" si="0"/>
        <v>43</v>
      </c>
      <c r="B57" s="11" t="s">
        <v>10</v>
      </c>
      <c r="C57" s="11" t="s">
        <v>810</v>
      </c>
      <c r="D57" s="15" t="s">
        <v>60</v>
      </c>
      <c r="E57" s="11" t="s">
        <v>26</v>
      </c>
      <c r="F57" s="11" t="s">
        <v>811</v>
      </c>
      <c r="G57" s="12">
        <v>1828</v>
      </c>
      <c r="H57" s="12">
        <v>2220</v>
      </c>
      <c r="I57" s="12"/>
      <c r="J57" s="12">
        <v>1795</v>
      </c>
      <c r="K57" s="12">
        <f t="shared" si="1"/>
        <v>0</v>
      </c>
      <c r="L57" s="12">
        <f t="shared" si="2"/>
        <v>1828</v>
      </c>
      <c r="M57" s="12">
        <f t="shared" si="3"/>
        <v>2220</v>
      </c>
      <c r="N57" s="12">
        <f t="shared" si="4"/>
        <v>1795</v>
      </c>
      <c r="O57" s="12" t="str">
        <f t="shared" si="5"/>
        <v>휘발유 45,700원 / 고급유 44,400원</v>
      </c>
      <c r="P57" s="12">
        <f t="shared" si="6"/>
        <v>90100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90100</v>
      </c>
      <c r="U57" s="12">
        <f t="shared" si="10"/>
        <v>2002.2222222222222</v>
      </c>
      <c r="V57" s="12">
        <f t="shared" si="11"/>
        <v>2002.2222222222222</v>
      </c>
      <c r="W57" s="14">
        <f t="shared" si="12"/>
        <v>90100</v>
      </c>
    </row>
    <row r="58" spans="1:23" s="16" customFormat="1" ht="28.5" customHeight="1">
      <c r="A58" s="11">
        <f t="shared" si="0"/>
        <v>44</v>
      </c>
      <c r="B58" s="11" t="s">
        <v>6</v>
      </c>
      <c r="C58" s="11" t="s">
        <v>1712</v>
      </c>
      <c r="D58" s="15" t="s">
        <v>45</v>
      </c>
      <c r="E58" s="11" t="s">
        <v>26</v>
      </c>
      <c r="F58" s="11" t="s">
        <v>1713</v>
      </c>
      <c r="G58" s="12">
        <v>1825</v>
      </c>
      <c r="H58" s="12">
        <v>2225</v>
      </c>
      <c r="I58" s="12"/>
      <c r="J58" s="12">
        <v>1810</v>
      </c>
      <c r="K58" s="12">
        <f t="shared" si="1"/>
        <v>0</v>
      </c>
      <c r="L58" s="12">
        <f t="shared" si="2"/>
        <v>1825</v>
      </c>
      <c r="M58" s="12">
        <f t="shared" si="3"/>
        <v>2225</v>
      </c>
      <c r="N58" s="12">
        <f t="shared" si="4"/>
        <v>1810</v>
      </c>
      <c r="O58" s="12" t="str">
        <f t="shared" si="5"/>
        <v>휘발유 45,625원 / 고급유 44,500원</v>
      </c>
      <c r="P58" s="12">
        <f t="shared" si="6"/>
        <v>90125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90125</v>
      </c>
      <c r="U58" s="12">
        <f t="shared" si="10"/>
        <v>2002.7777777777778</v>
      </c>
      <c r="V58" s="12">
        <f t="shared" si="11"/>
        <v>2002.7777777777778</v>
      </c>
      <c r="W58" s="14">
        <f t="shared" si="12"/>
        <v>90125</v>
      </c>
    </row>
    <row r="59" spans="1:23" s="2" customFormat="1" ht="28.5" customHeight="1">
      <c r="A59" s="11">
        <f t="shared" si="0"/>
        <v>45</v>
      </c>
      <c r="B59" s="11" t="s">
        <v>6</v>
      </c>
      <c r="C59" s="11" t="s">
        <v>320</v>
      </c>
      <c r="D59" s="15" t="s">
        <v>45</v>
      </c>
      <c r="E59" s="11" t="s">
        <v>26</v>
      </c>
      <c r="F59" s="11" t="s">
        <v>321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7" customFormat="1" ht="28.5" customHeight="1">
      <c r="A60" s="11">
        <f t="shared" si="0"/>
        <v>45</v>
      </c>
      <c r="B60" s="11" t="s">
        <v>6</v>
      </c>
      <c r="C60" s="11" t="s">
        <v>1336</v>
      </c>
      <c r="D60" s="15" t="s">
        <v>45</v>
      </c>
      <c r="E60" s="11" t="s">
        <v>26</v>
      </c>
      <c r="F60" s="11" t="s">
        <v>1337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2" customFormat="1" ht="28.5" customHeight="1">
      <c r="A61" s="11">
        <f t="shared" si="0"/>
        <v>45</v>
      </c>
      <c r="B61" s="11" t="s">
        <v>6</v>
      </c>
      <c r="C61" s="11" t="s">
        <v>1517</v>
      </c>
      <c r="D61" s="15" t="s">
        <v>45</v>
      </c>
      <c r="E61" s="11" t="s">
        <v>26</v>
      </c>
      <c r="F61" s="11" t="s">
        <v>1518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888</v>
      </c>
      <c r="D62" s="15" t="s">
        <v>45</v>
      </c>
      <c r="E62" s="11" t="s">
        <v>26</v>
      </c>
      <c r="F62" s="11" t="s">
        <v>889</v>
      </c>
      <c r="G62" s="12">
        <v>1818</v>
      </c>
      <c r="H62" s="12">
        <v>2239</v>
      </c>
      <c r="I62" s="12"/>
      <c r="J62" s="12">
        <v>1799</v>
      </c>
      <c r="K62" s="12">
        <f t="shared" si="1"/>
        <v>0</v>
      </c>
      <c r="L62" s="12">
        <f t="shared" si="2"/>
        <v>1818</v>
      </c>
      <c r="M62" s="12">
        <f t="shared" si="3"/>
        <v>2239</v>
      </c>
      <c r="N62" s="12">
        <f t="shared" si="4"/>
        <v>1799</v>
      </c>
      <c r="O62" s="12" t="str">
        <f t="shared" si="5"/>
        <v>휘발유 45,450원 / 고급유 44,780원</v>
      </c>
      <c r="P62" s="12">
        <f t="shared" si="6"/>
        <v>90230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90230</v>
      </c>
      <c r="U62" s="12">
        <f t="shared" si="10"/>
        <v>2005.1111111111111</v>
      </c>
      <c r="V62" s="12">
        <f t="shared" si="11"/>
        <v>2005.1111111111111</v>
      </c>
      <c r="W62" s="14">
        <f t="shared" si="12"/>
        <v>90230</v>
      </c>
    </row>
    <row r="63" spans="1:23" s="16" customFormat="1" ht="28.5" customHeight="1">
      <c r="A63" s="11">
        <f t="shared" si="0"/>
        <v>49</v>
      </c>
      <c r="B63" s="11" t="s">
        <v>16</v>
      </c>
      <c r="C63" s="11" t="s">
        <v>651</v>
      </c>
      <c r="D63" s="11" t="s">
        <v>57</v>
      </c>
      <c r="E63" s="11" t="s">
        <v>26</v>
      </c>
      <c r="F63" s="11" t="s">
        <v>652</v>
      </c>
      <c r="G63" s="12">
        <v>1859</v>
      </c>
      <c r="H63" s="12">
        <v>2190</v>
      </c>
      <c r="I63" s="12"/>
      <c r="J63" s="12">
        <v>1819</v>
      </c>
      <c r="K63" s="12">
        <f t="shared" si="1"/>
        <v>0</v>
      </c>
      <c r="L63" s="12">
        <f t="shared" si="2"/>
        <v>1859</v>
      </c>
      <c r="M63" s="12">
        <f t="shared" si="3"/>
        <v>2190</v>
      </c>
      <c r="N63" s="12">
        <f t="shared" si="4"/>
        <v>1819</v>
      </c>
      <c r="O63" s="12" t="str">
        <f t="shared" si="5"/>
        <v>휘발유 46,475원 / 고급유 43,800원</v>
      </c>
      <c r="P63" s="12">
        <f t="shared" si="6"/>
        <v>90275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90275</v>
      </c>
      <c r="U63" s="12">
        <f t="shared" si="10"/>
        <v>2006.1111111111111</v>
      </c>
      <c r="V63" s="12">
        <f t="shared" si="11"/>
        <v>2006.1111111111111</v>
      </c>
      <c r="W63" s="14">
        <f t="shared" si="12"/>
        <v>90275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52</v>
      </c>
      <c r="D64" s="15" t="s">
        <v>45</v>
      </c>
      <c r="E64" s="11" t="s">
        <v>26</v>
      </c>
      <c r="F64" s="11" t="s">
        <v>53</v>
      </c>
      <c r="G64" s="12">
        <v>1807</v>
      </c>
      <c r="H64" s="12">
        <v>2256</v>
      </c>
      <c r="I64" s="12"/>
      <c r="J64" s="12">
        <v>1787</v>
      </c>
      <c r="K64" s="12">
        <f t="shared" si="1"/>
        <v>0</v>
      </c>
      <c r="L64" s="12">
        <f t="shared" si="2"/>
        <v>1807</v>
      </c>
      <c r="M64" s="12">
        <f t="shared" si="3"/>
        <v>2256</v>
      </c>
      <c r="N64" s="12">
        <f t="shared" si="4"/>
        <v>1787</v>
      </c>
      <c r="O64" s="12" t="str">
        <f t="shared" si="5"/>
        <v>휘발유 45,175원 / 고급유 45,120원</v>
      </c>
      <c r="P64" s="12">
        <f t="shared" si="6"/>
        <v>90295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90295</v>
      </c>
      <c r="U64" s="12">
        <f t="shared" si="10"/>
        <v>2006.5555555555557</v>
      </c>
      <c r="V64" s="12">
        <f t="shared" si="11"/>
        <v>2006.5555555555557</v>
      </c>
      <c r="W64" s="14">
        <f t="shared" si="12"/>
        <v>90295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563</v>
      </c>
      <c r="D65" s="15" t="s">
        <v>45</v>
      </c>
      <c r="E65" s="11" t="s">
        <v>26</v>
      </c>
      <c r="F65" s="11" t="s">
        <v>564</v>
      </c>
      <c r="G65" s="12">
        <v>1824</v>
      </c>
      <c r="H65" s="12">
        <v>2235</v>
      </c>
      <c r="I65" s="12"/>
      <c r="J65" s="12">
        <v>1814</v>
      </c>
      <c r="K65" s="12">
        <f t="shared" si="1"/>
        <v>0</v>
      </c>
      <c r="L65" s="12">
        <f t="shared" si="2"/>
        <v>1824</v>
      </c>
      <c r="M65" s="12">
        <f t="shared" si="3"/>
        <v>2235</v>
      </c>
      <c r="N65" s="12">
        <f t="shared" si="4"/>
        <v>1814</v>
      </c>
      <c r="O65" s="12" t="str">
        <f t="shared" si="5"/>
        <v>휘발유 45,600원 / 고급유 44,700원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2" customFormat="1" ht="28.5" customHeight="1">
      <c r="A66" s="11">
        <f t="shared" si="0"/>
        <v>51</v>
      </c>
      <c r="B66" s="11" t="s">
        <v>16</v>
      </c>
      <c r="C66" s="11" t="s">
        <v>1175</v>
      </c>
      <c r="D66" s="15" t="s">
        <v>60</v>
      </c>
      <c r="E66" s="11" t="s">
        <v>26</v>
      </c>
      <c r="F66" s="11" t="s">
        <v>1176</v>
      </c>
      <c r="G66" s="12">
        <v>1860</v>
      </c>
      <c r="H66" s="12">
        <v>2190</v>
      </c>
      <c r="I66" s="12"/>
      <c r="J66" s="12">
        <v>1819</v>
      </c>
      <c r="K66" s="12">
        <f t="shared" si="1"/>
        <v>0</v>
      </c>
      <c r="L66" s="12">
        <f t="shared" si="2"/>
        <v>1860</v>
      </c>
      <c r="M66" s="12">
        <f t="shared" si="3"/>
        <v>2190</v>
      </c>
      <c r="N66" s="12">
        <f t="shared" si="4"/>
        <v>1819</v>
      </c>
      <c r="O66" s="12" t="str">
        <f t="shared" si="5"/>
        <v>휘발유 46,500원 / 고급유 43,800원</v>
      </c>
      <c r="P66" s="12">
        <f t="shared" si="6"/>
        <v>90300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90300</v>
      </c>
      <c r="U66" s="12">
        <f t="shared" si="10"/>
        <v>2006.6666666666667</v>
      </c>
      <c r="V66" s="12">
        <f t="shared" si="11"/>
        <v>2006.6666666666667</v>
      </c>
      <c r="W66" s="14">
        <f t="shared" si="12"/>
        <v>90300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1041</v>
      </c>
      <c r="D67" s="11" t="s">
        <v>57</v>
      </c>
      <c r="E67" s="11" t="s">
        <v>26</v>
      </c>
      <c r="F67" s="11" t="s">
        <v>1042</v>
      </c>
      <c r="G67" s="12">
        <v>1814</v>
      </c>
      <c r="H67" s="12">
        <v>2248</v>
      </c>
      <c r="I67" s="12"/>
      <c r="J67" s="12">
        <v>1814</v>
      </c>
      <c r="K67" s="12">
        <f t="shared" si="1"/>
        <v>0</v>
      </c>
      <c r="L67" s="12">
        <f t="shared" si="2"/>
        <v>1814</v>
      </c>
      <c r="M67" s="12">
        <f t="shared" si="3"/>
        <v>2248</v>
      </c>
      <c r="N67" s="12">
        <f t="shared" si="4"/>
        <v>1814</v>
      </c>
      <c r="O67" s="12" t="str">
        <f t="shared" si="5"/>
        <v>휘발유 45,350원 / 고급유 44,960원</v>
      </c>
      <c r="P67" s="12">
        <f t="shared" si="6"/>
        <v>90310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90310</v>
      </c>
      <c r="U67" s="12">
        <f t="shared" si="10"/>
        <v>2006.8888888888889</v>
      </c>
      <c r="V67" s="12">
        <f t="shared" si="11"/>
        <v>2006.8888888888889</v>
      </c>
      <c r="W67" s="14">
        <f t="shared" si="12"/>
        <v>90310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1137</v>
      </c>
      <c r="D68" s="15" t="s">
        <v>45</v>
      </c>
      <c r="E68" s="11" t="s">
        <v>26</v>
      </c>
      <c r="F68" s="11" t="s">
        <v>1138</v>
      </c>
      <c r="G68" s="12">
        <v>1805</v>
      </c>
      <c r="H68" s="12">
        <v>2260</v>
      </c>
      <c r="I68" s="12"/>
      <c r="J68" s="12">
        <v>1793</v>
      </c>
      <c r="K68" s="12">
        <f t="shared" si="1"/>
        <v>0</v>
      </c>
      <c r="L68" s="12">
        <f t="shared" si="2"/>
        <v>1805</v>
      </c>
      <c r="M68" s="12">
        <f t="shared" si="3"/>
        <v>2260</v>
      </c>
      <c r="N68" s="12">
        <f t="shared" si="4"/>
        <v>1793</v>
      </c>
      <c r="O68" s="12" t="str">
        <f t="shared" si="5"/>
        <v>휘발유 45,125원 / 고급유 45,200원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54</v>
      </c>
      <c r="B69" s="11" t="s">
        <v>8</v>
      </c>
      <c r="C69" s="11" t="s">
        <v>816</v>
      </c>
      <c r="D69" s="15" t="s">
        <v>80</v>
      </c>
      <c r="E69" s="11" t="s">
        <v>26</v>
      </c>
      <c r="F69" s="11" t="s">
        <v>817</v>
      </c>
      <c r="G69" s="12">
        <v>1829</v>
      </c>
      <c r="H69" s="12">
        <v>2230</v>
      </c>
      <c r="I69" s="12"/>
      <c r="J69" s="12">
        <v>1809</v>
      </c>
      <c r="K69" s="12">
        <f t="shared" si="1"/>
        <v>0</v>
      </c>
      <c r="L69" s="12">
        <f t="shared" si="2"/>
        <v>1829</v>
      </c>
      <c r="M69" s="12">
        <f t="shared" si="3"/>
        <v>2230</v>
      </c>
      <c r="N69" s="12">
        <f t="shared" si="4"/>
        <v>1809</v>
      </c>
      <c r="O69" s="12" t="str">
        <f t="shared" si="5"/>
        <v>휘발유 45,725원 / 고급유 44,600원</v>
      </c>
      <c r="P69" s="12">
        <f t="shared" si="6"/>
        <v>90325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90325</v>
      </c>
      <c r="U69" s="12">
        <f t="shared" si="10"/>
        <v>2007.2222222222222</v>
      </c>
      <c r="V69" s="12">
        <f t="shared" si="11"/>
        <v>2007.2222222222222</v>
      </c>
      <c r="W69" s="14">
        <f t="shared" si="12"/>
        <v>90325</v>
      </c>
    </row>
    <row r="70" spans="1:23" s="2" customFormat="1" ht="28.5" customHeight="1">
      <c r="A70" s="11">
        <f t="shared" si="0"/>
        <v>56</v>
      </c>
      <c r="B70" s="11" t="s">
        <v>12</v>
      </c>
      <c r="C70" s="11" t="s">
        <v>1636</v>
      </c>
      <c r="D70" s="15" t="s">
        <v>60</v>
      </c>
      <c r="E70" s="11" t="s">
        <v>26</v>
      </c>
      <c r="F70" s="11" t="s">
        <v>1637</v>
      </c>
      <c r="G70" s="12">
        <v>1819</v>
      </c>
      <c r="H70" s="12">
        <v>2245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2245</v>
      </c>
      <c r="N70" s="12">
        <f t="shared" si="4"/>
        <v>1799</v>
      </c>
      <c r="O70" s="12" t="str">
        <f t="shared" si="5"/>
        <v>휘발유 45,475원 / 고급유 44,900원</v>
      </c>
      <c r="P70" s="12">
        <f t="shared" si="6"/>
        <v>90375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90375</v>
      </c>
      <c r="U70" s="12">
        <f t="shared" si="10"/>
        <v>2008.3333333333333</v>
      </c>
      <c r="V70" s="12">
        <f t="shared" si="11"/>
        <v>2008.3333333333333</v>
      </c>
      <c r="W70" s="14">
        <f t="shared" si="12"/>
        <v>90375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1383</v>
      </c>
      <c r="D71" s="15" t="s">
        <v>80</v>
      </c>
      <c r="E71" s="11" t="s">
        <v>26</v>
      </c>
      <c r="F71" s="11" t="s">
        <v>1384</v>
      </c>
      <c r="G71" s="12">
        <v>1818</v>
      </c>
      <c r="H71" s="12">
        <v>2248</v>
      </c>
      <c r="I71" s="12"/>
      <c r="J71" s="12">
        <v>1798</v>
      </c>
      <c r="K71" s="12">
        <f t="shared" si="1"/>
        <v>0</v>
      </c>
      <c r="L71" s="12">
        <f t="shared" si="2"/>
        <v>1818</v>
      </c>
      <c r="M71" s="12">
        <f t="shared" si="3"/>
        <v>2248</v>
      </c>
      <c r="N71" s="12">
        <f t="shared" si="4"/>
        <v>1798</v>
      </c>
      <c r="O71" s="12" t="str">
        <f t="shared" si="5"/>
        <v>휘발유 45,450원 / 고급유 44,960원</v>
      </c>
      <c r="P71" s="12">
        <f t="shared" si="6"/>
        <v>90410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90410</v>
      </c>
      <c r="U71" s="12">
        <f t="shared" si="10"/>
        <v>2009.1111111111111</v>
      </c>
      <c r="V71" s="12">
        <f t="shared" si="11"/>
        <v>2009.1111111111111</v>
      </c>
      <c r="W71" s="14">
        <f t="shared" si="12"/>
        <v>90410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246</v>
      </c>
      <c r="D72" s="15" t="s">
        <v>45</v>
      </c>
      <c r="E72" s="11" t="s">
        <v>26</v>
      </c>
      <c r="F72" s="11" t="s">
        <v>247</v>
      </c>
      <c r="G72" s="12">
        <v>1806</v>
      </c>
      <c r="H72" s="12">
        <v>2264</v>
      </c>
      <c r="I72" s="12"/>
      <c r="J72" s="12">
        <v>1792</v>
      </c>
      <c r="K72" s="12">
        <f t="shared" si="1"/>
        <v>0</v>
      </c>
      <c r="L72" s="12">
        <f t="shared" si="2"/>
        <v>1806</v>
      </c>
      <c r="M72" s="12">
        <f t="shared" si="3"/>
        <v>2264</v>
      </c>
      <c r="N72" s="12">
        <f t="shared" si="4"/>
        <v>1792</v>
      </c>
      <c r="O72" s="12" t="str">
        <f t="shared" si="5"/>
        <v>휘발유 45,150원 / 고급유 45,280원</v>
      </c>
      <c r="P72" s="12">
        <f t="shared" si="6"/>
        <v>90430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90430</v>
      </c>
      <c r="U72" s="12">
        <f t="shared" si="10"/>
        <v>2009.5555555555557</v>
      </c>
      <c r="V72" s="12">
        <f t="shared" si="11"/>
        <v>2009.5555555555557</v>
      </c>
      <c r="W72" s="14">
        <f t="shared" si="12"/>
        <v>90430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108</v>
      </c>
      <c r="D73" s="11" t="s">
        <v>57</v>
      </c>
      <c r="E73" s="11" t="s">
        <v>26</v>
      </c>
      <c r="F73" s="11" t="s">
        <v>109</v>
      </c>
      <c r="G73" s="12">
        <v>1819</v>
      </c>
      <c r="H73" s="12">
        <v>2248</v>
      </c>
      <c r="I73" s="12"/>
      <c r="J73" s="12">
        <v>1799</v>
      </c>
      <c r="K73" s="12">
        <f t="shared" si="1"/>
        <v>0</v>
      </c>
      <c r="L73" s="12">
        <f t="shared" si="2"/>
        <v>1819</v>
      </c>
      <c r="M73" s="12">
        <f t="shared" si="3"/>
        <v>2248</v>
      </c>
      <c r="N73" s="12">
        <f t="shared" si="4"/>
        <v>1799</v>
      </c>
      <c r="O73" s="12" t="str">
        <f t="shared" si="5"/>
        <v>휘발유 45,475원 / 고급유 44,960원</v>
      </c>
      <c r="P73" s="12">
        <f t="shared" si="6"/>
        <v>90435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90435</v>
      </c>
      <c r="U73" s="12">
        <f t="shared" si="10"/>
        <v>2009.6666666666667</v>
      </c>
      <c r="V73" s="12">
        <f t="shared" si="11"/>
        <v>2009.6666666666667</v>
      </c>
      <c r="W73" s="14">
        <f t="shared" si="12"/>
        <v>90435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244</v>
      </c>
      <c r="D74" s="15" t="s">
        <v>80</v>
      </c>
      <c r="E74" s="11" t="s">
        <v>26</v>
      </c>
      <c r="F74" s="11" t="s">
        <v>245</v>
      </c>
      <c r="G74" s="12">
        <v>1815</v>
      </c>
      <c r="H74" s="12">
        <v>2255</v>
      </c>
      <c r="I74" s="12"/>
      <c r="J74" s="12">
        <v>1825</v>
      </c>
      <c r="K74" s="12">
        <f t="shared" si="1"/>
        <v>0</v>
      </c>
      <c r="L74" s="12">
        <f t="shared" si="2"/>
        <v>1815</v>
      </c>
      <c r="M74" s="12">
        <f t="shared" si="3"/>
        <v>2255</v>
      </c>
      <c r="N74" s="12">
        <f t="shared" si="4"/>
        <v>1825</v>
      </c>
      <c r="O74" s="12" t="str">
        <f t="shared" si="5"/>
        <v>휘발유 45,375원 / 고급유 45,100원</v>
      </c>
      <c r="P74" s="12">
        <f t="shared" si="6"/>
        <v>90475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90475</v>
      </c>
      <c r="U74" s="12">
        <f t="shared" si="10"/>
        <v>2010.5555555555557</v>
      </c>
      <c r="V74" s="12">
        <f t="shared" si="11"/>
        <v>2010.5555555555557</v>
      </c>
      <c r="W74" s="14">
        <f t="shared" si="12"/>
        <v>90475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1045</v>
      </c>
      <c r="D75" s="15" t="s">
        <v>45</v>
      </c>
      <c r="E75" s="11" t="s">
        <v>26</v>
      </c>
      <c r="F75" s="11" t="s">
        <v>1046</v>
      </c>
      <c r="G75" s="12">
        <v>1828</v>
      </c>
      <c r="H75" s="12">
        <v>2239</v>
      </c>
      <c r="I75" s="12"/>
      <c r="J75" s="12">
        <v>1814</v>
      </c>
      <c r="K75" s="12">
        <f t="shared" si="1"/>
        <v>0</v>
      </c>
      <c r="L75" s="12">
        <f t="shared" si="2"/>
        <v>1828</v>
      </c>
      <c r="M75" s="12">
        <f t="shared" si="3"/>
        <v>2239</v>
      </c>
      <c r="N75" s="12">
        <f t="shared" si="4"/>
        <v>1814</v>
      </c>
      <c r="O75" s="12" t="str">
        <f t="shared" si="5"/>
        <v>휘발유 45,700원 / 고급유 44,780원</v>
      </c>
      <c r="P75" s="12">
        <f t="shared" si="6"/>
        <v>90480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90480</v>
      </c>
      <c r="U75" s="12">
        <f t="shared" si="10"/>
        <v>2010.6666666666667</v>
      </c>
      <c r="V75" s="12">
        <f t="shared" si="11"/>
        <v>2010.6666666666667</v>
      </c>
      <c r="W75" s="14">
        <f t="shared" si="12"/>
        <v>90480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584</v>
      </c>
      <c r="D76" s="15" t="s">
        <v>80</v>
      </c>
      <c r="E76" s="11" t="s">
        <v>61</v>
      </c>
      <c r="F76" s="11" t="s">
        <v>585</v>
      </c>
      <c r="G76" s="12">
        <v>1823</v>
      </c>
      <c r="H76" s="12">
        <v>2248</v>
      </c>
      <c r="I76" s="12"/>
      <c r="J76" s="12">
        <v>1829</v>
      </c>
      <c r="K76" s="12">
        <f t="shared" si="1"/>
        <v>0</v>
      </c>
      <c r="L76" s="12">
        <f t="shared" si="2"/>
        <v>1823</v>
      </c>
      <c r="M76" s="12">
        <f t="shared" si="3"/>
        <v>2248</v>
      </c>
      <c r="N76" s="12">
        <f t="shared" si="4"/>
        <v>1829</v>
      </c>
      <c r="O76" s="12" t="str">
        <f t="shared" si="5"/>
        <v>휘발유 45,575원 / 고급유 44,960원</v>
      </c>
      <c r="P76" s="12">
        <f t="shared" si="6"/>
        <v>90535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90535</v>
      </c>
      <c r="U76" s="12">
        <f t="shared" si="10"/>
        <v>2011.8888888888889</v>
      </c>
      <c r="V76" s="12">
        <f t="shared" si="11"/>
        <v>2011.8888888888889</v>
      </c>
      <c r="W76" s="14">
        <f t="shared" si="12"/>
        <v>90535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82</v>
      </c>
      <c r="D77" s="15" t="s">
        <v>60</v>
      </c>
      <c r="E77" s="11" t="s">
        <v>26</v>
      </c>
      <c r="F77" s="11" t="s">
        <v>83</v>
      </c>
      <c r="G77" s="12">
        <v>1788</v>
      </c>
      <c r="H77" s="12">
        <v>2295</v>
      </c>
      <c r="I77" s="12"/>
      <c r="J77" s="12">
        <v>1795</v>
      </c>
      <c r="K77" s="12">
        <f t="shared" si="1"/>
        <v>0</v>
      </c>
      <c r="L77" s="12">
        <f t="shared" si="2"/>
        <v>1788</v>
      </c>
      <c r="M77" s="12">
        <f t="shared" si="3"/>
        <v>2295</v>
      </c>
      <c r="N77" s="12">
        <f t="shared" si="4"/>
        <v>1795</v>
      </c>
      <c r="O77" s="12" t="str">
        <f t="shared" si="5"/>
        <v>휘발유 44,700원 / 고급유 45,900원</v>
      </c>
      <c r="P77" s="12">
        <f t="shared" si="6"/>
        <v>90600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90600</v>
      </c>
      <c r="U77" s="12">
        <f t="shared" si="10"/>
        <v>2013.3333333333333</v>
      </c>
      <c r="V77" s="12">
        <f t="shared" si="11"/>
        <v>2013.3333333333333</v>
      </c>
      <c r="W77" s="14">
        <f t="shared" si="12"/>
        <v>90600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1607</v>
      </c>
      <c r="D78" s="15" t="s">
        <v>80</v>
      </c>
      <c r="E78" s="11" t="s">
        <v>26</v>
      </c>
      <c r="F78" s="11" t="s">
        <v>1608</v>
      </c>
      <c r="G78" s="12">
        <v>1820</v>
      </c>
      <c r="H78" s="12">
        <v>2260</v>
      </c>
      <c r="I78" s="12"/>
      <c r="J78" s="12">
        <v>1810</v>
      </c>
      <c r="K78" s="12">
        <f t="shared" si="1"/>
        <v>0</v>
      </c>
      <c r="L78" s="12">
        <f t="shared" si="2"/>
        <v>1820</v>
      </c>
      <c r="M78" s="12">
        <f t="shared" si="3"/>
        <v>2260</v>
      </c>
      <c r="N78" s="12">
        <f t="shared" si="4"/>
        <v>1810</v>
      </c>
      <c r="O78" s="12" t="str">
        <f t="shared" si="5"/>
        <v>휘발유 45,500원 / 고급유 45,200원</v>
      </c>
      <c r="P78" s="12">
        <f t="shared" si="6"/>
        <v>90700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90700</v>
      </c>
      <c r="U78" s="12">
        <f t="shared" si="10"/>
        <v>2015.5555555555557</v>
      </c>
      <c r="V78" s="12">
        <f t="shared" si="11"/>
        <v>2015.5555555555557</v>
      </c>
      <c r="W78" s="14">
        <f t="shared" si="12"/>
        <v>90700</v>
      </c>
    </row>
    <row r="79" spans="1:23" s="16" customFormat="1" ht="28.5" customHeight="1">
      <c r="A79" s="11">
        <f t="shared" ref="A79:A142" si="13">IF($T79="","",1+COUNTIF($W$15:$W$883,"&lt;"&amp;W79))</f>
        <v>65</v>
      </c>
      <c r="B79" s="11" t="s">
        <v>10</v>
      </c>
      <c r="C79" s="11" t="s">
        <v>1340</v>
      </c>
      <c r="D79" s="11" t="s">
        <v>48</v>
      </c>
      <c r="E79" s="11" t="s">
        <v>26</v>
      </c>
      <c r="F79" s="11" t="s">
        <v>1341</v>
      </c>
      <c r="G79" s="12">
        <v>1829</v>
      </c>
      <c r="H79" s="12">
        <v>2249</v>
      </c>
      <c r="I79" s="12"/>
      <c r="J79" s="12">
        <v>1797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2249</v>
      </c>
      <c r="N79" s="12">
        <f t="shared" ref="N79:N142" si="17">IF($J79="","",$J79+$K79)</f>
        <v>1797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44,980원</v>
      </c>
      <c r="P79" s="12">
        <f t="shared" ref="P79:P142" si="19">IF($B$10=0,"",IFERROR(IF($B$4&gt;0,IF($L79="",1/0,$L79*$B$4),0)+IF($B$5&gt;0,IF($M79="",1/0,$M79*$B$5),0)+IF($B$6&gt;0,IF($N79="",1/0,$N79*$B$6),0),""))</f>
        <v>90705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90705</v>
      </c>
      <c r="U79" s="12">
        <f t="shared" ref="U79:U142" si="23">IF($T79="","",IF($B$10=0,"",$T79/$B$10))</f>
        <v>2015.6666666666667</v>
      </c>
      <c r="V79" s="12">
        <f t="shared" ref="V79:V142" si="24">IF($P79="","",IF($B$10=0,"",$P79/$B$10))</f>
        <v>2015.6666666666667</v>
      </c>
      <c r="W79" s="14">
        <f t="shared" ref="W79:W142" si="25">IF($T79="",1000000000000000,$T79)</f>
        <v>90705</v>
      </c>
    </row>
    <row r="80" spans="1:23" s="16" customFormat="1" ht="28.5" customHeight="1">
      <c r="A80" s="11">
        <f t="shared" si="13"/>
        <v>66</v>
      </c>
      <c r="B80" s="11" t="s">
        <v>6</v>
      </c>
      <c r="C80" s="11" t="s">
        <v>712</v>
      </c>
      <c r="D80" s="15" t="s">
        <v>45</v>
      </c>
      <c r="E80" s="11" t="s">
        <v>26</v>
      </c>
      <c r="F80" s="11" t="s">
        <v>713</v>
      </c>
      <c r="G80" s="12">
        <v>1815</v>
      </c>
      <c r="H80" s="12">
        <v>2269</v>
      </c>
      <c r="I80" s="12"/>
      <c r="J80" s="12">
        <v>1795</v>
      </c>
      <c r="K80" s="12">
        <f t="shared" si="14"/>
        <v>0</v>
      </c>
      <c r="L80" s="12">
        <f t="shared" si="15"/>
        <v>1815</v>
      </c>
      <c r="M80" s="12">
        <f t="shared" si="16"/>
        <v>2269</v>
      </c>
      <c r="N80" s="12">
        <f t="shared" si="17"/>
        <v>1795</v>
      </c>
      <c r="O80" s="12" t="str">
        <f t="shared" si="18"/>
        <v>휘발유 45,375원 / 고급유 45,380원</v>
      </c>
      <c r="P80" s="12">
        <f t="shared" si="19"/>
        <v>90755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90755</v>
      </c>
      <c r="U80" s="12">
        <f t="shared" si="23"/>
        <v>2016.7777777777778</v>
      </c>
      <c r="V80" s="12">
        <f t="shared" si="24"/>
        <v>2016.7777777777778</v>
      </c>
      <c r="W80" s="14">
        <f t="shared" si="25"/>
        <v>90755</v>
      </c>
    </row>
    <row r="81" spans="1:23" s="7" customFormat="1" ht="28.5" customHeight="1">
      <c r="A81" s="11">
        <f t="shared" si="13"/>
        <v>67</v>
      </c>
      <c r="B81" s="11" t="s">
        <v>12</v>
      </c>
      <c r="C81" s="11" t="s">
        <v>894</v>
      </c>
      <c r="D81" s="15" t="s">
        <v>45</v>
      </c>
      <c r="E81" s="11" t="s">
        <v>26</v>
      </c>
      <c r="F81" s="11" t="s">
        <v>895</v>
      </c>
      <c r="G81" s="12">
        <v>1819</v>
      </c>
      <c r="H81" s="12">
        <v>2265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2265</v>
      </c>
      <c r="N81" s="12">
        <f t="shared" si="17"/>
        <v>1799</v>
      </c>
      <c r="O81" s="12" t="str">
        <f t="shared" si="18"/>
        <v>휘발유 45,475원 / 고급유 45,300원</v>
      </c>
      <c r="P81" s="12">
        <f t="shared" si="19"/>
        <v>90775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90775</v>
      </c>
      <c r="U81" s="12">
        <f t="shared" si="23"/>
        <v>2017.2222222222222</v>
      </c>
      <c r="V81" s="12">
        <f t="shared" si="24"/>
        <v>2017.2222222222222</v>
      </c>
      <c r="W81" s="14">
        <f t="shared" si="25"/>
        <v>90775</v>
      </c>
    </row>
    <row r="82" spans="1:23" s="7" customFormat="1" ht="28.5" customHeight="1">
      <c r="A82" s="11">
        <f t="shared" si="13"/>
        <v>68</v>
      </c>
      <c r="B82" s="11" t="s">
        <v>10</v>
      </c>
      <c r="C82" s="11" t="s">
        <v>332</v>
      </c>
      <c r="D82" s="15" t="s">
        <v>80</v>
      </c>
      <c r="E82" s="11" t="s">
        <v>26</v>
      </c>
      <c r="F82" s="11" t="s">
        <v>333</v>
      </c>
      <c r="G82" s="12">
        <v>1824</v>
      </c>
      <c r="H82" s="12">
        <v>2259</v>
      </c>
      <c r="I82" s="12"/>
      <c r="J82" s="12">
        <v>1798</v>
      </c>
      <c r="K82" s="12">
        <f t="shared" si="14"/>
        <v>0</v>
      </c>
      <c r="L82" s="12">
        <f t="shared" si="15"/>
        <v>1824</v>
      </c>
      <c r="M82" s="12">
        <f t="shared" si="16"/>
        <v>2259</v>
      </c>
      <c r="N82" s="12">
        <f t="shared" si="17"/>
        <v>1798</v>
      </c>
      <c r="O82" s="12" t="str">
        <f t="shared" si="18"/>
        <v>휘발유 45,600원 / 고급유 45,180원</v>
      </c>
      <c r="P82" s="12">
        <f t="shared" si="19"/>
        <v>90780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90780</v>
      </c>
      <c r="U82" s="12">
        <f t="shared" si="23"/>
        <v>2017.3333333333333</v>
      </c>
      <c r="V82" s="12">
        <f t="shared" si="24"/>
        <v>2017.3333333333333</v>
      </c>
      <c r="W82" s="14">
        <f t="shared" si="25"/>
        <v>90780</v>
      </c>
    </row>
    <row r="83" spans="1:23" s="2" customFormat="1" ht="28.5" customHeight="1">
      <c r="A83" s="11">
        <f t="shared" si="13"/>
        <v>68</v>
      </c>
      <c r="B83" s="11" t="s">
        <v>18</v>
      </c>
      <c r="C83" s="11" t="s">
        <v>392</v>
      </c>
      <c r="D83" s="15" t="s">
        <v>60</v>
      </c>
      <c r="E83" s="11" t="s">
        <v>26</v>
      </c>
      <c r="F83" s="11" t="s">
        <v>393</v>
      </c>
      <c r="G83" s="12">
        <v>1832</v>
      </c>
      <c r="H83" s="12">
        <v>2249</v>
      </c>
      <c r="I83" s="12"/>
      <c r="J83" s="12">
        <v>1812</v>
      </c>
      <c r="K83" s="12">
        <f t="shared" si="14"/>
        <v>0</v>
      </c>
      <c r="L83" s="12">
        <f t="shared" si="15"/>
        <v>1832</v>
      </c>
      <c r="M83" s="12">
        <f t="shared" si="16"/>
        <v>2249</v>
      </c>
      <c r="N83" s="12">
        <f t="shared" si="17"/>
        <v>1812</v>
      </c>
      <c r="O83" s="12" t="str">
        <f t="shared" si="18"/>
        <v>휘발유 45,800원 / 고급유 44,980원</v>
      </c>
      <c r="P83" s="12">
        <f t="shared" si="19"/>
        <v>90780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90780</v>
      </c>
      <c r="U83" s="12">
        <f t="shared" si="23"/>
        <v>2017.3333333333333</v>
      </c>
      <c r="V83" s="12">
        <f t="shared" si="24"/>
        <v>2017.3333333333333</v>
      </c>
      <c r="W83" s="14">
        <f t="shared" si="25"/>
        <v>90780</v>
      </c>
    </row>
    <row r="84" spans="1:23" s="16" customFormat="1" ht="28.5" customHeight="1">
      <c r="A84" s="11">
        <f t="shared" si="13"/>
        <v>70</v>
      </c>
      <c r="B84" s="11" t="s">
        <v>12</v>
      </c>
      <c r="C84" s="11" t="s">
        <v>310</v>
      </c>
      <c r="D84" s="15" t="s">
        <v>60</v>
      </c>
      <c r="E84" s="11" t="s">
        <v>26</v>
      </c>
      <c r="F84" s="11" t="s">
        <v>311</v>
      </c>
      <c r="G84" s="12">
        <v>1809</v>
      </c>
      <c r="H84" s="12">
        <v>2280</v>
      </c>
      <c r="I84" s="12"/>
      <c r="J84" s="12">
        <v>1814</v>
      </c>
      <c r="K84" s="12">
        <f t="shared" si="14"/>
        <v>0</v>
      </c>
      <c r="L84" s="12">
        <f t="shared" si="15"/>
        <v>1809</v>
      </c>
      <c r="M84" s="12">
        <f t="shared" si="16"/>
        <v>2280</v>
      </c>
      <c r="N84" s="12">
        <f t="shared" si="17"/>
        <v>1814</v>
      </c>
      <c r="O84" s="12" t="str">
        <f t="shared" si="18"/>
        <v>휘발유 45,225원 / 고급유 45,600원</v>
      </c>
      <c r="P84" s="12">
        <f t="shared" si="19"/>
        <v>90825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90825</v>
      </c>
      <c r="U84" s="12">
        <f t="shared" si="23"/>
        <v>2018.3333333333333</v>
      </c>
      <c r="V84" s="12">
        <f t="shared" si="24"/>
        <v>2018.3333333333333</v>
      </c>
      <c r="W84" s="14">
        <f t="shared" si="25"/>
        <v>90825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1543</v>
      </c>
      <c r="D85" s="11" t="s">
        <v>71</v>
      </c>
      <c r="E85" s="11" t="s">
        <v>26</v>
      </c>
      <c r="F85" s="11" t="s">
        <v>1544</v>
      </c>
      <c r="G85" s="12">
        <v>1819</v>
      </c>
      <c r="H85" s="12">
        <v>2268</v>
      </c>
      <c r="I85" s="12"/>
      <c r="J85" s="12">
        <v>1799</v>
      </c>
      <c r="K85" s="12">
        <f t="shared" si="14"/>
        <v>0</v>
      </c>
      <c r="L85" s="12">
        <f t="shared" si="15"/>
        <v>1819</v>
      </c>
      <c r="M85" s="12">
        <f t="shared" si="16"/>
        <v>2268</v>
      </c>
      <c r="N85" s="12">
        <f t="shared" si="17"/>
        <v>1799</v>
      </c>
      <c r="O85" s="12" t="str">
        <f t="shared" si="18"/>
        <v>휘발유 45,475원 / 고급유 45,360원</v>
      </c>
      <c r="P85" s="12">
        <f t="shared" si="19"/>
        <v>90835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90835</v>
      </c>
      <c r="U85" s="12">
        <f t="shared" si="23"/>
        <v>2018.5555555555557</v>
      </c>
      <c r="V85" s="12">
        <f t="shared" si="24"/>
        <v>2018.5555555555557</v>
      </c>
      <c r="W85" s="14">
        <f t="shared" si="25"/>
        <v>90835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747</v>
      </c>
      <c r="D86" s="11" t="s">
        <v>57</v>
      </c>
      <c r="E86" s="11" t="s">
        <v>26</v>
      </c>
      <c r="F86" s="11" t="s">
        <v>748</v>
      </c>
      <c r="G86" s="12">
        <v>1829</v>
      </c>
      <c r="H86" s="12">
        <v>2259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2259</v>
      </c>
      <c r="N86" s="12">
        <f t="shared" si="17"/>
        <v>1809</v>
      </c>
      <c r="O86" s="12" t="str">
        <f t="shared" si="18"/>
        <v>휘발유 45,725원 / 고급유 45,180원</v>
      </c>
      <c r="P86" s="12">
        <f t="shared" si="19"/>
        <v>90905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90905</v>
      </c>
      <c r="U86" s="12">
        <f t="shared" si="23"/>
        <v>2020.1111111111111</v>
      </c>
      <c r="V86" s="12">
        <f t="shared" si="24"/>
        <v>2020.1111111111111</v>
      </c>
      <c r="W86" s="14">
        <f t="shared" si="25"/>
        <v>90905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449</v>
      </c>
      <c r="D87" s="11" t="s">
        <v>57</v>
      </c>
      <c r="E87" s="11" t="s">
        <v>26</v>
      </c>
      <c r="F87" s="11" t="s">
        <v>450</v>
      </c>
      <c r="G87" s="12">
        <v>1847</v>
      </c>
      <c r="H87" s="12">
        <v>2237</v>
      </c>
      <c r="I87" s="12"/>
      <c r="J87" s="12">
        <v>1827</v>
      </c>
      <c r="K87" s="12">
        <f t="shared" si="14"/>
        <v>0</v>
      </c>
      <c r="L87" s="12">
        <f t="shared" si="15"/>
        <v>1847</v>
      </c>
      <c r="M87" s="12">
        <f t="shared" si="16"/>
        <v>2237</v>
      </c>
      <c r="N87" s="12">
        <f t="shared" si="17"/>
        <v>1827</v>
      </c>
      <c r="O87" s="12" t="str">
        <f t="shared" si="18"/>
        <v>휘발유 46,175원 / 고급유 44,740원</v>
      </c>
      <c r="P87" s="12">
        <f t="shared" si="19"/>
        <v>90915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90915</v>
      </c>
      <c r="U87" s="12">
        <f t="shared" si="23"/>
        <v>2020.3333333333333</v>
      </c>
      <c r="V87" s="12">
        <f t="shared" si="24"/>
        <v>2020.3333333333333</v>
      </c>
      <c r="W87" s="14">
        <f t="shared" si="25"/>
        <v>90915</v>
      </c>
    </row>
    <row r="88" spans="1:23" s="7" customFormat="1" ht="28.5" customHeight="1">
      <c r="A88" s="11">
        <f t="shared" si="13"/>
        <v>74</v>
      </c>
      <c r="B88" s="11" t="s">
        <v>6</v>
      </c>
      <c r="C88" s="11" t="s">
        <v>565</v>
      </c>
      <c r="D88" s="15" t="s">
        <v>45</v>
      </c>
      <c r="E88" s="11" t="s">
        <v>26</v>
      </c>
      <c r="F88" s="11" t="s">
        <v>566</v>
      </c>
      <c r="G88" s="12">
        <v>1819</v>
      </c>
      <c r="H88" s="12">
        <v>2275</v>
      </c>
      <c r="I88" s="12"/>
      <c r="J88" s="12">
        <v>1798</v>
      </c>
      <c r="K88" s="12">
        <f t="shared" si="14"/>
        <v>0</v>
      </c>
      <c r="L88" s="12">
        <f t="shared" si="15"/>
        <v>1819</v>
      </c>
      <c r="M88" s="12">
        <f t="shared" si="16"/>
        <v>2275</v>
      </c>
      <c r="N88" s="12">
        <f t="shared" si="17"/>
        <v>1798</v>
      </c>
      <c r="O88" s="12" t="str">
        <f t="shared" si="18"/>
        <v>휘발유 45,475원 / 고급유 45,500원</v>
      </c>
      <c r="P88" s="12">
        <f t="shared" si="19"/>
        <v>90975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90975</v>
      </c>
      <c r="U88" s="12">
        <f t="shared" si="23"/>
        <v>2021.6666666666667</v>
      </c>
      <c r="V88" s="12">
        <f t="shared" si="24"/>
        <v>2021.6666666666667</v>
      </c>
      <c r="W88" s="14">
        <f t="shared" si="25"/>
        <v>90975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1409</v>
      </c>
      <c r="D89" s="15" t="s">
        <v>60</v>
      </c>
      <c r="E89" s="11" t="s">
        <v>61</v>
      </c>
      <c r="F89" s="11" t="s">
        <v>1410</v>
      </c>
      <c r="G89" s="12">
        <v>1828</v>
      </c>
      <c r="H89" s="12">
        <v>2265</v>
      </c>
      <c r="I89" s="12"/>
      <c r="J89" s="12">
        <v>1799</v>
      </c>
      <c r="K89" s="12">
        <f t="shared" si="14"/>
        <v>0</v>
      </c>
      <c r="L89" s="12">
        <f t="shared" si="15"/>
        <v>1828</v>
      </c>
      <c r="M89" s="12">
        <f t="shared" si="16"/>
        <v>2265</v>
      </c>
      <c r="N89" s="12">
        <f t="shared" si="17"/>
        <v>1799</v>
      </c>
      <c r="O89" s="12" t="str">
        <f t="shared" si="18"/>
        <v>휘발유 45,700원 / 고급유 45,300원</v>
      </c>
      <c r="P89" s="12">
        <f t="shared" si="19"/>
        <v>91000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91000</v>
      </c>
      <c r="U89" s="12">
        <f t="shared" si="23"/>
        <v>2022.2222222222222</v>
      </c>
      <c r="V89" s="12">
        <f t="shared" si="24"/>
        <v>2022.2222222222222</v>
      </c>
      <c r="W89" s="14">
        <f t="shared" si="25"/>
        <v>91000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264</v>
      </c>
      <c r="D90" s="15" t="s">
        <v>80</v>
      </c>
      <c r="E90" s="11" t="s">
        <v>26</v>
      </c>
      <c r="F90" s="11" t="s">
        <v>265</v>
      </c>
      <c r="G90" s="12">
        <v>1858</v>
      </c>
      <c r="H90" s="12">
        <v>2229</v>
      </c>
      <c r="I90" s="12"/>
      <c r="J90" s="12">
        <v>1808</v>
      </c>
      <c r="K90" s="12">
        <f t="shared" si="14"/>
        <v>0</v>
      </c>
      <c r="L90" s="12">
        <f t="shared" si="15"/>
        <v>1858</v>
      </c>
      <c r="M90" s="12">
        <f t="shared" si="16"/>
        <v>2229</v>
      </c>
      <c r="N90" s="12">
        <f t="shared" si="17"/>
        <v>1808</v>
      </c>
      <c r="O90" s="12" t="str">
        <f t="shared" si="18"/>
        <v>휘발유 46,450원 / 고급유 44,580원</v>
      </c>
      <c r="P90" s="12">
        <f t="shared" si="19"/>
        <v>91030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91030</v>
      </c>
      <c r="U90" s="12">
        <f t="shared" si="23"/>
        <v>2022.8888888888889</v>
      </c>
      <c r="V90" s="12">
        <f t="shared" si="24"/>
        <v>2022.8888888888889</v>
      </c>
      <c r="W90" s="14">
        <f t="shared" si="25"/>
        <v>91030</v>
      </c>
    </row>
    <row r="91" spans="1:23" s="7" customFormat="1" ht="28.5" customHeight="1">
      <c r="A91" s="11">
        <f t="shared" si="13"/>
        <v>76</v>
      </c>
      <c r="B91" s="11" t="s">
        <v>12</v>
      </c>
      <c r="C91" s="11" t="s">
        <v>252</v>
      </c>
      <c r="D91" s="15" t="s">
        <v>80</v>
      </c>
      <c r="E91" s="11" t="s">
        <v>26</v>
      </c>
      <c r="F91" s="11" t="s">
        <v>253</v>
      </c>
      <c r="G91" s="12">
        <v>1858</v>
      </c>
      <c r="H91" s="12">
        <v>2229</v>
      </c>
      <c r="I91" s="12"/>
      <c r="J91" s="12">
        <v>1809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1809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1237</v>
      </c>
      <c r="D92" s="15" t="s">
        <v>45</v>
      </c>
      <c r="E92" s="11" t="s">
        <v>26</v>
      </c>
      <c r="F92" s="11" t="s">
        <v>1238</v>
      </c>
      <c r="G92" s="12">
        <v>1805</v>
      </c>
      <c r="H92" s="12">
        <v>2298</v>
      </c>
      <c r="I92" s="12"/>
      <c r="J92" s="12">
        <v>1793</v>
      </c>
      <c r="K92" s="12">
        <f t="shared" si="14"/>
        <v>0</v>
      </c>
      <c r="L92" s="12">
        <f t="shared" si="15"/>
        <v>1805</v>
      </c>
      <c r="M92" s="12">
        <f t="shared" si="16"/>
        <v>2298</v>
      </c>
      <c r="N92" s="12">
        <f t="shared" si="17"/>
        <v>1793</v>
      </c>
      <c r="O92" s="12" t="str">
        <f t="shared" si="18"/>
        <v>휘발유 45,125원 / 고급유 45,960원</v>
      </c>
      <c r="P92" s="12">
        <f t="shared" si="19"/>
        <v>91085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91085</v>
      </c>
      <c r="U92" s="12">
        <f t="shared" si="23"/>
        <v>2024.1111111111111</v>
      </c>
      <c r="V92" s="12">
        <f t="shared" si="24"/>
        <v>2024.1111111111111</v>
      </c>
      <c r="W92" s="14">
        <f t="shared" si="25"/>
        <v>91085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1436</v>
      </c>
      <c r="D93" s="15" t="s">
        <v>60</v>
      </c>
      <c r="E93" s="11" t="s">
        <v>26</v>
      </c>
      <c r="F93" s="11" t="s">
        <v>1437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79</v>
      </c>
      <c r="B94" s="11" t="s">
        <v>6</v>
      </c>
      <c r="C94" s="11" t="s">
        <v>1440</v>
      </c>
      <c r="D94" s="15" t="s">
        <v>60</v>
      </c>
      <c r="E94" s="11" t="s">
        <v>26</v>
      </c>
      <c r="F94" s="11" t="s">
        <v>1441</v>
      </c>
      <c r="G94" s="12">
        <v>1845</v>
      </c>
      <c r="H94" s="12">
        <v>2249</v>
      </c>
      <c r="I94" s="12"/>
      <c r="J94" s="12">
        <v>1849</v>
      </c>
      <c r="K94" s="12">
        <f t="shared" si="14"/>
        <v>0</v>
      </c>
      <c r="L94" s="12">
        <f t="shared" si="15"/>
        <v>1845</v>
      </c>
      <c r="M94" s="12">
        <f t="shared" si="16"/>
        <v>2249</v>
      </c>
      <c r="N94" s="12">
        <f t="shared" si="17"/>
        <v>1849</v>
      </c>
      <c r="O94" s="12" t="str">
        <f t="shared" si="18"/>
        <v>휘발유 46,125원 / 고급유 44,980원</v>
      </c>
      <c r="P94" s="12">
        <f t="shared" si="19"/>
        <v>91105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91105</v>
      </c>
      <c r="U94" s="12">
        <f t="shared" si="23"/>
        <v>2024.5555555555557</v>
      </c>
      <c r="V94" s="12">
        <f t="shared" si="24"/>
        <v>2024.5555555555557</v>
      </c>
      <c r="W94" s="14">
        <f t="shared" si="25"/>
        <v>91105</v>
      </c>
    </row>
    <row r="95" spans="1:23" s="16" customFormat="1" ht="28.5" customHeight="1">
      <c r="A95" s="11">
        <f t="shared" si="13"/>
        <v>79</v>
      </c>
      <c r="B95" s="11" t="s">
        <v>6</v>
      </c>
      <c r="C95" s="11" t="s">
        <v>1456</v>
      </c>
      <c r="D95" s="15" t="s">
        <v>60</v>
      </c>
      <c r="E95" s="11" t="s">
        <v>26</v>
      </c>
      <c r="F95" s="11" t="s">
        <v>1457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614</v>
      </c>
      <c r="D96" s="15" t="s">
        <v>45</v>
      </c>
      <c r="E96" s="11" t="s">
        <v>26</v>
      </c>
      <c r="F96" s="11" t="s">
        <v>615</v>
      </c>
      <c r="G96" s="12">
        <v>1865</v>
      </c>
      <c r="H96" s="12">
        <v>2225</v>
      </c>
      <c r="I96" s="12"/>
      <c r="J96" s="12">
        <v>1855</v>
      </c>
      <c r="K96" s="12">
        <f t="shared" si="14"/>
        <v>0</v>
      </c>
      <c r="L96" s="12">
        <f t="shared" si="15"/>
        <v>1865</v>
      </c>
      <c r="M96" s="12">
        <f t="shared" si="16"/>
        <v>2225</v>
      </c>
      <c r="N96" s="12">
        <f t="shared" si="17"/>
        <v>1855</v>
      </c>
      <c r="O96" s="12" t="str">
        <f t="shared" si="18"/>
        <v>휘발유 46,625원 / 고급유 44,500원</v>
      </c>
      <c r="P96" s="12">
        <f t="shared" si="19"/>
        <v>91125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91125</v>
      </c>
      <c r="U96" s="12">
        <f t="shared" si="23"/>
        <v>2025</v>
      </c>
      <c r="V96" s="12">
        <f t="shared" si="24"/>
        <v>2025</v>
      </c>
      <c r="W96" s="14">
        <f t="shared" si="25"/>
        <v>91125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60</v>
      </c>
      <c r="E97" s="11" t="s">
        <v>26</v>
      </c>
      <c r="F97" s="11" t="s">
        <v>325</v>
      </c>
      <c r="G97" s="12">
        <v>1825</v>
      </c>
      <c r="H97" s="12">
        <v>2278</v>
      </c>
      <c r="I97" s="12"/>
      <c r="J97" s="12">
        <v>1809</v>
      </c>
      <c r="K97" s="12">
        <f t="shared" si="14"/>
        <v>0</v>
      </c>
      <c r="L97" s="12">
        <f t="shared" si="15"/>
        <v>1825</v>
      </c>
      <c r="M97" s="12">
        <f t="shared" si="16"/>
        <v>2278</v>
      </c>
      <c r="N97" s="12">
        <f t="shared" si="17"/>
        <v>1809</v>
      </c>
      <c r="O97" s="12" t="str">
        <f t="shared" si="18"/>
        <v>휘발유 45,625원 / 고급유 45,560원</v>
      </c>
      <c r="P97" s="12">
        <f t="shared" si="19"/>
        <v>91185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91185</v>
      </c>
      <c r="U97" s="12">
        <f t="shared" si="23"/>
        <v>2026.3333333333333</v>
      </c>
      <c r="V97" s="12">
        <f t="shared" si="24"/>
        <v>2026.3333333333333</v>
      </c>
      <c r="W97" s="14">
        <f t="shared" si="25"/>
        <v>91185</v>
      </c>
    </row>
    <row r="98" spans="1:23" s="2" customFormat="1" ht="28.5" customHeight="1">
      <c r="A98" s="11">
        <f t="shared" si="13"/>
        <v>84</v>
      </c>
      <c r="B98" s="11" t="s">
        <v>16</v>
      </c>
      <c r="C98" s="11" t="s">
        <v>248</v>
      </c>
      <c r="D98" s="15" t="s">
        <v>60</v>
      </c>
      <c r="E98" s="11" t="s">
        <v>26</v>
      </c>
      <c r="F98" s="11" t="s">
        <v>249</v>
      </c>
      <c r="G98" s="12">
        <v>1880</v>
      </c>
      <c r="H98" s="12">
        <v>2210</v>
      </c>
      <c r="I98" s="12"/>
      <c r="J98" s="12">
        <v>1865</v>
      </c>
      <c r="K98" s="12">
        <f t="shared" si="14"/>
        <v>0</v>
      </c>
      <c r="L98" s="12">
        <f t="shared" si="15"/>
        <v>1880</v>
      </c>
      <c r="M98" s="12">
        <f t="shared" si="16"/>
        <v>2210</v>
      </c>
      <c r="N98" s="12">
        <f t="shared" si="17"/>
        <v>1865</v>
      </c>
      <c r="O98" s="12" t="str">
        <f t="shared" si="18"/>
        <v>휘발유 47,000원 / 고급유 44,200원</v>
      </c>
      <c r="P98" s="12">
        <f t="shared" si="19"/>
        <v>91200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91200</v>
      </c>
      <c r="U98" s="12">
        <f t="shared" si="23"/>
        <v>2026.6666666666667</v>
      </c>
      <c r="V98" s="12">
        <f t="shared" si="24"/>
        <v>2026.6666666666667</v>
      </c>
      <c r="W98" s="14">
        <f t="shared" si="25"/>
        <v>91200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1640</v>
      </c>
      <c r="D99" s="15" t="s">
        <v>80</v>
      </c>
      <c r="E99" s="11" t="s">
        <v>26</v>
      </c>
      <c r="F99" s="11" t="s">
        <v>1641</v>
      </c>
      <c r="G99" s="12">
        <v>1815</v>
      </c>
      <c r="H99" s="12">
        <v>2295</v>
      </c>
      <c r="I99" s="12"/>
      <c r="J99" s="12">
        <v>1799</v>
      </c>
      <c r="K99" s="12">
        <f t="shared" si="14"/>
        <v>0</v>
      </c>
      <c r="L99" s="12">
        <f t="shared" si="15"/>
        <v>1815</v>
      </c>
      <c r="M99" s="12">
        <f t="shared" si="16"/>
        <v>2295</v>
      </c>
      <c r="N99" s="12">
        <f t="shared" si="17"/>
        <v>1799</v>
      </c>
      <c r="O99" s="12" t="str">
        <f t="shared" si="18"/>
        <v>휘발유 45,375원 / 고급유 45,900원</v>
      </c>
      <c r="P99" s="12">
        <f t="shared" si="19"/>
        <v>91275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91275</v>
      </c>
      <c r="U99" s="12">
        <f t="shared" si="23"/>
        <v>2028.3333333333333</v>
      </c>
      <c r="V99" s="12">
        <f t="shared" si="24"/>
        <v>2028.3333333333333</v>
      </c>
      <c r="W99" s="14">
        <f t="shared" si="25"/>
        <v>91275</v>
      </c>
    </row>
    <row r="100" spans="1:23" s="16" customFormat="1" ht="28.5" customHeight="1">
      <c r="A100" s="11">
        <f t="shared" si="13"/>
        <v>86</v>
      </c>
      <c r="B100" s="11" t="s">
        <v>12</v>
      </c>
      <c r="C100" s="11" t="s">
        <v>268</v>
      </c>
      <c r="D100" s="15" t="s">
        <v>80</v>
      </c>
      <c r="E100" s="11" t="s">
        <v>26</v>
      </c>
      <c r="F100" s="11" t="s">
        <v>269</v>
      </c>
      <c r="G100" s="12">
        <v>1868</v>
      </c>
      <c r="H100" s="12">
        <v>2229</v>
      </c>
      <c r="I100" s="12"/>
      <c r="J100" s="12">
        <v>1809</v>
      </c>
      <c r="K100" s="12">
        <f t="shared" si="14"/>
        <v>0</v>
      </c>
      <c r="L100" s="12">
        <f t="shared" si="15"/>
        <v>1868</v>
      </c>
      <c r="M100" s="12">
        <f t="shared" si="16"/>
        <v>2229</v>
      </c>
      <c r="N100" s="12">
        <f t="shared" si="17"/>
        <v>1809</v>
      </c>
      <c r="O100" s="12" t="str">
        <f t="shared" si="18"/>
        <v>휘발유 46,700원 / 고급유 44,580원</v>
      </c>
      <c r="P100" s="12">
        <f t="shared" si="19"/>
        <v>91280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91280</v>
      </c>
      <c r="U100" s="12">
        <f t="shared" si="23"/>
        <v>2028.4444444444443</v>
      </c>
      <c r="V100" s="12">
        <f t="shared" si="24"/>
        <v>2028.4444444444443</v>
      </c>
      <c r="W100" s="14">
        <f t="shared" si="25"/>
        <v>91280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413</v>
      </c>
      <c r="D101" s="11" t="s">
        <v>57</v>
      </c>
      <c r="E101" s="11" t="s">
        <v>61</v>
      </c>
      <c r="F101" s="11" t="s">
        <v>414</v>
      </c>
      <c r="G101" s="12">
        <v>1979</v>
      </c>
      <c r="H101" s="12">
        <v>2598</v>
      </c>
      <c r="I101" s="12"/>
      <c r="J101" s="12">
        <v>1979</v>
      </c>
      <c r="K101" s="12">
        <f t="shared" si="14"/>
        <v>0</v>
      </c>
      <c r="L101" s="12">
        <f t="shared" si="15"/>
        <v>1979</v>
      </c>
      <c r="M101" s="12">
        <f t="shared" si="16"/>
        <v>2598</v>
      </c>
      <c r="N101" s="12">
        <f t="shared" si="17"/>
        <v>1979</v>
      </c>
      <c r="O101" s="12" t="str">
        <f t="shared" si="18"/>
        <v>휘발유 49,475원 / 고급유 51,960원</v>
      </c>
      <c r="P101" s="12">
        <f t="shared" si="19"/>
        <v>101435</v>
      </c>
      <c r="Q101" s="12" t="s">
        <v>63</v>
      </c>
      <c r="R101" s="13">
        <f t="shared" si="20"/>
        <v>0.1</v>
      </c>
      <c r="S101" s="12">
        <f t="shared" si="21"/>
        <v>10143</v>
      </c>
      <c r="T101" s="12">
        <f t="shared" si="22"/>
        <v>91292</v>
      </c>
      <c r="U101" s="12">
        <f t="shared" si="23"/>
        <v>2028.7111111111112</v>
      </c>
      <c r="V101" s="12">
        <f t="shared" si="24"/>
        <v>2254.1111111111113</v>
      </c>
      <c r="W101" s="14">
        <f t="shared" si="25"/>
        <v>91292</v>
      </c>
    </row>
    <row r="102" spans="1:23" s="16" customFormat="1" ht="28.5" customHeight="1">
      <c r="A102" s="11">
        <f t="shared" si="13"/>
        <v>88</v>
      </c>
      <c r="B102" s="11" t="s">
        <v>10</v>
      </c>
      <c r="C102" s="11" t="s">
        <v>1438</v>
      </c>
      <c r="D102" s="15" t="s">
        <v>60</v>
      </c>
      <c r="E102" s="11" t="s">
        <v>26</v>
      </c>
      <c r="F102" s="11" t="s">
        <v>1439</v>
      </c>
      <c r="G102" s="12">
        <v>1845</v>
      </c>
      <c r="H102" s="12">
        <v>2259</v>
      </c>
      <c r="I102" s="12"/>
      <c r="J102" s="12">
        <v>1849</v>
      </c>
      <c r="K102" s="12">
        <f t="shared" si="14"/>
        <v>0</v>
      </c>
      <c r="L102" s="12">
        <f t="shared" si="15"/>
        <v>1845</v>
      </c>
      <c r="M102" s="12">
        <f t="shared" si="16"/>
        <v>2259</v>
      </c>
      <c r="N102" s="12">
        <f t="shared" si="17"/>
        <v>1849</v>
      </c>
      <c r="O102" s="12" t="str">
        <f t="shared" si="18"/>
        <v>휘발유 46,125원 / 고급유 45,180원</v>
      </c>
      <c r="P102" s="12">
        <f t="shared" si="19"/>
        <v>91305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91305</v>
      </c>
      <c r="U102" s="12">
        <f t="shared" si="23"/>
        <v>2029</v>
      </c>
      <c r="V102" s="12">
        <f t="shared" si="24"/>
        <v>2029</v>
      </c>
      <c r="W102" s="14">
        <f t="shared" si="25"/>
        <v>91305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1575</v>
      </c>
      <c r="D103" s="11" t="s">
        <v>57</v>
      </c>
      <c r="E103" s="11" t="s">
        <v>26</v>
      </c>
      <c r="F103" s="11" t="s">
        <v>1576</v>
      </c>
      <c r="G103" s="12">
        <v>1829</v>
      </c>
      <c r="H103" s="12">
        <v>2280</v>
      </c>
      <c r="I103" s="12"/>
      <c r="J103" s="12">
        <v>1829</v>
      </c>
      <c r="K103" s="12">
        <f t="shared" si="14"/>
        <v>0</v>
      </c>
      <c r="L103" s="12">
        <f t="shared" si="15"/>
        <v>1829</v>
      </c>
      <c r="M103" s="12">
        <f t="shared" si="16"/>
        <v>2280</v>
      </c>
      <c r="N103" s="12">
        <f t="shared" si="17"/>
        <v>1829</v>
      </c>
      <c r="O103" s="12" t="str">
        <f t="shared" si="18"/>
        <v>휘발유 45,725원 / 고급유 45,600원</v>
      </c>
      <c r="P103" s="12">
        <f t="shared" si="19"/>
        <v>91325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91325</v>
      </c>
      <c r="U103" s="12">
        <f t="shared" si="23"/>
        <v>2029.4444444444443</v>
      </c>
      <c r="V103" s="12">
        <f t="shared" si="24"/>
        <v>2029.4444444444443</v>
      </c>
      <c r="W103" s="14">
        <f t="shared" si="25"/>
        <v>91325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1720</v>
      </c>
      <c r="D104" s="15" t="s">
        <v>45</v>
      </c>
      <c r="E104" s="11" t="s">
        <v>26</v>
      </c>
      <c r="F104" s="11" t="s">
        <v>1721</v>
      </c>
      <c r="G104" s="12">
        <v>1822</v>
      </c>
      <c r="H104" s="12">
        <v>2290</v>
      </c>
      <c r="I104" s="12"/>
      <c r="J104" s="12">
        <v>1812</v>
      </c>
      <c r="K104" s="12">
        <f t="shared" si="14"/>
        <v>0</v>
      </c>
      <c r="L104" s="12">
        <f t="shared" si="15"/>
        <v>1822</v>
      </c>
      <c r="M104" s="12">
        <f t="shared" si="16"/>
        <v>2290</v>
      </c>
      <c r="N104" s="12">
        <f t="shared" si="17"/>
        <v>1812</v>
      </c>
      <c r="O104" s="12" t="str">
        <f t="shared" si="18"/>
        <v>휘발유 45,550원 / 고급유 45,800원</v>
      </c>
      <c r="P104" s="12">
        <f t="shared" si="19"/>
        <v>91350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91350</v>
      </c>
      <c r="U104" s="12">
        <f t="shared" si="23"/>
        <v>2030</v>
      </c>
      <c r="V104" s="12">
        <f t="shared" si="24"/>
        <v>2030</v>
      </c>
      <c r="W104" s="14">
        <f t="shared" si="25"/>
        <v>91350</v>
      </c>
    </row>
    <row r="105" spans="1:23" s="7" customFormat="1" ht="28.5" customHeight="1">
      <c r="A105" s="11">
        <f t="shared" si="13"/>
        <v>91</v>
      </c>
      <c r="B105" s="11" t="s">
        <v>14</v>
      </c>
      <c r="C105" s="11" t="s">
        <v>464</v>
      </c>
      <c r="D105" s="11" t="s">
        <v>57</v>
      </c>
      <c r="E105" s="11" t="s">
        <v>26</v>
      </c>
      <c r="F105" s="11" t="s">
        <v>465</v>
      </c>
      <c r="G105" s="12">
        <v>1835</v>
      </c>
      <c r="H105" s="12">
        <v>2275</v>
      </c>
      <c r="I105" s="12"/>
      <c r="J105" s="12">
        <v>1832</v>
      </c>
      <c r="K105" s="12">
        <f t="shared" si="14"/>
        <v>0</v>
      </c>
      <c r="L105" s="12">
        <f t="shared" si="15"/>
        <v>1835</v>
      </c>
      <c r="M105" s="12">
        <f t="shared" si="16"/>
        <v>2275</v>
      </c>
      <c r="N105" s="12">
        <f t="shared" si="17"/>
        <v>1832</v>
      </c>
      <c r="O105" s="12" t="str">
        <f t="shared" si="18"/>
        <v>휘발유 45,875원 / 고급유 45,500원</v>
      </c>
      <c r="P105" s="12">
        <f t="shared" si="19"/>
        <v>91375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91375</v>
      </c>
      <c r="U105" s="12">
        <f t="shared" si="23"/>
        <v>2030.5555555555557</v>
      </c>
      <c r="V105" s="12">
        <f t="shared" si="24"/>
        <v>2030.5555555555557</v>
      </c>
      <c r="W105" s="14">
        <f t="shared" si="25"/>
        <v>91375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7" customFormat="1" ht="28.5" customHeight="1">
      <c r="A107" s="11">
        <f t="shared" si="13"/>
        <v>93</v>
      </c>
      <c r="B107" s="11" t="s">
        <v>14</v>
      </c>
      <c r="C107" s="11" t="s">
        <v>1415</v>
      </c>
      <c r="D107" s="15" t="s">
        <v>60</v>
      </c>
      <c r="E107" s="11" t="s">
        <v>26</v>
      </c>
      <c r="F107" s="11" t="s">
        <v>1416</v>
      </c>
      <c r="G107" s="12">
        <v>1839</v>
      </c>
      <c r="H107" s="12">
        <v>2275</v>
      </c>
      <c r="I107" s="12"/>
      <c r="J107" s="12">
        <v>1829</v>
      </c>
      <c r="K107" s="12">
        <f t="shared" si="14"/>
        <v>0</v>
      </c>
      <c r="L107" s="12">
        <f t="shared" si="15"/>
        <v>1839</v>
      </c>
      <c r="M107" s="12">
        <f t="shared" si="16"/>
        <v>2275</v>
      </c>
      <c r="N107" s="12">
        <f t="shared" si="17"/>
        <v>1829</v>
      </c>
      <c r="O107" s="12" t="str">
        <f t="shared" si="18"/>
        <v>휘발유 45,975원 / 고급유 45,500원</v>
      </c>
      <c r="P107" s="12">
        <f t="shared" si="19"/>
        <v>91475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91475</v>
      </c>
      <c r="U107" s="12">
        <f t="shared" si="23"/>
        <v>2032.7777777777778</v>
      </c>
      <c r="V107" s="12">
        <f t="shared" si="24"/>
        <v>2032.7777777777778</v>
      </c>
      <c r="W107" s="14">
        <f t="shared" si="25"/>
        <v>91475</v>
      </c>
    </row>
    <row r="108" spans="1:23" s="16" customFormat="1" ht="28.5" customHeight="1">
      <c r="A108" s="11">
        <f t="shared" si="13"/>
        <v>94</v>
      </c>
      <c r="B108" s="11" t="s">
        <v>6</v>
      </c>
      <c r="C108" s="11" t="s">
        <v>847</v>
      </c>
      <c r="D108" s="15" t="s">
        <v>80</v>
      </c>
      <c r="E108" s="11" t="s">
        <v>26</v>
      </c>
      <c r="F108" s="11" t="s">
        <v>848</v>
      </c>
      <c r="G108" s="12">
        <v>1828</v>
      </c>
      <c r="H108" s="12">
        <v>2290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2290</v>
      </c>
      <c r="N108" s="12">
        <f t="shared" si="17"/>
        <v>1819</v>
      </c>
      <c r="O108" s="12" t="str">
        <f t="shared" si="18"/>
        <v>휘발유 45,700원 / 고급유 45,800원</v>
      </c>
      <c r="P108" s="12">
        <f t="shared" si="19"/>
        <v>91500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91500</v>
      </c>
      <c r="U108" s="12">
        <f t="shared" si="23"/>
        <v>2033.3333333333333</v>
      </c>
      <c r="V108" s="12">
        <f t="shared" si="24"/>
        <v>2033.3333333333333</v>
      </c>
      <c r="W108" s="14">
        <f t="shared" si="25"/>
        <v>91500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657</v>
      </c>
      <c r="D112" s="15" t="s">
        <v>57</v>
      </c>
      <c r="E112" s="11" t="s">
        <v>26</v>
      </c>
      <c r="F112" s="11" t="s">
        <v>658</v>
      </c>
      <c r="G112" s="12">
        <v>1829</v>
      </c>
      <c r="H112" s="12">
        <v>2295</v>
      </c>
      <c r="I112" s="12"/>
      <c r="J112" s="12">
        <v>1789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1789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10</v>
      </c>
      <c r="C113" s="11" t="s">
        <v>47</v>
      </c>
      <c r="D113" s="11" t="s">
        <v>48</v>
      </c>
      <c r="E113" s="11" t="s">
        <v>26</v>
      </c>
      <c r="F113" s="11" t="s">
        <v>49</v>
      </c>
      <c r="G113" s="12">
        <v>1836</v>
      </c>
      <c r="H113" s="12">
        <v>2287</v>
      </c>
      <c r="I113" s="12"/>
      <c r="J113" s="12">
        <v>1799</v>
      </c>
      <c r="K113" s="12">
        <f t="shared" si="14"/>
        <v>0</v>
      </c>
      <c r="L113" s="12">
        <f t="shared" si="15"/>
        <v>1836</v>
      </c>
      <c r="M113" s="12">
        <f t="shared" si="16"/>
        <v>2287</v>
      </c>
      <c r="N113" s="12">
        <f t="shared" si="17"/>
        <v>1799</v>
      </c>
      <c r="O113" s="12" t="str">
        <f t="shared" si="18"/>
        <v>휘발유 45,900원 / 고급유 45,740원</v>
      </c>
      <c r="P113" s="12">
        <f t="shared" si="19"/>
        <v>91640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91640</v>
      </c>
      <c r="U113" s="12">
        <f t="shared" si="23"/>
        <v>2036.4444444444443</v>
      </c>
      <c r="V113" s="12">
        <f t="shared" si="24"/>
        <v>2036.4444444444443</v>
      </c>
      <c r="W113" s="14">
        <f t="shared" si="25"/>
        <v>91640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600</v>
      </c>
      <c r="D114" s="15" t="s">
        <v>80</v>
      </c>
      <c r="E114" s="11" t="s">
        <v>26</v>
      </c>
      <c r="F114" s="11" t="s">
        <v>601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16" customFormat="1" ht="28.5" customHeight="1">
      <c r="A115" s="11">
        <f t="shared" si="13"/>
        <v>101</v>
      </c>
      <c r="B115" s="11" t="s">
        <v>6</v>
      </c>
      <c r="C115" s="11" t="s">
        <v>262</v>
      </c>
      <c r="D115" s="15" t="s">
        <v>80</v>
      </c>
      <c r="E115" s="11" t="s">
        <v>26</v>
      </c>
      <c r="F115" s="11" t="s">
        <v>263</v>
      </c>
      <c r="G115" s="12">
        <v>1878</v>
      </c>
      <c r="H115" s="12">
        <v>2239</v>
      </c>
      <c r="I115" s="12"/>
      <c r="J115" s="12">
        <v>1819</v>
      </c>
      <c r="K115" s="12">
        <f t="shared" si="14"/>
        <v>0</v>
      </c>
      <c r="L115" s="12">
        <f t="shared" si="15"/>
        <v>1878</v>
      </c>
      <c r="M115" s="12">
        <f t="shared" si="16"/>
        <v>2239</v>
      </c>
      <c r="N115" s="12">
        <f t="shared" si="17"/>
        <v>1819</v>
      </c>
      <c r="O115" s="12" t="str">
        <f t="shared" si="18"/>
        <v>휘발유 46,950원 / 고급유 44,780원</v>
      </c>
      <c r="P115" s="12">
        <f t="shared" si="19"/>
        <v>91730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91730</v>
      </c>
      <c r="U115" s="12">
        <f t="shared" si="23"/>
        <v>2038.4444444444443</v>
      </c>
      <c r="V115" s="12">
        <f t="shared" si="24"/>
        <v>2038.4444444444443</v>
      </c>
      <c r="W115" s="14">
        <f t="shared" si="25"/>
        <v>91730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590</v>
      </c>
      <c r="D116" s="15" t="s">
        <v>45</v>
      </c>
      <c r="E116" s="11" t="s">
        <v>26</v>
      </c>
      <c r="F116" s="11" t="s">
        <v>591</v>
      </c>
      <c r="G116" s="12">
        <v>1845</v>
      </c>
      <c r="H116" s="12">
        <v>2285</v>
      </c>
      <c r="I116" s="12"/>
      <c r="J116" s="12">
        <v>1835</v>
      </c>
      <c r="K116" s="12">
        <f t="shared" si="14"/>
        <v>0</v>
      </c>
      <c r="L116" s="12">
        <f t="shared" si="15"/>
        <v>1845</v>
      </c>
      <c r="M116" s="12">
        <f t="shared" si="16"/>
        <v>2285</v>
      </c>
      <c r="N116" s="12">
        <f t="shared" si="17"/>
        <v>1835</v>
      </c>
      <c r="O116" s="12" t="str">
        <f t="shared" si="18"/>
        <v>휘발유 46,125원 / 고급유 45,700원</v>
      </c>
      <c r="P116" s="12">
        <f t="shared" si="19"/>
        <v>91825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91825</v>
      </c>
      <c r="U116" s="12">
        <f t="shared" si="23"/>
        <v>2040.5555555555557</v>
      </c>
      <c r="V116" s="12">
        <f t="shared" si="24"/>
        <v>2040.5555555555557</v>
      </c>
      <c r="W116" s="14">
        <f t="shared" si="25"/>
        <v>91825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124</v>
      </c>
      <c r="D117" s="11" t="s">
        <v>48</v>
      </c>
      <c r="E117" s="11" t="s">
        <v>26</v>
      </c>
      <c r="F117" s="11" t="s">
        <v>125</v>
      </c>
      <c r="G117" s="12">
        <v>1834</v>
      </c>
      <c r="H117" s="12">
        <v>2299</v>
      </c>
      <c r="I117" s="12"/>
      <c r="J117" s="12">
        <v>1822</v>
      </c>
      <c r="K117" s="12">
        <f t="shared" si="14"/>
        <v>0</v>
      </c>
      <c r="L117" s="12">
        <f t="shared" si="15"/>
        <v>1834</v>
      </c>
      <c r="M117" s="12">
        <f t="shared" si="16"/>
        <v>2299</v>
      </c>
      <c r="N117" s="12">
        <f t="shared" si="17"/>
        <v>1822</v>
      </c>
      <c r="O117" s="12" t="str">
        <f t="shared" si="18"/>
        <v>휘발유 45,850원 / 고급유 45,980원</v>
      </c>
      <c r="P117" s="12">
        <f t="shared" si="19"/>
        <v>91830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91830</v>
      </c>
      <c r="U117" s="12">
        <f t="shared" si="23"/>
        <v>2040.6666666666667</v>
      </c>
      <c r="V117" s="12">
        <f t="shared" si="24"/>
        <v>2040.6666666666667</v>
      </c>
      <c r="W117" s="14">
        <f t="shared" si="25"/>
        <v>91830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1468</v>
      </c>
      <c r="D118" s="15" t="s">
        <v>60</v>
      </c>
      <c r="E118" s="11" t="s">
        <v>26</v>
      </c>
      <c r="F118" s="11" t="s">
        <v>1469</v>
      </c>
      <c r="G118" s="12">
        <v>1845</v>
      </c>
      <c r="H118" s="12">
        <v>2287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2287</v>
      </c>
      <c r="N118" s="12">
        <f t="shared" si="17"/>
        <v>1849</v>
      </c>
      <c r="O118" s="12" t="str">
        <f t="shared" si="18"/>
        <v>휘발유 46,125원 / 고급유 45,740원</v>
      </c>
      <c r="P118" s="12">
        <f t="shared" si="19"/>
        <v>91865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91865</v>
      </c>
      <c r="U118" s="12">
        <f t="shared" si="23"/>
        <v>2041.4444444444443</v>
      </c>
      <c r="V118" s="12">
        <f t="shared" si="24"/>
        <v>2041.4444444444443</v>
      </c>
      <c r="W118" s="14">
        <f t="shared" si="25"/>
        <v>91865</v>
      </c>
    </row>
    <row r="119" spans="1:23" s="2" customFormat="1" ht="28.5" customHeight="1">
      <c r="A119" s="11">
        <f t="shared" si="13"/>
        <v>105</v>
      </c>
      <c r="B119" s="11" t="s">
        <v>10</v>
      </c>
      <c r="C119" s="11" t="s">
        <v>258</v>
      </c>
      <c r="D119" s="15" t="s">
        <v>80</v>
      </c>
      <c r="E119" s="11" t="s">
        <v>26</v>
      </c>
      <c r="F119" s="11" t="s">
        <v>259</v>
      </c>
      <c r="G119" s="12">
        <v>1855</v>
      </c>
      <c r="H119" s="12">
        <v>2278</v>
      </c>
      <c r="I119" s="12"/>
      <c r="J119" s="12">
        <v>1815</v>
      </c>
      <c r="K119" s="12">
        <f t="shared" si="14"/>
        <v>0</v>
      </c>
      <c r="L119" s="12">
        <f t="shared" si="15"/>
        <v>1855</v>
      </c>
      <c r="M119" s="12">
        <f t="shared" si="16"/>
        <v>2278</v>
      </c>
      <c r="N119" s="12">
        <f t="shared" si="17"/>
        <v>1815</v>
      </c>
      <c r="O119" s="12" t="str">
        <f t="shared" si="18"/>
        <v>휘발유 46,375원 / 고급유 45,560원</v>
      </c>
      <c r="P119" s="12">
        <f t="shared" si="19"/>
        <v>91935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91935</v>
      </c>
      <c r="U119" s="12">
        <f t="shared" si="23"/>
        <v>2043</v>
      </c>
      <c r="V119" s="12">
        <f t="shared" si="24"/>
        <v>2043</v>
      </c>
      <c r="W119" s="14">
        <f t="shared" si="25"/>
        <v>91935</v>
      </c>
    </row>
    <row r="120" spans="1:23" s="7" customFormat="1" ht="28.5" customHeight="1">
      <c r="A120" s="11">
        <f t="shared" si="13"/>
        <v>106</v>
      </c>
      <c r="B120" s="11" t="s">
        <v>8</v>
      </c>
      <c r="C120" s="11" t="s">
        <v>419</v>
      </c>
      <c r="D120" s="15" t="s">
        <v>80</v>
      </c>
      <c r="E120" s="11" t="s">
        <v>26</v>
      </c>
      <c r="F120" s="11" t="s">
        <v>420</v>
      </c>
      <c r="G120" s="12">
        <v>1839</v>
      </c>
      <c r="H120" s="12">
        <v>2299</v>
      </c>
      <c r="I120" s="12"/>
      <c r="J120" s="12">
        <v>1839</v>
      </c>
      <c r="K120" s="12">
        <f t="shared" si="14"/>
        <v>0</v>
      </c>
      <c r="L120" s="12">
        <f t="shared" si="15"/>
        <v>1839</v>
      </c>
      <c r="M120" s="12">
        <f t="shared" si="16"/>
        <v>2299</v>
      </c>
      <c r="N120" s="12">
        <f t="shared" si="17"/>
        <v>1839</v>
      </c>
      <c r="O120" s="12" t="str">
        <f t="shared" si="18"/>
        <v>휘발유 45,975원 / 고급유 45,980원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16" customFormat="1" ht="28.5" customHeight="1">
      <c r="A121" s="11">
        <f t="shared" si="13"/>
        <v>106</v>
      </c>
      <c r="B121" s="11" t="s">
        <v>12</v>
      </c>
      <c r="C121" s="11" t="s">
        <v>266</v>
      </c>
      <c r="D121" s="15" t="s">
        <v>80</v>
      </c>
      <c r="E121" s="11" t="s">
        <v>61</v>
      </c>
      <c r="F121" s="11" t="s">
        <v>267</v>
      </c>
      <c r="G121" s="12">
        <v>1887</v>
      </c>
      <c r="H121" s="12">
        <v>2239</v>
      </c>
      <c r="I121" s="12"/>
      <c r="J121" s="12">
        <v>1823</v>
      </c>
      <c r="K121" s="12">
        <f t="shared" si="14"/>
        <v>0</v>
      </c>
      <c r="L121" s="12">
        <f t="shared" si="15"/>
        <v>1887</v>
      </c>
      <c r="M121" s="12">
        <f t="shared" si="16"/>
        <v>2239</v>
      </c>
      <c r="N121" s="12">
        <f t="shared" si="17"/>
        <v>1823</v>
      </c>
      <c r="O121" s="12" t="str">
        <f t="shared" si="18"/>
        <v>휘발유 47,175원 / 고급유 44,780원</v>
      </c>
      <c r="P121" s="12">
        <f t="shared" si="19"/>
        <v>91955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91955</v>
      </c>
      <c r="U121" s="12">
        <f t="shared" si="23"/>
        <v>2043.4444444444443</v>
      </c>
      <c r="V121" s="12">
        <f t="shared" si="24"/>
        <v>2043.4444444444443</v>
      </c>
      <c r="W121" s="14">
        <f t="shared" si="25"/>
        <v>91955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1678</v>
      </c>
      <c r="D122" s="15" t="s">
        <v>80</v>
      </c>
      <c r="E122" s="11" t="s">
        <v>26</v>
      </c>
      <c r="F122" s="11" t="s">
        <v>1679</v>
      </c>
      <c r="G122" s="12">
        <v>1848</v>
      </c>
      <c r="H122" s="12">
        <v>2289</v>
      </c>
      <c r="I122" s="12"/>
      <c r="J122" s="12">
        <v>1819</v>
      </c>
      <c r="K122" s="12">
        <f t="shared" si="14"/>
        <v>0</v>
      </c>
      <c r="L122" s="12">
        <f t="shared" si="15"/>
        <v>1848</v>
      </c>
      <c r="M122" s="12">
        <f t="shared" si="16"/>
        <v>2289</v>
      </c>
      <c r="N122" s="12">
        <f t="shared" si="17"/>
        <v>1819</v>
      </c>
      <c r="O122" s="12" t="str">
        <f t="shared" si="18"/>
        <v>휘발유 46,200원 / 고급유 45,780원</v>
      </c>
      <c r="P122" s="12">
        <f t="shared" si="19"/>
        <v>91980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91980</v>
      </c>
      <c r="U122" s="12">
        <f t="shared" si="23"/>
        <v>2044</v>
      </c>
      <c r="V122" s="12">
        <f t="shared" si="24"/>
        <v>2044</v>
      </c>
      <c r="W122" s="14">
        <f t="shared" si="25"/>
        <v>91980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1559</v>
      </c>
      <c r="D123" s="15" t="s">
        <v>80</v>
      </c>
      <c r="E123" s="11" t="s">
        <v>26</v>
      </c>
      <c r="F123" s="11" t="s">
        <v>1560</v>
      </c>
      <c r="G123" s="12">
        <v>1828</v>
      </c>
      <c r="H123" s="12">
        <v>2315</v>
      </c>
      <c r="I123" s="12"/>
      <c r="J123" s="12">
        <v>1799</v>
      </c>
      <c r="K123" s="12">
        <f t="shared" si="14"/>
        <v>0</v>
      </c>
      <c r="L123" s="12">
        <f t="shared" si="15"/>
        <v>1828</v>
      </c>
      <c r="M123" s="12">
        <f t="shared" si="16"/>
        <v>2315</v>
      </c>
      <c r="N123" s="12">
        <f t="shared" si="17"/>
        <v>1799</v>
      </c>
      <c r="O123" s="12" t="str">
        <f t="shared" si="18"/>
        <v>휘발유 45,700원 / 고급유 46,300원</v>
      </c>
      <c r="P123" s="12">
        <f t="shared" si="19"/>
        <v>92000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92000</v>
      </c>
      <c r="U123" s="12">
        <f t="shared" si="23"/>
        <v>2044.4444444444443</v>
      </c>
      <c r="V123" s="12">
        <f t="shared" si="24"/>
        <v>2044.4444444444443</v>
      </c>
      <c r="W123" s="14">
        <f t="shared" si="25"/>
        <v>92000</v>
      </c>
    </row>
    <row r="124" spans="1:23" s="7" customFormat="1" ht="28.5" customHeight="1">
      <c r="A124" s="11">
        <f t="shared" si="13"/>
        <v>110</v>
      </c>
      <c r="B124" s="11" t="s">
        <v>10</v>
      </c>
      <c r="C124" s="11" t="s">
        <v>402</v>
      </c>
      <c r="D124" s="15" t="s">
        <v>80</v>
      </c>
      <c r="E124" s="11" t="s">
        <v>26</v>
      </c>
      <c r="F124" s="11" t="s">
        <v>403</v>
      </c>
      <c r="G124" s="12">
        <v>1849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1849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46,225원 / 고급유 45,780원</v>
      </c>
      <c r="P124" s="12">
        <f t="shared" si="19"/>
        <v>92005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92005</v>
      </c>
      <c r="U124" s="12">
        <f t="shared" si="23"/>
        <v>2044.5555555555557</v>
      </c>
      <c r="V124" s="12">
        <f t="shared" si="24"/>
        <v>2044.5555555555557</v>
      </c>
      <c r="W124" s="14">
        <f t="shared" si="25"/>
        <v>92005</v>
      </c>
    </row>
    <row r="125" spans="1:23" s="16" customFormat="1" ht="28.5" customHeight="1">
      <c r="A125" s="11">
        <f t="shared" si="13"/>
        <v>111</v>
      </c>
      <c r="B125" s="11" t="s">
        <v>8</v>
      </c>
      <c r="C125" s="11" t="s">
        <v>256</v>
      </c>
      <c r="D125" s="15" t="s">
        <v>80</v>
      </c>
      <c r="E125" s="11" t="s">
        <v>26</v>
      </c>
      <c r="F125" s="11" t="s">
        <v>257</v>
      </c>
      <c r="G125" s="12">
        <v>1858</v>
      </c>
      <c r="H125" s="12">
        <v>2278</v>
      </c>
      <c r="I125" s="12"/>
      <c r="J125" s="12">
        <v>1809</v>
      </c>
      <c r="K125" s="12">
        <f t="shared" si="14"/>
        <v>0</v>
      </c>
      <c r="L125" s="12">
        <f t="shared" si="15"/>
        <v>1858</v>
      </c>
      <c r="M125" s="12">
        <f t="shared" si="16"/>
        <v>2278</v>
      </c>
      <c r="N125" s="12">
        <f t="shared" si="17"/>
        <v>1809</v>
      </c>
      <c r="O125" s="12" t="str">
        <f t="shared" si="18"/>
        <v>휘발유 46,450원 / 고급유 45,560원</v>
      </c>
      <c r="P125" s="12">
        <f t="shared" si="19"/>
        <v>92010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92010</v>
      </c>
      <c r="U125" s="12">
        <f t="shared" si="23"/>
        <v>2044.6666666666667</v>
      </c>
      <c r="V125" s="12">
        <f t="shared" si="24"/>
        <v>2044.6666666666667</v>
      </c>
      <c r="W125" s="14">
        <f t="shared" si="25"/>
        <v>92010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1413</v>
      </c>
      <c r="D126" s="15" t="s">
        <v>60</v>
      </c>
      <c r="E126" s="11" t="s">
        <v>26</v>
      </c>
      <c r="F126" s="11" t="s">
        <v>1414</v>
      </c>
      <c r="G126" s="12">
        <v>1825</v>
      </c>
      <c r="H126" s="12">
        <v>2320</v>
      </c>
      <c r="I126" s="12"/>
      <c r="J126" s="12">
        <v>1815</v>
      </c>
      <c r="K126" s="12">
        <f t="shared" si="14"/>
        <v>0</v>
      </c>
      <c r="L126" s="12">
        <f t="shared" si="15"/>
        <v>1825</v>
      </c>
      <c r="M126" s="12">
        <f t="shared" si="16"/>
        <v>2320</v>
      </c>
      <c r="N126" s="12">
        <f t="shared" si="17"/>
        <v>1815</v>
      </c>
      <c r="O126" s="12" t="str">
        <f t="shared" si="18"/>
        <v>휘발유 45,625원 / 고급유 46,400원</v>
      </c>
      <c r="P126" s="12">
        <f t="shared" si="19"/>
        <v>92025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92025</v>
      </c>
      <c r="U126" s="12">
        <f t="shared" si="23"/>
        <v>2045</v>
      </c>
      <c r="V126" s="12">
        <f t="shared" si="24"/>
        <v>2045</v>
      </c>
      <c r="W126" s="14">
        <f t="shared" si="25"/>
        <v>92025</v>
      </c>
    </row>
    <row r="127" spans="1:23" s="2" customFormat="1" ht="28.5" customHeight="1">
      <c r="A127" s="11">
        <f t="shared" si="13"/>
        <v>113</v>
      </c>
      <c r="B127" s="11" t="s">
        <v>6</v>
      </c>
      <c r="C127" s="11" t="s">
        <v>1446</v>
      </c>
      <c r="D127" s="15" t="s">
        <v>60</v>
      </c>
      <c r="E127" s="11" t="s">
        <v>26</v>
      </c>
      <c r="F127" s="11" t="s">
        <v>1447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113</v>
      </c>
      <c r="B128" s="11" t="s">
        <v>6</v>
      </c>
      <c r="C128" s="11" t="s">
        <v>1460</v>
      </c>
      <c r="D128" s="15" t="s">
        <v>60</v>
      </c>
      <c r="E128" s="11" t="s">
        <v>26</v>
      </c>
      <c r="F128" s="11" t="s">
        <v>1461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113</v>
      </c>
      <c r="B129" s="11" t="s">
        <v>10</v>
      </c>
      <c r="C129" s="11" t="s">
        <v>1458</v>
      </c>
      <c r="D129" s="15" t="s">
        <v>60</v>
      </c>
      <c r="E129" s="11" t="s">
        <v>61</v>
      </c>
      <c r="F129" s="11" t="s">
        <v>1459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290</v>
      </c>
      <c r="D130" s="15" t="s">
        <v>45</v>
      </c>
      <c r="E130" s="11" t="s">
        <v>26</v>
      </c>
      <c r="F130" s="11" t="s">
        <v>291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1197</v>
      </c>
      <c r="D131" s="15" t="s">
        <v>45</v>
      </c>
      <c r="E131" s="11" t="s">
        <v>26</v>
      </c>
      <c r="F131" s="11" t="s">
        <v>1198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7" customFormat="1" ht="28.5" customHeight="1">
      <c r="A132" s="11">
        <f t="shared" si="13"/>
        <v>118</v>
      </c>
      <c r="B132" s="11" t="s">
        <v>6</v>
      </c>
      <c r="C132" s="11" t="s">
        <v>1403</v>
      </c>
      <c r="D132" s="15" t="s">
        <v>60</v>
      </c>
      <c r="E132" s="11" t="s">
        <v>26</v>
      </c>
      <c r="F132" s="11" t="s">
        <v>1404</v>
      </c>
      <c r="G132" s="12">
        <v>1830</v>
      </c>
      <c r="H132" s="12">
        <v>2320</v>
      </c>
      <c r="I132" s="12"/>
      <c r="J132" s="12">
        <v>1819</v>
      </c>
      <c r="K132" s="12">
        <f t="shared" si="14"/>
        <v>0</v>
      </c>
      <c r="L132" s="12">
        <f t="shared" si="15"/>
        <v>1830</v>
      </c>
      <c r="M132" s="12">
        <f t="shared" si="16"/>
        <v>2320</v>
      </c>
      <c r="N132" s="12">
        <f t="shared" si="17"/>
        <v>1819</v>
      </c>
      <c r="O132" s="12" t="str">
        <f t="shared" si="18"/>
        <v>휘발유 45,750원 / 고급유 46,400원</v>
      </c>
      <c r="P132" s="12">
        <f t="shared" si="19"/>
        <v>92150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92150</v>
      </c>
      <c r="U132" s="12">
        <f t="shared" si="23"/>
        <v>2047.7777777777778</v>
      </c>
      <c r="V132" s="12">
        <f t="shared" si="24"/>
        <v>2047.7777777777778</v>
      </c>
      <c r="W132" s="14">
        <f t="shared" si="25"/>
        <v>92150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1417</v>
      </c>
      <c r="D133" s="15" t="s">
        <v>60</v>
      </c>
      <c r="E133" s="11" t="s">
        <v>26</v>
      </c>
      <c r="F133" s="11" t="s">
        <v>1418</v>
      </c>
      <c r="G133" s="12">
        <v>1835</v>
      </c>
      <c r="H133" s="12">
        <v>2315</v>
      </c>
      <c r="I133" s="12"/>
      <c r="J133" s="12">
        <v>1815</v>
      </c>
      <c r="K133" s="12">
        <f t="shared" si="14"/>
        <v>0</v>
      </c>
      <c r="L133" s="12">
        <f t="shared" si="15"/>
        <v>1835</v>
      </c>
      <c r="M133" s="12">
        <f t="shared" si="16"/>
        <v>2315</v>
      </c>
      <c r="N133" s="12">
        <f t="shared" si="17"/>
        <v>1815</v>
      </c>
      <c r="O133" s="12" t="str">
        <f t="shared" si="18"/>
        <v>휘발유 45,875원 / 고급유 46,300원</v>
      </c>
      <c r="P133" s="12">
        <f t="shared" si="19"/>
        <v>92175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92175</v>
      </c>
      <c r="U133" s="12">
        <f t="shared" si="23"/>
        <v>2048.3333333333335</v>
      </c>
      <c r="V133" s="12">
        <f t="shared" si="24"/>
        <v>2048.3333333333335</v>
      </c>
      <c r="W133" s="14">
        <f t="shared" si="25"/>
        <v>92175</v>
      </c>
    </row>
    <row r="134" spans="1:23" s="16" customFormat="1" ht="28.5" customHeight="1">
      <c r="A134" s="11">
        <f t="shared" si="13"/>
        <v>120</v>
      </c>
      <c r="B134" s="11" t="s">
        <v>10</v>
      </c>
      <c r="C134" s="11" t="s">
        <v>936</v>
      </c>
      <c r="D134" s="11" t="s">
        <v>57</v>
      </c>
      <c r="E134" s="11" t="s">
        <v>26</v>
      </c>
      <c r="F134" s="11" t="s">
        <v>937</v>
      </c>
      <c r="G134" s="12">
        <v>1859</v>
      </c>
      <c r="H134" s="12">
        <v>2288</v>
      </c>
      <c r="I134" s="12"/>
      <c r="J134" s="12">
        <v>1839</v>
      </c>
      <c r="K134" s="12">
        <f t="shared" si="14"/>
        <v>0</v>
      </c>
      <c r="L134" s="12">
        <f t="shared" si="15"/>
        <v>1859</v>
      </c>
      <c r="M134" s="12">
        <f t="shared" si="16"/>
        <v>2288</v>
      </c>
      <c r="N134" s="12">
        <f t="shared" si="17"/>
        <v>1839</v>
      </c>
      <c r="O134" s="12" t="str">
        <f t="shared" si="18"/>
        <v>휘발유 46,475원 / 고급유 45,760원</v>
      </c>
      <c r="P134" s="12">
        <f t="shared" si="19"/>
        <v>92235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92235</v>
      </c>
      <c r="U134" s="12">
        <f t="shared" si="23"/>
        <v>2049.6666666666665</v>
      </c>
      <c r="V134" s="12">
        <f t="shared" si="24"/>
        <v>2049.6666666666665</v>
      </c>
      <c r="W134" s="14">
        <f t="shared" si="25"/>
        <v>92235</v>
      </c>
    </row>
    <row r="135" spans="1:23" s="2" customFormat="1" ht="28.5" customHeight="1">
      <c r="A135" s="11">
        <f t="shared" si="13"/>
        <v>121</v>
      </c>
      <c r="B135" s="11" t="s">
        <v>8</v>
      </c>
      <c r="C135" s="11" t="s">
        <v>218</v>
      </c>
      <c r="D135" s="15" t="s">
        <v>45</v>
      </c>
      <c r="E135" s="11" t="s">
        <v>26</v>
      </c>
      <c r="F135" s="11" t="s">
        <v>219</v>
      </c>
      <c r="G135" s="12">
        <v>1854</v>
      </c>
      <c r="H135" s="12">
        <v>2319</v>
      </c>
      <c r="I135" s="12"/>
      <c r="J135" s="12">
        <v>1842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1832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121</v>
      </c>
      <c r="B136" s="11" t="s">
        <v>10</v>
      </c>
      <c r="C136" s="11" t="s">
        <v>210</v>
      </c>
      <c r="D136" s="15" t="s">
        <v>45</v>
      </c>
      <c r="E136" s="11" t="s">
        <v>26</v>
      </c>
      <c r="F136" s="11" t="s">
        <v>211</v>
      </c>
      <c r="G136" s="12">
        <v>1854</v>
      </c>
      <c r="H136" s="12">
        <v>2319</v>
      </c>
      <c r="I136" s="12"/>
      <c r="J136" s="12">
        <v>1844</v>
      </c>
      <c r="K136" s="12">
        <f t="shared" si="14"/>
        <v>-10</v>
      </c>
      <c r="L136" s="12">
        <f t="shared" si="15"/>
        <v>1844</v>
      </c>
      <c r="M136" s="12">
        <f t="shared" si="16"/>
        <v>2309</v>
      </c>
      <c r="N136" s="12">
        <f t="shared" si="17"/>
        <v>1834</v>
      </c>
      <c r="O136" s="12" t="str">
        <f t="shared" si="18"/>
        <v>휘발유 46,100원 / 고급유 46,180원</v>
      </c>
      <c r="P136" s="12">
        <f t="shared" si="19"/>
        <v>92280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92280</v>
      </c>
      <c r="U136" s="12">
        <f t="shared" si="23"/>
        <v>2050.6666666666665</v>
      </c>
      <c r="V136" s="12">
        <f t="shared" si="24"/>
        <v>2050.6666666666665</v>
      </c>
      <c r="W136" s="14">
        <f t="shared" si="25"/>
        <v>92280</v>
      </c>
    </row>
    <row r="137" spans="1:23" s="16" customFormat="1" ht="28.5" customHeight="1">
      <c r="A137" s="11">
        <f t="shared" si="13"/>
        <v>123</v>
      </c>
      <c r="B137" s="11" t="s">
        <v>8</v>
      </c>
      <c r="C137" s="11" t="s">
        <v>366</v>
      </c>
      <c r="D137" s="11" t="s">
        <v>57</v>
      </c>
      <c r="E137" s="11" t="s">
        <v>26</v>
      </c>
      <c r="F137" s="11" t="s">
        <v>367</v>
      </c>
      <c r="G137" s="12">
        <v>1855</v>
      </c>
      <c r="H137" s="12">
        <v>2299</v>
      </c>
      <c r="I137" s="12"/>
      <c r="J137" s="12">
        <v>1839</v>
      </c>
      <c r="K137" s="12">
        <f t="shared" si="14"/>
        <v>0</v>
      </c>
      <c r="L137" s="12">
        <f t="shared" si="15"/>
        <v>1855</v>
      </c>
      <c r="M137" s="12">
        <f t="shared" si="16"/>
        <v>2299</v>
      </c>
      <c r="N137" s="12">
        <f t="shared" si="17"/>
        <v>1839</v>
      </c>
      <c r="O137" s="12" t="str">
        <f t="shared" si="18"/>
        <v>휘발유 46,375원 / 고급유 45,980원</v>
      </c>
      <c r="P137" s="12">
        <f t="shared" si="19"/>
        <v>92355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92355</v>
      </c>
      <c r="U137" s="12">
        <f t="shared" si="23"/>
        <v>2052.3333333333335</v>
      </c>
      <c r="V137" s="12">
        <f t="shared" si="24"/>
        <v>2052.3333333333335</v>
      </c>
      <c r="W137" s="14">
        <f t="shared" si="25"/>
        <v>92355</v>
      </c>
    </row>
    <row r="138" spans="1:23" s="2" customFormat="1" ht="28.5" customHeight="1">
      <c r="A138" s="11">
        <f t="shared" si="13"/>
        <v>124</v>
      </c>
      <c r="B138" s="11" t="s">
        <v>10</v>
      </c>
      <c r="C138" s="11" t="s">
        <v>150</v>
      </c>
      <c r="D138" s="15" t="s">
        <v>80</v>
      </c>
      <c r="E138" s="11" t="s">
        <v>26</v>
      </c>
      <c r="F138" s="11" t="s">
        <v>151</v>
      </c>
      <c r="G138" s="12">
        <v>1855</v>
      </c>
      <c r="H138" s="12">
        <v>2300</v>
      </c>
      <c r="I138" s="12"/>
      <c r="J138" s="12">
        <v>1855</v>
      </c>
      <c r="K138" s="12">
        <f t="shared" si="14"/>
        <v>0</v>
      </c>
      <c r="L138" s="12">
        <f t="shared" si="15"/>
        <v>1855</v>
      </c>
      <c r="M138" s="12">
        <f t="shared" si="16"/>
        <v>2300</v>
      </c>
      <c r="N138" s="12">
        <f t="shared" si="17"/>
        <v>1855</v>
      </c>
      <c r="O138" s="12" t="str">
        <f t="shared" si="18"/>
        <v>휘발유 46,375원 / 고급유 46,000원</v>
      </c>
      <c r="P138" s="12">
        <f t="shared" si="19"/>
        <v>92375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92375</v>
      </c>
      <c r="U138" s="12">
        <f t="shared" si="23"/>
        <v>2052.7777777777778</v>
      </c>
      <c r="V138" s="12">
        <f t="shared" si="24"/>
        <v>2052.7777777777778</v>
      </c>
      <c r="W138" s="14">
        <f t="shared" si="25"/>
        <v>92375</v>
      </c>
    </row>
    <row r="139" spans="1:23" s="7" customFormat="1" ht="28.5" customHeight="1">
      <c r="A139" s="11">
        <f t="shared" si="13"/>
        <v>125</v>
      </c>
      <c r="B139" s="11" t="s">
        <v>6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7" customFormat="1" ht="28.5" customHeight="1">
      <c r="A140" s="11">
        <f t="shared" si="13"/>
        <v>125</v>
      </c>
      <c r="B140" s="11" t="s">
        <v>6</v>
      </c>
      <c r="C140" s="11" t="s">
        <v>208</v>
      </c>
      <c r="D140" s="15" t="s">
        <v>45</v>
      </c>
      <c r="E140" s="11" t="s">
        <v>26</v>
      </c>
      <c r="F140" s="11" t="s">
        <v>209</v>
      </c>
      <c r="G140" s="12">
        <v>1848</v>
      </c>
      <c r="H140" s="12">
        <v>2332</v>
      </c>
      <c r="I140" s="12" t="s">
        <v>63</v>
      </c>
      <c r="J140" s="12">
        <v>1848</v>
      </c>
      <c r="K140" s="12">
        <f t="shared" si="14"/>
        <v>-10</v>
      </c>
      <c r="L140" s="12">
        <f t="shared" si="15"/>
        <v>1838</v>
      </c>
      <c r="M140" s="12">
        <f t="shared" si="16"/>
        <v>2322</v>
      </c>
      <c r="N140" s="12">
        <f t="shared" si="17"/>
        <v>1838</v>
      </c>
      <c r="O140" s="12" t="str">
        <f t="shared" si="18"/>
        <v>휘발유 45,950원 / 고급유 46,440원</v>
      </c>
      <c r="P140" s="12">
        <f t="shared" si="19"/>
        <v>92390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92390</v>
      </c>
      <c r="U140" s="12">
        <f t="shared" si="23"/>
        <v>2053.1111111111113</v>
      </c>
      <c r="V140" s="12">
        <f t="shared" si="24"/>
        <v>2053.1111111111113</v>
      </c>
      <c r="W140" s="14">
        <f t="shared" si="25"/>
        <v>92390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641</v>
      </c>
      <c r="D141" s="15" t="s">
        <v>60</v>
      </c>
      <c r="E141" s="11" t="s">
        <v>26</v>
      </c>
      <c r="F141" s="11" t="s">
        <v>642</v>
      </c>
      <c r="G141" s="12">
        <v>1857</v>
      </c>
      <c r="H141" s="12">
        <v>2299</v>
      </c>
      <c r="I141" s="12"/>
      <c r="J141" s="12">
        <v>1844</v>
      </c>
      <c r="K141" s="12">
        <f t="shared" si="14"/>
        <v>0</v>
      </c>
      <c r="L141" s="12">
        <f t="shared" si="15"/>
        <v>1857</v>
      </c>
      <c r="M141" s="12">
        <f t="shared" si="16"/>
        <v>2299</v>
      </c>
      <c r="N141" s="12">
        <f t="shared" si="17"/>
        <v>1844</v>
      </c>
      <c r="O141" s="12" t="str">
        <f t="shared" si="18"/>
        <v>휘발유 46,425원 / 고급유 45,980원</v>
      </c>
      <c r="P141" s="12">
        <f t="shared" si="19"/>
        <v>92405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92405</v>
      </c>
      <c r="U141" s="12">
        <f t="shared" si="23"/>
        <v>2053.4444444444443</v>
      </c>
      <c r="V141" s="12">
        <f t="shared" si="24"/>
        <v>2053.4444444444443</v>
      </c>
      <c r="W141" s="14">
        <f t="shared" si="25"/>
        <v>92405</v>
      </c>
    </row>
    <row r="142" spans="1:23" s="16" customFormat="1" ht="28.5" customHeight="1">
      <c r="A142" s="11">
        <f t="shared" si="13"/>
        <v>128</v>
      </c>
      <c r="B142" s="11" t="s">
        <v>10</v>
      </c>
      <c r="C142" s="11" t="s">
        <v>1149</v>
      </c>
      <c r="D142" s="15" t="s">
        <v>80</v>
      </c>
      <c r="E142" s="11" t="s">
        <v>26</v>
      </c>
      <c r="F142" s="11" t="s">
        <v>1150</v>
      </c>
      <c r="G142" s="12">
        <v>1858</v>
      </c>
      <c r="H142" s="12">
        <v>2298</v>
      </c>
      <c r="I142" s="12"/>
      <c r="J142" s="12">
        <v>1848</v>
      </c>
      <c r="K142" s="12">
        <f t="shared" si="14"/>
        <v>0</v>
      </c>
      <c r="L142" s="12">
        <f t="shared" si="15"/>
        <v>1858</v>
      </c>
      <c r="M142" s="12">
        <f t="shared" si="16"/>
        <v>2298</v>
      </c>
      <c r="N142" s="12">
        <f t="shared" si="17"/>
        <v>1848</v>
      </c>
      <c r="O142" s="12" t="str">
        <f t="shared" si="18"/>
        <v>휘발유 46,450원 / 고급유 45,960원</v>
      </c>
      <c r="P142" s="12">
        <f t="shared" si="19"/>
        <v>92410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92410</v>
      </c>
      <c r="U142" s="12">
        <f t="shared" si="23"/>
        <v>2053.5555555555557</v>
      </c>
      <c r="V142" s="12">
        <f t="shared" si="24"/>
        <v>2053.5555555555557</v>
      </c>
      <c r="W142" s="14">
        <f t="shared" si="25"/>
        <v>92410</v>
      </c>
    </row>
    <row r="143" spans="1:23" s="16" customFormat="1" ht="28.5" customHeight="1">
      <c r="A143" s="11">
        <f t="shared" ref="A143:A206" si="26">IF($T143="","",1+COUNTIF($W$15:$W$883,"&lt;"&amp;W143))</f>
        <v>129</v>
      </c>
      <c r="B143" s="11" t="s">
        <v>14</v>
      </c>
      <c r="C143" s="11" t="s">
        <v>1450</v>
      </c>
      <c r="D143" s="15" t="s">
        <v>60</v>
      </c>
      <c r="E143" s="11" t="s">
        <v>26</v>
      </c>
      <c r="F143" s="11" t="s">
        <v>1451</v>
      </c>
      <c r="G143" s="12">
        <v>1845</v>
      </c>
      <c r="H143" s="12">
        <v>2315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1845</v>
      </c>
      <c r="M143" s="12">
        <f t="shared" ref="M143:M206" si="29">IF($H143="","",$H143+$K143)</f>
        <v>2315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46,300원</v>
      </c>
      <c r="P143" s="12">
        <f t="shared" ref="P143:P206" si="32">IF($B$10=0,"",IFERROR(IF($B$4&gt;0,IF($L143="",1/0,$L143*$B$4),0)+IF($B$5&gt;0,IF($M143="",1/0,$M143*$B$5),0)+IF($B$6&gt;0,IF($N143="",1/0,$N143*$B$6),0),""))</f>
        <v>92425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92425</v>
      </c>
      <c r="U143" s="12">
        <f t="shared" ref="U143:U206" si="36">IF($T143="","",IF($B$10=0,"",$T143/$B$10))</f>
        <v>2053.8888888888887</v>
      </c>
      <c r="V143" s="12">
        <f t="shared" ref="V143:V206" si="37">IF($P143="","",IF($B$10=0,"",$P143/$B$10))</f>
        <v>2053.8888888888887</v>
      </c>
      <c r="W143" s="14">
        <f t="shared" ref="W143:W206" si="38">IF($T143="",1000000000000000,$T143)</f>
        <v>92425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126</v>
      </c>
      <c r="D144" s="15" t="s">
        <v>60</v>
      </c>
      <c r="E144" s="11" t="s">
        <v>61</v>
      </c>
      <c r="F144" s="11" t="s">
        <v>127</v>
      </c>
      <c r="G144" s="12">
        <v>1858</v>
      </c>
      <c r="H144" s="12">
        <v>2299</v>
      </c>
      <c r="I144" s="12"/>
      <c r="J144" s="12">
        <v>1838</v>
      </c>
      <c r="K144" s="12">
        <f t="shared" si="27"/>
        <v>0</v>
      </c>
      <c r="L144" s="12">
        <f t="shared" si="28"/>
        <v>1858</v>
      </c>
      <c r="M144" s="12">
        <f t="shared" si="29"/>
        <v>2299</v>
      </c>
      <c r="N144" s="12">
        <f t="shared" si="30"/>
        <v>1838</v>
      </c>
      <c r="O144" s="12" t="str">
        <f t="shared" si="31"/>
        <v>휘발유 46,450원 / 고급유 45,980원</v>
      </c>
      <c r="P144" s="12">
        <f t="shared" si="32"/>
        <v>92430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92430</v>
      </c>
      <c r="U144" s="12">
        <f t="shared" si="36"/>
        <v>2054</v>
      </c>
      <c r="V144" s="12">
        <f t="shared" si="37"/>
        <v>2054</v>
      </c>
      <c r="W144" s="14">
        <f t="shared" si="38"/>
        <v>92430</v>
      </c>
    </row>
    <row r="145" spans="1:23" s="2" customFormat="1" ht="28.5" customHeight="1">
      <c r="A145" s="11">
        <f t="shared" si="26"/>
        <v>131</v>
      </c>
      <c r="B145" s="11" t="s">
        <v>6</v>
      </c>
      <c r="C145" s="11" t="s">
        <v>198</v>
      </c>
      <c r="D145" s="15" t="s">
        <v>45</v>
      </c>
      <c r="E145" s="11" t="s">
        <v>61</v>
      </c>
      <c r="F145" s="11" t="s">
        <v>199</v>
      </c>
      <c r="G145" s="12">
        <v>1860</v>
      </c>
      <c r="H145" s="12">
        <v>2320</v>
      </c>
      <c r="I145" s="12"/>
      <c r="J145" s="12">
        <v>1855</v>
      </c>
      <c r="K145" s="12">
        <f t="shared" si="27"/>
        <v>-10</v>
      </c>
      <c r="L145" s="12">
        <f t="shared" si="28"/>
        <v>1850</v>
      </c>
      <c r="M145" s="12">
        <f t="shared" si="29"/>
        <v>2310</v>
      </c>
      <c r="N145" s="12">
        <f t="shared" si="30"/>
        <v>1845</v>
      </c>
      <c r="O145" s="12" t="str">
        <f t="shared" si="31"/>
        <v>휘발유 46,250원 / 고급유 46,200원</v>
      </c>
      <c r="P145" s="12">
        <f t="shared" si="32"/>
        <v>92450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92450</v>
      </c>
      <c r="U145" s="12">
        <f t="shared" si="36"/>
        <v>2054.4444444444443</v>
      </c>
      <c r="V145" s="12">
        <f t="shared" si="37"/>
        <v>2054.4444444444443</v>
      </c>
      <c r="W145" s="14">
        <f t="shared" si="38"/>
        <v>92450</v>
      </c>
    </row>
    <row r="146" spans="1:23" s="7" customFormat="1" ht="28.5" customHeight="1">
      <c r="A146" s="11">
        <f t="shared" si="26"/>
        <v>132</v>
      </c>
      <c r="B146" s="11" t="s">
        <v>18</v>
      </c>
      <c r="C146" s="11" t="s">
        <v>700</v>
      </c>
      <c r="D146" s="11" t="s">
        <v>57</v>
      </c>
      <c r="E146" s="11" t="s">
        <v>26</v>
      </c>
      <c r="F146" s="11" t="s">
        <v>701</v>
      </c>
      <c r="G146" s="12">
        <v>1859</v>
      </c>
      <c r="H146" s="12">
        <v>2299</v>
      </c>
      <c r="I146" s="12"/>
      <c r="J146" s="12">
        <v>1829</v>
      </c>
      <c r="K146" s="12">
        <f t="shared" si="27"/>
        <v>0</v>
      </c>
      <c r="L146" s="12">
        <f t="shared" si="28"/>
        <v>1859</v>
      </c>
      <c r="M146" s="12">
        <f t="shared" si="29"/>
        <v>2299</v>
      </c>
      <c r="N146" s="12">
        <f t="shared" si="30"/>
        <v>1829</v>
      </c>
      <c r="O146" s="12" t="str">
        <f t="shared" si="31"/>
        <v>휘발유 46,475원 / 고급유 45,980원</v>
      </c>
      <c r="P146" s="12">
        <f t="shared" si="32"/>
        <v>92455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92455</v>
      </c>
      <c r="U146" s="12">
        <f t="shared" si="36"/>
        <v>2054.5555555555557</v>
      </c>
      <c r="V146" s="12">
        <f t="shared" si="37"/>
        <v>2054.5555555555557</v>
      </c>
      <c r="W146" s="14">
        <f t="shared" si="38"/>
        <v>92455</v>
      </c>
    </row>
    <row r="147" spans="1:23" s="2" customFormat="1" ht="28.5" customHeight="1">
      <c r="A147" s="11">
        <f t="shared" si="26"/>
        <v>133</v>
      </c>
      <c r="B147" s="11" t="s">
        <v>12</v>
      </c>
      <c r="C147" s="11" t="s">
        <v>1444</v>
      </c>
      <c r="D147" s="15" t="s">
        <v>60</v>
      </c>
      <c r="E147" s="11" t="s">
        <v>26</v>
      </c>
      <c r="F147" s="11" t="s">
        <v>1445</v>
      </c>
      <c r="G147" s="12">
        <v>1865</v>
      </c>
      <c r="H147" s="12">
        <v>2292</v>
      </c>
      <c r="I147" s="12"/>
      <c r="J147" s="12">
        <v>1849</v>
      </c>
      <c r="K147" s="12">
        <f t="shared" si="27"/>
        <v>0</v>
      </c>
      <c r="L147" s="12">
        <f t="shared" si="28"/>
        <v>1865</v>
      </c>
      <c r="M147" s="12">
        <f t="shared" si="29"/>
        <v>2292</v>
      </c>
      <c r="N147" s="12">
        <f t="shared" si="30"/>
        <v>1849</v>
      </c>
      <c r="O147" s="12" t="str">
        <f t="shared" si="31"/>
        <v>휘발유 46,625원 / 고급유 45,840원</v>
      </c>
      <c r="P147" s="12">
        <f t="shared" si="32"/>
        <v>92465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92465</v>
      </c>
      <c r="U147" s="12">
        <f t="shared" si="36"/>
        <v>2054.7777777777778</v>
      </c>
      <c r="V147" s="12">
        <f t="shared" si="37"/>
        <v>2054.7777777777778</v>
      </c>
      <c r="W147" s="14">
        <f t="shared" si="38"/>
        <v>92465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1442</v>
      </c>
      <c r="D148" s="15" t="s">
        <v>60</v>
      </c>
      <c r="E148" s="11" t="s">
        <v>26</v>
      </c>
      <c r="F148" s="11" t="s">
        <v>1443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134</v>
      </c>
      <c r="B149" s="11" t="s">
        <v>10</v>
      </c>
      <c r="C149" s="11" t="s">
        <v>1452</v>
      </c>
      <c r="D149" s="15" t="s">
        <v>60</v>
      </c>
      <c r="E149" s="11" t="s">
        <v>26</v>
      </c>
      <c r="F149" s="11" t="s">
        <v>1453</v>
      </c>
      <c r="G149" s="12">
        <v>1845</v>
      </c>
      <c r="H149" s="12">
        <v>2320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2320</v>
      </c>
      <c r="N149" s="12">
        <f t="shared" si="30"/>
        <v>1849</v>
      </c>
      <c r="O149" s="12" t="str">
        <f t="shared" si="31"/>
        <v>휘발유 46,125원 / 고급유 46,400원</v>
      </c>
      <c r="P149" s="12">
        <f t="shared" si="32"/>
        <v>92525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92525</v>
      </c>
      <c r="U149" s="12">
        <f t="shared" si="36"/>
        <v>2056.1111111111113</v>
      </c>
      <c r="V149" s="12">
        <f t="shared" si="37"/>
        <v>2056.1111111111113</v>
      </c>
      <c r="W149" s="14">
        <f t="shared" si="38"/>
        <v>92525</v>
      </c>
    </row>
    <row r="150" spans="1:23" s="2" customFormat="1" ht="28.5" customHeight="1">
      <c r="A150" s="11">
        <f t="shared" si="26"/>
        <v>136</v>
      </c>
      <c r="B150" s="11" t="s">
        <v>6</v>
      </c>
      <c r="C150" s="11" t="s">
        <v>1697</v>
      </c>
      <c r="D150" s="15" t="s">
        <v>45</v>
      </c>
      <c r="E150" s="11" t="s">
        <v>61</v>
      </c>
      <c r="F150" s="11" t="s">
        <v>1698</v>
      </c>
      <c r="G150" s="12">
        <v>1866</v>
      </c>
      <c r="H150" s="12">
        <v>2319</v>
      </c>
      <c r="I150" s="12"/>
      <c r="J150" s="12">
        <v>1850</v>
      </c>
      <c r="K150" s="12">
        <f t="shared" si="27"/>
        <v>-10</v>
      </c>
      <c r="L150" s="12">
        <f t="shared" si="28"/>
        <v>1856</v>
      </c>
      <c r="M150" s="12">
        <f t="shared" si="29"/>
        <v>2309</v>
      </c>
      <c r="N150" s="12">
        <f t="shared" si="30"/>
        <v>1840</v>
      </c>
      <c r="O150" s="12" t="str">
        <f t="shared" si="31"/>
        <v>휘발유 46,400원 / 고급유 46,180원</v>
      </c>
      <c r="P150" s="12">
        <f t="shared" si="32"/>
        <v>92580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92580</v>
      </c>
      <c r="U150" s="12">
        <f t="shared" si="36"/>
        <v>2057.3333333333335</v>
      </c>
      <c r="V150" s="12">
        <f t="shared" si="37"/>
        <v>2057.3333333333335</v>
      </c>
      <c r="W150" s="14">
        <f t="shared" si="38"/>
        <v>92580</v>
      </c>
    </row>
    <row r="151" spans="1:23" s="7" customFormat="1" ht="28.5" customHeight="1">
      <c r="A151" s="11">
        <f t="shared" si="26"/>
        <v>137</v>
      </c>
      <c r="B151" s="11" t="s">
        <v>6</v>
      </c>
      <c r="C151" s="11" t="s">
        <v>555</v>
      </c>
      <c r="D151" s="15" t="s">
        <v>45</v>
      </c>
      <c r="E151" s="11" t="s">
        <v>26</v>
      </c>
      <c r="F151" s="11" t="s">
        <v>556</v>
      </c>
      <c r="G151" s="12">
        <v>1828</v>
      </c>
      <c r="H151" s="12">
        <v>2349</v>
      </c>
      <c r="I151" s="12"/>
      <c r="J151" s="12">
        <v>1813</v>
      </c>
      <c r="K151" s="12">
        <f t="shared" si="27"/>
        <v>0</v>
      </c>
      <c r="L151" s="12">
        <f t="shared" si="28"/>
        <v>1828</v>
      </c>
      <c r="M151" s="12">
        <f t="shared" si="29"/>
        <v>2349</v>
      </c>
      <c r="N151" s="12">
        <f t="shared" si="30"/>
        <v>1813</v>
      </c>
      <c r="O151" s="12" t="str">
        <f t="shared" si="31"/>
        <v>휘발유 45,700원 / 고급유 46,980원</v>
      </c>
      <c r="P151" s="12">
        <f t="shared" si="32"/>
        <v>92680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92680</v>
      </c>
      <c r="U151" s="12">
        <f t="shared" si="36"/>
        <v>2059.5555555555557</v>
      </c>
      <c r="V151" s="12">
        <f t="shared" si="37"/>
        <v>2059.5555555555557</v>
      </c>
      <c r="W151" s="14">
        <f t="shared" si="38"/>
        <v>92680</v>
      </c>
    </row>
    <row r="152" spans="1:23" s="7" customFormat="1" ht="28.5" customHeight="1">
      <c r="A152" s="11">
        <f t="shared" si="26"/>
        <v>138</v>
      </c>
      <c r="B152" s="11" t="s">
        <v>12</v>
      </c>
      <c r="C152" s="11" t="s">
        <v>1511</v>
      </c>
      <c r="D152" s="11" t="s">
        <v>104</v>
      </c>
      <c r="E152" s="11" t="s">
        <v>26</v>
      </c>
      <c r="F152" s="11" t="s">
        <v>1512</v>
      </c>
      <c r="G152" s="12">
        <v>1814</v>
      </c>
      <c r="H152" s="12">
        <v>2368</v>
      </c>
      <c r="I152" s="12"/>
      <c r="J152" s="12">
        <v>1825</v>
      </c>
      <c r="K152" s="12">
        <f t="shared" si="27"/>
        <v>0</v>
      </c>
      <c r="L152" s="12">
        <f t="shared" si="28"/>
        <v>1814</v>
      </c>
      <c r="M152" s="12">
        <f t="shared" si="29"/>
        <v>2368</v>
      </c>
      <c r="N152" s="12">
        <f t="shared" si="30"/>
        <v>1825</v>
      </c>
      <c r="O152" s="12" t="str">
        <f t="shared" si="31"/>
        <v>휘발유 45,350원 / 고급유 47,360원</v>
      </c>
      <c r="P152" s="12">
        <f t="shared" si="32"/>
        <v>92710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92710</v>
      </c>
      <c r="U152" s="12">
        <f t="shared" si="36"/>
        <v>2060.2222222222222</v>
      </c>
      <c r="V152" s="12">
        <f t="shared" si="37"/>
        <v>2060.2222222222222</v>
      </c>
      <c r="W152" s="14">
        <f t="shared" si="38"/>
        <v>92710</v>
      </c>
    </row>
    <row r="153" spans="1:23" s="2" customFormat="1" ht="28.5" customHeight="1">
      <c r="A153" s="11">
        <f t="shared" si="26"/>
        <v>139</v>
      </c>
      <c r="B153" s="11" t="s">
        <v>8</v>
      </c>
      <c r="C153" s="11" t="s">
        <v>194</v>
      </c>
      <c r="D153" s="15" t="s">
        <v>45</v>
      </c>
      <c r="E153" s="11" t="s">
        <v>26</v>
      </c>
      <c r="F153" s="11" t="s">
        <v>195</v>
      </c>
      <c r="G153" s="12">
        <v>1864</v>
      </c>
      <c r="H153" s="12">
        <v>2329</v>
      </c>
      <c r="I153" s="12"/>
      <c r="J153" s="12">
        <v>1852</v>
      </c>
      <c r="K153" s="12">
        <f t="shared" si="27"/>
        <v>-10</v>
      </c>
      <c r="L153" s="12">
        <f t="shared" si="28"/>
        <v>1854</v>
      </c>
      <c r="M153" s="12">
        <f t="shared" si="29"/>
        <v>2319</v>
      </c>
      <c r="N153" s="12">
        <f t="shared" si="30"/>
        <v>1842</v>
      </c>
      <c r="O153" s="12" t="str">
        <f t="shared" si="31"/>
        <v>휘발유 46,350원 / 고급유 46,380원</v>
      </c>
      <c r="P153" s="12">
        <f t="shared" si="32"/>
        <v>92730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92730</v>
      </c>
      <c r="U153" s="12">
        <f t="shared" si="36"/>
        <v>2060.6666666666665</v>
      </c>
      <c r="V153" s="12">
        <f t="shared" si="37"/>
        <v>2060.6666666666665</v>
      </c>
      <c r="W153" s="14">
        <f t="shared" si="38"/>
        <v>92730</v>
      </c>
    </row>
    <row r="154" spans="1:23" s="2" customFormat="1" ht="28.5" customHeight="1">
      <c r="A154" s="11">
        <f t="shared" si="26"/>
        <v>140</v>
      </c>
      <c r="B154" s="11" t="s">
        <v>14</v>
      </c>
      <c r="C154" s="11" t="s">
        <v>312</v>
      </c>
      <c r="D154" s="15" t="s">
        <v>45</v>
      </c>
      <c r="E154" s="11" t="s">
        <v>26</v>
      </c>
      <c r="F154" s="11" t="s">
        <v>313</v>
      </c>
      <c r="G154" s="12">
        <v>1815</v>
      </c>
      <c r="H154" s="12">
        <v>2369</v>
      </c>
      <c r="I154" s="12"/>
      <c r="J154" s="12">
        <v>1798</v>
      </c>
      <c r="K154" s="12">
        <f t="shared" si="27"/>
        <v>0</v>
      </c>
      <c r="L154" s="12">
        <f t="shared" si="28"/>
        <v>1815</v>
      </c>
      <c r="M154" s="12">
        <f t="shared" si="29"/>
        <v>2369</v>
      </c>
      <c r="N154" s="12">
        <f t="shared" si="30"/>
        <v>1798</v>
      </c>
      <c r="O154" s="12" t="str">
        <f t="shared" si="31"/>
        <v>휘발유 45,375원 / 고급유 47,380원</v>
      </c>
      <c r="P154" s="12">
        <f t="shared" si="32"/>
        <v>92755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92755</v>
      </c>
      <c r="U154" s="12">
        <f t="shared" si="36"/>
        <v>2061.2222222222222</v>
      </c>
      <c r="V154" s="12">
        <f t="shared" si="37"/>
        <v>2061.2222222222222</v>
      </c>
      <c r="W154" s="14">
        <f t="shared" si="38"/>
        <v>92755</v>
      </c>
    </row>
    <row r="155" spans="1:23" s="7" customFormat="1" ht="28.5" customHeight="1">
      <c r="A155" s="11">
        <f t="shared" si="26"/>
        <v>140</v>
      </c>
      <c r="B155" s="11" t="s">
        <v>14</v>
      </c>
      <c r="C155" s="11" t="s">
        <v>164</v>
      </c>
      <c r="D155" s="15" t="s">
        <v>60</v>
      </c>
      <c r="E155" s="11" t="s">
        <v>26</v>
      </c>
      <c r="F155" s="11" t="s">
        <v>165</v>
      </c>
      <c r="G155" s="12">
        <v>1815</v>
      </c>
      <c r="H155" s="12">
        <v>2369</v>
      </c>
      <c r="I155" s="12"/>
      <c r="J155" s="12">
        <v>1799</v>
      </c>
      <c r="K155" s="12">
        <f t="shared" si="27"/>
        <v>0</v>
      </c>
      <c r="L155" s="12">
        <f t="shared" si="28"/>
        <v>1815</v>
      </c>
      <c r="M155" s="12">
        <f t="shared" si="29"/>
        <v>2369</v>
      </c>
      <c r="N155" s="12">
        <f t="shared" si="30"/>
        <v>1799</v>
      </c>
      <c r="O155" s="12" t="str">
        <f t="shared" si="31"/>
        <v>휘발유 45,375원 / 고급유 47,380원</v>
      </c>
      <c r="P155" s="12">
        <f t="shared" si="32"/>
        <v>92755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92755</v>
      </c>
      <c r="U155" s="12">
        <f t="shared" si="36"/>
        <v>2061.2222222222222</v>
      </c>
      <c r="V155" s="12">
        <f t="shared" si="37"/>
        <v>2061.2222222222222</v>
      </c>
      <c r="W155" s="14">
        <f t="shared" si="38"/>
        <v>92755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202</v>
      </c>
      <c r="D156" s="15" t="s">
        <v>45</v>
      </c>
      <c r="E156" s="11" t="s">
        <v>26</v>
      </c>
      <c r="F156" s="11" t="s">
        <v>203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216</v>
      </c>
      <c r="D157" s="15" t="s">
        <v>45</v>
      </c>
      <c r="E157" s="11" t="s">
        <v>26</v>
      </c>
      <c r="F157" s="11" t="s">
        <v>217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206</v>
      </c>
      <c r="D158" s="15" t="s">
        <v>45</v>
      </c>
      <c r="E158" s="11" t="s">
        <v>61</v>
      </c>
      <c r="F158" s="11" t="s">
        <v>207</v>
      </c>
      <c r="G158" s="12">
        <v>1862</v>
      </c>
      <c r="H158" s="12">
        <v>2337</v>
      </c>
      <c r="I158" s="12" t="s">
        <v>63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230</v>
      </c>
      <c r="D159" s="15" t="s">
        <v>80</v>
      </c>
      <c r="E159" s="11" t="s">
        <v>26</v>
      </c>
      <c r="F159" s="11" t="s">
        <v>231</v>
      </c>
      <c r="G159" s="12">
        <v>1845</v>
      </c>
      <c r="H159" s="12">
        <v>2340</v>
      </c>
      <c r="I159" s="12"/>
      <c r="J159" s="12">
        <v>1832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1832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426</v>
      </c>
      <c r="D160" s="15" t="s">
        <v>45</v>
      </c>
      <c r="E160" s="11" t="s">
        <v>26</v>
      </c>
      <c r="F160" s="11" t="s">
        <v>427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224</v>
      </c>
      <c r="D161" s="15" t="s">
        <v>45</v>
      </c>
      <c r="E161" s="11" t="s">
        <v>61</v>
      </c>
      <c r="F161" s="11" t="s">
        <v>225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</v>
      </c>
      <c r="D162" s="15" t="s">
        <v>45</v>
      </c>
      <c r="E162" s="11" t="s">
        <v>26</v>
      </c>
      <c r="F162" s="11" t="s">
        <v>143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730</v>
      </c>
      <c r="D163" s="11" t="s">
        <v>104</v>
      </c>
      <c r="E163" s="11" t="s">
        <v>26</v>
      </c>
      <c r="F163" s="11" t="s">
        <v>731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14</v>
      </c>
      <c r="C164" s="11" t="s">
        <v>1470</v>
      </c>
      <c r="D164" s="15" t="s">
        <v>60</v>
      </c>
      <c r="E164" s="11" t="s">
        <v>26</v>
      </c>
      <c r="F164" s="11" t="s">
        <v>1471</v>
      </c>
      <c r="G164" s="12">
        <v>1845</v>
      </c>
      <c r="H164" s="12">
        <v>2352</v>
      </c>
      <c r="I164" s="12"/>
      <c r="J164" s="12">
        <v>1849</v>
      </c>
      <c r="K164" s="12">
        <f t="shared" si="27"/>
        <v>0</v>
      </c>
      <c r="L164" s="12">
        <f t="shared" si="28"/>
        <v>1845</v>
      </c>
      <c r="M164" s="12">
        <f t="shared" si="29"/>
        <v>2352</v>
      </c>
      <c r="N164" s="12">
        <f t="shared" si="30"/>
        <v>1849</v>
      </c>
      <c r="O164" s="12" t="str">
        <f t="shared" si="31"/>
        <v>휘발유 46,125원 / 고급유 47,040원</v>
      </c>
      <c r="P164" s="12">
        <f t="shared" si="32"/>
        <v>93165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93165</v>
      </c>
      <c r="U164" s="12">
        <f t="shared" si="36"/>
        <v>2070.3333333333335</v>
      </c>
      <c r="V164" s="12">
        <f t="shared" si="37"/>
        <v>2070.3333333333335</v>
      </c>
      <c r="W164" s="14">
        <f t="shared" si="38"/>
        <v>93165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302</v>
      </c>
      <c r="D165" s="11" t="s">
        <v>57</v>
      </c>
      <c r="E165" s="11" t="s">
        <v>26</v>
      </c>
      <c r="F165" s="11" t="s">
        <v>303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192</v>
      </c>
      <c r="D166" s="15" t="s">
        <v>45</v>
      </c>
      <c r="E166" s="11" t="s">
        <v>61</v>
      </c>
      <c r="F166" s="11" t="s">
        <v>193</v>
      </c>
      <c r="G166" s="12">
        <v>1869</v>
      </c>
      <c r="H166" s="12">
        <v>2347</v>
      </c>
      <c r="I166" s="12" t="s">
        <v>63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1710</v>
      </c>
      <c r="D167" s="15" t="s">
        <v>80</v>
      </c>
      <c r="E167" s="11" t="s">
        <v>26</v>
      </c>
      <c r="F167" s="11" t="s">
        <v>1711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222</v>
      </c>
      <c r="D168" s="15" t="s">
        <v>45</v>
      </c>
      <c r="E168" s="11" t="s">
        <v>26</v>
      </c>
      <c r="F168" s="11" t="s">
        <v>223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1551</v>
      </c>
      <c r="D169" s="15" t="s">
        <v>80</v>
      </c>
      <c r="E169" s="11" t="s">
        <v>26</v>
      </c>
      <c r="F169" s="11" t="s">
        <v>1552</v>
      </c>
      <c r="G169" s="12">
        <v>1815</v>
      </c>
      <c r="H169" s="12">
        <v>2399</v>
      </c>
      <c r="I169" s="12"/>
      <c r="J169" s="12">
        <v>1795</v>
      </c>
      <c r="K169" s="12">
        <f t="shared" si="27"/>
        <v>0</v>
      </c>
      <c r="L169" s="12">
        <f t="shared" si="28"/>
        <v>1815</v>
      </c>
      <c r="M169" s="12">
        <f t="shared" si="29"/>
        <v>2399</v>
      </c>
      <c r="N169" s="12">
        <f t="shared" si="30"/>
        <v>1795</v>
      </c>
      <c r="O169" s="12" t="str">
        <f t="shared" si="31"/>
        <v>휘발유 45,375원 / 고급유 47,980원</v>
      </c>
      <c r="P169" s="12">
        <f t="shared" si="32"/>
        <v>93355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93355</v>
      </c>
      <c r="U169" s="12">
        <f t="shared" si="36"/>
        <v>2074.5555555555557</v>
      </c>
      <c r="V169" s="12">
        <f t="shared" si="37"/>
        <v>2074.5555555555557</v>
      </c>
      <c r="W169" s="14">
        <f t="shared" si="38"/>
        <v>93355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845</v>
      </c>
      <c r="D170" s="15" t="s">
        <v>80</v>
      </c>
      <c r="E170" s="11" t="s">
        <v>26</v>
      </c>
      <c r="F170" s="11" t="s">
        <v>846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10</v>
      </c>
      <c r="C171" s="11" t="s">
        <v>619</v>
      </c>
      <c r="D171" s="15" t="s">
        <v>45</v>
      </c>
      <c r="E171" s="11" t="s">
        <v>26</v>
      </c>
      <c r="F171" s="11" t="s">
        <v>620</v>
      </c>
      <c r="G171" s="12">
        <v>1819</v>
      </c>
      <c r="H171" s="12">
        <v>2399</v>
      </c>
      <c r="I171" s="12"/>
      <c r="J171" s="12">
        <v>1799</v>
      </c>
      <c r="K171" s="12">
        <f t="shared" si="27"/>
        <v>0</v>
      </c>
      <c r="L171" s="12">
        <f t="shared" si="28"/>
        <v>1819</v>
      </c>
      <c r="M171" s="12">
        <f t="shared" si="29"/>
        <v>2399</v>
      </c>
      <c r="N171" s="12">
        <f t="shared" si="30"/>
        <v>1799</v>
      </c>
      <c r="O171" s="12" t="str">
        <f t="shared" si="31"/>
        <v>휘발유 45,475원 / 고급유 47,980원</v>
      </c>
      <c r="P171" s="12">
        <f t="shared" si="32"/>
        <v>93455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93455</v>
      </c>
      <c r="U171" s="12">
        <f t="shared" si="36"/>
        <v>2076.7777777777778</v>
      </c>
      <c r="V171" s="12">
        <f t="shared" si="37"/>
        <v>2076.7777777777778</v>
      </c>
      <c r="W171" s="14">
        <f t="shared" si="38"/>
        <v>93455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364</v>
      </c>
      <c r="D172" s="15" t="s">
        <v>45</v>
      </c>
      <c r="E172" s="11" t="s">
        <v>26</v>
      </c>
      <c r="F172" s="11" t="s">
        <v>365</v>
      </c>
      <c r="G172" s="12">
        <v>1835</v>
      </c>
      <c r="H172" s="12">
        <v>2385</v>
      </c>
      <c r="I172" s="12"/>
      <c r="J172" s="12">
        <v>1825</v>
      </c>
      <c r="K172" s="12">
        <f t="shared" si="27"/>
        <v>0</v>
      </c>
      <c r="L172" s="12">
        <f t="shared" si="28"/>
        <v>1835</v>
      </c>
      <c r="M172" s="12">
        <f t="shared" si="29"/>
        <v>2385</v>
      </c>
      <c r="N172" s="12">
        <f t="shared" si="30"/>
        <v>1825</v>
      </c>
      <c r="O172" s="12" t="str">
        <f t="shared" si="31"/>
        <v>휘발유 45,875원 / 고급유 47,700원</v>
      </c>
      <c r="P172" s="12">
        <f t="shared" si="32"/>
        <v>93575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93575</v>
      </c>
      <c r="U172" s="12">
        <f t="shared" si="36"/>
        <v>2079.4444444444443</v>
      </c>
      <c r="V172" s="12">
        <f t="shared" si="37"/>
        <v>2079.4444444444443</v>
      </c>
      <c r="W172" s="14">
        <f t="shared" si="38"/>
        <v>93575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1685</v>
      </c>
      <c r="D183" s="15" t="s">
        <v>45</v>
      </c>
      <c r="E183" s="11" t="s">
        <v>26</v>
      </c>
      <c r="F183" s="11" t="s">
        <v>1686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99</v>
      </c>
      <c r="D184" s="15" t="s">
        <v>45</v>
      </c>
      <c r="E184" s="11" t="s">
        <v>26</v>
      </c>
      <c r="F184" s="11" t="s">
        <v>100</v>
      </c>
      <c r="G184" s="12">
        <v>1797</v>
      </c>
      <c r="H184" s="12"/>
      <c r="I184" s="12"/>
      <c r="J184" s="12">
        <v>1792</v>
      </c>
      <c r="K184" s="12">
        <f t="shared" si="27"/>
        <v>0</v>
      </c>
      <c r="L184" s="12">
        <f t="shared" si="28"/>
        <v>1797</v>
      </c>
      <c r="M184" s="12" t="str">
        <f t="shared" si="29"/>
        <v/>
      </c>
      <c r="N184" s="12">
        <f t="shared" si="30"/>
        <v>1792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1484</v>
      </c>
      <c r="D185" s="15" t="s">
        <v>60</v>
      </c>
      <c r="E185" s="11" t="s">
        <v>26</v>
      </c>
      <c r="F185" s="11" t="s">
        <v>1485</v>
      </c>
      <c r="G185" s="12">
        <v>1799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1799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1346</v>
      </c>
      <c r="D186" s="15" t="s">
        <v>45</v>
      </c>
      <c r="E186" s="11" t="s">
        <v>26</v>
      </c>
      <c r="F186" s="11" t="s">
        <v>1347</v>
      </c>
      <c r="G186" s="12">
        <v>1799</v>
      </c>
      <c r="H186" s="12"/>
      <c r="I186" s="12"/>
      <c r="J186" s="12">
        <v>1811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1811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627</v>
      </c>
      <c r="D187" s="11" t="s">
        <v>57</v>
      </c>
      <c r="E187" s="11" t="s">
        <v>26</v>
      </c>
      <c r="F187" s="11" t="s">
        <v>628</v>
      </c>
      <c r="G187" s="12">
        <v>1844</v>
      </c>
      <c r="H187" s="12"/>
      <c r="I187" s="12"/>
      <c r="J187" s="12">
        <v>1794</v>
      </c>
      <c r="K187" s="12">
        <f t="shared" si="27"/>
        <v>0</v>
      </c>
      <c r="L187" s="12">
        <f t="shared" si="28"/>
        <v>1844</v>
      </c>
      <c r="M187" s="12" t="str">
        <f t="shared" si="29"/>
        <v/>
      </c>
      <c r="N187" s="12">
        <f t="shared" si="30"/>
        <v>1794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1245</v>
      </c>
      <c r="D188" s="11" t="s">
        <v>57</v>
      </c>
      <c r="E188" s="11" t="s">
        <v>26</v>
      </c>
      <c r="F188" s="11" t="s">
        <v>1246</v>
      </c>
      <c r="G188" s="12">
        <v>1805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1805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480</v>
      </c>
      <c r="D189" s="15" t="s">
        <v>45</v>
      </c>
      <c r="E189" s="11" t="s">
        <v>26</v>
      </c>
      <c r="F189" s="11" t="s">
        <v>481</v>
      </c>
      <c r="G189" s="12">
        <v>1847</v>
      </c>
      <c r="H189" s="12"/>
      <c r="I189" s="12"/>
      <c r="J189" s="12">
        <v>1837</v>
      </c>
      <c r="K189" s="12">
        <f t="shared" si="27"/>
        <v>0</v>
      </c>
      <c r="L189" s="12">
        <f t="shared" si="28"/>
        <v>1847</v>
      </c>
      <c r="M189" s="12" t="str">
        <f t="shared" si="29"/>
        <v/>
      </c>
      <c r="N189" s="12">
        <f t="shared" si="30"/>
        <v>1837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7" customFormat="1" ht="28.5" customHeight="1">
      <c r="A190" s="11" t="str">
        <f t="shared" si="26"/>
        <v/>
      </c>
      <c r="B190" s="11" t="s">
        <v>6</v>
      </c>
      <c r="C190" s="11" t="s">
        <v>1638</v>
      </c>
      <c r="D190" s="15" t="s">
        <v>80</v>
      </c>
      <c r="E190" s="11" t="s">
        <v>26</v>
      </c>
      <c r="F190" s="11" t="s">
        <v>1639</v>
      </c>
      <c r="G190" s="12">
        <v>1807</v>
      </c>
      <c r="H190" s="12"/>
      <c r="I190" s="12"/>
      <c r="J190" s="12">
        <v>1793</v>
      </c>
      <c r="K190" s="12">
        <f t="shared" si="27"/>
        <v>0</v>
      </c>
      <c r="L190" s="12">
        <f t="shared" si="28"/>
        <v>1807</v>
      </c>
      <c r="M190" s="12" t="str">
        <f t="shared" si="29"/>
        <v/>
      </c>
      <c r="N190" s="12">
        <f t="shared" si="30"/>
        <v>1793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723</v>
      </c>
      <c r="D191" s="11" t="s">
        <v>57</v>
      </c>
      <c r="E191" s="11" t="s">
        <v>26</v>
      </c>
      <c r="F191" s="11" t="s">
        <v>724</v>
      </c>
      <c r="G191" s="12">
        <v>1849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478</v>
      </c>
      <c r="D192" s="15" t="s">
        <v>45</v>
      </c>
      <c r="E192" s="11" t="s">
        <v>26</v>
      </c>
      <c r="F192" s="11" t="s">
        <v>479</v>
      </c>
      <c r="G192" s="12">
        <v>1849</v>
      </c>
      <c r="H192" s="12"/>
      <c r="I192" s="12"/>
      <c r="J192" s="12">
        <v>1835</v>
      </c>
      <c r="K192" s="12">
        <f t="shared" si="27"/>
        <v>0</v>
      </c>
      <c r="L192" s="12">
        <f t="shared" si="28"/>
        <v>1849</v>
      </c>
      <c r="M192" s="12" t="str">
        <f t="shared" si="29"/>
        <v/>
      </c>
      <c r="N192" s="12">
        <f t="shared" si="30"/>
        <v>1835</v>
      </c>
      <c r="O192" s="12" t="str">
        <f t="shared" si="31"/>
        <v/>
      </c>
      <c r="P192" s="12" t="str">
        <f t="shared" si="32"/>
        <v/>
      </c>
      <c r="Q192" s="11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7" customFormat="1" ht="28.5" customHeight="1">
      <c r="A193" s="11" t="str">
        <f t="shared" si="26"/>
        <v/>
      </c>
      <c r="B193" s="11" t="s">
        <v>18</v>
      </c>
      <c r="C193" s="11" t="s">
        <v>1049</v>
      </c>
      <c r="D193" s="15" t="s">
        <v>45</v>
      </c>
      <c r="E193" s="11" t="s">
        <v>61</v>
      </c>
      <c r="F193" s="11" t="s">
        <v>1050</v>
      </c>
      <c r="G193" s="12">
        <v>1849</v>
      </c>
      <c r="H193" s="12"/>
      <c r="I193" s="12"/>
      <c r="J193" s="12">
        <v>1839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1839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6</v>
      </c>
      <c r="C194" s="11" t="s">
        <v>659</v>
      </c>
      <c r="D194" s="15" t="s">
        <v>45</v>
      </c>
      <c r="E194" s="11" t="s">
        <v>26</v>
      </c>
      <c r="F194" s="11" t="s">
        <v>660</v>
      </c>
      <c r="G194" s="12">
        <v>1808</v>
      </c>
      <c r="H194" s="12"/>
      <c r="I194" s="12"/>
      <c r="J194" s="12">
        <v>1798</v>
      </c>
      <c r="K194" s="12">
        <f t="shared" si="27"/>
        <v>0</v>
      </c>
      <c r="L194" s="12">
        <f t="shared" si="28"/>
        <v>1808</v>
      </c>
      <c r="M194" s="12" t="str">
        <f t="shared" si="29"/>
        <v/>
      </c>
      <c r="N194" s="12">
        <f t="shared" si="30"/>
        <v>1798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671</v>
      </c>
      <c r="D195" s="15" t="s">
        <v>60</v>
      </c>
      <c r="E195" s="11" t="s">
        <v>26</v>
      </c>
      <c r="F195" s="11" t="s">
        <v>672</v>
      </c>
      <c r="G195" s="12">
        <v>1850</v>
      </c>
      <c r="H195" s="12"/>
      <c r="I195" s="12"/>
      <c r="J195" s="12">
        <v>1810</v>
      </c>
      <c r="K195" s="12">
        <f t="shared" si="27"/>
        <v>0</v>
      </c>
      <c r="L195" s="12">
        <f t="shared" si="28"/>
        <v>1850</v>
      </c>
      <c r="M195" s="12" t="str">
        <f t="shared" si="29"/>
        <v/>
      </c>
      <c r="N195" s="12">
        <f t="shared" si="30"/>
        <v>1810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12</v>
      </c>
      <c r="C196" s="11" t="s">
        <v>576</v>
      </c>
      <c r="D196" s="15" t="s">
        <v>80</v>
      </c>
      <c r="E196" s="11" t="s">
        <v>26</v>
      </c>
      <c r="F196" s="11" t="s">
        <v>577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12</v>
      </c>
      <c r="C197" s="11" t="s">
        <v>588</v>
      </c>
      <c r="D197" s="15" t="s">
        <v>80</v>
      </c>
      <c r="E197" s="11" t="s">
        <v>26</v>
      </c>
      <c r="F197" s="11" t="s">
        <v>589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18</v>
      </c>
      <c r="C198" s="11" t="s">
        <v>417</v>
      </c>
      <c r="D198" s="15" t="s">
        <v>60</v>
      </c>
      <c r="E198" s="11" t="s">
        <v>26</v>
      </c>
      <c r="F198" s="11" t="s">
        <v>418</v>
      </c>
      <c r="G198" s="12">
        <v>1852</v>
      </c>
      <c r="H198" s="12"/>
      <c r="I198" s="12"/>
      <c r="J198" s="12">
        <v>1812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1812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18</v>
      </c>
      <c r="C199" s="11" t="s">
        <v>986</v>
      </c>
      <c r="D199" s="11" t="s">
        <v>57</v>
      </c>
      <c r="E199" s="11" t="s">
        <v>26</v>
      </c>
      <c r="F199" s="11" t="s">
        <v>987</v>
      </c>
      <c r="G199" s="12">
        <v>1852</v>
      </c>
      <c r="H199" s="12"/>
      <c r="I199" s="12"/>
      <c r="J199" s="12">
        <v>1832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1832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6</v>
      </c>
      <c r="C200" s="11" t="s">
        <v>1579</v>
      </c>
      <c r="D200" s="11" t="s">
        <v>48</v>
      </c>
      <c r="E200" s="11" t="s">
        <v>26</v>
      </c>
      <c r="F200" s="11" t="s">
        <v>1580</v>
      </c>
      <c r="G200" s="12">
        <v>1813</v>
      </c>
      <c r="H200" s="12"/>
      <c r="I200" s="12"/>
      <c r="J200" s="12">
        <v>1800</v>
      </c>
      <c r="K200" s="12">
        <f t="shared" si="27"/>
        <v>0</v>
      </c>
      <c r="L200" s="12">
        <f t="shared" si="28"/>
        <v>1813</v>
      </c>
      <c r="M200" s="12" t="str">
        <f t="shared" si="29"/>
        <v/>
      </c>
      <c r="N200" s="12">
        <f t="shared" si="30"/>
        <v>1800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934</v>
      </c>
      <c r="D201" s="15" t="s">
        <v>80</v>
      </c>
      <c r="E201" s="11" t="s">
        <v>61</v>
      </c>
      <c r="F201" s="11" t="s">
        <v>935</v>
      </c>
      <c r="G201" s="12">
        <v>1855</v>
      </c>
      <c r="H201" s="12"/>
      <c r="I201" s="12"/>
      <c r="J201" s="12">
        <v>1830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18</v>
      </c>
      <c r="C202" s="5" t="s">
        <v>786</v>
      </c>
      <c r="D202" s="15" t="s">
        <v>45</v>
      </c>
      <c r="E202" s="11" t="s">
        <v>61</v>
      </c>
      <c r="F202" s="11" t="s">
        <v>787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18</v>
      </c>
      <c r="C203" s="11" t="s">
        <v>1486</v>
      </c>
      <c r="D203" s="15" t="s">
        <v>80</v>
      </c>
      <c r="E203" s="11" t="s">
        <v>61</v>
      </c>
      <c r="F203" s="11" t="s">
        <v>1487</v>
      </c>
      <c r="G203" s="12">
        <v>1855</v>
      </c>
      <c r="H203" s="12"/>
      <c r="I203" s="12"/>
      <c r="J203" s="12">
        <v>1835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1835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286</v>
      </c>
      <c r="D204" s="11" t="s">
        <v>95</v>
      </c>
      <c r="E204" s="11" t="s">
        <v>26</v>
      </c>
      <c r="F204" s="11" t="s">
        <v>287</v>
      </c>
      <c r="G204" s="12">
        <v>1814</v>
      </c>
      <c r="H204" s="12"/>
      <c r="I204" s="12"/>
      <c r="J204" s="12">
        <v>1788</v>
      </c>
      <c r="K204" s="12">
        <f t="shared" si="27"/>
        <v>0</v>
      </c>
      <c r="L204" s="12">
        <f t="shared" si="28"/>
        <v>1814</v>
      </c>
      <c r="M204" s="12" t="str">
        <f t="shared" si="29"/>
        <v/>
      </c>
      <c r="N204" s="12">
        <f t="shared" si="30"/>
        <v>1788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80</v>
      </c>
      <c r="E205" s="11" t="s">
        <v>61</v>
      </c>
      <c r="F205" s="11" t="s">
        <v>544</v>
      </c>
      <c r="G205" s="12">
        <v>1815</v>
      </c>
      <c r="H205" s="12"/>
      <c r="I205" s="12"/>
      <c r="J205" s="12">
        <v>1795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1795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14</v>
      </c>
      <c r="C206" s="11" t="s">
        <v>1002</v>
      </c>
      <c r="D206" s="15" t="s">
        <v>45</v>
      </c>
      <c r="E206" s="11" t="s">
        <v>26</v>
      </c>
      <c r="F206" s="11" t="s">
        <v>1003</v>
      </c>
      <c r="G206" s="12">
        <v>1815</v>
      </c>
      <c r="H206" s="12"/>
      <c r="I206" s="12"/>
      <c r="J206" s="12">
        <v>1818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1818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18</v>
      </c>
      <c r="C207" s="11" t="s">
        <v>1081</v>
      </c>
      <c r="D207" s="15" t="s">
        <v>45</v>
      </c>
      <c r="E207" s="11" t="s">
        <v>61</v>
      </c>
      <c r="F207" s="11" t="s">
        <v>1082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1515</v>
      </c>
      <c r="D208" s="15" t="s">
        <v>60</v>
      </c>
      <c r="E208" s="11" t="s">
        <v>61</v>
      </c>
      <c r="F208" s="11" t="s">
        <v>1516</v>
      </c>
      <c r="G208" s="12">
        <v>1857</v>
      </c>
      <c r="H208" s="12"/>
      <c r="I208" s="12"/>
      <c r="J208" s="12">
        <v>1837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1837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11" t="s">
        <v>1326</v>
      </c>
      <c r="D209" s="15" t="s">
        <v>80</v>
      </c>
      <c r="E209" s="11" t="s">
        <v>61</v>
      </c>
      <c r="F209" s="11" t="s">
        <v>1327</v>
      </c>
      <c r="G209" s="12">
        <v>1857</v>
      </c>
      <c r="H209" s="12"/>
      <c r="I209" s="12"/>
      <c r="J209" s="12">
        <v>1847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1847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16</v>
      </c>
      <c r="C210" s="11" t="s">
        <v>902</v>
      </c>
      <c r="D210" s="15" t="s">
        <v>60</v>
      </c>
      <c r="E210" s="11" t="s">
        <v>61</v>
      </c>
      <c r="F210" s="11" t="s">
        <v>903</v>
      </c>
      <c r="G210" s="12">
        <v>1859</v>
      </c>
      <c r="H210" s="12"/>
      <c r="I210" s="12"/>
      <c r="J210" s="12">
        <v>1819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1819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1155</v>
      </c>
      <c r="D211" s="11" t="s">
        <v>57</v>
      </c>
      <c r="E211" s="11" t="s">
        <v>61</v>
      </c>
      <c r="F211" s="11" t="s">
        <v>1156</v>
      </c>
      <c r="G211" s="12">
        <v>1859</v>
      </c>
      <c r="H211" s="12"/>
      <c r="I211" s="12"/>
      <c r="J211" s="12">
        <v>1839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1839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886</v>
      </c>
      <c r="D213" s="11" t="s">
        <v>57</v>
      </c>
      <c r="E213" s="11" t="s">
        <v>26</v>
      </c>
      <c r="F213" s="11" t="s">
        <v>887</v>
      </c>
      <c r="G213" s="12">
        <v>1859</v>
      </c>
      <c r="H213" s="12"/>
      <c r="I213" s="12"/>
      <c r="J213" s="12">
        <v>1869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1869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14</v>
      </c>
      <c r="C214" s="11" t="s">
        <v>370</v>
      </c>
      <c r="D214" s="15" t="s">
        <v>45</v>
      </c>
      <c r="E214" s="11" t="s">
        <v>26</v>
      </c>
      <c r="F214" s="11" t="s">
        <v>371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12</v>
      </c>
      <c r="C215" s="11" t="s">
        <v>1268</v>
      </c>
      <c r="D215" s="15" t="s">
        <v>45</v>
      </c>
      <c r="E215" s="11" t="s">
        <v>26</v>
      </c>
      <c r="F215" s="11" t="s">
        <v>1269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978</v>
      </c>
      <c r="D216" s="15" t="s">
        <v>80</v>
      </c>
      <c r="E216" s="11" t="s">
        <v>26</v>
      </c>
      <c r="F216" s="11" t="s">
        <v>979</v>
      </c>
      <c r="G216" s="12">
        <v>1860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388</v>
      </c>
      <c r="D217" s="11" t="s">
        <v>57</v>
      </c>
      <c r="E217" s="11" t="s">
        <v>26</v>
      </c>
      <c r="F217" s="11" t="s">
        <v>389</v>
      </c>
      <c r="G217" s="12">
        <v>1860</v>
      </c>
      <c r="H217" s="12"/>
      <c r="I217" s="12"/>
      <c r="J217" s="12">
        <v>1860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1860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362</v>
      </c>
      <c r="D218" s="15" t="s">
        <v>45</v>
      </c>
      <c r="E218" s="11" t="s">
        <v>26</v>
      </c>
      <c r="F218" s="11" t="s">
        <v>363</v>
      </c>
      <c r="G218" s="12">
        <v>1819</v>
      </c>
      <c r="H218" s="12"/>
      <c r="I218" s="12"/>
      <c r="J218" s="12">
        <v>1799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1799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1316</v>
      </c>
      <c r="D219" s="15" t="s">
        <v>80</v>
      </c>
      <c r="E219" s="11" t="s">
        <v>61</v>
      </c>
      <c r="F219" s="11" t="s">
        <v>1317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12</v>
      </c>
      <c r="C220" s="11" t="s">
        <v>1599</v>
      </c>
      <c r="D220" s="15" t="s">
        <v>57</v>
      </c>
      <c r="E220" s="11" t="s">
        <v>26</v>
      </c>
      <c r="F220" s="11" t="s">
        <v>1600</v>
      </c>
      <c r="G220" s="12">
        <v>1819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1819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1373</v>
      </c>
      <c r="D221" s="11" t="s">
        <v>57</v>
      </c>
      <c r="E221" s="11" t="s">
        <v>26</v>
      </c>
      <c r="F221" s="11" t="s">
        <v>1374</v>
      </c>
      <c r="G221" s="12">
        <v>1862</v>
      </c>
      <c r="H221" s="12"/>
      <c r="I221" s="12"/>
      <c r="J221" s="12">
        <v>1832</v>
      </c>
      <c r="K221" s="12">
        <f t="shared" si="40"/>
        <v>0</v>
      </c>
      <c r="L221" s="12">
        <f t="shared" si="41"/>
        <v>1862</v>
      </c>
      <c r="M221" s="12" t="str">
        <f t="shared" si="42"/>
        <v/>
      </c>
      <c r="N221" s="12">
        <f t="shared" si="43"/>
        <v>1832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12</v>
      </c>
      <c r="C225" s="11" t="s">
        <v>344</v>
      </c>
      <c r="D225" s="15" t="s">
        <v>45</v>
      </c>
      <c r="E225" s="11" t="s">
        <v>26</v>
      </c>
      <c r="F225" s="11" t="s">
        <v>345</v>
      </c>
      <c r="G225" s="12">
        <v>1825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1825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598</v>
      </c>
      <c r="D226" s="15" t="s">
        <v>57</v>
      </c>
      <c r="E226" s="11" t="s">
        <v>26</v>
      </c>
      <c r="F226" s="11" t="s">
        <v>599</v>
      </c>
      <c r="G226" s="12">
        <v>1825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778</v>
      </c>
      <c r="D227" s="11" t="s">
        <v>57</v>
      </c>
      <c r="E227" s="11" t="s">
        <v>26</v>
      </c>
      <c r="F227" s="11" t="s">
        <v>779</v>
      </c>
      <c r="G227" s="12">
        <v>1825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982</v>
      </c>
      <c r="D228" s="15" t="s">
        <v>80</v>
      </c>
      <c r="E228" s="11" t="s">
        <v>61</v>
      </c>
      <c r="F228" s="11" t="s">
        <v>983</v>
      </c>
      <c r="G228" s="12">
        <v>1867</v>
      </c>
      <c r="H228" s="12"/>
      <c r="I228" s="12"/>
      <c r="J228" s="12">
        <v>1827</v>
      </c>
      <c r="K228" s="12">
        <f t="shared" si="40"/>
        <v>0</v>
      </c>
      <c r="L228" s="12">
        <f t="shared" si="41"/>
        <v>1867</v>
      </c>
      <c r="M228" s="12" t="str">
        <f t="shared" si="42"/>
        <v/>
      </c>
      <c r="N228" s="12">
        <f t="shared" si="43"/>
        <v>1827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12</v>
      </c>
      <c r="C231" s="11" t="s">
        <v>872</v>
      </c>
      <c r="D231" s="15" t="s">
        <v>57</v>
      </c>
      <c r="E231" s="11" t="s">
        <v>26</v>
      </c>
      <c r="F231" s="11" t="s">
        <v>873</v>
      </c>
      <c r="G231" s="12">
        <v>1828</v>
      </c>
      <c r="H231" s="12"/>
      <c r="I231" s="12"/>
      <c r="J231" s="12">
        <v>1798</v>
      </c>
      <c r="K231" s="12">
        <f t="shared" si="40"/>
        <v>0</v>
      </c>
      <c r="L231" s="12">
        <f t="shared" si="41"/>
        <v>1828</v>
      </c>
      <c r="M231" s="12" t="str">
        <f t="shared" si="42"/>
        <v/>
      </c>
      <c r="N231" s="12">
        <f t="shared" si="43"/>
        <v>1798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702</v>
      </c>
      <c r="D232" s="11" t="s">
        <v>48</v>
      </c>
      <c r="E232" s="11" t="s">
        <v>61</v>
      </c>
      <c r="F232" s="11" t="s">
        <v>703</v>
      </c>
      <c r="G232" s="12">
        <v>1828</v>
      </c>
      <c r="H232" s="12"/>
      <c r="I232" s="12"/>
      <c r="J232" s="12">
        <v>1799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1799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16</v>
      </c>
      <c r="C233" s="11" t="s">
        <v>608</v>
      </c>
      <c r="D233" s="15" t="s">
        <v>80</v>
      </c>
      <c r="E233" s="11" t="s">
        <v>61</v>
      </c>
      <c r="F233" s="11" t="s">
        <v>609</v>
      </c>
      <c r="G233" s="12">
        <v>1870</v>
      </c>
      <c r="H233" s="12"/>
      <c r="I233" s="12"/>
      <c r="J233" s="12">
        <v>1825</v>
      </c>
      <c r="K233" s="12">
        <f t="shared" si="40"/>
        <v>0</v>
      </c>
      <c r="L233" s="12">
        <f t="shared" si="41"/>
        <v>1870</v>
      </c>
      <c r="M233" s="12" t="str">
        <f t="shared" si="42"/>
        <v/>
      </c>
      <c r="N233" s="12">
        <f t="shared" si="43"/>
        <v>1825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1369</v>
      </c>
      <c r="D234" s="15" t="s">
        <v>45</v>
      </c>
      <c r="E234" s="11" t="s">
        <v>26</v>
      </c>
      <c r="F234" s="11" t="s">
        <v>1370</v>
      </c>
      <c r="G234" s="12">
        <v>1870</v>
      </c>
      <c r="H234" s="12"/>
      <c r="I234" s="12"/>
      <c r="J234" s="12">
        <v>1840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1840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1687</v>
      </c>
      <c r="D239" s="15" t="s">
        <v>45</v>
      </c>
      <c r="E239" s="11" t="s">
        <v>26</v>
      </c>
      <c r="F239" s="11" t="s">
        <v>1688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561</v>
      </c>
      <c r="D246" s="15" t="s">
        <v>80</v>
      </c>
      <c r="E246" s="11" t="s">
        <v>26</v>
      </c>
      <c r="F246" s="11" t="s">
        <v>562</v>
      </c>
      <c r="G246" s="12">
        <v>1833</v>
      </c>
      <c r="H246" s="12"/>
      <c r="I246" s="12"/>
      <c r="J246" s="12">
        <v>1821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1821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18</v>
      </c>
      <c r="C247" s="11" t="s">
        <v>1038</v>
      </c>
      <c r="D247" s="15" t="s">
        <v>80</v>
      </c>
      <c r="E247" s="11" t="s">
        <v>61</v>
      </c>
      <c r="F247" s="11" t="s">
        <v>1039</v>
      </c>
      <c r="G247" s="12">
        <v>1875</v>
      </c>
      <c r="H247" s="12"/>
      <c r="I247" s="12"/>
      <c r="J247" s="12">
        <v>1855</v>
      </c>
      <c r="K247" s="12">
        <f t="shared" si="40"/>
        <v>0</v>
      </c>
      <c r="L247" s="12">
        <f t="shared" si="41"/>
        <v>1875</v>
      </c>
      <c r="M247" s="12" t="str">
        <f t="shared" si="42"/>
        <v/>
      </c>
      <c r="N247" s="12">
        <f t="shared" si="43"/>
        <v>1855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637</v>
      </c>
      <c r="D248" s="15" t="s">
        <v>45</v>
      </c>
      <c r="E248" s="11" t="s">
        <v>26</v>
      </c>
      <c r="F248" s="11" t="s">
        <v>638</v>
      </c>
      <c r="G248" s="12">
        <v>1834</v>
      </c>
      <c r="H248" s="12"/>
      <c r="I248" s="12"/>
      <c r="J248" s="12">
        <v>1817</v>
      </c>
      <c r="K248" s="12">
        <f t="shared" si="40"/>
        <v>0</v>
      </c>
      <c r="L248" s="12">
        <f t="shared" si="41"/>
        <v>1834</v>
      </c>
      <c r="M248" s="12" t="str">
        <f t="shared" si="42"/>
        <v/>
      </c>
      <c r="N248" s="12">
        <f t="shared" si="43"/>
        <v>1817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1808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1808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1729</v>
      </c>
      <c r="D262" s="15" t="s">
        <v>80</v>
      </c>
      <c r="E262" s="11" t="s">
        <v>61</v>
      </c>
      <c r="F262" s="11" t="s">
        <v>1730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1705</v>
      </c>
      <c r="D268" s="15" t="s">
        <v>80</v>
      </c>
      <c r="E268" s="11" t="s">
        <v>61</v>
      </c>
      <c r="F268" s="11" t="s">
        <v>1706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1722</v>
      </c>
      <c r="D269" s="15" t="s">
        <v>45</v>
      </c>
      <c r="E269" s="11" t="s">
        <v>26</v>
      </c>
      <c r="F269" s="11" t="s">
        <v>1723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1683</v>
      </c>
      <c r="D271" s="11" t="s">
        <v>57</v>
      </c>
      <c r="E271" s="11" t="s">
        <v>26</v>
      </c>
      <c r="F271" s="11" t="s">
        <v>1684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1419</v>
      </c>
      <c r="D274" s="11" t="s">
        <v>48</v>
      </c>
      <c r="E274" s="11" t="s">
        <v>26</v>
      </c>
      <c r="F274" s="11" t="s">
        <v>1420</v>
      </c>
      <c r="G274" s="12">
        <v>1845</v>
      </c>
      <c r="H274" s="12"/>
      <c r="I274" s="12"/>
      <c r="J274" s="12">
        <v>1832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1832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1839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1689</v>
      </c>
      <c r="D281" s="15" t="s">
        <v>45</v>
      </c>
      <c r="E281" s="11" t="s">
        <v>61</v>
      </c>
      <c r="F281" s="11" t="s">
        <v>1690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8</v>
      </c>
      <c r="C295" s="11" t="s">
        <v>1714</v>
      </c>
      <c r="D295" s="11" t="s">
        <v>57</v>
      </c>
      <c r="E295" s="11" t="s">
        <v>26</v>
      </c>
      <c r="F295" s="11" t="s">
        <v>1715</v>
      </c>
      <c r="G295" s="12">
        <v>1855</v>
      </c>
      <c r="H295" s="12"/>
      <c r="I295" s="12"/>
      <c r="J295" s="12">
        <v>1825</v>
      </c>
      <c r="K295" s="12">
        <f t="shared" si="53"/>
        <v>0</v>
      </c>
      <c r="L295" s="12">
        <f t="shared" si="54"/>
        <v>1855</v>
      </c>
      <c r="M295" s="12" t="str">
        <f t="shared" si="55"/>
        <v/>
      </c>
      <c r="N295" s="12">
        <f t="shared" si="56"/>
        <v>1825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1735</v>
      </c>
      <c r="D296" s="15" t="s">
        <v>60</v>
      </c>
      <c r="E296" s="11" t="s">
        <v>26</v>
      </c>
      <c r="F296" s="11" t="s">
        <v>1736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6</v>
      </c>
      <c r="C297" s="11" t="s">
        <v>1670</v>
      </c>
      <c r="D297" s="15" t="s">
        <v>45</v>
      </c>
      <c r="E297" s="11" t="s">
        <v>26</v>
      </c>
      <c r="F297" s="11" t="s">
        <v>1671</v>
      </c>
      <c r="G297" s="12">
        <v>1855</v>
      </c>
      <c r="H297" s="12"/>
      <c r="I297" s="12"/>
      <c r="J297" s="12">
        <v>1839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1839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551</v>
      </c>
      <c r="D298" s="15" t="s">
        <v>45</v>
      </c>
      <c r="E298" s="11" t="s">
        <v>61</v>
      </c>
      <c r="F298" s="11" t="s">
        <v>552</v>
      </c>
      <c r="G298" s="12">
        <v>1855</v>
      </c>
      <c r="H298" s="12"/>
      <c r="I298" s="12"/>
      <c r="J298" s="12">
        <v>1845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1845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868</v>
      </c>
      <c r="D299" s="15" t="s">
        <v>80</v>
      </c>
      <c r="E299" s="11" t="s">
        <v>26</v>
      </c>
      <c r="F299" s="11" t="s">
        <v>869</v>
      </c>
      <c r="G299" s="12">
        <v>1899</v>
      </c>
      <c r="H299" s="12"/>
      <c r="I299" s="12"/>
      <c r="J299" s="12">
        <v>1849</v>
      </c>
      <c r="K299" s="12">
        <f t="shared" si="53"/>
        <v>0</v>
      </c>
      <c r="L299" s="12">
        <f t="shared" si="54"/>
        <v>1899</v>
      </c>
      <c r="M299" s="12" t="str">
        <f t="shared" si="55"/>
        <v/>
      </c>
      <c r="N299" s="12">
        <f t="shared" si="56"/>
        <v>1849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16</v>
      </c>
      <c r="C300" s="11" t="s">
        <v>1658</v>
      </c>
      <c r="D300" s="15" t="s">
        <v>80</v>
      </c>
      <c r="E300" s="11" t="s">
        <v>61</v>
      </c>
      <c r="F300" s="11" t="s">
        <v>1659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1703</v>
      </c>
      <c r="D303" s="11" t="s">
        <v>57</v>
      </c>
      <c r="E303" s="11" t="s">
        <v>61</v>
      </c>
      <c r="F303" s="11" t="s">
        <v>1704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1217</v>
      </c>
      <c r="D305" s="11" t="s">
        <v>57</v>
      </c>
      <c r="E305" s="11" t="s">
        <v>61</v>
      </c>
      <c r="F305" s="11" t="s">
        <v>1218</v>
      </c>
      <c r="G305" s="12">
        <v>1857</v>
      </c>
      <c r="H305" s="12"/>
      <c r="I305" s="12"/>
      <c r="J305" s="12">
        <v>1837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1837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1371</v>
      </c>
      <c r="D306" s="15" t="s">
        <v>57</v>
      </c>
      <c r="E306" s="11" t="s">
        <v>26</v>
      </c>
      <c r="F306" s="11" t="s">
        <v>1372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1270</v>
      </c>
      <c r="D308" s="15" t="s">
        <v>60</v>
      </c>
      <c r="E308" s="11" t="s">
        <v>61</v>
      </c>
      <c r="F308" s="11" t="s">
        <v>1271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1549</v>
      </c>
      <c r="D313" s="11" t="s">
        <v>95</v>
      </c>
      <c r="E313" s="11" t="s">
        <v>61</v>
      </c>
      <c r="F313" s="11" t="s">
        <v>1550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970</v>
      </c>
      <c r="D315" s="15" t="s">
        <v>45</v>
      </c>
      <c r="E315" s="11" t="s">
        <v>26</v>
      </c>
      <c r="F315" s="11" t="s">
        <v>972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7" customFormat="1" ht="28.5" customHeight="1">
      <c r="A316" s="11" t="str">
        <f t="shared" si="52"/>
        <v/>
      </c>
      <c r="B316" s="11" t="s">
        <v>12</v>
      </c>
      <c r="C316" s="11" t="s">
        <v>633</v>
      </c>
      <c r="D316" s="15" t="s">
        <v>80</v>
      </c>
      <c r="E316" s="11" t="s">
        <v>26</v>
      </c>
      <c r="F316" s="11" t="s">
        <v>634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769</v>
      </c>
      <c r="D317" s="11" t="s">
        <v>57</v>
      </c>
      <c r="E317" s="11" t="s">
        <v>26</v>
      </c>
      <c r="F317" s="11" t="s">
        <v>770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6</v>
      </c>
      <c r="C318" s="11" t="s">
        <v>822</v>
      </c>
      <c r="D318" s="11" t="s">
        <v>57</v>
      </c>
      <c r="E318" s="11" t="s">
        <v>26</v>
      </c>
      <c r="F318" s="11" t="s">
        <v>823</v>
      </c>
      <c r="G318" s="12">
        <v>1859</v>
      </c>
      <c r="H318" s="12"/>
      <c r="I318" s="12"/>
      <c r="J318" s="12">
        <v>1859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1859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6</v>
      </c>
      <c r="C319" s="11" t="s">
        <v>643</v>
      </c>
      <c r="D319" s="11" t="s">
        <v>57</v>
      </c>
      <c r="E319" s="11" t="s">
        <v>26</v>
      </c>
      <c r="F319" s="11" t="s">
        <v>644</v>
      </c>
      <c r="G319" s="12">
        <v>1860</v>
      </c>
      <c r="H319" s="12"/>
      <c r="I319" s="12"/>
      <c r="J319" s="12">
        <v>1830</v>
      </c>
      <c r="K319" s="12">
        <f t="shared" si="53"/>
        <v>0</v>
      </c>
      <c r="L319" s="12">
        <f t="shared" si="54"/>
        <v>1860</v>
      </c>
      <c r="M319" s="12" t="str">
        <f t="shared" si="55"/>
        <v/>
      </c>
      <c r="N319" s="12">
        <f t="shared" si="56"/>
        <v>1830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184</v>
      </c>
      <c r="D320" s="15" t="s">
        <v>60</v>
      </c>
      <c r="E320" s="11" t="s">
        <v>26</v>
      </c>
      <c r="F320" s="11" t="s">
        <v>185</v>
      </c>
      <c r="G320" s="12">
        <v>1864</v>
      </c>
      <c r="H320" s="12"/>
      <c r="I320" s="12"/>
      <c r="J320" s="12">
        <v>1853</v>
      </c>
      <c r="K320" s="12">
        <f t="shared" si="53"/>
        <v>0</v>
      </c>
      <c r="L320" s="12">
        <f t="shared" si="54"/>
        <v>1864</v>
      </c>
      <c r="M320" s="12" t="str">
        <f t="shared" si="55"/>
        <v/>
      </c>
      <c r="N320" s="12">
        <f t="shared" si="56"/>
        <v>1853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1296</v>
      </c>
      <c r="D321" s="15" t="s">
        <v>80</v>
      </c>
      <c r="E321" s="11" t="s">
        <v>26</v>
      </c>
      <c r="F321" s="11" t="s">
        <v>1297</v>
      </c>
      <c r="G321" s="12">
        <v>1865</v>
      </c>
      <c r="H321" s="12"/>
      <c r="I321" s="12"/>
      <c r="J321" s="12">
        <v>1847</v>
      </c>
      <c r="K321" s="12">
        <f t="shared" si="53"/>
        <v>0</v>
      </c>
      <c r="L321" s="12">
        <f t="shared" si="54"/>
        <v>1865</v>
      </c>
      <c r="M321" s="12" t="str">
        <f t="shared" si="55"/>
        <v/>
      </c>
      <c r="N321" s="12">
        <f t="shared" si="56"/>
        <v>1847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838</v>
      </c>
      <c r="D322" s="15" t="s">
        <v>80</v>
      </c>
      <c r="E322" s="11" t="s">
        <v>61</v>
      </c>
      <c r="F322" s="11" t="s">
        <v>839</v>
      </c>
      <c r="G322" s="12">
        <v>1866</v>
      </c>
      <c r="H322" s="12"/>
      <c r="I322" s="12"/>
      <c r="J322" s="12">
        <v>1846</v>
      </c>
      <c r="K322" s="12">
        <f t="shared" si="53"/>
        <v>0</v>
      </c>
      <c r="L322" s="12">
        <f t="shared" si="54"/>
        <v>1866</v>
      </c>
      <c r="M322" s="12" t="str">
        <f t="shared" si="55"/>
        <v/>
      </c>
      <c r="N322" s="12">
        <f t="shared" si="56"/>
        <v>1846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674</v>
      </c>
      <c r="D323" s="11" t="s">
        <v>57</v>
      </c>
      <c r="E323" s="11" t="s">
        <v>26</v>
      </c>
      <c r="F323" s="11" t="s">
        <v>675</v>
      </c>
      <c r="G323" s="12">
        <v>1867</v>
      </c>
      <c r="H323" s="12"/>
      <c r="I323" s="12"/>
      <c r="J323" s="12">
        <v>1817</v>
      </c>
      <c r="K323" s="12">
        <f t="shared" si="53"/>
        <v>0</v>
      </c>
      <c r="L323" s="12">
        <f t="shared" si="54"/>
        <v>1867</v>
      </c>
      <c r="M323" s="12" t="str">
        <f t="shared" si="55"/>
        <v/>
      </c>
      <c r="N323" s="12">
        <f t="shared" si="56"/>
        <v>1817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8</v>
      </c>
      <c r="C324" s="11" t="s">
        <v>1430</v>
      </c>
      <c r="D324" s="15" t="s">
        <v>60</v>
      </c>
      <c r="E324" s="11" t="s">
        <v>26</v>
      </c>
      <c r="F324" s="11" t="s">
        <v>1431</v>
      </c>
      <c r="G324" s="12">
        <v>1867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12</v>
      </c>
      <c r="C325" s="11" t="s">
        <v>732</v>
      </c>
      <c r="D325" s="15" t="s">
        <v>80</v>
      </c>
      <c r="E325" s="11" t="s">
        <v>26</v>
      </c>
      <c r="F325" s="11" t="s">
        <v>733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1017</v>
      </c>
      <c r="D326" s="15" t="s">
        <v>57</v>
      </c>
      <c r="E326" s="11" t="s">
        <v>26</v>
      </c>
      <c r="F326" s="11" t="s">
        <v>1018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616</v>
      </c>
      <c r="D327" s="15" t="s">
        <v>45</v>
      </c>
      <c r="E327" s="11" t="s">
        <v>61</v>
      </c>
      <c r="F327" s="11" t="s">
        <v>617</v>
      </c>
      <c r="G327" s="12">
        <v>1868</v>
      </c>
      <c r="H327" s="12"/>
      <c r="I327" s="12"/>
      <c r="J327" s="12">
        <v>1848</v>
      </c>
      <c r="K327" s="12">
        <f t="shared" si="53"/>
        <v>0</v>
      </c>
      <c r="L327" s="12">
        <f t="shared" si="54"/>
        <v>1868</v>
      </c>
      <c r="M327" s="12" t="str">
        <f t="shared" si="55"/>
        <v/>
      </c>
      <c r="N327" s="12">
        <f t="shared" si="56"/>
        <v>1848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7" customFormat="1" ht="28.5" customHeight="1">
      <c r="A328" s="11" t="str">
        <f t="shared" si="52"/>
        <v/>
      </c>
      <c r="B328" s="11" t="s">
        <v>14</v>
      </c>
      <c r="C328" s="11" t="s">
        <v>451</v>
      </c>
      <c r="D328" s="15" t="s">
        <v>80</v>
      </c>
      <c r="E328" s="11" t="s">
        <v>61</v>
      </c>
      <c r="F328" s="11" t="s">
        <v>452</v>
      </c>
      <c r="G328" s="12">
        <v>1869</v>
      </c>
      <c r="H328" s="12"/>
      <c r="I328" s="12"/>
      <c r="J328" s="12">
        <v>1839</v>
      </c>
      <c r="K328" s="12">
        <f t="shared" si="53"/>
        <v>0</v>
      </c>
      <c r="L328" s="12">
        <f t="shared" si="54"/>
        <v>1869</v>
      </c>
      <c r="M328" s="12" t="str">
        <f t="shared" si="55"/>
        <v/>
      </c>
      <c r="N328" s="12">
        <f t="shared" si="56"/>
        <v>1839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10</v>
      </c>
      <c r="C329" s="11" t="s">
        <v>509</v>
      </c>
      <c r="D329" s="15" t="s">
        <v>45</v>
      </c>
      <c r="E329" s="11" t="s">
        <v>61</v>
      </c>
      <c r="F329" s="11" t="s">
        <v>510</v>
      </c>
      <c r="G329" s="12">
        <v>1869</v>
      </c>
      <c r="H329" s="12"/>
      <c r="I329" s="12"/>
      <c r="J329" s="12">
        <v>1849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1849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916</v>
      </c>
      <c r="D330" s="15" t="s">
        <v>60</v>
      </c>
      <c r="E330" s="11" t="s">
        <v>26</v>
      </c>
      <c r="F330" s="11" t="s">
        <v>917</v>
      </c>
      <c r="G330" s="12">
        <v>1869</v>
      </c>
      <c r="H330" s="12"/>
      <c r="I330" s="12"/>
      <c r="J330" s="12">
        <v>1856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1856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970</v>
      </c>
      <c r="D331" s="11" t="s">
        <v>57</v>
      </c>
      <c r="E331" s="11" t="s">
        <v>26</v>
      </c>
      <c r="F331" s="11" t="s">
        <v>973</v>
      </c>
      <c r="G331" s="12">
        <v>1869</v>
      </c>
      <c r="H331" s="12"/>
      <c r="I331" s="12"/>
      <c r="J331" s="12">
        <v>1859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1290</v>
      </c>
      <c r="D332" s="15" t="s">
        <v>80</v>
      </c>
      <c r="E332" s="11" t="s">
        <v>61</v>
      </c>
      <c r="F332" s="11" t="s">
        <v>1291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16" customFormat="1" ht="28.5" customHeight="1">
      <c r="A333" s="11" t="str">
        <f t="shared" si="52"/>
        <v/>
      </c>
      <c r="B333" s="11" t="s">
        <v>6</v>
      </c>
      <c r="C333" s="11" t="s">
        <v>444</v>
      </c>
      <c r="D333" s="15" t="s">
        <v>60</v>
      </c>
      <c r="E333" s="11" t="s">
        <v>61</v>
      </c>
      <c r="F333" s="11" t="s">
        <v>445</v>
      </c>
      <c r="G333" s="12">
        <v>1869</v>
      </c>
      <c r="H333" s="12"/>
      <c r="I333" s="12"/>
      <c r="J333" s="12">
        <v>1869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1869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1509</v>
      </c>
      <c r="D334" s="15" t="s">
        <v>80</v>
      </c>
      <c r="E334" s="11" t="s">
        <v>26</v>
      </c>
      <c r="F334" s="11" t="s">
        <v>1510</v>
      </c>
      <c r="G334" s="12">
        <v>1869</v>
      </c>
      <c r="H334" s="12"/>
      <c r="I334" s="12"/>
      <c r="J334" s="12">
        <v>1897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1897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14</v>
      </c>
      <c r="C335" s="11" t="s">
        <v>761</v>
      </c>
      <c r="D335" s="11" t="s">
        <v>57</v>
      </c>
      <c r="E335" s="11" t="s">
        <v>61</v>
      </c>
      <c r="F335" s="11" t="s">
        <v>762</v>
      </c>
      <c r="G335" s="12">
        <v>1870</v>
      </c>
      <c r="H335" s="12"/>
      <c r="I335" s="12"/>
      <c r="J335" s="12">
        <v>1860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1870</v>
      </c>
      <c r="M335" s="12" t="str">
        <f t="shared" ref="M335:M398" si="68">IF($H335="","",$H335+$K335)</f>
        <v/>
      </c>
      <c r="N335" s="12">
        <f t="shared" ref="N335:N398" si="69">IF($J335="","",$J335+$K335)</f>
        <v>1860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625</v>
      </c>
      <c r="D336" s="15" t="s">
        <v>57</v>
      </c>
      <c r="E336" s="11" t="s">
        <v>61</v>
      </c>
      <c r="F336" s="11" t="s">
        <v>626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8</v>
      </c>
      <c r="C337" s="11" t="s">
        <v>1725</v>
      </c>
      <c r="D337" s="15" t="s">
        <v>45</v>
      </c>
      <c r="E337" s="11" t="s">
        <v>61</v>
      </c>
      <c r="F337" s="11" t="s">
        <v>1726</v>
      </c>
      <c r="G337" s="12">
        <v>1875</v>
      </c>
      <c r="H337" s="12"/>
      <c r="I337" s="12"/>
      <c r="J337" s="12">
        <v>1855</v>
      </c>
      <c r="K337" s="12">
        <f t="shared" si="66"/>
        <v>0</v>
      </c>
      <c r="L337" s="12">
        <f t="shared" si="67"/>
        <v>1875</v>
      </c>
      <c r="M337" s="12" t="str">
        <f t="shared" si="68"/>
        <v/>
      </c>
      <c r="N337" s="12">
        <f t="shared" si="69"/>
        <v>1855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525</v>
      </c>
      <c r="D338" s="15" t="s">
        <v>80</v>
      </c>
      <c r="E338" s="11" t="s">
        <v>61</v>
      </c>
      <c r="F338" s="11" t="s">
        <v>526</v>
      </c>
      <c r="G338" s="12">
        <v>1875</v>
      </c>
      <c r="H338" s="12"/>
      <c r="I338" s="12"/>
      <c r="J338" s="12">
        <v>1859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1859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1334</v>
      </c>
      <c r="D339" s="11" t="s">
        <v>57</v>
      </c>
      <c r="E339" s="11" t="s">
        <v>61</v>
      </c>
      <c r="F339" s="11" t="s">
        <v>1335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1527</v>
      </c>
      <c r="D340" s="15" t="s">
        <v>45</v>
      </c>
      <c r="E340" s="11" t="s">
        <v>61</v>
      </c>
      <c r="F340" s="11" t="s">
        <v>1528</v>
      </c>
      <c r="G340" s="12">
        <v>1878</v>
      </c>
      <c r="H340" s="12"/>
      <c r="I340" s="12"/>
      <c r="J340" s="12">
        <v>1858</v>
      </c>
      <c r="K340" s="12">
        <f t="shared" si="66"/>
        <v>0</v>
      </c>
      <c r="L340" s="12">
        <f t="shared" si="67"/>
        <v>1878</v>
      </c>
      <c r="M340" s="12" t="str">
        <f t="shared" si="68"/>
        <v/>
      </c>
      <c r="N340" s="12">
        <f t="shared" si="69"/>
        <v>1858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14</v>
      </c>
      <c r="C341" s="11" t="s">
        <v>1428</v>
      </c>
      <c r="D341" s="11" t="s">
        <v>57</v>
      </c>
      <c r="E341" s="11" t="s">
        <v>61</v>
      </c>
      <c r="F341" s="11" t="s">
        <v>1429</v>
      </c>
      <c r="G341" s="12">
        <v>1878</v>
      </c>
      <c r="H341" s="12"/>
      <c r="I341" s="12"/>
      <c r="J341" s="12">
        <v>1868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1868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14</v>
      </c>
      <c r="C342" s="11" t="s">
        <v>398</v>
      </c>
      <c r="D342" s="15" t="s">
        <v>45</v>
      </c>
      <c r="E342" s="11" t="s">
        <v>26</v>
      </c>
      <c r="F342" s="11" t="s">
        <v>399</v>
      </c>
      <c r="G342" s="12">
        <v>1878</v>
      </c>
      <c r="H342" s="12"/>
      <c r="I342" s="12"/>
      <c r="J342" s="12">
        <v>1874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1874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1611</v>
      </c>
      <c r="D345" s="15" t="s">
        <v>60</v>
      </c>
      <c r="E345" s="11" t="s">
        <v>61</v>
      </c>
      <c r="F345" s="11" t="s">
        <v>1612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1108</v>
      </c>
      <c r="D346" s="11" t="s">
        <v>57</v>
      </c>
      <c r="E346" s="11" t="s">
        <v>26</v>
      </c>
      <c r="F346" s="11" t="s">
        <v>1109</v>
      </c>
      <c r="G346" s="12">
        <v>1879</v>
      </c>
      <c r="H346" s="12"/>
      <c r="I346" s="12"/>
      <c r="J346" s="12">
        <v>1864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1864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8</v>
      </c>
      <c r="C347" s="11" t="s">
        <v>865</v>
      </c>
      <c r="D347" s="15" t="s">
        <v>45</v>
      </c>
      <c r="E347" s="11" t="s">
        <v>61</v>
      </c>
      <c r="F347" s="11" t="s">
        <v>866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1615</v>
      </c>
      <c r="D348" s="11" t="s">
        <v>57</v>
      </c>
      <c r="E348" s="11" t="s">
        <v>26</v>
      </c>
      <c r="F348" s="11" t="s">
        <v>1616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14</v>
      </c>
      <c r="C349" s="11" t="s">
        <v>1302</v>
      </c>
      <c r="D349" s="11" t="s">
        <v>71</v>
      </c>
      <c r="E349" s="11" t="s">
        <v>26</v>
      </c>
      <c r="F349" s="11" t="s">
        <v>1303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10</v>
      </c>
      <c r="C350" s="11" t="s">
        <v>1073</v>
      </c>
      <c r="D350" s="15" t="s">
        <v>60</v>
      </c>
      <c r="E350" s="11" t="s">
        <v>61</v>
      </c>
      <c r="F350" s="11" t="s">
        <v>1074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1381</v>
      </c>
      <c r="D351" s="15" t="s">
        <v>45</v>
      </c>
      <c r="E351" s="11" t="s">
        <v>61</v>
      </c>
      <c r="F351" s="11" t="s">
        <v>1382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944</v>
      </c>
      <c r="D352" s="15" t="s">
        <v>45</v>
      </c>
      <c r="E352" s="11" t="s">
        <v>61</v>
      </c>
      <c r="F352" s="11" t="s">
        <v>945</v>
      </c>
      <c r="G352" s="12">
        <v>1879</v>
      </c>
      <c r="H352" s="12"/>
      <c r="I352" s="12"/>
      <c r="J352" s="12">
        <v>1879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1879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1654</v>
      </c>
      <c r="D353" s="11" t="s">
        <v>57</v>
      </c>
      <c r="E353" s="11" t="s">
        <v>26</v>
      </c>
      <c r="F353" s="11" t="s">
        <v>1655</v>
      </c>
      <c r="G353" s="12">
        <v>1883</v>
      </c>
      <c r="H353" s="12"/>
      <c r="I353" s="12"/>
      <c r="J353" s="12">
        <v>1874</v>
      </c>
      <c r="K353" s="12">
        <f t="shared" si="66"/>
        <v>0</v>
      </c>
      <c r="L353" s="12">
        <f t="shared" si="67"/>
        <v>1883</v>
      </c>
      <c r="M353" s="12" t="str">
        <f t="shared" si="68"/>
        <v/>
      </c>
      <c r="N353" s="12">
        <f t="shared" si="69"/>
        <v>1874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1434</v>
      </c>
      <c r="D354" s="15" t="s">
        <v>45</v>
      </c>
      <c r="E354" s="11" t="s">
        <v>26</v>
      </c>
      <c r="F354" s="11" t="s">
        <v>1435</v>
      </c>
      <c r="G354" s="12">
        <v>1884</v>
      </c>
      <c r="H354" s="12"/>
      <c r="I354" s="12"/>
      <c r="J354" s="12">
        <v>1873</v>
      </c>
      <c r="K354" s="12">
        <f t="shared" si="66"/>
        <v>0</v>
      </c>
      <c r="L354" s="12">
        <f t="shared" si="67"/>
        <v>1884</v>
      </c>
      <c r="M354" s="12" t="str">
        <f t="shared" si="68"/>
        <v/>
      </c>
      <c r="N354" s="12">
        <f t="shared" si="69"/>
        <v>1873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863</v>
      </c>
      <c r="D355" s="15" t="s">
        <v>80</v>
      </c>
      <c r="E355" s="11" t="s">
        <v>26</v>
      </c>
      <c r="F355" s="11" t="s">
        <v>864</v>
      </c>
      <c r="G355" s="12">
        <v>1885</v>
      </c>
      <c r="H355" s="12"/>
      <c r="I355" s="12"/>
      <c r="J355" s="12">
        <v>1875</v>
      </c>
      <c r="K355" s="12">
        <f t="shared" si="66"/>
        <v>0</v>
      </c>
      <c r="L355" s="12">
        <f t="shared" si="67"/>
        <v>1885</v>
      </c>
      <c r="M355" s="12" t="str">
        <f t="shared" si="68"/>
        <v/>
      </c>
      <c r="N355" s="12">
        <f t="shared" si="69"/>
        <v>1875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1318</v>
      </c>
      <c r="D356" s="15" t="s">
        <v>60</v>
      </c>
      <c r="E356" s="11" t="s">
        <v>26</v>
      </c>
      <c r="F356" s="11" t="s">
        <v>1319</v>
      </c>
      <c r="G356" s="12">
        <v>1887</v>
      </c>
      <c r="H356" s="12"/>
      <c r="I356" s="12"/>
      <c r="J356" s="12">
        <v>1853</v>
      </c>
      <c r="K356" s="12">
        <f t="shared" si="66"/>
        <v>0</v>
      </c>
      <c r="L356" s="12">
        <f t="shared" si="67"/>
        <v>1887</v>
      </c>
      <c r="M356" s="12" t="str">
        <f t="shared" si="68"/>
        <v/>
      </c>
      <c r="N356" s="12">
        <f t="shared" si="69"/>
        <v>1853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606</v>
      </c>
      <c r="D357" s="15" t="s">
        <v>45</v>
      </c>
      <c r="E357" s="11" t="s">
        <v>61</v>
      </c>
      <c r="F357" s="11" t="s">
        <v>607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1681</v>
      </c>
      <c r="D358" s="15" t="s">
        <v>45</v>
      </c>
      <c r="E358" s="11" t="s">
        <v>26</v>
      </c>
      <c r="F358" s="11" t="s">
        <v>1682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10</v>
      </c>
      <c r="C359" s="11" t="s">
        <v>908</v>
      </c>
      <c r="D359" s="11" t="s">
        <v>57</v>
      </c>
      <c r="E359" s="11" t="s">
        <v>26</v>
      </c>
      <c r="F359" s="11" t="s">
        <v>909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10</v>
      </c>
      <c r="C360" s="11" t="s">
        <v>1733</v>
      </c>
      <c r="D360" s="15" t="s">
        <v>45</v>
      </c>
      <c r="E360" s="11" t="s">
        <v>26</v>
      </c>
      <c r="F360" s="11" t="s">
        <v>1734</v>
      </c>
      <c r="G360" s="12">
        <v>1890</v>
      </c>
      <c r="H360" s="12"/>
      <c r="I360" s="12"/>
      <c r="J360" s="12">
        <v>1870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1870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8</v>
      </c>
      <c r="C361" s="11" t="s">
        <v>792</v>
      </c>
      <c r="D361" s="15" t="s">
        <v>45</v>
      </c>
      <c r="E361" s="11" t="s">
        <v>61</v>
      </c>
      <c r="F361" s="11" t="s">
        <v>793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1587</v>
      </c>
      <c r="D362" s="15" t="s">
        <v>45</v>
      </c>
      <c r="E362" s="11" t="s">
        <v>26</v>
      </c>
      <c r="F362" s="11" t="s">
        <v>1588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496</v>
      </c>
      <c r="D363" s="15" t="s">
        <v>80</v>
      </c>
      <c r="E363" s="11" t="s">
        <v>26</v>
      </c>
      <c r="F363" s="11" t="s">
        <v>497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1521</v>
      </c>
      <c r="D364" s="15" t="s">
        <v>45</v>
      </c>
      <c r="E364" s="11" t="s">
        <v>26</v>
      </c>
      <c r="F364" s="11" t="s">
        <v>1522</v>
      </c>
      <c r="G364" s="12">
        <v>1891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1891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838</v>
      </c>
      <c r="D384" s="15" t="s">
        <v>45</v>
      </c>
      <c r="E384" s="11" t="s">
        <v>61</v>
      </c>
      <c r="F384" s="11" t="s">
        <v>840</v>
      </c>
      <c r="G384" s="12">
        <v>1898</v>
      </c>
      <c r="H384" s="12"/>
      <c r="I384" s="12"/>
      <c r="J384" s="12">
        <v>1898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438</v>
      </c>
      <c r="D385" s="15" t="s">
        <v>80</v>
      </c>
      <c r="E385" s="11" t="s">
        <v>26</v>
      </c>
      <c r="F385" s="11" t="s">
        <v>439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505</v>
      </c>
      <c r="D386" s="15" t="s">
        <v>60</v>
      </c>
      <c r="E386" s="11" t="s">
        <v>26</v>
      </c>
      <c r="F386" s="11" t="s">
        <v>506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16" customFormat="1" ht="28.5" customHeight="1">
      <c r="A387" s="11" t="str">
        <f t="shared" si="65"/>
        <v/>
      </c>
      <c r="B387" s="11" t="s">
        <v>10</v>
      </c>
      <c r="C387" s="11" t="s">
        <v>1708</v>
      </c>
      <c r="D387" s="11" t="s">
        <v>57</v>
      </c>
      <c r="E387" s="11" t="s">
        <v>26</v>
      </c>
      <c r="F387" s="11" t="s">
        <v>1709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1531</v>
      </c>
      <c r="D388" s="15" t="s">
        <v>80</v>
      </c>
      <c r="E388" s="11" t="s">
        <v>26</v>
      </c>
      <c r="F388" s="11" t="s">
        <v>1532</v>
      </c>
      <c r="G388" s="12">
        <v>1899</v>
      </c>
      <c r="H388" s="12"/>
      <c r="I388" s="12"/>
      <c r="J388" s="12">
        <v>1849</v>
      </c>
      <c r="K388" s="12">
        <f t="shared" si="66"/>
        <v>0</v>
      </c>
      <c r="L388" s="12">
        <f t="shared" si="67"/>
        <v>1899</v>
      </c>
      <c r="M388" s="12" t="str">
        <f t="shared" si="68"/>
        <v/>
      </c>
      <c r="N388" s="12">
        <f t="shared" si="69"/>
        <v>1849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428</v>
      </c>
      <c r="D389" s="15" t="s">
        <v>45</v>
      </c>
      <c r="E389" s="11" t="s">
        <v>61</v>
      </c>
      <c r="F389" s="11" t="s">
        <v>430</v>
      </c>
      <c r="G389" s="12">
        <v>1899</v>
      </c>
      <c r="H389" s="12"/>
      <c r="I389" s="12"/>
      <c r="J389" s="12">
        <v>1869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1869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64</v>
      </c>
      <c r="D390" s="15" t="s">
        <v>60</v>
      </c>
      <c r="E390" s="11" t="s">
        <v>61</v>
      </c>
      <c r="F390" s="11" t="s">
        <v>65</v>
      </c>
      <c r="G390" s="12">
        <v>1899</v>
      </c>
      <c r="H390" s="12"/>
      <c r="I390" s="12"/>
      <c r="J390" s="12">
        <v>1873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1873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280</v>
      </c>
      <c r="D391" s="15" t="s">
        <v>45</v>
      </c>
      <c r="E391" s="11" t="s">
        <v>26</v>
      </c>
      <c r="F391" s="11" t="s">
        <v>281</v>
      </c>
      <c r="G391" s="12">
        <v>1899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496</v>
      </c>
      <c r="D392" s="11" t="s">
        <v>57</v>
      </c>
      <c r="E392" s="11" t="s">
        <v>26</v>
      </c>
      <c r="F392" s="11" t="s">
        <v>498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1718</v>
      </c>
      <c r="D393" s="11" t="s">
        <v>57</v>
      </c>
      <c r="E393" s="11" t="s">
        <v>61</v>
      </c>
      <c r="F393" s="11" t="s">
        <v>1719</v>
      </c>
      <c r="G393" s="12">
        <v>1899</v>
      </c>
      <c r="H393" s="12"/>
      <c r="I393" s="12"/>
      <c r="J393" s="12">
        <v>1889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1889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12</v>
      </c>
      <c r="C394" s="11" t="s">
        <v>805</v>
      </c>
      <c r="D394" s="15" t="s">
        <v>57</v>
      </c>
      <c r="E394" s="11" t="s">
        <v>61</v>
      </c>
      <c r="F394" s="11" t="s">
        <v>806</v>
      </c>
      <c r="G394" s="12">
        <v>1899</v>
      </c>
      <c r="H394" s="12"/>
      <c r="I394" s="12"/>
      <c r="J394" s="12">
        <v>1889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1889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774</v>
      </c>
      <c r="D395" s="15" t="s">
        <v>45</v>
      </c>
      <c r="E395" s="11" t="s">
        <v>26</v>
      </c>
      <c r="F395" s="11" t="s">
        <v>775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1547</v>
      </c>
      <c r="D396" s="15" t="s">
        <v>45</v>
      </c>
      <c r="E396" s="11" t="s">
        <v>61</v>
      </c>
      <c r="F396" s="11" t="s">
        <v>1548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1613</v>
      </c>
      <c r="D397" s="15" t="s">
        <v>45</v>
      </c>
      <c r="E397" s="11" t="s">
        <v>61</v>
      </c>
      <c r="F397" s="11" t="s">
        <v>1614</v>
      </c>
      <c r="G397" s="12">
        <v>1899</v>
      </c>
      <c r="H397" s="12"/>
      <c r="I397" s="12"/>
      <c r="J397" s="12">
        <v>1898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1898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661</v>
      </c>
      <c r="D398" s="15" t="s">
        <v>80</v>
      </c>
      <c r="E398" s="11" t="s">
        <v>61</v>
      </c>
      <c r="F398" s="11" t="s">
        <v>662</v>
      </c>
      <c r="G398" s="12">
        <v>1899</v>
      </c>
      <c r="H398" s="12"/>
      <c r="I398" s="12"/>
      <c r="J398" s="12">
        <v>1899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IF($T399="","",1+COUNTIF($W$15:$W$883,"&lt;"&amp;W399))</f>
        <v/>
      </c>
      <c r="B399" s="11" t="s">
        <v>14</v>
      </c>
      <c r="C399" s="11" t="s">
        <v>946</v>
      </c>
      <c r="D399" s="11" t="s">
        <v>57</v>
      </c>
      <c r="E399" s="11" t="s">
        <v>61</v>
      </c>
      <c r="F399" s="11" t="s">
        <v>947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988</v>
      </c>
      <c r="D400" s="15" t="s">
        <v>45</v>
      </c>
      <c r="E400" s="11" t="s">
        <v>26</v>
      </c>
      <c r="F400" s="11" t="s">
        <v>989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1057</v>
      </c>
      <c r="D401" s="11" t="s">
        <v>57</v>
      </c>
      <c r="E401" s="11" t="s">
        <v>61</v>
      </c>
      <c r="F401" s="11" t="s">
        <v>1058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1375</v>
      </c>
      <c r="D402" s="11" t="s">
        <v>57</v>
      </c>
      <c r="E402" s="11" t="s">
        <v>61</v>
      </c>
      <c r="F402" s="11" t="s">
        <v>1376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154</v>
      </c>
      <c r="D403" s="15" t="s">
        <v>57</v>
      </c>
      <c r="E403" s="11" t="s">
        <v>26</v>
      </c>
      <c r="F403" s="11" t="s">
        <v>155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432</v>
      </c>
      <c r="D404" s="15" t="s">
        <v>45</v>
      </c>
      <c r="E404" s="11" t="s">
        <v>61</v>
      </c>
      <c r="F404" s="11" t="s">
        <v>433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861</v>
      </c>
      <c r="D405" s="15" t="s">
        <v>80</v>
      </c>
      <c r="E405" s="11" t="s">
        <v>26</v>
      </c>
      <c r="F405" s="11" t="s">
        <v>862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1563</v>
      </c>
      <c r="D406" s="15" t="s">
        <v>57</v>
      </c>
      <c r="E406" s="11" t="s">
        <v>26</v>
      </c>
      <c r="F406" s="11" t="s">
        <v>1564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10</v>
      </c>
      <c r="C407" s="11" t="s">
        <v>922</v>
      </c>
      <c r="D407" s="15" t="s">
        <v>45</v>
      </c>
      <c r="E407" s="11" t="s">
        <v>26</v>
      </c>
      <c r="F407" s="11" t="s">
        <v>923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10</v>
      </c>
      <c r="C408" s="11" t="s">
        <v>1183</v>
      </c>
      <c r="D408" s="11" t="s">
        <v>57</v>
      </c>
      <c r="E408" s="11" t="s">
        <v>61</v>
      </c>
      <c r="F408" s="11" t="s">
        <v>1184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1185</v>
      </c>
      <c r="D409" s="15" t="s">
        <v>80</v>
      </c>
      <c r="E409" s="11" t="s">
        <v>61</v>
      </c>
      <c r="F409" s="11" t="s">
        <v>1186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1055</v>
      </c>
      <c r="D410" s="15" t="s">
        <v>80</v>
      </c>
      <c r="E410" s="11" t="s">
        <v>26</v>
      </c>
      <c r="F410" s="11" t="s">
        <v>1056</v>
      </c>
      <c r="G410" s="12">
        <v>1900</v>
      </c>
      <c r="H410" s="12"/>
      <c r="I410" s="12"/>
      <c r="J410" s="12">
        <v>1900</v>
      </c>
      <c r="K410" s="12">
        <f t="shared" si="79"/>
        <v>0</v>
      </c>
      <c r="L410" s="12">
        <f t="shared" si="80"/>
        <v>1900</v>
      </c>
      <c r="M410" s="12" t="str">
        <f t="shared" si="81"/>
        <v/>
      </c>
      <c r="N410" s="12">
        <f t="shared" si="82"/>
        <v>1900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18</v>
      </c>
      <c r="C411" s="11" t="s">
        <v>1129</v>
      </c>
      <c r="D411" s="11" t="s">
        <v>57</v>
      </c>
      <c r="E411" s="11" t="s">
        <v>61</v>
      </c>
      <c r="F411" s="11" t="s">
        <v>1130</v>
      </c>
      <c r="G411" s="12">
        <v>1949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1949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1106</v>
      </c>
      <c r="D412" s="15" t="s">
        <v>60</v>
      </c>
      <c r="E412" s="11" t="s">
        <v>61</v>
      </c>
      <c r="F412" s="11" t="s">
        <v>1107</v>
      </c>
      <c r="G412" s="12">
        <v>1908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1908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7" customFormat="1" ht="28.5" customHeight="1">
      <c r="A413" s="11" t="str">
        <f t="shared" si="78"/>
        <v/>
      </c>
      <c r="B413" s="11" t="s">
        <v>14</v>
      </c>
      <c r="C413" s="11" t="s">
        <v>796</v>
      </c>
      <c r="D413" s="11" t="s">
        <v>57</v>
      </c>
      <c r="E413" s="11" t="s">
        <v>61</v>
      </c>
      <c r="F413" s="11" t="s">
        <v>797</v>
      </c>
      <c r="G413" s="12">
        <v>1909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1909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10</v>
      </c>
      <c r="C414" s="11" t="s">
        <v>807</v>
      </c>
      <c r="D414" s="15" t="s">
        <v>60</v>
      </c>
      <c r="E414" s="11" t="s">
        <v>61</v>
      </c>
      <c r="F414" s="11" t="s">
        <v>809</v>
      </c>
      <c r="G414" s="12">
        <v>1909</v>
      </c>
      <c r="H414" s="12"/>
      <c r="I414" s="12"/>
      <c r="J414" s="12">
        <v>1909</v>
      </c>
      <c r="K414" s="12">
        <f t="shared" si="79"/>
        <v>0</v>
      </c>
      <c r="L414" s="12">
        <f t="shared" si="80"/>
        <v>1909</v>
      </c>
      <c r="M414" s="12" t="str">
        <f t="shared" si="81"/>
        <v/>
      </c>
      <c r="N414" s="12">
        <f t="shared" si="82"/>
        <v>1909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992</v>
      </c>
      <c r="D415" s="15" t="s">
        <v>45</v>
      </c>
      <c r="E415" s="11" t="s">
        <v>61</v>
      </c>
      <c r="F415" s="11" t="s">
        <v>993</v>
      </c>
      <c r="G415" s="12">
        <v>1910</v>
      </c>
      <c r="H415" s="12"/>
      <c r="I415" s="12"/>
      <c r="J415" s="12">
        <v>1870</v>
      </c>
      <c r="K415" s="12">
        <f t="shared" si="79"/>
        <v>0</v>
      </c>
      <c r="L415" s="12">
        <f t="shared" si="80"/>
        <v>1910</v>
      </c>
      <c r="M415" s="12" t="str">
        <f t="shared" si="81"/>
        <v/>
      </c>
      <c r="N415" s="12">
        <f t="shared" si="82"/>
        <v>1870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12</v>
      </c>
      <c r="C416" s="11" t="s">
        <v>569</v>
      </c>
      <c r="D416" s="15" t="s">
        <v>60</v>
      </c>
      <c r="E416" s="11" t="s">
        <v>61</v>
      </c>
      <c r="F416" s="11" t="s">
        <v>570</v>
      </c>
      <c r="G416" s="12">
        <v>1915</v>
      </c>
      <c r="H416" s="12"/>
      <c r="I416" s="12"/>
      <c r="J416" s="12">
        <v>1897</v>
      </c>
      <c r="K416" s="12">
        <f t="shared" si="79"/>
        <v>0</v>
      </c>
      <c r="L416" s="12">
        <f t="shared" si="80"/>
        <v>1915</v>
      </c>
      <c r="M416" s="12" t="str">
        <f t="shared" si="81"/>
        <v/>
      </c>
      <c r="N416" s="12">
        <f t="shared" si="82"/>
        <v>1897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755</v>
      </c>
      <c r="D417" s="15" t="s">
        <v>45</v>
      </c>
      <c r="E417" s="11" t="s">
        <v>61</v>
      </c>
      <c r="F417" s="11" t="s">
        <v>756</v>
      </c>
      <c r="G417" s="12">
        <v>1918</v>
      </c>
      <c r="H417" s="12"/>
      <c r="I417" s="12"/>
      <c r="J417" s="12">
        <v>1908</v>
      </c>
      <c r="K417" s="12">
        <f t="shared" si="79"/>
        <v>0</v>
      </c>
      <c r="L417" s="12">
        <f t="shared" si="80"/>
        <v>1918</v>
      </c>
      <c r="M417" s="12" t="str">
        <f t="shared" si="81"/>
        <v/>
      </c>
      <c r="N417" s="12">
        <f t="shared" si="82"/>
        <v>1908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10</v>
      </c>
      <c r="C418" s="11" t="s">
        <v>596</v>
      </c>
      <c r="D418" s="15" t="s">
        <v>45</v>
      </c>
      <c r="E418" s="11" t="s">
        <v>61</v>
      </c>
      <c r="F418" s="11" t="s">
        <v>597</v>
      </c>
      <c r="G418" s="12">
        <v>1929</v>
      </c>
      <c r="H418" s="12"/>
      <c r="I418" s="12"/>
      <c r="J418" s="12">
        <v>1929</v>
      </c>
      <c r="K418" s="12">
        <f t="shared" si="79"/>
        <v>0</v>
      </c>
      <c r="L418" s="12">
        <f t="shared" si="80"/>
        <v>1929</v>
      </c>
      <c r="M418" s="12" t="str">
        <f t="shared" si="81"/>
        <v/>
      </c>
      <c r="N418" s="12">
        <f t="shared" si="82"/>
        <v>1929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1225</v>
      </c>
      <c r="D419" s="11" t="s">
        <v>57</v>
      </c>
      <c r="E419" s="11" t="s">
        <v>61</v>
      </c>
      <c r="F419" s="11" t="s">
        <v>1226</v>
      </c>
      <c r="G419" s="12">
        <v>1938</v>
      </c>
      <c r="H419" s="12"/>
      <c r="I419" s="12"/>
      <c r="J419" s="12">
        <v>1938</v>
      </c>
      <c r="K419" s="12">
        <f t="shared" si="79"/>
        <v>0</v>
      </c>
      <c r="L419" s="12">
        <f t="shared" si="80"/>
        <v>1938</v>
      </c>
      <c r="M419" s="12" t="str">
        <f t="shared" si="81"/>
        <v/>
      </c>
      <c r="N419" s="12">
        <f t="shared" si="82"/>
        <v>1938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1603</v>
      </c>
      <c r="D420" s="15" t="s">
        <v>80</v>
      </c>
      <c r="E420" s="11" t="s">
        <v>61</v>
      </c>
      <c r="F420" s="11" t="s">
        <v>1604</v>
      </c>
      <c r="G420" s="12">
        <v>1939</v>
      </c>
      <c r="H420" s="12"/>
      <c r="I420" s="12"/>
      <c r="J420" s="12">
        <v>1869</v>
      </c>
      <c r="K420" s="12">
        <f t="shared" si="79"/>
        <v>0</v>
      </c>
      <c r="L420" s="12">
        <f t="shared" si="80"/>
        <v>1939</v>
      </c>
      <c r="M420" s="12" t="str">
        <f t="shared" si="81"/>
        <v/>
      </c>
      <c r="N420" s="12">
        <f t="shared" si="82"/>
        <v>1869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1029</v>
      </c>
      <c r="D421" s="15" t="s">
        <v>60</v>
      </c>
      <c r="E421" s="11" t="s">
        <v>61</v>
      </c>
      <c r="F421" s="11" t="s">
        <v>1030</v>
      </c>
      <c r="G421" s="12">
        <v>1940</v>
      </c>
      <c r="H421" s="12"/>
      <c r="I421" s="12"/>
      <c r="J421" s="12">
        <v>1930</v>
      </c>
      <c r="K421" s="12">
        <f t="shared" si="79"/>
        <v>0</v>
      </c>
      <c r="L421" s="12">
        <f t="shared" si="80"/>
        <v>1940</v>
      </c>
      <c r="M421" s="12" t="str">
        <f t="shared" si="81"/>
        <v/>
      </c>
      <c r="N421" s="12">
        <f t="shared" si="82"/>
        <v>1930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16</v>
      </c>
      <c r="C422" s="11" t="s">
        <v>1674</v>
      </c>
      <c r="D422" s="15" t="s">
        <v>80</v>
      </c>
      <c r="E422" s="11" t="s">
        <v>26</v>
      </c>
      <c r="F422" s="11" t="s">
        <v>1675</v>
      </c>
      <c r="G422" s="12">
        <v>1989</v>
      </c>
      <c r="H422" s="12"/>
      <c r="I422" s="12"/>
      <c r="J422" s="12">
        <v>1825</v>
      </c>
      <c r="K422" s="12">
        <f t="shared" si="79"/>
        <v>0</v>
      </c>
      <c r="L422" s="12">
        <f t="shared" si="80"/>
        <v>1989</v>
      </c>
      <c r="M422" s="12" t="str">
        <f t="shared" si="81"/>
        <v/>
      </c>
      <c r="N422" s="12">
        <f t="shared" si="82"/>
        <v>1825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1119</v>
      </c>
      <c r="D423" s="15" t="s">
        <v>60</v>
      </c>
      <c r="E423" s="11" t="s">
        <v>61</v>
      </c>
      <c r="F423" s="11" t="s">
        <v>1120</v>
      </c>
      <c r="G423" s="12">
        <v>1945</v>
      </c>
      <c r="H423" s="12"/>
      <c r="I423" s="12"/>
      <c r="J423" s="12">
        <v>1895</v>
      </c>
      <c r="K423" s="12">
        <f t="shared" si="79"/>
        <v>0</v>
      </c>
      <c r="L423" s="12">
        <f t="shared" si="80"/>
        <v>1945</v>
      </c>
      <c r="M423" s="12" t="str">
        <f t="shared" si="81"/>
        <v/>
      </c>
      <c r="N423" s="12">
        <f t="shared" si="82"/>
        <v>1895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6</v>
      </c>
      <c r="C424" s="11" t="s">
        <v>865</v>
      </c>
      <c r="D424" s="11" t="s">
        <v>57</v>
      </c>
      <c r="E424" s="11" t="s">
        <v>26</v>
      </c>
      <c r="F424" s="11" t="s">
        <v>867</v>
      </c>
      <c r="G424" s="12">
        <v>1948</v>
      </c>
      <c r="H424" s="12"/>
      <c r="I424" s="12"/>
      <c r="J424" s="12">
        <v>1939</v>
      </c>
      <c r="K424" s="12">
        <f t="shared" si="79"/>
        <v>0</v>
      </c>
      <c r="L424" s="12">
        <f t="shared" si="80"/>
        <v>1948</v>
      </c>
      <c r="M424" s="12" t="str">
        <f t="shared" si="81"/>
        <v/>
      </c>
      <c r="N424" s="12">
        <f t="shared" si="82"/>
        <v>1939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10</v>
      </c>
      <c r="C425" s="11" t="s">
        <v>270</v>
      </c>
      <c r="D425" s="15" t="s">
        <v>80</v>
      </c>
      <c r="E425" s="11" t="s">
        <v>61</v>
      </c>
      <c r="F425" s="11" t="s">
        <v>271</v>
      </c>
      <c r="G425" s="12">
        <v>1948</v>
      </c>
      <c r="H425" s="12"/>
      <c r="I425" s="12"/>
      <c r="J425" s="12">
        <v>1948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1948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404</v>
      </c>
      <c r="D426" s="15" t="s">
        <v>45</v>
      </c>
      <c r="E426" s="11" t="s">
        <v>61</v>
      </c>
      <c r="F426" s="11" t="s">
        <v>405</v>
      </c>
      <c r="G426" s="12">
        <v>1949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828</v>
      </c>
      <c r="D427" s="15" t="s">
        <v>60</v>
      </c>
      <c r="E427" s="11" t="s">
        <v>61</v>
      </c>
      <c r="F427" s="11" t="s">
        <v>829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776</v>
      </c>
      <c r="D428" s="15" t="s">
        <v>60</v>
      </c>
      <c r="E428" s="11" t="s">
        <v>61</v>
      </c>
      <c r="F428" s="11" t="s">
        <v>777</v>
      </c>
      <c r="G428" s="12">
        <v>1950</v>
      </c>
      <c r="H428" s="12"/>
      <c r="I428" s="12"/>
      <c r="J428" s="12">
        <v>1920</v>
      </c>
      <c r="K428" s="12">
        <f t="shared" si="79"/>
        <v>0</v>
      </c>
      <c r="L428" s="12">
        <f t="shared" si="80"/>
        <v>1950</v>
      </c>
      <c r="M428" s="12" t="str">
        <f t="shared" si="81"/>
        <v/>
      </c>
      <c r="N428" s="12">
        <f t="shared" si="82"/>
        <v>1920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12</v>
      </c>
      <c r="C429" s="11" t="s">
        <v>1489</v>
      </c>
      <c r="D429" s="15" t="s">
        <v>80</v>
      </c>
      <c r="E429" s="11" t="s">
        <v>61</v>
      </c>
      <c r="F429" s="11" t="s">
        <v>1490</v>
      </c>
      <c r="G429" s="12">
        <v>1958</v>
      </c>
      <c r="H429" s="12"/>
      <c r="I429" s="12"/>
      <c r="J429" s="12">
        <v>1948</v>
      </c>
      <c r="K429" s="12">
        <f t="shared" si="79"/>
        <v>0</v>
      </c>
      <c r="L429" s="12">
        <f t="shared" si="80"/>
        <v>1958</v>
      </c>
      <c r="M429" s="12" t="str">
        <f t="shared" si="81"/>
        <v/>
      </c>
      <c r="N429" s="12">
        <f t="shared" si="82"/>
        <v>1948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1705</v>
      </c>
      <c r="D430" s="15" t="s">
        <v>60</v>
      </c>
      <c r="E430" s="11" t="s">
        <v>61</v>
      </c>
      <c r="F430" s="11" t="s">
        <v>1707</v>
      </c>
      <c r="G430" s="12">
        <v>1960</v>
      </c>
      <c r="H430" s="12"/>
      <c r="I430" s="12"/>
      <c r="J430" s="12">
        <v>1950</v>
      </c>
      <c r="K430" s="12">
        <f t="shared" si="79"/>
        <v>0</v>
      </c>
      <c r="L430" s="12">
        <f t="shared" si="80"/>
        <v>1960</v>
      </c>
      <c r="M430" s="12" t="str">
        <f t="shared" si="81"/>
        <v/>
      </c>
      <c r="N430" s="12">
        <f t="shared" si="82"/>
        <v>1950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12</v>
      </c>
      <c r="C431" s="11" t="s">
        <v>948</v>
      </c>
      <c r="D431" s="15" t="s">
        <v>45</v>
      </c>
      <c r="E431" s="11" t="s">
        <v>26</v>
      </c>
      <c r="F431" s="11" t="s">
        <v>949</v>
      </c>
      <c r="G431" s="12">
        <v>1788</v>
      </c>
      <c r="H431" s="12"/>
      <c r="I431" s="12"/>
      <c r="J431" s="12">
        <v>1856</v>
      </c>
      <c r="K431" s="12">
        <f t="shared" si="79"/>
        <v>0</v>
      </c>
      <c r="L431" s="12">
        <f t="shared" si="80"/>
        <v>1788</v>
      </c>
      <c r="M431" s="12" t="str">
        <f t="shared" si="81"/>
        <v/>
      </c>
      <c r="N431" s="12">
        <f t="shared" si="82"/>
        <v>1856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912</v>
      </c>
      <c r="D432" s="11" t="s">
        <v>57</v>
      </c>
      <c r="E432" s="11" t="s">
        <v>26</v>
      </c>
      <c r="F432" s="11" t="s">
        <v>913</v>
      </c>
      <c r="G432" s="12">
        <v>1789</v>
      </c>
      <c r="H432" s="12"/>
      <c r="I432" s="12"/>
      <c r="J432" s="12">
        <v>1798</v>
      </c>
      <c r="K432" s="12">
        <f t="shared" si="79"/>
        <v>0</v>
      </c>
      <c r="L432" s="12">
        <f t="shared" si="80"/>
        <v>1789</v>
      </c>
      <c r="M432" s="12" t="str">
        <f t="shared" si="81"/>
        <v/>
      </c>
      <c r="N432" s="12">
        <f t="shared" si="82"/>
        <v>1798</v>
      </c>
      <c r="O432" s="12" t="str">
        <f t="shared" si="83"/>
        <v/>
      </c>
      <c r="P432" s="12" t="str">
        <f t="shared" si="84"/>
        <v/>
      </c>
      <c r="Q432" s="12"/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1011</v>
      </c>
      <c r="D433" s="15" t="s">
        <v>57</v>
      </c>
      <c r="E433" s="11" t="s">
        <v>26</v>
      </c>
      <c r="F433" s="11" t="s">
        <v>1012</v>
      </c>
      <c r="G433" s="12">
        <v>1789</v>
      </c>
      <c r="H433" s="12"/>
      <c r="I433" s="12"/>
      <c r="J433" s="12">
        <v>1798</v>
      </c>
      <c r="K433" s="12">
        <f t="shared" si="79"/>
        <v>0</v>
      </c>
      <c r="L433" s="12">
        <f t="shared" si="80"/>
        <v>1789</v>
      </c>
      <c r="M433" s="12" t="str">
        <f t="shared" si="81"/>
        <v/>
      </c>
      <c r="N433" s="12">
        <f t="shared" si="82"/>
        <v>1798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1391</v>
      </c>
      <c r="D434" s="15" t="s">
        <v>57</v>
      </c>
      <c r="E434" s="11" t="s">
        <v>26</v>
      </c>
      <c r="F434" s="11" t="s">
        <v>1392</v>
      </c>
      <c r="G434" s="12">
        <v>1789</v>
      </c>
      <c r="H434" s="12"/>
      <c r="I434" s="12"/>
      <c r="J434" s="12">
        <v>1805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1805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1507</v>
      </c>
      <c r="D435" s="15" t="s">
        <v>57</v>
      </c>
      <c r="E435" s="11" t="s">
        <v>26</v>
      </c>
      <c r="F435" s="11" t="s">
        <v>1508</v>
      </c>
      <c r="G435" s="12">
        <v>1789</v>
      </c>
      <c r="H435" s="12"/>
      <c r="I435" s="12"/>
      <c r="J435" s="12">
        <v>1815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1815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75</v>
      </c>
      <c r="D436" s="15" t="s">
        <v>60</v>
      </c>
      <c r="E436" s="11" t="s">
        <v>26</v>
      </c>
      <c r="F436" s="11" t="s">
        <v>76</v>
      </c>
      <c r="G436" s="12">
        <v>1794</v>
      </c>
      <c r="H436" s="12"/>
      <c r="I436" s="12"/>
      <c r="J436" s="12">
        <v>1804</v>
      </c>
      <c r="K436" s="12">
        <f t="shared" si="79"/>
        <v>0</v>
      </c>
      <c r="L436" s="12">
        <f t="shared" si="80"/>
        <v>1794</v>
      </c>
      <c r="M436" s="12" t="str">
        <f t="shared" si="81"/>
        <v/>
      </c>
      <c r="N436" s="12">
        <f t="shared" si="82"/>
        <v>1804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824</v>
      </c>
      <c r="D437" s="15" t="s">
        <v>57</v>
      </c>
      <c r="E437" s="11" t="s">
        <v>61</v>
      </c>
      <c r="F437" s="11" t="s">
        <v>825</v>
      </c>
      <c r="G437" s="12">
        <v>1995</v>
      </c>
      <c r="H437" s="12"/>
      <c r="I437" s="12"/>
      <c r="J437" s="12">
        <v>1995</v>
      </c>
      <c r="K437" s="12">
        <f t="shared" si="79"/>
        <v>0</v>
      </c>
      <c r="L437" s="12">
        <f t="shared" si="80"/>
        <v>1995</v>
      </c>
      <c r="M437" s="12" t="str">
        <f t="shared" si="81"/>
        <v/>
      </c>
      <c r="N437" s="12">
        <f t="shared" si="82"/>
        <v>1995</v>
      </c>
      <c r="O437" s="12" t="str">
        <f t="shared" si="83"/>
        <v/>
      </c>
      <c r="P437" s="12" t="str">
        <f t="shared" si="84"/>
        <v/>
      </c>
      <c r="Q437" s="12" t="s">
        <v>63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1597</v>
      </c>
      <c r="D438" s="15" t="s">
        <v>45</v>
      </c>
      <c r="E438" s="11" t="s">
        <v>26</v>
      </c>
      <c r="F438" s="11" t="s">
        <v>1598</v>
      </c>
      <c r="G438" s="12">
        <v>1797</v>
      </c>
      <c r="H438" s="12"/>
      <c r="I438" s="12"/>
      <c r="J438" s="12">
        <v>1782</v>
      </c>
      <c r="K438" s="12">
        <f t="shared" si="79"/>
        <v>0</v>
      </c>
      <c r="L438" s="12">
        <f t="shared" si="80"/>
        <v>1797</v>
      </c>
      <c r="M438" s="12" t="str">
        <f t="shared" si="81"/>
        <v/>
      </c>
      <c r="N438" s="12">
        <f t="shared" si="82"/>
        <v>1782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667</v>
      </c>
      <c r="D439" s="15" t="s">
        <v>80</v>
      </c>
      <c r="E439" s="11" t="s">
        <v>26</v>
      </c>
      <c r="F439" s="11" t="s">
        <v>668</v>
      </c>
      <c r="G439" s="12">
        <v>1798</v>
      </c>
      <c r="H439" s="12"/>
      <c r="I439" s="12"/>
      <c r="J439" s="12">
        <v>1779</v>
      </c>
      <c r="K439" s="12">
        <f t="shared" si="79"/>
        <v>0</v>
      </c>
      <c r="L439" s="12">
        <f t="shared" si="80"/>
        <v>1798</v>
      </c>
      <c r="M439" s="12" t="str">
        <f t="shared" si="81"/>
        <v/>
      </c>
      <c r="N439" s="12">
        <f t="shared" si="82"/>
        <v>1779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6</v>
      </c>
      <c r="C440" s="11" t="s">
        <v>122</v>
      </c>
      <c r="D440" s="15" t="s">
        <v>60</v>
      </c>
      <c r="E440" s="11" t="s">
        <v>61</v>
      </c>
      <c r="F440" s="11" t="s">
        <v>123</v>
      </c>
      <c r="G440" s="12">
        <v>1998</v>
      </c>
      <c r="H440" s="12"/>
      <c r="I440" s="12"/>
      <c r="J440" s="12">
        <v>1998</v>
      </c>
      <c r="K440" s="12">
        <f t="shared" si="79"/>
        <v>0</v>
      </c>
      <c r="L440" s="12">
        <f t="shared" si="80"/>
        <v>1998</v>
      </c>
      <c r="M440" s="12" t="str">
        <f t="shared" si="81"/>
        <v/>
      </c>
      <c r="N440" s="12">
        <f t="shared" si="82"/>
        <v>1998</v>
      </c>
      <c r="O440" s="12" t="str">
        <f t="shared" si="83"/>
        <v/>
      </c>
      <c r="P440" s="12" t="str">
        <f t="shared" si="84"/>
        <v/>
      </c>
      <c r="Q440" s="12" t="s">
        <v>63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535</v>
      </c>
      <c r="D441" s="15" t="s">
        <v>45</v>
      </c>
      <c r="E441" s="11" t="s">
        <v>26</v>
      </c>
      <c r="F441" s="11" t="s">
        <v>536</v>
      </c>
      <c r="G441" s="12">
        <v>1799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1799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567</v>
      </c>
      <c r="D442" s="15" t="s">
        <v>45</v>
      </c>
      <c r="E442" s="11" t="s">
        <v>26</v>
      </c>
      <c r="F442" s="11" t="s">
        <v>568</v>
      </c>
      <c r="G442" s="12">
        <v>1799</v>
      </c>
      <c r="H442" s="12"/>
      <c r="I442" s="12"/>
      <c r="J442" s="12">
        <v>1789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1756</v>
      </c>
      <c r="D443" s="11" t="s">
        <v>104</v>
      </c>
      <c r="E443" s="11" t="s">
        <v>26</v>
      </c>
      <c r="F443" s="11" t="s">
        <v>1757</v>
      </c>
      <c r="G443" s="12">
        <v>1799</v>
      </c>
      <c r="H443" s="12"/>
      <c r="I443" s="12"/>
      <c r="J443" s="12">
        <v>1824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1824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1595</v>
      </c>
      <c r="D444" s="15" t="s">
        <v>45</v>
      </c>
      <c r="E444" s="11" t="s">
        <v>61</v>
      </c>
      <c r="F444" s="11" t="s">
        <v>1596</v>
      </c>
      <c r="G444" s="12">
        <v>1999</v>
      </c>
      <c r="H444" s="12"/>
      <c r="I444" s="12"/>
      <c r="J444" s="12">
        <v>1989</v>
      </c>
      <c r="K444" s="12">
        <f t="shared" si="79"/>
        <v>0</v>
      </c>
      <c r="L444" s="12">
        <f t="shared" si="80"/>
        <v>1999</v>
      </c>
      <c r="M444" s="12" t="str">
        <f t="shared" si="81"/>
        <v/>
      </c>
      <c r="N444" s="12">
        <f t="shared" si="82"/>
        <v>1989</v>
      </c>
      <c r="O444" s="12" t="str">
        <f t="shared" si="83"/>
        <v/>
      </c>
      <c r="P444" s="12" t="str">
        <f t="shared" si="84"/>
        <v/>
      </c>
      <c r="Q444" s="12" t="s">
        <v>63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665</v>
      </c>
      <c r="D445" s="15" t="s">
        <v>80</v>
      </c>
      <c r="E445" s="11" t="s">
        <v>26</v>
      </c>
      <c r="F445" s="11" t="s">
        <v>666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6</v>
      </c>
      <c r="C446" s="11" t="s">
        <v>1227</v>
      </c>
      <c r="D446" s="15" t="s">
        <v>80</v>
      </c>
      <c r="E446" s="11" t="s">
        <v>26</v>
      </c>
      <c r="F446" s="11" t="s">
        <v>1228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1294</v>
      </c>
      <c r="D447" s="15" t="s">
        <v>80</v>
      </c>
      <c r="E447" s="11" t="s">
        <v>26</v>
      </c>
      <c r="F447" s="11" t="s">
        <v>1295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743</v>
      </c>
      <c r="D448" s="15" t="s">
        <v>57</v>
      </c>
      <c r="E448" s="11" t="s">
        <v>26</v>
      </c>
      <c r="F448" s="11" t="s">
        <v>744</v>
      </c>
      <c r="G448" s="12">
        <v>1805</v>
      </c>
      <c r="H448" s="12"/>
      <c r="I448" s="12"/>
      <c r="J448" s="12">
        <v>1805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1805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130</v>
      </c>
      <c r="D449" s="15" t="s">
        <v>45</v>
      </c>
      <c r="E449" s="11" t="s">
        <v>26</v>
      </c>
      <c r="F449" s="11" t="s">
        <v>131</v>
      </c>
      <c r="G449" s="12">
        <v>1805</v>
      </c>
      <c r="H449" s="12"/>
      <c r="I449" s="12"/>
      <c r="J449" s="12">
        <v>1812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1812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629</v>
      </c>
      <c r="D460" s="11" t="s">
        <v>57</v>
      </c>
      <c r="E460" s="11" t="s">
        <v>26</v>
      </c>
      <c r="F460" s="11" t="s">
        <v>630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1739</v>
      </c>
      <c r="D461" s="15" t="s">
        <v>45</v>
      </c>
      <c r="E461" s="11" t="s">
        <v>26</v>
      </c>
      <c r="F461" s="11" t="s">
        <v>1740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116</v>
      </c>
      <c r="D462" s="15" t="s">
        <v>80</v>
      </c>
      <c r="E462" s="11" t="s">
        <v>26</v>
      </c>
      <c r="F462" s="11" t="s">
        <v>117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7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523</v>
      </c>
      <c r="D463" s="15" t="s">
        <v>80</v>
      </c>
      <c r="E463" s="11" t="s">
        <v>26</v>
      </c>
      <c r="F463" s="11" t="s">
        <v>524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976</v>
      </c>
      <c r="D464" s="15" t="s">
        <v>60</v>
      </c>
      <c r="E464" s="11" t="s">
        <v>26</v>
      </c>
      <c r="F464" s="11" t="s">
        <v>977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1215</v>
      </c>
      <c r="D465" s="15" t="s">
        <v>45</v>
      </c>
      <c r="E465" s="11" t="s">
        <v>26</v>
      </c>
      <c r="F465" s="11" t="s">
        <v>1216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92</v>
      </c>
      <c r="D466" s="15" t="s">
        <v>80</v>
      </c>
      <c r="E466" s="11" t="s">
        <v>26</v>
      </c>
      <c r="F466" s="11" t="s">
        <v>93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162</v>
      </c>
      <c r="D467" s="15" t="s">
        <v>60</v>
      </c>
      <c r="E467" s="11" t="s">
        <v>26</v>
      </c>
      <c r="F467" s="11" t="s">
        <v>163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980</v>
      </c>
      <c r="D468" s="15" t="s">
        <v>45</v>
      </c>
      <c r="E468" s="11" t="s">
        <v>26</v>
      </c>
      <c r="F468" s="11" t="s">
        <v>981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1094</v>
      </c>
      <c r="D469" s="11" t="s">
        <v>48</v>
      </c>
      <c r="E469" s="11" t="s">
        <v>26</v>
      </c>
      <c r="F469" s="11" t="s">
        <v>1095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1513</v>
      </c>
      <c r="D470" s="11" t="s">
        <v>57</v>
      </c>
      <c r="E470" s="11" t="s">
        <v>26</v>
      </c>
      <c r="F470" s="11" t="s">
        <v>1514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1666</v>
      </c>
      <c r="D471" s="15" t="s">
        <v>80</v>
      </c>
      <c r="E471" s="11" t="s">
        <v>26</v>
      </c>
      <c r="F471" s="11" t="s">
        <v>1667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1143</v>
      </c>
      <c r="D472" s="15" t="s">
        <v>60</v>
      </c>
      <c r="E472" s="11" t="s">
        <v>26</v>
      </c>
      <c r="F472" s="11" t="s">
        <v>1144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1241</v>
      </c>
      <c r="D473" s="11" t="s">
        <v>57</v>
      </c>
      <c r="E473" s="11" t="s">
        <v>26</v>
      </c>
      <c r="F473" s="11" t="s">
        <v>1242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88</v>
      </c>
      <c r="D474" s="15" t="s">
        <v>80</v>
      </c>
      <c r="E474" s="11" t="s">
        <v>61</v>
      </c>
      <c r="F474" s="11" t="s">
        <v>89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706</v>
      </c>
      <c r="D475" s="15" t="s">
        <v>45</v>
      </c>
      <c r="E475" s="11" t="s">
        <v>26</v>
      </c>
      <c r="F475" s="11" t="s">
        <v>707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708</v>
      </c>
      <c r="D476" s="15" t="s">
        <v>45</v>
      </c>
      <c r="E476" s="11" t="s">
        <v>26</v>
      </c>
      <c r="F476" s="11" t="s">
        <v>709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1567</v>
      </c>
      <c r="D477" s="15" t="s">
        <v>45</v>
      </c>
      <c r="E477" s="11" t="s">
        <v>26</v>
      </c>
      <c r="F477" s="11" t="s">
        <v>1568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1141</v>
      </c>
      <c r="D478" s="15" t="s">
        <v>45</v>
      </c>
      <c r="E478" s="11" t="s">
        <v>26</v>
      </c>
      <c r="F478" s="11" t="s">
        <v>1142</v>
      </c>
      <c r="G478" s="12">
        <v>1809</v>
      </c>
      <c r="H478" s="12"/>
      <c r="I478" s="12"/>
      <c r="J478" s="12">
        <v>1803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494</v>
      </c>
      <c r="D479" s="15" t="s">
        <v>60</v>
      </c>
      <c r="E479" s="11" t="s">
        <v>26</v>
      </c>
      <c r="F479" s="11" t="s">
        <v>495</v>
      </c>
      <c r="G479" s="12">
        <v>1809</v>
      </c>
      <c r="H479" s="12"/>
      <c r="I479" s="12"/>
      <c r="J479" s="12">
        <v>1809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684</v>
      </c>
      <c r="D480" s="15" t="s">
        <v>57</v>
      </c>
      <c r="E480" s="11" t="s">
        <v>26</v>
      </c>
      <c r="F480" s="11" t="s">
        <v>685</v>
      </c>
      <c r="G480" s="12">
        <v>1809</v>
      </c>
      <c r="H480" s="12"/>
      <c r="I480" s="12"/>
      <c r="J480" s="12">
        <v>1879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1879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557</v>
      </c>
      <c r="D481" s="15" t="s">
        <v>60</v>
      </c>
      <c r="E481" s="11" t="s">
        <v>26</v>
      </c>
      <c r="F481" s="11" t="s">
        <v>558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1405</v>
      </c>
      <c r="D482" s="15" t="s">
        <v>60</v>
      </c>
      <c r="E482" s="11" t="s">
        <v>26</v>
      </c>
      <c r="F482" s="11" t="s">
        <v>1406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346</v>
      </c>
      <c r="D483" s="11" t="s">
        <v>48</v>
      </c>
      <c r="E483" s="11" t="s">
        <v>26</v>
      </c>
      <c r="F483" s="11" t="s">
        <v>347</v>
      </c>
      <c r="G483" s="12">
        <v>1813</v>
      </c>
      <c r="H483" s="12"/>
      <c r="I483" s="12"/>
      <c r="J483" s="12">
        <v>1799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1799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1397</v>
      </c>
      <c r="D484" s="15" t="s">
        <v>60</v>
      </c>
      <c r="E484" s="11" t="s">
        <v>26</v>
      </c>
      <c r="F484" s="11" t="s">
        <v>1398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1573</v>
      </c>
      <c r="D485" s="11" t="s">
        <v>57</v>
      </c>
      <c r="E485" s="11" t="s">
        <v>26</v>
      </c>
      <c r="F485" s="11" t="s">
        <v>1574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272</v>
      </c>
      <c r="D486" s="15" t="s">
        <v>80</v>
      </c>
      <c r="E486" s="11" t="s">
        <v>26</v>
      </c>
      <c r="F486" s="11" t="s">
        <v>273</v>
      </c>
      <c r="G486" s="12">
        <v>1813</v>
      </c>
      <c r="H486" s="12"/>
      <c r="I486" s="12"/>
      <c r="J486" s="12">
        <v>1813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1813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77</v>
      </c>
      <c r="D487" s="15" t="s">
        <v>60</v>
      </c>
      <c r="E487" s="11" t="s">
        <v>26</v>
      </c>
      <c r="F487" s="11" t="s">
        <v>78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499</v>
      </c>
      <c r="D488" s="11" t="s">
        <v>57</v>
      </c>
      <c r="E488" s="11" t="s">
        <v>26</v>
      </c>
      <c r="F488" s="11" t="s">
        <v>500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918</v>
      </c>
      <c r="D489" s="15" t="s">
        <v>45</v>
      </c>
      <c r="E489" s="11" t="s">
        <v>26</v>
      </c>
      <c r="F489" s="11" t="s">
        <v>919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763</v>
      </c>
      <c r="D490" s="15" t="s">
        <v>45</v>
      </c>
      <c r="E490" s="11" t="s">
        <v>26</v>
      </c>
      <c r="F490" s="11" t="s">
        <v>764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994</v>
      </c>
      <c r="D491" s="15" t="s">
        <v>45</v>
      </c>
      <c r="E491" s="11" t="s">
        <v>26</v>
      </c>
      <c r="F491" s="11" t="s">
        <v>995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1177</v>
      </c>
      <c r="D492" s="15" t="s">
        <v>45</v>
      </c>
      <c r="E492" s="11" t="s">
        <v>26</v>
      </c>
      <c r="F492" s="11" t="s">
        <v>1178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1533</v>
      </c>
      <c r="D493" s="15" t="s">
        <v>45</v>
      </c>
      <c r="E493" s="11" t="s">
        <v>26</v>
      </c>
      <c r="F493" s="11" t="s">
        <v>1534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1761</v>
      </c>
      <c r="D494" s="11" t="s">
        <v>48</v>
      </c>
      <c r="E494" s="11" t="s">
        <v>26</v>
      </c>
      <c r="F494" s="11" t="s">
        <v>1762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1278</v>
      </c>
      <c r="D495" s="15" t="s">
        <v>45</v>
      </c>
      <c r="E495" s="11" t="s">
        <v>26</v>
      </c>
      <c r="F495" s="11" t="s">
        <v>1279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926</v>
      </c>
      <c r="D496" s="15" t="s">
        <v>71</v>
      </c>
      <c r="E496" s="11" t="s">
        <v>26</v>
      </c>
      <c r="F496" s="11" t="s">
        <v>927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453</v>
      </c>
      <c r="D497" s="15" t="s">
        <v>45</v>
      </c>
      <c r="E497" s="11" t="s">
        <v>61</v>
      </c>
      <c r="F497" s="11" t="s">
        <v>455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1065</v>
      </c>
      <c r="D498" s="15" t="s">
        <v>57</v>
      </c>
      <c r="E498" s="11" t="s">
        <v>26</v>
      </c>
      <c r="F498" s="11" t="s">
        <v>1066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1272</v>
      </c>
      <c r="D499" s="15" t="s">
        <v>80</v>
      </c>
      <c r="E499" s="11" t="s">
        <v>26</v>
      </c>
      <c r="F499" s="11" t="s">
        <v>1273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10</v>
      </c>
      <c r="C500" s="11" t="s">
        <v>1577</v>
      </c>
      <c r="D500" s="11" t="s">
        <v>57</v>
      </c>
      <c r="E500" s="11" t="s">
        <v>61</v>
      </c>
      <c r="F500" s="11" t="s">
        <v>1578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647</v>
      </c>
      <c r="D501" s="15" t="s">
        <v>80</v>
      </c>
      <c r="E501" s="11" t="s">
        <v>26</v>
      </c>
      <c r="F501" s="11" t="s">
        <v>648</v>
      </c>
      <c r="G501" s="12">
        <v>1815</v>
      </c>
      <c r="H501" s="12"/>
      <c r="I501" s="12"/>
      <c r="J501" s="12">
        <v>1798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1798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6</v>
      </c>
      <c r="C502" s="11" t="s">
        <v>106</v>
      </c>
      <c r="D502" s="11" t="s">
        <v>57</v>
      </c>
      <c r="E502" s="11" t="s">
        <v>26</v>
      </c>
      <c r="F502" s="11" t="s">
        <v>107</v>
      </c>
      <c r="G502" s="12">
        <v>1815</v>
      </c>
      <c r="H502" s="12"/>
      <c r="I502" s="12"/>
      <c r="J502" s="12">
        <v>1802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1145</v>
      </c>
      <c r="D503" s="15" t="s">
        <v>45</v>
      </c>
      <c r="E503" s="11" t="s">
        <v>26</v>
      </c>
      <c r="F503" s="11" t="s">
        <v>1146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1071</v>
      </c>
      <c r="D504" s="15" t="s">
        <v>45</v>
      </c>
      <c r="E504" s="11" t="s">
        <v>26</v>
      </c>
      <c r="F504" s="11" t="s">
        <v>1072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1401</v>
      </c>
      <c r="D505" s="15" t="s">
        <v>45</v>
      </c>
      <c r="E505" s="11" t="s">
        <v>26</v>
      </c>
      <c r="F505" s="11" t="s">
        <v>1402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1648</v>
      </c>
      <c r="D506" s="11" t="s">
        <v>57</v>
      </c>
      <c r="E506" s="11" t="s">
        <v>26</v>
      </c>
      <c r="F506" s="11" t="s">
        <v>1649</v>
      </c>
      <c r="G506" s="12">
        <v>1815</v>
      </c>
      <c r="H506" s="12"/>
      <c r="I506" s="12"/>
      <c r="J506" s="12">
        <v>1809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1809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16" customFormat="1" ht="28.5" customHeight="1">
      <c r="A507" s="11" t="str">
        <f t="shared" si="91"/>
        <v/>
      </c>
      <c r="B507" s="11" t="s">
        <v>6</v>
      </c>
      <c r="C507" s="11" t="s">
        <v>1632</v>
      </c>
      <c r="D507" s="15" t="s">
        <v>45</v>
      </c>
      <c r="E507" s="11" t="s">
        <v>26</v>
      </c>
      <c r="F507" s="11" t="s">
        <v>1633</v>
      </c>
      <c r="G507" s="12">
        <v>1815</v>
      </c>
      <c r="H507" s="12"/>
      <c r="I507" s="12"/>
      <c r="J507" s="12">
        <v>1825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1825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12</v>
      </c>
      <c r="C508" s="11" t="s">
        <v>180</v>
      </c>
      <c r="D508" s="15" t="s">
        <v>80</v>
      </c>
      <c r="E508" s="11" t="s">
        <v>26</v>
      </c>
      <c r="F508" s="11" t="s">
        <v>181</v>
      </c>
      <c r="G508" s="12">
        <v>1816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1816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294</v>
      </c>
      <c r="D509" s="11" t="s">
        <v>57</v>
      </c>
      <c r="E509" s="11" t="s">
        <v>61</v>
      </c>
      <c r="F509" s="11" t="s">
        <v>295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14</v>
      </c>
      <c r="C510" s="11" t="s">
        <v>1121</v>
      </c>
      <c r="D510" s="15" t="s">
        <v>60</v>
      </c>
      <c r="E510" s="11" t="s">
        <v>26</v>
      </c>
      <c r="F510" s="11" t="s">
        <v>1122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1127</v>
      </c>
      <c r="D511" s="15" t="s">
        <v>80</v>
      </c>
      <c r="E511" s="11" t="s">
        <v>26</v>
      </c>
      <c r="F511" s="11" t="s">
        <v>1128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14</v>
      </c>
      <c r="C512" s="11" t="s">
        <v>1276</v>
      </c>
      <c r="D512" s="15" t="s">
        <v>60</v>
      </c>
      <c r="E512" s="11" t="s">
        <v>26</v>
      </c>
      <c r="F512" s="11" t="s">
        <v>1277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236</v>
      </c>
      <c r="D513" s="15" t="s">
        <v>80</v>
      </c>
      <c r="E513" s="11" t="s">
        <v>26</v>
      </c>
      <c r="F513" s="11" t="s">
        <v>237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340</v>
      </c>
      <c r="D514" s="15" t="s">
        <v>80</v>
      </c>
      <c r="E514" s="11" t="s">
        <v>26</v>
      </c>
      <c r="F514" s="11" t="s">
        <v>341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10</v>
      </c>
      <c r="C515" s="11" t="s">
        <v>336</v>
      </c>
      <c r="D515" s="15" t="s">
        <v>45</v>
      </c>
      <c r="E515" s="11" t="s">
        <v>26</v>
      </c>
      <c r="F515" s="11" t="s">
        <v>337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1286</v>
      </c>
      <c r="D516" s="11" t="s">
        <v>57</v>
      </c>
      <c r="E516" s="11" t="s">
        <v>26</v>
      </c>
      <c r="F516" s="11" t="s">
        <v>1287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1569</v>
      </c>
      <c r="D517" s="11" t="s">
        <v>57</v>
      </c>
      <c r="E517" s="11" t="s">
        <v>26</v>
      </c>
      <c r="F517" s="11" t="s">
        <v>1570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1250</v>
      </c>
      <c r="D518" s="11" t="s">
        <v>57</v>
      </c>
      <c r="E518" s="11" t="s">
        <v>26</v>
      </c>
      <c r="F518" s="11" t="s">
        <v>1251</v>
      </c>
      <c r="G518" s="12">
        <v>1819</v>
      </c>
      <c r="H518" s="12"/>
      <c r="I518" s="12"/>
      <c r="J518" s="12">
        <v>1791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1791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18</v>
      </c>
      <c r="C519" s="11" t="s">
        <v>306</v>
      </c>
      <c r="D519" s="15" t="s">
        <v>45</v>
      </c>
      <c r="E519" s="11" t="s">
        <v>26</v>
      </c>
      <c r="F519" s="11" t="s">
        <v>307</v>
      </c>
      <c r="G519" s="12">
        <v>1819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134</v>
      </c>
      <c r="D520" s="15" t="s">
        <v>80</v>
      </c>
      <c r="E520" s="11" t="s">
        <v>26</v>
      </c>
      <c r="F520" s="11" t="s">
        <v>135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836</v>
      </c>
      <c r="D521" s="11" t="s">
        <v>57</v>
      </c>
      <c r="E521" s="11" t="s">
        <v>26</v>
      </c>
      <c r="F521" s="11" t="s">
        <v>837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490</v>
      </c>
      <c r="D522" s="15" t="s">
        <v>45</v>
      </c>
      <c r="E522" s="11" t="s">
        <v>26</v>
      </c>
      <c r="F522" s="11" t="s">
        <v>491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1314</v>
      </c>
      <c r="D523" s="15" t="s">
        <v>45</v>
      </c>
      <c r="E523" s="11" t="s">
        <v>26</v>
      </c>
      <c r="F523" s="11" t="s">
        <v>1315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146</v>
      </c>
      <c r="D524" s="15" t="s">
        <v>60</v>
      </c>
      <c r="E524" s="11" t="s">
        <v>26</v>
      </c>
      <c r="F524" s="11" t="s">
        <v>147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461</v>
      </c>
      <c r="D525" s="11" t="s">
        <v>48</v>
      </c>
      <c r="E525" s="11" t="s">
        <v>26</v>
      </c>
      <c r="F525" s="11" t="s">
        <v>463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1179</v>
      </c>
      <c r="D526" s="15" t="s">
        <v>45</v>
      </c>
      <c r="E526" s="11" t="s">
        <v>26</v>
      </c>
      <c r="F526" s="11" t="s">
        <v>1180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10</v>
      </c>
      <c r="C527" s="11" t="s">
        <v>408</v>
      </c>
      <c r="D527" s="11" t="s">
        <v>48</v>
      </c>
      <c r="E527" s="11" t="s">
        <v>26</v>
      </c>
      <c r="F527" s="11" t="s">
        <v>410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7" customFormat="1" ht="28.5" customHeight="1">
      <c r="A528" s="11" t="str">
        <f t="shared" si="104"/>
        <v/>
      </c>
      <c r="B528" s="11" t="s">
        <v>10</v>
      </c>
      <c r="C528" s="11" t="s">
        <v>472</v>
      </c>
      <c r="D528" s="15" t="s">
        <v>45</v>
      </c>
      <c r="E528" s="11" t="s">
        <v>26</v>
      </c>
      <c r="F528" s="11" t="s">
        <v>473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794</v>
      </c>
      <c r="D529" s="15" t="s">
        <v>45</v>
      </c>
      <c r="E529" s="11" t="s">
        <v>26</v>
      </c>
      <c r="F529" s="11" t="s">
        <v>795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1407</v>
      </c>
      <c r="D530" s="15" t="s">
        <v>60</v>
      </c>
      <c r="E530" s="11" t="s">
        <v>26</v>
      </c>
      <c r="F530" s="11" t="s">
        <v>1408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10</v>
      </c>
      <c r="C531" s="11" t="s">
        <v>1537</v>
      </c>
      <c r="D531" s="11" t="s">
        <v>71</v>
      </c>
      <c r="E531" s="11" t="s">
        <v>26</v>
      </c>
      <c r="F531" s="11" t="s">
        <v>1538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1617</v>
      </c>
      <c r="D532" s="11" t="s">
        <v>48</v>
      </c>
      <c r="E532" s="11" t="s">
        <v>26</v>
      </c>
      <c r="F532" s="11" t="s">
        <v>1618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1727</v>
      </c>
      <c r="D533" s="15" t="s">
        <v>80</v>
      </c>
      <c r="E533" s="11" t="s">
        <v>26</v>
      </c>
      <c r="F533" s="11" t="s">
        <v>1728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70</v>
      </c>
      <c r="D534" s="11" t="s">
        <v>71</v>
      </c>
      <c r="E534" s="11" t="s">
        <v>26</v>
      </c>
      <c r="F534" s="11" t="s">
        <v>72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890</v>
      </c>
      <c r="D535" s="15" t="s">
        <v>80</v>
      </c>
      <c r="E535" s="11" t="s">
        <v>26</v>
      </c>
      <c r="F535" s="11" t="s">
        <v>891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8</v>
      </c>
      <c r="C536" s="11" t="s">
        <v>952</v>
      </c>
      <c r="D536" s="11" t="s">
        <v>57</v>
      </c>
      <c r="E536" s="11" t="s">
        <v>26</v>
      </c>
      <c r="F536" s="11" t="s">
        <v>953</v>
      </c>
      <c r="G536" s="12">
        <v>1819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386</v>
      </c>
      <c r="D537" s="15" t="s">
        <v>60</v>
      </c>
      <c r="E537" s="11" t="s">
        <v>26</v>
      </c>
      <c r="F537" s="11" t="s">
        <v>387</v>
      </c>
      <c r="G537" s="12">
        <v>1819</v>
      </c>
      <c r="H537" s="12"/>
      <c r="I537" s="12"/>
      <c r="J537" s="12">
        <v>1818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1818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250</v>
      </c>
      <c r="D538" s="15" t="s">
        <v>80</v>
      </c>
      <c r="E538" s="11" t="s">
        <v>26</v>
      </c>
      <c r="F538" s="11" t="s">
        <v>251</v>
      </c>
      <c r="G538" s="12">
        <v>1819</v>
      </c>
      <c r="H538" s="12"/>
      <c r="I538" s="12"/>
      <c r="J538" s="12">
        <v>1823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1823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16" customFormat="1" ht="28.5" customHeight="1">
      <c r="A539" s="11" t="str">
        <f t="shared" si="104"/>
        <v/>
      </c>
      <c r="B539" s="11" t="s">
        <v>10</v>
      </c>
      <c r="C539" s="11" t="s">
        <v>753</v>
      </c>
      <c r="D539" s="15" t="s">
        <v>45</v>
      </c>
      <c r="E539" s="11" t="s">
        <v>26</v>
      </c>
      <c r="F539" s="11" t="s">
        <v>754</v>
      </c>
      <c r="G539" s="12">
        <v>1819</v>
      </c>
      <c r="H539" s="12"/>
      <c r="I539" s="12"/>
      <c r="J539" s="12">
        <v>1839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1839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112</v>
      </c>
      <c r="D540" s="11" t="s">
        <v>57</v>
      </c>
      <c r="E540" s="11" t="s">
        <v>26</v>
      </c>
      <c r="F540" s="11" t="s">
        <v>113</v>
      </c>
      <c r="G540" s="12">
        <v>1822</v>
      </c>
      <c r="H540" s="12"/>
      <c r="I540" s="12"/>
      <c r="J540" s="12">
        <v>1802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1802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18</v>
      </c>
      <c r="C541" s="11" t="s">
        <v>396</v>
      </c>
      <c r="D541" s="15" t="s">
        <v>60</v>
      </c>
      <c r="E541" s="11" t="s">
        <v>26</v>
      </c>
      <c r="F541" s="11" t="s">
        <v>397</v>
      </c>
      <c r="G541" s="12">
        <v>1822</v>
      </c>
      <c r="H541" s="12"/>
      <c r="I541" s="12"/>
      <c r="J541" s="12">
        <v>1802</v>
      </c>
      <c r="K541" s="12">
        <f t="shared" si="105"/>
        <v>0</v>
      </c>
      <c r="L541" s="12">
        <f t="shared" si="106"/>
        <v>1822</v>
      </c>
      <c r="M541" s="12" t="str">
        <f t="shared" si="107"/>
        <v/>
      </c>
      <c r="N541" s="12">
        <f t="shared" si="108"/>
        <v>1802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16" customFormat="1" ht="28.5" customHeight="1">
      <c r="A542" s="11" t="str">
        <f t="shared" si="104"/>
        <v/>
      </c>
      <c r="B542" s="11" t="s">
        <v>10</v>
      </c>
      <c r="C542" s="11" t="s">
        <v>882</v>
      </c>
      <c r="D542" s="11" t="s">
        <v>57</v>
      </c>
      <c r="E542" s="11" t="s">
        <v>26</v>
      </c>
      <c r="F542" s="11" t="s">
        <v>883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1123</v>
      </c>
      <c r="D543" s="15" t="s">
        <v>45</v>
      </c>
      <c r="E543" s="11" t="s">
        <v>26</v>
      </c>
      <c r="F543" s="11" t="s">
        <v>1124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394</v>
      </c>
      <c r="D544" s="11" t="s">
        <v>71</v>
      </c>
      <c r="E544" s="11" t="s">
        <v>26</v>
      </c>
      <c r="F544" s="11" t="s">
        <v>395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1063</v>
      </c>
      <c r="D545" s="11" t="s">
        <v>57</v>
      </c>
      <c r="E545" s="11" t="s">
        <v>26</v>
      </c>
      <c r="F545" s="11" t="s">
        <v>1064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8</v>
      </c>
      <c r="C546" s="11" t="s">
        <v>1678</v>
      </c>
      <c r="D546" s="11" t="s">
        <v>80</v>
      </c>
      <c r="E546" s="11" t="s">
        <v>26</v>
      </c>
      <c r="F546" s="11" t="s">
        <v>1765</v>
      </c>
      <c r="G546" s="12">
        <v>1824</v>
      </c>
      <c r="H546" s="12"/>
      <c r="I546" s="12"/>
      <c r="J546" s="12">
        <v>1813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1102</v>
      </c>
      <c r="D547" s="11" t="s">
        <v>57</v>
      </c>
      <c r="E547" s="11" t="s">
        <v>26</v>
      </c>
      <c r="F547" s="11" t="s">
        <v>1103</v>
      </c>
      <c r="G547" s="12">
        <v>1824</v>
      </c>
      <c r="H547" s="12"/>
      <c r="I547" s="12"/>
      <c r="J547" s="12">
        <v>1814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1814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288</v>
      </c>
      <c r="D548" s="11" t="s">
        <v>57</v>
      </c>
      <c r="E548" s="11" t="s">
        <v>26</v>
      </c>
      <c r="F548" s="11" t="s">
        <v>289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1555</v>
      </c>
      <c r="D549" s="15" t="s">
        <v>80</v>
      </c>
      <c r="E549" s="11" t="s">
        <v>26</v>
      </c>
      <c r="F549" s="11" t="s">
        <v>1556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314</v>
      </c>
      <c r="D550" s="15" t="s">
        <v>45</v>
      </c>
      <c r="E550" s="11" t="s">
        <v>26</v>
      </c>
      <c r="F550" s="11" t="s">
        <v>315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316</v>
      </c>
      <c r="D551" s="15" t="s">
        <v>45</v>
      </c>
      <c r="E551" s="11" t="s">
        <v>26</v>
      </c>
      <c r="F551" s="11" t="s">
        <v>317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1523</v>
      </c>
      <c r="D552" s="11" t="s">
        <v>57</v>
      </c>
      <c r="E552" s="11" t="s">
        <v>26</v>
      </c>
      <c r="F552" s="11" t="s">
        <v>1524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79</v>
      </c>
      <c r="D553" s="15" t="s">
        <v>80</v>
      </c>
      <c r="E553" s="11" t="s">
        <v>26</v>
      </c>
      <c r="F553" s="11" t="s">
        <v>81</v>
      </c>
      <c r="G553" s="12">
        <v>1825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44</v>
      </c>
      <c r="D554" s="15" t="s">
        <v>45</v>
      </c>
      <c r="E554" s="11" t="s">
        <v>26</v>
      </c>
      <c r="F554" s="11" t="s">
        <v>46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682</v>
      </c>
      <c r="D555" s="11" t="s">
        <v>48</v>
      </c>
      <c r="E555" s="11" t="s">
        <v>26</v>
      </c>
      <c r="F555" s="11" t="s">
        <v>683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400</v>
      </c>
      <c r="D556" s="11" t="s">
        <v>48</v>
      </c>
      <c r="E556" s="11" t="s">
        <v>26</v>
      </c>
      <c r="F556" s="11" t="s">
        <v>401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10</v>
      </c>
      <c r="C557" s="11" t="s">
        <v>772</v>
      </c>
      <c r="D557" s="15" t="s">
        <v>60</v>
      </c>
      <c r="E557" s="11" t="s">
        <v>26</v>
      </c>
      <c r="F557" s="11" t="s">
        <v>773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1219</v>
      </c>
      <c r="D558" s="11" t="s">
        <v>48</v>
      </c>
      <c r="E558" s="11" t="s">
        <v>26</v>
      </c>
      <c r="F558" s="11" t="s">
        <v>1220</v>
      </c>
      <c r="G558" s="12">
        <v>1825</v>
      </c>
      <c r="H558" s="12"/>
      <c r="I558" s="12"/>
      <c r="J558" s="12">
        <v>1799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1799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1352</v>
      </c>
      <c r="D559" s="11" t="s">
        <v>57</v>
      </c>
      <c r="E559" s="11" t="s">
        <v>26</v>
      </c>
      <c r="F559" s="11" t="s">
        <v>1353</v>
      </c>
      <c r="G559" s="12">
        <v>1825</v>
      </c>
      <c r="H559" s="12"/>
      <c r="I559" s="12"/>
      <c r="J559" s="12">
        <v>1805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1432</v>
      </c>
      <c r="D560" s="15" t="s">
        <v>45</v>
      </c>
      <c r="E560" s="11" t="s">
        <v>26</v>
      </c>
      <c r="F560" s="11" t="s">
        <v>1433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7" customFormat="1" ht="28.5" customHeight="1">
      <c r="A561" s="11" t="str">
        <f t="shared" si="104"/>
        <v/>
      </c>
      <c r="B561" s="11" t="s">
        <v>10</v>
      </c>
      <c r="C561" s="11" t="s">
        <v>322</v>
      </c>
      <c r="D561" s="11" t="s">
        <v>48</v>
      </c>
      <c r="E561" s="11" t="s">
        <v>26</v>
      </c>
      <c r="F561" s="11" t="s">
        <v>323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1758</v>
      </c>
      <c r="D562" s="11" t="s">
        <v>57</v>
      </c>
      <c r="E562" s="11" t="s">
        <v>26</v>
      </c>
      <c r="F562" s="11" t="s">
        <v>448</v>
      </c>
      <c r="G562" s="12">
        <v>1825</v>
      </c>
      <c r="H562" s="12"/>
      <c r="I562" s="12"/>
      <c r="J562" s="12">
        <v>1808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1808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1656</v>
      </c>
      <c r="D563" s="15" t="s">
        <v>45</v>
      </c>
      <c r="E563" s="11" t="s">
        <v>26</v>
      </c>
      <c r="F563" s="11" t="s">
        <v>1657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690</v>
      </c>
      <c r="D564" s="11" t="s">
        <v>104</v>
      </c>
      <c r="E564" s="11" t="s">
        <v>26</v>
      </c>
      <c r="F564" s="11" t="s">
        <v>691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727</v>
      </c>
      <c r="D565" s="15" t="s">
        <v>45</v>
      </c>
      <c r="E565" s="11" t="s">
        <v>26</v>
      </c>
      <c r="F565" s="11" t="s">
        <v>729</v>
      </c>
      <c r="G565" s="12">
        <v>1825</v>
      </c>
      <c r="H565" s="12"/>
      <c r="I565" s="12"/>
      <c r="J565" s="12">
        <v>1810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1810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1366</v>
      </c>
      <c r="D566" s="11" t="s">
        <v>57</v>
      </c>
      <c r="E566" s="11" t="s">
        <v>26</v>
      </c>
      <c r="F566" s="11" t="s">
        <v>1367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1075</v>
      </c>
      <c r="D567" s="15" t="s">
        <v>80</v>
      </c>
      <c r="E567" s="11" t="s">
        <v>26</v>
      </c>
      <c r="F567" s="11" t="s">
        <v>1076</v>
      </c>
      <c r="G567" s="12">
        <v>1825</v>
      </c>
      <c r="H567" s="12"/>
      <c r="I567" s="12"/>
      <c r="J567" s="12">
        <v>1812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1812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1079</v>
      </c>
      <c r="D568" s="11" t="s">
        <v>48</v>
      </c>
      <c r="E568" s="11" t="s">
        <v>26</v>
      </c>
      <c r="F568" s="11" t="s">
        <v>1080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569</v>
      </c>
      <c r="D569" s="15" t="s">
        <v>45</v>
      </c>
      <c r="E569" s="11" t="s">
        <v>26</v>
      </c>
      <c r="F569" s="11" t="s">
        <v>572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578</v>
      </c>
      <c r="D570" s="15" t="s">
        <v>80</v>
      </c>
      <c r="E570" s="11" t="s">
        <v>26</v>
      </c>
      <c r="F570" s="11" t="s">
        <v>579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1235</v>
      </c>
      <c r="D571" s="11" t="s">
        <v>57</v>
      </c>
      <c r="E571" s="11" t="s">
        <v>26</v>
      </c>
      <c r="F571" s="11" t="s">
        <v>1236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14</v>
      </c>
      <c r="C572" s="11" t="s">
        <v>1113</v>
      </c>
      <c r="D572" s="15" t="s">
        <v>45</v>
      </c>
      <c r="E572" s="11" t="s">
        <v>26</v>
      </c>
      <c r="F572" s="11" t="s">
        <v>1114</v>
      </c>
      <c r="G572" s="12">
        <v>1825</v>
      </c>
      <c r="H572" s="12"/>
      <c r="I572" s="12"/>
      <c r="J572" s="12">
        <v>1815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158</v>
      </c>
      <c r="D573" s="15" t="s">
        <v>57</v>
      </c>
      <c r="E573" s="11" t="s">
        <v>26</v>
      </c>
      <c r="F573" s="11" t="s">
        <v>159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1731</v>
      </c>
      <c r="D574" s="15" t="s">
        <v>45</v>
      </c>
      <c r="E574" s="11" t="s">
        <v>26</v>
      </c>
      <c r="F574" s="11" t="s">
        <v>1732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110</v>
      </c>
      <c r="D575" s="11" t="s">
        <v>57</v>
      </c>
      <c r="E575" s="11" t="s">
        <v>26</v>
      </c>
      <c r="F575" s="11" t="s">
        <v>111</v>
      </c>
      <c r="G575" s="12">
        <v>1825</v>
      </c>
      <c r="H575" s="12"/>
      <c r="I575" s="12"/>
      <c r="J575" s="12">
        <v>1819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1819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352</v>
      </c>
      <c r="D576" s="15" t="s">
        <v>45</v>
      </c>
      <c r="E576" s="11" t="s">
        <v>26</v>
      </c>
      <c r="F576" s="11" t="s">
        <v>353</v>
      </c>
      <c r="G576" s="12">
        <v>1825</v>
      </c>
      <c r="H576" s="12"/>
      <c r="I576" s="12"/>
      <c r="J576" s="12">
        <v>1909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1909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12</v>
      </c>
      <c r="C577" s="11" t="s">
        <v>1332</v>
      </c>
      <c r="D577" s="15" t="s">
        <v>60</v>
      </c>
      <c r="E577" s="11" t="s">
        <v>26</v>
      </c>
      <c r="F577" s="11" t="s">
        <v>1333</v>
      </c>
      <c r="G577" s="12">
        <v>1827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1621</v>
      </c>
      <c r="D578" s="11" t="s">
        <v>57</v>
      </c>
      <c r="E578" s="11" t="s">
        <v>26</v>
      </c>
      <c r="F578" s="11" t="s">
        <v>1623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8</v>
      </c>
      <c r="C579" s="11" t="s">
        <v>1482</v>
      </c>
      <c r="D579" s="15" t="s">
        <v>45</v>
      </c>
      <c r="E579" s="11" t="s">
        <v>26</v>
      </c>
      <c r="F579" s="11" t="s">
        <v>1483</v>
      </c>
      <c r="G579" s="12">
        <v>1828</v>
      </c>
      <c r="H579" s="12"/>
      <c r="I579" s="12"/>
      <c r="J579" s="12">
        <v>1805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1805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1320</v>
      </c>
      <c r="D580" s="11" t="s">
        <v>95</v>
      </c>
      <c r="E580" s="11" t="s">
        <v>61</v>
      </c>
      <c r="F580" s="11" t="s">
        <v>1321</v>
      </c>
      <c r="G580" s="12">
        <v>1828</v>
      </c>
      <c r="H580" s="12"/>
      <c r="I580" s="12"/>
      <c r="J580" s="12">
        <v>1812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1812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470</v>
      </c>
      <c r="D581" s="15" t="s">
        <v>60</v>
      </c>
      <c r="E581" s="11" t="s">
        <v>26</v>
      </c>
      <c r="F581" s="11" t="s">
        <v>471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6</v>
      </c>
      <c r="C582" s="11" t="s">
        <v>549</v>
      </c>
      <c r="D582" s="15" t="s">
        <v>45</v>
      </c>
      <c r="E582" s="11" t="s">
        <v>26</v>
      </c>
      <c r="F582" s="11" t="s">
        <v>550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1759</v>
      </c>
      <c r="D583" s="11" t="s">
        <v>45</v>
      </c>
      <c r="E583" s="11" t="s">
        <v>26</v>
      </c>
      <c r="F583" s="11" t="s">
        <v>1760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1535</v>
      </c>
      <c r="D584" s="15" t="s">
        <v>45</v>
      </c>
      <c r="E584" s="11" t="s">
        <v>26</v>
      </c>
      <c r="F584" s="11" t="s">
        <v>1536</v>
      </c>
      <c r="G584" s="12">
        <v>1828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1571</v>
      </c>
      <c r="D585" s="11" t="s">
        <v>57</v>
      </c>
      <c r="E585" s="11" t="s">
        <v>26</v>
      </c>
      <c r="F585" s="11" t="s">
        <v>1572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1266</v>
      </c>
      <c r="D586" s="15" t="s">
        <v>60</v>
      </c>
      <c r="E586" s="11" t="s">
        <v>26</v>
      </c>
      <c r="F586" s="11" t="s">
        <v>1267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737</v>
      </c>
      <c r="D587" s="15" t="s">
        <v>60</v>
      </c>
      <c r="E587" s="11" t="s">
        <v>26</v>
      </c>
      <c r="F587" s="11" t="s">
        <v>738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1025</v>
      </c>
      <c r="D588" s="11" t="s">
        <v>57</v>
      </c>
      <c r="E588" s="11" t="s">
        <v>26</v>
      </c>
      <c r="F588" s="11" t="s">
        <v>1026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1678</v>
      </c>
      <c r="D589" s="15" t="s">
        <v>45</v>
      </c>
      <c r="E589" s="11" t="s">
        <v>61</v>
      </c>
      <c r="F589" s="11" t="s">
        <v>1680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834</v>
      </c>
      <c r="D590" s="15" t="s">
        <v>60</v>
      </c>
      <c r="E590" s="11" t="s">
        <v>26</v>
      </c>
      <c r="F590" s="11" t="s">
        <v>835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1247</v>
      </c>
      <c r="D591" s="15" t="s">
        <v>60</v>
      </c>
      <c r="E591" s="11" t="s">
        <v>26</v>
      </c>
      <c r="F591" s="11" t="s">
        <v>1249</v>
      </c>
      <c r="G591" s="12">
        <v>1829</v>
      </c>
      <c r="H591" s="12"/>
      <c r="I591" s="12"/>
      <c r="J591" s="12">
        <v>1789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1789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1061</v>
      </c>
      <c r="D592" s="15" t="s">
        <v>80</v>
      </c>
      <c r="E592" s="11" t="s">
        <v>26</v>
      </c>
      <c r="F592" s="11" t="s">
        <v>1062</v>
      </c>
      <c r="G592" s="12">
        <v>1829</v>
      </c>
      <c r="H592" s="12"/>
      <c r="I592" s="12"/>
      <c r="J592" s="12">
        <v>1798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14</v>
      </c>
      <c r="C593" s="11" t="s">
        <v>1393</v>
      </c>
      <c r="D593" s="11" t="s">
        <v>57</v>
      </c>
      <c r="E593" s="11" t="s">
        <v>61</v>
      </c>
      <c r="F593" s="11" t="s">
        <v>1394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10</v>
      </c>
      <c r="C594" s="11" t="s">
        <v>507</v>
      </c>
      <c r="D594" s="11" t="s">
        <v>48</v>
      </c>
      <c r="E594" s="11" t="s">
        <v>26</v>
      </c>
      <c r="F594" s="11" t="s">
        <v>508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717</v>
      </c>
      <c r="D595" s="15" t="s">
        <v>45</v>
      </c>
      <c r="E595" s="11" t="s">
        <v>26</v>
      </c>
      <c r="F595" s="11" t="s">
        <v>718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318</v>
      </c>
      <c r="D596" s="15" t="s">
        <v>45</v>
      </c>
      <c r="E596" s="11" t="s">
        <v>26</v>
      </c>
      <c r="F596" s="11" t="s">
        <v>319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232</v>
      </c>
      <c r="D597" s="15" t="s">
        <v>80</v>
      </c>
      <c r="E597" s="11" t="s">
        <v>26</v>
      </c>
      <c r="F597" s="11" t="s">
        <v>233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938</v>
      </c>
      <c r="D598" s="11" t="s">
        <v>57</v>
      </c>
      <c r="E598" s="11" t="s">
        <v>26</v>
      </c>
      <c r="F598" s="11" t="s">
        <v>939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1006</v>
      </c>
      <c r="D599" s="11" t="s">
        <v>57</v>
      </c>
      <c r="E599" s="11" t="s">
        <v>26</v>
      </c>
      <c r="F599" s="11" t="s">
        <v>1008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148</v>
      </c>
      <c r="D600" s="15" t="s">
        <v>80</v>
      </c>
      <c r="E600" s="11" t="s">
        <v>26</v>
      </c>
      <c r="F600" s="11" t="s">
        <v>149</v>
      </c>
      <c r="G600" s="12">
        <v>1829</v>
      </c>
      <c r="H600" s="12"/>
      <c r="I600" s="12"/>
      <c r="J600" s="12">
        <v>1814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1814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582</v>
      </c>
      <c r="D601" s="15" t="s">
        <v>80</v>
      </c>
      <c r="E601" s="11" t="s">
        <v>26</v>
      </c>
      <c r="F601" s="11" t="s">
        <v>583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616</v>
      </c>
      <c r="D602" s="15" t="s">
        <v>45</v>
      </c>
      <c r="E602" s="11" t="s">
        <v>26</v>
      </c>
      <c r="F602" s="11" t="s">
        <v>618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8</v>
      </c>
      <c r="C603" s="11" t="s">
        <v>801</v>
      </c>
      <c r="D603" s="11" t="s">
        <v>57</v>
      </c>
      <c r="E603" s="11" t="s">
        <v>26</v>
      </c>
      <c r="F603" s="11" t="s">
        <v>802</v>
      </c>
      <c r="G603" s="12">
        <v>1829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1203</v>
      </c>
      <c r="D604" s="11" t="s">
        <v>104</v>
      </c>
      <c r="E604" s="11" t="s">
        <v>26</v>
      </c>
      <c r="F604" s="11" t="s">
        <v>1204</v>
      </c>
      <c r="G604" s="12">
        <v>1829</v>
      </c>
      <c r="H604" s="12"/>
      <c r="I604" s="12"/>
      <c r="J604" s="12">
        <v>1818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1818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16" customFormat="1" ht="28.5" customHeight="1">
      <c r="A605" s="11" t="str">
        <f t="shared" si="117"/>
        <v/>
      </c>
      <c r="B605" s="11" t="s">
        <v>18</v>
      </c>
      <c r="C605" s="11" t="s">
        <v>1223</v>
      </c>
      <c r="D605" s="15" t="s">
        <v>45</v>
      </c>
      <c r="E605" s="11" t="s">
        <v>26</v>
      </c>
      <c r="F605" s="11" t="s">
        <v>1224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16" customFormat="1" ht="28.5" customHeight="1">
      <c r="A606" s="11" t="str">
        <f t="shared" si="117"/>
        <v/>
      </c>
      <c r="B606" s="11" t="s">
        <v>8</v>
      </c>
      <c r="C606" s="11" t="s">
        <v>956</v>
      </c>
      <c r="D606" s="15" t="s">
        <v>45</v>
      </c>
      <c r="E606" s="11" t="s">
        <v>26</v>
      </c>
      <c r="F606" s="11" t="s">
        <v>957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958</v>
      </c>
      <c r="D607" s="15" t="s">
        <v>57</v>
      </c>
      <c r="E607" s="11" t="s">
        <v>26</v>
      </c>
      <c r="F607" s="11" t="s">
        <v>959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1561</v>
      </c>
      <c r="D608" s="11" t="s">
        <v>48</v>
      </c>
      <c r="E608" s="11" t="s">
        <v>26</v>
      </c>
      <c r="F608" s="11" t="s">
        <v>1562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1664</v>
      </c>
      <c r="D609" s="15" t="s">
        <v>57</v>
      </c>
      <c r="E609" s="11" t="s">
        <v>26</v>
      </c>
      <c r="F609" s="11" t="s">
        <v>1665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328</v>
      </c>
      <c r="D610" s="15" t="s">
        <v>45</v>
      </c>
      <c r="E610" s="11" t="s">
        <v>26</v>
      </c>
      <c r="F610" s="11" t="s">
        <v>329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884</v>
      </c>
      <c r="D611" s="11" t="s">
        <v>57</v>
      </c>
      <c r="E611" s="11" t="s">
        <v>26</v>
      </c>
      <c r="F611" s="11" t="s">
        <v>885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1110</v>
      </c>
      <c r="D612" s="11" t="s">
        <v>48</v>
      </c>
      <c r="E612" s="11" t="s">
        <v>26</v>
      </c>
      <c r="F612" s="11" t="s">
        <v>1112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1362</v>
      </c>
      <c r="D613" s="15" t="s">
        <v>60</v>
      </c>
      <c r="E613" s="11" t="s">
        <v>26</v>
      </c>
      <c r="F613" s="11" t="s">
        <v>1363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1699</v>
      </c>
      <c r="D614" s="15" t="s">
        <v>45</v>
      </c>
      <c r="E614" s="11" t="s">
        <v>26</v>
      </c>
      <c r="F614" s="11" t="s">
        <v>1700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8</v>
      </c>
      <c r="C615" s="11" t="s">
        <v>954</v>
      </c>
      <c r="D615" s="11" t="s">
        <v>71</v>
      </c>
      <c r="E615" s="11" t="s">
        <v>26</v>
      </c>
      <c r="F615" s="11" t="s">
        <v>955</v>
      </c>
      <c r="G615" s="12">
        <v>1829</v>
      </c>
      <c r="H615" s="12"/>
      <c r="I615" s="12"/>
      <c r="J615" s="12">
        <v>1820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1820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488</v>
      </c>
      <c r="D616" s="15" t="s">
        <v>45</v>
      </c>
      <c r="E616" s="11" t="s">
        <v>26</v>
      </c>
      <c r="F616" s="11" t="s">
        <v>489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511</v>
      </c>
      <c r="D617" s="11" t="s">
        <v>57</v>
      </c>
      <c r="E617" s="11" t="s">
        <v>26</v>
      </c>
      <c r="F617" s="11" t="s">
        <v>512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10</v>
      </c>
      <c r="C618" s="11" t="s">
        <v>820</v>
      </c>
      <c r="D618" s="11" t="s">
        <v>48</v>
      </c>
      <c r="E618" s="11" t="s">
        <v>26</v>
      </c>
      <c r="F618" s="11" t="s">
        <v>821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7" customFormat="1" ht="28.5" customHeight="1">
      <c r="A619" s="11" t="str">
        <f t="shared" si="117"/>
        <v/>
      </c>
      <c r="B619" s="11" t="s">
        <v>10</v>
      </c>
      <c r="C619" s="11" t="s">
        <v>928</v>
      </c>
      <c r="D619" s="15" t="s">
        <v>80</v>
      </c>
      <c r="E619" s="11" t="s">
        <v>26</v>
      </c>
      <c r="F619" s="11" t="s">
        <v>929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1501</v>
      </c>
      <c r="D620" s="15" t="s">
        <v>45</v>
      </c>
      <c r="E620" s="11" t="s">
        <v>26</v>
      </c>
      <c r="F620" s="11" t="s">
        <v>1502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1503</v>
      </c>
      <c r="D621" s="15" t="s">
        <v>71</v>
      </c>
      <c r="E621" s="11" t="s">
        <v>26</v>
      </c>
      <c r="F621" s="11" t="s">
        <v>1504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12</v>
      </c>
      <c r="C622" s="11" t="s">
        <v>1505</v>
      </c>
      <c r="D622" s="15" t="s">
        <v>71</v>
      </c>
      <c r="E622" s="11" t="s">
        <v>26</v>
      </c>
      <c r="F622" s="11" t="s">
        <v>1506</v>
      </c>
      <c r="G622" s="12">
        <v>1829</v>
      </c>
      <c r="H622" s="12"/>
      <c r="I622" s="12"/>
      <c r="J622" s="12">
        <v>1837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1837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749</v>
      </c>
      <c r="D623" s="11" t="s">
        <v>95</v>
      </c>
      <c r="E623" s="11" t="s">
        <v>26</v>
      </c>
      <c r="F623" s="11" t="s">
        <v>750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784</v>
      </c>
      <c r="D624" s="11" t="s">
        <v>95</v>
      </c>
      <c r="E624" s="11" t="s">
        <v>26</v>
      </c>
      <c r="F624" s="11" t="s">
        <v>785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66</v>
      </c>
      <c r="D625" s="15" t="s">
        <v>45</v>
      </c>
      <c r="E625" s="11" t="s">
        <v>26</v>
      </c>
      <c r="F625" s="11" t="s">
        <v>67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1589</v>
      </c>
      <c r="D626" s="11" t="s">
        <v>57</v>
      </c>
      <c r="E626" s="11" t="s">
        <v>26</v>
      </c>
      <c r="F626" s="11" t="s">
        <v>1591</v>
      </c>
      <c r="G626" s="12">
        <v>1830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18</v>
      </c>
      <c r="C627" s="11" t="s">
        <v>529</v>
      </c>
      <c r="D627" s="11" t="s">
        <v>71</v>
      </c>
      <c r="E627" s="11" t="s">
        <v>26</v>
      </c>
      <c r="F627" s="11" t="s">
        <v>530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292</v>
      </c>
      <c r="D628" s="11" t="s">
        <v>104</v>
      </c>
      <c r="E628" s="11" t="s">
        <v>26</v>
      </c>
      <c r="F628" s="11" t="s">
        <v>293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1153</v>
      </c>
      <c r="D629" s="15" t="s">
        <v>45</v>
      </c>
      <c r="E629" s="11" t="s">
        <v>26</v>
      </c>
      <c r="F629" s="11" t="s">
        <v>1154</v>
      </c>
      <c r="G629" s="12">
        <v>1832</v>
      </c>
      <c r="H629" s="12"/>
      <c r="I629" s="12"/>
      <c r="J629" s="12">
        <v>1812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1812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101</v>
      </c>
      <c r="D630" s="11" t="s">
        <v>57</v>
      </c>
      <c r="E630" s="11" t="s">
        <v>26</v>
      </c>
      <c r="F630" s="11" t="s">
        <v>102</v>
      </c>
      <c r="G630" s="12">
        <v>1832</v>
      </c>
      <c r="H630" s="12"/>
      <c r="I630" s="12"/>
      <c r="J630" s="12">
        <v>1822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1822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14</v>
      </c>
      <c r="C631" s="11" t="s">
        <v>114</v>
      </c>
      <c r="D631" s="15" t="s">
        <v>80</v>
      </c>
      <c r="E631" s="11" t="s">
        <v>26</v>
      </c>
      <c r="F631" s="11" t="s">
        <v>115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14</v>
      </c>
      <c r="C632" s="11" t="s">
        <v>1387</v>
      </c>
      <c r="D632" s="11" t="s">
        <v>57</v>
      </c>
      <c r="E632" s="11" t="s">
        <v>26</v>
      </c>
      <c r="F632" s="11" t="s">
        <v>1388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12</v>
      </c>
      <c r="C633" s="11" t="s">
        <v>1630</v>
      </c>
      <c r="D633" s="11" t="s">
        <v>57</v>
      </c>
      <c r="E633" s="11" t="s">
        <v>26</v>
      </c>
      <c r="F633" s="11" t="s">
        <v>1631</v>
      </c>
      <c r="G633" s="12">
        <v>1834</v>
      </c>
      <c r="H633" s="12"/>
      <c r="I633" s="12"/>
      <c r="J633" s="12">
        <v>1799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1799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234</v>
      </c>
      <c r="D634" s="15" t="s">
        <v>80</v>
      </c>
      <c r="E634" s="11" t="s">
        <v>26</v>
      </c>
      <c r="F634" s="11" t="s">
        <v>235</v>
      </c>
      <c r="G634" s="12">
        <v>1834</v>
      </c>
      <c r="H634" s="12"/>
      <c r="I634" s="12"/>
      <c r="J634" s="12">
        <v>1810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1810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6</v>
      </c>
      <c r="C635" s="11" t="s">
        <v>368</v>
      </c>
      <c r="D635" s="15" t="s">
        <v>45</v>
      </c>
      <c r="E635" s="11" t="s">
        <v>26</v>
      </c>
      <c r="F635" s="11" t="s">
        <v>369</v>
      </c>
      <c r="G635" s="12">
        <v>1834</v>
      </c>
      <c r="H635" s="12"/>
      <c r="I635" s="12"/>
      <c r="J635" s="12">
        <v>1814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372</v>
      </c>
      <c r="D650" s="15" t="s">
        <v>45</v>
      </c>
      <c r="E650" s="11" t="s">
        <v>26</v>
      </c>
      <c r="F650" s="11" t="s">
        <v>373</v>
      </c>
      <c r="G650" s="12">
        <v>1836</v>
      </c>
      <c r="H650" s="12"/>
      <c r="I650" s="12"/>
      <c r="J650" s="12">
        <v>1829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1829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6</v>
      </c>
      <c r="C651" s="11" t="s">
        <v>653</v>
      </c>
      <c r="D651" s="15" t="s">
        <v>45</v>
      </c>
      <c r="E651" s="11" t="s">
        <v>26</v>
      </c>
      <c r="F651" s="11" t="s">
        <v>654</v>
      </c>
      <c r="G651" s="12">
        <v>1837</v>
      </c>
      <c r="H651" s="12"/>
      <c r="I651" s="12"/>
      <c r="J651" s="12">
        <v>1812</v>
      </c>
      <c r="K651" s="12">
        <f t="shared" si="118"/>
        <v>0</v>
      </c>
      <c r="L651" s="12">
        <f t="shared" si="119"/>
        <v>1837</v>
      </c>
      <c r="M651" s="12" t="str">
        <f t="shared" si="120"/>
        <v/>
      </c>
      <c r="N651" s="12">
        <f t="shared" si="121"/>
        <v>1812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1193</v>
      </c>
      <c r="D654" s="15" t="s">
        <v>80</v>
      </c>
      <c r="E654" s="11" t="s">
        <v>26</v>
      </c>
      <c r="F654" s="11" t="s">
        <v>1194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6</v>
      </c>
      <c r="C655" s="11" t="s">
        <v>1077</v>
      </c>
      <c r="D655" s="11" t="s">
        <v>71</v>
      </c>
      <c r="E655" s="11" t="s">
        <v>26</v>
      </c>
      <c r="F655" s="11" t="s">
        <v>1078</v>
      </c>
      <c r="G655" s="12">
        <v>1838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14</v>
      </c>
      <c r="C656" s="11" t="s">
        <v>1306</v>
      </c>
      <c r="D656" s="15" t="s">
        <v>45</v>
      </c>
      <c r="E656" s="11" t="s">
        <v>26</v>
      </c>
      <c r="F656" s="11" t="s">
        <v>1307</v>
      </c>
      <c r="G656" s="12">
        <v>1839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1553</v>
      </c>
      <c r="D657" s="15" t="s">
        <v>80</v>
      </c>
      <c r="E657" s="11" t="s">
        <v>26</v>
      </c>
      <c r="F657" s="11" t="s">
        <v>1554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998</v>
      </c>
      <c r="D658" s="11" t="s">
        <v>48</v>
      </c>
      <c r="E658" s="11" t="s">
        <v>26</v>
      </c>
      <c r="F658" s="11" t="s">
        <v>999</v>
      </c>
      <c r="G658" s="12">
        <v>1839</v>
      </c>
      <c r="H658" s="12"/>
      <c r="I658" s="12"/>
      <c r="J658" s="12">
        <v>1809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1809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1737</v>
      </c>
      <c r="D659" s="15" t="s">
        <v>45</v>
      </c>
      <c r="E659" s="11" t="s">
        <v>61</v>
      </c>
      <c r="F659" s="11" t="s">
        <v>1738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16</v>
      </c>
      <c r="C660" s="11" t="s">
        <v>610</v>
      </c>
      <c r="D660" s="15" t="s">
        <v>45</v>
      </c>
      <c r="E660" s="11" t="s">
        <v>26</v>
      </c>
      <c r="F660" s="11" t="s">
        <v>611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14</v>
      </c>
      <c r="C661" s="11" t="s">
        <v>166</v>
      </c>
      <c r="D661" s="11" t="s">
        <v>57</v>
      </c>
      <c r="E661" s="11" t="s">
        <v>26</v>
      </c>
      <c r="F661" s="11" t="s">
        <v>167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14</v>
      </c>
      <c r="C662" s="11" t="s">
        <v>176</v>
      </c>
      <c r="D662" s="11" t="s">
        <v>57</v>
      </c>
      <c r="E662" s="11" t="s">
        <v>26</v>
      </c>
      <c r="F662" s="11" t="s">
        <v>177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623</v>
      </c>
      <c r="D663" s="11" t="s">
        <v>57</v>
      </c>
      <c r="E663" s="11" t="s">
        <v>26</v>
      </c>
      <c r="F663" s="11" t="s">
        <v>624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759</v>
      </c>
      <c r="D664" s="15" t="s">
        <v>45</v>
      </c>
      <c r="E664" s="11" t="s">
        <v>26</v>
      </c>
      <c r="F664" s="11" t="s">
        <v>760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6</v>
      </c>
      <c r="C665" s="11" t="s">
        <v>569</v>
      </c>
      <c r="D665" s="11" t="s">
        <v>57</v>
      </c>
      <c r="E665" s="11" t="s">
        <v>26</v>
      </c>
      <c r="F665" s="11" t="s">
        <v>573</v>
      </c>
      <c r="G665" s="12">
        <v>1839</v>
      </c>
      <c r="H665" s="12"/>
      <c r="I665" s="12"/>
      <c r="J665" s="12">
        <v>1827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1827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274</v>
      </c>
      <c r="D666" s="11" t="s">
        <v>104</v>
      </c>
      <c r="E666" s="11" t="s">
        <v>26</v>
      </c>
      <c r="F666" s="11" t="s">
        <v>275</v>
      </c>
      <c r="G666" s="12">
        <v>1839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10</v>
      </c>
      <c r="C667" s="11" t="s">
        <v>276</v>
      </c>
      <c r="D667" s="11" t="s">
        <v>104</v>
      </c>
      <c r="E667" s="11" t="s">
        <v>26</v>
      </c>
      <c r="F667" s="11" t="s">
        <v>277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10</v>
      </c>
      <c r="C668" s="11" t="s">
        <v>278</v>
      </c>
      <c r="D668" s="11" t="s">
        <v>104</v>
      </c>
      <c r="E668" s="11" t="s">
        <v>26</v>
      </c>
      <c r="F668" s="11" t="s">
        <v>279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103</v>
      </c>
      <c r="D669" s="11" t="s">
        <v>104</v>
      </c>
      <c r="E669" s="11" t="s">
        <v>26</v>
      </c>
      <c r="F669" s="11" t="s">
        <v>105</v>
      </c>
      <c r="G669" s="12">
        <v>1839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1201</v>
      </c>
      <c r="D670" s="11" t="s">
        <v>104</v>
      </c>
      <c r="E670" s="11" t="s">
        <v>26</v>
      </c>
      <c r="F670" s="11" t="s">
        <v>1202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1360</v>
      </c>
      <c r="D671" s="15" t="s">
        <v>80</v>
      </c>
      <c r="E671" s="11" t="s">
        <v>26</v>
      </c>
      <c r="F671" s="11" t="s">
        <v>1361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513</v>
      </c>
      <c r="D672" s="11" t="s">
        <v>71</v>
      </c>
      <c r="E672" s="11" t="s">
        <v>26</v>
      </c>
      <c r="F672" s="11" t="s">
        <v>514</v>
      </c>
      <c r="G672" s="12">
        <v>1839</v>
      </c>
      <c r="H672" s="12"/>
      <c r="I672" s="12"/>
      <c r="J672" s="12">
        <v>1838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631</v>
      </c>
      <c r="D673" s="11" t="s">
        <v>48</v>
      </c>
      <c r="E673" s="11" t="s">
        <v>26</v>
      </c>
      <c r="F673" s="11" t="s">
        <v>632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8</v>
      </c>
      <c r="C674" s="11" t="s">
        <v>880</v>
      </c>
      <c r="D674" s="15" t="s">
        <v>80</v>
      </c>
      <c r="E674" s="11" t="s">
        <v>26</v>
      </c>
      <c r="F674" s="11" t="s">
        <v>881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1139</v>
      </c>
      <c r="D675" s="11" t="s">
        <v>48</v>
      </c>
      <c r="E675" s="11" t="s">
        <v>26</v>
      </c>
      <c r="F675" s="11" t="s">
        <v>1140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120</v>
      </c>
      <c r="D676" s="15" t="s">
        <v>45</v>
      </c>
      <c r="E676" s="11" t="s">
        <v>26</v>
      </c>
      <c r="F676" s="11" t="s">
        <v>121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1098</v>
      </c>
      <c r="D677" s="11" t="s">
        <v>57</v>
      </c>
      <c r="E677" s="11" t="s">
        <v>26</v>
      </c>
      <c r="F677" s="11" t="s">
        <v>1099</v>
      </c>
      <c r="G677" s="12">
        <v>1839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16</v>
      </c>
      <c r="C678" s="11" t="s">
        <v>50</v>
      </c>
      <c r="D678" s="11" t="s">
        <v>48</v>
      </c>
      <c r="E678" s="11" t="s">
        <v>26</v>
      </c>
      <c r="F678" s="11" t="s">
        <v>51</v>
      </c>
      <c r="G678" s="12">
        <v>1840</v>
      </c>
      <c r="H678" s="12"/>
      <c r="I678" s="12"/>
      <c r="J678" s="12">
        <v>1800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1800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930</v>
      </c>
      <c r="D679" s="15" t="s">
        <v>80</v>
      </c>
      <c r="E679" s="11" t="s">
        <v>26</v>
      </c>
      <c r="F679" s="11" t="s">
        <v>931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6</v>
      </c>
      <c r="C680" s="11" t="s">
        <v>1472</v>
      </c>
      <c r="D680" s="15" t="s">
        <v>60</v>
      </c>
      <c r="E680" s="11" t="s">
        <v>26</v>
      </c>
      <c r="F680" s="11" t="s">
        <v>1473</v>
      </c>
      <c r="G680" s="12">
        <v>1840</v>
      </c>
      <c r="H680" s="12"/>
      <c r="I680" s="12"/>
      <c r="J680" s="12">
        <v>1849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1849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18</v>
      </c>
      <c r="C681" s="11" t="s">
        <v>680</v>
      </c>
      <c r="D681" s="15" t="s">
        <v>80</v>
      </c>
      <c r="E681" s="11" t="s">
        <v>26</v>
      </c>
      <c r="F681" s="11" t="s">
        <v>681</v>
      </c>
      <c r="G681" s="12">
        <v>1840</v>
      </c>
      <c r="H681" s="12"/>
      <c r="I681" s="12"/>
      <c r="J681" s="12">
        <v>1875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1875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1464</v>
      </c>
      <c r="D682" s="15" t="s">
        <v>60</v>
      </c>
      <c r="E682" s="11" t="s">
        <v>26</v>
      </c>
      <c r="F682" s="11" t="s">
        <v>1465</v>
      </c>
      <c r="G682" s="12">
        <v>1841</v>
      </c>
      <c r="H682" s="12"/>
      <c r="I682" s="12"/>
      <c r="J682" s="12">
        <v>1849</v>
      </c>
      <c r="K682" s="12">
        <f t="shared" si="131"/>
        <v>0</v>
      </c>
      <c r="L682" s="12">
        <f t="shared" si="132"/>
        <v>1841</v>
      </c>
      <c r="M682" s="12" t="str">
        <f t="shared" si="133"/>
        <v/>
      </c>
      <c r="N682" s="12">
        <f t="shared" si="134"/>
        <v>1849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12</v>
      </c>
      <c r="C683" s="11" t="s">
        <v>942</v>
      </c>
      <c r="D683" s="15" t="s">
        <v>45</v>
      </c>
      <c r="E683" s="11" t="s">
        <v>26</v>
      </c>
      <c r="F683" s="11" t="s">
        <v>943</v>
      </c>
      <c r="G683" s="12">
        <v>1842</v>
      </c>
      <c r="H683" s="12"/>
      <c r="I683" s="12"/>
      <c r="J683" s="12">
        <v>1808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1808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12</v>
      </c>
      <c r="C684" s="11" t="s">
        <v>712</v>
      </c>
      <c r="D684" s="15" t="s">
        <v>60</v>
      </c>
      <c r="E684" s="11" t="s">
        <v>26</v>
      </c>
      <c r="F684" s="11" t="s">
        <v>714</v>
      </c>
      <c r="G684" s="12">
        <v>1842</v>
      </c>
      <c r="H684" s="12"/>
      <c r="I684" s="12"/>
      <c r="J684" s="12">
        <v>1823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1823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1207</v>
      </c>
      <c r="D685" s="15" t="s">
        <v>60</v>
      </c>
      <c r="E685" s="11" t="s">
        <v>26</v>
      </c>
      <c r="F685" s="11" t="s">
        <v>1208</v>
      </c>
      <c r="G685" s="12">
        <v>1842</v>
      </c>
      <c r="H685" s="12"/>
      <c r="I685" s="12"/>
      <c r="J685" s="12">
        <v>1825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1825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1100</v>
      </c>
      <c r="D686" s="11" t="s">
        <v>57</v>
      </c>
      <c r="E686" s="11" t="s">
        <v>26</v>
      </c>
      <c r="F686" s="11" t="s">
        <v>1101</v>
      </c>
      <c r="G686" s="12">
        <v>1842</v>
      </c>
      <c r="H686" s="12"/>
      <c r="I686" s="12"/>
      <c r="J686" s="12">
        <v>1829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1829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1366</v>
      </c>
      <c r="D687" s="11" t="s">
        <v>57</v>
      </c>
      <c r="E687" s="11" t="s">
        <v>26</v>
      </c>
      <c r="F687" s="11" t="s">
        <v>1368</v>
      </c>
      <c r="G687" s="12">
        <v>1842</v>
      </c>
      <c r="H687" s="12"/>
      <c r="I687" s="12"/>
      <c r="J687" s="12">
        <v>1850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1850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739</v>
      </c>
      <c r="D688" s="15" t="s">
        <v>60</v>
      </c>
      <c r="E688" s="11" t="s">
        <v>26</v>
      </c>
      <c r="F688" s="11" t="s">
        <v>740</v>
      </c>
      <c r="G688" s="12">
        <v>1843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1843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1233</v>
      </c>
      <c r="D689" s="11" t="s">
        <v>48</v>
      </c>
      <c r="E689" s="11" t="s">
        <v>61</v>
      </c>
      <c r="F689" s="11" t="s">
        <v>1234</v>
      </c>
      <c r="G689" s="12">
        <v>1844</v>
      </c>
      <c r="H689" s="12"/>
      <c r="I689" s="12"/>
      <c r="J689" s="12">
        <v>1814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1814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330</v>
      </c>
      <c r="D690" s="15" t="s">
        <v>45</v>
      </c>
      <c r="E690" s="11" t="s">
        <v>26</v>
      </c>
      <c r="F690" s="11" t="s">
        <v>331</v>
      </c>
      <c r="G690" s="12">
        <v>1844</v>
      </c>
      <c r="H690" s="12"/>
      <c r="I690" s="12"/>
      <c r="J690" s="12">
        <v>1815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1815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1652</v>
      </c>
      <c r="D691" s="15" t="s">
        <v>45</v>
      </c>
      <c r="E691" s="11" t="s">
        <v>26</v>
      </c>
      <c r="F691" s="11" t="s">
        <v>1653</v>
      </c>
      <c r="G691" s="12">
        <v>1844</v>
      </c>
      <c r="H691" s="12"/>
      <c r="I691" s="12"/>
      <c r="J691" s="12">
        <v>1834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1624</v>
      </c>
      <c r="D692" s="11" t="s">
        <v>104</v>
      </c>
      <c r="E692" s="11" t="s">
        <v>26</v>
      </c>
      <c r="F692" s="11" t="s">
        <v>1625</v>
      </c>
      <c r="G692" s="12">
        <v>1844</v>
      </c>
      <c r="H692" s="12"/>
      <c r="I692" s="12"/>
      <c r="J692" s="12">
        <v>1837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18</v>
      </c>
      <c r="C693" s="11" t="s">
        <v>1626</v>
      </c>
      <c r="D693" s="11" t="s">
        <v>104</v>
      </c>
      <c r="E693" s="11" t="s">
        <v>26</v>
      </c>
      <c r="F693" s="11" t="s">
        <v>1627</v>
      </c>
      <c r="G693" s="12">
        <v>1844</v>
      </c>
      <c r="H693" s="12"/>
      <c r="I693" s="12"/>
      <c r="J693" s="12">
        <v>1837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1837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1609</v>
      </c>
      <c r="D709" s="15" t="s">
        <v>80</v>
      </c>
      <c r="E709" s="11" t="s">
        <v>61</v>
      </c>
      <c r="F709" s="11" t="s">
        <v>1610</v>
      </c>
      <c r="G709" s="12">
        <v>1848</v>
      </c>
      <c r="H709" s="12"/>
      <c r="I709" s="12"/>
      <c r="J709" s="12">
        <v>1823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1823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97</v>
      </c>
      <c r="D710" s="15" t="s">
        <v>60</v>
      </c>
      <c r="E710" s="11" t="s">
        <v>26</v>
      </c>
      <c r="F710" s="11" t="s">
        <v>98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1090</v>
      </c>
      <c r="D711" s="15" t="s">
        <v>45</v>
      </c>
      <c r="E711" s="11" t="s">
        <v>26</v>
      </c>
      <c r="F711" s="11" t="s">
        <v>1091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6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1199</v>
      </c>
      <c r="D725" s="15" t="s">
        <v>45</v>
      </c>
      <c r="E725" s="11" t="s">
        <v>26</v>
      </c>
      <c r="F725" s="11" t="s">
        <v>1200</v>
      </c>
      <c r="G725" s="12">
        <v>1850</v>
      </c>
      <c r="H725" s="12"/>
      <c r="I725" s="12"/>
      <c r="J725" s="12">
        <v>1840</v>
      </c>
      <c r="K725" s="12">
        <f t="shared" si="144"/>
        <v>0</v>
      </c>
      <c r="L725" s="12">
        <f t="shared" si="145"/>
        <v>1850</v>
      </c>
      <c r="M725" s="12" t="str">
        <f t="shared" si="146"/>
        <v/>
      </c>
      <c r="N725" s="12">
        <f t="shared" si="147"/>
        <v>1840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519</v>
      </c>
      <c r="D726" s="15" t="s">
        <v>80</v>
      </c>
      <c r="E726" s="11" t="s">
        <v>61</v>
      </c>
      <c r="F726" s="11" t="s">
        <v>520</v>
      </c>
      <c r="G726" s="12">
        <v>1850</v>
      </c>
      <c r="H726" s="12"/>
      <c r="I726" s="12"/>
      <c r="J726" s="12">
        <v>1850</v>
      </c>
      <c r="K726" s="12">
        <f t="shared" si="144"/>
        <v>0</v>
      </c>
      <c r="L726" s="12">
        <f t="shared" si="145"/>
        <v>1850</v>
      </c>
      <c r="M726" s="12" t="str">
        <f t="shared" si="146"/>
        <v/>
      </c>
      <c r="N726" s="12">
        <f t="shared" si="147"/>
        <v>1850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18</v>
      </c>
      <c r="C727" s="11" t="s">
        <v>188</v>
      </c>
      <c r="D727" s="15" t="s">
        <v>45</v>
      </c>
      <c r="E727" s="11" t="s">
        <v>61</v>
      </c>
      <c r="F727" s="11" t="s">
        <v>189</v>
      </c>
      <c r="G727" s="12">
        <v>1852</v>
      </c>
      <c r="H727" s="12"/>
      <c r="I727" s="12"/>
      <c r="J727" s="12">
        <v>1840</v>
      </c>
      <c r="K727" s="12"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16" customFormat="1" ht="28.5" customHeight="1">
      <c r="A728" s="11" t="str">
        <f t="shared" si="143"/>
        <v/>
      </c>
      <c r="B728" s="11" t="s">
        <v>6</v>
      </c>
      <c r="C728" s="11" t="s">
        <v>468</v>
      </c>
      <c r="D728" s="11" t="s">
        <v>57</v>
      </c>
      <c r="E728" s="11" t="s">
        <v>26</v>
      </c>
      <c r="F728" s="11" t="s">
        <v>469</v>
      </c>
      <c r="G728" s="12">
        <v>1852</v>
      </c>
      <c r="H728" s="12"/>
      <c r="I728" s="12"/>
      <c r="J728" s="12">
        <v>1842</v>
      </c>
      <c r="K728" s="12">
        <f t="shared" ref="K728:K759" si="156">IF(AND(IFERROR(SEARCH("현대오일뱅크",$C728),0)&gt;0,IFERROR(SEARCH("직영",$C728),0)&gt;0),$B$13,0)</f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1842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466</v>
      </c>
      <c r="D729" s="11" t="s">
        <v>57</v>
      </c>
      <c r="E729" s="11" t="s">
        <v>61</v>
      </c>
      <c r="F729" s="11" t="s">
        <v>467</v>
      </c>
      <c r="G729" s="12">
        <v>1852</v>
      </c>
      <c r="H729" s="12"/>
      <c r="I729" s="12"/>
      <c r="J729" s="12">
        <v>1842</v>
      </c>
      <c r="K729" s="12">
        <f t="shared" si="156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1842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453</v>
      </c>
      <c r="D730" s="11" t="s">
        <v>95</v>
      </c>
      <c r="E730" s="11" t="s">
        <v>61</v>
      </c>
      <c r="F730" s="11" t="s">
        <v>456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1043</v>
      </c>
      <c r="D731" s="11" t="s">
        <v>48</v>
      </c>
      <c r="E731" s="11" t="s">
        <v>26</v>
      </c>
      <c r="F731" s="11" t="s">
        <v>1044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457</v>
      </c>
      <c r="D732" s="15" t="s">
        <v>80</v>
      </c>
      <c r="E732" s="11" t="s">
        <v>26</v>
      </c>
      <c r="F732" s="11" t="s">
        <v>458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841</v>
      </c>
      <c r="D733" s="15" t="s">
        <v>80</v>
      </c>
      <c r="E733" s="11" t="s">
        <v>61</v>
      </c>
      <c r="F733" s="11" t="s">
        <v>842</v>
      </c>
      <c r="G733" s="12">
        <v>1854</v>
      </c>
      <c r="H733" s="12"/>
      <c r="I733" s="12"/>
      <c r="J733" s="12">
        <v>1828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1828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960</v>
      </c>
      <c r="D734" s="11" t="s">
        <v>57</v>
      </c>
      <c r="E734" s="11" t="s">
        <v>26</v>
      </c>
      <c r="F734" s="11" t="s">
        <v>961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1448</v>
      </c>
      <c r="D735" s="15" t="s">
        <v>60</v>
      </c>
      <c r="E735" s="11" t="s">
        <v>26</v>
      </c>
      <c r="F735" s="11" t="s">
        <v>1449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1474</v>
      </c>
      <c r="D736" s="15" t="s">
        <v>60</v>
      </c>
      <c r="E736" s="11" t="s">
        <v>26</v>
      </c>
      <c r="F736" s="11" t="s">
        <v>1475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1051</v>
      </c>
      <c r="D737" s="15" t="s">
        <v>80</v>
      </c>
      <c r="E737" s="11" t="s">
        <v>26</v>
      </c>
      <c r="F737" s="11" t="s">
        <v>1052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876</v>
      </c>
      <c r="D738" s="15" t="s">
        <v>60</v>
      </c>
      <c r="E738" s="11" t="s">
        <v>61</v>
      </c>
      <c r="F738" s="11" t="s">
        <v>877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910</v>
      </c>
      <c r="D739" s="11" t="s">
        <v>57</v>
      </c>
      <c r="E739" s="11" t="s">
        <v>26</v>
      </c>
      <c r="F739" s="11" t="s">
        <v>911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1191</v>
      </c>
      <c r="D740" s="11" t="s">
        <v>57</v>
      </c>
      <c r="E740" s="11" t="s">
        <v>26</v>
      </c>
      <c r="F740" s="11" t="s">
        <v>1192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604</v>
      </c>
      <c r="D741" s="11" t="s">
        <v>57</v>
      </c>
      <c r="E741" s="11" t="s">
        <v>26</v>
      </c>
      <c r="F741" s="11" t="s">
        <v>605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1423</v>
      </c>
      <c r="D742" s="15" t="s">
        <v>60</v>
      </c>
      <c r="E742" s="11" t="s">
        <v>61</v>
      </c>
      <c r="F742" s="11" t="s">
        <v>1425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492</v>
      </c>
      <c r="D743" s="15" t="s">
        <v>45</v>
      </c>
      <c r="E743" s="11" t="s">
        <v>26</v>
      </c>
      <c r="F743" s="11" t="s">
        <v>493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962</v>
      </c>
      <c r="D744" s="11" t="s">
        <v>71</v>
      </c>
      <c r="E744" s="11" t="s">
        <v>26</v>
      </c>
      <c r="F744" s="11" t="s">
        <v>963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6</v>
      </c>
      <c r="C745" s="11" t="s">
        <v>136</v>
      </c>
      <c r="D745" s="15" t="s">
        <v>45</v>
      </c>
      <c r="E745" s="11" t="s">
        <v>26</v>
      </c>
      <c r="F745" s="11" t="s">
        <v>137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16" customFormat="1" ht="28.5" customHeight="1">
      <c r="A746" s="11" t="str">
        <f t="shared" si="143"/>
        <v/>
      </c>
      <c r="B746" s="11" t="s">
        <v>12</v>
      </c>
      <c r="C746" s="11" t="s">
        <v>1034</v>
      </c>
      <c r="D746" s="15" t="s">
        <v>45</v>
      </c>
      <c r="E746" s="11" t="s">
        <v>61</v>
      </c>
      <c r="F746" s="11" t="s">
        <v>1035</v>
      </c>
      <c r="G746" s="12">
        <v>1856</v>
      </c>
      <c r="H746" s="12"/>
      <c r="I746" s="12"/>
      <c r="J746" s="12">
        <v>1856</v>
      </c>
      <c r="K746" s="12">
        <f t="shared" si="156"/>
        <v>0</v>
      </c>
      <c r="L746" s="12">
        <f t="shared" si="145"/>
        <v>1856</v>
      </c>
      <c r="M746" s="12" t="str">
        <f t="shared" si="146"/>
        <v/>
      </c>
      <c r="N746" s="12">
        <f t="shared" si="147"/>
        <v>1856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1693</v>
      </c>
      <c r="D747" s="15" t="s">
        <v>45</v>
      </c>
      <c r="E747" s="11" t="s">
        <v>61</v>
      </c>
      <c r="F747" s="11" t="s">
        <v>1694</v>
      </c>
      <c r="G747" s="12">
        <v>1856</v>
      </c>
      <c r="H747" s="12"/>
      <c r="I747" s="12"/>
      <c r="J747" s="12">
        <v>1856</v>
      </c>
      <c r="K747" s="12">
        <f t="shared" si="156"/>
        <v>0</v>
      </c>
      <c r="L747" s="12">
        <f t="shared" si="145"/>
        <v>1856</v>
      </c>
      <c r="M747" s="12" t="str">
        <f t="shared" si="146"/>
        <v/>
      </c>
      <c r="N747" s="12">
        <f t="shared" si="147"/>
        <v>1856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1031</v>
      </c>
      <c r="D748" s="11" t="s">
        <v>57</v>
      </c>
      <c r="E748" s="11" t="s">
        <v>61</v>
      </c>
      <c r="F748" s="11" t="s">
        <v>1033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1486</v>
      </c>
      <c r="D749" s="11" t="s">
        <v>57</v>
      </c>
      <c r="E749" s="11" t="s">
        <v>61</v>
      </c>
      <c r="F749" s="11" t="s">
        <v>1488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1104</v>
      </c>
      <c r="D750" s="11" t="s">
        <v>57</v>
      </c>
      <c r="E750" s="11" t="s">
        <v>26</v>
      </c>
      <c r="F750" s="11" t="s">
        <v>1105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539</v>
      </c>
      <c r="D752" s="15" t="s">
        <v>45</v>
      </c>
      <c r="E752" s="11" t="s">
        <v>26</v>
      </c>
      <c r="F752" s="11" t="s">
        <v>540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1454</v>
      </c>
      <c r="D753" s="15" t="s">
        <v>60</v>
      </c>
      <c r="E753" s="11" t="s">
        <v>61</v>
      </c>
      <c r="F753" s="11" t="s">
        <v>1455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140</v>
      </c>
      <c r="D754" s="15" t="s">
        <v>80</v>
      </c>
      <c r="E754" s="11" t="s">
        <v>26</v>
      </c>
      <c r="F754" s="11" t="s">
        <v>141</v>
      </c>
      <c r="G754" s="12">
        <v>1859</v>
      </c>
      <c r="H754" s="12"/>
      <c r="I754" s="12"/>
      <c r="J754" s="12">
        <v>1814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1814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16</v>
      </c>
      <c r="C755" s="11" t="s">
        <v>1036</v>
      </c>
      <c r="D755" s="11" t="s">
        <v>57</v>
      </c>
      <c r="E755" s="11" t="s">
        <v>61</v>
      </c>
      <c r="F755" s="11" t="s">
        <v>1037</v>
      </c>
      <c r="G755" s="12">
        <v>1859</v>
      </c>
      <c r="H755" s="12"/>
      <c r="I755" s="12"/>
      <c r="J755" s="12">
        <v>1819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1628</v>
      </c>
      <c r="D756" s="11" t="s">
        <v>57</v>
      </c>
      <c r="E756" s="11" t="s">
        <v>61</v>
      </c>
      <c r="F756" s="11" t="s">
        <v>1629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6</v>
      </c>
      <c r="C757" s="11" t="s">
        <v>545</v>
      </c>
      <c r="D757" s="11" t="s">
        <v>57</v>
      </c>
      <c r="E757" s="11" t="s">
        <v>61</v>
      </c>
      <c r="F757" s="11" t="s">
        <v>546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870</v>
      </c>
      <c r="D758" s="15" t="s">
        <v>45</v>
      </c>
      <c r="E758" s="11" t="s">
        <v>61</v>
      </c>
      <c r="F758" s="11" t="s">
        <v>871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12</v>
      </c>
      <c r="C759" s="11" t="s">
        <v>818</v>
      </c>
      <c r="D759" s="15" t="s">
        <v>57</v>
      </c>
      <c r="E759" s="11" t="s">
        <v>26</v>
      </c>
      <c r="F759" s="11" t="s">
        <v>819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1849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10</v>
      </c>
      <c r="C760" s="11" t="s">
        <v>170</v>
      </c>
      <c r="D760" s="11" t="s">
        <v>57</v>
      </c>
      <c r="E760" s="11" t="s">
        <v>26</v>
      </c>
      <c r="F760" s="11" t="s">
        <v>171</v>
      </c>
      <c r="G760" s="12">
        <v>1859</v>
      </c>
      <c r="H760" s="12"/>
      <c r="I760" s="12"/>
      <c r="J760" s="12">
        <v>1849</v>
      </c>
      <c r="K760" s="12">
        <f t="shared" ref="K760:K766" si="157">IF(AND(IFERROR(SEARCH("현대오일뱅크",$C760),0)&gt;0,IFERROR(SEARCH("직영",$C760),0)&gt;0),$B$13,0)</f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10</v>
      </c>
      <c r="C761" s="11" t="s">
        <v>1539</v>
      </c>
      <c r="D761" s="11" t="s">
        <v>71</v>
      </c>
      <c r="E761" s="11" t="s">
        <v>61</v>
      </c>
      <c r="F761" s="11" t="s">
        <v>1540</v>
      </c>
      <c r="G761" s="12">
        <v>1859</v>
      </c>
      <c r="H761" s="12"/>
      <c r="I761" s="12"/>
      <c r="J761" s="12">
        <v>1849</v>
      </c>
      <c r="K761" s="12">
        <f t="shared" si="157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348</v>
      </c>
      <c r="D762" s="15" t="s">
        <v>45</v>
      </c>
      <c r="E762" s="11" t="s">
        <v>26</v>
      </c>
      <c r="F762" s="11" t="s">
        <v>349</v>
      </c>
      <c r="G762" s="12">
        <v>1859</v>
      </c>
      <c r="H762" s="12"/>
      <c r="I762" s="12"/>
      <c r="J762" s="12">
        <v>1869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1869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14</v>
      </c>
      <c r="C763" s="11" t="s">
        <v>1650</v>
      </c>
      <c r="D763" s="11" t="s">
        <v>57</v>
      </c>
      <c r="E763" s="11" t="s">
        <v>26</v>
      </c>
      <c r="F763" s="11" t="s">
        <v>1651</v>
      </c>
      <c r="G763" s="12">
        <v>1859</v>
      </c>
      <c r="H763" s="12"/>
      <c r="I763" s="12"/>
      <c r="J763" s="12">
        <v>1869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16</v>
      </c>
      <c r="C764" s="11" t="s">
        <v>612</v>
      </c>
      <c r="D764" s="15" t="s">
        <v>45</v>
      </c>
      <c r="E764" s="11" t="s">
        <v>26</v>
      </c>
      <c r="F764" s="11" t="s">
        <v>613</v>
      </c>
      <c r="G764" s="12">
        <v>1860</v>
      </c>
      <c r="H764" s="12"/>
      <c r="I764" s="12"/>
      <c r="J764" s="12">
        <v>1820</v>
      </c>
      <c r="K764" s="12">
        <f t="shared" si="157"/>
        <v>0</v>
      </c>
      <c r="L764" s="12">
        <f t="shared" si="145"/>
        <v>1860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16</v>
      </c>
      <c r="C765" s="11" t="s">
        <v>1525</v>
      </c>
      <c r="D765" s="11" t="s">
        <v>71</v>
      </c>
      <c r="E765" s="11" t="s">
        <v>61</v>
      </c>
      <c r="F765" s="11" t="s">
        <v>1526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1213</v>
      </c>
      <c r="D766" s="15" t="s">
        <v>45</v>
      </c>
      <c r="E766" s="11" t="s">
        <v>26</v>
      </c>
      <c r="F766" s="11" t="s">
        <v>1214</v>
      </c>
      <c r="G766" s="12">
        <v>1860</v>
      </c>
      <c r="H766" s="12"/>
      <c r="I766" s="12"/>
      <c r="J766" s="12">
        <v>1830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1830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10</v>
      </c>
      <c r="C767" s="11" t="s">
        <v>226</v>
      </c>
      <c r="D767" s="15" t="s">
        <v>45</v>
      </c>
      <c r="E767" s="11" t="s">
        <v>26</v>
      </c>
      <c r="F767" s="11" t="s">
        <v>227</v>
      </c>
      <c r="G767" s="12">
        <v>1864</v>
      </c>
      <c r="H767" s="12"/>
      <c r="I767" s="12"/>
      <c r="J767" s="12">
        <v>1854</v>
      </c>
      <c r="K767" s="12">
        <v>0</v>
      </c>
      <c r="L767" s="12">
        <f t="shared" si="145"/>
        <v>1864</v>
      </c>
      <c r="M767" s="12" t="str">
        <f t="shared" si="146"/>
        <v/>
      </c>
      <c r="N767" s="12">
        <f t="shared" si="147"/>
        <v>1854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1662</v>
      </c>
      <c r="D768" s="11" t="s">
        <v>57</v>
      </c>
      <c r="E768" s="11" t="s">
        <v>26</v>
      </c>
      <c r="F768" s="11" t="s">
        <v>1663</v>
      </c>
      <c r="G768" s="12">
        <v>1865</v>
      </c>
      <c r="H768" s="12"/>
      <c r="I768" s="12"/>
      <c r="J768" s="12">
        <v>1825</v>
      </c>
      <c r="K768" s="12">
        <f>IF(AND(IFERROR(SEARCH("현대오일뱅크",$C768),0)&gt;0,IFERROR(SEARCH("직영",$C768),0)&gt;0),$B$13,0)</f>
        <v>0</v>
      </c>
      <c r="L768" s="12">
        <f t="shared" si="145"/>
        <v>1865</v>
      </c>
      <c r="M768" s="12" t="str">
        <f t="shared" si="146"/>
        <v/>
      </c>
      <c r="N768" s="12">
        <f t="shared" si="147"/>
        <v>1825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799</v>
      </c>
      <c r="D769" s="15" t="s">
        <v>45</v>
      </c>
      <c r="E769" s="11" t="s">
        <v>26</v>
      </c>
      <c r="F769" s="11" t="s">
        <v>800</v>
      </c>
      <c r="G769" s="12">
        <v>1865</v>
      </c>
      <c r="H769" s="12"/>
      <c r="I769" s="12"/>
      <c r="J769" s="12">
        <v>1845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1845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7" customFormat="1" ht="28.5" customHeight="1">
      <c r="A770" s="11" t="str">
        <f t="shared" si="143"/>
        <v/>
      </c>
      <c r="B770" s="11" t="s">
        <v>6</v>
      </c>
      <c r="C770" s="11" t="s">
        <v>1695</v>
      </c>
      <c r="D770" s="15" t="s">
        <v>45</v>
      </c>
      <c r="E770" s="11" t="s">
        <v>61</v>
      </c>
      <c r="F770" s="11" t="s">
        <v>1696</v>
      </c>
      <c r="G770" s="12">
        <v>1866</v>
      </c>
      <c r="H770" s="12"/>
      <c r="I770" s="12"/>
      <c r="J770" s="12">
        <v>1850</v>
      </c>
      <c r="K770" s="12">
        <v>0</v>
      </c>
      <c r="L770" s="12">
        <f t="shared" si="145"/>
        <v>1866</v>
      </c>
      <c r="M770" s="12" t="str">
        <f t="shared" si="146"/>
        <v/>
      </c>
      <c r="N770" s="12">
        <f t="shared" si="147"/>
        <v>1850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14</v>
      </c>
      <c r="C771" s="11" t="s">
        <v>1478</v>
      </c>
      <c r="D771" s="15" t="s">
        <v>80</v>
      </c>
      <c r="E771" s="11" t="s">
        <v>26</v>
      </c>
      <c r="F771" s="11" t="s">
        <v>1479</v>
      </c>
      <c r="G771" s="12">
        <v>1867</v>
      </c>
      <c r="H771" s="12"/>
      <c r="I771" s="12"/>
      <c r="J771" s="12">
        <v>1853</v>
      </c>
      <c r="K771" s="12">
        <f t="shared" ref="K771:K789" si="158">IF(AND(IFERROR(SEARCH("현대오일뱅크",$C771),0)&gt;0,IFERROR(SEARCH("직영",$C771),0)&gt;0),$B$13,0)</f>
        <v>0</v>
      </c>
      <c r="L771" s="12">
        <f t="shared" si="145"/>
        <v>1867</v>
      </c>
      <c r="M771" s="12" t="str">
        <f t="shared" si="146"/>
        <v/>
      </c>
      <c r="N771" s="12">
        <f t="shared" si="147"/>
        <v>1853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1619</v>
      </c>
      <c r="D772" s="15" t="s">
        <v>45</v>
      </c>
      <c r="E772" s="11" t="s">
        <v>26</v>
      </c>
      <c r="F772" s="11" t="s">
        <v>1620</v>
      </c>
      <c r="G772" s="12">
        <v>1867</v>
      </c>
      <c r="H772" s="12"/>
      <c r="I772" s="12"/>
      <c r="J772" s="12">
        <v>1867</v>
      </c>
      <c r="K772" s="12">
        <f t="shared" si="158"/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1867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1358</v>
      </c>
      <c r="D773" s="11" t="s">
        <v>71</v>
      </c>
      <c r="E773" s="11" t="s">
        <v>61</v>
      </c>
      <c r="F773" s="11" t="s">
        <v>1359</v>
      </c>
      <c r="G773" s="12">
        <v>1868</v>
      </c>
      <c r="H773" s="12"/>
      <c r="I773" s="12"/>
      <c r="J773" s="12">
        <v>1838</v>
      </c>
      <c r="K773" s="12">
        <f t="shared" si="158"/>
        <v>0</v>
      </c>
      <c r="L773" s="12">
        <f t="shared" si="145"/>
        <v>1868</v>
      </c>
      <c r="M773" s="12" t="str">
        <f t="shared" si="146"/>
        <v/>
      </c>
      <c r="N773" s="12">
        <f t="shared" si="147"/>
        <v>1838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1239</v>
      </c>
      <c r="D774" s="15" t="s">
        <v>57</v>
      </c>
      <c r="E774" s="11" t="s">
        <v>61</v>
      </c>
      <c r="F774" s="11" t="s">
        <v>1240</v>
      </c>
      <c r="G774" s="12">
        <v>1868</v>
      </c>
      <c r="H774" s="12"/>
      <c r="I774" s="12"/>
      <c r="J774" s="12">
        <v>1848</v>
      </c>
      <c r="K774" s="12">
        <f t="shared" si="158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1848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16" customFormat="1" ht="28.5" customHeight="1">
      <c r="A775" s="11" t="str">
        <f t="shared" si="143"/>
        <v/>
      </c>
      <c r="B775" s="11" t="s">
        <v>18</v>
      </c>
      <c r="C775" s="11" t="s">
        <v>358</v>
      </c>
      <c r="D775" s="11" t="s">
        <v>57</v>
      </c>
      <c r="E775" s="11" t="s">
        <v>26</v>
      </c>
      <c r="F775" s="11" t="s">
        <v>359</v>
      </c>
      <c r="G775" s="12">
        <v>1869</v>
      </c>
      <c r="H775" s="12"/>
      <c r="I775" s="12"/>
      <c r="J775" s="12">
        <v>1833</v>
      </c>
      <c r="K775" s="12">
        <f t="shared" si="158"/>
        <v>0</v>
      </c>
      <c r="L775" s="12">
        <f t="shared" si="145"/>
        <v>1869</v>
      </c>
      <c r="M775" s="12" t="str">
        <f t="shared" si="146"/>
        <v/>
      </c>
      <c r="N775" s="12">
        <f t="shared" si="147"/>
        <v>1833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360</v>
      </c>
      <c r="D776" s="11" t="s">
        <v>57</v>
      </c>
      <c r="E776" s="11" t="s">
        <v>26</v>
      </c>
      <c r="F776" s="11" t="s">
        <v>361</v>
      </c>
      <c r="G776" s="12">
        <v>1869</v>
      </c>
      <c r="H776" s="12"/>
      <c r="I776" s="12"/>
      <c r="J776" s="12">
        <v>1833</v>
      </c>
      <c r="K776" s="12">
        <f t="shared" si="158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1833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1354</v>
      </c>
      <c r="D777" s="11" t="s">
        <v>57</v>
      </c>
      <c r="E777" s="11" t="s">
        <v>26</v>
      </c>
      <c r="F777" s="11" t="s">
        <v>1355</v>
      </c>
      <c r="G777" s="12">
        <v>1869</v>
      </c>
      <c r="H777" s="12"/>
      <c r="I777" s="12"/>
      <c r="J777" s="12">
        <v>1834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1834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1282</v>
      </c>
      <c r="D778" s="15" t="s">
        <v>45</v>
      </c>
      <c r="E778" s="11" t="s">
        <v>61</v>
      </c>
      <c r="F778" s="11" t="s">
        <v>1283</v>
      </c>
      <c r="G778" s="12">
        <v>1869</v>
      </c>
      <c r="H778" s="12"/>
      <c r="I778" s="12"/>
      <c r="J778" s="12">
        <v>1839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1839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446</v>
      </c>
      <c r="D779" s="11" t="s">
        <v>57</v>
      </c>
      <c r="E779" s="11" t="s">
        <v>26</v>
      </c>
      <c r="F779" s="11" t="s">
        <v>447</v>
      </c>
      <c r="G779" s="12">
        <v>1869</v>
      </c>
      <c r="H779" s="12"/>
      <c r="I779" s="12"/>
      <c r="J779" s="12">
        <v>1849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1849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7" customFormat="1" ht="28.5" customHeight="1">
      <c r="A780" s="11" t="str">
        <f t="shared" si="143"/>
        <v/>
      </c>
      <c r="B780" s="11" t="s">
        <v>12</v>
      </c>
      <c r="C780" s="11" t="s">
        <v>1716</v>
      </c>
      <c r="D780" s="15" t="s">
        <v>80</v>
      </c>
      <c r="E780" s="11" t="s">
        <v>26</v>
      </c>
      <c r="F780" s="11" t="s">
        <v>1717</v>
      </c>
      <c r="G780" s="12">
        <v>1869</v>
      </c>
      <c r="H780" s="12"/>
      <c r="I780" s="12"/>
      <c r="J780" s="12">
        <v>1859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1859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7" customFormat="1" ht="28.5" customHeight="1">
      <c r="A781" s="11" t="str">
        <f t="shared" si="143"/>
        <v/>
      </c>
      <c r="B781" s="11" t="s">
        <v>10</v>
      </c>
      <c r="C781" s="11" t="s">
        <v>906</v>
      </c>
      <c r="D781" s="15" t="s">
        <v>45</v>
      </c>
      <c r="E781" s="11" t="s">
        <v>61</v>
      </c>
      <c r="F781" s="11" t="s">
        <v>907</v>
      </c>
      <c r="G781" s="12">
        <v>1869</v>
      </c>
      <c r="H781" s="12"/>
      <c r="I781" s="12"/>
      <c r="J781" s="12">
        <v>1859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1859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14</v>
      </c>
      <c r="C782" s="11" t="s">
        <v>790</v>
      </c>
      <c r="D782" s="15" t="s">
        <v>45</v>
      </c>
      <c r="E782" s="11" t="s">
        <v>61</v>
      </c>
      <c r="F782" s="11" t="s">
        <v>791</v>
      </c>
      <c r="G782" s="12">
        <v>1869</v>
      </c>
      <c r="H782" s="12"/>
      <c r="I782" s="12"/>
      <c r="J782" s="12">
        <v>1869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1869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14</v>
      </c>
      <c r="C783" s="11" t="s">
        <v>1167</v>
      </c>
      <c r="D783" s="11" t="s">
        <v>71</v>
      </c>
      <c r="E783" s="11" t="s">
        <v>26</v>
      </c>
      <c r="F783" s="11" t="s">
        <v>1168</v>
      </c>
      <c r="G783" s="12">
        <v>1869</v>
      </c>
      <c r="H783" s="12"/>
      <c r="I783" s="12"/>
      <c r="J783" s="12">
        <v>1869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1869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442</v>
      </c>
      <c r="D784" s="15" t="s">
        <v>80</v>
      </c>
      <c r="E784" s="11" t="s">
        <v>26</v>
      </c>
      <c r="F784" s="11" t="s">
        <v>443</v>
      </c>
      <c r="G784" s="12">
        <v>1870</v>
      </c>
      <c r="H784" s="12"/>
      <c r="I784" s="12"/>
      <c r="J784" s="12">
        <v>1830</v>
      </c>
      <c r="K784" s="12">
        <f t="shared" si="158"/>
        <v>0</v>
      </c>
      <c r="L784" s="12">
        <f t="shared" si="160"/>
        <v>1870</v>
      </c>
      <c r="M784" s="12" t="str">
        <f t="shared" si="161"/>
        <v/>
      </c>
      <c r="N784" s="12">
        <f t="shared" si="162"/>
        <v>1830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8</v>
      </c>
      <c r="C785" s="11" t="s">
        <v>964</v>
      </c>
      <c r="D785" s="11" t="s">
        <v>71</v>
      </c>
      <c r="E785" s="11" t="s">
        <v>61</v>
      </c>
      <c r="F785" s="11" t="s">
        <v>965</v>
      </c>
      <c r="G785" s="12">
        <v>1870</v>
      </c>
      <c r="H785" s="12"/>
      <c r="I785" s="12"/>
      <c r="J785" s="12">
        <v>1850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1850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12</v>
      </c>
      <c r="C786" s="11" t="s">
        <v>1426</v>
      </c>
      <c r="D786" s="15" t="s">
        <v>45</v>
      </c>
      <c r="E786" s="11" t="s">
        <v>61</v>
      </c>
      <c r="F786" s="11" t="s">
        <v>1427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18</v>
      </c>
      <c r="C787" s="11" t="s">
        <v>1310</v>
      </c>
      <c r="D787" s="11" t="s">
        <v>71</v>
      </c>
      <c r="E787" s="11" t="s">
        <v>61</v>
      </c>
      <c r="F787" s="11" t="s">
        <v>1311</v>
      </c>
      <c r="G787" s="12">
        <v>1870</v>
      </c>
      <c r="H787" s="12"/>
      <c r="I787" s="12"/>
      <c r="J787" s="12">
        <v>1870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1870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18</v>
      </c>
      <c r="C788" s="11" t="s">
        <v>1581</v>
      </c>
      <c r="D788" s="11" t="s">
        <v>71</v>
      </c>
      <c r="E788" s="11" t="s">
        <v>61</v>
      </c>
      <c r="F788" s="11" t="s">
        <v>1582</v>
      </c>
      <c r="G788" s="12">
        <v>1870</v>
      </c>
      <c r="H788" s="12"/>
      <c r="I788" s="12"/>
      <c r="J788" s="12">
        <v>1870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1870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10</v>
      </c>
      <c r="C789" s="11" t="s">
        <v>459</v>
      </c>
      <c r="D789" s="15" t="s">
        <v>80</v>
      </c>
      <c r="E789" s="11" t="s">
        <v>61</v>
      </c>
      <c r="F789" s="11" t="s">
        <v>460</v>
      </c>
      <c r="G789" s="12">
        <v>1870</v>
      </c>
      <c r="H789" s="12"/>
      <c r="I789" s="12"/>
      <c r="J789" s="12">
        <v>1900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1900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220</v>
      </c>
      <c r="D790" s="15" t="s">
        <v>45</v>
      </c>
      <c r="E790" s="11" t="s">
        <v>61</v>
      </c>
      <c r="F790" s="11" t="s">
        <v>221</v>
      </c>
      <c r="G790" s="12">
        <v>1874</v>
      </c>
      <c r="H790" s="12"/>
      <c r="I790" s="12"/>
      <c r="J790" s="12">
        <v>1854</v>
      </c>
      <c r="K790" s="12">
        <v>0</v>
      </c>
      <c r="L790" s="12">
        <f t="shared" si="160"/>
        <v>1874</v>
      </c>
      <c r="M790" s="12" t="str">
        <f t="shared" si="161"/>
        <v/>
      </c>
      <c r="N790" s="12">
        <f t="shared" si="162"/>
        <v>1854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18</v>
      </c>
      <c r="C791" s="11" t="s">
        <v>541</v>
      </c>
      <c r="D791" s="15" t="s">
        <v>45</v>
      </c>
      <c r="E791" s="11" t="s">
        <v>26</v>
      </c>
      <c r="F791" s="11" t="s">
        <v>542</v>
      </c>
      <c r="G791" s="12">
        <v>1874</v>
      </c>
      <c r="H791" s="12"/>
      <c r="I791" s="12"/>
      <c r="J791" s="12">
        <v>1855</v>
      </c>
      <c r="K791" s="12">
        <f>IF(AND(IFERROR(SEARCH("현대오일뱅크",$C791),0)&gt;0,IFERROR(SEARCH("직영",$C791),0)&gt;0),$B$13,0)</f>
        <v>0</v>
      </c>
      <c r="L791" s="12">
        <f t="shared" si="160"/>
        <v>1874</v>
      </c>
      <c r="M791" s="12" t="str">
        <f t="shared" si="161"/>
        <v/>
      </c>
      <c r="N791" s="12">
        <f t="shared" si="162"/>
        <v>1855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7" customFormat="1" ht="28.5" customHeight="1">
      <c r="A792" s="11" t="str">
        <f t="shared" si="159"/>
        <v/>
      </c>
      <c r="B792" s="11" t="s">
        <v>8</v>
      </c>
      <c r="C792" s="11" t="s">
        <v>968</v>
      </c>
      <c r="D792" s="11" t="s">
        <v>71</v>
      </c>
      <c r="E792" s="11" t="s">
        <v>26</v>
      </c>
      <c r="F792" s="11" t="s">
        <v>969</v>
      </c>
      <c r="G792" s="12">
        <v>1875</v>
      </c>
      <c r="H792" s="12"/>
      <c r="I792" s="12"/>
      <c r="J792" s="12">
        <v>1855</v>
      </c>
      <c r="K792" s="12">
        <f>IF(AND(IFERROR(SEARCH("현대오일뱅크",$C792),0)&gt;0,IFERROR(SEARCH("직영",$C792),0)&gt;0),$B$13,0)</f>
        <v>0</v>
      </c>
      <c r="L792" s="12">
        <f t="shared" si="160"/>
        <v>1875</v>
      </c>
      <c r="M792" s="12" t="str">
        <f t="shared" si="161"/>
        <v/>
      </c>
      <c r="N792" s="12">
        <f t="shared" si="162"/>
        <v>1855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16" customFormat="1" ht="28.5" customHeight="1">
      <c r="A793" s="11" t="str">
        <f t="shared" si="159"/>
        <v/>
      </c>
      <c r="B793" s="11" t="s">
        <v>8</v>
      </c>
      <c r="C793" s="11" t="s">
        <v>655</v>
      </c>
      <c r="D793" s="11" t="s">
        <v>71</v>
      </c>
      <c r="E793" s="11" t="s">
        <v>61</v>
      </c>
      <c r="F793" s="11" t="s">
        <v>656</v>
      </c>
      <c r="G793" s="12">
        <v>1875</v>
      </c>
      <c r="H793" s="12"/>
      <c r="I793" s="12"/>
      <c r="J793" s="12">
        <v>1859</v>
      </c>
      <c r="K793" s="12">
        <f>IF(AND(IFERROR(SEARCH("현대오일뱅크",$C793),0)&gt;0,IFERROR(SEARCH("직영",$C793),0)&gt;0),$B$13,0)</f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1859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16</v>
      </c>
      <c r="C794" s="11" t="s">
        <v>1211</v>
      </c>
      <c r="D794" s="11" t="s">
        <v>71</v>
      </c>
      <c r="E794" s="11" t="s">
        <v>26</v>
      </c>
      <c r="F794" s="11" t="s">
        <v>1212</v>
      </c>
      <c r="G794" s="12">
        <v>1875</v>
      </c>
      <c r="H794" s="12"/>
      <c r="I794" s="12"/>
      <c r="J794" s="12">
        <v>1865</v>
      </c>
      <c r="K794" s="12">
        <f>IF(AND(IFERROR(SEARCH("현대오일뱅크",$C794),0)&gt;0,IFERROR(SEARCH("직영",$C794),0)&gt;0),$B$13,0)</f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1865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7" customFormat="1" ht="28.5" customHeight="1">
      <c r="A795" s="11" t="str">
        <f t="shared" si="159"/>
        <v/>
      </c>
      <c r="B795" s="11" t="s">
        <v>14</v>
      </c>
      <c r="C795" s="11" t="s">
        <v>1545</v>
      </c>
      <c r="D795" s="11" t="s">
        <v>57</v>
      </c>
      <c r="E795" s="11" t="s">
        <v>26</v>
      </c>
      <c r="F795" s="11" t="s">
        <v>1546</v>
      </c>
      <c r="G795" s="12">
        <v>1875</v>
      </c>
      <c r="H795" s="12"/>
      <c r="I795" s="12"/>
      <c r="J795" s="12">
        <v>1868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1868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12</v>
      </c>
      <c r="C796" s="11" t="s">
        <v>200</v>
      </c>
      <c r="D796" s="15" t="s">
        <v>45</v>
      </c>
      <c r="E796" s="11" t="s">
        <v>61</v>
      </c>
      <c r="F796" s="11" t="s">
        <v>201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1870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12</v>
      </c>
      <c r="C797" s="11" t="s">
        <v>214</v>
      </c>
      <c r="D797" s="15" t="s">
        <v>45</v>
      </c>
      <c r="E797" s="11" t="s">
        <v>61</v>
      </c>
      <c r="F797" s="11" t="s">
        <v>215</v>
      </c>
      <c r="G797" s="12">
        <v>1875</v>
      </c>
      <c r="H797" s="12"/>
      <c r="I797" s="12"/>
      <c r="J797" s="12">
        <v>1870</v>
      </c>
      <c r="K797" s="12"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1870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7" customFormat="1" ht="28.5" customHeight="1">
      <c r="A798" s="11" t="str">
        <f t="shared" si="159"/>
        <v/>
      </c>
      <c r="B798" s="11" t="s">
        <v>12</v>
      </c>
      <c r="C798" s="11" t="s">
        <v>228</v>
      </c>
      <c r="D798" s="15" t="s">
        <v>45</v>
      </c>
      <c r="E798" s="11" t="s">
        <v>61</v>
      </c>
      <c r="F798" s="11" t="s">
        <v>229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6</v>
      </c>
      <c r="C799" s="11" t="s">
        <v>138</v>
      </c>
      <c r="D799" s="15" t="s">
        <v>45</v>
      </c>
      <c r="E799" s="11" t="s">
        <v>26</v>
      </c>
      <c r="F799" s="11" t="s">
        <v>139</v>
      </c>
      <c r="G799" s="12">
        <v>1875</v>
      </c>
      <c r="H799" s="12"/>
      <c r="I799" s="12"/>
      <c r="J799" s="12">
        <v>1875</v>
      </c>
      <c r="K799" s="12">
        <f t="shared" ref="K799:K830" si="171"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12</v>
      </c>
      <c r="C800" s="11" t="s">
        <v>254</v>
      </c>
      <c r="D800" s="15" t="s">
        <v>80</v>
      </c>
      <c r="E800" s="11" t="s">
        <v>61</v>
      </c>
      <c r="F800" s="11" t="s">
        <v>255</v>
      </c>
      <c r="G800" s="12">
        <v>1878</v>
      </c>
      <c r="H800" s="12"/>
      <c r="I800" s="12"/>
      <c r="J800" s="12">
        <v>1822</v>
      </c>
      <c r="K800" s="12">
        <f t="shared" si="171"/>
        <v>0</v>
      </c>
      <c r="L800" s="12">
        <f t="shared" si="160"/>
        <v>1878</v>
      </c>
      <c r="M800" s="12" t="str">
        <f t="shared" si="161"/>
        <v/>
      </c>
      <c r="N800" s="12">
        <f t="shared" si="162"/>
        <v>1822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7" customFormat="1" ht="28.5" customHeight="1">
      <c r="A801" s="11" t="str">
        <f t="shared" si="159"/>
        <v/>
      </c>
      <c r="B801" s="11" t="s">
        <v>14</v>
      </c>
      <c r="C801" s="11" t="s">
        <v>1350</v>
      </c>
      <c r="D801" s="11" t="s">
        <v>57</v>
      </c>
      <c r="E801" s="11" t="s">
        <v>26</v>
      </c>
      <c r="F801" s="11" t="s">
        <v>1351</v>
      </c>
      <c r="G801" s="12">
        <v>1878</v>
      </c>
      <c r="H801" s="12"/>
      <c r="I801" s="12"/>
      <c r="J801" s="12">
        <v>1857</v>
      </c>
      <c r="K801" s="12">
        <f t="shared" si="171"/>
        <v>0</v>
      </c>
      <c r="L801" s="12">
        <f t="shared" si="160"/>
        <v>1878</v>
      </c>
      <c r="M801" s="12" t="str">
        <f t="shared" si="161"/>
        <v/>
      </c>
      <c r="N801" s="12">
        <f t="shared" si="162"/>
        <v>1857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698</v>
      </c>
      <c r="D802" s="11" t="s">
        <v>57</v>
      </c>
      <c r="E802" s="11" t="s">
        <v>26</v>
      </c>
      <c r="F802" s="11" t="s">
        <v>699</v>
      </c>
      <c r="G802" s="12">
        <v>1878</v>
      </c>
      <c r="H802" s="12"/>
      <c r="I802" s="12"/>
      <c r="J802" s="12">
        <v>1878</v>
      </c>
      <c r="K802" s="12">
        <f t="shared" si="171"/>
        <v>0</v>
      </c>
      <c r="L802" s="12">
        <f t="shared" si="160"/>
        <v>1878</v>
      </c>
      <c r="M802" s="12" t="str">
        <f t="shared" si="161"/>
        <v/>
      </c>
      <c r="N802" s="12">
        <f t="shared" si="162"/>
        <v>1878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16" customFormat="1" ht="28.5" customHeight="1">
      <c r="A803" s="11" t="str">
        <f t="shared" si="159"/>
        <v/>
      </c>
      <c r="B803" s="11" t="s">
        <v>10</v>
      </c>
      <c r="C803" s="11" t="s">
        <v>378</v>
      </c>
      <c r="D803" s="15" t="s">
        <v>45</v>
      </c>
      <c r="E803" s="11" t="s">
        <v>26</v>
      </c>
      <c r="F803" s="11" t="s">
        <v>379</v>
      </c>
      <c r="G803" s="12">
        <v>1879</v>
      </c>
      <c r="H803" s="12"/>
      <c r="I803" s="12"/>
      <c r="J803" s="12">
        <v>1859</v>
      </c>
      <c r="K803" s="12">
        <f t="shared" si="171"/>
        <v>0</v>
      </c>
      <c r="L803" s="12">
        <f t="shared" si="160"/>
        <v>1879</v>
      </c>
      <c r="M803" s="12" t="str">
        <f t="shared" si="161"/>
        <v/>
      </c>
      <c r="N803" s="12">
        <f t="shared" si="162"/>
        <v>1859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14</v>
      </c>
      <c r="C804" s="11" t="s">
        <v>1084</v>
      </c>
      <c r="D804" s="11" t="s">
        <v>57</v>
      </c>
      <c r="E804" s="11" t="s">
        <v>26</v>
      </c>
      <c r="F804" s="11" t="s">
        <v>1085</v>
      </c>
      <c r="G804" s="12">
        <v>1879</v>
      </c>
      <c r="H804" s="12"/>
      <c r="I804" s="12"/>
      <c r="J804" s="12">
        <v>1865</v>
      </c>
      <c r="K804" s="12">
        <f t="shared" si="171"/>
        <v>0</v>
      </c>
      <c r="L804" s="12">
        <f t="shared" si="160"/>
        <v>1879</v>
      </c>
      <c r="M804" s="12" t="str">
        <f t="shared" si="161"/>
        <v/>
      </c>
      <c r="N804" s="12">
        <f t="shared" si="162"/>
        <v>1865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16" customFormat="1" ht="28.5" customHeight="1">
      <c r="A805" s="11" t="str">
        <f t="shared" si="159"/>
        <v/>
      </c>
      <c r="B805" s="11" t="s">
        <v>14</v>
      </c>
      <c r="C805" s="11" t="s">
        <v>1330</v>
      </c>
      <c r="D805" s="15" t="s">
        <v>60</v>
      </c>
      <c r="E805" s="11" t="s">
        <v>26</v>
      </c>
      <c r="F805" s="11" t="s">
        <v>1331</v>
      </c>
      <c r="G805" s="12">
        <v>1879</v>
      </c>
      <c r="H805" s="12"/>
      <c r="I805" s="12"/>
      <c r="J805" s="12">
        <v>1865</v>
      </c>
      <c r="K805" s="12">
        <f t="shared" si="171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1865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18</v>
      </c>
      <c r="C806" s="11" t="s">
        <v>1421</v>
      </c>
      <c r="D806" s="15" t="s">
        <v>80</v>
      </c>
      <c r="E806" s="11" t="s">
        <v>26</v>
      </c>
      <c r="F806" s="11" t="s">
        <v>1422</v>
      </c>
      <c r="G806" s="12">
        <v>1879</v>
      </c>
      <c r="H806" s="12"/>
      <c r="I806" s="12"/>
      <c r="J806" s="12">
        <v>1869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1344</v>
      </c>
      <c r="D807" s="15" t="s">
        <v>45</v>
      </c>
      <c r="E807" s="11" t="s">
        <v>61</v>
      </c>
      <c r="F807" s="11" t="s">
        <v>1345</v>
      </c>
      <c r="G807" s="12">
        <v>1879</v>
      </c>
      <c r="H807" s="12"/>
      <c r="I807" s="12"/>
      <c r="J807" s="12">
        <v>1869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1869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14</v>
      </c>
      <c r="C808" s="11" t="s">
        <v>1672</v>
      </c>
      <c r="D808" s="15" t="s">
        <v>80</v>
      </c>
      <c r="E808" s="11" t="s">
        <v>26</v>
      </c>
      <c r="F808" s="11" t="s">
        <v>1673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1092</v>
      </c>
      <c r="D809" s="15" t="s">
        <v>45</v>
      </c>
      <c r="E809" s="11" t="s">
        <v>61</v>
      </c>
      <c r="F809" s="11" t="s">
        <v>1093</v>
      </c>
      <c r="G809" s="12">
        <v>1879</v>
      </c>
      <c r="H809" s="12"/>
      <c r="I809" s="12"/>
      <c r="J809" s="12">
        <v>1879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1879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18</v>
      </c>
      <c r="C810" s="11" t="s">
        <v>1304</v>
      </c>
      <c r="D810" s="15" t="s">
        <v>45</v>
      </c>
      <c r="E810" s="11" t="s">
        <v>61</v>
      </c>
      <c r="F810" s="11" t="s">
        <v>1305</v>
      </c>
      <c r="G810" s="12">
        <v>1885</v>
      </c>
      <c r="H810" s="12"/>
      <c r="I810" s="12"/>
      <c r="J810" s="12">
        <v>1850</v>
      </c>
      <c r="K810" s="12">
        <f t="shared" si="171"/>
        <v>0</v>
      </c>
      <c r="L810" s="12">
        <f t="shared" si="160"/>
        <v>1885</v>
      </c>
      <c r="M810" s="12" t="str">
        <f t="shared" si="161"/>
        <v/>
      </c>
      <c r="N810" s="12">
        <f t="shared" si="162"/>
        <v>1850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8</v>
      </c>
      <c r="C811" s="11" t="s">
        <v>1161</v>
      </c>
      <c r="D811" s="15" t="s">
        <v>60</v>
      </c>
      <c r="E811" s="11" t="s">
        <v>61</v>
      </c>
      <c r="F811" s="11" t="s">
        <v>1162</v>
      </c>
      <c r="G811" s="12">
        <v>1885</v>
      </c>
      <c r="H811" s="12"/>
      <c r="I811" s="12"/>
      <c r="J811" s="12">
        <v>1875</v>
      </c>
      <c r="K811" s="12">
        <f t="shared" si="171"/>
        <v>0</v>
      </c>
      <c r="L811" s="12">
        <f t="shared" si="160"/>
        <v>1885</v>
      </c>
      <c r="M811" s="12" t="str">
        <f t="shared" si="161"/>
        <v/>
      </c>
      <c r="N811" s="12">
        <f t="shared" si="162"/>
        <v>1875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415</v>
      </c>
      <c r="D812" s="15" t="s">
        <v>45</v>
      </c>
      <c r="E812" s="11" t="s">
        <v>61</v>
      </c>
      <c r="F812" s="11" t="s">
        <v>416</v>
      </c>
      <c r="G812" s="12">
        <v>1886</v>
      </c>
      <c r="H812" s="12"/>
      <c r="I812" s="12"/>
      <c r="J812" s="12">
        <v>1856</v>
      </c>
      <c r="K812" s="12">
        <f t="shared" si="171"/>
        <v>0</v>
      </c>
      <c r="L812" s="12">
        <f t="shared" si="160"/>
        <v>1886</v>
      </c>
      <c r="M812" s="12" t="str">
        <f t="shared" si="161"/>
        <v/>
      </c>
      <c r="N812" s="12">
        <f t="shared" si="162"/>
        <v>1856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7" customFormat="1" ht="28.5" customHeight="1">
      <c r="A813" s="11" t="str">
        <f t="shared" si="159"/>
        <v/>
      </c>
      <c r="B813" s="11" t="s">
        <v>12</v>
      </c>
      <c r="C813" s="11" t="s">
        <v>814</v>
      </c>
      <c r="D813" s="15" t="s">
        <v>57</v>
      </c>
      <c r="E813" s="11" t="s">
        <v>26</v>
      </c>
      <c r="F813" s="11" t="s">
        <v>815</v>
      </c>
      <c r="G813" s="12">
        <v>1887</v>
      </c>
      <c r="H813" s="12"/>
      <c r="I813" s="12"/>
      <c r="J813" s="12">
        <v>1827</v>
      </c>
      <c r="K813" s="12">
        <f t="shared" si="171"/>
        <v>0</v>
      </c>
      <c r="L813" s="12">
        <f t="shared" si="160"/>
        <v>1887</v>
      </c>
      <c r="M813" s="12" t="str">
        <f t="shared" si="161"/>
        <v/>
      </c>
      <c r="N813" s="12">
        <f t="shared" si="162"/>
        <v>1827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18</v>
      </c>
      <c r="C814" s="11" t="s">
        <v>1280</v>
      </c>
      <c r="D814" s="11" t="s">
        <v>57</v>
      </c>
      <c r="E814" s="11" t="s">
        <v>61</v>
      </c>
      <c r="F814" s="11" t="s">
        <v>1281</v>
      </c>
      <c r="G814" s="12">
        <v>1887</v>
      </c>
      <c r="H814" s="12"/>
      <c r="I814" s="12"/>
      <c r="J814" s="12">
        <v>1857</v>
      </c>
      <c r="K814" s="12">
        <f t="shared" si="171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1857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7" customFormat="1" ht="28.5" customHeight="1">
      <c r="A815" s="11" t="str">
        <f t="shared" si="159"/>
        <v/>
      </c>
      <c r="B815" s="11" t="s">
        <v>10</v>
      </c>
      <c r="C815" s="11" t="s">
        <v>553</v>
      </c>
      <c r="D815" s="15" t="s">
        <v>60</v>
      </c>
      <c r="E815" s="11" t="s">
        <v>61</v>
      </c>
      <c r="F815" s="11" t="s">
        <v>554</v>
      </c>
      <c r="G815" s="12">
        <v>1888</v>
      </c>
      <c r="H815" s="12"/>
      <c r="I815" s="12"/>
      <c r="J815" s="12">
        <v>1878</v>
      </c>
      <c r="K815" s="12">
        <f t="shared" si="171"/>
        <v>0</v>
      </c>
      <c r="L815" s="12">
        <f t="shared" si="160"/>
        <v>1888</v>
      </c>
      <c r="M815" s="12" t="str">
        <f t="shared" si="161"/>
        <v/>
      </c>
      <c r="N815" s="12">
        <f t="shared" si="162"/>
        <v>1878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16" customFormat="1" ht="28.5" customHeight="1">
      <c r="A816" s="11" t="str">
        <f t="shared" si="159"/>
        <v/>
      </c>
      <c r="B816" s="11" t="s">
        <v>10</v>
      </c>
      <c r="C816" s="11" t="s">
        <v>260</v>
      </c>
      <c r="D816" s="15" t="s">
        <v>80</v>
      </c>
      <c r="E816" s="11" t="s">
        <v>61</v>
      </c>
      <c r="F816" s="11" t="s">
        <v>261</v>
      </c>
      <c r="G816" s="12">
        <v>1889</v>
      </c>
      <c r="H816" s="12"/>
      <c r="I816" s="12"/>
      <c r="J816" s="12">
        <v>1828</v>
      </c>
      <c r="K816" s="12">
        <f t="shared" si="171"/>
        <v>0</v>
      </c>
      <c r="L816" s="12">
        <f t="shared" si="160"/>
        <v>1889</v>
      </c>
      <c r="M816" s="12" t="str">
        <f t="shared" si="161"/>
        <v/>
      </c>
      <c r="N816" s="12">
        <f t="shared" si="162"/>
        <v>1828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10</v>
      </c>
      <c r="C817" s="11" t="s">
        <v>1195</v>
      </c>
      <c r="D817" s="11" t="s">
        <v>57</v>
      </c>
      <c r="E817" s="11" t="s">
        <v>26</v>
      </c>
      <c r="F817" s="11" t="s">
        <v>1196</v>
      </c>
      <c r="G817" s="12">
        <v>1889</v>
      </c>
      <c r="H817" s="12"/>
      <c r="I817" s="12"/>
      <c r="J817" s="12">
        <v>1859</v>
      </c>
      <c r="K817" s="12">
        <f t="shared" si="171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1859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14</v>
      </c>
      <c r="C818" s="11" t="s">
        <v>914</v>
      </c>
      <c r="D818" s="11" t="s">
        <v>71</v>
      </c>
      <c r="E818" s="11" t="s">
        <v>61</v>
      </c>
      <c r="F818" s="11" t="s">
        <v>915</v>
      </c>
      <c r="G818" s="12">
        <v>1889</v>
      </c>
      <c r="H818" s="12"/>
      <c r="I818" s="12"/>
      <c r="J818" s="12">
        <v>1869</v>
      </c>
      <c r="K818" s="12">
        <f t="shared" si="171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1869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1660</v>
      </c>
      <c r="D819" s="15" t="s">
        <v>45</v>
      </c>
      <c r="E819" s="11" t="s">
        <v>61</v>
      </c>
      <c r="F819" s="11" t="s">
        <v>1661</v>
      </c>
      <c r="G819" s="12">
        <v>1889</v>
      </c>
      <c r="H819" s="12"/>
      <c r="I819" s="12"/>
      <c r="J819" s="12">
        <v>1869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1869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12</v>
      </c>
      <c r="C820" s="11" t="s">
        <v>649</v>
      </c>
      <c r="D820" s="15" t="s">
        <v>60</v>
      </c>
      <c r="E820" s="11" t="s">
        <v>61</v>
      </c>
      <c r="F820" s="11" t="s">
        <v>650</v>
      </c>
      <c r="G820" s="12">
        <v>1889</v>
      </c>
      <c r="H820" s="12"/>
      <c r="I820" s="12"/>
      <c r="J820" s="12">
        <v>1879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1879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16" customFormat="1" ht="28.5" customHeight="1">
      <c r="A821" s="11" t="str">
        <f t="shared" si="159"/>
        <v/>
      </c>
      <c r="B821" s="11" t="s">
        <v>10</v>
      </c>
      <c r="C821" s="11" t="s">
        <v>1187</v>
      </c>
      <c r="D821" s="15" t="s">
        <v>60</v>
      </c>
      <c r="E821" s="11" t="s">
        <v>61</v>
      </c>
      <c r="F821" s="11" t="s">
        <v>1188</v>
      </c>
      <c r="G821" s="12">
        <v>1889</v>
      </c>
      <c r="H821" s="12"/>
      <c r="I821" s="12"/>
      <c r="J821" s="12">
        <v>1879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18</v>
      </c>
      <c r="C822" s="11" t="s">
        <v>411</v>
      </c>
      <c r="D822" s="11" t="s">
        <v>71</v>
      </c>
      <c r="E822" s="11" t="s">
        <v>61</v>
      </c>
      <c r="F822" s="11" t="s">
        <v>412</v>
      </c>
      <c r="G822" s="12">
        <v>1889</v>
      </c>
      <c r="H822" s="12"/>
      <c r="I822" s="12"/>
      <c r="J822" s="12">
        <v>1889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1889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10</v>
      </c>
      <c r="C823" s="11" t="s">
        <v>1243</v>
      </c>
      <c r="D823" s="15" t="s">
        <v>45</v>
      </c>
      <c r="E823" s="11" t="s">
        <v>26</v>
      </c>
      <c r="F823" s="11" t="s">
        <v>1244</v>
      </c>
      <c r="G823" s="12">
        <v>1889</v>
      </c>
      <c r="H823" s="12"/>
      <c r="I823" s="12"/>
      <c r="J823" s="12">
        <v>1899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1899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18</v>
      </c>
      <c r="C824" s="11" t="s">
        <v>547</v>
      </c>
      <c r="D824" s="15" t="s">
        <v>80</v>
      </c>
      <c r="E824" s="11" t="s">
        <v>26</v>
      </c>
      <c r="F824" s="11" t="s">
        <v>548</v>
      </c>
      <c r="G824" s="12">
        <v>1890</v>
      </c>
      <c r="H824" s="12"/>
      <c r="I824" s="12"/>
      <c r="J824" s="12">
        <v>1845</v>
      </c>
      <c r="K824" s="12">
        <f t="shared" si="171"/>
        <v>0</v>
      </c>
      <c r="L824" s="12">
        <f t="shared" si="160"/>
        <v>1890</v>
      </c>
      <c r="M824" s="12" t="str">
        <f t="shared" si="161"/>
        <v/>
      </c>
      <c r="N824" s="12">
        <f t="shared" si="162"/>
        <v>1845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16</v>
      </c>
      <c r="C825" s="11" t="s">
        <v>1493</v>
      </c>
      <c r="D825" s="11" t="s">
        <v>71</v>
      </c>
      <c r="E825" s="11" t="s">
        <v>26</v>
      </c>
      <c r="F825" s="11" t="s">
        <v>1494</v>
      </c>
      <c r="G825" s="12">
        <v>1890</v>
      </c>
      <c r="H825" s="12"/>
      <c r="I825" s="12"/>
      <c r="J825" s="12">
        <v>1870</v>
      </c>
      <c r="K825" s="12">
        <f t="shared" si="171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1870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16</v>
      </c>
      <c r="C826" s="11" t="s">
        <v>1495</v>
      </c>
      <c r="D826" s="11" t="s">
        <v>71</v>
      </c>
      <c r="E826" s="11" t="s">
        <v>61</v>
      </c>
      <c r="F826" s="11" t="s">
        <v>1496</v>
      </c>
      <c r="G826" s="12">
        <v>1890</v>
      </c>
      <c r="H826" s="12"/>
      <c r="I826" s="12"/>
      <c r="J826" s="12">
        <v>1870</v>
      </c>
      <c r="K826" s="12">
        <f t="shared" si="171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1870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16</v>
      </c>
      <c r="C827" s="11" t="s">
        <v>517</v>
      </c>
      <c r="D827" s="15" t="s">
        <v>80</v>
      </c>
      <c r="E827" s="11" t="s">
        <v>61</v>
      </c>
      <c r="F827" s="11" t="s">
        <v>518</v>
      </c>
      <c r="G827" s="12">
        <v>1890</v>
      </c>
      <c r="H827" s="12"/>
      <c r="I827" s="12"/>
      <c r="J827" s="12">
        <v>1880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1880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1262</v>
      </c>
      <c r="D828" s="11" t="s">
        <v>71</v>
      </c>
      <c r="E828" s="11" t="s">
        <v>61</v>
      </c>
      <c r="F828" s="11" t="s">
        <v>1263</v>
      </c>
      <c r="G828" s="12">
        <v>1890</v>
      </c>
      <c r="H828" s="12"/>
      <c r="I828" s="12"/>
      <c r="J828" s="12">
        <v>1880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1264</v>
      </c>
      <c r="D829" s="11" t="s">
        <v>71</v>
      </c>
      <c r="E829" s="11" t="s">
        <v>61</v>
      </c>
      <c r="F829" s="11" t="s">
        <v>1265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1377</v>
      </c>
      <c r="D830" s="11" t="s">
        <v>71</v>
      </c>
      <c r="E830" s="11" t="s">
        <v>26</v>
      </c>
      <c r="F830" s="11" t="s">
        <v>1378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10</v>
      </c>
      <c r="C831" s="11" t="s">
        <v>1601</v>
      </c>
      <c r="D831" s="15" t="s">
        <v>80</v>
      </c>
      <c r="E831" s="11" t="s">
        <v>61</v>
      </c>
      <c r="F831" s="11" t="s">
        <v>1602</v>
      </c>
      <c r="G831" s="12">
        <v>1895</v>
      </c>
      <c r="H831" s="12"/>
      <c r="I831" s="12"/>
      <c r="J831" s="12">
        <v>1839</v>
      </c>
      <c r="K831" s="12">
        <f t="shared" ref="K831:K862" si="172">IF(AND(IFERROR(SEARCH("현대오일뱅크",$C831),0)&gt;0,IFERROR(SEARCH("직영",$C831),0)&gt;0),$B$13,0)</f>
        <v>0</v>
      </c>
      <c r="L831" s="12">
        <f t="shared" si="160"/>
        <v>1895</v>
      </c>
      <c r="M831" s="12" t="str">
        <f t="shared" si="161"/>
        <v/>
      </c>
      <c r="N831" s="12">
        <f t="shared" si="162"/>
        <v>1839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18</v>
      </c>
      <c r="C832" s="11" t="s">
        <v>984</v>
      </c>
      <c r="D832" s="11" t="s">
        <v>57</v>
      </c>
      <c r="E832" s="11" t="s">
        <v>61</v>
      </c>
      <c r="F832" s="11" t="s">
        <v>985</v>
      </c>
      <c r="G832" s="12">
        <v>1895</v>
      </c>
      <c r="H832" s="12"/>
      <c r="I832" s="12"/>
      <c r="J832" s="12">
        <v>1869</v>
      </c>
      <c r="K832" s="12">
        <f t="shared" si="172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1869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7" customFormat="1" ht="28.5" customHeight="1">
      <c r="A833" s="11" t="str">
        <f t="shared" si="159"/>
        <v/>
      </c>
      <c r="B833" s="11" t="s">
        <v>6</v>
      </c>
      <c r="C833" s="11" t="s">
        <v>436</v>
      </c>
      <c r="D833" s="15" t="s">
        <v>45</v>
      </c>
      <c r="E833" s="11" t="s">
        <v>26</v>
      </c>
      <c r="F833" s="11" t="s">
        <v>437</v>
      </c>
      <c r="G833" s="12">
        <v>1895</v>
      </c>
      <c r="H833" s="12"/>
      <c r="I833" s="12"/>
      <c r="J833" s="12">
        <v>1875</v>
      </c>
      <c r="K833" s="12">
        <f t="shared" si="172"/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1875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1754</v>
      </c>
      <c r="D834" s="11" t="s">
        <v>57</v>
      </c>
      <c r="E834" s="11" t="s">
        <v>26</v>
      </c>
      <c r="F834" s="11" t="s">
        <v>1755</v>
      </c>
      <c r="G834" s="12">
        <v>1895</v>
      </c>
      <c r="H834" s="12"/>
      <c r="I834" s="12"/>
      <c r="J834" s="12">
        <v>1875</v>
      </c>
      <c r="K834" s="12">
        <f t="shared" si="172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12</v>
      </c>
      <c r="C835" s="11" t="s">
        <v>1096</v>
      </c>
      <c r="D835" s="15" t="s">
        <v>57</v>
      </c>
      <c r="E835" s="11" t="s">
        <v>61</v>
      </c>
      <c r="F835" s="11" t="s">
        <v>1097</v>
      </c>
      <c r="G835" s="12">
        <v>1895</v>
      </c>
      <c r="H835" s="12"/>
      <c r="I835" s="12"/>
      <c r="J835" s="12">
        <v>1875</v>
      </c>
      <c r="K835" s="12">
        <f t="shared" si="172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10</v>
      </c>
      <c r="C836" s="11" t="s">
        <v>1589</v>
      </c>
      <c r="D836" s="15" t="s">
        <v>60</v>
      </c>
      <c r="E836" s="11" t="s">
        <v>61</v>
      </c>
      <c r="F836" s="11" t="s">
        <v>1592</v>
      </c>
      <c r="G836" s="12">
        <v>1895</v>
      </c>
      <c r="H836" s="12"/>
      <c r="I836" s="12"/>
      <c r="J836" s="12">
        <v>1875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10</v>
      </c>
      <c r="C837" s="11" t="s">
        <v>1701</v>
      </c>
      <c r="D837" s="11" t="s">
        <v>57</v>
      </c>
      <c r="E837" s="11" t="s">
        <v>61</v>
      </c>
      <c r="F837" s="11" t="s">
        <v>1702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18</v>
      </c>
      <c r="C838" s="11" t="s">
        <v>832</v>
      </c>
      <c r="D838" s="15" t="s">
        <v>45</v>
      </c>
      <c r="E838" s="11" t="s">
        <v>61</v>
      </c>
      <c r="F838" s="11" t="s">
        <v>833</v>
      </c>
      <c r="G838" s="12">
        <v>1895</v>
      </c>
      <c r="H838" s="12"/>
      <c r="I838" s="12"/>
      <c r="J838" s="12">
        <v>1885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1885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10</v>
      </c>
      <c r="C839" s="11" t="s">
        <v>1541</v>
      </c>
      <c r="D839" s="15" t="s">
        <v>45</v>
      </c>
      <c r="E839" s="11" t="s">
        <v>61</v>
      </c>
      <c r="F839" s="11" t="s">
        <v>1542</v>
      </c>
      <c r="G839" s="12">
        <v>1895</v>
      </c>
      <c r="H839" s="12"/>
      <c r="I839" s="12"/>
      <c r="J839" s="12">
        <v>1885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1885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18</v>
      </c>
      <c r="C840" s="11" t="s">
        <v>1252</v>
      </c>
      <c r="D840" s="11" t="s">
        <v>71</v>
      </c>
      <c r="E840" s="11" t="s">
        <v>61</v>
      </c>
      <c r="F840" s="11" t="s">
        <v>1253</v>
      </c>
      <c r="G840" s="12">
        <v>1895</v>
      </c>
      <c r="H840" s="12"/>
      <c r="I840" s="12"/>
      <c r="J840" s="12">
        <v>1890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1890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12</v>
      </c>
      <c r="C841" s="11" t="s">
        <v>1385</v>
      </c>
      <c r="D841" s="15" t="s">
        <v>60</v>
      </c>
      <c r="E841" s="11" t="s">
        <v>61</v>
      </c>
      <c r="F841" s="11" t="s">
        <v>1386</v>
      </c>
      <c r="G841" s="12">
        <v>1897</v>
      </c>
      <c r="H841" s="12"/>
      <c r="I841" s="12"/>
      <c r="J841" s="12">
        <v>1877</v>
      </c>
      <c r="K841" s="12">
        <f t="shared" si="172"/>
        <v>0</v>
      </c>
      <c r="L841" s="12">
        <f t="shared" si="160"/>
        <v>1897</v>
      </c>
      <c r="M841" s="12" t="str">
        <f t="shared" si="161"/>
        <v/>
      </c>
      <c r="N841" s="12">
        <f t="shared" si="162"/>
        <v>1877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2" customFormat="1" ht="28.5" customHeight="1">
      <c r="A842" s="11" t="str">
        <f t="shared" si="159"/>
        <v/>
      </c>
      <c r="B842" s="11" t="s">
        <v>12</v>
      </c>
      <c r="C842" s="11" t="s">
        <v>757</v>
      </c>
      <c r="D842" s="15" t="s">
        <v>80</v>
      </c>
      <c r="E842" s="11" t="s">
        <v>61</v>
      </c>
      <c r="F842" s="11" t="s">
        <v>758</v>
      </c>
      <c r="G842" s="12">
        <v>1897</v>
      </c>
      <c r="H842" s="12"/>
      <c r="I842" s="12"/>
      <c r="J842" s="12">
        <v>1887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1887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14</v>
      </c>
      <c r="C843" s="11" t="s">
        <v>859</v>
      </c>
      <c r="D843" s="15" t="s">
        <v>80</v>
      </c>
      <c r="E843" s="11" t="s">
        <v>26</v>
      </c>
      <c r="F843" s="11" t="s">
        <v>860</v>
      </c>
      <c r="G843" s="12">
        <v>1898</v>
      </c>
      <c r="H843" s="12"/>
      <c r="I843" s="12"/>
      <c r="J843" s="12">
        <v>1858</v>
      </c>
      <c r="K843" s="12">
        <f t="shared" si="172"/>
        <v>0</v>
      </c>
      <c r="L843" s="12">
        <f t="shared" si="160"/>
        <v>1898</v>
      </c>
      <c r="M843" s="12" t="str">
        <f t="shared" si="161"/>
        <v/>
      </c>
      <c r="N843" s="12">
        <f t="shared" si="162"/>
        <v>1858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12</v>
      </c>
      <c r="C844" s="11" t="s">
        <v>1642</v>
      </c>
      <c r="D844" s="15" t="s">
        <v>45</v>
      </c>
      <c r="E844" s="11" t="s">
        <v>26</v>
      </c>
      <c r="F844" s="11" t="s">
        <v>1643</v>
      </c>
      <c r="G844" s="12">
        <v>1898</v>
      </c>
      <c r="H844" s="12"/>
      <c r="I844" s="12"/>
      <c r="J844" s="12">
        <v>1878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1878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14</v>
      </c>
      <c r="C845" s="11" t="s">
        <v>1691</v>
      </c>
      <c r="D845" s="11" t="s">
        <v>57</v>
      </c>
      <c r="E845" s="11" t="s">
        <v>61</v>
      </c>
      <c r="F845" s="11" t="s">
        <v>1692</v>
      </c>
      <c r="G845" s="12">
        <v>1898</v>
      </c>
      <c r="H845" s="12"/>
      <c r="I845" s="12"/>
      <c r="J845" s="12">
        <v>1881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1881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16</v>
      </c>
      <c r="C846" s="11" t="s">
        <v>1308</v>
      </c>
      <c r="D846" s="15" t="s">
        <v>45</v>
      </c>
      <c r="E846" s="11" t="s">
        <v>26</v>
      </c>
      <c r="F846" s="11" t="s">
        <v>1309</v>
      </c>
      <c r="G846" s="12">
        <v>1899</v>
      </c>
      <c r="H846" s="12"/>
      <c r="I846" s="12"/>
      <c r="J846" s="12">
        <v>1849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1849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7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780</v>
      </c>
      <c r="D847" s="11" t="s">
        <v>71</v>
      </c>
      <c r="E847" s="11" t="s">
        <v>26</v>
      </c>
      <c r="F847" s="11" t="s">
        <v>781</v>
      </c>
      <c r="G847" s="12">
        <v>1899</v>
      </c>
      <c r="H847" s="12"/>
      <c r="I847" s="12"/>
      <c r="J847" s="12">
        <v>1869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1869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663</v>
      </c>
      <c r="D848" s="15" t="s">
        <v>80</v>
      </c>
      <c r="E848" s="11" t="s">
        <v>61</v>
      </c>
      <c r="F848" s="11" t="s">
        <v>664</v>
      </c>
      <c r="G848" s="12">
        <v>1899</v>
      </c>
      <c r="H848" s="12"/>
      <c r="I848" s="12"/>
      <c r="J848" s="12">
        <v>1870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1870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6</v>
      </c>
      <c r="C849" s="11" t="s">
        <v>428</v>
      </c>
      <c r="D849" s="15" t="s">
        <v>60</v>
      </c>
      <c r="E849" s="11" t="s">
        <v>61</v>
      </c>
      <c r="F849" s="11" t="s">
        <v>431</v>
      </c>
      <c r="G849" s="12">
        <v>1899</v>
      </c>
      <c r="H849" s="12"/>
      <c r="I849" s="12"/>
      <c r="J849" s="12">
        <v>1889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1889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350</v>
      </c>
      <c r="D850" s="15" t="s">
        <v>60</v>
      </c>
      <c r="E850" s="11" t="s">
        <v>26</v>
      </c>
      <c r="F850" s="11" t="s">
        <v>351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851</v>
      </c>
      <c r="D851" s="11" t="s">
        <v>57</v>
      </c>
      <c r="E851" s="11" t="s">
        <v>26</v>
      </c>
      <c r="F851" s="11" t="s">
        <v>852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1221</v>
      </c>
      <c r="D852" s="11" t="s">
        <v>71</v>
      </c>
      <c r="E852" s="11" t="s">
        <v>61</v>
      </c>
      <c r="F852" s="11" t="s">
        <v>1222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16" customFormat="1" ht="28.5" customHeight="1">
      <c r="A853" s="11" t="str">
        <f t="shared" si="173"/>
        <v/>
      </c>
      <c r="B853" s="11" t="s">
        <v>6</v>
      </c>
      <c r="C853" s="11" t="s">
        <v>84</v>
      </c>
      <c r="D853" s="15" t="s">
        <v>45</v>
      </c>
      <c r="E853" s="11" t="s">
        <v>26</v>
      </c>
      <c r="F853" s="11" t="s">
        <v>85</v>
      </c>
      <c r="G853" s="12">
        <v>1899</v>
      </c>
      <c r="H853" s="12"/>
      <c r="I853" s="12"/>
      <c r="J853" s="12">
        <v>1894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1894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1117</v>
      </c>
      <c r="D854" s="11" t="s">
        <v>57</v>
      </c>
      <c r="E854" s="11" t="s">
        <v>26</v>
      </c>
      <c r="F854" s="11" t="s">
        <v>1118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1328</v>
      </c>
      <c r="D855" s="15" t="s">
        <v>45</v>
      </c>
      <c r="E855" s="11" t="s">
        <v>26</v>
      </c>
      <c r="F855" s="11" t="s">
        <v>1329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12</v>
      </c>
      <c r="C856" s="11" t="s">
        <v>996</v>
      </c>
      <c r="D856" s="15" t="s">
        <v>45</v>
      </c>
      <c r="E856" s="11" t="s">
        <v>61</v>
      </c>
      <c r="F856" s="11" t="s">
        <v>997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10</v>
      </c>
      <c r="C857" s="11" t="s">
        <v>1165</v>
      </c>
      <c r="D857" s="15" t="s">
        <v>45</v>
      </c>
      <c r="E857" s="11" t="s">
        <v>26</v>
      </c>
      <c r="F857" s="11" t="s">
        <v>1166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16" customFormat="1" ht="28.5" customHeight="1">
      <c r="A858" s="11" t="str">
        <f t="shared" si="173"/>
        <v/>
      </c>
      <c r="B858" s="11" t="s">
        <v>10</v>
      </c>
      <c r="C858" s="11" t="s">
        <v>168</v>
      </c>
      <c r="D858" s="15" t="s">
        <v>60</v>
      </c>
      <c r="E858" s="11" t="s">
        <v>26</v>
      </c>
      <c r="F858" s="11" t="s">
        <v>169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521</v>
      </c>
      <c r="D859" s="15" t="s">
        <v>60</v>
      </c>
      <c r="E859" s="11" t="s">
        <v>61</v>
      </c>
      <c r="F859" s="11" t="s">
        <v>522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990</v>
      </c>
      <c r="D860" s="15" t="s">
        <v>60</v>
      </c>
      <c r="E860" s="11" t="s">
        <v>61</v>
      </c>
      <c r="F860" s="11" t="s">
        <v>991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1644</v>
      </c>
      <c r="D861" s="15" t="s">
        <v>80</v>
      </c>
      <c r="E861" s="11" t="s">
        <v>61</v>
      </c>
      <c r="F861" s="11" t="s">
        <v>1645</v>
      </c>
      <c r="G861" s="12">
        <v>1908</v>
      </c>
      <c r="H861" s="12"/>
      <c r="I861" s="12"/>
      <c r="J861" s="12">
        <v>1878</v>
      </c>
      <c r="K861" s="12">
        <f t="shared" si="172"/>
        <v>0</v>
      </c>
      <c r="L861" s="12">
        <f t="shared" si="174"/>
        <v>1908</v>
      </c>
      <c r="M861" s="12" t="str">
        <f t="shared" si="175"/>
        <v/>
      </c>
      <c r="N861" s="12">
        <f t="shared" si="176"/>
        <v>1878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16" customFormat="1" ht="28.5" customHeight="1">
      <c r="A862" s="11" t="str">
        <f t="shared" si="173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si="172"/>
        <v>0</v>
      </c>
      <c r="L862" s="12">
        <f t="shared" si="174"/>
        <v>1909</v>
      </c>
      <c r="M862" s="12" t="str">
        <f t="shared" si="175"/>
        <v/>
      </c>
      <c r="N862" s="12">
        <f t="shared" si="176"/>
        <v>1879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14</v>
      </c>
      <c r="C863" s="11" t="s">
        <v>1125</v>
      </c>
      <c r="D863" s="15" t="s">
        <v>45</v>
      </c>
      <c r="E863" s="11" t="s">
        <v>26</v>
      </c>
      <c r="F863" s="11" t="s">
        <v>1126</v>
      </c>
      <c r="G863" s="12">
        <v>1909</v>
      </c>
      <c r="H863" s="12"/>
      <c r="I863" s="12"/>
      <c r="J863" s="12">
        <v>1899</v>
      </c>
      <c r="K863" s="12">
        <f t="shared" ref="K863:K883" si="185">IF(AND(IFERROR(SEARCH("현대오일뱅크",$C863),0)&gt;0,IFERROR(SEARCH("직영",$C863),0)&gt;0),$B$13,0)</f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1899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531</v>
      </c>
      <c r="D864" s="15" t="s">
        <v>80</v>
      </c>
      <c r="E864" s="11" t="s">
        <v>61</v>
      </c>
      <c r="F864" s="11" t="s">
        <v>532</v>
      </c>
      <c r="G864" s="12">
        <v>1919</v>
      </c>
      <c r="H864" s="12"/>
      <c r="I864" s="12"/>
      <c r="J864" s="12">
        <v>1906</v>
      </c>
      <c r="K864" s="12">
        <f t="shared" si="185"/>
        <v>0</v>
      </c>
      <c r="L864" s="12">
        <f t="shared" si="174"/>
        <v>1919</v>
      </c>
      <c r="M864" s="12" t="str">
        <f t="shared" si="175"/>
        <v/>
      </c>
      <c r="N864" s="12">
        <f t="shared" si="176"/>
        <v>1906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853</v>
      </c>
      <c r="D865" s="15" t="s">
        <v>60</v>
      </c>
      <c r="E865" s="11" t="s">
        <v>26</v>
      </c>
      <c r="F865" s="11" t="s">
        <v>854</v>
      </c>
      <c r="G865" s="12">
        <v>1928</v>
      </c>
      <c r="H865" s="12"/>
      <c r="I865" s="12"/>
      <c r="J865" s="12">
        <v>1918</v>
      </c>
      <c r="K865" s="12">
        <f t="shared" si="185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741</v>
      </c>
      <c r="D866" s="15" t="s">
        <v>60</v>
      </c>
      <c r="E866" s="11" t="s">
        <v>61</v>
      </c>
      <c r="F866" s="11" t="s">
        <v>742</v>
      </c>
      <c r="G866" s="12">
        <v>1928</v>
      </c>
      <c r="H866" s="12"/>
      <c r="I866" s="12"/>
      <c r="J866" s="12">
        <v>1928</v>
      </c>
      <c r="K866" s="12">
        <f t="shared" si="185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721</v>
      </c>
      <c r="D867" s="15" t="s">
        <v>80</v>
      </c>
      <c r="E867" s="11" t="s">
        <v>61</v>
      </c>
      <c r="F867" s="11" t="s">
        <v>722</v>
      </c>
      <c r="G867" s="12">
        <v>1929</v>
      </c>
      <c r="H867" s="12"/>
      <c r="I867" s="12"/>
      <c r="J867" s="12">
        <v>1895</v>
      </c>
      <c r="K867" s="12">
        <f t="shared" si="185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855</v>
      </c>
      <c r="D868" s="15" t="s">
        <v>45</v>
      </c>
      <c r="E868" s="11" t="s">
        <v>61</v>
      </c>
      <c r="F868" s="11" t="s">
        <v>856</v>
      </c>
      <c r="G868" s="12">
        <v>1929</v>
      </c>
      <c r="H868" s="12"/>
      <c r="I868" s="12"/>
      <c r="J868" s="12">
        <v>1928</v>
      </c>
      <c r="K868" s="12">
        <f t="shared" si="185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1356</v>
      </c>
      <c r="D869" s="11" t="s">
        <v>57</v>
      </c>
      <c r="E869" s="11" t="s">
        <v>61</v>
      </c>
      <c r="F869" s="11" t="s">
        <v>1357</v>
      </c>
      <c r="G869" s="12">
        <v>1929</v>
      </c>
      <c r="H869" s="12"/>
      <c r="I869" s="12"/>
      <c r="J869" s="12">
        <v>1929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621</v>
      </c>
      <c r="D870" s="11" t="s">
        <v>57</v>
      </c>
      <c r="E870" s="11" t="s">
        <v>61</v>
      </c>
      <c r="F870" s="11" t="s">
        <v>622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284</v>
      </c>
      <c r="D871" s="15" t="s">
        <v>80</v>
      </c>
      <c r="E871" s="11" t="s">
        <v>26</v>
      </c>
      <c r="F871" s="11" t="s">
        <v>285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1499</v>
      </c>
      <c r="D872" s="15" t="s">
        <v>57</v>
      </c>
      <c r="E872" s="11" t="s">
        <v>26</v>
      </c>
      <c r="F872" s="11" t="s">
        <v>1500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7" customFormat="1" ht="28.5" customHeight="1">
      <c r="A873" s="11" t="str">
        <f t="shared" si="173"/>
        <v/>
      </c>
      <c r="B873" s="11" t="s">
        <v>6</v>
      </c>
      <c r="C873" s="11" t="s">
        <v>1722</v>
      </c>
      <c r="D873" s="15" t="s">
        <v>80</v>
      </c>
      <c r="E873" s="11" t="s">
        <v>26</v>
      </c>
      <c r="F873" s="11" t="s">
        <v>1724</v>
      </c>
      <c r="G873" s="12">
        <v>1977</v>
      </c>
      <c r="H873" s="12"/>
      <c r="I873" s="12"/>
      <c r="J873" s="12">
        <v>1977</v>
      </c>
      <c r="K873" s="12">
        <f t="shared" si="185"/>
        <v>0</v>
      </c>
      <c r="L873" s="12">
        <f t="shared" si="174"/>
        <v>1977</v>
      </c>
      <c r="M873" s="12" t="str">
        <f t="shared" si="175"/>
        <v/>
      </c>
      <c r="N873" s="12">
        <f t="shared" si="176"/>
        <v>1977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6</v>
      </c>
      <c r="C874" s="11" t="s">
        <v>788</v>
      </c>
      <c r="D874" s="15" t="s">
        <v>80</v>
      </c>
      <c r="E874" s="11" t="s">
        <v>26</v>
      </c>
      <c r="F874" s="11" t="s">
        <v>789</v>
      </c>
      <c r="G874" s="12">
        <v>2199</v>
      </c>
      <c r="H874" s="12"/>
      <c r="I874" s="12"/>
      <c r="J874" s="12">
        <v>2199</v>
      </c>
      <c r="K874" s="12">
        <f t="shared" si="185"/>
        <v>0</v>
      </c>
      <c r="L874" s="12">
        <f t="shared" si="174"/>
        <v>2199</v>
      </c>
      <c r="M874" s="12" t="str">
        <f t="shared" si="175"/>
        <v/>
      </c>
      <c r="N874" s="12">
        <f t="shared" si="176"/>
        <v>2199</v>
      </c>
      <c r="O874" s="12" t="str">
        <f t="shared" si="177"/>
        <v/>
      </c>
      <c r="P874" s="12" t="str">
        <f t="shared" si="178"/>
        <v/>
      </c>
      <c r="Q874" s="12" t="s">
        <v>63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671</v>
      </c>
      <c r="D875" s="15" t="s">
        <v>60</v>
      </c>
      <c r="E875" s="11" t="s">
        <v>61</v>
      </c>
      <c r="F875" s="11" t="s">
        <v>673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376</v>
      </c>
      <c r="D876" s="11" t="s">
        <v>57</v>
      </c>
      <c r="E876" s="11" t="s">
        <v>61</v>
      </c>
      <c r="F876" s="11" t="s">
        <v>377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282</v>
      </c>
      <c r="D877" s="15" t="s">
        <v>45</v>
      </c>
      <c r="E877" s="11" t="s">
        <v>26</v>
      </c>
      <c r="F877" s="11" t="s">
        <v>283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1593</v>
      </c>
      <c r="D878" s="15" t="s">
        <v>60</v>
      </c>
      <c r="E878" s="11" t="s">
        <v>61</v>
      </c>
      <c r="F878" s="11" t="s">
        <v>1594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144</v>
      </c>
      <c r="D879" s="11" t="s">
        <v>57</v>
      </c>
      <c r="E879" s="11" t="s">
        <v>61</v>
      </c>
      <c r="F879" s="11" t="s">
        <v>145</v>
      </c>
      <c r="G879" s="12"/>
      <c r="H879" s="12">
        <v>2357</v>
      </c>
      <c r="I879" s="12"/>
      <c r="J879" s="12">
        <v>1837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1837</v>
      </c>
      <c r="O879" s="12" t="str">
        <f t="shared" si="177"/>
        <v/>
      </c>
      <c r="P879" s="12" t="str">
        <f t="shared" si="178"/>
        <v/>
      </c>
      <c r="Q879" s="12" t="s">
        <v>63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160</v>
      </c>
      <c r="D880" s="15" t="s">
        <v>60</v>
      </c>
      <c r="E880" s="11" t="s">
        <v>26</v>
      </c>
      <c r="F880" s="11" t="s">
        <v>161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1000</v>
      </c>
      <c r="D881" s="11" t="s">
        <v>95</v>
      </c>
      <c r="E881" s="11" t="s">
        <v>26</v>
      </c>
      <c r="F881" s="11" t="s">
        <v>1001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63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16" customFormat="1" ht="28.5" customHeight="1">
      <c r="A882" s="11" t="str">
        <f t="shared" si="173"/>
        <v/>
      </c>
      <c r="B882" s="11" t="s">
        <v>10</v>
      </c>
      <c r="C882" s="11" t="s">
        <v>569</v>
      </c>
      <c r="D882" s="15" t="s">
        <v>80</v>
      </c>
      <c r="E882" s="11" t="s">
        <v>61</v>
      </c>
      <c r="F882" s="11" t="s">
        <v>571</v>
      </c>
      <c r="G882" s="12"/>
      <c r="H882" s="12"/>
      <c r="I882" s="12"/>
      <c r="J882" s="12">
        <v>1899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1899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18</v>
      </c>
      <c r="B4" s="20" t="s">
        <v>298</v>
      </c>
      <c r="C4" s="20" t="s">
        <v>299</v>
      </c>
      <c r="D4" s="20" t="s">
        <v>1764</v>
      </c>
      <c r="E4" s="26">
        <v>1822</v>
      </c>
      <c r="F4" s="26">
        <v>1822</v>
      </c>
      <c r="G4" s="26">
        <f t="shared" ref="G4:G35" si="0">IF(OR(E4="",F4=""),"",F4-E4)</f>
        <v>0</v>
      </c>
      <c r="H4" s="26">
        <v>2239</v>
      </c>
      <c r="I4" s="26">
        <v>2239</v>
      </c>
      <c r="J4" s="26">
        <f t="shared" ref="J4:J35" si="1">IF(OR(H4="",I4=""),"",I4-H4)</f>
        <v>0</v>
      </c>
      <c r="K4" s="26">
        <v>1802</v>
      </c>
      <c r="L4" s="26">
        <v>1797</v>
      </c>
      <c r="M4" s="26">
        <f t="shared" ref="M4:M35" si="2">IF(OR(K4="",L4=""),"",L4-K4)</f>
        <v>-5</v>
      </c>
    </row>
    <row r="5" spans="1:13" s="16" customFormat="1" ht="25.5" customHeight="1">
      <c r="A5" s="19" t="s">
        <v>12</v>
      </c>
      <c r="B5" s="20" t="s">
        <v>1300</v>
      </c>
      <c r="C5" s="20" t="s">
        <v>1301</v>
      </c>
      <c r="D5" s="20" t="s">
        <v>1764</v>
      </c>
      <c r="E5" s="26">
        <v>1819</v>
      </c>
      <c r="F5" s="26">
        <v>1819</v>
      </c>
      <c r="G5" s="26">
        <f t="shared" si="0"/>
        <v>0</v>
      </c>
      <c r="H5" s="26">
        <v>2259</v>
      </c>
      <c r="I5" s="26">
        <v>2259</v>
      </c>
      <c r="J5" s="26">
        <f t="shared" si="1"/>
        <v>0</v>
      </c>
      <c r="K5" s="26">
        <v>1869</v>
      </c>
      <c r="L5" s="26">
        <v>1819</v>
      </c>
      <c r="M5" s="26">
        <f t="shared" si="2"/>
        <v>-50</v>
      </c>
    </row>
    <row r="6" spans="1:13" s="16" customFormat="1" ht="25.5" customHeight="1">
      <c r="A6" s="19" t="s">
        <v>16</v>
      </c>
      <c r="B6" s="20" t="s">
        <v>614</v>
      </c>
      <c r="C6" s="20" t="s">
        <v>615</v>
      </c>
      <c r="D6" s="20" t="s">
        <v>1764</v>
      </c>
      <c r="E6" s="26">
        <v>1885</v>
      </c>
      <c r="F6" s="26">
        <v>1865</v>
      </c>
      <c r="G6" s="26">
        <f t="shared" si="0"/>
        <v>-20</v>
      </c>
      <c r="H6" s="26">
        <v>2225</v>
      </c>
      <c r="I6" s="26">
        <v>2225</v>
      </c>
      <c r="J6" s="26">
        <f t="shared" si="1"/>
        <v>0</v>
      </c>
      <c r="K6" s="26">
        <v>1875</v>
      </c>
      <c r="L6" s="26">
        <v>1855</v>
      </c>
      <c r="M6" s="26">
        <f t="shared" si="2"/>
        <v>-20</v>
      </c>
    </row>
    <row r="7" spans="1:13" s="16" customFormat="1" ht="25.5" customHeight="1">
      <c r="A7" s="19" t="s">
        <v>6</v>
      </c>
      <c r="B7" s="20" t="s">
        <v>847</v>
      </c>
      <c r="C7" s="20" t="s">
        <v>848</v>
      </c>
      <c r="D7" s="20" t="s">
        <v>1764</v>
      </c>
      <c r="E7" s="26">
        <v>1834</v>
      </c>
      <c r="F7" s="26">
        <v>1828</v>
      </c>
      <c r="G7" s="26">
        <f t="shared" si="0"/>
        <v>-6</v>
      </c>
      <c r="H7" s="26">
        <v>2390</v>
      </c>
      <c r="I7" s="26">
        <v>2290</v>
      </c>
      <c r="J7" s="26">
        <f t="shared" si="1"/>
        <v>-100</v>
      </c>
      <c r="K7" s="26">
        <v>1829</v>
      </c>
      <c r="L7" s="26">
        <v>1819</v>
      </c>
      <c r="M7" s="26">
        <f t="shared" si="2"/>
        <v>-10</v>
      </c>
    </row>
    <row r="8" spans="1:13" s="16" customFormat="1" ht="25.5" customHeight="1">
      <c r="A8" s="19" t="s">
        <v>16</v>
      </c>
      <c r="B8" s="20" t="s">
        <v>480</v>
      </c>
      <c r="C8" s="20" t="s">
        <v>481</v>
      </c>
      <c r="D8" s="20" t="s">
        <v>1764</v>
      </c>
      <c r="E8" s="26">
        <v>1847</v>
      </c>
      <c r="F8" s="26">
        <v>1847</v>
      </c>
      <c r="G8" s="26">
        <f t="shared" si="0"/>
        <v>0</v>
      </c>
      <c r="H8" s="26"/>
      <c r="I8" s="26"/>
      <c r="J8" s="26" t="str">
        <f t="shared" si="1"/>
        <v/>
      </c>
      <c r="K8" s="26">
        <v>1817</v>
      </c>
      <c r="L8" s="26">
        <v>1837</v>
      </c>
      <c r="M8" s="26">
        <f t="shared" si="2"/>
        <v>20</v>
      </c>
    </row>
    <row r="9" spans="1:13" s="16" customFormat="1" ht="25.5" customHeight="1">
      <c r="A9" s="19" t="s">
        <v>16</v>
      </c>
      <c r="B9" s="20" t="s">
        <v>1369</v>
      </c>
      <c r="C9" s="20" t="s">
        <v>1370</v>
      </c>
      <c r="D9" s="20" t="s">
        <v>1764</v>
      </c>
      <c r="E9" s="26">
        <v>1850</v>
      </c>
      <c r="F9" s="26">
        <v>1870</v>
      </c>
      <c r="G9" s="26">
        <f t="shared" si="0"/>
        <v>20</v>
      </c>
      <c r="H9" s="26"/>
      <c r="I9" s="26"/>
      <c r="J9" s="26" t="str">
        <f t="shared" si="1"/>
        <v/>
      </c>
      <c r="K9" s="26">
        <v>1840</v>
      </c>
      <c r="L9" s="26">
        <v>1840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1346</v>
      </c>
      <c r="C10" s="20" t="s">
        <v>1347</v>
      </c>
      <c r="D10" s="20" t="s">
        <v>1764</v>
      </c>
      <c r="E10" s="26">
        <v>1811</v>
      </c>
      <c r="F10" s="26">
        <v>1799</v>
      </c>
      <c r="G10" s="26">
        <f t="shared" si="0"/>
        <v>-12</v>
      </c>
      <c r="H10" s="26"/>
      <c r="I10" s="26"/>
      <c r="J10" s="26" t="str">
        <f t="shared" si="1"/>
        <v/>
      </c>
      <c r="K10" s="26">
        <v>1811</v>
      </c>
      <c r="L10" s="26">
        <v>1811</v>
      </c>
      <c r="M10" s="26">
        <f t="shared" si="2"/>
        <v>0</v>
      </c>
    </row>
    <row r="11" spans="1:13" s="16" customFormat="1" ht="25.5" customHeight="1">
      <c r="A11" s="19" t="s">
        <v>18</v>
      </c>
      <c r="B11" s="20" t="s">
        <v>886</v>
      </c>
      <c r="C11" s="20" t="s">
        <v>887</v>
      </c>
      <c r="D11" s="20" t="s">
        <v>1764</v>
      </c>
      <c r="E11" s="26">
        <v>1859</v>
      </c>
      <c r="F11" s="26">
        <v>1859</v>
      </c>
      <c r="G11" s="26">
        <f t="shared" si="0"/>
        <v>0</v>
      </c>
      <c r="H11" s="26"/>
      <c r="I11" s="26"/>
      <c r="J11" s="26" t="str">
        <f t="shared" si="1"/>
        <v/>
      </c>
      <c r="K11" s="26">
        <v>1849</v>
      </c>
      <c r="L11" s="26">
        <v>1869</v>
      </c>
      <c r="M11" s="26">
        <f t="shared" si="2"/>
        <v>20</v>
      </c>
    </row>
    <row r="12" spans="1:13" s="16" customFormat="1" ht="25.5" customHeight="1">
      <c r="A12" s="19" t="s">
        <v>16</v>
      </c>
      <c r="B12" s="20" t="s">
        <v>1658</v>
      </c>
      <c r="C12" s="20" t="s">
        <v>1659</v>
      </c>
      <c r="D12" s="20" t="s">
        <v>1764</v>
      </c>
      <c r="E12" s="26">
        <v>1869</v>
      </c>
      <c r="F12" s="26">
        <v>1899</v>
      </c>
      <c r="G12" s="26">
        <f t="shared" si="0"/>
        <v>30</v>
      </c>
      <c r="H12" s="26"/>
      <c r="I12" s="26"/>
      <c r="J12" s="26" t="str">
        <f t="shared" si="1"/>
        <v/>
      </c>
      <c r="K12" s="26">
        <v>1849</v>
      </c>
      <c r="L12" s="26">
        <v>1849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872</v>
      </c>
      <c r="C13" s="20" t="s">
        <v>873</v>
      </c>
      <c r="D13" s="20" t="s">
        <v>1764</v>
      </c>
      <c r="E13" s="26">
        <v>1828</v>
      </c>
      <c r="F13" s="26">
        <v>1828</v>
      </c>
      <c r="G13" s="26">
        <f t="shared" si="0"/>
        <v>0</v>
      </c>
      <c r="H13" s="26"/>
      <c r="I13" s="26"/>
      <c r="J13" s="26" t="str">
        <f t="shared" si="1"/>
        <v/>
      </c>
      <c r="K13" s="26">
        <v>1848</v>
      </c>
      <c r="L13" s="26">
        <v>1798</v>
      </c>
      <c r="M13" s="26">
        <f t="shared" si="2"/>
        <v>-50</v>
      </c>
    </row>
    <row r="14" spans="1:13" s="16" customFormat="1" ht="25.5" customHeight="1">
      <c r="A14" s="19" t="s">
        <v>12</v>
      </c>
      <c r="B14" s="20" t="s">
        <v>99</v>
      </c>
      <c r="C14" s="20" t="s">
        <v>100</v>
      </c>
      <c r="D14" s="20" t="s">
        <v>1764</v>
      </c>
      <c r="E14" s="26">
        <v>1842</v>
      </c>
      <c r="F14" s="26">
        <v>1797</v>
      </c>
      <c r="G14" s="26">
        <f t="shared" si="0"/>
        <v>-45</v>
      </c>
      <c r="H14" s="26"/>
      <c r="I14" s="26"/>
      <c r="J14" s="26" t="str">
        <f t="shared" si="1"/>
        <v/>
      </c>
      <c r="K14" s="26">
        <v>1824</v>
      </c>
      <c r="L14" s="26">
        <v>1792</v>
      </c>
      <c r="M14" s="26">
        <f t="shared" si="2"/>
        <v>-32</v>
      </c>
    </row>
    <row r="15" spans="1:13" s="16" customFormat="1" ht="25.5" customHeight="1">
      <c r="A15" s="19" t="s">
        <v>6</v>
      </c>
      <c r="B15" s="20" t="s">
        <v>637</v>
      </c>
      <c r="C15" s="20" t="s">
        <v>638</v>
      </c>
      <c r="D15" s="20" t="s">
        <v>1764</v>
      </c>
      <c r="E15" s="26">
        <v>1854</v>
      </c>
      <c r="F15" s="26">
        <v>1834</v>
      </c>
      <c r="G15" s="26">
        <f t="shared" si="0"/>
        <v>-20</v>
      </c>
      <c r="H15" s="26"/>
      <c r="I15" s="26"/>
      <c r="J15" s="26" t="str">
        <f t="shared" si="1"/>
        <v/>
      </c>
      <c r="K15" s="26">
        <v>1837</v>
      </c>
      <c r="L15" s="26">
        <v>1817</v>
      </c>
      <c r="M15" s="26">
        <f t="shared" si="2"/>
        <v>-20</v>
      </c>
    </row>
    <row r="16" spans="1:13" s="16" customFormat="1" ht="25.5" customHeight="1">
      <c r="A16" s="19" t="s">
        <v>18</v>
      </c>
      <c r="B16" s="20" t="s">
        <v>868</v>
      </c>
      <c r="C16" s="20" t="s">
        <v>869</v>
      </c>
      <c r="D16" s="20" t="s">
        <v>1764</v>
      </c>
      <c r="E16" s="26">
        <v>1899</v>
      </c>
      <c r="F16" s="26">
        <v>1899</v>
      </c>
      <c r="G16" s="26">
        <f t="shared" si="0"/>
        <v>0</v>
      </c>
      <c r="H16" s="26"/>
      <c r="I16" s="26"/>
      <c r="J16" s="26" t="str">
        <f t="shared" si="1"/>
        <v/>
      </c>
      <c r="K16" s="26">
        <v>1834</v>
      </c>
      <c r="L16" s="26">
        <v>1849</v>
      </c>
      <c r="M16" s="26">
        <f t="shared" si="2"/>
        <v>15</v>
      </c>
    </row>
    <row r="17" spans="1:13" s="16" customFormat="1" ht="25.5" customHeight="1">
      <c r="A17" s="19" t="s">
        <v>14</v>
      </c>
      <c r="B17" s="20" t="s">
        <v>1318</v>
      </c>
      <c r="C17" s="20" t="s">
        <v>1319</v>
      </c>
      <c r="D17" s="20" t="s">
        <v>1764</v>
      </c>
      <c r="E17" s="26">
        <v>1887</v>
      </c>
      <c r="F17" s="26">
        <v>1887</v>
      </c>
      <c r="G17" s="26">
        <f t="shared" si="0"/>
        <v>0</v>
      </c>
      <c r="H17" s="26"/>
      <c r="I17" s="26"/>
      <c r="J17" s="26" t="str">
        <f t="shared" si="1"/>
        <v/>
      </c>
      <c r="K17" s="26">
        <v>1868</v>
      </c>
      <c r="L17" s="26">
        <v>1853</v>
      </c>
      <c r="M17" s="26">
        <f t="shared" si="2"/>
        <v>-15</v>
      </c>
    </row>
    <row r="18" spans="1:13" s="16" customFormat="1" ht="25.5" customHeight="1">
      <c r="A18" s="19" t="s">
        <v>14</v>
      </c>
      <c r="B18" s="20" t="s">
        <v>606</v>
      </c>
      <c r="C18" s="20" t="s">
        <v>607</v>
      </c>
      <c r="D18" s="20" t="s">
        <v>1764</v>
      </c>
      <c r="E18" s="26">
        <v>1889</v>
      </c>
      <c r="F18" s="26">
        <v>1889</v>
      </c>
      <c r="G18" s="26">
        <f t="shared" si="0"/>
        <v>0</v>
      </c>
      <c r="H18" s="26"/>
      <c r="I18" s="26"/>
      <c r="J18" s="26" t="str">
        <f t="shared" si="1"/>
        <v/>
      </c>
      <c r="K18" s="26">
        <v>2029</v>
      </c>
      <c r="L18" s="26">
        <v>1879</v>
      </c>
      <c r="M18" s="26">
        <f t="shared" si="2"/>
        <v>-150</v>
      </c>
    </row>
    <row r="19" spans="1:13" s="16" customFormat="1" ht="25.5" customHeight="1">
      <c r="A19" s="19" t="s">
        <v>10</v>
      </c>
      <c r="B19" s="20" t="s">
        <v>1260</v>
      </c>
      <c r="C19" s="20" t="s">
        <v>1261</v>
      </c>
      <c r="D19" s="20" t="s">
        <v>1764</v>
      </c>
      <c r="E19" s="26">
        <v>1895</v>
      </c>
      <c r="F19" s="26">
        <v>1895</v>
      </c>
      <c r="G19" s="26">
        <f t="shared" si="0"/>
        <v>0</v>
      </c>
      <c r="H19" s="26"/>
      <c r="I19" s="26"/>
      <c r="J19" s="26" t="str">
        <f t="shared" si="1"/>
        <v/>
      </c>
      <c r="K19" s="26">
        <v>1895</v>
      </c>
      <c r="L19" s="26">
        <v>1875</v>
      </c>
      <c r="M19" s="26">
        <f t="shared" si="2"/>
        <v>-20</v>
      </c>
    </row>
    <row r="20" spans="1:13" s="16" customFormat="1" ht="25.5" customHeight="1">
      <c r="A20" s="19" t="s">
        <v>10</v>
      </c>
      <c r="B20" s="20" t="s">
        <v>1611</v>
      </c>
      <c r="C20" s="20" t="s">
        <v>1612</v>
      </c>
      <c r="D20" s="20" t="s">
        <v>1764</v>
      </c>
      <c r="E20" s="26">
        <v>1899</v>
      </c>
      <c r="F20" s="26">
        <v>1879</v>
      </c>
      <c r="G20" s="26">
        <f t="shared" si="0"/>
        <v>-20</v>
      </c>
      <c r="H20" s="26"/>
      <c r="I20" s="26"/>
      <c r="J20" s="26" t="str">
        <f t="shared" si="1"/>
        <v/>
      </c>
      <c r="K20" s="26">
        <v>1859</v>
      </c>
      <c r="L20" s="26">
        <v>1859</v>
      </c>
      <c r="M20" s="26">
        <f t="shared" si="2"/>
        <v>0</v>
      </c>
    </row>
    <row r="21" spans="1:13" s="16" customFormat="1" ht="25.5" customHeight="1">
      <c r="A21" s="19" t="s">
        <v>10</v>
      </c>
      <c r="B21" s="20" t="s">
        <v>774</v>
      </c>
      <c r="C21" s="20" t="s">
        <v>775</v>
      </c>
      <c r="D21" s="20" t="s">
        <v>1764</v>
      </c>
      <c r="E21" s="26">
        <v>1899</v>
      </c>
      <c r="F21" s="26">
        <v>1899</v>
      </c>
      <c r="G21" s="26">
        <f t="shared" si="0"/>
        <v>0</v>
      </c>
      <c r="H21" s="26"/>
      <c r="I21" s="26"/>
      <c r="J21" s="26" t="str">
        <f t="shared" si="1"/>
        <v/>
      </c>
      <c r="K21" s="26">
        <v>1909</v>
      </c>
      <c r="L21" s="26">
        <v>1889</v>
      </c>
      <c r="M21" s="26">
        <f t="shared" si="2"/>
        <v>-20</v>
      </c>
    </row>
    <row r="22" spans="1:13" s="16" customFormat="1" ht="25.5" customHeight="1">
      <c r="A22" s="19" t="s">
        <v>16</v>
      </c>
      <c r="B22" s="20" t="s">
        <v>1674</v>
      </c>
      <c r="C22" s="20" t="s">
        <v>1675</v>
      </c>
      <c r="D22" s="20" t="s">
        <v>1764</v>
      </c>
      <c r="E22" s="26">
        <v>1989</v>
      </c>
      <c r="F22" s="26">
        <v>1989</v>
      </c>
      <c r="G22" s="26">
        <f t="shared" si="0"/>
        <v>0</v>
      </c>
      <c r="H22" s="26"/>
      <c r="I22" s="26"/>
      <c r="J22" s="26" t="str">
        <f t="shared" si="1"/>
        <v/>
      </c>
      <c r="K22" s="26">
        <v>1985</v>
      </c>
      <c r="L22" s="26">
        <v>1825</v>
      </c>
      <c r="M22" s="26">
        <f t="shared" si="2"/>
        <v>-160</v>
      </c>
    </row>
    <row r="23" spans="1:13" s="16" customFormat="1" ht="25.5" customHeight="1">
      <c r="A23" s="19" t="s">
        <v>14</v>
      </c>
      <c r="B23" s="20" t="s">
        <v>1119</v>
      </c>
      <c r="C23" s="20" t="s">
        <v>1120</v>
      </c>
      <c r="D23" s="20" t="s">
        <v>1764</v>
      </c>
      <c r="E23" s="26">
        <v>1945</v>
      </c>
      <c r="F23" s="26">
        <v>1945</v>
      </c>
      <c r="G23" s="26">
        <f t="shared" si="0"/>
        <v>0</v>
      </c>
      <c r="H23" s="26"/>
      <c r="I23" s="26"/>
      <c r="J23" s="26" t="str">
        <f t="shared" si="1"/>
        <v/>
      </c>
      <c r="K23" s="26">
        <v>1880</v>
      </c>
      <c r="L23" s="26">
        <v>1895</v>
      </c>
      <c r="M23" s="26">
        <f t="shared" si="2"/>
        <v>15</v>
      </c>
    </row>
    <row r="24" spans="1:13" s="16" customFormat="1" ht="25.5" customHeight="1">
      <c r="A24" s="19" t="s">
        <v>12</v>
      </c>
      <c r="B24" s="20" t="s">
        <v>1597</v>
      </c>
      <c r="C24" s="20" t="s">
        <v>1598</v>
      </c>
      <c r="D24" s="20" t="s">
        <v>1764</v>
      </c>
      <c r="E24" s="26">
        <v>1812</v>
      </c>
      <c r="F24" s="26">
        <v>1797</v>
      </c>
      <c r="G24" s="26">
        <f t="shared" si="0"/>
        <v>-15</v>
      </c>
      <c r="H24" s="26"/>
      <c r="I24" s="26"/>
      <c r="J24" s="26" t="str">
        <f t="shared" si="1"/>
        <v/>
      </c>
      <c r="K24" s="26">
        <v>1792</v>
      </c>
      <c r="L24" s="26">
        <v>1782</v>
      </c>
      <c r="M24" s="26">
        <f t="shared" si="2"/>
        <v>-10</v>
      </c>
    </row>
    <row r="25" spans="1:13" s="16" customFormat="1" ht="25.5" customHeight="1">
      <c r="A25" s="19" t="s">
        <v>6</v>
      </c>
      <c r="B25" s="20" t="s">
        <v>130</v>
      </c>
      <c r="C25" s="20" t="s">
        <v>131</v>
      </c>
      <c r="D25" s="20" t="s">
        <v>1764</v>
      </c>
      <c r="E25" s="26">
        <v>1812</v>
      </c>
      <c r="F25" s="26">
        <v>1805</v>
      </c>
      <c r="G25" s="26">
        <f t="shared" si="0"/>
        <v>-7</v>
      </c>
      <c r="H25" s="26"/>
      <c r="I25" s="26"/>
      <c r="J25" s="26" t="str">
        <f t="shared" si="1"/>
        <v/>
      </c>
      <c r="K25" s="26">
        <v>1812</v>
      </c>
      <c r="L25" s="26">
        <v>1812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368</v>
      </c>
      <c r="C26" s="20" t="s">
        <v>369</v>
      </c>
      <c r="D26" s="20" t="s">
        <v>1764</v>
      </c>
      <c r="E26" s="26">
        <v>1814</v>
      </c>
      <c r="F26" s="26">
        <v>1834</v>
      </c>
      <c r="G26" s="26">
        <f t="shared" si="0"/>
        <v>20</v>
      </c>
      <c r="H26" s="26"/>
      <c r="I26" s="26"/>
      <c r="J26" s="26" t="str">
        <f t="shared" si="1"/>
        <v/>
      </c>
      <c r="K26" s="26">
        <v>1814</v>
      </c>
      <c r="L26" s="26">
        <v>1814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352</v>
      </c>
      <c r="C27" s="20" t="s">
        <v>353</v>
      </c>
      <c r="D27" s="20" t="s">
        <v>1764</v>
      </c>
      <c r="E27" s="26">
        <v>1825</v>
      </c>
      <c r="F27" s="26">
        <v>1825</v>
      </c>
      <c r="G27" s="26">
        <f t="shared" si="0"/>
        <v>0</v>
      </c>
      <c r="H27" s="26"/>
      <c r="I27" s="26"/>
      <c r="J27" s="26" t="str">
        <f t="shared" si="1"/>
        <v/>
      </c>
      <c r="K27" s="26">
        <v>1809</v>
      </c>
      <c r="L27" s="26">
        <v>1909</v>
      </c>
      <c r="M27" s="26">
        <f t="shared" si="2"/>
        <v>100</v>
      </c>
    </row>
    <row r="28" spans="1:13" s="16" customFormat="1" ht="25.5" customHeight="1">
      <c r="A28" s="19" t="s">
        <v>10</v>
      </c>
      <c r="B28" s="20" t="s">
        <v>1193</v>
      </c>
      <c r="C28" s="20" t="s">
        <v>1194</v>
      </c>
      <c r="D28" s="20" t="s">
        <v>1764</v>
      </c>
      <c r="E28" s="26">
        <v>1838</v>
      </c>
      <c r="F28" s="26">
        <v>1838</v>
      </c>
      <c r="G28" s="26">
        <f t="shared" si="0"/>
        <v>0</v>
      </c>
      <c r="H28" s="26"/>
      <c r="I28" s="26"/>
      <c r="J28" s="26" t="str">
        <f t="shared" si="1"/>
        <v/>
      </c>
      <c r="K28" s="26">
        <v>1848</v>
      </c>
      <c r="L28" s="26">
        <v>1818</v>
      </c>
      <c r="M28" s="26">
        <f t="shared" si="2"/>
        <v>-30</v>
      </c>
    </row>
    <row r="29" spans="1:13" s="16" customFormat="1" ht="25.5" customHeight="1">
      <c r="A29" s="19" t="s">
        <v>18</v>
      </c>
      <c r="B29" s="20" t="s">
        <v>680</v>
      </c>
      <c r="C29" s="20" t="s">
        <v>681</v>
      </c>
      <c r="D29" s="20" t="s">
        <v>1764</v>
      </c>
      <c r="E29" s="26">
        <v>1840</v>
      </c>
      <c r="F29" s="26">
        <v>1840</v>
      </c>
      <c r="G29" s="26">
        <f t="shared" si="0"/>
        <v>0</v>
      </c>
      <c r="H29" s="26"/>
      <c r="I29" s="26"/>
      <c r="J29" s="26" t="str">
        <f t="shared" si="1"/>
        <v/>
      </c>
      <c r="K29" s="26">
        <v>1830</v>
      </c>
      <c r="L29" s="26">
        <v>1875</v>
      </c>
      <c r="M29" s="26">
        <f t="shared" si="2"/>
        <v>45</v>
      </c>
    </row>
    <row r="30" spans="1:13" s="16" customFormat="1" ht="25.5" customHeight="1">
      <c r="A30" s="19" t="s">
        <v>18</v>
      </c>
      <c r="B30" s="20" t="s">
        <v>1366</v>
      </c>
      <c r="C30" s="20" t="s">
        <v>1368</v>
      </c>
      <c r="D30" s="20" t="s">
        <v>1764</v>
      </c>
      <c r="E30" s="26">
        <v>1842</v>
      </c>
      <c r="F30" s="26">
        <v>1842</v>
      </c>
      <c r="G30" s="26">
        <f t="shared" si="0"/>
        <v>0</v>
      </c>
      <c r="H30" s="26"/>
      <c r="I30" s="26"/>
      <c r="J30" s="26" t="str">
        <f t="shared" si="1"/>
        <v/>
      </c>
      <c r="K30" s="26">
        <v>1832</v>
      </c>
      <c r="L30" s="26">
        <v>1850</v>
      </c>
      <c r="M30" s="26">
        <f t="shared" si="2"/>
        <v>18</v>
      </c>
    </row>
    <row r="31" spans="1:13" s="16" customFormat="1" ht="25.5" customHeight="1">
      <c r="A31" s="19" t="s">
        <v>8</v>
      </c>
      <c r="B31" s="20" t="s">
        <v>739</v>
      </c>
      <c r="C31" s="20" t="s">
        <v>740</v>
      </c>
      <c r="D31" s="20" t="s">
        <v>1764</v>
      </c>
      <c r="E31" s="26">
        <v>1843</v>
      </c>
      <c r="F31" s="26">
        <v>1843</v>
      </c>
      <c r="G31" s="26">
        <f t="shared" si="0"/>
        <v>0</v>
      </c>
      <c r="H31" s="26"/>
      <c r="I31" s="26"/>
      <c r="J31" s="26" t="str">
        <f t="shared" si="1"/>
        <v/>
      </c>
      <c r="K31" s="26">
        <v>1823</v>
      </c>
      <c r="L31" s="26">
        <v>1828</v>
      </c>
      <c r="M31" s="26">
        <f t="shared" si="2"/>
        <v>5</v>
      </c>
    </row>
    <row r="32" spans="1:13" s="16" customFormat="1" ht="25.5" customHeight="1">
      <c r="A32" s="19" t="s">
        <v>6</v>
      </c>
      <c r="B32" s="20" t="s">
        <v>653</v>
      </c>
      <c r="C32" s="20" t="s">
        <v>654</v>
      </c>
      <c r="D32" s="20" t="s">
        <v>1764</v>
      </c>
      <c r="E32" s="26">
        <v>1857</v>
      </c>
      <c r="F32" s="26">
        <v>1837</v>
      </c>
      <c r="G32" s="26">
        <f t="shared" si="0"/>
        <v>-20</v>
      </c>
      <c r="H32" s="26"/>
      <c r="I32" s="26"/>
      <c r="J32" s="26" t="str">
        <f t="shared" si="1"/>
        <v/>
      </c>
      <c r="K32" s="26">
        <v>1827</v>
      </c>
      <c r="L32" s="26">
        <v>1812</v>
      </c>
      <c r="M32" s="26">
        <f t="shared" si="2"/>
        <v>-15</v>
      </c>
    </row>
    <row r="33" spans="1:13" s="16" customFormat="1" ht="25.5" customHeight="1">
      <c r="A33" s="19" t="s">
        <v>14</v>
      </c>
      <c r="B33" s="20" t="s">
        <v>1350</v>
      </c>
      <c r="C33" s="20" t="s">
        <v>1351</v>
      </c>
      <c r="D33" s="20" t="s">
        <v>1764</v>
      </c>
      <c r="E33" s="26">
        <v>1858</v>
      </c>
      <c r="F33" s="26">
        <v>1878</v>
      </c>
      <c r="G33" s="26">
        <f t="shared" si="0"/>
        <v>20</v>
      </c>
      <c r="H33" s="26"/>
      <c r="I33" s="26"/>
      <c r="J33" s="26" t="str">
        <f t="shared" si="1"/>
        <v/>
      </c>
      <c r="K33" s="26">
        <v>1857</v>
      </c>
      <c r="L33" s="26">
        <v>1857</v>
      </c>
      <c r="M33" s="26">
        <f t="shared" si="2"/>
        <v>0</v>
      </c>
    </row>
    <row r="34" spans="1:13" s="16" customFormat="1" ht="25.5" customHeight="1">
      <c r="A34" s="19" t="s">
        <v>10</v>
      </c>
      <c r="B34" s="20" t="s">
        <v>459</v>
      </c>
      <c r="C34" s="20" t="s">
        <v>460</v>
      </c>
      <c r="D34" s="20" t="s">
        <v>1764</v>
      </c>
      <c r="E34" s="26">
        <v>1870</v>
      </c>
      <c r="F34" s="26">
        <v>1870</v>
      </c>
      <c r="G34" s="26">
        <f t="shared" si="0"/>
        <v>0</v>
      </c>
      <c r="H34" s="26"/>
      <c r="I34" s="26"/>
      <c r="J34" s="26" t="str">
        <f t="shared" si="1"/>
        <v/>
      </c>
      <c r="K34" s="26">
        <v>1860</v>
      </c>
      <c r="L34" s="26">
        <v>1900</v>
      </c>
      <c r="M34" s="26">
        <f t="shared" si="2"/>
        <v>40</v>
      </c>
    </row>
    <row r="35" spans="1:13" s="16" customFormat="1" ht="25.5" customHeight="1">
      <c r="A35" s="19" t="s">
        <v>14</v>
      </c>
      <c r="B35" s="20" t="s">
        <v>1125</v>
      </c>
      <c r="C35" s="20" t="s">
        <v>1126</v>
      </c>
      <c r="D35" s="20" t="s">
        <v>1764</v>
      </c>
      <c r="E35" s="26">
        <v>1909</v>
      </c>
      <c r="F35" s="26">
        <v>1909</v>
      </c>
      <c r="G35" s="26">
        <f t="shared" si="0"/>
        <v>0</v>
      </c>
      <c r="H35" s="26"/>
      <c r="I35" s="26"/>
      <c r="J35" s="26" t="str">
        <f t="shared" si="1"/>
        <v/>
      </c>
      <c r="K35" s="26">
        <v>1860</v>
      </c>
      <c r="L35" s="26">
        <v>1899</v>
      </c>
      <c r="M35" s="26">
        <f t="shared" si="2"/>
        <v>39</v>
      </c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